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2.xml" ContentType="application/vnd.openxmlformats-officedocument.spreadsheetml.pivot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ivotTables/pivotTable3.xml" ContentType="application/vnd.openxmlformats-officedocument.spreadsheetml.pivot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d62234183fd3ba/Documents/GitHub/sally-jd-yield-analysis/real_data/"/>
    </mc:Choice>
  </mc:AlternateContent>
  <xr:revisionPtr revIDLastSave="550" documentId="8_{A25DD1AC-7EF8-4391-988E-0C0AD3E9F523}" xr6:coauthVersionLast="47" xr6:coauthVersionMax="47" xr10:uidLastSave="{65B2C39D-5D86-487E-AC46-B55B5AAADDAF}"/>
  <bookViews>
    <workbookView xWindow="-120" yWindow="-120" windowWidth="38640" windowHeight="21120" activeTab="1" xr2:uid="{48A4463F-D0F1-4C11-8B5D-8B085F14D5AD}"/>
  </bookViews>
  <sheets>
    <sheet name="SAS ALL" sheetId="8" r:id="rId1"/>
    <sheet name="AJ csv" sheetId="21" r:id="rId2"/>
    <sheet name="ALL pivot" sheetId="20" r:id="rId3"/>
    <sheet name="2025 sites raw" sheetId="6" r:id="rId4"/>
    <sheet name="NE Pivot" sheetId="18" r:id="rId5"/>
    <sheet name="SAS NE" sheetId="19" r:id="rId6"/>
    <sheet name="SE Pivot" sheetId="17" r:id="rId7"/>
    <sheet name="SAS SE" sheetId="12" r:id="rId8"/>
    <sheet name="Methodology" sheetId="10" r:id="rId9"/>
    <sheet name="SAS-spatial within site" sheetId="3" r:id="rId10"/>
  </sheets>
  <calcPr calcId="191028"/>
  <pivotCaches>
    <pivotCache cacheId="0" r:id="rId11"/>
    <pivotCache cacheId="1" r:id="rId12"/>
    <pivotCache cacheId="2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1" l="1"/>
  <c r="C4" i="21"/>
  <c r="C5" i="21"/>
  <c r="C6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C52" i="21"/>
  <c r="C53" i="21"/>
  <c r="C54" i="21"/>
  <c r="C55" i="21"/>
  <c r="C56" i="21"/>
  <c r="C57" i="21"/>
  <c r="C58" i="21"/>
  <c r="C59" i="21"/>
  <c r="C60" i="21"/>
  <c r="C61" i="21"/>
  <c r="C62" i="21"/>
  <c r="C63" i="21"/>
  <c r="C64" i="21"/>
  <c r="C65" i="21"/>
  <c r="C66" i="21"/>
  <c r="C67" i="21"/>
  <c r="C68" i="21"/>
  <c r="C69" i="21"/>
  <c r="C70" i="21"/>
  <c r="C71" i="21"/>
  <c r="C72" i="21"/>
  <c r="C73" i="21"/>
  <c r="C74" i="21"/>
  <c r="C75" i="21"/>
  <c r="C76" i="21"/>
  <c r="C77" i="21"/>
  <c r="C78" i="21"/>
  <c r="C79" i="21"/>
  <c r="C80" i="21"/>
  <c r="C81" i="21"/>
  <c r="C82" i="21"/>
  <c r="C83" i="21"/>
  <c r="C84" i="21"/>
  <c r="C85" i="21"/>
  <c r="C86" i="21"/>
  <c r="C87" i="21"/>
  <c r="C88" i="21"/>
  <c r="C89" i="21"/>
  <c r="C90" i="21"/>
  <c r="C91" i="21"/>
  <c r="C92" i="21"/>
  <c r="C93" i="21"/>
  <c r="C94" i="21"/>
  <c r="C95" i="21"/>
  <c r="C96" i="21"/>
  <c r="C97" i="21"/>
  <c r="C98" i="21"/>
  <c r="C99" i="21"/>
  <c r="C100" i="21"/>
  <c r="C101" i="21"/>
  <c r="C102" i="21"/>
  <c r="C103" i="21"/>
  <c r="C104" i="21"/>
  <c r="C105" i="21"/>
  <c r="C106" i="21"/>
  <c r="C107" i="21"/>
  <c r="C108" i="21"/>
  <c r="C109" i="21"/>
  <c r="C110" i="21"/>
  <c r="C111" i="21"/>
  <c r="C112" i="21"/>
  <c r="C113" i="21"/>
  <c r="C114" i="21"/>
  <c r="C115" i="21"/>
  <c r="C116" i="21"/>
  <c r="C117" i="21"/>
  <c r="C118" i="21"/>
  <c r="C119" i="21"/>
  <c r="C120" i="21"/>
  <c r="C121" i="21"/>
  <c r="C122" i="21"/>
  <c r="C123" i="21"/>
  <c r="C124" i="21"/>
  <c r="C125" i="21"/>
  <c r="C126" i="21"/>
  <c r="C127" i="21"/>
  <c r="C128" i="21"/>
  <c r="C129" i="21"/>
  <c r="C130" i="21"/>
  <c r="C131" i="21"/>
  <c r="C132" i="21"/>
  <c r="C133" i="21"/>
  <c r="C134" i="21"/>
  <c r="C135" i="21"/>
  <c r="C136" i="21"/>
  <c r="C137" i="21"/>
  <c r="C138" i="21"/>
  <c r="C139" i="21"/>
  <c r="C140" i="21"/>
  <c r="C141" i="21"/>
  <c r="C142" i="21"/>
  <c r="C143" i="21"/>
  <c r="C144" i="21"/>
  <c r="C145" i="21"/>
  <c r="C146" i="21"/>
  <c r="C147" i="21"/>
  <c r="C148" i="21"/>
  <c r="C149" i="21"/>
  <c r="C150" i="21"/>
  <c r="C151" i="21"/>
  <c r="C152" i="21"/>
  <c r="C153" i="21"/>
  <c r="C154" i="21"/>
  <c r="C155" i="21"/>
  <c r="C156" i="21"/>
  <c r="C157" i="21"/>
  <c r="C158" i="21"/>
  <c r="C159" i="21"/>
  <c r="C160" i="21"/>
  <c r="C161" i="21"/>
  <c r="C162" i="21"/>
  <c r="C163" i="21"/>
  <c r="C164" i="21"/>
  <c r="C165" i="21"/>
  <c r="C166" i="21"/>
  <c r="C167" i="21"/>
  <c r="C168" i="21"/>
  <c r="C169" i="21"/>
  <c r="C170" i="21"/>
  <c r="C171" i="21"/>
  <c r="C172" i="21"/>
  <c r="C173" i="21"/>
  <c r="C174" i="21"/>
  <c r="C175" i="21"/>
  <c r="C176" i="21"/>
  <c r="C177" i="21"/>
  <c r="C178" i="21"/>
  <c r="C179" i="21"/>
  <c r="C180" i="21"/>
  <c r="C181" i="21"/>
  <c r="C182" i="21"/>
  <c r="C183" i="21"/>
  <c r="C184" i="21"/>
  <c r="C185" i="21"/>
  <c r="C186" i="21"/>
  <c r="C187" i="21"/>
  <c r="C188" i="21"/>
  <c r="C189" i="21"/>
  <c r="C190" i="21"/>
  <c r="C191" i="21"/>
  <c r="C192" i="21"/>
  <c r="C193" i="21"/>
  <c r="C194" i="21"/>
  <c r="C195" i="21"/>
  <c r="C196" i="21"/>
  <c r="C197" i="21"/>
  <c r="C198" i="21"/>
  <c r="C199" i="21"/>
  <c r="C200" i="21"/>
  <c r="C201" i="21"/>
  <c r="C202" i="21"/>
  <c r="C203" i="21"/>
  <c r="C204" i="21"/>
  <c r="C205" i="21"/>
  <c r="C206" i="21"/>
  <c r="C207" i="21"/>
  <c r="C208" i="21"/>
  <c r="C209" i="21"/>
  <c r="C210" i="21"/>
  <c r="C211" i="21"/>
  <c r="C212" i="21"/>
  <c r="C213" i="21"/>
  <c r="C214" i="21"/>
  <c r="C215" i="21"/>
  <c r="C216" i="21"/>
  <c r="C217" i="21"/>
  <c r="C218" i="21"/>
  <c r="C219" i="21"/>
  <c r="C220" i="21"/>
  <c r="C221" i="21"/>
  <c r="C222" i="21"/>
  <c r="C223" i="21"/>
  <c r="C224" i="21"/>
  <c r="C225" i="21"/>
  <c r="C226" i="21"/>
  <c r="C227" i="21"/>
  <c r="C228" i="21"/>
  <c r="C229" i="21"/>
  <c r="C230" i="21"/>
  <c r="C231" i="21"/>
  <c r="C232" i="21"/>
  <c r="C233" i="21"/>
  <c r="C234" i="21"/>
  <c r="C235" i="21"/>
  <c r="C236" i="21"/>
  <c r="C237" i="21"/>
  <c r="C238" i="21"/>
  <c r="C239" i="21"/>
  <c r="C240" i="21"/>
  <c r="C241" i="21"/>
  <c r="C242" i="21"/>
  <c r="C243" i="21"/>
  <c r="C244" i="21"/>
  <c r="C245" i="21"/>
  <c r="C246" i="21"/>
  <c r="C247" i="21"/>
  <c r="C248" i="21"/>
  <c r="C249" i="21"/>
  <c r="C250" i="21"/>
  <c r="C251" i="21"/>
  <c r="C252" i="21"/>
  <c r="C253" i="21"/>
  <c r="C254" i="21"/>
  <c r="C255" i="21"/>
  <c r="C256" i="21"/>
  <c r="C257" i="21"/>
  <c r="C258" i="21"/>
  <c r="C259" i="21"/>
  <c r="C260" i="21"/>
  <c r="C261" i="21"/>
  <c r="C262" i="21"/>
  <c r="C263" i="21"/>
  <c r="C264" i="21"/>
  <c r="C265" i="21"/>
  <c r="C266" i="21"/>
  <c r="C267" i="21"/>
  <c r="C268" i="21"/>
  <c r="C269" i="21"/>
  <c r="C270" i="21"/>
  <c r="C271" i="21"/>
  <c r="C272" i="21"/>
  <c r="C273" i="21"/>
  <c r="C274" i="21"/>
  <c r="C275" i="21"/>
  <c r="C276" i="21"/>
  <c r="C277" i="21"/>
  <c r="C278" i="21"/>
  <c r="C279" i="21"/>
  <c r="C280" i="21"/>
  <c r="C281" i="21"/>
  <c r="C282" i="21"/>
  <c r="C283" i="21"/>
  <c r="C284" i="21"/>
  <c r="C285" i="21"/>
  <c r="C286" i="21"/>
  <c r="C287" i="21"/>
  <c r="C288" i="21"/>
  <c r="C289" i="21"/>
  <c r="C290" i="21"/>
  <c r="C291" i="21"/>
  <c r="C292" i="21"/>
  <c r="C293" i="21"/>
  <c r="C294" i="21"/>
  <c r="C295" i="21"/>
  <c r="C296" i="21"/>
  <c r="C297" i="21"/>
  <c r="C298" i="21"/>
  <c r="C299" i="21"/>
  <c r="C300" i="21"/>
  <c r="C301" i="21"/>
  <c r="C302" i="21"/>
  <c r="C303" i="21"/>
  <c r="C304" i="21"/>
  <c r="C305" i="21"/>
  <c r="C306" i="21"/>
  <c r="C307" i="21"/>
  <c r="C308" i="21"/>
  <c r="C309" i="21"/>
  <c r="C310" i="21"/>
  <c r="C311" i="21"/>
  <c r="C312" i="21"/>
  <c r="C313" i="21"/>
  <c r="C314" i="21"/>
  <c r="C315" i="21"/>
  <c r="C316" i="21"/>
  <c r="C317" i="21"/>
  <c r="C318" i="21"/>
  <c r="C319" i="21"/>
  <c r="C320" i="21"/>
  <c r="C321" i="21"/>
  <c r="C322" i="21"/>
  <c r="C323" i="21"/>
  <c r="C324" i="21"/>
  <c r="C325" i="21"/>
  <c r="C326" i="21"/>
  <c r="C327" i="21"/>
  <c r="C328" i="21"/>
  <c r="C329" i="21"/>
  <c r="C330" i="21"/>
  <c r="C331" i="21"/>
  <c r="C332" i="21"/>
  <c r="C333" i="21"/>
  <c r="C334" i="21"/>
  <c r="C335" i="21"/>
  <c r="C336" i="21"/>
  <c r="C337" i="21"/>
  <c r="C338" i="21"/>
  <c r="C339" i="21"/>
  <c r="C340" i="21"/>
  <c r="C341" i="21"/>
  <c r="C342" i="21"/>
  <c r="C343" i="21"/>
  <c r="C344" i="21"/>
  <c r="C345" i="21"/>
  <c r="C346" i="21"/>
  <c r="C347" i="21"/>
  <c r="C348" i="21"/>
  <c r="C349" i="21"/>
  <c r="C350" i="21"/>
  <c r="C351" i="21"/>
  <c r="C352" i="21"/>
  <c r="C353" i="21"/>
  <c r="C354" i="21"/>
  <c r="C355" i="21"/>
  <c r="C356" i="21"/>
  <c r="C357" i="21"/>
  <c r="C358" i="21"/>
  <c r="C359" i="21"/>
  <c r="C360" i="21"/>
  <c r="C361" i="21"/>
  <c r="C362" i="21"/>
  <c r="C363" i="21"/>
  <c r="C364" i="21"/>
  <c r="C365" i="21"/>
  <c r="C366" i="21"/>
  <c r="C367" i="21"/>
  <c r="C368" i="21"/>
  <c r="C369" i="21"/>
  <c r="C370" i="21"/>
  <c r="C371" i="21"/>
  <c r="C372" i="21"/>
  <c r="C373" i="21"/>
  <c r="C374" i="21"/>
  <c r="C375" i="21"/>
  <c r="C376" i="21"/>
  <c r="C377" i="21"/>
  <c r="C378" i="21"/>
  <c r="C379" i="21"/>
  <c r="C380" i="21"/>
  <c r="C381" i="21"/>
  <c r="C382" i="21"/>
  <c r="C383" i="21"/>
  <c r="C384" i="21"/>
  <c r="C385" i="21"/>
  <c r="C386" i="21"/>
  <c r="C387" i="21"/>
  <c r="C388" i="21"/>
  <c r="C389" i="21"/>
  <c r="C390" i="21"/>
  <c r="C391" i="21"/>
  <c r="C392" i="21"/>
  <c r="C393" i="21"/>
  <c r="C394" i="21"/>
  <c r="C395" i="21"/>
  <c r="C396" i="21"/>
  <c r="C397" i="21"/>
  <c r="C398" i="21"/>
  <c r="C399" i="21"/>
  <c r="C400" i="21"/>
  <c r="C401" i="21"/>
  <c r="C402" i="21"/>
  <c r="C403" i="21"/>
  <c r="C404" i="21"/>
  <c r="C405" i="21"/>
  <c r="C406" i="21"/>
  <c r="C407" i="21"/>
  <c r="C408" i="21"/>
  <c r="C409" i="21"/>
  <c r="C410" i="21"/>
  <c r="C411" i="21"/>
  <c r="C412" i="21"/>
  <c r="C413" i="21"/>
  <c r="C414" i="21"/>
  <c r="C415" i="21"/>
  <c r="C416" i="21"/>
  <c r="C417" i="21"/>
  <c r="C418" i="21"/>
  <c r="C419" i="21"/>
  <c r="C420" i="21"/>
  <c r="C421" i="21"/>
  <c r="C422" i="21"/>
  <c r="C423" i="21"/>
  <c r="C424" i="21"/>
  <c r="C425" i="21"/>
  <c r="C426" i="21"/>
  <c r="C427" i="21"/>
  <c r="C428" i="21"/>
  <c r="C429" i="21"/>
  <c r="C430" i="21"/>
  <c r="C431" i="21"/>
  <c r="C432" i="21"/>
  <c r="C433" i="21"/>
  <c r="C434" i="21"/>
  <c r="C435" i="21"/>
  <c r="C436" i="21"/>
  <c r="C437" i="21"/>
  <c r="C438" i="21"/>
  <c r="C439" i="21"/>
  <c r="C440" i="21"/>
  <c r="C441" i="21"/>
  <c r="C442" i="21"/>
  <c r="C443" i="21"/>
  <c r="C444" i="21"/>
  <c r="C445" i="21"/>
  <c r="C446" i="21"/>
  <c r="C447" i="21"/>
  <c r="C448" i="21"/>
  <c r="C449" i="21"/>
  <c r="C450" i="21"/>
  <c r="C451" i="21"/>
  <c r="C452" i="21"/>
  <c r="C453" i="21"/>
  <c r="C454" i="21"/>
  <c r="C455" i="21"/>
  <c r="C456" i="21"/>
  <c r="C457" i="21"/>
  <c r="C458" i="21"/>
  <c r="C459" i="21"/>
  <c r="C460" i="21"/>
  <c r="C461" i="21"/>
  <c r="C462" i="21"/>
  <c r="C463" i="21"/>
  <c r="C464" i="21"/>
  <c r="C465" i="21"/>
  <c r="C466" i="21"/>
  <c r="C467" i="21"/>
  <c r="C468" i="21"/>
  <c r="C469" i="21"/>
  <c r="C470" i="21"/>
  <c r="C471" i="21"/>
  <c r="C472" i="21"/>
  <c r="C473" i="21"/>
  <c r="C474" i="21"/>
  <c r="C475" i="21"/>
  <c r="C476" i="21"/>
  <c r="C477" i="21"/>
  <c r="C478" i="21"/>
  <c r="C479" i="21"/>
  <c r="C480" i="21"/>
  <c r="C481" i="21"/>
  <c r="C482" i="21"/>
  <c r="C483" i="21"/>
  <c r="C484" i="21"/>
  <c r="C485" i="21"/>
  <c r="C486" i="21"/>
  <c r="C487" i="21"/>
  <c r="C488" i="21"/>
  <c r="C489" i="21"/>
  <c r="C490" i="21"/>
  <c r="C491" i="21"/>
  <c r="C492" i="21"/>
  <c r="C493" i="21"/>
  <c r="C494" i="21"/>
  <c r="C495" i="21"/>
  <c r="C496" i="21"/>
  <c r="C497" i="21"/>
  <c r="C498" i="21"/>
  <c r="C499" i="21"/>
  <c r="C500" i="21"/>
  <c r="C501" i="21"/>
  <c r="C502" i="21"/>
  <c r="C503" i="21"/>
  <c r="C504" i="21"/>
  <c r="C505" i="21"/>
  <c r="C506" i="21"/>
  <c r="C507" i="21"/>
  <c r="C508" i="21"/>
  <c r="C509" i="21"/>
  <c r="C510" i="21"/>
  <c r="C511" i="21"/>
  <c r="C512" i="21"/>
  <c r="C513" i="21"/>
  <c r="C514" i="21"/>
  <c r="C515" i="21"/>
  <c r="C516" i="21"/>
  <c r="C517" i="21"/>
  <c r="C518" i="21"/>
  <c r="C519" i="21"/>
  <c r="C520" i="21"/>
  <c r="C521" i="21"/>
  <c r="C522" i="21"/>
  <c r="C523" i="21"/>
  <c r="C524" i="21"/>
  <c r="C525" i="21"/>
  <c r="C526" i="21"/>
  <c r="C527" i="21"/>
  <c r="C528" i="21"/>
  <c r="C529" i="21"/>
  <c r="C530" i="21"/>
  <c r="C531" i="21"/>
  <c r="C532" i="21"/>
  <c r="C533" i="21"/>
  <c r="C534" i="21"/>
  <c r="C535" i="21"/>
  <c r="C536" i="21"/>
  <c r="C537" i="21"/>
  <c r="C538" i="21"/>
  <c r="C539" i="21"/>
  <c r="C540" i="21"/>
  <c r="C541" i="21"/>
  <c r="C542" i="21"/>
  <c r="C543" i="21"/>
  <c r="C544" i="21"/>
  <c r="C545" i="21"/>
  <c r="C546" i="21"/>
  <c r="C547" i="21"/>
  <c r="C548" i="21"/>
  <c r="C549" i="21"/>
  <c r="C550" i="21"/>
  <c r="C551" i="21"/>
  <c r="C552" i="21"/>
  <c r="C553" i="21"/>
  <c r="C554" i="21"/>
  <c r="C555" i="21"/>
  <c r="C556" i="21"/>
  <c r="C557" i="21"/>
  <c r="C558" i="21"/>
  <c r="C559" i="21"/>
  <c r="C560" i="21"/>
  <c r="C561" i="21"/>
  <c r="C562" i="21"/>
  <c r="C563" i="21"/>
  <c r="C564" i="21"/>
  <c r="C565" i="21"/>
  <c r="C566" i="21"/>
  <c r="C567" i="21"/>
  <c r="C568" i="21"/>
  <c r="C569" i="21"/>
  <c r="C570" i="21"/>
  <c r="C571" i="21"/>
  <c r="C572" i="21"/>
  <c r="C573" i="21"/>
  <c r="C574" i="21"/>
  <c r="C575" i="21"/>
  <c r="C576" i="21"/>
  <c r="C577" i="21"/>
  <c r="C578" i="21"/>
  <c r="C579" i="21"/>
  <c r="C580" i="21"/>
  <c r="C581" i="21"/>
  <c r="C582" i="21"/>
  <c r="C583" i="21"/>
  <c r="C584" i="21"/>
  <c r="C585" i="21"/>
  <c r="C586" i="21"/>
  <c r="C587" i="21"/>
  <c r="C588" i="21"/>
  <c r="C589" i="21"/>
  <c r="C590" i="21"/>
  <c r="C591" i="21"/>
  <c r="C592" i="21"/>
  <c r="C593" i="21"/>
  <c r="C594" i="21"/>
  <c r="C595" i="21"/>
  <c r="C596" i="21"/>
  <c r="C597" i="21"/>
  <c r="C598" i="21"/>
  <c r="C599" i="21"/>
  <c r="C600" i="21"/>
  <c r="C601" i="21"/>
  <c r="C602" i="21"/>
  <c r="C603" i="21"/>
  <c r="C604" i="21"/>
  <c r="C605" i="21"/>
  <c r="C606" i="21"/>
  <c r="C607" i="21"/>
  <c r="C608" i="21"/>
  <c r="C609" i="21"/>
  <c r="C610" i="21"/>
  <c r="C611" i="21"/>
  <c r="C612" i="21"/>
  <c r="C613" i="21"/>
  <c r="C614" i="21"/>
  <c r="C615" i="21"/>
  <c r="C616" i="21"/>
  <c r="C617" i="21"/>
  <c r="C618" i="21"/>
  <c r="C619" i="21"/>
  <c r="C620" i="21"/>
  <c r="C621" i="21"/>
  <c r="C622" i="21"/>
  <c r="C623" i="21"/>
  <c r="C624" i="21"/>
  <c r="C625" i="21"/>
  <c r="C626" i="21"/>
  <c r="C627" i="21"/>
  <c r="C628" i="21"/>
  <c r="C629" i="21"/>
  <c r="C630" i="21"/>
  <c r="C631" i="21"/>
  <c r="C632" i="21"/>
  <c r="C633" i="21"/>
  <c r="C634" i="21"/>
  <c r="C635" i="21"/>
  <c r="C636" i="21"/>
  <c r="C637" i="21"/>
  <c r="C638" i="21"/>
  <c r="C639" i="21"/>
  <c r="C640" i="21"/>
  <c r="C641" i="21"/>
  <c r="C642" i="21"/>
  <c r="C643" i="21"/>
  <c r="C644" i="21"/>
  <c r="C645" i="21"/>
  <c r="C646" i="21"/>
  <c r="C647" i="21"/>
  <c r="C648" i="21"/>
  <c r="C649" i="21"/>
  <c r="C650" i="21"/>
  <c r="C651" i="21"/>
  <c r="C652" i="21"/>
  <c r="C653" i="21"/>
  <c r="C654" i="21"/>
  <c r="C655" i="21"/>
  <c r="C656" i="21"/>
  <c r="C657" i="21"/>
  <c r="C658" i="21"/>
  <c r="C659" i="21"/>
  <c r="C660" i="21"/>
  <c r="C661" i="21"/>
  <c r="C662" i="21"/>
  <c r="C663" i="21"/>
  <c r="C664" i="21"/>
  <c r="C665" i="21"/>
  <c r="C666" i="21"/>
  <c r="C667" i="21"/>
  <c r="C668" i="21"/>
  <c r="C669" i="21"/>
  <c r="C670" i="21"/>
  <c r="C671" i="21"/>
  <c r="C672" i="21"/>
  <c r="C673" i="21"/>
  <c r="C674" i="21"/>
  <c r="C675" i="21"/>
  <c r="C676" i="21"/>
  <c r="C677" i="21"/>
  <c r="C678" i="21"/>
  <c r="C679" i="21"/>
  <c r="C680" i="21"/>
  <c r="C681" i="21"/>
  <c r="C682" i="21"/>
  <c r="C683" i="21"/>
  <c r="C684" i="21"/>
  <c r="C685" i="21"/>
  <c r="C686" i="21"/>
  <c r="C687" i="21"/>
  <c r="C688" i="21"/>
  <c r="C689" i="21"/>
  <c r="C690" i="21"/>
  <c r="C691" i="21"/>
  <c r="C692" i="21"/>
  <c r="C693" i="21"/>
  <c r="C694" i="21"/>
  <c r="C695" i="21"/>
  <c r="C696" i="21"/>
  <c r="C697" i="21"/>
  <c r="C698" i="21"/>
  <c r="C699" i="21"/>
  <c r="C700" i="21"/>
  <c r="C701" i="21"/>
  <c r="C702" i="21"/>
  <c r="C703" i="21"/>
  <c r="C704" i="21"/>
  <c r="C705" i="21"/>
  <c r="C706" i="21"/>
  <c r="C707" i="21"/>
  <c r="C708" i="21"/>
  <c r="C709" i="21"/>
  <c r="C710" i="21"/>
  <c r="C711" i="21"/>
  <c r="C712" i="21"/>
  <c r="C713" i="21"/>
  <c r="C714" i="21"/>
  <c r="C715" i="21"/>
  <c r="C716" i="21"/>
  <c r="C717" i="21"/>
  <c r="C718" i="21"/>
  <c r="C719" i="21"/>
  <c r="C720" i="21"/>
  <c r="C721" i="21"/>
  <c r="C722" i="21"/>
  <c r="C723" i="21"/>
  <c r="C724" i="21"/>
  <c r="C725" i="21"/>
  <c r="C726" i="21"/>
  <c r="C727" i="21"/>
  <c r="C728" i="21"/>
  <c r="C729" i="21"/>
  <c r="C730" i="21"/>
  <c r="C731" i="21"/>
  <c r="C732" i="21"/>
  <c r="C733" i="21"/>
  <c r="C734" i="21"/>
  <c r="C735" i="21"/>
  <c r="C736" i="21"/>
  <c r="C737" i="21"/>
  <c r="C738" i="21"/>
  <c r="C739" i="21"/>
  <c r="C740" i="21"/>
  <c r="C741" i="21"/>
  <c r="C742" i="21"/>
  <c r="C743" i="21"/>
  <c r="C744" i="21"/>
  <c r="C745" i="21"/>
  <c r="C746" i="21"/>
  <c r="C747" i="21"/>
  <c r="C748" i="21"/>
  <c r="C749" i="21"/>
  <c r="C750" i="21"/>
  <c r="C751" i="21"/>
  <c r="C752" i="21"/>
  <c r="C753" i="21"/>
  <c r="C754" i="21"/>
  <c r="C755" i="21"/>
  <c r="C756" i="21"/>
  <c r="C757" i="21"/>
  <c r="C758" i="21"/>
  <c r="C759" i="21"/>
  <c r="C760" i="21"/>
  <c r="C761" i="21"/>
  <c r="C762" i="21"/>
  <c r="C763" i="21"/>
  <c r="C764" i="21"/>
  <c r="C765" i="21"/>
  <c r="C766" i="21"/>
  <c r="C767" i="21"/>
  <c r="C768" i="21"/>
  <c r="C769" i="21"/>
  <c r="C770" i="21"/>
  <c r="C771" i="21"/>
  <c r="C772" i="21"/>
  <c r="C773" i="21"/>
  <c r="C774" i="21"/>
  <c r="C775" i="21"/>
  <c r="C776" i="21"/>
  <c r="C777" i="21"/>
  <c r="C778" i="21"/>
  <c r="C779" i="21"/>
  <c r="C780" i="21"/>
  <c r="C781" i="21"/>
  <c r="C782" i="21"/>
  <c r="C783" i="21"/>
  <c r="C784" i="21"/>
  <c r="C785" i="21"/>
  <c r="C786" i="21"/>
  <c r="C787" i="21"/>
  <c r="C788" i="21"/>
  <c r="C789" i="21"/>
  <c r="C790" i="21"/>
  <c r="C791" i="21"/>
  <c r="C792" i="21"/>
  <c r="C793" i="21"/>
  <c r="C794" i="21"/>
  <c r="C795" i="21"/>
  <c r="C796" i="21"/>
  <c r="C797" i="21"/>
  <c r="C798" i="21"/>
  <c r="C799" i="21"/>
  <c r="C800" i="21"/>
  <c r="C801" i="21"/>
  <c r="C802" i="21"/>
  <c r="C803" i="21"/>
  <c r="C804" i="21"/>
  <c r="C805" i="21"/>
  <c r="C806" i="21"/>
  <c r="C807" i="21"/>
  <c r="C808" i="21"/>
  <c r="C809" i="21"/>
  <c r="C810" i="21"/>
  <c r="C811" i="21"/>
  <c r="C812" i="21"/>
  <c r="C813" i="21"/>
  <c r="C814" i="21"/>
  <c r="C815" i="21"/>
  <c r="C816" i="21"/>
  <c r="C817" i="21"/>
  <c r="C818" i="21"/>
  <c r="C819" i="21"/>
  <c r="C820" i="21"/>
  <c r="C821" i="21"/>
  <c r="C822" i="21"/>
  <c r="C823" i="21"/>
  <c r="C824" i="21"/>
  <c r="C825" i="21"/>
  <c r="C826" i="21"/>
  <c r="C827" i="21"/>
  <c r="C828" i="21"/>
  <c r="C829" i="21"/>
  <c r="C830" i="21"/>
  <c r="C831" i="21"/>
  <c r="C832" i="21"/>
  <c r="C833" i="21"/>
  <c r="C834" i="21"/>
  <c r="C835" i="21"/>
  <c r="C836" i="21"/>
  <c r="C837" i="21"/>
  <c r="C838" i="21"/>
  <c r="C839" i="21"/>
  <c r="C840" i="21"/>
  <c r="C841" i="21"/>
  <c r="C842" i="21"/>
  <c r="C843" i="21"/>
  <c r="C844" i="21"/>
  <c r="C845" i="21"/>
  <c r="C846" i="21"/>
  <c r="C847" i="21"/>
  <c r="C848" i="21"/>
  <c r="C849" i="21"/>
  <c r="C850" i="21"/>
  <c r="C851" i="21"/>
  <c r="C852" i="21"/>
  <c r="C853" i="21"/>
  <c r="C854" i="21"/>
  <c r="C855" i="21"/>
  <c r="C856" i="21"/>
  <c r="C857" i="21"/>
  <c r="C858" i="21"/>
  <c r="C859" i="21"/>
  <c r="C860" i="21"/>
  <c r="C861" i="21"/>
  <c r="C862" i="21"/>
  <c r="C863" i="21"/>
  <c r="C864" i="21"/>
  <c r="C865" i="21"/>
  <c r="C866" i="21"/>
  <c r="C867" i="21"/>
  <c r="C868" i="21"/>
  <c r="C869" i="21"/>
  <c r="C870" i="21"/>
  <c r="C871" i="21"/>
  <c r="C872" i="21"/>
  <c r="C873" i="21"/>
  <c r="C874" i="21"/>
  <c r="C875" i="21"/>
  <c r="C876" i="21"/>
  <c r="C877" i="21"/>
  <c r="C878" i="21"/>
  <c r="C879" i="21"/>
  <c r="C880" i="21"/>
  <c r="C881" i="21"/>
  <c r="C882" i="21"/>
  <c r="C883" i="21"/>
  <c r="C884" i="21"/>
  <c r="C885" i="21"/>
  <c r="C886" i="21"/>
  <c r="C887" i="21"/>
  <c r="C888" i="21"/>
  <c r="C889" i="21"/>
  <c r="C890" i="21"/>
  <c r="C891" i="21"/>
  <c r="C892" i="21"/>
  <c r="C893" i="21"/>
  <c r="C894" i="21"/>
  <c r="C895" i="21"/>
  <c r="C896" i="21"/>
  <c r="C897" i="21"/>
  <c r="C898" i="21"/>
  <c r="C899" i="21"/>
  <c r="C900" i="21"/>
  <c r="C901" i="21"/>
  <c r="C902" i="21"/>
  <c r="C903" i="21"/>
  <c r="C904" i="21"/>
  <c r="C905" i="21"/>
  <c r="C906" i="21"/>
  <c r="C907" i="21"/>
  <c r="C908" i="21"/>
  <c r="C909" i="21"/>
  <c r="C910" i="21"/>
  <c r="C911" i="21"/>
  <c r="C912" i="21"/>
  <c r="C913" i="21"/>
  <c r="C914" i="21"/>
  <c r="C915" i="21"/>
  <c r="C916" i="21"/>
  <c r="C917" i="21"/>
  <c r="C918" i="21"/>
  <c r="C919" i="21"/>
  <c r="C920" i="21"/>
  <c r="C921" i="21"/>
  <c r="C922" i="21"/>
  <c r="C923" i="21"/>
  <c r="C924" i="21"/>
  <c r="C925" i="21"/>
  <c r="C926" i="21"/>
  <c r="C927" i="21"/>
  <c r="C928" i="21"/>
  <c r="C929" i="21"/>
  <c r="C930" i="21"/>
  <c r="C931" i="21"/>
  <c r="C932" i="21"/>
  <c r="C933" i="21"/>
  <c r="C934" i="21"/>
  <c r="C935" i="21"/>
  <c r="C936" i="21"/>
  <c r="C937" i="21"/>
  <c r="C938" i="21"/>
  <c r="C939" i="21"/>
  <c r="C940" i="21"/>
  <c r="C941" i="21"/>
  <c r="C942" i="21"/>
  <c r="C943" i="21"/>
  <c r="C944" i="21"/>
  <c r="C945" i="21"/>
  <c r="C946" i="21"/>
  <c r="C947" i="21"/>
  <c r="C948" i="21"/>
  <c r="C949" i="21"/>
  <c r="C950" i="21"/>
  <c r="C951" i="21"/>
  <c r="C952" i="21"/>
  <c r="C953" i="21"/>
  <c r="C954" i="21"/>
  <c r="C955" i="21"/>
  <c r="C956" i="21"/>
  <c r="C957" i="21"/>
  <c r="C958" i="21"/>
  <c r="C959" i="21"/>
  <c r="C960" i="21"/>
  <c r="C961" i="21"/>
  <c r="C962" i="21"/>
  <c r="C963" i="21"/>
  <c r="C964" i="21"/>
  <c r="C965" i="21"/>
  <c r="C966" i="21"/>
  <c r="C967" i="21"/>
  <c r="C968" i="21"/>
  <c r="C969" i="21"/>
  <c r="C970" i="21"/>
  <c r="C971" i="21"/>
  <c r="C972" i="21"/>
  <c r="C973" i="21"/>
  <c r="C974" i="21"/>
  <c r="C975" i="21"/>
  <c r="C976" i="21"/>
  <c r="C977" i="21"/>
  <c r="C978" i="21"/>
  <c r="C979" i="21"/>
  <c r="C980" i="21"/>
  <c r="C981" i="21"/>
  <c r="C982" i="21"/>
  <c r="C983" i="21"/>
  <c r="C984" i="21"/>
  <c r="C985" i="21"/>
  <c r="C986" i="21"/>
  <c r="C987" i="21"/>
  <c r="C988" i="21"/>
  <c r="C989" i="21"/>
  <c r="C990" i="21"/>
  <c r="C991" i="21"/>
  <c r="C992" i="21"/>
  <c r="C993" i="21"/>
  <c r="C994" i="21"/>
  <c r="C995" i="21"/>
  <c r="C996" i="21"/>
  <c r="C997" i="21"/>
  <c r="C998" i="21"/>
  <c r="C999" i="21"/>
  <c r="C1000" i="21"/>
  <c r="C1001" i="21"/>
  <c r="C1002" i="21"/>
  <c r="C1003" i="21"/>
  <c r="C1004" i="21"/>
  <c r="C1005" i="21"/>
  <c r="C1006" i="21"/>
  <c r="C1007" i="21"/>
  <c r="C1008" i="21"/>
  <c r="C1009" i="21"/>
  <c r="C1010" i="21"/>
  <c r="C1011" i="21"/>
  <c r="C1012" i="21"/>
  <c r="C1013" i="21"/>
  <c r="C1014" i="21"/>
  <c r="C1015" i="21"/>
  <c r="C1016" i="21"/>
  <c r="C1017" i="21"/>
  <c r="C1018" i="21"/>
  <c r="C1019" i="21"/>
  <c r="C1020" i="21"/>
  <c r="C1021" i="21"/>
  <c r="C1022" i="21"/>
  <c r="C1023" i="21"/>
  <c r="C1024" i="21"/>
  <c r="C1025" i="21"/>
  <c r="C1026" i="21"/>
  <c r="C1027" i="21"/>
  <c r="C1028" i="21"/>
  <c r="C1029" i="21"/>
  <c r="C1030" i="21"/>
  <c r="C1031" i="21"/>
  <c r="C1032" i="21"/>
  <c r="C1033" i="21"/>
  <c r="C1034" i="21"/>
  <c r="C1035" i="21"/>
  <c r="C1036" i="21"/>
  <c r="C1037" i="21"/>
  <c r="C1038" i="21"/>
  <c r="C1039" i="21"/>
  <c r="C1040" i="21"/>
  <c r="C1041" i="21"/>
  <c r="C1042" i="21"/>
  <c r="C1043" i="21"/>
  <c r="C1044" i="21"/>
  <c r="C1045" i="21"/>
  <c r="C1046" i="21"/>
  <c r="C1047" i="21"/>
  <c r="C1048" i="21"/>
  <c r="C1049" i="21"/>
  <c r="C1050" i="21"/>
  <c r="C1051" i="21"/>
  <c r="C1052" i="21"/>
  <c r="C1053" i="21"/>
  <c r="C1054" i="21"/>
  <c r="C1055" i="21"/>
  <c r="C1056" i="21"/>
  <c r="C1057" i="21"/>
  <c r="C1058" i="21"/>
  <c r="C1059" i="21"/>
  <c r="C1060" i="21"/>
  <c r="C1061" i="21"/>
  <c r="C1062" i="21"/>
  <c r="C1063" i="21"/>
  <c r="C1064" i="21"/>
  <c r="C1065" i="21"/>
  <c r="C1066" i="21"/>
  <c r="C1067" i="21"/>
  <c r="C1068" i="21"/>
  <c r="C1069" i="21"/>
  <c r="C1070" i="21"/>
  <c r="C1071" i="21"/>
  <c r="C1072" i="21"/>
  <c r="C1073" i="21"/>
  <c r="C1074" i="21"/>
  <c r="C1075" i="21"/>
  <c r="C1076" i="21"/>
  <c r="C1077" i="21"/>
  <c r="C1078" i="21"/>
  <c r="C1079" i="21"/>
  <c r="C1080" i="21"/>
  <c r="C1081" i="21"/>
  <c r="C1082" i="21"/>
  <c r="C1083" i="21"/>
  <c r="C1084" i="21"/>
  <c r="C1085" i="21"/>
  <c r="C1086" i="21"/>
  <c r="C1087" i="21"/>
  <c r="C1088" i="21"/>
  <c r="C1089" i="21"/>
  <c r="C1090" i="21"/>
  <c r="C1091" i="21"/>
  <c r="C1092" i="21"/>
  <c r="C1093" i="21"/>
  <c r="C1094" i="21"/>
  <c r="C1095" i="21"/>
  <c r="C1096" i="21"/>
  <c r="C1097" i="21"/>
  <c r="C1098" i="21"/>
  <c r="C1099" i="21"/>
  <c r="C1100" i="21"/>
  <c r="C1101" i="21"/>
  <c r="C1102" i="21"/>
  <c r="C1103" i="21"/>
  <c r="C1104" i="21"/>
  <c r="C1105" i="21"/>
  <c r="C1106" i="21"/>
  <c r="C1107" i="21"/>
  <c r="C1108" i="21"/>
  <c r="C1109" i="21"/>
  <c r="C1110" i="21"/>
  <c r="C1111" i="21"/>
  <c r="C1112" i="21"/>
  <c r="C1113" i="21"/>
  <c r="C1114" i="21"/>
  <c r="C1115" i="21"/>
  <c r="C1116" i="21"/>
  <c r="C1117" i="21"/>
  <c r="C1118" i="21"/>
  <c r="C1119" i="21"/>
  <c r="C1120" i="21"/>
  <c r="C1121" i="21"/>
  <c r="C1122" i="21"/>
  <c r="C1123" i="21"/>
  <c r="C1124" i="21"/>
  <c r="C1125" i="21"/>
  <c r="C1126" i="21"/>
  <c r="C1127" i="21"/>
  <c r="C1128" i="21"/>
  <c r="C1129" i="21"/>
  <c r="C1130" i="21"/>
  <c r="C1131" i="21"/>
  <c r="C1132" i="21"/>
  <c r="C1133" i="21"/>
  <c r="C1134" i="21"/>
  <c r="C1135" i="21"/>
  <c r="C2" i="21"/>
  <c r="K33" i="8"/>
  <c r="BC47" i="8"/>
  <c r="BB50" i="8" s="1"/>
  <c r="BB47" i="8"/>
  <c r="K34" i="8"/>
  <c r="AE49" i="8"/>
  <c r="AF46" i="8"/>
  <c r="AE46" i="8"/>
  <c r="J34" i="8"/>
  <c r="J33" i="8"/>
  <c r="BF59" i="19"/>
  <c r="BF61" i="19" s="1"/>
  <c r="BE59" i="19"/>
  <c r="U59" i="19"/>
  <c r="V59" i="19" l="1"/>
  <c r="V61" i="19" l="1"/>
  <c r="M32" i="19" s="1"/>
  <c r="N31" i="19"/>
  <c r="M31" i="19"/>
  <c r="N30" i="19"/>
  <c r="M30" i="19"/>
  <c r="K5" i="17" l="1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" i="17"/>
  <c r="BD47" i="12"/>
  <c r="BC47" i="12"/>
  <c r="BD48" i="12" s="1"/>
  <c r="T47" i="12"/>
  <c r="T48" i="12" s="1"/>
  <c r="S47" i="12"/>
  <c r="L25" i="12" l="1"/>
  <c r="K25" i="12"/>
  <c r="L24" i="12"/>
  <c r="K24" i="12"/>
  <c r="AU4" i="10" l="1"/>
  <c r="AO4" i="10"/>
  <c r="W4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tc={EEE3746A-EB1D-41BB-BA91-937FD6378AB2}</author>
  </authors>
  <commentList>
    <comment ref="E2" authorId="0" shapeId="0" xr:uid="{EEE3746A-EB1D-41BB-BA91-937FD6378AB2}">
      <text>
        <t>[Threaded comment]
Your version of Excel allows you to read this threaded comment; however, any edits to it will get removed if the file is opened in a newer version of Excel. Learn more: https://go.microsoft.com/fwlink/?linkid=870924
Comment:
    Variety code number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tc={2C043CFE-CD68-4FDD-8459-9243C816AA8A}</author>
  </authors>
  <commentList>
    <comment ref="G1" authorId="0" shapeId="0" xr:uid="{2C043CFE-CD68-4FDD-8459-9243C816AA8A}">
      <text>
        <t>[Threaded comment]
Your version of Excel allows you to read this threaded comment; however, any edits to it will get removed if the file is opened in a newer version of Excel. Learn more: https://go.microsoft.com/fwlink/?linkid=870924
Comment:
    Variety code number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tc={762BA129-5092-4A9F-95E5-5CACFA6A915C}</author>
  </authors>
  <commentList>
    <comment ref="E1" authorId="0" shapeId="0" xr:uid="{762BA129-5092-4A9F-95E5-5CACFA6A915C}">
      <text>
        <t>[Threaded comment]
Your version of Excel allows you to read this threaded comment; however, any edits to it will get removed if the file is opened in a newer version of Excel. Learn more: https://go.microsoft.com/fwlink/?linkid=870924
Comment:
    Variety code number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tc={CD64D17C-C0DB-47A6-A78B-CB5FBF3C6655}</author>
  </authors>
  <commentList>
    <comment ref="E1" authorId="0" shapeId="0" xr:uid="{CD64D17C-C0DB-47A6-A78B-CB5FBF3C6655}">
      <text>
        <t>[Threaded comment]
Your version of Excel allows you to read this threaded comment; however, any edits to it will get removed if the file is opened in a newer version of Excel. Learn more: https://go.microsoft.com/fwlink/?linkid=870924
Comment:
    Variety code number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tc={22B8AB8A-C82D-4560-9739-5941C6E9D284}</author>
  </authors>
  <commentList>
    <comment ref="B15" authorId="0" shapeId="0" xr:uid="{22B8AB8A-C82D-4560-9739-5941C6E9D284}">
      <text>
        <t>[Threaded comment]
Your version of Excel allows you to read this threaded comment; however, any edits to it will get removed if the file is opened in a newer version of Excel. Learn more: https://go.microsoft.com/fwlink/?linkid=870924
Comment:
    To determine LSD</t>
      </text>
    </comment>
  </commentList>
</comments>
</file>

<file path=xl/sharedStrings.xml><?xml version="1.0" encoding="utf-8"?>
<sst xmlns="http://schemas.openxmlformats.org/spreadsheetml/2006/main" count="12014" uniqueCount="188">
  <si>
    <t>Loc</t>
  </si>
  <si>
    <t>REP</t>
  </si>
  <si>
    <t>ROW</t>
  </si>
  <si>
    <t>COL</t>
  </si>
  <si>
    <t>ENTRY</t>
  </si>
  <si>
    <t>TW</t>
  </si>
  <si>
    <t>YIELD</t>
  </si>
  <si>
    <t>Akron</t>
  </si>
  <si>
    <t>data oneyr;</t>
  </si>
  <si>
    <t>cards;</t>
  </si>
  <si>
    <t>Julesburg</t>
  </si>
  <si>
    <t>Orchard</t>
  </si>
  <si>
    <t>.</t>
  </si>
  <si>
    <t>Walsh</t>
  </si>
  <si>
    <t>;</t>
  </si>
  <si>
    <t>Year</t>
  </si>
  <si>
    <t>Region</t>
  </si>
  <si>
    <t>Test Weight</t>
  </si>
  <si>
    <t>Raw, plot-level yield data</t>
  </si>
  <si>
    <t>SE</t>
  </si>
  <si>
    <t>Row Labels</t>
  </si>
  <si>
    <t>Amplify SF</t>
  </si>
  <si>
    <t>AP Bigfoot</t>
  </si>
  <si>
    <t>AP Solid</t>
  </si>
  <si>
    <t>Avery</t>
  </si>
  <si>
    <t>Breck</t>
  </si>
  <si>
    <t>Byrd</t>
  </si>
  <si>
    <t>Byrd CL Plus</t>
  </si>
  <si>
    <t>Canvas</t>
  </si>
  <si>
    <t>CO18042RA</t>
  </si>
  <si>
    <t>CO19410R</t>
  </si>
  <si>
    <t>CO19D087R</t>
  </si>
  <si>
    <t>CO200037R</t>
  </si>
  <si>
    <t>CO20D108R</t>
  </si>
  <si>
    <t>CP7017AX</t>
  </si>
  <si>
    <t>Crescent AX</t>
  </si>
  <si>
    <t>Fortify SF</t>
  </si>
  <si>
    <t>Guardian</t>
  </si>
  <si>
    <t>Kivari AX</t>
  </si>
  <si>
    <t>KS Territory</t>
  </si>
  <si>
    <t>Langin</t>
  </si>
  <si>
    <t>Monarch</t>
  </si>
  <si>
    <t>Snowmass 2.0</t>
  </si>
  <si>
    <t>Valley</t>
  </si>
  <si>
    <t>Whistler</t>
  </si>
  <si>
    <t>Windom SF</t>
  </si>
  <si>
    <t>Effect</t>
  </si>
  <si>
    <t>entry</t>
  </si>
  <si>
    <t>Estimate</t>
  </si>
  <si>
    <t>Standard</t>
  </si>
  <si>
    <t>DF</t>
  </si>
  <si>
    <t>t Value</t>
  </si>
  <si>
    <t>Pr &gt; |t|</t>
  </si>
  <si>
    <t>Alpha</t>
  </si>
  <si>
    <t>Lower</t>
  </si>
  <si>
    <t>Upper</t>
  </si>
  <si>
    <t>Obs</t>
  </si>
  <si>
    <t>lsd</t>
  </si>
  <si>
    <t>StdErr</t>
  </si>
  <si>
    <t>Error</t>
  </si>
  <si>
    <t xml:space="preserve">proc mixed;                                                                                                                                   </t>
  </si>
  <si>
    <t xml:space="preserve">class loc rep entry;                                                                                                                              </t>
  </si>
  <si>
    <t xml:space="preserve">model yield=entry;                                                                                                                            </t>
  </si>
  <si>
    <t xml:space="preserve">random rep(loc) loc loc*entry;                                                                                                                                   </t>
  </si>
  <si>
    <t xml:space="preserve">run;  </t>
  </si>
  <si>
    <t>&lt;.0001</t>
  </si>
  <si>
    <t>Running same spatial model for all sites, comparing location as fixed vs random effect in model</t>
  </si>
  <si>
    <t>POWA with nugget is best when location is fixed.</t>
  </si>
  <si>
    <t>Present 1-year table with within location data and LSDs, then LS means across sites</t>
  </si>
  <si>
    <t>Location as fixed effect</t>
  </si>
  <si>
    <t>Location fixed and alpha 0.30</t>
  </si>
  <si>
    <t>location as random</t>
  </si>
  <si>
    <t>location as random and alpha 0.30</t>
  </si>
  <si>
    <t>location as random and alpha 0.05</t>
  </si>
  <si>
    <t>Comparison of entry rank, SE, and LSDs between location as fixed vs random or just go with random</t>
  </si>
  <si>
    <t>Would like to present data with location as random</t>
  </si>
  <si>
    <t>data site;</t>
  </si>
  <si>
    <t>input rep row col entry tw yield rowx;</t>
  </si>
  <si>
    <t xml:space="preserve">class rep entry;                                                                                                                              </t>
  </si>
  <si>
    <t xml:space="preserve">random rep;                                                                                                                                   </t>
  </si>
  <si>
    <t xml:space="preserve">repeated /subject=intercept type=sp(powa) (rowx col) local ;                                                                                        </t>
  </si>
  <si>
    <t>lsmeans entry/pdiff cl alpha=0.30;</t>
  </si>
  <si>
    <t xml:space="preserve">ods output diffs=diffs; </t>
  </si>
  <si>
    <t>set diffs;</t>
  </si>
  <si>
    <t>lsd=stderr*tinv (1-.3/2,df);</t>
  </si>
  <si>
    <t>run;</t>
  </si>
  <si>
    <t>proc print data=site;</t>
  </si>
  <si>
    <t>var lsd estimate stderr df;</t>
  </si>
  <si>
    <t xml:space="preserve">run;       </t>
  </si>
  <si>
    <t>AP Sunbird</t>
  </si>
  <si>
    <t>CO20022RC</t>
  </si>
  <si>
    <t>CO21SF263RA</t>
  </si>
  <si>
    <t>CO20SFD019R</t>
  </si>
  <si>
    <t>CO20SFD020R</t>
  </si>
  <si>
    <t>CO21SF191RA</t>
  </si>
  <si>
    <t>Fill</t>
  </si>
  <si>
    <t>Variety</t>
  </si>
  <si>
    <t>Lamar</t>
  </si>
  <si>
    <t>input loc $ rep row col entry tw yield;</t>
  </si>
  <si>
    <t>data se;</t>
  </si>
  <si>
    <t>proc print data=se;</t>
  </si>
  <si>
    <t xml:space="preserve">repeated /subject=loc type=sp(powa) (row col) ;                                                                                        </t>
  </si>
  <si>
    <t>Least Squares Means</t>
  </si>
  <si>
    <t>NHH19668</t>
  </si>
  <si>
    <t>yield</t>
  </si>
  <si>
    <t>tw</t>
  </si>
  <si>
    <t>Grand Total</t>
  </si>
  <si>
    <t>Average of ENTRY</t>
  </si>
  <si>
    <t>Use average of LS Means if not able to analyze across sites like 24 NE</t>
  </si>
  <si>
    <t>Remove vars not common to all sites within the year</t>
  </si>
  <si>
    <t>data all;</t>
  </si>
  <si>
    <t>proc print data=all;</t>
  </si>
  <si>
    <t>Yield</t>
  </si>
  <si>
    <t>TW .30</t>
  </si>
  <si>
    <t>location random</t>
  </si>
  <si>
    <t>Southeast</t>
  </si>
  <si>
    <t>Burlington</t>
  </si>
  <si>
    <t>CO21SFD0950R</t>
  </si>
  <si>
    <t>CO22SF047RA</t>
  </si>
  <si>
    <t>CO22SF039M</t>
  </si>
  <si>
    <t>CO20D036R</t>
  </si>
  <si>
    <t>AR Iron Eagle 22AX</t>
  </si>
  <si>
    <t>CO21SF226R</t>
  </si>
  <si>
    <t>CP7869</t>
  </si>
  <si>
    <t>AR Turret 25</t>
  </si>
  <si>
    <t>CP7909</t>
  </si>
  <si>
    <t>CO21D1790R</t>
  </si>
  <si>
    <t>KS Bill Snyder</t>
  </si>
  <si>
    <t>CO22SF003R</t>
  </si>
  <si>
    <t>Telluride</t>
  </si>
  <si>
    <t>Sheridan</t>
  </si>
  <si>
    <t>Protein</t>
  </si>
  <si>
    <t>SLake</t>
  </si>
  <si>
    <t xml:space="preserve"> LSD (.30):</t>
  </si>
  <si>
    <t xml:space="preserve">LSD (.05): </t>
  </si>
  <si>
    <t xml:space="preserve">CV: </t>
  </si>
  <si>
    <t>Model</t>
  </si>
  <si>
    <t>AICC</t>
  </si>
  <si>
    <t>BIC</t>
  </si>
  <si>
    <t>P-value</t>
  </si>
  <si>
    <t>exp</t>
  </si>
  <si>
    <t>ok</t>
  </si>
  <si>
    <t>expa</t>
  </si>
  <si>
    <t>pow</t>
  </si>
  <si>
    <t>powa</t>
  </si>
  <si>
    <t>Non-spatial</t>
  </si>
  <si>
    <t>.05 yield</t>
  </si>
  <si>
    <t>Average of Protein</t>
  </si>
  <si>
    <t>protein</t>
  </si>
  <si>
    <t>Northeast</t>
  </si>
  <si>
    <t>CO22SFD101R</t>
  </si>
  <si>
    <t>WB4444</t>
  </si>
  <si>
    <t>WB4733CLP</t>
  </si>
  <si>
    <t>KS Homesteader CL+</t>
  </si>
  <si>
    <t>MT WarCat</t>
  </si>
  <si>
    <t>Heading</t>
  </si>
  <si>
    <t>Genoa</t>
  </si>
  <si>
    <t>CO22SF008WC</t>
  </si>
  <si>
    <t>WSS</t>
  </si>
  <si>
    <t>New Raymer</t>
  </si>
  <si>
    <t>Yuma</t>
  </si>
  <si>
    <t>Roggen</t>
  </si>
  <si>
    <t>dm'output;clear;odsresults;clear;';</t>
  </si>
  <si>
    <t>ods exclude diffs;</t>
  </si>
  <si>
    <t xml:space="preserve">proc mixed method=reml plots=studentpanel;                                                                                                                                   </t>
  </si>
  <si>
    <t xml:space="preserve">model yield=entry/s residual;                                                                                                                            </t>
  </si>
  <si>
    <t xml:space="preserve">repeated /subject=loc  type=sp(expa)(row col) ;                                                                                        </t>
  </si>
  <si>
    <t>Observation</t>
  </si>
  <si>
    <t>Observed</t>
  </si>
  <si>
    <t>Predicted</t>
  </si>
  <si>
    <t>Residual</t>
  </si>
  <si>
    <t>data ne;</t>
  </si>
  <si>
    <t>proc print data=ne;</t>
  </si>
  <si>
    <t>Max of ENTRY</t>
  </si>
  <si>
    <t>Average of WSS</t>
  </si>
  <si>
    <t>pro</t>
  </si>
  <si>
    <t>head</t>
  </si>
  <si>
    <t>wss</t>
  </si>
  <si>
    <t>Count of Heading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</si>
  <si>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</si>
  <si>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(All)</t>
  </si>
  <si>
    <t>Count of YIELD</t>
  </si>
  <si>
    <t>site</t>
  </si>
  <si>
    <t>year</t>
  </si>
  <si>
    <t>env</t>
  </si>
  <si>
    <t>rep</t>
  </si>
  <si>
    <t>row</t>
  </si>
  <si>
    <t>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</si>
</sst>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22" x14ac:knownFonts="1">
    <font>
      <sz val="12"/>
      <color theme="1"/>
      <name val="Times New Roman"/>
      <family val="2"/>
    </font>
    <font>
      <sz val="10"/>
      <color indexed="72"/>
      <name val="Verdana"/>
      <family val="2"/>
    </font>
    <font>
      <b/>
      <sz val="10"/>
      <name val="Verdana"/>
      <family val="2"/>
    </font>
    <font>
      <sz val="8"/>
      <name val="Times New Roman"/>
      <family val="2"/>
    </font>
    <font>
      <b/>
      <sz val="12"/>
      <color theme="1"/>
      <name val="Times New Roman"/>
      <family val="1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theme="1"/>
      <name val="Times New Roman"/>
      <family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Times New Roman"/>
      <family val="2"/>
    </font>
    <font>
      <sz val="11"/>
      <name val="Arial"/>
      <family val="2"/>
    </font>
    <font>
      <sz val="12"/>
      <color theme="1"/>
      <name val="Calibri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C1C1C1"/>
      </top>
      <bottom/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 style="medium">
        <color rgb="FFC1C1C1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C1C1C1"/>
      </left>
      <right/>
      <top/>
      <bottom style="medium">
        <color rgb="FFC1C1C1"/>
      </bottom>
      <diagonal/>
    </border>
    <border>
      <left/>
      <right/>
      <top/>
      <bottom style="medium">
        <color rgb="FFC1C1C1"/>
      </bottom>
      <diagonal/>
    </border>
  </borders>
  <cellStyleXfs count="6">
    <xf numFmtId="0" fontId="0" fillId="0" borderId="0"/>
    <xf numFmtId="0" fontId="1" fillId="0" borderId="0"/>
    <xf numFmtId="0" fontId="8" fillId="0" borderId="0"/>
    <xf numFmtId="0" fontId="9" fillId="0" borderId="0"/>
    <xf numFmtId="9" fontId="9" fillId="0" borderId="0" applyFont="0" applyFill="0" applyBorder="0" applyAlignment="0" applyProtection="0"/>
    <xf numFmtId="0" fontId="21" fillId="0" borderId="0"/>
  </cellStyleXfs>
  <cellXfs count="69">
    <xf numFmtId="0" fontId="0" fillId="0" borderId="0" xfId="0"/>
    <xf numFmtId="0" fontId="2" fillId="0" borderId="0" xfId="1" applyFont="1" applyAlignment="1">
      <alignment horizontal="center" wrapText="1"/>
    </xf>
    <xf numFmtId="164" fontId="0" fillId="0" borderId="0" xfId="0" applyNumberFormat="1" applyAlignment="1">
      <alignment horizontal="center"/>
    </xf>
    <xf numFmtId="0" fontId="4" fillId="0" borderId="0" xfId="0" applyFont="1"/>
    <xf numFmtId="164" fontId="0" fillId="0" borderId="0" xfId="0" applyNumberFormat="1"/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2" fillId="0" borderId="0" xfId="1" applyFont="1" applyAlignment="1">
      <alignment horizontal="left"/>
    </xf>
    <xf numFmtId="0" fontId="7" fillId="0" borderId="0" xfId="0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2" xfId="0" applyFont="1" applyBorder="1" applyAlignment="1">
      <alignment vertical="top" wrapText="1"/>
    </xf>
    <xf numFmtId="0" fontId="6" fillId="0" borderId="0" xfId="0" applyFont="1" applyAlignment="1">
      <alignment vertical="top"/>
    </xf>
    <xf numFmtId="164" fontId="6" fillId="0" borderId="0" xfId="0" applyNumberFormat="1" applyFont="1" applyAlignment="1">
      <alignment vertical="top" wrapText="1"/>
    </xf>
    <xf numFmtId="0" fontId="5" fillId="0" borderId="3" xfId="0" applyFont="1" applyBorder="1" applyAlignment="1">
      <alignment horizontal="center" vertical="top"/>
    </xf>
    <xf numFmtId="0" fontId="0" fillId="2" borderId="0" xfId="0" applyFill="1"/>
    <xf numFmtId="164" fontId="4" fillId="0" borderId="0" xfId="0" applyNumberFormat="1" applyFont="1" applyAlignment="1">
      <alignment horizontal="center"/>
    </xf>
    <xf numFmtId="0" fontId="9" fillId="0" borderId="0" xfId="3"/>
    <xf numFmtId="0" fontId="0" fillId="3" borderId="0" xfId="0" applyFill="1"/>
    <xf numFmtId="0" fontId="0" fillId="0" borderId="0" xfId="0" pivotButton="1"/>
    <xf numFmtId="0" fontId="0" fillId="5" borderId="0" xfId="0" applyFill="1"/>
    <xf numFmtId="0" fontId="12" fillId="0" borderId="0" xfId="0" applyFont="1" applyAlignment="1">
      <alignment horizontal="center" vertical="top" wrapText="1"/>
    </xf>
    <xf numFmtId="0" fontId="13" fillId="0" borderId="0" xfId="0" applyFont="1" applyAlignment="1">
      <alignment vertical="top" wrapText="1"/>
    </xf>
    <xf numFmtId="0" fontId="14" fillId="4" borderId="4" xfId="0" applyFont="1" applyFill="1" applyBorder="1"/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5" fillId="0" borderId="0" xfId="0" applyFont="1"/>
    <xf numFmtId="0" fontId="1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6" fillId="0" borderId="5" xfId="3" applyFont="1" applyBorder="1"/>
    <xf numFmtId="0" fontId="17" fillId="0" borderId="5" xfId="3" applyFont="1" applyBorder="1"/>
    <xf numFmtId="164" fontId="16" fillId="0" borderId="5" xfId="3" applyNumberFormat="1" applyFont="1" applyBorder="1" applyAlignment="1">
      <alignment horizontal="center"/>
    </xf>
    <xf numFmtId="164" fontId="16" fillId="0" borderId="5" xfId="4" applyNumberFormat="1" applyFont="1" applyBorder="1" applyAlignment="1">
      <alignment horizontal="center"/>
    </xf>
    <xf numFmtId="0" fontId="16" fillId="0" borderId="6" xfId="3" applyFont="1" applyBorder="1" applyAlignment="1">
      <alignment horizontal="left" vertical="center"/>
    </xf>
    <xf numFmtId="0" fontId="16" fillId="0" borderId="7" xfId="3" applyFont="1" applyBorder="1" applyAlignment="1">
      <alignment vertical="center"/>
    </xf>
    <xf numFmtId="0" fontId="16" fillId="2" borderId="7" xfId="3" applyFont="1" applyFill="1" applyBorder="1" applyAlignment="1">
      <alignment vertical="center"/>
    </xf>
    <xf numFmtId="0" fontId="16" fillId="2" borderId="7" xfId="3" applyFont="1" applyFill="1" applyBorder="1"/>
    <xf numFmtId="0" fontId="16" fillId="0" borderId="8" xfId="3" applyFont="1" applyBorder="1" applyAlignment="1">
      <alignment horizontal="left" vertical="center"/>
    </xf>
    <xf numFmtId="0" fontId="13" fillId="0" borderId="0" xfId="3" applyFont="1"/>
    <xf numFmtId="0" fontId="16" fillId="0" borderId="0" xfId="3" applyFont="1" applyAlignment="1">
      <alignment horizontal="center"/>
    </xf>
    <xf numFmtId="0" fontId="16" fillId="6" borderId="8" xfId="3" applyFont="1" applyFill="1" applyBorder="1" applyAlignment="1">
      <alignment horizontal="left" vertical="center"/>
    </xf>
    <xf numFmtId="0" fontId="13" fillId="6" borderId="0" xfId="3" applyFont="1" applyFill="1"/>
    <xf numFmtId="164" fontId="16" fillId="6" borderId="0" xfId="3" applyNumberFormat="1" applyFont="1" applyFill="1" applyAlignment="1">
      <alignment horizontal="center"/>
    </xf>
    <xf numFmtId="0" fontId="18" fillId="0" borderId="8" xfId="3" applyFont="1" applyBorder="1" applyAlignment="1">
      <alignment horizontal="left" vertical="center"/>
    </xf>
    <xf numFmtId="0" fontId="19" fillId="0" borderId="0" xfId="3" applyFont="1"/>
    <xf numFmtId="0" fontId="16" fillId="0" borderId="8" xfId="3" applyFont="1" applyBorder="1" applyAlignment="1">
      <alignment horizontal="right" vertical="center"/>
    </xf>
    <xf numFmtId="0" fontId="20" fillId="0" borderId="0" xfId="3" applyFont="1"/>
    <xf numFmtId="164" fontId="16" fillId="0" borderId="0" xfId="3" applyNumberFormat="1" applyFont="1" applyAlignment="1">
      <alignment horizontal="center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/>
    </xf>
    <xf numFmtId="164" fontId="9" fillId="0" borderId="0" xfId="3" applyNumberFormat="1"/>
    <xf numFmtId="164" fontId="11" fillId="0" borderId="0" xfId="0" applyNumberFormat="1" applyFont="1" applyAlignment="1">
      <alignment horizontal="center"/>
    </xf>
    <xf numFmtId="0" fontId="0" fillId="0" borderId="0" xfId="0" applyAlignment="1">
      <alignment vertical="top"/>
    </xf>
    <xf numFmtId="2" fontId="11" fillId="0" borderId="0" xfId="0" applyNumberFormat="1" applyFont="1" applyAlignment="1">
      <alignment horizontal="center"/>
    </xf>
    <xf numFmtId="49" fontId="0" fillId="0" borderId="0" xfId="0" applyNumberFormat="1" applyAlignment="1">
      <alignment vertical="top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</cellXfs>
  <cellStyles count="6">
    <cellStyle name="Normal" xfId="0" builtinId="0"/>
    <cellStyle name="Normal 2" xfId="1" xr:uid="{76D0A9A2-7F0A-4C0E-9280-B0A1B3F3FB73}"/>
    <cellStyle name="Normal 2 2 2 2" xfId="5" xr:uid="{E83665C9-15D7-4D62-A256-C2B996ECADC2}"/>
    <cellStyle name="Normal 3" xfId="2" xr:uid="{DBDDAC8E-C1C5-4886-882C-A93CB1F16CEE}"/>
    <cellStyle name="Normal 5" xfId="3" xr:uid="{E168E3E4-CC7C-44F8-900E-E1EC858B1532}"/>
    <cellStyle name="Percent 2" xfId="4" xr:uid="{B68EDF4F-CCEE-4990-A5A2-BC97790823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nes-Diamond,Sally" id="{F5FB25C9-D1C5-48EB-BF4E-A636A007044A}" userId="S::jone9763@colostate.edu::55242728-7c1f-4dc9-9e74-8b170f74321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es-Diamond,Sally" refreshedDate="45849.483067245368" createdVersion="8" refreshedVersion="8" minRefreshableVersion="3" recordCount="510" xr:uid="{36ACE775-B1C7-4ADE-A50F-4B5819720BAE}">
  <cacheSource type="worksheet">
    <worksheetSource ref="A1:N511" sheet="2025 sites raw"/>
  </cacheSource>
  <cacheFields count="12">
    <cacheField name="Year" numFmtId="0">
      <sharedItems containsSemiMixedTypes="0" containsString="0" containsNumber="1" containsInteger="1" minValue="2025" maxValue="2025"/>
    </cacheField>
    <cacheField name="Region" numFmtId="0">
      <sharedItems count="1">
        <s v="Southeast"/>
      </sharedItems>
    </cacheField>
    <cacheField name="Loc" numFmtId="0">
      <sharedItems/>
    </cacheField>
    <cacheField name="REP" numFmtId="0">
      <sharedItems containsSemiMixedTypes="0" containsString="0" containsNumber="1" containsInteger="1" minValue="1" maxValue="3"/>
    </cacheField>
    <cacheField name="ROW" numFmtId="0">
      <sharedItems containsSemiMixedTypes="0" containsString="0" containsNumber="1" containsInteger="1" minValue="1" maxValue="21"/>
    </cacheField>
    <cacheField name="COL" numFmtId="0">
      <sharedItems containsSemiMixedTypes="0" containsString="0" containsNumber="1" containsInteger="1" minValue="1" maxValue="12"/>
    </cacheField>
    <cacheField name="ENTRY" numFmtId="0">
      <sharedItems containsSemiMixedTypes="0" containsString="0" containsNumber="1" containsInteger="1" minValue="0" maxValue="100"/>
    </cacheField>
    <cacheField name="Variety" numFmtId="0">
      <sharedItems count="43">
        <s v="Snowmass 2.0"/>
        <s v="CO21SF191RA"/>
        <s v="CO20022RC"/>
        <s v="Monarch"/>
        <s v="CO21SFD0950R"/>
        <s v="CO19410R"/>
        <s v="Fortify SF"/>
        <s v="CO19D087R"/>
        <s v="CO18042RA"/>
        <s v="CO22SF047RA"/>
        <s v="CO22SF039M"/>
        <s v="Whistler"/>
        <s v="CO20D036R"/>
        <s v="AR Iron Eagle 22AX"/>
        <s v="Amplify SF"/>
        <s v="CO21SF263RA"/>
        <s v="CO21SF226R"/>
        <s v="CP7869"/>
        <s v="Avery"/>
        <s v="Fill"/>
        <s v="AR Turret 25"/>
        <s v="KS Territory"/>
        <s v="CP7909"/>
        <s v="CO21D1790R"/>
        <s v="Breck"/>
        <s v="KS Bill Snyder"/>
        <s v="Byrd"/>
        <s v="Byrd CL Plus"/>
        <s v="CO22SF003R"/>
        <s v="Langin"/>
        <s v="Telluride"/>
        <s v="AP Sunbird"/>
        <s v="CO20D108R"/>
        <s v="Canvas"/>
        <s v="Sheridan"/>
        <s v="Guardian"/>
        <s v="Windom SF"/>
        <s v="Kivari AX"/>
        <s v="CO20SFD020R"/>
        <s v="Crescent AX"/>
        <s v="CO200037R"/>
        <s v="CO20SFD019R"/>
        <s v="CP7017AX"/>
      </sharedItems>
    </cacheField>
    <cacheField name="Test Weight" numFmtId="0">
      <sharedItems containsMixedTypes="1" containsNumber="1" minValue="51.1" maxValue="64.5"/>
    </cacheField>
    <cacheField name="YIELD" numFmtId="0">
      <sharedItems containsMixedTypes="1" containsNumber="1" minValue="36.18369937046004" maxValue="91.037609193209988"/>
    </cacheField>
    <cacheField name="Protein" numFmtId="0">
      <sharedItems containsBlank="1" containsMixedTypes="1" containsNumber="1" minValue="8.3000000000000007" maxValue="16.600000000000001"/>
    </cacheField>
    <cacheField name="Raw, plot-level yield dat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es-Diamond,Sally" refreshedDate="45863.641103703703" createdVersion="8" refreshedVersion="8" minRefreshableVersion="3" recordCount="1602" xr:uid="{4F6BDE15-B63B-443C-9073-9896810E7B04}">
  <cacheSource type="worksheet">
    <worksheetSource ref="A1:M1603" sheet="2025 sites raw"/>
  </cacheSource>
  <cacheFields count="13">
    <cacheField name="Year" numFmtId="0">
      <sharedItems containsSemiMixedTypes="0" containsString="0" containsNumber="1" containsInteger="1" minValue="2025" maxValue="2025"/>
    </cacheField>
    <cacheField name="Region" numFmtId="0">
      <sharedItems count="2">
        <s v="Southeast"/>
        <s v="Northeast"/>
      </sharedItems>
    </cacheField>
    <cacheField name="Loc" numFmtId="0">
      <sharedItems/>
    </cacheField>
    <cacheField name="REP" numFmtId="0">
      <sharedItems containsSemiMixedTypes="0" containsString="0" containsNumber="1" containsInteger="1" minValue="1" maxValue="3"/>
    </cacheField>
    <cacheField name="ROW" numFmtId="0">
      <sharedItems containsSemiMixedTypes="0" containsString="0" containsNumber="1" containsInteger="1" minValue="1" maxValue="26"/>
    </cacheField>
    <cacheField name="COL" numFmtId="0">
      <sharedItems containsSemiMixedTypes="0" containsString="0" containsNumber="1" containsInteger="1" minValue="1" maxValue="12"/>
    </cacheField>
    <cacheField name="ENTRY" numFmtId="0">
      <sharedItems containsSemiMixedTypes="0" containsString="0" containsNumber="1" containsInteger="1" minValue="0" maxValue="100"/>
    </cacheField>
    <cacheField name="Variety" numFmtId="0">
      <sharedItems count="54">
        <s v="Snowmass 2.0"/>
        <s v="CO21SF191RA"/>
        <s v="CO20022RC"/>
        <s v="Monarch"/>
        <s v="CO21SFD0950R"/>
        <s v="CO19410R"/>
        <s v="Fortify SF"/>
        <s v="CO19D087R"/>
        <s v="CO18042RA"/>
        <s v="CO22SF047RA"/>
        <s v="CO22SF039M"/>
        <s v="Whistler"/>
        <s v="CO20D036R"/>
        <s v="AR Iron Eagle 22AX"/>
        <s v="Amplify SF"/>
        <s v="CO21SF263RA"/>
        <s v="CO21SF226R"/>
        <s v="CP7869"/>
        <s v="Avery"/>
        <s v="Fill"/>
        <s v="AR Turret 25"/>
        <s v="KS Territory"/>
        <s v="CP7909"/>
        <s v="CO21D1790R"/>
        <s v="Breck"/>
        <s v="KS Bill Snyder"/>
        <s v="Byrd"/>
        <s v="Byrd CL Plus"/>
        <s v="CO22SF003R"/>
        <s v="Langin"/>
        <s v="Telluride"/>
        <s v="AP Sunbird"/>
        <s v="CO20D108R"/>
        <s v="Canvas"/>
        <s v="Sheridan"/>
        <s v="Guardian"/>
        <s v="Windom SF"/>
        <s v="Kivari AX"/>
        <s v="CO20SFD020R"/>
        <s v="Crescent AX"/>
        <s v="CO200037R"/>
        <s v="CO20SFD019R"/>
        <s v="CP7017AX"/>
        <s v="AP Solid"/>
        <s v="CO22SFD101R"/>
        <s v="Valley"/>
        <s v="AP Bigfoot"/>
        <s v="WB4444"/>
        <s v="WB4733CLP"/>
        <s v="CO22SF008WC"/>
        <s v="KS Homesteader CL+"/>
        <s v="NHH19668"/>
        <s v="MT WarCat"/>
        <s v="C022SF008WC" u="1"/>
      </sharedItems>
    </cacheField>
    <cacheField name="Test Weight" numFmtId="0">
      <sharedItems containsBlank="1" containsMixedTypes="1" containsNumber="1" minValue="43" maxValue="64.5"/>
    </cacheField>
    <cacheField name="YIELD" numFmtId="0">
      <sharedItems containsBlank="1" containsMixedTypes="1" containsNumber="1" minValue="10.007436750998666" maxValue="106.11577882960412"/>
    </cacheField>
    <cacheField name="Protein" numFmtId="0">
      <sharedItems containsBlank="1" containsMixedTypes="1" containsNumber="1" minValue="8.3000000000000007" maxValue="19"/>
    </cacheField>
    <cacheField name="Heading" numFmtId="0">
      <sharedItems containsString="0" containsBlank="1" containsNumber="1" containsInteger="1" minValue="-3" maxValue="10"/>
    </cacheField>
    <cacheField name="WSS" numFmtId="0">
      <sharedItems containsBlank="1" containsMixedTypes="1" containsNumber="1" containsInteger="1" minValue="0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es-Diamond,Sally" refreshedDate="45868.375576041668" createdVersion="8" refreshedVersion="8" minRefreshableVersion="3" recordCount="1602" xr:uid="{DEA786FE-7BDF-4A69-B33D-46C1BF57CF48}">
  <cacheSource type="worksheet">
    <worksheetSource ref="A1:N1603" sheet="2025 sites raw"/>
  </cacheSource>
  <cacheFields count="14">
    <cacheField name="Year" numFmtId="0">
      <sharedItems containsSemiMixedTypes="0" containsString="0" containsNumber="1" containsInteger="1" minValue="2025" maxValue="2025"/>
    </cacheField>
    <cacheField name="Region" numFmtId="0">
      <sharedItems/>
    </cacheField>
    <cacheField name="Loc" numFmtId="0">
      <sharedItems count="11">
        <s v="Burlington"/>
        <s v="Lamar"/>
        <s v="SLake"/>
        <s v="Walsh"/>
        <s v="Akron"/>
        <s v="Genoa"/>
        <s v="Julesburg"/>
        <s v="New Raymer"/>
        <s v="Orchard"/>
        <s v="Yuma"/>
        <s v="Roggen"/>
      </sharedItems>
    </cacheField>
    <cacheField name="REP" numFmtId="0">
      <sharedItems containsSemiMixedTypes="0" containsString="0" containsNumber="1" containsInteger="1" minValue="1" maxValue="3"/>
    </cacheField>
    <cacheField name="ROW" numFmtId="0">
      <sharedItems containsMixedTypes="1" containsNumber="1" containsInteger="1" minValue="1" maxValue="26" longText="1"/>
    </cacheField>
    <cacheField name="COL" numFmtId="0">
      <sharedItems containsSemiMixedTypes="0" containsString="0" containsNumber="1" containsInteger="1" minValue="1" maxValue="12"/>
    </cacheField>
    <cacheField name="ENTRY" numFmtId="0">
      <sharedItems containsSemiMixedTypes="0" containsString="0" containsNumber="1" containsInteger="1" minValue="0" maxValue="100"/>
    </cacheField>
    <cacheField name="Variety" numFmtId="0">
      <sharedItems count="53">
        <s v="Snowmass 2.0"/>
        <s v="CO21SF191RA"/>
        <s v="CO20022RC"/>
        <s v="Monarch"/>
        <s v="CO21SFD0950R"/>
        <s v="CO19410R"/>
        <s v="Fortify SF"/>
        <s v="CO19D087R"/>
        <s v="CO18042RA"/>
        <s v="CO22SF047RA"/>
        <s v="CO22SF039M"/>
        <s v="Whistler"/>
        <s v="CO20D036R"/>
        <s v="AR Iron Eagle 22AX"/>
        <s v="Amplify SF"/>
        <s v="CO21SF263RA"/>
        <s v="CO21SF226R"/>
        <s v="CP7869"/>
        <s v="Avery"/>
        <s v="Fill"/>
        <s v="AR Turret 25"/>
        <s v="KS Territory"/>
        <s v="CP7909"/>
        <s v="CO21D1790R"/>
        <s v="Breck"/>
        <s v="KS Bill Snyder"/>
        <s v="Byrd"/>
        <s v="Byrd CL Plus"/>
        <s v="CO22SF003R"/>
        <s v="Langin"/>
        <s v="Telluride"/>
        <s v="AP Sunbird"/>
        <s v="CO20D108R"/>
        <s v="Canvas"/>
        <s v="Sheridan"/>
        <s v="Guardian"/>
        <s v="Windom SF"/>
        <s v="Kivari AX"/>
        <s v="CO20SFD020R"/>
        <s v="Crescent AX"/>
        <s v="CO200037R"/>
        <s v="CO20SFD019R"/>
        <s v="CP7017AX"/>
        <s v="AP Solid"/>
        <s v="CO22SFD101R"/>
        <s v="Valley"/>
        <s v="AP Bigfoot"/>
        <s v="WB4444"/>
        <s v="WB4733CLP"/>
        <s v="CO22SF008WC"/>
        <s v="KS Homesteader CL+"/>
        <s v="NHH19668"/>
        <s v="MT WarCat"/>
      </sharedItems>
    </cacheField>
    <cacheField name="Test Weight" numFmtId="0">
      <sharedItems containsBlank="1" containsMixedTypes="1" containsNumber="1" minValue="43" maxValue="64.5"/>
    </cacheField>
    <cacheField name="YIELD" numFmtId="0">
      <sharedItems containsBlank="1" containsMixedTypes="1" containsNumber="1" minValue="10.007436750998666" maxValue="106.11577882960412"/>
    </cacheField>
    <cacheField name="Protein" numFmtId="0">
      <sharedItems containsBlank="1" containsMixedTypes="1" containsNumber="1" minValue="8.3000000000000007" maxValue="19"/>
    </cacheField>
    <cacheField name="Heading" numFmtId="0">
      <sharedItems containsString="0" containsBlank="1" containsNumber="1" containsInteger="1" minValue="-3" maxValue="10"/>
    </cacheField>
    <cacheField name="WSS" numFmtId="0">
      <sharedItems containsBlank="1" containsMixedTypes="1" containsNumber="1" containsInteger="1" minValue="0" maxValue="7"/>
    </cacheField>
    <cacheField name="Raw, plot-level yield dat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0">
  <r>
    <n v="2025"/>
    <x v="0"/>
    <s v="Burlington"/>
    <n v="1"/>
    <n v="1"/>
    <n v="1"/>
    <n v="34"/>
    <x v="0"/>
    <n v="57.4"/>
    <n v="55.987333365617431"/>
    <n v="14.9"/>
    <m/>
  </r>
  <r>
    <n v="2025"/>
    <x v="0"/>
    <s v="Burlington"/>
    <n v="1"/>
    <n v="2"/>
    <n v="1"/>
    <n v="9"/>
    <x v="1"/>
    <n v="53.2"/>
    <n v="44.851985956416463"/>
    <n v="16.600000000000001"/>
    <m/>
  </r>
  <r>
    <n v="2025"/>
    <x v="0"/>
    <s v="Burlington"/>
    <n v="1"/>
    <n v="3"/>
    <n v="1"/>
    <n v="11"/>
    <x v="2"/>
    <n v="57.9"/>
    <n v="66.940348184019371"/>
    <n v="14.5"/>
    <m/>
  </r>
  <r>
    <n v="2025"/>
    <x v="0"/>
    <s v="Burlington"/>
    <n v="1"/>
    <n v="4"/>
    <n v="1"/>
    <n v="33"/>
    <x v="3"/>
    <n v="57.3"/>
    <n v="62.267811864406781"/>
    <n v="14.5"/>
    <m/>
  </r>
  <r>
    <n v="2025"/>
    <x v="0"/>
    <s v="Burlington"/>
    <n v="1"/>
    <n v="5"/>
    <n v="1"/>
    <n v="4"/>
    <x v="4"/>
    <n v="54.1"/>
    <n v="49.276667506053265"/>
    <n v="15.3"/>
    <m/>
  </r>
  <r>
    <n v="2025"/>
    <x v="0"/>
    <s v="Burlington"/>
    <n v="1"/>
    <n v="6"/>
    <n v="1"/>
    <n v="14"/>
    <x v="5"/>
    <n v="57.6"/>
    <n v="76.380489588377714"/>
    <n v="14.4"/>
    <m/>
  </r>
  <r>
    <n v="2025"/>
    <x v="0"/>
    <s v="Burlington"/>
    <n v="1"/>
    <n v="7"/>
    <n v="1"/>
    <n v="31"/>
    <x v="6"/>
    <n v="57.2"/>
    <n v="60.873412445520586"/>
    <n v="14.2"/>
    <m/>
  </r>
  <r>
    <n v="2025"/>
    <x v="0"/>
    <s v="Burlington"/>
    <n v="1"/>
    <n v="8"/>
    <n v="1"/>
    <n v="15"/>
    <x v="7"/>
    <n v="56.3"/>
    <n v="53.440669830508476"/>
    <n v="13.9"/>
    <m/>
  </r>
  <r>
    <n v="2025"/>
    <x v="0"/>
    <s v="Burlington"/>
    <n v="1"/>
    <n v="9"/>
    <n v="1"/>
    <n v="18"/>
    <x v="8"/>
    <n v="56.1"/>
    <n v="57.232048619854723"/>
    <n v="13.3"/>
    <m/>
  </r>
  <r>
    <n v="2025"/>
    <x v="0"/>
    <s v="Burlington"/>
    <n v="1"/>
    <n v="10"/>
    <n v="1"/>
    <n v="8"/>
    <x v="9"/>
    <n v="56.6"/>
    <n v="61.575075544794188"/>
    <n v="13.9"/>
    <m/>
  </r>
  <r>
    <n v="2025"/>
    <x v="0"/>
    <s v="Burlington"/>
    <n v="1"/>
    <n v="11"/>
    <n v="1"/>
    <n v="6"/>
    <x v="10"/>
    <n v="56.6"/>
    <n v="50.398919999999997"/>
    <n v="15.6"/>
    <m/>
  </r>
  <r>
    <n v="2025"/>
    <x v="0"/>
    <s v="Burlington"/>
    <n v="1"/>
    <n v="11"/>
    <n v="2"/>
    <n v="26"/>
    <x v="11"/>
    <n v="56.6"/>
    <n v="66.763506857142843"/>
    <n v="14.5"/>
    <m/>
  </r>
  <r>
    <n v="2025"/>
    <x v="0"/>
    <s v="Burlington"/>
    <n v="1"/>
    <n v="10"/>
    <n v="2"/>
    <n v="1"/>
    <x v="12"/>
    <n v="56.1"/>
    <n v="64.18601357142856"/>
    <n v="13.7"/>
    <m/>
  </r>
  <r>
    <n v="2025"/>
    <x v="0"/>
    <s v="Burlington"/>
    <n v="1"/>
    <n v="9"/>
    <n v="2"/>
    <n v="40"/>
    <x v="13"/>
    <n v="58.9"/>
    <n v="58.878203999999997"/>
    <n v="13.7"/>
    <m/>
  </r>
  <r>
    <n v="2025"/>
    <x v="0"/>
    <s v="Burlington"/>
    <n v="1"/>
    <n v="8"/>
    <n v="2"/>
    <n v="30"/>
    <x v="14"/>
    <n v="55.9"/>
    <n v="46.95786857142857"/>
    <n v="14.1"/>
    <m/>
  </r>
  <r>
    <n v="2025"/>
    <x v="0"/>
    <s v="Burlington"/>
    <n v="1"/>
    <n v="7"/>
    <n v="2"/>
    <n v="10"/>
    <x v="15"/>
    <n v="52.4"/>
    <n v="47.099165142857132"/>
    <n v="16.100000000000001"/>
    <m/>
  </r>
  <r>
    <n v="2025"/>
    <x v="0"/>
    <s v="Burlington"/>
    <n v="1"/>
    <n v="6"/>
    <n v="2"/>
    <n v="3"/>
    <x v="16"/>
    <n v="59.4"/>
    <n v="52.902035999999974"/>
    <n v="14.1"/>
    <m/>
  </r>
  <r>
    <n v="2025"/>
    <x v="0"/>
    <s v="Burlington"/>
    <n v="1"/>
    <n v="5"/>
    <n v="2"/>
    <n v="44"/>
    <x v="17"/>
    <n v="55.5"/>
    <n v="41.854767428571421"/>
    <n v="15.1"/>
    <m/>
  </r>
  <r>
    <n v="2025"/>
    <x v="0"/>
    <s v="Burlington"/>
    <n v="1"/>
    <n v="4"/>
    <n v="2"/>
    <n v="20"/>
    <x v="18"/>
    <n v="57.3"/>
    <n v="69.06050485714286"/>
    <n v="13.9"/>
    <m/>
  </r>
  <r>
    <n v="2025"/>
    <x v="0"/>
    <s v="Burlington"/>
    <n v="1"/>
    <n v="3"/>
    <n v="2"/>
    <n v="0"/>
    <x v="19"/>
    <n v="56.2"/>
    <n v="44.290422"/>
    <n v="14"/>
    <m/>
  </r>
  <r>
    <n v="2025"/>
    <x v="0"/>
    <s v="Burlington"/>
    <n v="1"/>
    <n v="2"/>
    <n v="2"/>
    <n v="41"/>
    <x v="20"/>
    <n v="57.4"/>
    <n v="43.247980285714277"/>
    <n v="15"/>
    <m/>
  </r>
  <r>
    <n v="2025"/>
    <x v="0"/>
    <s v="Burlington"/>
    <n v="1"/>
    <n v="1"/>
    <n v="2"/>
    <n v="45"/>
    <x v="21"/>
    <n v="57.8"/>
    <n v="60.46163828571428"/>
    <n v="14.3"/>
    <m/>
  </r>
  <r>
    <n v="2025"/>
    <x v="0"/>
    <s v="Burlington"/>
    <n v="1"/>
    <n v="1"/>
    <n v="3"/>
    <n v="43"/>
    <x v="22"/>
    <n v="56.9"/>
    <n v="36.18369937046004"/>
    <n v="14.8"/>
    <m/>
  </r>
  <r>
    <n v="2025"/>
    <x v="0"/>
    <s v="Burlington"/>
    <n v="1"/>
    <n v="2"/>
    <n v="3"/>
    <n v="2"/>
    <x v="23"/>
    <n v="57.8"/>
    <n v="67.386351573849879"/>
    <n v="13.6"/>
    <m/>
  </r>
  <r>
    <n v="2025"/>
    <x v="0"/>
    <s v="Burlington"/>
    <n v="1"/>
    <n v="3"/>
    <n v="3"/>
    <n v="32"/>
    <x v="24"/>
    <n v="59.9"/>
    <n v="70.182495108958832"/>
    <n v="14.7"/>
    <m/>
  </r>
  <r>
    <n v="2025"/>
    <x v="0"/>
    <s v="Burlington"/>
    <n v="1"/>
    <n v="4"/>
    <n v="3"/>
    <n v="46"/>
    <x v="25"/>
    <n v="58"/>
    <n v="65.078639999999993"/>
    <n v="14.2"/>
    <m/>
  </r>
  <r>
    <n v="2025"/>
    <x v="0"/>
    <s v="Burlington"/>
    <n v="1"/>
    <n v="5"/>
    <n v="3"/>
    <n v="21"/>
    <x v="26"/>
    <n v="56.3"/>
    <n v="64.672361259079892"/>
    <n v="13.6"/>
    <m/>
  </r>
  <r>
    <n v="2025"/>
    <x v="0"/>
    <s v="Burlington"/>
    <n v="1"/>
    <n v="6"/>
    <n v="3"/>
    <n v="29"/>
    <x v="27"/>
    <n v="55.9"/>
    <n v="63.548449975786916"/>
    <n v="14.3"/>
    <m/>
  </r>
  <r>
    <n v="2025"/>
    <x v="0"/>
    <s v="Burlington"/>
    <n v="1"/>
    <n v="7"/>
    <n v="3"/>
    <n v="5"/>
    <x v="28"/>
    <n v="56.4"/>
    <n v="54.414973656174332"/>
    <n v="14.5"/>
    <m/>
  </r>
  <r>
    <n v="2025"/>
    <x v="0"/>
    <s v="Burlington"/>
    <n v="1"/>
    <n v="8"/>
    <n v="3"/>
    <n v="24"/>
    <x v="29"/>
    <n v="56.9"/>
    <n v="61.309328861985477"/>
    <n v="13.7"/>
    <m/>
  </r>
  <r>
    <n v="2025"/>
    <x v="0"/>
    <s v="Burlington"/>
    <n v="1"/>
    <n v="9"/>
    <n v="3"/>
    <n v="35"/>
    <x v="30"/>
    <n v="57.6"/>
    <n v="69.413991428571435"/>
    <n v="14.5"/>
    <m/>
  </r>
  <r>
    <n v="2025"/>
    <x v="0"/>
    <s v="Burlington"/>
    <n v="1"/>
    <n v="10"/>
    <n v="3"/>
    <n v="37"/>
    <x v="31"/>
    <n v="59.3"/>
    <n v="71.537903389830518"/>
    <n v="13.7"/>
    <m/>
  </r>
  <r>
    <n v="2025"/>
    <x v="0"/>
    <s v="Burlington"/>
    <n v="1"/>
    <n v="11"/>
    <n v="3"/>
    <n v="17"/>
    <x v="32"/>
    <n v="55.6"/>
    <n v="75.272039564164672"/>
    <n v="14.1"/>
    <m/>
  </r>
  <r>
    <n v="2025"/>
    <x v="0"/>
    <s v="Burlington"/>
    <n v="1"/>
    <n v="11"/>
    <n v="4"/>
    <n v="22"/>
    <x v="33"/>
    <n v="58.1"/>
    <n v="64.528196213425119"/>
    <n v="14.9"/>
    <m/>
  </r>
  <r>
    <n v="2025"/>
    <x v="0"/>
    <s v="Burlington"/>
    <n v="1"/>
    <n v="10"/>
    <n v="4"/>
    <n v="25"/>
    <x v="34"/>
    <n v="57.2"/>
    <n v="58.780753012048194"/>
    <n v="14.4"/>
    <m/>
  </r>
  <r>
    <n v="2025"/>
    <x v="0"/>
    <s v="Burlington"/>
    <n v="1"/>
    <n v="9"/>
    <n v="4"/>
    <n v="100"/>
    <x v="19"/>
    <n v="56"/>
    <n v="46.333192771084342"/>
    <n v="14.8"/>
    <m/>
  </r>
  <r>
    <n v="2025"/>
    <x v="0"/>
    <s v="Burlington"/>
    <n v="1"/>
    <n v="8"/>
    <n v="4"/>
    <n v="23"/>
    <x v="35"/>
    <n v="56.9"/>
    <n v="53.134046901893278"/>
    <n v="15.6"/>
    <m/>
  </r>
  <r>
    <n v="2025"/>
    <x v="0"/>
    <s v="Burlington"/>
    <n v="1"/>
    <n v="7"/>
    <n v="4"/>
    <n v="36"/>
    <x v="36"/>
    <n v="57"/>
    <n v="53.901893287435449"/>
    <n v="15.2"/>
    <m/>
  </r>
  <r>
    <n v="2025"/>
    <x v="0"/>
    <s v="Burlington"/>
    <n v="1"/>
    <n v="6"/>
    <n v="4"/>
    <n v="28"/>
    <x v="37"/>
    <n v="55.1"/>
    <n v="54.963582616178996"/>
    <n v="14"/>
    <m/>
  </r>
  <r>
    <n v="2025"/>
    <x v="0"/>
    <s v="Burlington"/>
    <n v="1"/>
    <n v="5"/>
    <n v="4"/>
    <n v="13"/>
    <x v="38"/>
    <n v="56.1"/>
    <n v="61.831416523235788"/>
    <n v="14.5"/>
    <m/>
  </r>
  <r>
    <n v="2025"/>
    <x v="0"/>
    <s v="Burlington"/>
    <n v="1"/>
    <n v="4"/>
    <n v="4"/>
    <n v="27"/>
    <x v="39"/>
    <n v="56.4"/>
    <n v="68.484087779690185"/>
    <n v="14.1"/>
    <m/>
  </r>
  <r>
    <n v="2025"/>
    <x v="0"/>
    <s v="Burlington"/>
    <n v="1"/>
    <n v="3"/>
    <n v="4"/>
    <n v="16"/>
    <x v="40"/>
    <n v="59.4"/>
    <n v="67.523623063683303"/>
    <n v="14.2"/>
    <m/>
  </r>
  <r>
    <n v="2025"/>
    <x v="0"/>
    <s v="Burlington"/>
    <n v="1"/>
    <n v="2"/>
    <n v="4"/>
    <n v="12"/>
    <x v="41"/>
    <n v="56.9"/>
    <n v="55.833955249569698"/>
    <n v="15.5"/>
    <m/>
  </r>
  <r>
    <n v="2025"/>
    <x v="0"/>
    <s v="Burlington"/>
    <n v="1"/>
    <n v="1"/>
    <n v="4"/>
    <n v="42"/>
    <x v="42"/>
    <n v="58.3"/>
    <n v="62.616771084337344"/>
    <n v="14.7"/>
    <m/>
  </r>
  <r>
    <n v="2025"/>
    <x v="0"/>
    <s v="Burlington"/>
    <n v="2"/>
    <n v="1"/>
    <n v="5"/>
    <n v="11"/>
    <x v="2"/>
    <n v="60.2"/>
    <n v="69.302820998278833"/>
    <m/>
    <m/>
  </r>
  <r>
    <n v="2025"/>
    <x v="0"/>
    <s v="Burlington"/>
    <n v="2"/>
    <n v="2"/>
    <n v="5"/>
    <n v="13"/>
    <x v="38"/>
    <n v="56.4"/>
    <n v="57.612963855421675"/>
    <m/>
    <m/>
  </r>
  <r>
    <n v="2025"/>
    <x v="0"/>
    <s v="Burlington"/>
    <n v="2"/>
    <n v="3"/>
    <n v="5"/>
    <n v="20"/>
    <x v="18"/>
    <n v="56.9"/>
    <n v="67.075907917383816"/>
    <m/>
    <m/>
  </r>
  <r>
    <n v="2025"/>
    <x v="0"/>
    <s v="Burlington"/>
    <n v="2"/>
    <n v="4"/>
    <n v="5"/>
    <n v="1"/>
    <x v="12"/>
    <n v="56.8"/>
    <n v="68.136537005163504"/>
    <m/>
    <m/>
  </r>
  <r>
    <n v="2025"/>
    <x v="0"/>
    <s v="Burlington"/>
    <n v="2"/>
    <n v="5"/>
    <n v="5"/>
    <n v="46"/>
    <x v="25"/>
    <n v="57.1"/>
    <n v="58.319879518072291"/>
    <m/>
    <m/>
  </r>
  <r>
    <n v="2025"/>
    <x v="0"/>
    <s v="Burlington"/>
    <n v="2"/>
    <n v="6"/>
    <n v="5"/>
    <n v="100"/>
    <x v="19"/>
    <n v="56.6"/>
    <n v="50.36559681583477"/>
    <m/>
    <m/>
  </r>
  <r>
    <n v="2025"/>
    <x v="0"/>
    <s v="Burlington"/>
    <n v="2"/>
    <n v="7"/>
    <n v="5"/>
    <n v="24"/>
    <x v="29"/>
    <n v="56.6"/>
    <n v="64.908860585197928"/>
    <m/>
    <m/>
  </r>
  <r>
    <n v="2025"/>
    <x v="0"/>
    <s v="Burlington"/>
    <n v="2"/>
    <n v="8"/>
    <n v="5"/>
    <n v="36"/>
    <x v="36"/>
    <n v="58.4"/>
    <n v="48.218320137693624"/>
    <m/>
    <m/>
  </r>
  <r>
    <n v="2025"/>
    <x v="0"/>
    <s v="Burlington"/>
    <n v="2"/>
    <n v="9"/>
    <n v="5"/>
    <n v="42"/>
    <x v="42"/>
    <s v="."/>
    <s v="."/>
    <m/>
    <m/>
  </r>
  <r>
    <n v="2025"/>
    <x v="0"/>
    <s v="Burlington"/>
    <n v="2"/>
    <n v="10"/>
    <n v="5"/>
    <n v="6"/>
    <x v="10"/>
    <n v="54.1"/>
    <n v="46.49379087779689"/>
    <m/>
    <m/>
  </r>
  <r>
    <n v="2025"/>
    <x v="0"/>
    <s v="Burlington"/>
    <n v="2"/>
    <n v="11"/>
    <n v="5"/>
    <n v="3"/>
    <x v="16"/>
    <n v="56.9"/>
    <n v="58.005219879518073"/>
    <m/>
    <m/>
  </r>
  <r>
    <n v="2025"/>
    <x v="0"/>
    <s v="Burlington"/>
    <n v="2"/>
    <n v="11"/>
    <n v="6"/>
    <n v="15"/>
    <x v="7"/>
    <n v="54.2"/>
    <n v="71.941911784068466"/>
    <m/>
    <m/>
  </r>
  <r>
    <n v="2025"/>
    <x v="0"/>
    <s v="Burlington"/>
    <n v="2"/>
    <n v="10"/>
    <n v="6"/>
    <n v="4"/>
    <x v="4"/>
    <n v="54.3"/>
    <n v="54.581103075331519"/>
    <m/>
    <m/>
  </r>
  <r>
    <n v="2025"/>
    <x v="0"/>
    <s v="Burlington"/>
    <n v="2"/>
    <n v="9"/>
    <n v="6"/>
    <n v="25"/>
    <x v="34"/>
    <s v="."/>
    <s v="."/>
    <m/>
    <m/>
  </r>
  <r>
    <n v="2025"/>
    <x v="0"/>
    <s v="Burlington"/>
    <n v="2"/>
    <n v="8"/>
    <n v="6"/>
    <n v="44"/>
    <x v="17"/>
    <n v="55.8"/>
    <n v="45.479978980532309"/>
    <m/>
    <m/>
  </r>
  <r>
    <n v="2025"/>
    <x v="0"/>
    <s v="Burlington"/>
    <n v="2"/>
    <n v="7"/>
    <n v="6"/>
    <n v="17"/>
    <x v="32"/>
    <n v="57.6"/>
    <n v="72.768957020596261"/>
    <m/>
    <m/>
  </r>
  <r>
    <n v="2025"/>
    <x v="0"/>
    <s v="Burlington"/>
    <n v="2"/>
    <n v="6"/>
    <n v="6"/>
    <n v="2"/>
    <x v="23"/>
    <n v="57.1"/>
    <n v="61.840057180475874"/>
    <m/>
    <m/>
  </r>
  <r>
    <n v="2025"/>
    <x v="0"/>
    <s v="Burlington"/>
    <n v="2"/>
    <n v="5"/>
    <n v="6"/>
    <n v="31"/>
    <x v="6"/>
    <n v="56.6"/>
    <n v="62.56386142198815"/>
    <m/>
    <m/>
  </r>
  <r>
    <n v="2025"/>
    <x v="0"/>
    <s v="Burlington"/>
    <n v="2"/>
    <n v="4"/>
    <n v="6"/>
    <n v="37"/>
    <x v="31"/>
    <n v="57.6"/>
    <n v="66.970581115395476"/>
    <m/>
    <m/>
  </r>
  <r>
    <n v="2025"/>
    <x v="0"/>
    <s v="Burlington"/>
    <n v="2"/>
    <n v="3"/>
    <n v="6"/>
    <n v="21"/>
    <x v="26"/>
    <n v="57.3"/>
    <n v="66.354263519232575"/>
    <m/>
    <m/>
  </r>
  <r>
    <n v="2025"/>
    <x v="0"/>
    <s v="Burlington"/>
    <n v="2"/>
    <n v="2"/>
    <n v="6"/>
    <n v="5"/>
    <x v="28"/>
    <n v="56.3"/>
    <n v="54.993648076742211"/>
    <m/>
    <m/>
  </r>
  <r>
    <n v="2025"/>
    <x v="0"/>
    <s v="Burlington"/>
    <n v="2"/>
    <n v="1"/>
    <n v="6"/>
    <n v="23"/>
    <x v="35"/>
    <n v="58"/>
    <n v="57.240276779836357"/>
    <m/>
    <m/>
  </r>
  <r>
    <n v="2025"/>
    <x v="0"/>
    <s v="Burlington"/>
    <n v="2"/>
    <n v="1"/>
    <n v="7"/>
    <n v="32"/>
    <x v="24"/>
    <n v="59.4"/>
    <n v="71.241509281133972"/>
    <m/>
    <m/>
  </r>
  <r>
    <n v="2025"/>
    <x v="0"/>
    <s v="Burlington"/>
    <n v="2"/>
    <n v="2"/>
    <n v="7"/>
    <n v="16"/>
    <x v="40"/>
    <n v="60"/>
    <n v="69.779835687768198"/>
    <m/>
    <m/>
  </r>
  <r>
    <n v="2025"/>
    <x v="0"/>
    <s v="Burlington"/>
    <n v="2"/>
    <n v="3"/>
    <n v="7"/>
    <n v="0"/>
    <x v="19"/>
    <n v="57.3"/>
    <n v="53.458744660334595"/>
    <m/>
    <m/>
  </r>
  <r>
    <n v="2025"/>
    <x v="0"/>
    <s v="Burlington"/>
    <n v="2"/>
    <n v="4"/>
    <n v="7"/>
    <n v="34"/>
    <x v="0"/>
    <n v="57.5"/>
    <n v="68.57744462658502"/>
    <m/>
    <m/>
  </r>
  <r>
    <n v="2025"/>
    <x v="0"/>
    <s v="Burlington"/>
    <n v="2"/>
    <n v="5"/>
    <n v="7"/>
    <n v="8"/>
    <x v="9"/>
    <n v="55.9"/>
    <n v="71.209185478038648"/>
    <m/>
    <m/>
  </r>
  <r>
    <n v="2025"/>
    <x v="0"/>
    <s v="Burlington"/>
    <n v="2"/>
    <n v="6"/>
    <n v="7"/>
    <n v="27"/>
    <x v="39"/>
    <n v="56.5"/>
    <n v="75.621933513331101"/>
    <m/>
    <m/>
  </r>
  <r>
    <n v="2025"/>
    <x v="0"/>
    <s v="Burlington"/>
    <n v="2"/>
    <n v="7"/>
    <n v="7"/>
    <n v="12"/>
    <x v="41"/>
    <n v="56.4"/>
    <n v="63.734826286099995"/>
    <m/>
    <m/>
  </r>
  <r>
    <n v="2025"/>
    <x v="0"/>
    <s v="Burlington"/>
    <n v="2"/>
    <n v="8"/>
    <n v="7"/>
    <n v="10"/>
    <x v="15"/>
    <n v="52.6"/>
    <n v="47.086673930861572"/>
    <m/>
    <m/>
  </r>
  <r>
    <n v="2025"/>
    <x v="0"/>
    <s v="Burlington"/>
    <n v="2"/>
    <n v="9"/>
    <n v="7"/>
    <n v="14"/>
    <x v="5"/>
    <n v="58.4"/>
    <n v="77.003045802998898"/>
    <m/>
    <m/>
  </r>
  <r>
    <n v="2025"/>
    <x v="0"/>
    <s v="Burlington"/>
    <n v="2"/>
    <n v="10"/>
    <n v="7"/>
    <n v="28"/>
    <x v="37"/>
    <n v="55.5"/>
    <n v="58.476480497565205"/>
    <m/>
    <m/>
  </r>
  <r>
    <n v="2025"/>
    <x v="0"/>
    <s v="Burlington"/>
    <n v="2"/>
    <n v="11"/>
    <n v="7"/>
    <n v="30"/>
    <x v="14"/>
    <n v="55.9"/>
    <n v="52.34300544814618"/>
    <m/>
    <m/>
  </r>
  <r>
    <n v="2025"/>
    <x v="0"/>
    <s v="Burlington"/>
    <n v="2"/>
    <n v="11"/>
    <n v="8"/>
    <n v="43"/>
    <x v="22"/>
    <n v="54.8"/>
    <n v="49.793762478485363"/>
    <m/>
    <m/>
  </r>
  <r>
    <n v="2025"/>
    <x v="0"/>
    <s v="Burlington"/>
    <n v="2"/>
    <n v="10"/>
    <n v="8"/>
    <n v="45"/>
    <x v="21"/>
    <n v="57.1"/>
    <n v="68.511540447504302"/>
    <m/>
    <m/>
  </r>
  <r>
    <n v="2025"/>
    <x v="0"/>
    <s v="Burlington"/>
    <n v="2"/>
    <n v="9"/>
    <n v="8"/>
    <n v="22"/>
    <x v="33"/>
    <n v="58.8"/>
    <n v="66.667653614457848"/>
    <m/>
    <m/>
  </r>
  <r>
    <n v="2025"/>
    <x v="0"/>
    <s v="Burlington"/>
    <n v="2"/>
    <n v="8"/>
    <n v="8"/>
    <n v="40"/>
    <x v="13"/>
    <n v="59"/>
    <n v="67.309728915662632"/>
    <m/>
    <m/>
  </r>
  <r>
    <n v="2025"/>
    <x v="0"/>
    <s v="Burlington"/>
    <n v="2"/>
    <n v="7"/>
    <n v="8"/>
    <n v="29"/>
    <x v="27"/>
    <n v="55.9"/>
    <n v="65.814107573149727"/>
    <m/>
    <m/>
  </r>
  <r>
    <n v="2025"/>
    <x v="0"/>
    <s v="Burlington"/>
    <n v="2"/>
    <n v="6"/>
    <n v="8"/>
    <n v="26"/>
    <x v="11"/>
    <n v="57.6"/>
    <n v="76.278610154905337"/>
    <m/>
    <m/>
  </r>
  <r>
    <n v="2025"/>
    <x v="0"/>
    <s v="Burlington"/>
    <n v="2"/>
    <n v="5"/>
    <n v="8"/>
    <n v="35"/>
    <x v="30"/>
    <n v="57.5"/>
    <n v="71.763204819277107"/>
    <m/>
    <m/>
  </r>
  <r>
    <n v="2025"/>
    <x v="0"/>
    <s v="Burlington"/>
    <n v="2"/>
    <n v="4"/>
    <n v="8"/>
    <n v="9"/>
    <x v="1"/>
    <n v="55.6"/>
    <n v="53.053946643717723"/>
    <m/>
    <m/>
  </r>
  <r>
    <n v="2025"/>
    <x v="0"/>
    <s v="Burlington"/>
    <n v="2"/>
    <n v="3"/>
    <n v="8"/>
    <n v="18"/>
    <x v="8"/>
    <n v="56.3"/>
    <n v="52.453376936316687"/>
    <m/>
    <m/>
  </r>
  <r>
    <n v="2025"/>
    <x v="0"/>
    <s v="Burlington"/>
    <n v="2"/>
    <n v="2"/>
    <n v="8"/>
    <n v="33"/>
    <x v="3"/>
    <n v="59"/>
    <n v="68.295114027538716"/>
    <m/>
    <m/>
  </r>
  <r>
    <n v="2025"/>
    <x v="0"/>
    <s v="Burlington"/>
    <n v="2"/>
    <n v="1"/>
    <n v="8"/>
    <n v="41"/>
    <x v="20"/>
    <n v="57.9"/>
    <n v="50.878005593803785"/>
    <m/>
    <m/>
  </r>
  <r>
    <n v="2025"/>
    <x v="0"/>
    <s v="Burlington"/>
    <n v="3"/>
    <n v="1"/>
    <n v="9"/>
    <n v="20"/>
    <x v="18"/>
    <n v="58.4"/>
    <n v="74.933181620943998"/>
    <m/>
    <m/>
  </r>
  <r>
    <n v="2025"/>
    <x v="0"/>
    <s v="Burlington"/>
    <n v="3"/>
    <n v="2"/>
    <n v="9"/>
    <n v="0"/>
    <x v="19"/>
    <n v="58.1"/>
    <n v="52.25982368256112"/>
    <m/>
    <m/>
  </r>
  <r>
    <n v="2025"/>
    <x v="0"/>
    <s v="Burlington"/>
    <n v="3"/>
    <n v="3"/>
    <n v="9"/>
    <n v="12"/>
    <x v="41"/>
    <n v="57.9"/>
    <n v="60.601212091991712"/>
    <m/>
    <m/>
  </r>
  <r>
    <n v="2025"/>
    <x v="0"/>
    <s v="Burlington"/>
    <n v="3"/>
    <n v="4"/>
    <n v="9"/>
    <n v="23"/>
    <x v="35"/>
    <n v="58.8"/>
    <n v="63.904626488597465"/>
    <m/>
    <m/>
  </r>
  <r>
    <n v="2025"/>
    <x v="0"/>
    <s v="Burlington"/>
    <n v="3"/>
    <n v="5"/>
    <n v="9"/>
    <n v="41"/>
    <x v="20"/>
    <n v="57"/>
    <n v="55.026993250084374"/>
    <m/>
    <m/>
  </r>
  <r>
    <n v="2025"/>
    <x v="0"/>
    <s v="Burlington"/>
    <n v="3"/>
    <n v="6"/>
    <n v="9"/>
    <n v="22"/>
    <x v="33"/>
    <n v="59.3"/>
    <n v="69.433581505231189"/>
    <m/>
    <m/>
  </r>
  <r>
    <n v="2025"/>
    <x v="0"/>
    <s v="Burlington"/>
    <n v="3"/>
    <n v="7"/>
    <n v="9"/>
    <n v="26"/>
    <x v="11"/>
    <n v="56.5"/>
    <n v="75.948832553878788"/>
    <m/>
    <m/>
  </r>
  <r>
    <n v="2025"/>
    <x v="0"/>
    <s v="Burlington"/>
    <n v="3"/>
    <n v="8"/>
    <n v="9"/>
    <n v="45"/>
    <x v="21"/>
    <n v="58.1"/>
    <n v="66.224618292271344"/>
    <m/>
    <m/>
  </r>
  <r>
    <n v="2025"/>
    <x v="0"/>
    <s v="Burlington"/>
    <n v="3"/>
    <n v="9"/>
    <n v="9"/>
    <n v="37"/>
    <x v="31"/>
    <n v="58.3"/>
    <n v="72.153640036642386"/>
    <m/>
    <m/>
  </r>
  <r>
    <n v="2025"/>
    <x v="0"/>
    <s v="Burlington"/>
    <n v="3"/>
    <n v="10"/>
    <n v="9"/>
    <n v="27"/>
    <x v="39"/>
    <n v="56.6"/>
    <n v="75.868872667663069"/>
    <m/>
    <m/>
  </r>
  <r>
    <n v="2025"/>
    <x v="0"/>
    <s v="Burlington"/>
    <n v="3"/>
    <n v="11"/>
    <n v="9"/>
    <n v="11"/>
    <x v="2"/>
    <n v="59.2"/>
    <n v="74.131124584156993"/>
    <m/>
    <m/>
  </r>
  <r>
    <n v="2025"/>
    <x v="0"/>
    <s v="Burlington"/>
    <n v="3"/>
    <n v="11"/>
    <n v="10"/>
    <n v="16"/>
    <x v="40"/>
    <n v="59.5"/>
    <n v="77.991520192076806"/>
    <m/>
    <m/>
  </r>
  <r>
    <n v="2025"/>
    <x v="0"/>
    <s v="Burlington"/>
    <n v="3"/>
    <n v="10"/>
    <n v="10"/>
    <n v="31"/>
    <x v="6"/>
    <n v="55.6"/>
    <n v="68.827462184873951"/>
    <m/>
    <m/>
  </r>
  <r>
    <n v="2025"/>
    <x v="0"/>
    <s v="Burlington"/>
    <n v="3"/>
    <n v="9"/>
    <n v="10"/>
    <n v="10"/>
    <x v="15"/>
    <n v="51.1"/>
    <n v="47.059907899159661"/>
    <m/>
    <m/>
  </r>
  <r>
    <n v="2025"/>
    <x v="0"/>
    <s v="Burlington"/>
    <n v="3"/>
    <n v="8"/>
    <n v="10"/>
    <n v="21"/>
    <x v="26"/>
    <n v="56.5"/>
    <n v="70.464838991596636"/>
    <m/>
    <m/>
  </r>
  <r>
    <n v="2025"/>
    <x v="0"/>
    <s v="Burlington"/>
    <n v="3"/>
    <n v="7"/>
    <n v="10"/>
    <n v="43"/>
    <x v="22"/>
    <n v="55.7"/>
    <n v="49.311555342136849"/>
    <m/>
    <m/>
  </r>
  <r>
    <n v="2025"/>
    <x v="0"/>
    <s v="Burlington"/>
    <n v="3"/>
    <n v="6"/>
    <n v="10"/>
    <n v="40"/>
    <x v="13"/>
    <n v="58.5"/>
    <n v="70.20858468187275"/>
    <m/>
    <m/>
  </r>
  <r>
    <n v="2025"/>
    <x v="0"/>
    <s v="Burlington"/>
    <n v="3"/>
    <n v="5"/>
    <n v="10"/>
    <n v="24"/>
    <x v="29"/>
    <n v="56.3"/>
    <n v="70.372499207683077"/>
    <m/>
    <m/>
  </r>
  <r>
    <n v="2025"/>
    <x v="0"/>
    <s v="Burlington"/>
    <n v="3"/>
    <n v="4"/>
    <n v="10"/>
    <n v="44"/>
    <x v="17"/>
    <n v="57.3"/>
    <n v="51.976896806722685"/>
    <m/>
    <m/>
  </r>
  <r>
    <n v="2025"/>
    <x v="0"/>
    <s v="Burlington"/>
    <n v="3"/>
    <n v="3"/>
    <n v="10"/>
    <n v="28"/>
    <x v="37"/>
    <n v="55.8"/>
    <n v="59.626095558223284"/>
    <m/>
    <m/>
  </r>
  <r>
    <n v="2025"/>
    <x v="0"/>
    <s v="Burlington"/>
    <n v="3"/>
    <n v="2"/>
    <n v="10"/>
    <n v="25"/>
    <x v="34"/>
    <n v="58.3"/>
    <n v="63.337585354141659"/>
    <m/>
    <m/>
  </r>
  <r>
    <n v="2025"/>
    <x v="0"/>
    <s v="Burlington"/>
    <n v="3"/>
    <n v="1"/>
    <n v="10"/>
    <n v="1"/>
    <x v="12"/>
    <n v="57.4"/>
    <n v="72.197407923169251"/>
    <m/>
    <m/>
  </r>
  <r>
    <n v="2025"/>
    <x v="0"/>
    <s v="Burlington"/>
    <n v="3"/>
    <n v="1"/>
    <n v="11"/>
    <n v="46"/>
    <x v="25"/>
    <n v="58.8"/>
    <n v="70.120709999999988"/>
    <m/>
    <m/>
  </r>
  <r>
    <n v="2025"/>
    <x v="0"/>
    <s v="Burlington"/>
    <n v="3"/>
    <n v="2"/>
    <n v="11"/>
    <n v="42"/>
    <x v="42"/>
    <n v="60.3"/>
    <n v="67.393095000000002"/>
    <m/>
    <m/>
  </r>
  <r>
    <n v="2025"/>
    <x v="0"/>
    <s v="Burlington"/>
    <n v="3"/>
    <n v="3"/>
    <n v="11"/>
    <n v="8"/>
    <x v="9"/>
    <n v="56.2"/>
    <n v="63.804250714285708"/>
    <m/>
    <m/>
  </r>
  <r>
    <n v="2025"/>
    <x v="0"/>
    <s v="Burlington"/>
    <n v="3"/>
    <n v="4"/>
    <n v="11"/>
    <n v="14"/>
    <x v="5"/>
    <n v="58.4"/>
    <n v="79.82629285714286"/>
    <m/>
    <m/>
  </r>
  <r>
    <n v="2025"/>
    <x v="0"/>
    <s v="Burlington"/>
    <n v="3"/>
    <n v="5"/>
    <n v="11"/>
    <n v="33"/>
    <x v="3"/>
    <n v="58"/>
    <n v="70.251286285714286"/>
    <m/>
    <m/>
  </r>
  <r>
    <n v="2025"/>
    <x v="0"/>
    <s v="Burlington"/>
    <n v="3"/>
    <n v="6"/>
    <n v="11"/>
    <n v="34"/>
    <x v="0"/>
    <n v="58.4"/>
    <n v="73.293660000000017"/>
    <m/>
    <m/>
  </r>
  <r>
    <n v="2025"/>
    <x v="0"/>
    <s v="Burlington"/>
    <n v="3"/>
    <n v="7"/>
    <n v="11"/>
    <n v="32"/>
    <x v="24"/>
    <n v="59.2"/>
    <n v="73.198110857142851"/>
    <m/>
    <m/>
  </r>
  <r>
    <n v="2025"/>
    <x v="0"/>
    <s v="Burlington"/>
    <n v="3"/>
    <n v="8"/>
    <n v="11"/>
    <n v="6"/>
    <x v="10"/>
    <n v="57"/>
    <n v="56.270279999999993"/>
    <m/>
    <m/>
  </r>
  <r>
    <n v="2025"/>
    <x v="0"/>
    <s v="Burlington"/>
    <n v="3"/>
    <n v="9"/>
    <n v="11"/>
    <n v="2"/>
    <x v="23"/>
    <n v="56.3"/>
    <n v="66.217328571428567"/>
    <m/>
    <m/>
  </r>
  <r>
    <n v="2025"/>
    <x v="0"/>
    <s v="Burlington"/>
    <n v="3"/>
    <n v="10"/>
    <n v="11"/>
    <n v="3"/>
    <x v="16"/>
    <n v="57.2"/>
    <n v="65.072063571428558"/>
    <m/>
    <m/>
  </r>
  <r>
    <n v="2025"/>
    <x v="0"/>
    <s v="Burlington"/>
    <n v="3"/>
    <n v="11"/>
    <n v="11"/>
    <n v="100"/>
    <x v="19"/>
    <n v="56.6"/>
    <n v="57.919653000000011"/>
    <m/>
    <m/>
  </r>
  <r>
    <n v="2025"/>
    <x v="0"/>
    <s v="Burlington"/>
    <n v="3"/>
    <n v="11"/>
    <n v="12"/>
    <n v="9"/>
    <x v="1"/>
    <n v="52.5"/>
    <n v="57.729335447941892"/>
    <m/>
    <m/>
  </r>
  <r>
    <n v="2025"/>
    <x v="0"/>
    <s v="Burlington"/>
    <n v="3"/>
    <n v="10"/>
    <n v="12"/>
    <n v="5"/>
    <x v="28"/>
    <n v="55.3"/>
    <n v="64.437887070217911"/>
    <m/>
    <m/>
  </r>
  <r>
    <n v="2025"/>
    <x v="0"/>
    <s v="Burlington"/>
    <n v="3"/>
    <n v="9"/>
    <n v="12"/>
    <n v="30"/>
    <x v="14"/>
    <n v="56.5"/>
    <n v="55.561048474576261"/>
    <m/>
    <m/>
  </r>
  <r>
    <n v="2025"/>
    <x v="0"/>
    <s v="Burlington"/>
    <n v="3"/>
    <n v="8"/>
    <n v="12"/>
    <n v="13"/>
    <x v="38"/>
    <n v="57.2"/>
    <n v="71.492631864406761"/>
    <m/>
    <m/>
  </r>
  <r>
    <n v="2025"/>
    <x v="0"/>
    <s v="Burlington"/>
    <n v="3"/>
    <n v="7"/>
    <n v="12"/>
    <n v="15"/>
    <x v="7"/>
    <n v="55"/>
    <n v="69.588288958837765"/>
    <m/>
    <m/>
  </r>
  <r>
    <n v="2025"/>
    <x v="0"/>
    <s v="Burlington"/>
    <n v="3"/>
    <n v="6"/>
    <n v="12"/>
    <n v="35"/>
    <x v="30"/>
    <n v="58.5"/>
    <n v="80.845403970944304"/>
    <m/>
    <m/>
  </r>
  <r>
    <n v="2025"/>
    <x v="0"/>
    <s v="Burlington"/>
    <n v="3"/>
    <n v="5"/>
    <n v="12"/>
    <n v="18"/>
    <x v="8"/>
    <n v="56.6"/>
    <n v="59.000164648910406"/>
    <m/>
    <m/>
  </r>
  <r>
    <n v="2025"/>
    <x v="0"/>
    <s v="Burlington"/>
    <n v="3"/>
    <n v="4"/>
    <n v="12"/>
    <n v="4"/>
    <x v="4"/>
    <n v="56.1"/>
    <n v="62.331152687651333"/>
    <m/>
    <m/>
  </r>
  <r>
    <n v="2025"/>
    <x v="0"/>
    <s v="Burlington"/>
    <n v="3"/>
    <n v="3"/>
    <n v="12"/>
    <n v="36"/>
    <x v="36"/>
    <n v="60.1"/>
    <n v="53.681376464891045"/>
    <m/>
    <m/>
  </r>
  <r>
    <n v="2025"/>
    <x v="0"/>
    <s v="Burlington"/>
    <n v="3"/>
    <n v="2"/>
    <n v="12"/>
    <n v="29"/>
    <x v="27"/>
    <n v="58.7"/>
    <n v="66.507432929782084"/>
    <m/>
    <m/>
  </r>
  <r>
    <n v="2025"/>
    <x v="0"/>
    <s v="Burlington"/>
    <n v="3"/>
    <n v="1"/>
    <n v="12"/>
    <n v="17"/>
    <x v="32"/>
    <n v="58"/>
    <n v="64.19330673123487"/>
    <m/>
    <m/>
  </r>
  <r>
    <n v="2025"/>
    <x v="0"/>
    <s v="Lamar"/>
    <n v="1"/>
    <n v="9"/>
    <n v="2"/>
    <n v="30"/>
    <x v="14"/>
    <n v="60.6"/>
    <n v="69.003033367037403"/>
    <n v="10.5"/>
    <m/>
  </r>
  <r>
    <n v="2025"/>
    <x v="0"/>
    <s v="Lamar"/>
    <n v="2"/>
    <n v="2"/>
    <n v="3"/>
    <n v="30"/>
    <x v="14"/>
    <n v="60.4"/>
    <n v="54.535841741901223"/>
    <m/>
    <m/>
  </r>
  <r>
    <n v="2025"/>
    <x v="0"/>
    <s v="Lamar"/>
    <n v="3"/>
    <n v="14"/>
    <n v="6"/>
    <n v="30"/>
    <x v="14"/>
    <n v="59.5"/>
    <n v="68.768840358573328"/>
    <m/>
    <m/>
  </r>
  <r>
    <n v="2025"/>
    <x v="0"/>
    <s v="Lamar"/>
    <n v="1"/>
    <n v="2"/>
    <n v="2"/>
    <n v="37"/>
    <x v="31"/>
    <n v="61.8"/>
    <n v="82.982392026578069"/>
    <n v="9.6"/>
    <m/>
  </r>
  <r>
    <n v="2025"/>
    <x v="0"/>
    <s v="Lamar"/>
    <n v="2"/>
    <n v="9"/>
    <n v="4"/>
    <n v="37"/>
    <x v="31"/>
    <n v="61.5"/>
    <n v="78.904328859060399"/>
    <m/>
    <m/>
  </r>
  <r>
    <n v="2025"/>
    <x v="0"/>
    <s v="Lamar"/>
    <n v="3"/>
    <n v="16"/>
    <n v="6"/>
    <n v="37"/>
    <x v="31"/>
    <n v="61"/>
    <n v="81.101591169177951"/>
    <m/>
    <m/>
  </r>
  <r>
    <n v="2025"/>
    <x v="0"/>
    <s v="Lamar"/>
    <n v="1"/>
    <n v="6"/>
    <n v="2"/>
    <n v="40"/>
    <x v="13"/>
    <n v="62.5"/>
    <n v="70.648981655351719"/>
    <n v="10.3"/>
    <m/>
  </r>
  <r>
    <n v="2025"/>
    <x v="0"/>
    <s v="Lamar"/>
    <n v="2"/>
    <n v="7"/>
    <n v="4"/>
    <n v="40"/>
    <x v="13"/>
    <n v="58.2"/>
    <n v="74.425978906999035"/>
    <m/>
    <m/>
  </r>
  <r>
    <n v="2025"/>
    <x v="0"/>
    <s v="Lamar"/>
    <n v="3"/>
    <n v="2"/>
    <n v="5"/>
    <n v="40"/>
    <x v="13"/>
    <n v="61.7"/>
    <n v="76.56522255192877"/>
    <m/>
    <m/>
  </r>
  <r>
    <n v="2025"/>
    <x v="0"/>
    <s v="Lamar"/>
    <n v="1"/>
    <n v="19"/>
    <n v="2"/>
    <n v="41"/>
    <x v="20"/>
    <n v="59"/>
    <n v="69.771094901054454"/>
    <n v="10.199999999999999"/>
    <m/>
  </r>
  <r>
    <n v="2025"/>
    <x v="0"/>
    <s v="Lamar"/>
    <n v="2"/>
    <n v="6"/>
    <n v="4"/>
    <n v="41"/>
    <x v="20"/>
    <s v="."/>
    <s v="."/>
    <m/>
    <m/>
  </r>
  <r>
    <n v="2025"/>
    <x v="0"/>
    <s v="Lamar"/>
    <n v="3"/>
    <n v="17"/>
    <n v="5"/>
    <n v="41"/>
    <x v="20"/>
    <n v="56.9"/>
    <n v="68.58348452734208"/>
    <m/>
    <m/>
  </r>
  <r>
    <n v="2025"/>
    <x v="0"/>
    <s v="Lamar"/>
    <n v="1"/>
    <n v="4"/>
    <n v="1"/>
    <n v="20"/>
    <x v="18"/>
    <n v="60.5"/>
    <n v="79.362642857142859"/>
    <n v="9.4"/>
    <m/>
  </r>
  <r>
    <n v="2025"/>
    <x v="0"/>
    <s v="Lamar"/>
    <n v="2"/>
    <n v="2"/>
    <n v="4"/>
    <n v="20"/>
    <x v="18"/>
    <n v="60.4"/>
    <n v="75.344979865771805"/>
    <m/>
    <m/>
  </r>
  <r>
    <n v="2025"/>
    <x v="0"/>
    <s v="Lamar"/>
    <n v="3"/>
    <n v="8"/>
    <n v="6"/>
    <n v="20"/>
    <x v="18"/>
    <s v="."/>
    <n v="78.688289147434674"/>
    <m/>
    <m/>
  </r>
  <r>
    <n v="2025"/>
    <x v="0"/>
    <s v="Lamar"/>
    <n v="1"/>
    <n v="17"/>
    <n v="1"/>
    <n v="32"/>
    <x v="24"/>
    <n v="59.7"/>
    <n v="79.103828571428565"/>
    <n v="10"/>
    <m/>
  </r>
  <r>
    <n v="2025"/>
    <x v="0"/>
    <s v="Lamar"/>
    <n v="2"/>
    <n v="11"/>
    <n v="4"/>
    <n v="32"/>
    <x v="24"/>
    <n v="60.3"/>
    <n v="84.770007670182167"/>
    <m/>
    <m/>
  </r>
  <r>
    <n v="2025"/>
    <x v="0"/>
    <s v="Lamar"/>
    <n v="3"/>
    <n v="19"/>
    <n v="6"/>
    <n v="32"/>
    <x v="24"/>
    <n v="61.3"/>
    <n v="89.451116727064644"/>
    <m/>
    <m/>
  </r>
  <r>
    <n v="2025"/>
    <x v="0"/>
    <s v="Lamar"/>
    <n v="1"/>
    <n v="21"/>
    <n v="1"/>
    <n v="21"/>
    <x v="26"/>
    <n v="59.6"/>
    <n v="73.761600000000001"/>
    <n v="9.8000000000000007"/>
    <m/>
  </r>
  <r>
    <n v="2025"/>
    <x v="0"/>
    <s v="Lamar"/>
    <n v="2"/>
    <n v="9"/>
    <n v="3"/>
    <n v="21"/>
    <x v="26"/>
    <n v="60.4"/>
    <n v="72.390924057355278"/>
    <m/>
    <m/>
  </r>
  <r>
    <n v="2025"/>
    <x v="0"/>
    <s v="Lamar"/>
    <n v="3"/>
    <n v="13"/>
    <n v="5"/>
    <n v="21"/>
    <x v="26"/>
    <n v="59.6"/>
    <n v="77.385769393810946"/>
    <m/>
    <m/>
  </r>
  <r>
    <n v="2025"/>
    <x v="0"/>
    <s v="Lamar"/>
    <n v="1"/>
    <n v="8"/>
    <n v="1"/>
    <n v="29"/>
    <x v="27"/>
    <n v="60.2"/>
    <n v="69.954531428571428"/>
    <n v="9.1"/>
    <m/>
  </r>
  <r>
    <n v="2025"/>
    <x v="0"/>
    <s v="Lamar"/>
    <n v="2"/>
    <n v="17"/>
    <n v="3"/>
    <n v="29"/>
    <x v="27"/>
    <n v="59.5"/>
    <n v="68.498268720127442"/>
    <m/>
    <m/>
  </r>
  <r>
    <n v="2025"/>
    <x v="0"/>
    <s v="Lamar"/>
    <n v="3"/>
    <n v="9"/>
    <n v="6"/>
    <n v="29"/>
    <x v="27"/>
    <n v="60"/>
    <n v="66.548940492084682"/>
    <m/>
    <m/>
  </r>
  <r>
    <n v="2025"/>
    <x v="0"/>
    <s v="Lamar"/>
    <n v="1"/>
    <n v="14"/>
    <n v="2"/>
    <n v="22"/>
    <x v="33"/>
    <n v="61"/>
    <n v="72.112126245847165"/>
    <n v="11"/>
    <m/>
  </r>
  <r>
    <n v="2025"/>
    <x v="0"/>
    <s v="Lamar"/>
    <n v="2"/>
    <n v="18"/>
    <n v="4"/>
    <n v="22"/>
    <x v="33"/>
    <n v="61.1"/>
    <n v="72.20047219558964"/>
    <m/>
    <m/>
  </r>
  <r>
    <n v="2025"/>
    <x v="0"/>
    <s v="Lamar"/>
    <n v="3"/>
    <n v="11"/>
    <n v="6"/>
    <n v="22"/>
    <x v="33"/>
    <n v="61.1"/>
    <n v="71.949189395384323"/>
    <m/>
    <m/>
  </r>
  <r>
    <n v="2025"/>
    <x v="0"/>
    <s v="Lamar"/>
    <n v="1"/>
    <n v="2"/>
    <n v="1"/>
    <n v="18"/>
    <x v="8"/>
    <n v="60"/>
    <n v="82.356685714285703"/>
    <n v="9"/>
    <m/>
  </r>
  <r>
    <n v="2025"/>
    <x v="0"/>
    <s v="Lamar"/>
    <n v="2"/>
    <n v="20"/>
    <n v="3"/>
    <n v="18"/>
    <x v="8"/>
    <s v="."/>
    <s v="."/>
    <m/>
    <m/>
  </r>
  <r>
    <n v="2025"/>
    <x v="0"/>
    <s v="Lamar"/>
    <n v="3"/>
    <n v="5"/>
    <n v="6"/>
    <n v="18"/>
    <x v="8"/>
    <n v="60.4"/>
    <n v="79.774777798970035"/>
    <m/>
    <m/>
  </r>
  <r>
    <n v="2025"/>
    <x v="0"/>
    <s v="Lamar"/>
    <n v="1"/>
    <n v="17"/>
    <n v="2"/>
    <n v="14"/>
    <x v="5"/>
    <n v="61.2"/>
    <n v="80.488873320814676"/>
    <n v="9.8000000000000007"/>
    <m/>
  </r>
  <r>
    <n v="2025"/>
    <x v="0"/>
    <s v="Lamar"/>
    <n v="2"/>
    <n v="10"/>
    <n v="4"/>
    <n v="14"/>
    <x v="5"/>
    <n v="62.2"/>
    <n v="84.333999520613602"/>
    <m/>
    <m/>
  </r>
  <r>
    <n v="2025"/>
    <x v="0"/>
    <s v="Lamar"/>
    <n v="3"/>
    <n v="1"/>
    <n v="6"/>
    <n v="14"/>
    <x v="5"/>
    <n v="61.6"/>
    <n v="84.149622353614333"/>
    <m/>
    <m/>
  </r>
  <r>
    <n v="2025"/>
    <x v="0"/>
    <s v="Lamar"/>
    <n v="1"/>
    <n v="15"/>
    <n v="2"/>
    <n v="15"/>
    <x v="7"/>
    <n v="59.7"/>
    <n v="84.050327892532124"/>
    <n v="9.8000000000000007"/>
    <m/>
  </r>
  <r>
    <n v="2025"/>
    <x v="0"/>
    <s v="Lamar"/>
    <n v="2"/>
    <n v="8"/>
    <n v="3"/>
    <n v="15"/>
    <x v="7"/>
    <n v="59.7"/>
    <n v="81.844795539033456"/>
    <m/>
    <m/>
  </r>
  <r>
    <n v="2025"/>
    <x v="0"/>
    <s v="Lamar"/>
    <n v="3"/>
    <n v="20"/>
    <n v="6"/>
    <n v="15"/>
    <x v="7"/>
    <n v="57.5"/>
    <n v="91.037609193209988"/>
    <m/>
    <m/>
  </r>
  <r>
    <n v="2025"/>
    <x v="0"/>
    <s v="Lamar"/>
    <n v="1"/>
    <n v="5"/>
    <n v="1"/>
    <n v="16"/>
    <x v="40"/>
    <n v="61.8"/>
    <n v="76.167771428571413"/>
    <n v="11"/>
    <m/>
  </r>
  <r>
    <n v="2025"/>
    <x v="0"/>
    <s v="Lamar"/>
    <n v="2"/>
    <n v="4"/>
    <n v="3"/>
    <n v="16"/>
    <x v="40"/>
    <n v="62.3"/>
    <n v="71.303515666489631"/>
    <m/>
    <m/>
  </r>
  <r>
    <n v="2025"/>
    <x v="0"/>
    <s v="Lamar"/>
    <n v="3"/>
    <n v="14"/>
    <n v="5"/>
    <n v="16"/>
    <x v="40"/>
    <n v="61.7"/>
    <n v="70.616083086053422"/>
    <m/>
    <m/>
  </r>
  <r>
    <n v="2025"/>
    <x v="0"/>
    <s v="Lamar"/>
    <n v="1"/>
    <n v="21"/>
    <n v="2"/>
    <n v="11"/>
    <x v="2"/>
    <n v="61.3"/>
    <n v="63.320388559872875"/>
    <n v="10.6"/>
    <m/>
  </r>
  <r>
    <n v="2025"/>
    <x v="0"/>
    <s v="Lamar"/>
    <n v="2"/>
    <n v="1"/>
    <n v="4"/>
    <n v="11"/>
    <x v="2"/>
    <n v="61.5"/>
    <n v="70.221895973154361"/>
    <m/>
    <m/>
  </r>
  <r>
    <n v="2025"/>
    <x v="0"/>
    <s v="Lamar"/>
    <n v="3"/>
    <n v="4"/>
    <n v="5"/>
    <n v="11"/>
    <x v="2"/>
    <n v="61.7"/>
    <n v="76.298219584569722"/>
    <m/>
    <m/>
  </r>
  <r>
    <n v="2025"/>
    <x v="0"/>
    <s v="Lamar"/>
    <n v="1"/>
    <n v="12"/>
    <n v="1"/>
    <n v="1"/>
    <x v="12"/>
    <n v="60.2"/>
    <n v="84.050057142857142"/>
    <n v="9.8000000000000007"/>
    <m/>
  </r>
  <r>
    <n v="2025"/>
    <x v="0"/>
    <s v="Lamar"/>
    <n v="2"/>
    <n v="14"/>
    <n v="3"/>
    <n v="1"/>
    <x v="12"/>
    <n v="60.4"/>
    <n v="75.911964949548576"/>
    <m/>
    <m/>
  </r>
  <r>
    <n v="2025"/>
    <x v="0"/>
    <s v="Lamar"/>
    <n v="3"/>
    <n v="16"/>
    <n v="5"/>
    <n v="1"/>
    <x v="12"/>
    <n v="59.9"/>
    <n v="81.859025010597705"/>
    <m/>
    <m/>
  </r>
  <r>
    <n v="2025"/>
    <x v="0"/>
    <s v="Lamar"/>
    <n v="1"/>
    <n v="10"/>
    <n v="2"/>
    <n v="17"/>
    <x v="32"/>
    <n v="61.4"/>
    <n v="79.741499349992779"/>
    <n v="9.8000000000000007"/>
    <m/>
  </r>
  <r>
    <n v="2025"/>
    <x v="0"/>
    <s v="Lamar"/>
    <n v="2"/>
    <n v="21"/>
    <n v="4"/>
    <n v="17"/>
    <x v="32"/>
    <n v="60.8"/>
    <n v="73.083831255992337"/>
    <m/>
    <m/>
  </r>
  <r>
    <n v="2025"/>
    <x v="0"/>
    <s v="Lamar"/>
    <n v="3"/>
    <n v="15"/>
    <n v="6"/>
    <n v="17"/>
    <x v="32"/>
    <n v="60.6"/>
    <n v="80.589738699218003"/>
    <m/>
    <m/>
  </r>
  <r>
    <n v="2025"/>
    <x v="0"/>
    <s v="Lamar"/>
    <n v="1"/>
    <n v="7"/>
    <n v="2"/>
    <n v="12"/>
    <x v="41"/>
    <n v="56.1"/>
    <n v="67.975566950743882"/>
    <n v="10"/>
    <m/>
  </r>
  <r>
    <n v="2025"/>
    <x v="0"/>
    <s v="Lamar"/>
    <n v="2"/>
    <n v="4"/>
    <n v="4"/>
    <n v="12"/>
    <x v="41"/>
    <n v="60"/>
    <n v="68.994837008628949"/>
    <m/>
    <m/>
  </r>
  <r>
    <n v="2025"/>
    <x v="0"/>
    <s v="Lamar"/>
    <n v="3"/>
    <n v="10"/>
    <n v="5"/>
    <n v="12"/>
    <x v="41"/>
    <n v="60.5"/>
    <n v="72.425604069520972"/>
    <m/>
    <m/>
  </r>
  <r>
    <n v="2025"/>
    <x v="0"/>
    <s v="Lamar"/>
    <n v="1"/>
    <n v="18"/>
    <n v="1"/>
    <n v="13"/>
    <x v="38"/>
    <n v="60.4"/>
    <n v="70.031185714285698"/>
    <n v="9.1999999999999993"/>
    <m/>
  </r>
  <r>
    <n v="2025"/>
    <x v="0"/>
    <s v="Lamar"/>
    <n v="2"/>
    <n v="8"/>
    <n v="4"/>
    <n v="13"/>
    <x v="38"/>
    <n v="61.8"/>
    <n v="72.336727708533076"/>
    <m/>
    <m/>
  </r>
  <r>
    <n v="2025"/>
    <x v="0"/>
    <s v="Lamar"/>
    <n v="3"/>
    <n v="11"/>
    <n v="5"/>
    <n v="13"/>
    <x v="38"/>
    <n v="60.1"/>
    <n v="64.588278931750736"/>
    <m/>
    <m/>
  </r>
  <r>
    <n v="2025"/>
    <x v="0"/>
    <s v="Lamar"/>
    <n v="1"/>
    <n v="3"/>
    <n v="2"/>
    <n v="2"/>
    <x v="23"/>
    <n v="59.8"/>
    <n v="82.267813086812055"/>
    <n v="9.1"/>
    <m/>
  </r>
  <r>
    <n v="2025"/>
    <x v="0"/>
    <s v="Lamar"/>
    <n v="2"/>
    <n v="1"/>
    <n v="3"/>
    <n v="2"/>
    <x v="23"/>
    <n v="61.1"/>
    <n v="78.331784386617088"/>
    <m/>
    <m/>
  </r>
  <r>
    <n v="2025"/>
    <x v="0"/>
    <s v="Lamar"/>
    <n v="3"/>
    <n v="21"/>
    <n v="6"/>
    <n v="2"/>
    <x v="23"/>
    <n v="60.1"/>
    <n v="82.979485027655912"/>
    <m/>
    <m/>
  </r>
  <r>
    <n v="2025"/>
    <x v="0"/>
    <s v="Lamar"/>
    <n v="1"/>
    <n v="7"/>
    <n v="1"/>
    <n v="9"/>
    <x v="1"/>
    <n v="56.4"/>
    <n v="73.927542857142853"/>
    <n v="10.9"/>
    <m/>
  </r>
  <r>
    <n v="2025"/>
    <x v="0"/>
    <s v="Lamar"/>
    <n v="2"/>
    <n v="13"/>
    <n v="4"/>
    <n v="9"/>
    <x v="1"/>
    <n v="57.6"/>
    <n v="73.087627996164898"/>
    <m/>
    <m/>
  </r>
  <r>
    <n v="2025"/>
    <x v="0"/>
    <s v="Lamar"/>
    <n v="3"/>
    <n v="15"/>
    <n v="5"/>
    <n v="9"/>
    <x v="1"/>
    <n v="58.1"/>
    <n v="71.359597286986002"/>
    <m/>
    <m/>
  </r>
  <r>
    <n v="2025"/>
    <x v="0"/>
    <s v="Lamar"/>
    <n v="1"/>
    <n v="4"/>
    <n v="2"/>
    <n v="3"/>
    <x v="16"/>
    <n v="60.4"/>
    <n v="67.804203380037563"/>
    <n v="10"/>
    <m/>
  </r>
  <r>
    <n v="2025"/>
    <x v="0"/>
    <s v="Lamar"/>
    <n v="2"/>
    <n v="15"/>
    <n v="3"/>
    <n v="3"/>
    <x v="16"/>
    <n v="60.9"/>
    <n v="68.853106744556555"/>
    <m/>
    <m/>
  </r>
  <r>
    <n v="2025"/>
    <x v="0"/>
    <s v="Lamar"/>
    <n v="3"/>
    <n v="12"/>
    <n v="6"/>
    <n v="3"/>
    <x v="16"/>
    <n v="58.6"/>
    <n v="70.020974156017544"/>
    <m/>
    <m/>
  </r>
  <r>
    <n v="2025"/>
    <x v="0"/>
    <s v="Lamar"/>
    <n v="1"/>
    <n v="19"/>
    <n v="1"/>
    <n v="10"/>
    <x v="15"/>
    <n v="58.3"/>
    <n v="67.385245714285702"/>
    <n v="10.9"/>
    <m/>
  </r>
  <r>
    <n v="2025"/>
    <x v="0"/>
    <s v="Lamar"/>
    <n v="2"/>
    <n v="16"/>
    <n v="4"/>
    <n v="10"/>
    <x v="15"/>
    <n v="58.6"/>
    <n v="64.38521476510067"/>
    <m/>
    <m/>
  </r>
  <r>
    <n v="2025"/>
    <x v="0"/>
    <s v="Lamar"/>
    <n v="3"/>
    <n v="18"/>
    <n v="6"/>
    <n v="10"/>
    <x v="15"/>
    <n v="58.1"/>
    <n v="68.818123211901579"/>
    <m/>
    <m/>
  </r>
  <r>
    <n v="2025"/>
    <x v="0"/>
    <s v="Lamar"/>
    <n v="1"/>
    <n v="10"/>
    <n v="1"/>
    <n v="4"/>
    <x v="4"/>
    <n v="57.4"/>
    <n v="84.207137142857135"/>
    <n v="9.5"/>
    <m/>
  </r>
  <r>
    <n v="2025"/>
    <x v="0"/>
    <s v="Lamar"/>
    <n v="2"/>
    <n v="7"/>
    <n v="3"/>
    <n v="4"/>
    <x v="4"/>
    <n v="56.4"/>
    <n v="76.858231545406269"/>
    <m/>
    <m/>
  </r>
  <r>
    <n v="2025"/>
    <x v="0"/>
    <s v="Lamar"/>
    <n v="3"/>
    <n v="3"/>
    <n v="5"/>
    <n v="4"/>
    <x v="4"/>
    <n v="56.9"/>
    <n v="80.092123781263226"/>
    <m/>
    <m/>
  </r>
  <r>
    <n v="2025"/>
    <x v="0"/>
    <s v="Lamar"/>
    <n v="1"/>
    <n v="12"/>
    <n v="2"/>
    <n v="5"/>
    <x v="28"/>
    <n v="59.5"/>
    <n v="83.243226924743595"/>
    <n v="10.4"/>
    <m/>
  </r>
  <r>
    <n v="2025"/>
    <x v="0"/>
    <s v="Lamar"/>
    <n v="2"/>
    <n v="5"/>
    <n v="3"/>
    <n v="5"/>
    <x v="28"/>
    <n v="60.7"/>
    <n v="84.341232076473702"/>
    <m/>
    <m/>
  </r>
  <r>
    <n v="2025"/>
    <x v="0"/>
    <s v="Lamar"/>
    <n v="3"/>
    <n v="7"/>
    <n v="5"/>
    <n v="5"/>
    <x v="28"/>
    <n v="58"/>
    <n v="85.566850360322164"/>
    <m/>
    <m/>
  </r>
  <r>
    <n v="2025"/>
    <x v="0"/>
    <s v="Lamar"/>
    <n v="1"/>
    <n v="1"/>
    <n v="2"/>
    <n v="6"/>
    <x v="10"/>
    <n v="62.1"/>
    <n v="62.140863787375409"/>
    <n v="10.9"/>
    <m/>
  </r>
  <r>
    <n v="2025"/>
    <x v="0"/>
    <s v="Lamar"/>
    <n v="2"/>
    <n v="13"/>
    <n v="3"/>
    <n v="6"/>
    <x v="10"/>
    <n v="62.2"/>
    <n v="56.063069569835363"/>
    <m/>
    <m/>
  </r>
  <r>
    <n v="2025"/>
    <x v="0"/>
    <s v="Lamar"/>
    <n v="3"/>
    <n v="2"/>
    <n v="6"/>
    <n v="6"/>
    <x v="10"/>
    <n v="61.4"/>
    <n v="57.299530802975397"/>
    <m/>
    <m/>
  </r>
  <r>
    <n v="2025"/>
    <x v="0"/>
    <s v="Lamar"/>
    <n v="1"/>
    <n v="8"/>
    <n v="2"/>
    <n v="8"/>
    <x v="9"/>
    <n v="61.9"/>
    <n v="82.458148201646679"/>
    <n v="9.6"/>
    <m/>
  </r>
  <r>
    <n v="2025"/>
    <x v="0"/>
    <s v="Lamar"/>
    <n v="2"/>
    <n v="17"/>
    <n v="4"/>
    <n v="8"/>
    <x v="9"/>
    <n v="61.1"/>
    <n v="79.414325982742085"/>
    <m/>
    <m/>
  </r>
  <r>
    <n v="2025"/>
    <x v="0"/>
    <s v="Lamar"/>
    <n v="3"/>
    <n v="10"/>
    <n v="6"/>
    <n v="8"/>
    <x v="9"/>
    <n v="61.1"/>
    <n v="82.103156589738703"/>
    <m/>
    <m/>
  </r>
  <r>
    <n v="2025"/>
    <x v="0"/>
    <s v="Lamar"/>
    <n v="1"/>
    <n v="13"/>
    <n v="2"/>
    <n v="42"/>
    <x v="42"/>
    <n v="61.8"/>
    <n v="78.362296692185438"/>
    <n v="10.199999999999999"/>
    <m/>
  </r>
  <r>
    <n v="2025"/>
    <x v="0"/>
    <s v="Lamar"/>
    <n v="2"/>
    <n v="3"/>
    <n v="4"/>
    <n v="42"/>
    <x v="42"/>
    <n v="62.5"/>
    <n v="72.419022051773723"/>
    <m/>
    <m/>
  </r>
  <r>
    <n v="2025"/>
    <x v="0"/>
    <s v="Lamar"/>
    <n v="3"/>
    <n v="5"/>
    <n v="5"/>
    <n v="42"/>
    <x v="42"/>
    <n v="62"/>
    <n v="74.389936413734631"/>
    <m/>
    <m/>
  </r>
  <r>
    <n v="2025"/>
    <x v="0"/>
    <s v="Lamar"/>
    <n v="1"/>
    <n v="9"/>
    <n v="1"/>
    <n v="44"/>
    <x v="17"/>
    <n v="59.2"/>
    <n v="73.805160000000001"/>
    <n v="9.8000000000000007"/>
    <m/>
  </r>
  <r>
    <n v="2025"/>
    <x v="0"/>
    <s v="Lamar"/>
    <n v="2"/>
    <n v="12"/>
    <n v="3"/>
    <n v="44"/>
    <x v="17"/>
    <n v="58.8"/>
    <n v="68.378252788104092"/>
    <m/>
    <m/>
  </r>
  <r>
    <n v="2025"/>
    <x v="0"/>
    <s v="Lamar"/>
    <n v="3"/>
    <n v="13"/>
    <n v="6"/>
    <n v="44"/>
    <x v="17"/>
    <n v="58.4"/>
    <n v="72.277836162502382"/>
    <m/>
    <m/>
  </r>
  <r>
    <n v="2025"/>
    <x v="0"/>
    <s v="Lamar"/>
    <n v="1"/>
    <n v="6"/>
    <n v="1"/>
    <n v="43"/>
    <x v="22"/>
    <n v="57.3"/>
    <n v="80.889788571428554"/>
    <n v="10.6"/>
    <m/>
  </r>
  <r>
    <n v="2025"/>
    <x v="0"/>
    <s v="Lamar"/>
    <n v="2"/>
    <n v="12"/>
    <n v="4"/>
    <n v="43"/>
    <x v="22"/>
    <n v="59.2"/>
    <n v="72.208635186960663"/>
    <m/>
    <m/>
  </r>
  <r>
    <n v="2025"/>
    <x v="0"/>
    <s v="Lamar"/>
    <n v="3"/>
    <n v="1"/>
    <n v="5"/>
    <n v="43"/>
    <x v="22"/>
    <n v="59.8"/>
    <n v="72.670411191182694"/>
    <m/>
    <m/>
  </r>
  <r>
    <n v="2025"/>
    <x v="0"/>
    <s v="Lamar"/>
    <n v="1"/>
    <n v="11"/>
    <n v="2"/>
    <n v="27"/>
    <x v="39"/>
    <n v="61.1"/>
    <n v="74.49620106890076"/>
    <n v="10.5"/>
    <m/>
  </r>
  <r>
    <n v="2025"/>
    <x v="0"/>
    <s v="Lamar"/>
    <n v="2"/>
    <n v="18"/>
    <n v="3"/>
    <n v="27"/>
    <x v="39"/>
    <n v="60.6"/>
    <n v="73.774190122145498"/>
    <m/>
    <m/>
  </r>
  <r>
    <n v="2025"/>
    <x v="0"/>
    <s v="Lamar"/>
    <n v="3"/>
    <n v="17"/>
    <n v="6"/>
    <n v="27"/>
    <x v="39"/>
    <n v="58"/>
    <s v="."/>
    <m/>
    <m/>
  </r>
  <r>
    <n v="2025"/>
    <x v="0"/>
    <s v="Lamar"/>
    <n v="1"/>
    <n v="20"/>
    <n v="2"/>
    <n v="31"/>
    <x v="6"/>
    <n v="58.3"/>
    <n v="62.957021522461361"/>
    <n v="10.1"/>
    <m/>
  </r>
  <r>
    <n v="2025"/>
    <x v="0"/>
    <s v="Lamar"/>
    <n v="2"/>
    <n v="15"/>
    <n v="4"/>
    <n v="31"/>
    <x v="6"/>
    <n v="60.1"/>
    <n v="65.286608341323117"/>
    <m/>
    <m/>
  </r>
  <r>
    <n v="2025"/>
    <x v="0"/>
    <s v="Lamar"/>
    <n v="3"/>
    <n v="8"/>
    <n v="5"/>
    <n v="31"/>
    <x v="6"/>
    <n v="59.3"/>
    <n v="69.896769817719374"/>
    <m/>
    <m/>
  </r>
  <r>
    <n v="2025"/>
    <x v="0"/>
    <s v="Lamar"/>
    <n v="1"/>
    <n v="20"/>
    <n v="1"/>
    <n v="23"/>
    <x v="35"/>
    <n v="60.3"/>
    <n v="75.803027142857133"/>
    <n v="10.199999999999999"/>
    <m/>
  </r>
  <r>
    <n v="2025"/>
    <x v="0"/>
    <s v="Lamar"/>
    <n v="2"/>
    <n v="19"/>
    <n v="3"/>
    <n v="23"/>
    <x v="35"/>
    <n v="61.1"/>
    <n v="71.091492299522045"/>
    <m/>
    <m/>
  </r>
  <r>
    <n v="2025"/>
    <x v="0"/>
    <s v="Lamar"/>
    <n v="3"/>
    <n v="4"/>
    <n v="6"/>
    <n v="23"/>
    <x v="35"/>
    <n v="60.2"/>
    <n v="78.079759202746516"/>
    <m/>
    <m/>
  </r>
  <r>
    <n v="2025"/>
    <x v="0"/>
    <s v="Lamar"/>
    <n v="1"/>
    <n v="3"/>
    <n v="1"/>
    <n v="28"/>
    <x v="37"/>
    <n v="59"/>
    <n v="83.327168571428558"/>
    <n v="9"/>
    <m/>
  </r>
  <r>
    <n v="2025"/>
    <x v="0"/>
    <s v="Lamar"/>
    <n v="2"/>
    <n v="16"/>
    <n v="3"/>
    <n v="28"/>
    <x v="37"/>
    <n v="58.5"/>
    <n v="77.406787041954331"/>
    <m/>
    <m/>
  </r>
  <r>
    <n v="2025"/>
    <x v="0"/>
    <s v="Lamar"/>
    <n v="3"/>
    <n v="7"/>
    <n v="6"/>
    <n v="28"/>
    <x v="37"/>
    <n v="56.2"/>
    <n v="78.902084207514775"/>
    <m/>
    <m/>
  </r>
  <r>
    <n v="2025"/>
    <x v="0"/>
    <s v="Lamar"/>
    <n v="1"/>
    <n v="13"/>
    <n v="1"/>
    <n v="46"/>
    <x v="25"/>
    <n v="57.2"/>
    <n v="70.873817142857135"/>
    <n v="10.7"/>
    <m/>
  </r>
  <r>
    <n v="2025"/>
    <x v="0"/>
    <s v="Lamar"/>
    <n v="2"/>
    <n v="21"/>
    <n v="3"/>
    <n v="46"/>
    <x v="25"/>
    <n v="59.6"/>
    <n v="61.422634094530004"/>
    <m/>
    <m/>
  </r>
  <r>
    <n v="2025"/>
    <x v="0"/>
    <s v="Lamar"/>
    <n v="3"/>
    <n v="6"/>
    <n v="6"/>
    <n v="46"/>
    <x v="25"/>
    <n v="57.7"/>
    <n v="70.705599847415598"/>
    <m/>
    <m/>
  </r>
  <r>
    <n v="2025"/>
    <x v="0"/>
    <s v="Lamar"/>
    <n v="1"/>
    <n v="16"/>
    <n v="2"/>
    <n v="45"/>
    <x v="21"/>
    <n v="60"/>
    <n v="71.733982377581967"/>
    <n v="10.5"/>
    <m/>
  </r>
  <r>
    <n v="2025"/>
    <x v="0"/>
    <s v="Lamar"/>
    <n v="2"/>
    <n v="3"/>
    <n v="3"/>
    <n v="45"/>
    <x v="21"/>
    <n v="60.4"/>
    <n v="66.372586298459893"/>
    <m/>
    <m/>
  </r>
  <r>
    <n v="2025"/>
    <x v="0"/>
    <s v="Lamar"/>
    <n v="3"/>
    <n v="18"/>
    <n v="5"/>
    <n v="45"/>
    <x v="21"/>
    <n v="59.5"/>
    <n v="72.220059347181007"/>
    <m/>
    <m/>
  </r>
  <r>
    <n v="2025"/>
    <x v="0"/>
    <s v="Lamar"/>
    <n v="1"/>
    <n v="1"/>
    <n v="1"/>
    <n v="24"/>
    <x v="29"/>
    <s v="."/>
    <s v="."/>
    <s v="."/>
    <m/>
  </r>
  <r>
    <n v="2025"/>
    <x v="0"/>
    <s v="Lamar"/>
    <n v="2"/>
    <n v="10"/>
    <n v="3"/>
    <n v="24"/>
    <x v="29"/>
    <n v="59.7"/>
    <n v="78.11694105151355"/>
    <m/>
    <m/>
  </r>
  <r>
    <n v="2025"/>
    <x v="0"/>
    <s v="Lamar"/>
    <n v="3"/>
    <n v="6"/>
    <n v="5"/>
    <n v="24"/>
    <x v="29"/>
    <n v="57.2"/>
    <n v="89.908096651123358"/>
    <n v="8.3000000000000007"/>
    <m/>
  </r>
  <r>
    <n v="2025"/>
    <x v="0"/>
    <s v="Lamar"/>
    <n v="1"/>
    <n v="11"/>
    <n v="1"/>
    <n v="33"/>
    <x v="3"/>
    <n v="59.4"/>
    <n v="81.085808571428558"/>
    <n v="9.6999999999999993"/>
    <m/>
  </r>
  <r>
    <n v="2025"/>
    <x v="0"/>
    <s v="Lamar"/>
    <n v="2"/>
    <n v="14"/>
    <n v="4"/>
    <n v="33"/>
    <x v="3"/>
    <n v="60.6"/>
    <n v="79.523909395973149"/>
    <m/>
    <m/>
  </r>
  <r>
    <n v="2025"/>
    <x v="0"/>
    <s v="Lamar"/>
    <n v="3"/>
    <n v="12"/>
    <n v="5"/>
    <n v="33"/>
    <x v="3"/>
    <n v="61.5"/>
    <n v="74.75504874947012"/>
    <m/>
    <m/>
  </r>
  <r>
    <n v="2025"/>
    <x v="0"/>
    <s v="Lamar"/>
    <n v="1"/>
    <n v="5"/>
    <n v="2"/>
    <n v="25"/>
    <x v="34"/>
    <n v="60.2"/>
    <n v="70.828114979055314"/>
    <n v="10.6"/>
    <m/>
  </r>
  <r>
    <n v="2025"/>
    <x v="0"/>
    <s v="Lamar"/>
    <n v="2"/>
    <n v="11"/>
    <n v="3"/>
    <n v="25"/>
    <x v="34"/>
    <n v="60.4"/>
    <n v="67.685353159851289"/>
    <m/>
    <m/>
  </r>
  <r>
    <n v="2025"/>
    <x v="0"/>
    <s v="Lamar"/>
    <n v="3"/>
    <n v="9"/>
    <n v="5"/>
    <n v="25"/>
    <x v="34"/>
    <n v="60"/>
    <n v="75.803476049173383"/>
    <m/>
    <m/>
  </r>
  <r>
    <n v="2025"/>
    <x v="0"/>
    <s v="Lamar"/>
    <n v="1"/>
    <n v="18"/>
    <n v="2"/>
    <n v="34"/>
    <x v="0"/>
    <n v="60.9"/>
    <n v="77.255607395637725"/>
    <n v="9.9"/>
    <m/>
  </r>
  <r>
    <n v="2025"/>
    <x v="0"/>
    <s v="Lamar"/>
    <n v="2"/>
    <n v="19"/>
    <n v="4"/>
    <n v="34"/>
    <x v="0"/>
    <n v="60"/>
    <n v="74.215592042185989"/>
    <m/>
    <m/>
  </r>
  <r>
    <n v="2025"/>
    <x v="0"/>
    <s v="Lamar"/>
    <n v="3"/>
    <n v="21"/>
    <n v="5"/>
    <n v="34"/>
    <x v="0"/>
    <n v="60"/>
    <n v="74.657498940228919"/>
    <m/>
    <m/>
  </r>
  <r>
    <n v="2025"/>
    <x v="0"/>
    <s v="Lamar"/>
    <n v="1"/>
    <n v="15"/>
    <n v="1"/>
    <n v="35"/>
    <x v="30"/>
    <n v="60.7"/>
    <n v="76.461989999999986"/>
    <n v="10.3"/>
    <m/>
  </r>
  <r>
    <n v="2025"/>
    <x v="0"/>
    <s v="Lamar"/>
    <n v="2"/>
    <n v="6"/>
    <n v="3"/>
    <n v="35"/>
    <x v="30"/>
    <s v="."/>
    <s v="."/>
    <m/>
    <m/>
  </r>
  <r>
    <n v="2025"/>
    <x v="0"/>
    <s v="Lamar"/>
    <n v="3"/>
    <n v="20"/>
    <n v="5"/>
    <n v="35"/>
    <x v="30"/>
    <n v="61.1"/>
    <n v="77.71269181856718"/>
    <m/>
    <m/>
  </r>
  <r>
    <n v="2025"/>
    <x v="0"/>
    <s v="Lamar"/>
    <n v="1"/>
    <n v="14"/>
    <n v="1"/>
    <n v="26"/>
    <x v="11"/>
    <n v="60.1"/>
    <n v="80.864472857142829"/>
    <n v="9.4"/>
    <m/>
  </r>
  <r>
    <n v="2025"/>
    <x v="0"/>
    <s v="Lamar"/>
    <n v="2"/>
    <n v="20"/>
    <n v="4"/>
    <n v="26"/>
    <x v="11"/>
    <s v="."/>
    <s v="."/>
    <m/>
    <m/>
  </r>
  <r>
    <n v="2025"/>
    <x v="0"/>
    <s v="Lamar"/>
    <n v="3"/>
    <n v="3"/>
    <n v="6"/>
    <n v="26"/>
    <x v="11"/>
    <n v="60"/>
    <n v="79.668942399389664"/>
    <m/>
    <m/>
  </r>
  <r>
    <n v="2025"/>
    <x v="0"/>
    <s v="Lamar"/>
    <n v="1"/>
    <n v="16"/>
    <n v="1"/>
    <n v="36"/>
    <x v="36"/>
    <n v="59.7"/>
    <n v="79.529999999999987"/>
    <n v="10.4"/>
    <m/>
  </r>
  <r>
    <n v="2025"/>
    <x v="0"/>
    <s v="Lamar"/>
    <n v="2"/>
    <n v="5"/>
    <n v="4"/>
    <n v="36"/>
    <x v="36"/>
    <n v="58.7"/>
    <n v="72.088895493767978"/>
    <m/>
    <m/>
  </r>
  <r>
    <n v="2025"/>
    <x v="0"/>
    <s v="Lamar"/>
    <n v="3"/>
    <n v="19"/>
    <n v="5"/>
    <n v="36"/>
    <x v="36"/>
    <n v="60.8"/>
    <n v="75.260330648579881"/>
    <m/>
    <m/>
  </r>
  <r>
    <n v="2025"/>
    <x v="0"/>
    <s v="SLake"/>
    <n v="1"/>
    <n v="1"/>
    <n v="1"/>
    <n v="3"/>
    <x v="16"/>
    <n v="61"/>
    <n v="71.551067450942568"/>
    <n v="10.1"/>
    <m/>
  </r>
  <r>
    <n v="2025"/>
    <x v="0"/>
    <s v="SLake"/>
    <n v="1"/>
    <n v="2"/>
    <n v="1"/>
    <n v="45"/>
    <x v="21"/>
    <n v="59.4"/>
    <n v="71.440759847644742"/>
    <n v="10.199999999999999"/>
    <m/>
  </r>
  <r>
    <n v="2025"/>
    <x v="0"/>
    <s v="SLake"/>
    <n v="1"/>
    <n v="3"/>
    <n v="1"/>
    <n v="44"/>
    <x v="17"/>
    <n v="58.2"/>
    <n v="63.527251337929712"/>
    <n v="10.3"/>
    <m/>
  </r>
  <r>
    <n v="2025"/>
    <x v="0"/>
    <s v="SLake"/>
    <n v="1"/>
    <n v="4"/>
    <n v="1"/>
    <n v="31"/>
    <x v="6"/>
    <n v="60"/>
    <n v="63.805812641627689"/>
    <n v="10.5"/>
    <m/>
  </r>
  <r>
    <n v="2025"/>
    <x v="0"/>
    <s v="SLake"/>
    <n v="1"/>
    <n v="5"/>
    <n v="1"/>
    <n v="22"/>
    <x v="33"/>
    <n v="59.6"/>
    <n v="69.452072706234034"/>
    <n v="9.9"/>
    <m/>
  </r>
  <r>
    <n v="2025"/>
    <x v="0"/>
    <s v="SLake"/>
    <n v="1"/>
    <n v="6"/>
    <n v="1"/>
    <n v="23"/>
    <x v="35"/>
    <n v="60.6"/>
    <n v="64.391287787474084"/>
    <n v="10.5"/>
    <m/>
  </r>
  <r>
    <n v="2025"/>
    <x v="0"/>
    <s v="SLake"/>
    <n v="1"/>
    <n v="7"/>
    <n v="1"/>
    <n v="25"/>
    <x v="34"/>
    <n v="59.5"/>
    <n v="69.700276746540652"/>
    <n v="10.3"/>
    <m/>
  </r>
  <r>
    <n v="2025"/>
    <x v="0"/>
    <s v="SLake"/>
    <n v="1"/>
    <n v="8"/>
    <n v="1"/>
    <n v="37"/>
    <x v="31"/>
    <n v="60.6"/>
    <n v="66.983397136107229"/>
    <n v="9.1"/>
    <m/>
  </r>
  <r>
    <n v="2025"/>
    <x v="0"/>
    <s v="SLake"/>
    <n v="1"/>
    <n v="9"/>
    <n v="1"/>
    <n v="17"/>
    <x v="32"/>
    <n v="56.4"/>
    <n v="65.139813895183451"/>
    <s v="."/>
    <m/>
  </r>
  <r>
    <n v="2025"/>
    <x v="0"/>
    <s v="SLake"/>
    <n v="1"/>
    <n v="10"/>
    <n v="1"/>
    <n v="42"/>
    <x v="42"/>
    <n v="61.8"/>
    <n v="64.004805457788919"/>
    <n v="9.6"/>
    <m/>
  </r>
  <r>
    <n v="2025"/>
    <x v="0"/>
    <s v="SLake"/>
    <n v="1"/>
    <n v="11"/>
    <n v="1"/>
    <n v="27"/>
    <x v="39"/>
    <n v="61.8"/>
    <n v="61.50753869148064"/>
    <n v="10.8"/>
    <m/>
  </r>
  <r>
    <n v="2025"/>
    <x v="0"/>
    <s v="SLake"/>
    <n v="1"/>
    <n v="12"/>
    <n v="1"/>
    <n v="28"/>
    <x v="37"/>
    <n v="58.7"/>
    <n v="65.198428233932788"/>
    <n v="10.3"/>
    <m/>
  </r>
  <r>
    <n v="2025"/>
    <x v="0"/>
    <s v="SLake"/>
    <n v="1"/>
    <n v="13"/>
    <n v="1"/>
    <n v="9"/>
    <x v="1"/>
    <n v="59.1"/>
    <n v="61.132273275155484"/>
    <n v="10.3"/>
    <m/>
  </r>
  <r>
    <n v="2025"/>
    <x v="0"/>
    <s v="SLake"/>
    <n v="1"/>
    <n v="14"/>
    <n v="1"/>
    <n v="5"/>
    <x v="28"/>
    <n v="60.5"/>
    <n v="61.341910226122167"/>
    <n v="9.6"/>
    <m/>
  </r>
  <r>
    <n v="2025"/>
    <x v="0"/>
    <s v="SLake"/>
    <n v="1"/>
    <n v="15"/>
    <n v="1"/>
    <n v="30"/>
    <x v="14"/>
    <n v="61.3"/>
    <n v="58.526464972759271"/>
    <n v="10.3"/>
    <m/>
  </r>
  <r>
    <n v="2025"/>
    <x v="0"/>
    <s v="SLake"/>
    <n v="1"/>
    <n v="16"/>
    <n v="1"/>
    <n v="14"/>
    <x v="5"/>
    <n v="61.5"/>
    <n v="62.580352924159875"/>
    <n v="10.199999999999999"/>
    <m/>
  </r>
  <r>
    <n v="2025"/>
    <x v="0"/>
    <s v="SLake"/>
    <n v="1"/>
    <n v="17"/>
    <n v="1"/>
    <n v="29"/>
    <x v="27"/>
    <n v="61.5"/>
    <n v="61.129361650836508"/>
    <n v="10.1"/>
    <m/>
  </r>
  <r>
    <n v="2025"/>
    <x v="0"/>
    <s v="SLake"/>
    <n v="1"/>
    <n v="18"/>
    <n v="1"/>
    <n v="21"/>
    <x v="26"/>
    <n v="62.1"/>
    <n v="62.610996576828498"/>
    <n v="10.3"/>
    <m/>
  </r>
  <r>
    <n v="2025"/>
    <x v="0"/>
    <s v="SLake"/>
    <n v="1"/>
    <n v="19"/>
    <n v="1"/>
    <n v="12"/>
    <x v="41"/>
    <n v="61.7"/>
    <n v="56.831088182826285"/>
    <n v="9.6999999999999993"/>
    <m/>
  </r>
  <r>
    <n v="2025"/>
    <x v="0"/>
    <s v="SLake"/>
    <n v="1"/>
    <n v="20"/>
    <n v="1"/>
    <n v="41"/>
    <x v="20"/>
    <n v="60.8"/>
    <n v="61.60352683091461"/>
    <n v="10.1"/>
    <m/>
  </r>
  <r>
    <n v="2025"/>
    <x v="0"/>
    <s v="SLake"/>
    <n v="1"/>
    <n v="21"/>
    <n v="1"/>
    <n v="2"/>
    <x v="23"/>
    <n v="62.8"/>
    <n v="69.994684923581303"/>
    <n v="9.9"/>
    <m/>
  </r>
  <r>
    <n v="2025"/>
    <x v="0"/>
    <s v="SLake"/>
    <n v="1"/>
    <n v="21"/>
    <n v="2"/>
    <n v="6"/>
    <x v="10"/>
    <n v="60.4"/>
    <n v="55.558660623885054"/>
    <n v="12"/>
    <m/>
  </r>
  <r>
    <n v="2025"/>
    <x v="0"/>
    <s v="SLake"/>
    <n v="1"/>
    <n v="20"/>
    <n v="2"/>
    <n v="16"/>
    <x v="40"/>
    <n v="60.3"/>
    <n v="65.030413191263676"/>
    <s v="."/>
    <m/>
  </r>
  <r>
    <n v="2025"/>
    <x v="0"/>
    <s v="SLake"/>
    <n v="1"/>
    <n v="19"/>
    <n v="2"/>
    <n v="36"/>
    <x v="36"/>
    <n v="63"/>
    <n v="68.556151583819499"/>
    <n v="10.4"/>
    <m/>
  </r>
  <r>
    <n v="2025"/>
    <x v="0"/>
    <s v="SLake"/>
    <n v="1"/>
    <n v="18"/>
    <n v="2"/>
    <n v="26"/>
    <x v="11"/>
    <n v="61.7"/>
    <n v="73.96046044067306"/>
    <s v="."/>
    <m/>
  </r>
  <r>
    <n v="2025"/>
    <x v="0"/>
    <s v="SLake"/>
    <n v="1"/>
    <n v="17"/>
    <n v="2"/>
    <n v="43"/>
    <x v="22"/>
    <n v="61.7"/>
    <n v="62.377493852755407"/>
    <n v="10.3"/>
    <m/>
  </r>
  <r>
    <n v="2025"/>
    <x v="0"/>
    <s v="SLake"/>
    <n v="1"/>
    <n v="16"/>
    <n v="2"/>
    <n v="1"/>
    <x v="12"/>
    <n v="61.9"/>
    <n v="69.084826189672626"/>
    <n v="10.1"/>
    <m/>
  </r>
  <r>
    <n v="2025"/>
    <x v="0"/>
    <s v="SLake"/>
    <n v="1"/>
    <n v="15"/>
    <n v="2"/>
    <n v="10"/>
    <x v="15"/>
    <n v="56.3"/>
    <n v="58.640877489031382"/>
    <n v="10"/>
    <m/>
  </r>
  <r>
    <n v="2025"/>
    <x v="0"/>
    <s v="SLake"/>
    <n v="1"/>
    <n v="14"/>
    <n v="2"/>
    <n v="34"/>
    <x v="0"/>
    <n v="59.3"/>
    <n v="61.827865098114842"/>
    <n v="10.5"/>
    <m/>
  </r>
  <r>
    <n v="2025"/>
    <x v="0"/>
    <s v="SLake"/>
    <n v="1"/>
    <n v="13"/>
    <n v="2"/>
    <n v="20"/>
    <x v="18"/>
    <n v="60.4"/>
    <n v="67.245920640277703"/>
    <n v="10.3"/>
    <m/>
  </r>
  <r>
    <n v="2025"/>
    <x v="0"/>
    <s v="SLake"/>
    <n v="1"/>
    <n v="12"/>
    <n v="2"/>
    <n v="24"/>
    <x v="29"/>
    <n v="60.7"/>
    <n v="64.116831396750399"/>
    <n v="10.1"/>
    <m/>
  </r>
  <r>
    <n v="2025"/>
    <x v="0"/>
    <s v="SLake"/>
    <n v="1"/>
    <n v="11"/>
    <n v="2"/>
    <n v="35"/>
    <x v="30"/>
    <n v="61.4"/>
    <n v="60.12986307314015"/>
    <n v="9.9"/>
    <m/>
  </r>
  <r>
    <n v="2025"/>
    <x v="0"/>
    <s v="SLake"/>
    <n v="1"/>
    <n v="10"/>
    <n v="2"/>
    <n v="46"/>
    <x v="25"/>
    <n v="61.7"/>
    <n v="57.761137360782989"/>
    <n v="10.5"/>
    <m/>
  </r>
  <r>
    <n v="2025"/>
    <x v="0"/>
    <s v="SLake"/>
    <n v="1"/>
    <n v="9"/>
    <n v="2"/>
    <n v="40"/>
    <x v="13"/>
    <n v="62"/>
    <n v="66.934424569692879"/>
    <s v="."/>
    <m/>
  </r>
  <r>
    <n v="2025"/>
    <x v="0"/>
    <s v="SLake"/>
    <n v="1"/>
    <n v="8"/>
    <n v="2"/>
    <n v="18"/>
    <x v="8"/>
    <n v="58.3"/>
    <n v="58.466752808447026"/>
    <n v="10.4"/>
    <m/>
  </r>
  <r>
    <n v="2025"/>
    <x v="0"/>
    <s v="SLake"/>
    <n v="2"/>
    <n v="7"/>
    <n v="2"/>
    <n v="20"/>
    <x v="18"/>
    <n v="60.2"/>
    <n v="74.722876428330352"/>
    <n v="10.199999999999999"/>
    <m/>
  </r>
  <r>
    <n v="2025"/>
    <x v="0"/>
    <s v="SLake"/>
    <n v="1"/>
    <n v="6"/>
    <n v="2"/>
    <n v="13"/>
    <x v="38"/>
    <n v="62.5"/>
    <n v="68.634144930331232"/>
    <n v="9.4"/>
    <m/>
  </r>
  <r>
    <n v="2025"/>
    <x v="0"/>
    <s v="SLake"/>
    <n v="1"/>
    <n v="5"/>
    <n v="2"/>
    <n v="15"/>
    <x v="7"/>
    <n v="60.4"/>
    <n v="67.885332433344587"/>
    <n v="9.3000000000000007"/>
    <m/>
  </r>
  <r>
    <n v="2025"/>
    <x v="0"/>
    <s v="SLake"/>
    <n v="1"/>
    <n v="4"/>
    <n v="2"/>
    <n v="11"/>
    <x v="2"/>
    <n v="61.3"/>
    <n v="65.447968757533403"/>
    <n v="9.5"/>
    <m/>
  </r>
  <r>
    <n v="2025"/>
    <x v="0"/>
    <s v="SLake"/>
    <n v="1"/>
    <n v="3"/>
    <n v="2"/>
    <n v="4"/>
    <x v="4"/>
    <n v="54.5"/>
    <n v="65.799654790029408"/>
    <n v="9.6999999999999993"/>
    <m/>
  </r>
  <r>
    <n v="2025"/>
    <x v="0"/>
    <s v="SLake"/>
    <n v="1"/>
    <n v="2"/>
    <n v="2"/>
    <n v="8"/>
    <x v="9"/>
    <n v="60.9"/>
    <n v="66.08375295308808"/>
    <n v="9.1999999999999993"/>
    <m/>
  </r>
  <r>
    <n v="2025"/>
    <x v="0"/>
    <s v="SLake"/>
    <n v="1"/>
    <n v="1"/>
    <n v="2"/>
    <n v="33"/>
    <x v="3"/>
    <n v="58"/>
    <n v="64.775192613663762"/>
    <n v="10.1"/>
    <m/>
  </r>
  <r>
    <n v="2025"/>
    <x v="0"/>
    <s v="SLake"/>
    <n v="2"/>
    <n v="1"/>
    <n v="3"/>
    <n v="9"/>
    <x v="1"/>
    <n v="57.2"/>
    <n v="74.446428571428569"/>
    <m/>
    <m/>
  </r>
  <r>
    <n v="2025"/>
    <x v="0"/>
    <s v="SLake"/>
    <n v="2"/>
    <n v="2"/>
    <n v="3"/>
    <n v="34"/>
    <x v="0"/>
    <n v="57.4"/>
    <n v="79.170843373493952"/>
    <m/>
    <m/>
  </r>
  <r>
    <n v="2025"/>
    <x v="0"/>
    <s v="SLake"/>
    <n v="2"/>
    <n v="3"/>
    <n v="3"/>
    <n v="27"/>
    <x v="39"/>
    <n v="58.8"/>
    <s v="."/>
    <m/>
    <m/>
  </r>
  <r>
    <n v="2025"/>
    <x v="0"/>
    <s v="SLake"/>
    <n v="2"/>
    <n v="4"/>
    <n v="3"/>
    <n v="12"/>
    <x v="41"/>
    <n v="60"/>
    <n v="58.588016351118753"/>
    <m/>
    <m/>
  </r>
  <r>
    <n v="2025"/>
    <x v="0"/>
    <s v="SLake"/>
    <n v="2"/>
    <n v="5"/>
    <n v="3"/>
    <n v="8"/>
    <x v="9"/>
    <n v="62.1"/>
    <n v="72.684487951807228"/>
    <m/>
    <m/>
  </r>
  <r>
    <n v="2025"/>
    <x v="0"/>
    <s v="SLake"/>
    <n v="2"/>
    <n v="6"/>
    <n v="3"/>
    <n v="21"/>
    <x v="26"/>
    <n v="61.3"/>
    <n v="66.596385542168662"/>
    <m/>
    <m/>
  </r>
  <r>
    <n v="2025"/>
    <x v="0"/>
    <s v="SLake"/>
    <n v="1"/>
    <n v="7"/>
    <n v="3"/>
    <n v="32"/>
    <x v="24"/>
    <n v="62.1"/>
    <n v="70.347319277108426"/>
    <m/>
    <m/>
  </r>
  <r>
    <n v="2025"/>
    <x v="0"/>
    <s v="SLake"/>
    <n v="2"/>
    <n v="8"/>
    <n v="3"/>
    <n v="4"/>
    <x v="4"/>
    <n v="58.9"/>
    <n v="69.882706540447487"/>
    <m/>
    <m/>
  </r>
  <r>
    <n v="2025"/>
    <x v="0"/>
    <s v="SLake"/>
    <n v="2"/>
    <n v="9"/>
    <n v="3"/>
    <n v="30"/>
    <x v="14"/>
    <n v="61.4"/>
    <n v="66.803463855421668"/>
    <m/>
    <m/>
  </r>
  <r>
    <n v="2025"/>
    <x v="0"/>
    <s v="SLake"/>
    <n v="2"/>
    <n v="10"/>
    <n v="3"/>
    <n v="22"/>
    <x v="33"/>
    <n v="61.6"/>
    <n v="69.439724612736669"/>
    <m/>
    <m/>
  </r>
  <r>
    <n v="2025"/>
    <x v="0"/>
    <s v="SLake"/>
    <n v="2"/>
    <n v="11"/>
    <n v="3"/>
    <n v="36"/>
    <x v="36"/>
    <n v="63.2"/>
    <n v="68.643029259896736"/>
    <m/>
    <m/>
  </r>
  <r>
    <n v="2025"/>
    <x v="0"/>
    <s v="SLake"/>
    <n v="2"/>
    <n v="12"/>
    <n v="3"/>
    <n v="18"/>
    <x v="8"/>
    <n v="59.5"/>
    <n v="58.011084337349388"/>
    <m/>
    <m/>
  </r>
  <r>
    <n v="2025"/>
    <x v="0"/>
    <s v="SLake"/>
    <n v="2"/>
    <n v="13"/>
    <n v="3"/>
    <n v="44"/>
    <x v="17"/>
    <n v="60.9"/>
    <n v="70.986445783132538"/>
    <m/>
    <m/>
  </r>
  <r>
    <n v="2025"/>
    <x v="0"/>
    <s v="SLake"/>
    <n v="2"/>
    <n v="14"/>
    <n v="3"/>
    <n v="23"/>
    <x v="35"/>
    <n v="61.8"/>
    <n v="70.543653184165223"/>
    <m/>
    <m/>
  </r>
  <r>
    <n v="2025"/>
    <x v="0"/>
    <s v="SLake"/>
    <n v="2"/>
    <n v="15"/>
    <n v="3"/>
    <n v="5"/>
    <x v="28"/>
    <n v="60.4"/>
    <n v="72.141824440619615"/>
    <m/>
    <m/>
  </r>
  <r>
    <n v="2025"/>
    <x v="0"/>
    <s v="SLake"/>
    <n v="2"/>
    <n v="16"/>
    <n v="3"/>
    <n v="46"/>
    <x v="25"/>
    <n v="60.9"/>
    <n v="64.033347676419965"/>
    <m/>
    <m/>
  </r>
  <r>
    <n v="2025"/>
    <x v="0"/>
    <s v="SLake"/>
    <n v="2"/>
    <n v="17"/>
    <n v="3"/>
    <n v="24"/>
    <x v="29"/>
    <n v="61.5"/>
    <n v="69.816867469879497"/>
    <m/>
    <m/>
  </r>
  <r>
    <n v="2025"/>
    <x v="0"/>
    <s v="SLake"/>
    <n v="2"/>
    <n v="18"/>
    <n v="3"/>
    <n v="11"/>
    <x v="2"/>
    <n v="58.3"/>
    <n v="72.277099827882964"/>
    <m/>
    <m/>
  </r>
  <r>
    <n v="2025"/>
    <x v="0"/>
    <s v="SLake"/>
    <n v="2"/>
    <n v="19"/>
    <n v="3"/>
    <n v="40"/>
    <x v="13"/>
    <n v="61.4"/>
    <n v="74.680959552495693"/>
    <m/>
    <m/>
  </r>
  <r>
    <n v="2025"/>
    <x v="0"/>
    <s v="SLake"/>
    <n v="2"/>
    <n v="20"/>
    <n v="3"/>
    <n v="6"/>
    <x v="10"/>
    <n v="56.3"/>
    <n v="62.276140275387256"/>
    <m/>
    <m/>
  </r>
  <r>
    <n v="2025"/>
    <x v="0"/>
    <s v="SLake"/>
    <n v="2"/>
    <n v="21"/>
    <n v="3"/>
    <n v="45"/>
    <x v="21"/>
    <n v="60.9"/>
    <n v="74.72838640275387"/>
    <m/>
    <m/>
  </r>
  <r>
    <n v="2025"/>
    <x v="0"/>
    <s v="SLake"/>
    <n v="2"/>
    <n v="21"/>
    <n v="4"/>
    <n v="33"/>
    <x v="3"/>
    <n v="61.2"/>
    <n v="66.897787735619303"/>
    <m/>
    <m/>
  </r>
  <r>
    <n v="2025"/>
    <x v="0"/>
    <s v="SLake"/>
    <n v="2"/>
    <n v="20"/>
    <n v="4"/>
    <n v="1"/>
    <x v="12"/>
    <n v="61.4"/>
    <n v="63.577760459792508"/>
    <m/>
    <m/>
  </r>
  <r>
    <n v="2025"/>
    <x v="0"/>
    <s v="SLake"/>
    <n v="2"/>
    <n v="19"/>
    <n v="4"/>
    <n v="31"/>
    <x v="6"/>
    <n v="61.8"/>
    <n v="57.785023622814272"/>
    <m/>
    <m/>
  </r>
  <r>
    <n v="2025"/>
    <x v="0"/>
    <s v="SLake"/>
    <n v="2"/>
    <n v="18"/>
    <n v="4"/>
    <n v="37"/>
    <x v="31"/>
    <n v="60.8"/>
    <n v="65.795821440748142"/>
    <m/>
    <m/>
  </r>
  <r>
    <n v="2025"/>
    <x v="0"/>
    <s v="SLake"/>
    <n v="2"/>
    <n v="17"/>
    <n v="4"/>
    <n v="13"/>
    <x v="38"/>
    <n v="62.2"/>
    <n v="63.881111002873702"/>
    <m/>
    <m/>
  </r>
  <r>
    <n v="2025"/>
    <x v="0"/>
    <s v="SLake"/>
    <n v="2"/>
    <n v="16"/>
    <n v="4"/>
    <n v="3"/>
    <x v="16"/>
    <n v="61.8"/>
    <n v="66.534596463883872"/>
    <m/>
    <m/>
  </r>
  <r>
    <n v="2025"/>
    <x v="0"/>
    <s v="SLake"/>
    <n v="2"/>
    <n v="15"/>
    <n v="4"/>
    <n v="15"/>
    <x v="7"/>
    <n v="61.8"/>
    <n v="69.395812673518094"/>
    <m/>
    <m/>
  </r>
  <r>
    <n v="2025"/>
    <x v="0"/>
    <s v="SLake"/>
    <n v="2"/>
    <n v="14"/>
    <n v="4"/>
    <n v="43"/>
    <x v="22"/>
    <n v="61.5"/>
    <n v="65.229576737616284"/>
    <m/>
    <m/>
  </r>
  <r>
    <n v="2025"/>
    <x v="0"/>
    <s v="SLake"/>
    <n v="2"/>
    <n v="13"/>
    <n v="4"/>
    <n v="42"/>
    <x v="42"/>
    <n v="62.9"/>
    <n v="67.349510496322637"/>
    <m/>
    <m/>
  </r>
  <r>
    <n v="2025"/>
    <x v="0"/>
    <s v="SLake"/>
    <n v="2"/>
    <n v="12"/>
    <n v="4"/>
    <n v="25"/>
    <x v="34"/>
    <n v="61.4"/>
    <n v="66.989067751205482"/>
    <m/>
    <m/>
  </r>
  <r>
    <n v="2025"/>
    <x v="0"/>
    <s v="SLake"/>
    <n v="2"/>
    <n v="11"/>
    <n v="4"/>
    <n v="10"/>
    <x v="15"/>
    <n v="57.6"/>
    <n v="58.04092591690614"/>
    <m/>
    <m/>
  </r>
  <r>
    <n v="2025"/>
    <x v="0"/>
    <s v="SLake"/>
    <n v="2"/>
    <n v="10"/>
    <n v="4"/>
    <n v="32"/>
    <x v="24"/>
    <n v="64.5"/>
    <n v="69.225066484827806"/>
    <m/>
    <m/>
  </r>
  <r>
    <n v="2025"/>
    <x v="0"/>
    <s v="SLake"/>
    <n v="2"/>
    <n v="9"/>
    <n v="4"/>
    <n v="28"/>
    <x v="37"/>
    <n v="59.7"/>
    <n v="69.421224489795932"/>
    <m/>
    <m/>
  </r>
  <r>
    <n v="2025"/>
    <x v="0"/>
    <s v="SLake"/>
    <n v="2"/>
    <n v="8"/>
    <n v="4"/>
    <n v="17"/>
    <x v="32"/>
    <n v="60.8"/>
    <n v="67.26734401636547"/>
    <m/>
    <m/>
  </r>
  <r>
    <n v="2025"/>
    <x v="0"/>
    <s v="SLake"/>
    <n v="2"/>
    <n v="7"/>
    <n v="4"/>
    <n v="29"/>
    <x v="27"/>
    <n v="60.8"/>
    <n v="62.499662948711709"/>
    <m/>
    <m/>
  </r>
  <r>
    <n v="2025"/>
    <x v="0"/>
    <s v="SLake"/>
    <n v="2"/>
    <n v="6"/>
    <n v="4"/>
    <n v="35"/>
    <x v="30"/>
    <n v="61.5"/>
    <n v="72.233208319127172"/>
    <m/>
    <m/>
  </r>
  <r>
    <n v="2025"/>
    <x v="0"/>
    <s v="SLake"/>
    <n v="2"/>
    <n v="5"/>
    <n v="4"/>
    <n v="41"/>
    <x v="20"/>
    <n v="57.7"/>
    <n v="63.945195070868444"/>
    <m/>
    <m/>
  </r>
  <r>
    <n v="2025"/>
    <x v="0"/>
    <s v="SLake"/>
    <n v="2"/>
    <n v="4"/>
    <n v="4"/>
    <n v="16"/>
    <x v="40"/>
    <n v="59.8"/>
    <n v="66.248171058399492"/>
    <m/>
    <m/>
  </r>
  <r>
    <n v="2025"/>
    <x v="0"/>
    <s v="SLake"/>
    <n v="2"/>
    <n v="3"/>
    <n v="4"/>
    <n v="26"/>
    <x v="11"/>
    <s v="."/>
    <s v="."/>
    <m/>
    <m/>
  </r>
  <r>
    <n v="2025"/>
    <x v="0"/>
    <s v="SLake"/>
    <n v="2"/>
    <n v="2"/>
    <n v="4"/>
    <n v="14"/>
    <x v="5"/>
    <n v="62.1"/>
    <n v="70.813618430665827"/>
    <m/>
    <m/>
  </r>
  <r>
    <n v="2025"/>
    <x v="0"/>
    <s v="SLake"/>
    <n v="2"/>
    <n v="1"/>
    <n v="4"/>
    <n v="2"/>
    <x v="23"/>
    <n v="58.7"/>
    <n v="67.883399736983094"/>
    <m/>
    <m/>
  </r>
  <r>
    <n v="2025"/>
    <x v="0"/>
    <s v="SLake"/>
    <n v="3"/>
    <n v="1"/>
    <n v="5"/>
    <n v="34"/>
    <x v="0"/>
    <n v="58.7"/>
    <n v="68.320857333587625"/>
    <m/>
    <m/>
  </r>
  <r>
    <n v="2025"/>
    <x v="0"/>
    <s v="SLake"/>
    <n v="3"/>
    <n v="2"/>
    <n v="5"/>
    <n v="27"/>
    <x v="39"/>
    <n v="60.8"/>
    <n v="60.150761014686246"/>
    <m/>
    <m/>
  </r>
  <r>
    <n v="2025"/>
    <x v="0"/>
    <s v="SLake"/>
    <n v="3"/>
    <n v="3"/>
    <n v="5"/>
    <n v="20"/>
    <x v="18"/>
    <n v="61.9"/>
    <n v="73.600259393477018"/>
    <m/>
    <m/>
  </r>
  <r>
    <n v="2025"/>
    <x v="0"/>
    <s v="SLake"/>
    <n v="3"/>
    <n v="4"/>
    <n v="5"/>
    <n v="8"/>
    <x v="9"/>
    <n v="62.1"/>
    <n v="68.342383177570085"/>
    <m/>
    <m/>
  </r>
  <r>
    <n v="2025"/>
    <x v="0"/>
    <s v="SLake"/>
    <n v="3"/>
    <n v="5"/>
    <n v="5"/>
    <n v="23"/>
    <x v="35"/>
    <n v="61.1"/>
    <n v="68.768840358573328"/>
    <m/>
    <m/>
  </r>
  <r>
    <n v="2025"/>
    <x v="0"/>
    <s v="SLake"/>
    <n v="3"/>
    <n v="6"/>
    <n v="5"/>
    <n v="37"/>
    <x v="31"/>
    <n v="61.3"/>
    <n v="70.220890711424772"/>
    <m/>
    <m/>
  </r>
  <r>
    <n v="2025"/>
    <x v="0"/>
    <s v="SLake"/>
    <n v="3"/>
    <n v="7"/>
    <n v="5"/>
    <n v="26"/>
    <x v="11"/>
    <n v="61.7"/>
    <n v="77.090844936105285"/>
    <m/>
    <m/>
  </r>
  <r>
    <n v="2025"/>
    <x v="0"/>
    <s v="SLake"/>
    <n v="3"/>
    <n v="8"/>
    <n v="5"/>
    <n v="13"/>
    <x v="38"/>
    <n v="62.9"/>
    <n v="66.590387182910547"/>
    <m/>
    <m/>
  </r>
  <r>
    <n v="2025"/>
    <x v="0"/>
    <s v="SLake"/>
    <n v="3"/>
    <n v="9"/>
    <n v="5"/>
    <n v="3"/>
    <x v="16"/>
    <n v="63.4"/>
    <n v="65.452585828724011"/>
    <m/>
    <m/>
  </r>
  <r>
    <n v="2025"/>
    <x v="0"/>
    <s v="SLake"/>
    <n v="3"/>
    <n v="10"/>
    <n v="5"/>
    <n v="5"/>
    <x v="28"/>
    <n v="62.2"/>
    <n v="65.055490654205599"/>
    <m/>
    <m/>
  </r>
  <r>
    <n v="2025"/>
    <x v="0"/>
    <s v="SLake"/>
    <n v="3"/>
    <n v="11"/>
    <n v="5"/>
    <n v="29"/>
    <x v="27"/>
    <n v="62"/>
    <n v="62.430423421705129"/>
    <m/>
    <m/>
  </r>
  <r>
    <n v="2025"/>
    <x v="0"/>
    <s v="SLake"/>
    <n v="3"/>
    <n v="12"/>
    <n v="5"/>
    <n v="9"/>
    <x v="1"/>
    <s v="."/>
    <n v="60.12399532710279"/>
    <m/>
    <m/>
  </r>
  <r>
    <n v="2025"/>
    <x v="0"/>
    <s v="SLake"/>
    <n v="3"/>
    <n v="13"/>
    <n v="5"/>
    <n v="4"/>
    <x v="4"/>
    <n v="58.7"/>
    <n v="64.97859240892619"/>
    <m/>
    <m/>
  </r>
  <r>
    <n v="2025"/>
    <x v="0"/>
    <s v="SLake"/>
    <n v="3"/>
    <n v="14"/>
    <n v="5"/>
    <n v="14"/>
    <x v="5"/>
    <n v="62.3"/>
    <n v="66.783930955559782"/>
    <m/>
    <m/>
  </r>
  <r>
    <n v="2025"/>
    <x v="0"/>
    <s v="SLake"/>
    <n v="3"/>
    <n v="15"/>
    <n v="5"/>
    <n v="24"/>
    <x v="29"/>
    <n v="61"/>
    <n v="66.521938775510208"/>
    <m/>
    <m/>
  </r>
  <r>
    <n v="2025"/>
    <x v="0"/>
    <s v="SLake"/>
    <n v="3"/>
    <n v="16"/>
    <n v="5"/>
    <n v="41"/>
    <x v="20"/>
    <n v="61.3"/>
    <n v="64.274753957657822"/>
    <m/>
    <m/>
  </r>
  <r>
    <n v="2025"/>
    <x v="0"/>
    <s v="SLake"/>
    <n v="3"/>
    <n v="17"/>
    <n v="5"/>
    <n v="25"/>
    <x v="34"/>
    <n v="60.4"/>
    <n v="68.051406637421323"/>
    <m/>
    <m/>
  </r>
  <r>
    <n v="2025"/>
    <x v="0"/>
    <s v="SLake"/>
    <n v="3"/>
    <n v="18"/>
    <n v="5"/>
    <n v="30"/>
    <x v="14"/>
    <n v="61.2"/>
    <n v="61.069669082586302"/>
    <m/>
    <m/>
  </r>
  <r>
    <n v="2025"/>
    <x v="0"/>
    <s v="SLake"/>
    <n v="3"/>
    <n v="19"/>
    <n v="5"/>
    <n v="1"/>
    <x v="12"/>
    <n v="59.9"/>
    <n v="67.374097844745378"/>
    <m/>
    <m/>
  </r>
  <r>
    <n v="2025"/>
    <x v="0"/>
    <s v="SLake"/>
    <n v="3"/>
    <n v="20"/>
    <n v="5"/>
    <n v="35"/>
    <x v="30"/>
    <n v="60.6"/>
    <n v="65.262016021361802"/>
    <m/>
    <m/>
  </r>
  <r>
    <n v="2025"/>
    <x v="0"/>
    <s v="SLake"/>
    <n v="3"/>
    <n v="21"/>
    <n v="5"/>
    <n v="11"/>
    <x v="2"/>
    <n v="63"/>
    <n v="69.602022696929239"/>
    <m/>
    <m/>
  </r>
  <r>
    <n v="2025"/>
    <x v="0"/>
    <s v="SLake"/>
    <n v="3"/>
    <n v="21"/>
    <n v="6"/>
    <n v="42"/>
    <x v="42"/>
    <n v="62.1"/>
    <n v="59.414300158890647"/>
    <m/>
    <m/>
  </r>
  <r>
    <n v="2025"/>
    <x v="0"/>
    <s v="SLake"/>
    <n v="3"/>
    <n v="20"/>
    <n v="6"/>
    <n v="36"/>
    <x v="36"/>
    <n v="62.5"/>
    <n v="59.229351437238179"/>
    <m/>
    <m/>
  </r>
  <r>
    <n v="2025"/>
    <x v="0"/>
    <s v="SLake"/>
    <n v="3"/>
    <n v="19"/>
    <n v="6"/>
    <n v="15"/>
    <x v="7"/>
    <n v="61.1"/>
    <n v="61.38271703018922"/>
    <m/>
    <m/>
  </r>
  <r>
    <n v="2025"/>
    <x v="0"/>
    <s v="SLake"/>
    <n v="3"/>
    <n v="18"/>
    <n v="6"/>
    <n v="33"/>
    <x v="3"/>
    <n v="60.2"/>
    <n v="60.644113823486919"/>
    <m/>
    <m/>
  </r>
  <r>
    <n v="2025"/>
    <x v="0"/>
    <s v="SLake"/>
    <n v="3"/>
    <n v="17"/>
    <n v="6"/>
    <n v="16"/>
    <x v="40"/>
    <n v="61.1"/>
    <n v="65.457976310847897"/>
    <m/>
    <m/>
  </r>
  <r>
    <n v="2025"/>
    <x v="0"/>
    <s v="SLake"/>
    <n v="3"/>
    <n v="16"/>
    <n v="6"/>
    <n v="40"/>
    <x v="13"/>
    <n v="62.3"/>
    <n v="63.585942510472336"/>
    <n v="9.1999999999999993"/>
    <m/>
  </r>
  <r>
    <n v="2025"/>
    <x v="0"/>
    <s v="SLake"/>
    <n v="3"/>
    <n v="15"/>
    <n v="6"/>
    <n v="17"/>
    <x v="32"/>
    <n v="61.1"/>
    <n v="66.074551495016607"/>
    <n v="9.5"/>
    <m/>
  </r>
  <r>
    <n v="2025"/>
    <x v="0"/>
    <s v="SLake"/>
    <n v="3"/>
    <n v="14"/>
    <n v="6"/>
    <n v="21"/>
    <x v="26"/>
    <n v="61.8"/>
    <n v="61.879218546872728"/>
    <m/>
    <m/>
  </r>
  <r>
    <n v="2025"/>
    <x v="0"/>
    <s v="SLake"/>
    <n v="3"/>
    <n v="13"/>
    <n v="6"/>
    <n v="2"/>
    <x v="23"/>
    <n v="61.8"/>
    <n v="67.247355192835471"/>
    <m/>
    <m/>
  </r>
  <r>
    <n v="2025"/>
    <x v="0"/>
    <s v="SLake"/>
    <n v="3"/>
    <n v="12"/>
    <n v="6"/>
    <n v="43"/>
    <x v="22"/>
    <s v="."/>
    <n v="62.125038278203078"/>
    <m/>
    <m/>
  </r>
  <r>
    <n v="2025"/>
    <x v="0"/>
    <s v="SLake"/>
    <n v="3"/>
    <n v="11"/>
    <n v="6"/>
    <n v="44"/>
    <x v="17"/>
    <n v="60.6"/>
    <n v="56.145283836487067"/>
    <m/>
    <m/>
  </r>
  <r>
    <n v="2025"/>
    <x v="0"/>
    <s v="SLake"/>
    <n v="3"/>
    <n v="10"/>
    <n v="6"/>
    <n v="10"/>
    <x v="15"/>
    <n v="58.8"/>
    <n v="52.194721941354892"/>
    <m/>
    <m/>
  </r>
  <r>
    <n v="2025"/>
    <x v="0"/>
    <s v="SLake"/>
    <n v="3"/>
    <n v="9"/>
    <n v="6"/>
    <n v="46"/>
    <x v="25"/>
    <n v="62.2"/>
    <n v="60.862334248158312"/>
    <m/>
    <m/>
  </r>
  <r>
    <n v="2025"/>
    <x v="0"/>
    <s v="SLake"/>
    <n v="3"/>
    <n v="8"/>
    <n v="6"/>
    <n v="31"/>
    <x v="6"/>
    <n v="59.9"/>
    <n v="58.02890076556406"/>
    <m/>
    <m/>
  </r>
  <r>
    <n v="2025"/>
    <x v="0"/>
    <s v="SLake"/>
    <n v="3"/>
    <n v="7"/>
    <n v="6"/>
    <n v="18"/>
    <x v="8"/>
    <n v="60.1"/>
    <n v="55.67223458038422"/>
    <m/>
    <m/>
  </r>
  <r>
    <n v="2025"/>
    <x v="0"/>
    <s v="SLake"/>
    <n v="3"/>
    <n v="6"/>
    <n v="6"/>
    <n v="12"/>
    <x v="41"/>
    <n v="60.9"/>
    <n v="57.695564061822907"/>
    <m/>
    <m/>
  </r>
  <r>
    <n v="2025"/>
    <x v="0"/>
    <s v="SLake"/>
    <n v="3"/>
    <n v="5"/>
    <n v="6"/>
    <n v="45"/>
    <x v="21"/>
    <n v="59.7"/>
    <n v="62.506995522172467"/>
    <m/>
    <m/>
  </r>
  <r>
    <n v="2025"/>
    <x v="0"/>
    <s v="SLake"/>
    <n v="3"/>
    <n v="4"/>
    <n v="6"/>
    <n v="28"/>
    <x v="37"/>
    <n v="56.9"/>
    <n v="64.925581395348829"/>
    <m/>
    <m/>
  </r>
  <r>
    <n v="2025"/>
    <x v="0"/>
    <s v="SLake"/>
    <n v="3"/>
    <n v="3"/>
    <n v="6"/>
    <n v="32"/>
    <x v="24"/>
    <n v="62.4"/>
    <n v="64.47198035533728"/>
    <m/>
    <m/>
  </r>
  <r>
    <n v="2025"/>
    <x v="0"/>
    <s v="SLake"/>
    <n v="3"/>
    <n v="2"/>
    <n v="6"/>
    <n v="22"/>
    <x v="33"/>
    <n v="55.6"/>
    <n v="59.78610429004766"/>
    <m/>
    <m/>
  </r>
  <r>
    <n v="2025"/>
    <x v="0"/>
    <s v="SLake"/>
    <n v="3"/>
    <n v="1"/>
    <n v="6"/>
    <n v="6"/>
    <x v="10"/>
    <n v="57.3"/>
    <n v="55.881445904954496"/>
    <m/>
    <m/>
  </r>
  <r>
    <n v="2025"/>
    <x v="0"/>
    <s v="Walsh"/>
    <n v="1"/>
    <n v="7"/>
    <n v="2"/>
    <n v="30"/>
    <x v="14"/>
    <n v="57.2"/>
    <n v="62.851799999999983"/>
    <n v="13.890599999999999"/>
    <m/>
  </r>
  <r>
    <n v="2025"/>
    <x v="0"/>
    <s v="Walsh"/>
    <n v="2"/>
    <n v="3"/>
    <n v="3"/>
    <n v="30"/>
    <x v="14"/>
    <n v="57.9"/>
    <n v="67.114959999999996"/>
    <n v="14.070600000000001"/>
    <m/>
  </r>
  <r>
    <n v="2025"/>
    <x v="0"/>
    <s v="Walsh"/>
    <n v="3"/>
    <n v="16"/>
    <n v="6"/>
    <n v="30"/>
    <x v="14"/>
    <n v="56.4"/>
    <n v="60.80415"/>
    <n v="13.890599999999999"/>
    <m/>
  </r>
  <r>
    <n v="2025"/>
    <x v="0"/>
    <s v="Walsh"/>
    <n v="1"/>
    <n v="9"/>
    <n v="2"/>
    <n v="37"/>
    <x v="31"/>
    <n v="59.2"/>
    <n v="68.603040000000007"/>
    <n v="13.3506"/>
    <m/>
  </r>
  <r>
    <n v="2025"/>
    <x v="0"/>
    <s v="Walsh"/>
    <n v="2"/>
    <n v="4"/>
    <n v="3"/>
    <n v="37"/>
    <x v="31"/>
    <n v="58.7"/>
    <n v="72.454139999999981"/>
    <n v="14.2506"/>
    <m/>
  </r>
  <r>
    <n v="2025"/>
    <x v="0"/>
    <s v="Walsh"/>
    <n v="3"/>
    <n v="10"/>
    <n v="6"/>
    <n v="37"/>
    <x v="31"/>
    <n v="58.7"/>
    <n v="60.074629999999999"/>
    <n v="14.610600000000002"/>
    <m/>
  </r>
  <r>
    <n v="2025"/>
    <x v="0"/>
    <s v="Walsh"/>
    <n v="1"/>
    <n v="11"/>
    <n v="1"/>
    <n v="40"/>
    <x v="13"/>
    <n v="58.7"/>
    <n v="80.600849999999994"/>
    <n v="12.630600000000001"/>
    <m/>
  </r>
  <r>
    <n v="2025"/>
    <x v="0"/>
    <s v="Walsh"/>
    <n v="2"/>
    <n v="16"/>
    <n v="4"/>
    <n v="40"/>
    <x v="13"/>
    <n v="59.1"/>
    <n v="62.79619499999999"/>
    <n v="13.980600000000001"/>
    <m/>
  </r>
  <r>
    <n v="2025"/>
    <x v="0"/>
    <s v="Walsh"/>
    <n v="3"/>
    <n v="3"/>
    <n v="5"/>
    <n v="40"/>
    <x v="13"/>
    <n v="59"/>
    <n v="60.678639999999994"/>
    <n v="13.710599999999999"/>
    <m/>
  </r>
  <r>
    <n v="2025"/>
    <x v="0"/>
    <s v="Walsh"/>
    <n v="1"/>
    <n v="21"/>
    <n v="1"/>
    <n v="41"/>
    <x v="20"/>
    <s v="."/>
    <s v="."/>
    <n v="14.3406"/>
    <m/>
  </r>
  <r>
    <n v="2025"/>
    <x v="0"/>
    <s v="Walsh"/>
    <n v="2"/>
    <n v="18"/>
    <n v="3"/>
    <n v="41"/>
    <x v="20"/>
    <n v="56.9"/>
    <n v="68.888819999999996"/>
    <n v="14.610600000000002"/>
    <m/>
  </r>
  <r>
    <n v="2025"/>
    <x v="0"/>
    <s v="Walsh"/>
    <n v="3"/>
    <n v="13"/>
    <n v="6"/>
    <n v="41"/>
    <x v="20"/>
    <n v="56.5"/>
    <n v="60.607634999999995"/>
    <n v="14.610600000000002"/>
    <m/>
  </r>
  <r>
    <n v="2025"/>
    <x v="0"/>
    <s v="Walsh"/>
    <n v="1"/>
    <n v="1"/>
    <n v="2"/>
    <n v="20"/>
    <x v="18"/>
    <n v="56.9"/>
    <n v="64.377224999999996"/>
    <n v="14.2506"/>
    <m/>
  </r>
  <r>
    <n v="2025"/>
    <x v="0"/>
    <s v="Walsh"/>
    <n v="2"/>
    <n v="16"/>
    <n v="3"/>
    <n v="20"/>
    <x v="18"/>
    <n v="57.1"/>
    <n v="79.025759999999991"/>
    <n v="13.980600000000001"/>
    <m/>
  </r>
  <r>
    <n v="2025"/>
    <x v="0"/>
    <s v="Walsh"/>
    <n v="3"/>
    <n v="21"/>
    <n v="6"/>
    <n v="20"/>
    <x v="18"/>
    <n v="56.9"/>
    <n v="83.401064999999988"/>
    <n v="13.710599999999999"/>
    <m/>
  </r>
  <r>
    <n v="2025"/>
    <x v="0"/>
    <s v="Walsh"/>
    <n v="1"/>
    <n v="14"/>
    <n v="2"/>
    <n v="32"/>
    <x v="24"/>
    <n v="59.3"/>
    <n v="74.324249999999992"/>
    <n v="14.3406"/>
    <m/>
  </r>
  <r>
    <n v="2025"/>
    <x v="0"/>
    <s v="Walsh"/>
    <n v="2"/>
    <n v="11"/>
    <n v="4"/>
    <n v="32"/>
    <x v="24"/>
    <n v="58.9"/>
    <n v="75.469239999999999"/>
    <n v="15.240600000000001"/>
    <m/>
  </r>
  <r>
    <n v="2025"/>
    <x v="0"/>
    <s v="Walsh"/>
    <n v="3"/>
    <n v="9"/>
    <n v="6"/>
    <n v="32"/>
    <x v="24"/>
    <n v="59"/>
    <n v="79.609529999999992"/>
    <n v="15.150600000000001"/>
    <m/>
  </r>
  <r>
    <n v="2025"/>
    <x v="0"/>
    <s v="Walsh"/>
    <n v="1"/>
    <n v="6"/>
    <n v="2"/>
    <n v="21"/>
    <x v="26"/>
    <n v="57.6"/>
    <n v="71.420359999999988"/>
    <n v="13.980600000000001"/>
    <m/>
  </r>
  <r>
    <n v="2025"/>
    <x v="0"/>
    <s v="Walsh"/>
    <n v="2"/>
    <n v="5"/>
    <n v="3"/>
    <n v="21"/>
    <x v="26"/>
    <n v="58.3"/>
    <n v="77.82929"/>
    <n v="13.2606"/>
    <m/>
  </r>
  <r>
    <n v="2025"/>
    <x v="0"/>
    <s v="Walsh"/>
    <n v="3"/>
    <n v="18"/>
    <n v="6"/>
    <n v="21"/>
    <x v="26"/>
    <n v="57.2"/>
    <n v="77.774234999999976"/>
    <n v="14.2506"/>
    <m/>
  </r>
  <r>
    <n v="2025"/>
    <x v="0"/>
    <s v="Walsh"/>
    <n v="1"/>
    <n v="16"/>
    <n v="1"/>
    <n v="29"/>
    <x v="27"/>
    <n v="57.8"/>
    <n v="64.639574999999994"/>
    <n v="13.620600000000001"/>
    <m/>
  </r>
  <r>
    <n v="2025"/>
    <x v="0"/>
    <s v="Walsh"/>
    <n v="2"/>
    <n v="14"/>
    <n v="3"/>
    <n v="29"/>
    <x v="27"/>
    <n v="57.5"/>
    <n v="69.678619999999981"/>
    <n v="14.070600000000001"/>
    <m/>
  </r>
  <r>
    <n v="2025"/>
    <x v="0"/>
    <s v="Walsh"/>
    <n v="3"/>
    <n v="21"/>
    <n v="5"/>
    <n v="29"/>
    <x v="27"/>
    <n v="57.6"/>
    <n v="55.23265"/>
    <n v="13.3506"/>
    <m/>
  </r>
  <r>
    <n v="2025"/>
    <x v="0"/>
    <s v="Walsh"/>
    <n v="1"/>
    <n v="18"/>
    <n v="2"/>
    <n v="22"/>
    <x v="33"/>
    <n v="58.7"/>
    <n v="71.162409999999994"/>
    <n v="12.720600000000001"/>
    <m/>
  </r>
  <r>
    <n v="2025"/>
    <x v="0"/>
    <s v="Walsh"/>
    <n v="2"/>
    <n v="1"/>
    <n v="3"/>
    <n v="22"/>
    <x v="33"/>
    <n v="59"/>
    <n v="71.572050000000004"/>
    <n v="12.810600000000001"/>
    <m/>
  </r>
  <r>
    <n v="2025"/>
    <x v="0"/>
    <s v="Walsh"/>
    <n v="3"/>
    <n v="7"/>
    <n v="5"/>
    <n v="22"/>
    <x v="33"/>
    <n v="58.7"/>
    <n v="61.910199999999989"/>
    <n v="13.530600000000002"/>
    <m/>
  </r>
  <r>
    <n v="2025"/>
    <x v="0"/>
    <s v="Walsh"/>
    <n v="1"/>
    <n v="18"/>
    <n v="1"/>
    <n v="18"/>
    <x v="8"/>
    <n v="57.8"/>
    <n v="54.973379999999992"/>
    <n v="14.4306"/>
    <m/>
  </r>
  <r>
    <n v="2025"/>
    <x v="0"/>
    <s v="Walsh"/>
    <n v="2"/>
    <n v="6"/>
    <n v="4"/>
    <n v="18"/>
    <x v="8"/>
    <n v="56.9"/>
    <n v="64.671749999999989"/>
    <n v="14.070600000000001"/>
    <m/>
  </r>
  <r>
    <n v="2025"/>
    <x v="0"/>
    <s v="Walsh"/>
    <n v="3"/>
    <n v="14"/>
    <n v="6"/>
    <n v="18"/>
    <x v="8"/>
    <n v="56.9"/>
    <n v="59.245339999999992"/>
    <n v="14.5206"/>
    <m/>
  </r>
  <r>
    <n v="2025"/>
    <x v="0"/>
    <s v="Walsh"/>
    <n v="1"/>
    <n v="1"/>
    <n v="1"/>
    <n v="14"/>
    <x v="5"/>
    <n v="58.9"/>
    <n v="76.619784999999993"/>
    <n v="12.720600000000001"/>
    <m/>
  </r>
  <r>
    <n v="2025"/>
    <x v="0"/>
    <s v="Walsh"/>
    <n v="2"/>
    <n v="8"/>
    <n v="4"/>
    <n v="14"/>
    <x v="5"/>
    <n v="58.4"/>
    <n v="72.672600000000003"/>
    <n v="14.070600000000001"/>
    <m/>
  </r>
  <r>
    <n v="2025"/>
    <x v="0"/>
    <s v="Walsh"/>
    <n v="3"/>
    <n v="9"/>
    <n v="5"/>
    <n v="14"/>
    <x v="5"/>
    <n v="59"/>
    <n v="76.070279999999997"/>
    <n v="13.2606"/>
    <m/>
  </r>
  <r>
    <n v="2025"/>
    <x v="0"/>
    <s v="Walsh"/>
    <n v="1"/>
    <n v="19"/>
    <n v="1"/>
    <n v="15"/>
    <x v="7"/>
    <n v="56.9"/>
    <n v="72.779849999999982"/>
    <n v="13.800599999999999"/>
    <m/>
  </r>
  <r>
    <n v="2025"/>
    <x v="0"/>
    <s v="Walsh"/>
    <n v="2"/>
    <n v="13"/>
    <n v="4"/>
    <n v="15"/>
    <x v="7"/>
    <n v="56.2"/>
    <n v="68.777005000000003"/>
    <n v="13.800599999999999"/>
    <m/>
  </r>
  <r>
    <n v="2025"/>
    <x v="0"/>
    <s v="Walsh"/>
    <n v="3"/>
    <n v="14"/>
    <n v="5"/>
    <n v="15"/>
    <x v="7"/>
    <n v="56.9"/>
    <n v="61.942649999999986"/>
    <n v="13.530600000000002"/>
    <m/>
  </r>
  <r>
    <n v="2025"/>
    <x v="0"/>
    <s v="Walsh"/>
    <n v="1"/>
    <n v="4"/>
    <n v="1"/>
    <n v="16"/>
    <x v="40"/>
    <n v="60.3"/>
    <n v="70.808319999999981"/>
    <n v="12.900600000000001"/>
    <m/>
  </r>
  <r>
    <n v="2025"/>
    <x v="0"/>
    <s v="Walsh"/>
    <n v="2"/>
    <n v="19"/>
    <n v="3"/>
    <n v="16"/>
    <x v="40"/>
    <n v="60.4"/>
    <n v="77.614845000000003"/>
    <n v="11.640599999999999"/>
    <m/>
  </r>
  <r>
    <n v="2025"/>
    <x v="0"/>
    <s v="Walsh"/>
    <n v="3"/>
    <n v="17"/>
    <n v="5"/>
    <n v="16"/>
    <x v="40"/>
    <n v="59.3"/>
    <n v="66.267299999999992"/>
    <n v="13.1706"/>
    <m/>
  </r>
  <r>
    <n v="2025"/>
    <x v="0"/>
    <s v="Walsh"/>
    <n v="1"/>
    <n v="20"/>
    <n v="1"/>
    <n v="11"/>
    <x v="2"/>
    <n v="59.7"/>
    <n v="74.686700000000002"/>
    <n v="13.620600000000001"/>
    <m/>
  </r>
  <r>
    <n v="2025"/>
    <x v="0"/>
    <s v="Walsh"/>
    <n v="2"/>
    <n v="3"/>
    <n v="4"/>
    <n v="11"/>
    <x v="2"/>
    <n v="59.1"/>
    <n v="70.16069499999999"/>
    <n v="12.990599999999999"/>
    <m/>
  </r>
  <r>
    <n v="2025"/>
    <x v="0"/>
    <s v="Walsh"/>
    <n v="3"/>
    <n v="11"/>
    <n v="6"/>
    <n v="11"/>
    <x v="2"/>
    <n v="58.9"/>
    <n v="68.628559999999993"/>
    <n v="13.620600000000001"/>
    <m/>
  </r>
  <r>
    <n v="2025"/>
    <x v="0"/>
    <s v="Walsh"/>
    <n v="1"/>
    <n v="4"/>
    <n v="2"/>
    <n v="1"/>
    <x v="12"/>
    <n v="57.9"/>
    <n v="70.231754999999993"/>
    <n v="13.0806"/>
    <m/>
  </r>
  <r>
    <n v="2025"/>
    <x v="0"/>
    <s v="Walsh"/>
    <n v="2"/>
    <n v="10"/>
    <n v="4"/>
    <n v="1"/>
    <x v="12"/>
    <n v="57.1"/>
    <n v="68.552494999999993"/>
    <n v="13.3506"/>
    <m/>
  </r>
  <r>
    <n v="2025"/>
    <x v="0"/>
    <s v="Walsh"/>
    <n v="3"/>
    <n v="5"/>
    <n v="5"/>
    <n v="1"/>
    <x v="12"/>
    <n v="57.6"/>
    <n v="61.182274999999997"/>
    <n v="13.710599999999999"/>
    <m/>
  </r>
  <r>
    <n v="2025"/>
    <x v="0"/>
    <s v="Walsh"/>
    <n v="1"/>
    <n v="12"/>
    <n v="1"/>
    <n v="17"/>
    <x v="32"/>
    <n v="58.6"/>
    <n v="83.865704999999991"/>
    <n v="11.460599999999999"/>
    <m/>
  </r>
  <r>
    <n v="2025"/>
    <x v="0"/>
    <s v="Walsh"/>
    <n v="2"/>
    <n v="10"/>
    <n v="3"/>
    <n v="17"/>
    <x v="32"/>
    <n v="58.5"/>
    <n v="82.492409999999992"/>
    <n v="12.4506"/>
    <m/>
  </r>
  <r>
    <n v="2025"/>
    <x v="0"/>
    <s v="Walsh"/>
    <n v="3"/>
    <n v="19"/>
    <n v="5"/>
    <n v="17"/>
    <x v="32"/>
    <n v="57.6"/>
    <n v="60.238859999999988"/>
    <n v="13.1706"/>
    <m/>
  </r>
  <r>
    <n v="2025"/>
    <x v="0"/>
    <s v="Walsh"/>
    <n v="1"/>
    <n v="17"/>
    <n v="2"/>
    <n v="12"/>
    <x v="41"/>
    <n v="58.3"/>
    <n v="69.254019999999983"/>
    <n v="13.2606"/>
    <m/>
  </r>
  <r>
    <n v="2025"/>
    <x v="0"/>
    <s v="Walsh"/>
    <n v="2"/>
    <n v="2"/>
    <n v="4"/>
    <n v="12"/>
    <x v="41"/>
    <n v="57.6"/>
    <n v="60.567044999999986"/>
    <n v="14.4306"/>
    <m/>
  </r>
  <r>
    <n v="2025"/>
    <x v="0"/>
    <s v="Walsh"/>
    <n v="3"/>
    <n v="1"/>
    <n v="6"/>
    <n v="12"/>
    <x v="41"/>
    <n v="57.9"/>
    <n v="53.099199999999996"/>
    <n v="14.3406"/>
    <m/>
  </r>
  <r>
    <n v="2025"/>
    <x v="0"/>
    <s v="Walsh"/>
    <n v="1"/>
    <n v="17"/>
    <n v="1"/>
    <n v="13"/>
    <x v="38"/>
    <n v="57.2"/>
    <n v="65.387520000000009"/>
    <n v="13.890599999999999"/>
    <m/>
  </r>
  <r>
    <n v="2025"/>
    <x v="0"/>
    <s v="Walsh"/>
    <n v="2"/>
    <n v="2"/>
    <n v="3"/>
    <n v="13"/>
    <x v="38"/>
    <n v="57.6"/>
    <n v="78.011559999999989"/>
    <n v="13.530600000000002"/>
    <m/>
  </r>
  <r>
    <n v="2025"/>
    <x v="0"/>
    <s v="Walsh"/>
    <n v="3"/>
    <n v="12"/>
    <n v="6"/>
    <n v="13"/>
    <x v="38"/>
    <n v="57.2"/>
    <n v="68.047979999999981"/>
    <n v="14.070600000000001"/>
    <m/>
  </r>
  <r>
    <n v="2025"/>
    <x v="0"/>
    <s v="Walsh"/>
    <n v="1"/>
    <n v="8"/>
    <n v="1"/>
    <n v="2"/>
    <x v="23"/>
    <n v="57.6"/>
    <n v="73.72475"/>
    <n v="12.900600000000001"/>
    <m/>
  </r>
  <r>
    <n v="2025"/>
    <x v="0"/>
    <s v="Walsh"/>
    <n v="2"/>
    <n v="13"/>
    <n v="3"/>
    <n v="2"/>
    <x v="23"/>
    <n v="58.9"/>
    <n v="81.259200000000007"/>
    <n v="13.0806"/>
    <m/>
  </r>
  <r>
    <n v="2025"/>
    <x v="0"/>
    <s v="Walsh"/>
    <n v="3"/>
    <n v="3"/>
    <n v="6"/>
    <n v="2"/>
    <x v="23"/>
    <n v="57.6"/>
    <n v="59.835380000000001"/>
    <n v="13.530600000000002"/>
    <m/>
  </r>
  <r>
    <n v="2025"/>
    <x v="0"/>
    <s v="Walsh"/>
    <n v="1"/>
    <n v="13"/>
    <n v="1"/>
    <n v="9"/>
    <x v="1"/>
    <n v="55.6"/>
    <n v="68.363514999999992"/>
    <n v="14.160600000000001"/>
    <m/>
  </r>
  <r>
    <n v="2025"/>
    <x v="0"/>
    <s v="Walsh"/>
    <n v="2"/>
    <n v="20"/>
    <n v="4"/>
    <n v="9"/>
    <x v="1"/>
    <n v="55.2"/>
    <n v="63.861270000000005"/>
    <n v="15.150600000000001"/>
    <m/>
  </r>
  <r>
    <n v="2025"/>
    <x v="0"/>
    <s v="Walsh"/>
    <n v="3"/>
    <n v="17"/>
    <n v="6"/>
    <n v="9"/>
    <x v="1"/>
    <n v="54.8"/>
    <n v="63.512624999999986"/>
    <n v="15.240600000000001"/>
    <m/>
  </r>
  <r>
    <n v="2025"/>
    <x v="0"/>
    <s v="Walsh"/>
    <n v="1"/>
    <n v="5"/>
    <n v="2"/>
    <n v="3"/>
    <x v="16"/>
    <n v="58.7"/>
    <n v="64.719269999999995"/>
    <n v="13.4406"/>
    <m/>
  </r>
  <r>
    <n v="2025"/>
    <x v="0"/>
    <s v="Walsh"/>
    <n v="2"/>
    <n v="15"/>
    <n v="3"/>
    <n v="3"/>
    <x v="16"/>
    <n v="58.5"/>
    <n v="69.90120499999999"/>
    <n v="14.070600000000001"/>
    <m/>
  </r>
  <r>
    <n v="2025"/>
    <x v="0"/>
    <s v="Walsh"/>
    <n v="3"/>
    <n v="20"/>
    <n v="6"/>
    <n v="3"/>
    <x v="16"/>
    <n v="58.5"/>
    <n v="68.595559999999992"/>
    <n v="13.800599999999999"/>
    <m/>
  </r>
  <r>
    <n v="2025"/>
    <x v="0"/>
    <s v="Walsh"/>
    <n v="1"/>
    <n v="3"/>
    <n v="2"/>
    <n v="10"/>
    <x v="15"/>
    <n v="54.4"/>
    <n v="54.89528"/>
    <n v="14.7006"/>
    <m/>
  </r>
  <r>
    <n v="2025"/>
    <x v="0"/>
    <s v="Walsh"/>
    <n v="2"/>
    <n v="6"/>
    <n v="3"/>
    <n v="10"/>
    <x v="15"/>
    <n v="53.4"/>
    <n v="59.206729999999986"/>
    <n v="15.240600000000001"/>
    <m/>
  </r>
  <r>
    <n v="2025"/>
    <x v="0"/>
    <s v="Walsh"/>
    <n v="3"/>
    <n v="12"/>
    <n v="5"/>
    <n v="10"/>
    <x v="15"/>
    <n v="54.1"/>
    <n v="55.525029999999987"/>
    <n v="15.060600000000003"/>
    <m/>
  </r>
  <r>
    <n v="2025"/>
    <x v="0"/>
    <s v="Walsh"/>
    <n v="1"/>
    <n v="9"/>
    <n v="1"/>
    <n v="4"/>
    <x v="4"/>
    <n v="57"/>
    <n v="74.826729999999998"/>
    <n v="12.900600000000001"/>
    <m/>
  </r>
  <r>
    <n v="2025"/>
    <x v="0"/>
    <s v="Walsh"/>
    <n v="2"/>
    <n v="7"/>
    <n v="3"/>
    <n v="4"/>
    <x v="4"/>
    <n v="56.1"/>
    <n v="67.366199999999992"/>
    <n v="13.2606"/>
    <m/>
  </r>
  <r>
    <n v="2025"/>
    <x v="0"/>
    <s v="Walsh"/>
    <n v="3"/>
    <n v="2"/>
    <n v="6"/>
    <n v="4"/>
    <x v="4"/>
    <n v="55.1"/>
    <n v="58.226300000000009"/>
    <n v="13.980600000000001"/>
    <m/>
  </r>
  <r>
    <n v="2025"/>
    <x v="0"/>
    <s v="Walsh"/>
    <n v="1"/>
    <n v="10"/>
    <n v="1"/>
    <n v="5"/>
    <x v="28"/>
    <n v="57.4"/>
    <n v="76.936859999999996"/>
    <n v="13.0806"/>
    <m/>
  </r>
  <r>
    <n v="2025"/>
    <x v="0"/>
    <s v="Walsh"/>
    <n v="2"/>
    <n v="20"/>
    <n v="3"/>
    <n v="5"/>
    <x v="28"/>
    <n v="57.1"/>
    <n v="52.842239999999997"/>
    <n v="13.980600000000001"/>
    <m/>
  </r>
  <r>
    <n v="2025"/>
    <x v="0"/>
    <s v="Walsh"/>
    <n v="3"/>
    <n v="19"/>
    <n v="6"/>
    <n v="5"/>
    <x v="28"/>
    <n v="57.3"/>
    <n v="67.670459999999991"/>
    <n v="13.800599999999999"/>
    <m/>
  </r>
  <r>
    <n v="2025"/>
    <x v="0"/>
    <s v="Walsh"/>
    <n v="1"/>
    <n v="2"/>
    <n v="1"/>
    <n v="6"/>
    <x v="10"/>
    <n v="57.6"/>
    <n v="61.439399999999992"/>
    <n v="14.970600000000001"/>
    <m/>
  </r>
  <r>
    <n v="2025"/>
    <x v="0"/>
    <s v="Walsh"/>
    <n v="2"/>
    <n v="9"/>
    <n v="3"/>
    <n v="6"/>
    <x v="10"/>
    <n v="58"/>
    <n v="62.391559999999998"/>
    <n v="13.890599999999999"/>
    <m/>
  </r>
  <r>
    <n v="2025"/>
    <x v="0"/>
    <s v="Walsh"/>
    <n v="3"/>
    <n v="6"/>
    <n v="6"/>
    <n v="6"/>
    <x v="10"/>
    <n v="57.6"/>
    <n v="56.618099999999998"/>
    <n v="14.7006"/>
    <m/>
  </r>
  <r>
    <n v="2025"/>
    <x v="0"/>
    <s v="Walsh"/>
    <n v="1"/>
    <n v="10"/>
    <n v="2"/>
    <n v="8"/>
    <x v="9"/>
    <n v="59"/>
    <n v="72.662810000000007"/>
    <n v="12.5406"/>
    <m/>
  </r>
  <r>
    <n v="2025"/>
    <x v="0"/>
    <s v="Walsh"/>
    <n v="2"/>
    <n v="12"/>
    <n v="4"/>
    <n v="8"/>
    <x v="9"/>
    <n v="59.1"/>
    <n v="72.56832"/>
    <n v="13.2606"/>
    <m/>
  </r>
  <r>
    <n v="2025"/>
    <x v="0"/>
    <s v="Walsh"/>
    <n v="3"/>
    <n v="4"/>
    <n v="6"/>
    <n v="8"/>
    <x v="9"/>
    <n v="57.2"/>
    <n v="71.162520000000001"/>
    <n v="13.3506"/>
    <m/>
  </r>
  <r>
    <n v="2025"/>
    <x v="0"/>
    <s v="Walsh"/>
    <n v="1"/>
    <n v="13"/>
    <n v="2"/>
    <n v="42"/>
    <x v="42"/>
    <n v="58.8"/>
    <n v="68.127289999999988"/>
    <n v="13.530600000000002"/>
    <m/>
  </r>
  <r>
    <n v="2025"/>
    <x v="0"/>
    <s v="Walsh"/>
    <n v="2"/>
    <n v="8"/>
    <n v="3"/>
    <n v="42"/>
    <x v="42"/>
    <n v="59.2"/>
    <n v="70.618019999999987"/>
    <n v="13.530600000000002"/>
    <m/>
  </r>
  <r>
    <n v="2025"/>
    <x v="0"/>
    <s v="Walsh"/>
    <n v="3"/>
    <n v="2"/>
    <n v="5"/>
    <n v="42"/>
    <x v="42"/>
    <n v="59.3"/>
    <n v="62.124479999999998"/>
    <n v="13.710599999999999"/>
    <m/>
  </r>
  <r>
    <n v="2025"/>
    <x v="0"/>
    <s v="Walsh"/>
    <n v="1"/>
    <n v="15"/>
    <n v="2"/>
    <n v="44"/>
    <x v="17"/>
    <n v="56.5"/>
    <n v="61.27319"/>
    <n v="14.5206"/>
    <m/>
  </r>
  <r>
    <n v="2025"/>
    <x v="0"/>
    <s v="Walsh"/>
    <n v="2"/>
    <n v="19"/>
    <n v="4"/>
    <n v="44"/>
    <x v="17"/>
    <n v="56.4"/>
    <n v="50.423724999999997"/>
    <n v="14.4306"/>
    <m/>
  </r>
  <r>
    <n v="2025"/>
    <x v="0"/>
    <s v="Walsh"/>
    <n v="3"/>
    <n v="1"/>
    <n v="5"/>
    <n v="44"/>
    <x v="17"/>
    <n v="57.3"/>
    <n v="55.182160000000003"/>
    <n v="14.070600000000001"/>
    <m/>
  </r>
  <r>
    <n v="2025"/>
    <x v="0"/>
    <s v="Walsh"/>
    <n v="1"/>
    <n v="15"/>
    <n v="1"/>
    <n v="43"/>
    <x v="22"/>
    <n v="54.8"/>
    <s v="."/>
    <n v="14.970600000000001"/>
    <m/>
  </r>
  <r>
    <n v="2025"/>
    <x v="0"/>
    <s v="Walsh"/>
    <n v="2"/>
    <n v="11"/>
    <n v="3"/>
    <n v="43"/>
    <x v="22"/>
    <n v="55.9"/>
    <n v="54.737100000000005"/>
    <n v="13.980600000000001"/>
    <m/>
  </r>
  <r>
    <n v="2025"/>
    <x v="0"/>
    <s v="Walsh"/>
    <n v="3"/>
    <n v="7"/>
    <n v="6"/>
    <n v="43"/>
    <x v="22"/>
    <n v="55.2"/>
    <n v="47.33014"/>
    <n v="14.790600000000001"/>
    <m/>
  </r>
  <r>
    <n v="2025"/>
    <x v="0"/>
    <s v="Walsh"/>
    <n v="1"/>
    <n v="3"/>
    <n v="1"/>
    <n v="27"/>
    <x v="39"/>
    <n v="58.8"/>
    <n v="73.50007500000001"/>
    <n v="13.0806"/>
    <m/>
  </r>
  <r>
    <n v="2025"/>
    <x v="0"/>
    <s v="Walsh"/>
    <n v="2"/>
    <n v="21"/>
    <n v="3"/>
    <n v="27"/>
    <x v="39"/>
    <n v="58.5"/>
    <n v="62.228099999999991"/>
    <n v="12.3606"/>
    <m/>
  </r>
  <r>
    <n v="2025"/>
    <x v="0"/>
    <s v="Walsh"/>
    <n v="3"/>
    <n v="6"/>
    <n v="5"/>
    <n v="27"/>
    <x v="39"/>
    <n v="58.1"/>
    <n v="57.820455000000003"/>
    <n v="14.5206"/>
    <m/>
  </r>
  <r>
    <n v="2025"/>
    <x v="0"/>
    <s v="Walsh"/>
    <n v="1"/>
    <n v="16"/>
    <n v="2"/>
    <n v="31"/>
    <x v="6"/>
    <n v="57.1"/>
    <n v="63.494199999999999"/>
    <n v="14.3406"/>
    <m/>
  </r>
  <r>
    <n v="2025"/>
    <x v="0"/>
    <s v="Walsh"/>
    <n v="2"/>
    <n v="14"/>
    <n v="4"/>
    <n v="31"/>
    <x v="6"/>
    <n v="56.9"/>
    <n v="56.328799999999994"/>
    <n v="14.2506"/>
    <m/>
  </r>
  <r>
    <n v="2025"/>
    <x v="0"/>
    <s v="Walsh"/>
    <n v="3"/>
    <n v="4"/>
    <n v="5"/>
    <n v="31"/>
    <x v="6"/>
    <n v="57.5"/>
    <n v="54.189629999999994"/>
    <n v="14.7006"/>
    <m/>
  </r>
  <r>
    <n v="2025"/>
    <x v="0"/>
    <s v="Walsh"/>
    <n v="1"/>
    <n v="12"/>
    <n v="2"/>
    <n v="23"/>
    <x v="35"/>
    <n v="59"/>
    <n v="67.355199999999982"/>
    <n v="13.620600000000001"/>
    <m/>
  </r>
  <r>
    <n v="2025"/>
    <x v="0"/>
    <s v="Walsh"/>
    <n v="2"/>
    <n v="15"/>
    <n v="4"/>
    <n v="23"/>
    <x v="35"/>
    <n v="58.2"/>
    <n v="70.058339999999987"/>
    <n v="14.160600000000001"/>
    <m/>
  </r>
  <r>
    <n v="2025"/>
    <x v="0"/>
    <s v="Walsh"/>
    <n v="3"/>
    <n v="20"/>
    <n v="5"/>
    <n v="23"/>
    <x v="35"/>
    <n v="58"/>
    <s v="."/>
    <n v="14.790600000000001"/>
    <m/>
  </r>
  <r>
    <n v="2025"/>
    <x v="0"/>
    <s v="Walsh"/>
    <n v="1"/>
    <n v="14"/>
    <n v="1"/>
    <n v="28"/>
    <x v="37"/>
    <n v="56.2"/>
    <n v="56.801249999999996"/>
    <n v="14.160600000000001"/>
    <m/>
  </r>
  <r>
    <n v="2025"/>
    <x v="0"/>
    <s v="Walsh"/>
    <n v="2"/>
    <n v="12"/>
    <n v="3"/>
    <n v="28"/>
    <x v="37"/>
    <n v="56.9"/>
    <n v="71.055104999999983"/>
    <n v="13.710599999999999"/>
    <m/>
  </r>
  <r>
    <n v="2025"/>
    <x v="0"/>
    <s v="Walsh"/>
    <n v="3"/>
    <n v="11"/>
    <n v="5"/>
    <n v="28"/>
    <x v="37"/>
    <n v="56.5"/>
    <n v="60.86849999999999"/>
    <n v="13.980600000000001"/>
    <m/>
  </r>
  <r>
    <n v="2025"/>
    <x v="0"/>
    <s v="Walsh"/>
    <n v="1"/>
    <n v="6"/>
    <n v="1"/>
    <n v="46"/>
    <x v="25"/>
    <n v="58.6"/>
    <n v="70.985144999999989"/>
    <n v="13.530600000000002"/>
    <m/>
  </r>
  <r>
    <n v="2025"/>
    <x v="0"/>
    <s v="Walsh"/>
    <n v="2"/>
    <n v="17"/>
    <n v="3"/>
    <n v="46"/>
    <x v="25"/>
    <n v="58.6"/>
    <n v="76.976349999999996"/>
    <n v="12.630600000000001"/>
    <m/>
  </r>
  <r>
    <n v="2025"/>
    <x v="0"/>
    <s v="Walsh"/>
    <n v="3"/>
    <n v="8"/>
    <n v="5"/>
    <n v="46"/>
    <x v="25"/>
    <n v="58.7"/>
    <n v="61.46403999999999"/>
    <n v="13.530600000000002"/>
    <m/>
  </r>
  <r>
    <n v="2025"/>
    <x v="0"/>
    <s v="Walsh"/>
    <n v="1"/>
    <n v="20"/>
    <n v="2"/>
    <n v="45"/>
    <x v="21"/>
    <n v="59.5"/>
    <n v="65.405339999999995"/>
    <n v="12.4506"/>
    <m/>
  </r>
  <r>
    <n v="2025"/>
    <x v="0"/>
    <s v="Walsh"/>
    <n v="2"/>
    <n v="9"/>
    <n v="4"/>
    <n v="45"/>
    <x v="21"/>
    <n v="58.6"/>
    <n v="69.913799999999995"/>
    <n v="13.530600000000002"/>
    <m/>
  </r>
  <r>
    <n v="2025"/>
    <x v="0"/>
    <s v="Walsh"/>
    <n v="3"/>
    <n v="15"/>
    <n v="6"/>
    <n v="45"/>
    <x v="21"/>
    <n v="58.5"/>
    <n v="68.811049999999994"/>
    <n v="13.4406"/>
    <m/>
  </r>
  <r>
    <n v="2025"/>
    <x v="0"/>
    <s v="Walsh"/>
    <n v="1"/>
    <n v="2"/>
    <n v="2"/>
    <n v="24"/>
    <x v="29"/>
    <n v="57.5"/>
    <n v="64.414349999999985"/>
    <n v="12.990599999999999"/>
    <m/>
  </r>
  <r>
    <n v="2025"/>
    <x v="0"/>
    <s v="Walsh"/>
    <n v="2"/>
    <n v="4"/>
    <n v="4"/>
    <n v="24"/>
    <x v="29"/>
    <n v="57"/>
    <n v="70.778179999999978"/>
    <n v="13.710599999999999"/>
    <m/>
  </r>
  <r>
    <n v="2025"/>
    <x v="0"/>
    <s v="Walsh"/>
    <n v="3"/>
    <n v="13"/>
    <n v="5"/>
    <n v="24"/>
    <x v="29"/>
    <n v="57.1"/>
    <n v="70.728239999999971"/>
    <n v="13.890599999999999"/>
    <m/>
  </r>
  <r>
    <n v="2025"/>
    <x v="0"/>
    <s v="Walsh"/>
    <n v="1"/>
    <n v="8"/>
    <n v="2"/>
    <n v="33"/>
    <x v="3"/>
    <n v="58"/>
    <n v="68.951959999999985"/>
    <n v="12.990599999999999"/>
    <m/>
  </r>
  <r>
    <n v="2025"/>
    <x v="0"/>
    <s v="Walsh"/>
    <n v="2"/>
    <n v="5"/>
    <n v="4"/>
    <n v="33"/>
    <x v="3"/>
    <n v="57.8"/>
    <n v="72.478560000000002"/>
    <n v="12.5406"/>
    <m/>
  </r>
  <r>
    <n v="2025"/>
    <x v="0"/>
    <s v="Walsh"/>
    <n v="3"/>
    <n v="18"/>
    <n v="5"/>
    <n v="33"/>
    <x v="3"/>
    <n v="58"/>
    <n v="59.103494999999995"/>
    <n v="13.1706"/>
    <m/>
  </r>
  <r>
    <n v="2025"/>
    <x v="0"/>
    <s v="Walsh"/>
    <n v="1"/>
    <n v="11"/>
    <n v="2"/>
    <n v="25"/>
    <x v="34"/>
    <n v="57.1"/>
    <n v="69.505424999999988"/>
    <n v="13.530600000000002"/>
    <m/>
  </r>
  <r>
    <n v="2025"/>
    <x v="0"/>
    <s v="Walsh"/>
    <n v="2"/>
    <n v="18"/>
    <n v="4"/>
    <n v="25"/>
    <x v="34"/>
    <n v="57.1"/>
    <n v="62.388480000000001"/>
    <n v="14.070600000000001"/>
    <m/>
  </r>
  <r>
    <n v="2025"/>
    <x v="0"/>
    <s v="Walsh"/>
    <n v="3"/>
    <n v="5"/>
    <n v="6"/>
    <n v="25"/>
    <x v="34"/>
    <n v="57.3"/>
    <n v="68.654079999999993"/>
    <n v="13.710599999999999"/>
    <m/>
  </r>
  <r>
    <n v="2025"/>
    <x v="0"/>
    <s v="Walsh"/>
    <n v="1"/>
    <n v="21"/>
    <n v="2"/>
    <n v="34"/>
    <x v="0"/>
    <n v="55.8"/>
    <n v="57.906089999999999"/>
    <n v="14.160600000000001"/>
    <m/>
  </r>
  <r>
    <n v="2025"/>
    <x v="0"/>
    <s v="Walsh"/>
    <n v="2"/>
    <n v="7"/>
    <n v="4"/>
    <n v="34"/>
    <x v="0"/>
    <n v="57.6"/>
    <n v="73.418730000000011"/>
    <n v="12.810600000000001"/>
    <m/>
  </r>
  <r>
    <n v="2025"/>
    <x v="0"/>
    <s v="Walsh"/>
    <n v="3"/>
    <n v="10"/>
    <n v="5"/>
    <n v="34"/>
    <x v="0"/>
    <n v="58"/>
    <n v="63.072074999999991"/>
    <n v="13.1706"/>
    <m/>
  </r>
  <r>
    <n v="2025"/>
    <x v="0"/>
    <s v="Walsh"/>
    <n v="1"/>
    <n v="19"/>
    <n v="2"/>
    <n v="35"/>
    <x v="30"/>
    <n v="57.4"/>
    <n v="75.403019999999998"/>
    <n v="13.800599999999999"/>
    <m/>
  </r>
  <r>
    <n v="2025"/>
    <x v="0"/>
    <s v="Walsh"/>
    <n v="2"/>
    <n v="1"/>
    <n v="4"/>
    <n v="35"/>
    <x v="30"/>
    <n v="58.1"/>
    <n v="78.254219999999975"/>
    <n v="13.530600000000002"/>
    <m/>
  </r>
  <r>
    <n v="2025"/>
    <x v="0"/>
    <s v="Walsh"/>
    <n v="3"/>
    <n v="15"/>
    <n v="5"/>
    <n v="35"/>
    <x v="30"/>
    <n v="57.7"/>
    <n v="69.426719999999989"/>
    <n v="13.980600000000001"/>
    <m/>
  </r>
  <r>
    <n v="2025"/>
    <x v="0"/>
    <s v="Walsh"/>
    <n v="1"/>
    <n v="5"/>
    <n v="1"/>
    <n v="26"/>
    <x v="11"/>
    <n v="57"/>
    <n v="80.176964999999996"/>
    <n v="13.0806"/>
    <m/>
  </r>
  <r>
    <n v="2025"/>
    <x v="0"/>
    <s v="Walsh"/>
    <n v="2"/>
    <n v="21"/>
    <n v="4"/>
    <n v="26"/>
    <x v="11"/>
    <n v="57"/>
    <n v="82.161254999999997"/>
    <n v="13.2606"/>
    <m/>
  </r>
  <r>
    <n v="2025"/>
    <x v="0"/>
    <s v="Walsh"/>
    <n v="3"/>
    <n v="8"/>
    <n v="6"/>
    <n v="26"/>
    <x v="11"/>
    <n v="56.9"/>
    <n v="78.867249999999999"/>
    <n v="13.710599999999999"/>
    <m/>
  </r>
  <r>
    <n v="2025"/>
    <x v="0"/>
    <s v="Walsh"/>
    <n v="1"/>
    <n v="7"/>
    <n v="1"/>
    <n v="36"/>
    <x v="36"/>
    <n v="58.9"/>
    <n v="59.367879999999985"/>
    <n v="13.800599999999999"/>
    <m/>
  </r>
  <r>
    <n v="2025"/>
    <x v="0"/>
    <s v="Walsh"/>
    <n v="2"/>
    <n v="17"/>
    <n v="4"/>
    <n v="36"/>
    <x v="36"/>
    <n v="58.3"/>
    <n v="61.585589999999989"/>
    <n v="13.980600000000001"/>
    <m/>
  </r>
  <r>
    <n v="2025"/>
    <x v="0"/>
    <s v="Walsh"/>
    <n v="3"/>
    <n v="16"/>
    <n v="5"/>
    <n v="36"/>
    <x v="36"/>
    <n v="58.8"/>
    <n v="53.317440000000005"/>
    <n v="14.3406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2">
  <r>
    <n v="2025"/>
    <x v="0"/>
    <s v="Burlington"/>
    <n v="1"/>
    <n v="1"/>
    <n v="1"/>
    <n v="34"/>
    <x v="0"/>
    <n v="57.4"/>
    <n v="55.987333365617431"/>
    <n v="14.9"/>
    <m/>
    <m/>
  </r>
  <r>
    <n v="2025"/>
    <x v="0"/>
    <s v="Burlington"/>
    <n v="1"/>
    <n v="2"/>
    <n v="1"/>
    <n v="9"/>
    <x v="1"/>
    <n v="53.2"/>
    <n v="44.851985956416463"/>
    <n v="16.600000000000001"/>
    <m/>
    <m/>
  </r>
  <r>
    <n v="2025"/>
    <x v="0"/>
    <s v="Burlington"/>
    <n v="1"/>
    <n v="3"/>
    <n v="1"/>
    <n v="11"/>
    <x v="2"/>
    <n v="57.9"/>
    <n v="66.940348184019371"/>
    <n v="14.5"/>
    <m/>
    <m/>
  </r>
  <r>
    <n v="2025"/>
    <x v="0"/>
    <s v="Burlington"/>
    <n v="1"/>
    <n v="4"/>
    <n v="1"/>
    <n v="33"/>
    <x v="3"/>
    <n v="57.3"/>
    <n v="62.267811864406781"/>
    <n v="14.5"/>
    <m/>
    <m/>
  </r>
  <r>
    <n v="2025"/>
    <x v="0"/>
    <s v="Burlington"/>
    <n v="1"/>
    <n v="5"/>
    <n v="1"/>
    <n v="4"/>
    <x v="4"/>
    <n v="54.1"/>
    <n v="49.276667506053265"/>
    <n v="15.3"/>
    <m/>
    <m/>
  </r>
  <r>
    <n v="2025"/>
    <x v="0"/>
    <s v="Burlington"/>
    <n v="1"/>
    <n v="6"/>
    <n v="1"/>
    <n v="14"/>
    <x v="5"/>
    <n v="57.6"/>
    <n v="76.380489588377714"/>
    <n v="14.4"/>
    <m/>
    <m/>
  </r>
  <r>
    <n v="2025"/>
    <x v="0"/>
    <s v="Burlington"/>
    <n v="1"/>
    <n v="7"/>
    <n v="1"/>
    <n v="31"/>
    <x v="6"/>
    <n v="57.2"/>
    <n v="60.873412445520586"/>
    <n v="14.2"/>
    <m/>
    <m/>
  </r>
  <r>
    <n v="2025"/>
    <x v="0"/>
    <s v="Burlington"/>
    <n v="1"/>
    <n v="8"/>
    <n v="1"/>
    <n v="15"/>
    <x v="7"/>
    <n v="56.3"/>
    <n v="53.440669830508476"/>
    <n v="13.9"/>
    <m/>
    <m/>
  </r>
  <r>
    <n v="2025"/>
    <x v="0"/>
    <s v="Burlington"/>
    <n v="1"/>
    <n v="9"/>
    <n v="1"/>
    <n v="18"/>
    <x v="8"/>
    <n v="56.1"/>
    <n v="57.232048619854723"/>
    <n v="13.3"/>
    <m/>
    <m/>
  </r>
  <r>
    <n v="2025"/>
    <x v="0"/>
    <s v="Burlington"/>
    <n v="1"/>
    <n v="10"/>
    <n v="1"/>
    <n v="8"/>
    <x v="9"/>
    <n v="56.6"/>
    <n v="61.575075544794188"/>
    <n v="13.9"/>
    <m/>
    <m/>
  </r>
  <r>
    <n v="2025"/>
    <x v="0"/>
    <s v="Burlington"/>
    <n v="1"/>
    <n v="11"/>
    <n v="1"/>
    <n v="6"/>
    <x v="10"/>
    <n v="56.6"/>
    <n v="50.398919999999997"/>
    <n v="15.6"/>
    <m/>
    <m/>
  </r>
  <r>
    <n v="2025"/>
    <x v="0"/>
    <s v="Burlington"/>
    <n v="1"/>
    <n v="11"/>
    <n v="2"/>
    <n v="26"/>
    <x v="11"/>
    <n v="56.6"/>
    <n v="66.763506857142843"/>
    <n v="14.5"/>
    <m/>
    <m/>
  </r>
  <r>
    <n v="2025"/>
    <x v="0"/>
    <s v="Burlington"/>
    <n v="1"/>
    <n v="10"/>
    <n v="2"/>
    <n v="1"/>
    <x v="12"/>
    <n v="56.1"/>
    <n v="64.18601357142856"/>
    <n v="13.7"/>
    <m/>
    <m/>
  </r>
  <r>
    <n v="2025"/>
    <x v="0"/>
    <s v="Burlington"/>
    <n v="1"/>
    <n v="9"/>
    <n v="2"/>
    <n v="40"/>
    <x v="13"/>
    <n v="58.9"/>
    <n v="58.878203999999997"/>
    <n v="13.7"/>
    <m/>
    <m/>
  </r>
  <r>
    <n v="2025"/>
    <x v="0"/>
    <s v="Burlington"/>
    <n v="1"/>
    <n v="8"/>
    <n v="2"/>
    <n v="30"/>
    <x v="14"/>
    <n v="55.9"/>
    <n v="46.95786857142857"/>
    <n v="14.1"/>
    <m/>
    <m/>
  </r>
  <r>
    <n v="2025"/>
    <x v="0"/>
    <s v="Burlington"/>
    <n v="1"/>
    <n v="7"/>
    <n v="2"/>
    <n v="10"/>
    <x v="15"/>
    <n v="52.4"/>
    <n v="47.099165142857132"/>
    <n v="16.100000000000001"/>
    <m/>
    <m/>
  </r>
  <r>
    <n v="2025"/>
    <x v="0"/>
    <s v="Burlington"/>
    <n v="1"/>
    <n v="6"/>
    <n v="2"/>
    <n v="3"/>
    <x v="16"/>
    <n v="59.4"/>
    <n v="52.902035999999974"/>
    <n v="14.1"/>
    <m/>
    <m/>
  </r>
  <r>
    <n v="2025"/>
    <x v="0"/>
    <s v="Burlington"/>
    <n v="1"/>
    <n v="5"/>
    <n v="2"/>
    <n v="44"/>
    <x v="17"/>
    <n v="55.5"/>
    <n v="41.854767428571421"/>
    <n v="15.1"/>
    <m/>
    <m/>
  </r>
  <r>
    <n v="2025"/>
    <x v="0"/>
    <s v="Burlington"/>
    <n v="1"/>
    <n v="4"/>
    <n v="2"/>
    <n v="20"/>
    <x v="18"/>
    <n v="57.3"/>
    <n v="69.06050485714286"/>
    <n v="13.9"/>
    <m/>
    <m/>
  </r>
  <r>
    <n v="2025"/>
    <x v="0"/>
    <s v="Burlington"/>
    <n v="1"/>
    <n v="3"/>
    <n v="2"/>
    <n v="0"/>
    <x v="19"/>
    <n v="56.2"/>
    <n v="44.290422"/>
    <n v="14"/>
    <m/>
    <m/>
  </r>
  <r>
    <n v="2025"/>
    <x v="0"/>
    <s v="Burlington"/>
    <n v="1"/>
    <n v="2"/>
    <n v="2"/>
    <n v="41"/>
    <x v="20"/>
    <n v="57.4"/>
    <n v="43.247980285714277"/>
    <n v="15"/>
    <m/>
    <m/>
  </r>
  <r>
    <n v="2025"/>
    <x v="0"/>
    <s v="Burlington"/>
    <n v="1"/>
    <n v="1"/>
    <n v="2"/>
    <n v="45"/>
    <x v="21"/>
    <n v="57.8"/>
    <n v="60.46163828571428"/>
    <n v="14.3"/>
    <m/>
    <m/>
  </r>
  <r>
    <n v="2025"/>
    <x v="0"/>
    <s v="Burlington"/>
    <n v="1"/>
    <n v="1"/>
    <n v="3"/>
    <n v="43"/>
    <x v="22"/>
    <n v="56.9"/>
    <n v="36.18369937046004"/>
    <n v="14.8"/>
    <m/>
    <m/>
  </r>
  <r>
    <n v="2025"/>
    <x v="0"/>
    <s v="Burlington"/>
    <n v="1"/>
    <n v="2"/>
    <n v="3"/>
    <n v="2"/>
    <x v="23"/>
    <n v="57.8"/>
    <n v="67.386351573849879"/>
    <n v="13.6"/>
    <m/>
    <m/>
  </r>
  <r>
    <n v="2025"/>
    <x v="0"/>
    <s v="Burlington"/>
    <n v="1"/>
    <n v="3"/>
    <n v="3"/>
    <n v="32"/>
    <x v="24"/>
    <n v="59.9"/>
    <n v="70.182495108958832"/>
    <n v="14.7"/>
    <m/>
    <m/>
  </r>
  <r>
    <n v="2025"/>
    <x v="0"/>
    <s v="Burlington"/>
    <n v="1"/>
    <n v="4"/>
    <n v="3"/>
    <n v="46"/>
    <x v="25"/>
    <n v="58"/>
    <n v="65.078639999999993"/>
    <n v="14.2"/>
    <m/>
    <m/>
  </r>
  <r>
    <n v="2025"/>
    <x v="0"/>
    <s v="Burlington"/>
    <n v="1"/>
    <n v="5"/>
    <n v="3"/>
    <n v="21"/>
    <x v="26"/>
    <n v="56.3"/>
    <n v="64.672361259079892"/>
    <n v="13.6"/>
    <m/>
    <m/>
  </r>
  <r>
    <n v="2025"/>
    <x v="0"/>
    <s v="Burlington"/>
    <n v="1"/>
    <n v="6"/>
    <n v="3"/>
    <n v="29"/>
    <x v="27"/>
    <n v="55.9"/>
    <n v="63.548449975786916"/>
    <n v="14.3"/>
    <m/>
    <m/>
  </r>
  <r>
    <n v="2025"/>
    <x v="0"/>
    <s v="Burlington"/>
    <n v="1"/>
    <n v="7"/>
    <n v="3"/>
    <n v="5"/>
    <x v="28"/>
    <n v="56.4"/>
    <n v="54.414973656174332"/>
    <n v="14.5"/>
    <m/>
    <m/>
  </r>
  <r>
    <n v="2025"/>
    <x v="0"/>
    <s v="Burlington"/>
    <n v="1"/>
    <n v="8"/>
    <n v="3"/>
    <n v="24"/>
    <x v="29"/>
    <n v="56.9"/>
    <n v="61.309328861985477"/>
    <n v="13.7"/>
    <m/>
    <m/>
  </r>
  <r>
    <n v="2025"/>
    <x v="0"/>
    <s v="Burlington"/>
    <n v="1"/>
    <n v="9"/>
    <n v="3"/>
    <n v="35"/>
    <x v="30"/>
    <n v="57.6"/>
    <n v="69.413991428571435"/>
    <n v="14.5"/>
    <m/>
    <m/>
  </r>
  <r>
    <n v="2025"/>
    <x v="0"/>
    <s v="Burlington"/>
    <n v="1"/>
    <n v="10"/>
    <n v="3"/>
    <n v="37"/>
    <x v="31"/>
    <n v="59.3"/>
    <n v="71.537903389830518"/>
    <n v="13.7"/>
    <m/>
    <m/>
  </r>
  <r>
    <n v="2025"/>
    <x v="0"/>
    <s v="Burlington"/>
    <n v="1"/>
    <n v="11"/>
    <n v="3"/>
    <n v="17"/>
    <x v="32"/>
    <n v="55.6"/>
    <n v="75.272039564164672"/>
    <n v="14.1"/>
    <m/>
    <m/>
  </r>
  <r>
    <n v="2025"/>
    <x v="0"/>
    <s v="Burlington"/>
    <n v="1"/>
    <n v="11"/>
    <n v="4"/>
    <n v="22"/>
    <x v="33"/>
    <n v="58.1"/>
    <n v="64.528196213425119"/>
    <n v="14.9"/>
    <m/>
    <m/>
  </r>
  <r>
    <n v="2025"/>
    <x v="0"/>
    <s v="Burlington"/>
    <n v="1"/>
    <n v="10"/>
    <n v="4"/>
    <n v="25"/>
    <x v="34"/>
    <n v="57.2"/>
    <n v="58.780753012048194"/>
    <n v="14.4"/>
    <m/>
    <m/>
  </r>
  <r>
    <n v="2025"/>
    <x v="0"/>
    <s v="Burlington"/>
    <n v="1"/>
    <n v="9"/>
    <n v="4"/>
    <n v="100"/>
    <x v="19"/>
    <n v="56"/>
    <n v="46.333192771084342"/>
    <n v="14.8"/>
    <m/>
    <m/>
  </r>
  <r>
    <n v="2025"/>
    <x v="0"/>
    <s v="Burlington"/>
    <n v="1"/>
    <n v="8"/>
    <n v="4"/>
    <n v="23"/>
    <x v="35"/>
    <n v="56.9"/>
    <n v="53.134046901893278"/>
    <n v="15.6"/>
    <m/>
    <m/>
  </r>
  <r>
    <n v="2025"/>
    <x v="0"/>
    <s v="Burlington"/>
    <n v="1"/>
    <n v="7"/>
    <n v="4"/>
    <n v="36"/>
    <x v="36"/>
    <n v="57"/>
    <n v="53.901893287435449"/>
    <n v="15.2"/>
    <m/>
    <m/>
  </r>
  <r>
    <n v="2025"/>
    <x v="0"/>
    <s v="Burlington"/>
    <n v="1"/>
    <n v="6"/>
    <n v="4"/>
    <n v="28"/>
    <x v="37"/>
    <n v="55.1"/>
    <n v="54.963582616178996"/>
    <n v="14"/>
    <m/>
    <m/>
  </r>
  <r>
    <n v="2025"/>
    <x v="0"/>
    <s v="Burlington"/>
    <n v="1"/>
    <n v="5"/>
    <n v="4"/>
    <n v="13"/>
    <x v="38"/>
    <n v="56.1"/>
    <n v="61.831416523235788"/>
    <n v="14.5"/>
    <m/>
    <m/>
  </r>
  <r>
    <n v="2025"/>
    <x v="0"/>
    <s v="Burlington"/>
    <n v="1"/>
    <n v="4"/>
    <n v="4"/>
    <n v="27"/>
    <x v="39"/>
    <n v="56.4"/>
    <n v="68.484087779690185"/>
    <n v="14.1"/>
    <m/>
    <m/>
  </r>
  <r>
    <n v="2025"/>
    <x v="0"/>
    <s v="Burlington"/>
    <n v="1"/>
    <n v="3"/>
    <n v="4"/>
    <n v="16"/>
    <x v="40"/>
    <n v="59.4"/>
    <n v="67.523623063683303"/>
    <n v="14.2"/>
    <m/>
    <m/>
  </r>
  <r>
    <n v="2025"/>
    <x v="0"/>
    <s v="Burlington"/>
    <n v="1"/>
    <n v="2"/>
    <n v="4"/>
    <n v="12"/>
    <x v="41"/>
    <n v="56.9"/>
    <n v="55.833955249569698"/>
    <n v="15.5"/>
    <m/>
    <m/>
  </r>
  <r>
    <n v="2025"/>
    <x v="0"/>
    <s v="Burlington"/>
    <n v="1"/>
    <n v="1"/>
    <n v="4"/>
    <n v="42"/>
    <x v="42"/>
    <n v="58.3"/>
    <n v="62.616771084337344"/>
    <n v="14.7"/>
    <m/>
    <m/>
  </r>
  <r>
    <n v="2025"/>
    <x v="0"/>
    <s v="Burlington"/>
    <n v="2"/>
    <n v="1"/>
    <n v="5"/>
    <n v="11"/>
    <x v="2"/>
    <n v="60.2"/>
    <n v="69.302820998278833"/>
    <m/>
    <m/>
    <m/>
  </r>
  <r>
    <n v="2025"/>
    <x v="0"/>
    <s v="Burlington"/>
    <n v="2"/>
    <n v="2"/>
    <n v="5"/>
    <n v="13"/>
    <x v="38"/>
    <n v="56.4"/>
    <n v="57.612963855421675"/>
    <m/>
    <m/>
    <m/>
  </r>
  <r>
    <n v="2025"/>
    <x v="0"/>
    <s v="Burlington"/>
    <n v="2"/>
    <n v="3"/>
    <n v="5"/>
    <n v="20"/>
    <x v="18"/>
    <n v="56.9"/>
    <n v="67.075907917383816"/>
    <m/>
    <m/>
    <m/>
  </r>
  <r>
    <n v="2025"/>
    <x v="0"/>
    <s v="Burlington"/>
    <n v="2"/>
    <n v="4"/>
    <n v="5"/>
    <n v="1"/>
    <x v="12"/>
    <n v="56.8"/>
    <n v="68.136537005163504"/>
    <m/>
    <m/>
    <m/>
  </r>
  <r>
    <n v="2025"/>
    <x v="0"/>
    <s v="Burlington"/>
    <n v="2"/>
    <n v="5"/>
    <n v="5"/>
    <n v="46"/>
    <x v="25"/>
    <n v="57.1"/>
    <n v="58.319879518072291"/>
    <m/>
    <m/>
    <m/>
  </r>
  <r>
    <n v="2025"/>
    <x v="0"/>
    <s v="Burlington"/>
    <n v="2"/>
    <n v="6"/>
    <n v="5"/>
    <n v="100"/>
    <x v="19"/>
    <n v="56.6"/>
    <n v="50.36559681583477"/>
    <m/>
    <m/>
    <m/>
  </r>
  <r>
    <n v="2025"/>
    <x v="0"/>
    <s v="Burlington"/>
    <n v="2"/>
    <n v="7"/>
    <n v="5"/>
    <n v="24"/>
    <x v="29"/>
    <n v="56.6"/>
    <n v="64.908860585197928"/>
    <m/>
    <m/>
    <m/>
  </r>
  <r>
    <n v="2025"/>
    <x v="0"/>
    <s v="Burlington"/>
    <n v="2"/>
    <n v="8"/>
    <n v="5"/>
    <n v="36"/>
    <x v="36"/>
    <n v="58.4"/>
    <n v="48.218320137693624"/>
    <m/>
    <m/>
    <m/>
  </r>
  <r>
    <n v="2025"/>
    <x v="0"/>
    <s v="Burlington"/>
    <n v="2"/>
    <n v="9"/>
    <n v="5"/>
    <n v="42"/>
    <x v="42"/>
    <s v="."/>
    <s v="."/>
    <m/>
    <m/>
    <m/>
  </r>
  <r>
    <n v="2025"/>
    <x v="0"/>
    <s v="Burlington"/>
    <n v="2"/>
    <n v="10"/>
    <n v="5"/>
    <n v="6"/>
    <x v="10"/>
    <n v="54.1"/>
    <n v="46.49379087779689"/>
    <m/>
    <m/>
    <m/>
  </r>
  <r>
    <n v="2025"/>
    <x v="0"/>
    <s v="Burlington"/>
    <n v="2"/>
    <n v="11"/>
    <n v="5"/>
    <n v="3"/>
    <x v="16"/>
    <n v="56.9"/>
    <n v="58.005219879518073"/>
    <m/>
    <m/>
    <m/>
  </r>
  <r>
    <n v="2025"/>
    <x v="0"/>
    <s v="Burlington"/>
    <n v="2"/>
    <n v="11"/>
    <n v="6"/>
    <n v="15"/>
    <x v="7"/>
    <n v="54.2"/>
    <n v="71.941911784068466"/>
    <m/>
    <m/>
    <m/>
  </r>
  <r>
    <n v="2025"/>
    <x v="0"/>
    <s v="Burlington"/>
    <n v="2"/>
    <n v="10"/>
    <n v="6"/>
    <n v="4"/>
    <x v="4"/>
    <n v="54.3"/>
    <n v="54.581103075331519"/>
    <m/>
    <m/>
    <m/>
  </r>
  <r>
    <n v="2025"/>
    <x v="0"/>
    <s v="Burlington"/>
    <n v="2"/>
    <n v="9"/>
    <n v="6"/>
    <n v="25"/>
    <x v="34"/>
    <s v="."/>
    <s v="."/>
    <m/>
    <m/>
    <m/>
  </r>
  <r>
    <n v="2025"/>
    <x v="0"/>
    <s v="Burlington"/>
    <n v="2"/>
    <n v="8"/>
    <n v="6"/>
    <n v="44"/>
    <x v="17"/>
    <n v="55.8"/>
    <n v="45.479978980532309"/>
    <m/>
    <m/>
    <m/>
  </r>
  <r>
    <n v="2025"/>
    <x v="0"/>
    <s v="Burlington"/>
    <n v="2"/>
    <n v="7"/>
    <n v="6"/>
    <n v="17"/>
    <x v="32"/>
    <n v="57.6"/>
    <n v="72.768957020596261"/>
    <m/>
    <m/>
    <m/>
  </r>
  <r>
    <n v="2025"/>
    <x v="0"/>
    <s v="Burlington"/>
    <n v="2"/>
    <n v="6"/>
    <n v="6"/>
    <n v="2"/>
    <x v="23"/>
    <n v="57.1"/>
    <n v="61.840057180475874"/>
    <m/>
    <m/>
    <m/>
  </r>
  <r>
    <n v="2025"/>
    <x v="0"/>
    <s v="Burlington"/>
    <n v="2"/>
    <n v="5"/>
    <n v="6"/>
    <n v="31"/>
    <x v="6"/>
    <n v="56.6"/>
    <n v="62.56386142198815"/>
    <m/>
    <m/>
    <m/>
  </r>
  <r>
    <n v="2025"/>
    <x v="0"/>
    <s v="Burlington"/>
    <n v="2"/>
    <n v="4"/>
    <n v="6"/>
    <n v="37"/>
    <x v="31"/>
    <n v="57.6"/>
    <n v="66.970581115395476"/>
    <m/>
    <m/>
    <m/>
  </r>
  <r>
    <n v="2025"/>
    <x v="0"/>
    <s v="Burlington"/>
    <n v="2"/>
    <n v="3"/>
    <n v="6"/>
    <n v="21"/>
    <x v="26"/>
    <n v="57.3"/>
    <n v="66.354263519232575"/>
    <m/>
    <m/>
    <m/>
  </r>
  <r>
    <n v="2025"/>
    <x v="0"/>
    <s v="Burlington"/>
    <n v="2"/>
    <n v="2"/>
    <n v="6"/>
    <n v="5"/>
    <x v="28"/>
    <n v="56.3"/>
    <n v="54.993648076742211"/>
    <m/>
    <m/>
    <m/>
  </r>
  <r>
    <n v="2025"/>
    <x v="0"/>
    <s v="Burlington"/>
    <n v="2"/>
    <n v="1"/>
    <n v="6"/>
    <n v="23"/>
    <x v="35"/>
    <n v="58"/>
    <n v="57.240276779836357"/>
    <m/>
    <m/>
    <m/>
  </r>
  <r>
    <n v="2025"/>
    <x v="0"/>
    <s v="Burlington"/>
    <n v="2"/>
    <n v="1"/>
    <n v="7"/>
    <n v="32"/>
    <x v="24"/>
    <n v="59.4"/>
    <n v="71.241509281133972"/>
    <m/>
    <m/>
    <m/>
  </r>
  <r>
    <n v="2025"/>
    <x v="0"/>
    <s v="Burlington"/>
    <n v="2"/>
    <n v="2"/>
    <n v="7"/>
    <n v="16"/>
    <x v="40"/>
    <n v="60"/>
    <n v="69.779835687768198"/>
    <m/>
    <m/>
    <m/>
  </r>
  <r>
    <n v="2025"/>
    <x v="0"/>
    <s v="Burlington"/>
    <n v="2"/>
    <n v="3"/>
    <n v="7"/>
    <n v="0"/>
    <x v="19"/>
    <n v="57.3"/>
    <n v="53.458744660334595"/>
    <m/>
    <m/>
    <m/>
  </r>
  <r>
    <n v="2025"/>
    <x v="0"/>
    <s v="Burlington"/>
    <n v="2"/>
    <n v="4"/>
    <n v="7"/>
    <n v="34"/>
    <x v="0"/>
    <n v="57.5"/>
    <n v="68.57744462658502"/>
    <m/>
    <m/>
    <m/>
  </r>
  <r>
    <n v="2025"/>
    <x v="0"/>
    <s v="Burlington"/>
    <n v="2"/>
    <n v="5"/>
    <n v="7"/>
    <n v="8"/>
    <x v="9"/>
    <n v="55.9"/>
    <n v="71.209185478038648"/>
    <m/>
    <m/>
    <m/>
  </r>
  <r>
    <n v="2025"/>
    <x v="0"/>
    <s v="Burlington"/>
    <n v="2"/>
    <n v="6"/>
    <n v="7"/>
    <n v="27"/>
    <x v="39"/>
    <n v="56.5"/>
    <n v="75.621933513331101"/>
    <m/>
    <m/>
    <m/>
  </r>
  <r>
    <n v="2025"/>
    <x v="0"/>
    <s v="Burlington"/>
    <n v="2"/>
    <n v="7"/>
    <n v="7"/>
    <n v="12"/>
    <x v="41"/>
    <n v="56.4"/>
    <n v="63.734826286099995"/>
    <m/>
    <m/>
    <m/>
  </r>
  <r>
    <n v="2025"/>
    <x v="0"/>
    <s v="Burlington"/>
    <n v="2"/>
    <n v="8"/>
    <n v="7"/>
    <n v="10"/>
    <x v="15"/>
    <n v="52.6"/>
    <n v="47.086673930861572"/>
    <m/>
    <m/>
    <m/>
  </r>
  <r>
    <n v="2025"/>
    <x v="0"/>
    <s v="Burlington"/>
    <n v="2"/>
    <n v="9"/>
    <n v="7"/>
    <n v="14"/>
    <x v="5"/>
    <n v="58.4"/>
    <n v="77.003045802998898"/>
    <m/>
    <m/>
    <m/>
  </r>
  <r>
    <n v="2025"/>
    <x v="0"/>
    <s v="Burlington"/>
    <n v="2"/>
    <n v="10"/>
    <n v="7"/>
    <n v="28"/>
    <x v="37"/>
    <n v="55.5"/>
    <n v="58.476480497565205"/>
    <m/>
    <m/>
    <m/>
  </r>
  <r>
    <n v="2025"/>
    <x v="0"/>
    <s v="Burlington"/>
    <n v="2"/>
    <n v="11"/>
    <n v="7"/>
    <n v="30"/>
    <x v="14"/>
    <n v="55.9"/>
    <n v="52.34300544814618"/>
    <m/>
    <m/>
    <m/>
  </r>
  <r>
    <n v="2025"/>
    <x v="0"/>
    <s v="Burlington"/>
    <n v="2"/>
    <n v="11"/>
    <n v="8"/>
    <n v="43"/>
    <x v="22"/>
    <n v="54.8"/>
    <n v="49.793762478485363"/>
    <m/>
    <m/>
    <m/>
  </r>
  <r>
    <n v="2025"/>
    <x v="0"/>
    <s v="Burlington"/>
    <n v="2"/>
    <n v="10"/>
    <n v="8"/>
    <n v="45"/>
    <x v="21"/>
    <n v="57.1"/>
    <n v="68.511540447504302"/>
    <m/>
    <m/>
    <m/>
  </r>
  <r>
    <n v="2025"/>
    <x v="0"/>
    <s v="Burlington"/>
    <n v="2"/>
    <n v="9"/>
    <n v="8"/>
    <n v="22"/>
    <x v="33"/>
    <n v="58.8"/>
    <n v="66.667653614457848"/>
    <m/>
    <m/>
    <m/>
  </r>
  <r>
    <n v="2025"/>
    <x v="0"/>
    <s v="Burlington"/>
    <n v="2"/>
    <n v="8"/>
    <n v="8"/>
    <n v="40"/>
    <x v="13"/>
    <n v="59"/>
    <n v="67.309728915662632"/>
    <m/>
    <m/>
    <m/>
  </r>
  <r>
    <n v="2025"/>
    <x v="0"/>
    <s v="Burlington"/>
    <n v="2"/>
    <n v="7"/>
    <n v="8"/>
    <n v="29"/>
    <x v="27"/>
    <n v="55.9"/>
    <n v="65.814107573149727"/>
    <m/>
    <m/>
    <m/>
  </r>
  <r>
    <n v="2025"/>
    <x v="0"/>
    <s v="Burlington"/>
    <n v="2"/>
    <n v="6"/>
    <n v="8"/>
    <n v="26"/>
    <x v="11"/>
    <n v="57.6"/>
    <n v="76.278610154905337"/>
    <m/>
    <m/>
    <m/>
  </r>
  <r>
    <n v="2025"/>
    <x v="0"/>
    <s v="Burlington"/>
    <n v="2"/>
    <n v="5"/>
    <n v="8"/>
    <n v="35"/>
    <x v="30"/>
    <n v="57.5"/>
    <n v="71.763204819277107"/>
    <m/>
    <m/>
    <m/>
  </r>
  <r>
    <n v="2025"/>
    <x v="0"/>
    <s v="Burlington"/>
    <n v="2"/>
    <n v="4"/>
    <n v="8"/>
    <n v="9"/>
    <x v="1"/>
    <n v="55.6"/>
    <n v="53.053946643717723"/>
    <m/>
    <m/>
    <m/>
  </r>
  <r>
    <n v="2025"/>
    <x v="0"/>
    <s v="Burlington"/>
    <n v="2"/>
    <n v="3"/>
    <n v="8"/>
    <n v="18"/>
    <x v="8"/>
    <n v="56.3"/>
    <n v="52.453376936316687"/>
    <m/>
    <m/>
    <m/>
  </r>
  <r>
    <n v="2025"/>
    <x v="0"/>
    <s v="Burlington"/>
    <n v="2"/>
    <n v="2"/>
    <n v="8"/>
    <n v="33"/>
    <x v="3"/>
    <n v="59"/>
    <n v="68.295114027538716"/>
    <m/>
    <m/>
    <m/>
  </r>
  <r>
    <n v="2025"/>
    <x v="0"/>
    <s v="Burlington"/>
    <n v="2"/>
    <n v="1"/>
    <n v="8"/>
    <n v="41"/>
    <x v="20"/>
    <n v="57.9"/>
    <n v="50.878005593803785"/>
    <m/>
    <m/>
    <m/>
  </r>
  <r>
    <n v="2025"/>
    <x v="0"/>
    <s v="Burlington"/>
    <n v="3"/>
    <n v="1"/>
    <n v="9"/>
    <n v="20"/>
    <x v="18"/>
    <n v="58.4"/>
    <n v="74.933181620943998"/>
    <m/>
    <m/>
    <m/>
  </r>
  <r>
    <n v="2025"/>
    <x v="0"/>
    <s v="Burlington"/>
    <n v="3"/>
    <n v="2"/>
    <n v="9"/>
    <n v="0"/>
    <x v="19"/>
    <n v="58.1"/>
    <n v="52.25982368256112"/>
    <m/>
    <m/>
    <m/>
  </r>
  <r>
    <n v="2025"/>
    <x v="0"/>
    <s v="Burlington"/>
    <n v="3"/>
    <n v="3"/>
    <n v="9"/>
    <n v="12"/>
    <x v="41"/>
    <n v="57.9"/>
    <n v="60.601212091991712"/>
    <m/>
    <m/>
    <m/>
  </r>
  <r>
    <n v="2025"/>
    <x v="0"/>
    <s v="Burlington"/>
    <n v="3"/>
    <n v="4"/>
    <n v="9"/>
    <n v="23"/>
    <x v="35"/>
    <n v="58.8"/>
    <n v="63.904626488597465"/>
    <m/>
    <m/>
    <m/>
  </r>
  <r>
    <n v="2025"/>
    <x v="0"/>
    <s v="Burlington"/>
    <n v="3"/>
    <n v="5"/>
    <n v="9"/>
    <n v="41"/>
    <x v="20"/>
    <n v="57"/>
    <n v="55.026993250084374"/>
    <m/>
    <m/>
    <m/>
  </r>
  <r>
    <n v="2025"/>
    <x v="0"/>
    <s v="Burlington"/>
    <n v="3"/>
    <n v="6"/>
    <n v="9"/>
    <n v="22"/>
    <x v="33"/>
    <n v="59.3"/>
    <n v="69.433581505231189"/>
    <m/>
    <m/>
    <m/>
  </r>
  <r>
    <n v="2025"/>
    <x v="0"/>
    <s v="Burlington"/>
    <n v="3"/>
    <n v="7"/>
    <n v="9"/>
    <n v="26"/>
    <x v="11"/>
    <n v="56.5"/>
    <n v="75.948832553878788"/>
    <m/>
    <m/>
    <m/>
  </r>
  <r>
    <n v="2025"/>
    <x v="0"/>
    <s v="Burlington"/>
    <n v="3"/>
    <n v="8"/>
    <n v="9"/>
    <n v="45"/>
    <x v="21"/>
    <n v="58.1"/>
    <n v="66.224618292271344"/>
    <m/>
    <m/>
    <m/>
  </r>
  <r>
    <n v="2025"/>
    <x v="0"/>
    <s v="Burlington"/>
    <n v="3"/>
    <n v="9"/>
    <n v="9"/>
    <n v="37"/>
    <x v="31"/>
    <n v="58.3"/>
    <n v="72.153640036642386"/>
    <m/>
    <m/>
    <m/>
  </r>
  <r>
    <n v="2025"/>
    <x v="0"/>
    <s v="Burlington"/>
    <n v="3"/>
    <n v="10"/>
    <n v="9"/>
    <n v="27"/>
    <x v="39"/>
    <n v="56.6"/>
    <n v="75.868872667663069"/>
    <m/>
    <m/>
    <m/>
  </r>
  <r>
    <n v="2025"/>
    <x v="0"/>
    <s v="Burlington"/>
    <n v="3"/>
    <n v="11"/>
    <n v="9"/>
    <n v="11"/>
    <x v="2"/>
    <n v="59.2"/>
    <n v="74.131124584156993"/>
    <m/>
    <m/>
    <m/>
  </r>
  <r>
    <n v="2025"/>
    <x v="0"/>
    <s v="Burlington"/>
    <n v="3"/>
    <n v="11"/>
    <n v="10"/>
    <n v="16"/>
    <x v="40"/>
    <n v="59.5"/>
    <n v="77.991520192076806"/>
    <m/>
    <m/>
    <m/>
  </r>
  <r>
    <n v="2025"/>
    <x v="0"/>
    <s v="Burlington"/>
    <n v="3"/>
    <n v="10"/>
    <n v="10"/>
    <n v="31"/>
    <x v="6"/>
    <n v="55.6"/>
    <n v="68.827462184873951"/>
    <m/>
    <m/>
    <m/>
  </r>
  <r>
    <n v="2025"/>
    <x v="0"/>
    <s v="Burlington"/>
    <n v="3"/>
    <n v="9"/>
    <n v="10"/>
    <n v="10"/>
    <x v="15"/>
    <n v="51.1"/>
    <n v="47.059907899159661"/>
    <m/>
    <m/>
    <m/>
  </r>
  <r>
    <n v="2025"/>
    <x v="0"/>
    <s v="Burlington"/>
    <n v="3"/>
    <n v="8"/>
    <n v="10"/>
    <n v="21"/>
    <x v="26"/>
    <n v="56.5"/>
    <n v="70.464838991596636"/>
    <m/>
    <m/>
    <m/>
  </r>
  <r>
    <n v="2025"/>
    <x v="0"/>
    <s v="Burlington"/>
    <n v="3"/>
    <n v="7"/>
    <n v="10"/>
    <n v="43"/>
    <x v="22"/>
    <n v="55.7"/>
    <n v="49.311555342136849"/>
    <m/>
    <m/>
    <m/>
  </r>
  <r>
    <n v="2025"/>
    <x v="0"/>
    <s v="Burlington"/>
    <n v="3"/>
    <n v="6"/>
    <n v="10"/>
    <n v="40"/>
    <x v="13"/>
    <n v="58.5"/>
    <n v="70.20858468187275"/>
    <m/>
    <m/>
    <m/>
  </r>
  <r>
    <n v="2025"/>
    <x v="0"/>
    <s v="Burlington"/>
    <n v="3"/>
    <n v="5"/>
    <n v="10"/>
    <n v="24"/>
    <x v="29"/>
    <n v="56.3"/>
    <n v="70.372499207683077"/>
    <m/>
    <m/>
    <m/>
  </r>
  <r>
    <n v="2025"/>
    <x v="0"/>
    <s v="Burlington"/>
    <n v="3"/>
    <n v="4"/>
    <n v="10"/>
    <n v="44"/>
    <x v="17"/>
    <n v="57.3"/>
    <n v="51.976896806722685"/>
    <m/>
    <m/>
    <m/>
  </r>
  <r>
    <n v="2025"/>
    <x v="0"/>
    <s v="Burlington"/>
    <n v="3"/>
    <n v="3"/>
    <n v="10"/>
    <n v="28"/>
    <x v="37"/>
    <n v="55.8"/>
    <n v="59.626095558223284"/>
    <m/>
    <m/>
    <m/>
  </r>
  <r>
    <n v="2025"/>
    <x v="0"/>
    <s v="Burlington"/>
    <n v="3"/>
    <n v="2"/>
    <n v="10"/>
    <n v="25"/>
    <x v="34"/>
    <n v="58.3"/>
    <n v="63.337585354141659"/>
    <m/>
    <m/>
    <m/>
  </r>
  <r>
    <n v="2025"/>
    <x v="0"/>
    <s v="Burlington"/>
    <n v="3"/>
    <n v="1"/>
    <n v="10"/>
    <n v="1"/>
    <x v="12"/>
    <n v="57.4"/>
    <n v="72.197407923169251"/>
    <m/>
    <m/>
    <m/>
  </r>
  <r>
    <n v="2025"/>
    <x v="0"/>
    <s v="Burlington"/>
    <n v="3"/>
    <n v="1"/>
    <n v="11"/>
    <n v="46"/>
    <x v="25"/>
    <n v="58.8"/>
    <n v="70.120709999999988"/>
    <m/>
    <m/>
    <m/>
  </r>
  <r>
    <n v="2025"/>
    <x v="0"/>
    <s v="Burlington"/>
    <n v="3"/>
    <n v="2"/>
    <n v="11"/>
    <n v="42"/>
    <x v="42"/>
    <n v="60.3"/>
    <n v="67.393095000000002"/>
    <m/>
    <m/>
    <m/>
  </r>
  <r>
    <n v="2025"/>
    <x v="0"/>
    <s v="Burlington"/>
    <n v="3"/>
    <n v="3"/>
    <n v="11"/>
    <n v="8"/>
    <x v="9"/>
    <n v="56.2"/>
    <n v="63.804250714285708"/>
    <m/>
    <m/>
    <m/>
  </r>
  <r>
    <n v="2025"/>
    <x v="0"/>
    <s v="Burlington"/>
    <n v="3"/>
    <n v="4"/>
    <n v="11"/>
    <n v="14"/>
    <x v="5"/>
    <n v="58.4"/>
    <n v="79.82629285714286"/>
    <m/>
    <m/>
    <m/>
  </r>
  <r>
    <n v="2025"/>
    <x v="0"/>
    <s v="Burlington"/>
    <n v="3"/>
    <n v="5"/>
    <n v="11"/>
    <n v="33"/>
    <x v="3"/>
    <n v="58"/>
    <n v="70.251286285714286"/>
    <m/>
    <m/>
    <m/>
  </r>
  <r>
    <n v="2025"/>
    <x v="0"/>
    <s v="Burlington"/>
    <n v="3"/>
    <n v="6"/>
    <n v="11"/>
    <n v="34"/>
    <x v="0"/>
    <n v="58.4"/>
    <n v="73.293660000000017"/>
    <m/>
    <m/>
    <m/>
  </r>
  <r>
    <n v="2025"/>
    <x v="0"/>
    <s v="Burlington"/>
    <n v="3"/>
    <n v="7"/>
    <n v="11"/>
    <n v="32"/>
    <x v="24"/>
    <n v="59.2"/>
    <n v="73.198110857142851"/>
    <m/>
    <m/>
    <m/>
  </r>
  <r>
    <n v="2025"/>
    <x v="0"/>
    <s v="Burlington"/>
    <n v="3"/>
    <n v="8"/>
    <n v="11"/>
    <n v="6"/>
    <x v="10"/>
    <n v="57"/>
    <n v="56.270279999999993"/>
    <m/>
    <m/>
    <m/>
  </r>
  <r>
    <n v="2025"/>
    <x v="0"/>
    <s v="Burlington"/>
    <n v="3"/>
    <n v="9"/>
    <n v="11"/>
    <n v="2"/>
    <x v="23"/>
    <n v="56.3"/>
    <n v="66.217328571428567"/>
    <m/>
    <m/>
    <m/>
  </r>
  <r>
    <n v="2025"/>
    <x v="0"/>
    <s v="Burlington"/>
    <n v="3"/>
    <n v="10"/>
    <n v="11"/>
    <n v="3"/>
    <x v="16"/>
    <n v="57.2"/>
    <n v="65.072063571428558"/>
    <m/>
    <m/>
    <m/>
  </r>
  <r>
    <n v="2025"/>
    <x v="0"/>
    <s v="Burlington"/>
    <n v="3"/>
    <n v="11"/>
    <n v="11"/>
    <n v="100"/>
    <x v="19"/>
    <n v="56.6"/>
    <n v="57.919653000000011"/>
    <m/>
    <m/>
    <m/>
  </r>
  <r>
    <n v="2025"/>
    <x v="0"/>
    <s v="Burlington"/>
    <n v="3"/>
    <n v="11"/>
    <n v="12"/>
    <n v="9"/>
    <x v="1"/>
    <n v="52.5"/>
    <n v="57.729335447941892"/>
    <m/>
    <m/>
    <m/>
  </r>
  <r>
    <n v="2025"/>
    <x v="0"/>
    <s v="Burlington"/>
    <n v="3"/>
    <n v="10"/>
    <n v="12"/>
    <n v="5"/>
    <x v="28"/>
    <n v="55.3"/>
    <n v="64.437887070217911"/>
    <m/>
    <m/>
    <m/>
  </r>
  <r>
    <n v="2025"/>
    <x v="0"/>
    <s v="Burlington"/>
    <n v="3"/>
    <n v="9"/>
    <n v="12"/>
    <n v="30"/>
    <x v="14"/>
    <n v="56.5"/>
    <n v="55.561048474576261"/>
    <m/>
    <m/>
    <m/>
  </r>
  <r>
    <n v="2025"/>
    <x v="0"/>
    <s v="Burlington"/>
    <n v="3"/>
    <n v="8"/>
    <n v="12"/>
    <n v="13"/>
    <x v="38"/>
    <n v="57.2"/>
    <n v="71.492631864406761"/>
    <m/>
    <m/>
    <m/>
  </r>
  <r>
    <n v="2025"/>
    <x v="0"/>
    <s v="Burlington"/>
    <n v="3"/>
    <n v="7"/>
    <n v="12"/>
    <n v="15"/>
    <x v="7"/>
    <n v="55"/>
    <n v="69.588288958837765"/>
    <m/>
    <m/>
    <m/>
  </r>
  <r>
    <n v="2025"/>
    <x v="0"/>
    <s v="Burlington"/>
    <n v="3"/>
    <n v="6"/>
    <n v="12"/>
    <n v="35"/>
    <x v="30"/>
    <n v="58.5"/>
    <n v="80.845403970944304"/>
    <m/>
    <m/>
    <m/>
  </r>
  <r>
    <n v="2025"/>
    <x v="0"/>
    <s v="Burlington"/>
    <n v="3"/>
    <n v="5"/>
    <n v="12"/>
    <n v="18"/>
    <x v="8"/>
    <n v="56.6"/>
    <n v="59.000164648910406"/>
    <m/>
    <m/>
    <m/>
  </r>
  <r>
    <n v="2025"/>
    <x v="0"/>
    <s v="Burlington"/>
    <n v="3"/>
    <n v="4"/>
    <n v="12"/>
    <n v="4"/>
    <x v="4"/>
    <n v="56.1"/>
    <n v="62.331152687651333"/>
    <m/>
    <m/>
    <m/>
  </r>
  <r>
    <n v="2025"/>
    <x v="0"/>
    <s v="Burlington"/>
    <n v="3"/>
    <n v="3"/>
    <n v="12"/>
    <n v="36"/>
    <x v="36"/>
    <n v="60.1"/>
    <n v="53.681376464891045"/>
    <m/>
    <m/>
    <m/>
  </r>
  <r>
    <n v="2025"/>
    <x v="0"/>
    <s v="Burlington"/>
    <n v="3"/>
    <n v="2"/>
    <n v="12"/>
    <n v="29"/>
    <x v="27"/>
    <n v="58.7"/>
    <n v="66.507432929782084"/>
    <m/>
    <m/>
    <m/>
  </r>
  <r>
    <n v="2025"/>
    <x v="0"/>
    <s v="Burlington"/>
    <n v="3"/>
    <n v="1"/>
    <n v="12"/>
    <n v="17"/>
    <x v="32"/>
    <n v="58"/>
    <n v="64.19330673123487"/>
    <m/>
    <m/>
    <m/>
  </r>
  <r>
    <n v="2025"/>
    <x v="0"/>
    <s v="Lamar"/>
    <n v="1"/>
    <n v="9"/>
    <n v="2"/>
    <n v="30"/>
    <x v="14"/>
    <n v="60.6"/>
    <n v="69.003033367037403"/>
    <n v="10.5"/>
    <m/>
    <m/>
  </r>
  <r>
    <n v="2025"/>
    <x v="0"/>
    <s v="Lamar"/>
    <n v="2"/>
    <n v="2"/>
    <n v="3"/>
    <n v="30"/>
    <x v="14"/>
    <n v="60.4"/>
    <n v="54.535841741901223"/>
    <m/>
    <m/>
    <m/>
  </r>
  <r>
    <n v="2025"/>
    <x v="0"/>
    <s v="Lamar"/>
    <n v="3"/>
    <n v="14"/>
    <n v="6"/>
    <n v="30"/>
    <x v="14"/>
    <n v="59.5"/>
    <n v="68.768840358573328"/>
    <m/>
    <m/>
    <m/>
  </r>
  <r>
    <n v="2025"/>
    <x v="0"/>
    <s v="Lamar"/>
    <n v="1"/>
    <n v="2"/>
    <n v="2"/>
    <n v="37"/>
    <x v="31"/>
    <n v="61.8"/>
    <n v="82.982392026578069"/>
    <n v="9.6"/>
    <m/>
    <m/>
  </r>
  <r>
    <n v="2025"/>
    <x v="0"/>
    <s v="Lamar"/>
    <n v="2"/>
    <n v="9"/>
    <n v="4"/>
    <n v="37"/>
    <x v="31"/>
    <n v="61.5"/>
    <n v="78.904328859060399"/>
    <m/>
    <m/>
    <m/>
  </r>
  <r>
    <n v="2025"/>
    <x v="0"/>
    <s v="Lamar"/>
    <n v="3"/>
    <n v="16"/>
    <n v="6"/>
    <n v="37"/>
    <x v="31"/>
    <n v="61"/>
    <n v="81.101591169177951"/>
    <m/>
    <m/>
    <m/>
  </r>
  <r>
    <n v="2025"/>
    <x v="0"/>
    <s v="Lamar"/>
    <n v="1"/>
    <n v="6"/>
    <n v="2"/>
    <n v="40"/>
    <x v="13"/>
    <n v="62.5"/>
    <n v="70.648981655351719"/>
    <n v="10.3"/>
    <m/>
    <m/>
  </r>
  <r>
    <n v="2025"/>
    <x v="0"/>
    <s v="Lamar"/>
    <n v="2"/>
    <n v="7"/>
    <n v="4"/>
    <n v="40"/>
    <x v="13"/>
    <n v="58.2"/>
    <n v="74.425978906999035"/>
    <m/>
    <m/>
    <m/>
  </r>
  <r>
    <n v="2025"/>
    <x v="0"/>
    <s v="Lamar"/>
    <n v="3"/>
    <n v="2"/>
    <n v="5"/>
    <n v="40"/>
    <x v="13"/>
    <n v="61.7"/>
    <n v="76.56522255192877"/>
    <m/>
    <m/>
    <m/>
  </r>
  <r>
    <n v="2025"/>
    <x v="0"/>
    <s v="Lamar"/>
    <n v="1"/>
    <n v="19"/>
    <n v="2"/>
    <n v="41"/>
    <x v="20"/>
    <n v="59"/>
    <n v="69.771094901054454"/>
    <n v="10.199999999999999"/>
    <m/>
    <m/>
  </r>
  <r>
    <n v="2025"/>
    <x v="0"/>
    <s v="Lamar"/>
    <n v="2"/>
    <n v="6"/>
    <n v="4"/>
    <n v="41"/>
    <x v="20"/>
    <s v="."/>
    <s v="."/>
    <m/>
    <m/>
    <m/>
  </r>
  <r>
    <n v="2025"/>
    <x v="0"/>
    <s v="Lamar"/>
    <n v="3"/>
    <n v="17"/>
    <n v="5"/>
    <n v="41"/>
    <x v="20"/>
    <n v="56.9"/>
    <n v="68.58348452734208"/>
    <m/>
    <m/>
    <m/>
  </r>
  <r>
    <n v="2025"/>
    <x v="0"/>
    <s v="Lamar"/>
    <n v="1"/>
    <n v="4"/>
    <n v="1"/>
    <n v="20"/>
    <x v="18"/>
    <n v="60.5"/>
    <n v="79.362642857142859"/>
    <n v="9.4"/>
    <m/>
    <m/>
  </r>
  <r>
    <n v="2025"/>
    <x v="0"/>
    <s v="Lamar"/>
    <n v="2"/>
    <n v="2"/>
    <n v="4"/>
    <n v="20"/>
    <x v="18"/>
    <n v="60.4"/>
    <n v="75.344979865771805"/>
    <m/>
    <m/>
    <m/>
  </r>
  <r>
    <n v="2025"/>
    <x v="0"/>
    <s v="Lamar"/>
    <n v="3"/>
    <n v="8"/>
    <n v="6"/>
    <n v="20"/>
    <x v="18"/>
    <s v="."/>
    <n v="78.688289147434674"/>
    <m/>
    <m/>
    <m/>
  </r>
  <r>
    <n v="2025"/>
    <x v="0"/>
    <s v="Lamar"/>
    <n v="1"/>
    <n v="17"/>
    <n v="1"/>
    <n v="32"/>
    <x v="24"/>
    <n v="59.7"/>
    <n v="79.103828571428565"/>
    <n v="10"/>
    <m/>
    <m/>
  </r>
  <r>
    <n v="2025"/>
    <x v="0"/>
    <s v="Lamar"/>
    <n v="2"/>
    <n v="11"/>
    <n v="4"/>
    <n v="32"/>
    <x v="24"/>
    <n v="60.3"/>
    <n v="84.770007670182167"/>
    <m/>
    <m/>
    <m/>
  </r>
  <r>
    <n v="2025"/>
    <x v="0"/>
    <s v="Lamar"/>
    <n v="3"/>
    <n v="19"/>
    <n v="6"/>
    <n v="32"/>
    <x v="24"/>
    <n v="61.3"/>
    <n v="89.451116727064644"/>
    <m/>
    <m/>
    <m/>
  </r>
  <r>
    <n v="2025"/>
    <x v="0"/>
    <s v="Lamar"/>
    <n v="1"/>
    <n v="21"/>
    <n v="1"/>
    <n v="21"/>
    <x v="26"/>
    <n v="59.6"/>
    <n v="73.761600000000001"/>
    <n v="9.8000000000000007"/>
    <m/>
    <m/>
  </r>
  <r>
    <n v="2025"/>
    <x v="0"/>
    <s v="Lamar"/>
    <n v="2"/>
    <n v="9"/>
    <n v="3"/>
    <n v="21"/>
    <x v="26"/>
    <n v="60.4"/>
    <n v="72.390924057355278"/>
    <m/>
    <m/>
    <m/>
  </r>
  <r>
    <n v="2025"/>
    <x v="0"/>
    <s v="Lamar"/>
    <n v="3"/>
    <n v="13"/>
    <n v="5"/>
    <n v="21"/>
    <x v="26"/>
    <n v="59.6"/>
    <n v="77.385769393810946"/>
    <m/>
    <m/>
    <m/>
  </r>
  <r>
    <n v="2025"/>
    <x v="0"/>
    <s v="Lamar"/>
    <n v="1"/>
    <n v="8"/>
    <n v="1"/>
    <n v="29"/>
    <x v="27"/>
    <n v="60.2"/>
    <n v="69.954531428571428"/>
    <n v="9.1"/>
    <m/>
    <m/>
  </r>
  <r>
    <n v="2025"/>
    <x v="0"/>
    <s v="Lamar"/>
    <n v="2"/>
    <n v="17"/>
    <n v="3"/>
    <n v="29"/>
    <x v="27"/>
    <n v="59.5"/>
    <n v="68.498268720127442"/>
    <m/>
    <m/>
    <m/>
  </r>
  <r>
    <n v="2025"/>
    <x v="0"/>
    <s v="Lamar"/>
    <n v="3"/>
    <n v="9"/>
    <n v="6"/>
    <n v="29"/>
    <x v="27"/>
    <n v="60"/>
    <n v="66.548940492084682"/>
    <m/>
    <m/>
    <m/>
  </r>
  <r>
    <n v="2025"/>
    <x v="0"/>
    <s v="Lamar"/>
    <n v="1"/>
    <n v="14"/>
    <n v="2"/>
    <n v="22"/>
    <x v="33"/>
    <n v="61"/>
    <n v="72.112126245847165"/>
    <n v="11"/>
    <m/>
    <m/>
  </r>
  <r>
    <n v="2025"/>
    <x v="0"/>
    <s v="Lamar"/>
    <n v="2"/>
    <n v="18"/>
    <n v="4"/>
    <n v="22"/>
    <x v="33"/>
    <n v="61.1"/>
    <n v="72.20047219558964"/>
    <m/>
    <m/>
    <m/>
  </r>
  <r>
    <n v="2025"/>
    <x v="0"/>
    <s v="Lamar"/>
    <n v="3"/>
    <n v="11"/>
    <n v="6"/>
    <n v="22"/>
    <x v="33"/>
    <n v="61.1"/>
    <n v="71.949189395384323"/>
    <m/>
    <m/>
    <m/>
  </r>
  <r>
    <n v="2025"/>
    <x v="0"/>
    <s v="Lamar"/>
    <n v="1"/>
    <n v="2"/>
    <n v="1"/>
    <n v="18"/>
    <x v="8"/>
    <n v="60"/>
    <n v="82.356685714285703"/>
    <n v="9"/>
    <m/>
    <m/>
  </r>
  <r>
    <n v="2025"/>
    <x v="0"/>
    <s v="Lamar"/>
    <n v="2"/>
    <n v="20"/>
    <n v="3"/>
    <n v="18"/>
    <x v="8"/>
    <s v="."/>
    <s v="."/>
    <m/>
    <m/>
    <m/>
  </r>
  <r>
    <n v="2025"/>
    <x v="0"/>
    <s v="Lamar"/>
    <n v="3"/>
    <n v="5"/>
    <n v="6"/>
    <n v="18"/>
    <x v="8"/>
    <n v="60.4"/>
    <n v="79.774777798970035"/>
    <m/>
    <m/>
    <m/>
  </r>
  <r>
    <n v="2025"/>
    <x v="0"/>
    <s v="Lamar"/>
    <n v="1"/>
    <n v="17"/>
    <n v="2"/>
    <n v="14"/>
    <x v="5"/>
    <n v="61.2"/>
    <n v="80.488873320814676"/>
    <n v="9.8000000000000007"/>
    <m/>
    <m/>
  </r>
  <r>
    <n v="2025"/>
    <x v="0"/>
    <s v="Lamar"/>
    <n v="2"/>
    <n v="10"/>
    <n v="4"/>
    <n v="14"/>
    <x v="5"/>
    <n v="62.2"/>
    <n v="84.333999520613602"/>
    <m/>
    <m/>
    <m/>
  </r>
  <r>
    <n v="2025"/>
    <x v="0"/>
    <s v="Lamar"/>
    <n v="3"/>
    <n v="1"/>
    <n v="6"/>
    <n v="14"/>
    <x v="5"/>
    <n v="61.6"/>
    <n v="84.149622353614333"/>
    <m/>
    <m/>
    <m/>
  </r>
  <r>
    <n v="2025"/>
    <x v="0"/>
    <s v="Lamar"/>
    <n v="1"/>
    <n v="15"/>
    <n v="2"/>
    <n v="15"/>
    <x v="7"/>
    <n v="59.7"/>
    <n v="84.050327892532124"/>
    <n v="9.8000000000000007"/>
    <m/>
    <m/>
  </r>
  <r>
    <n v="2025"/>
    <x v="0"/>
    <s v="Lamar"/>
    <n v="2"/>
    <n v="8"/>
    <n v="3"/>
    <n v="15"/>
    <x v="7"/>
    <n v="59.7"/>
    <n v="81.844795539033456"/>
    <m/>
    <m/>
    <m/>
  </r>
  <r>
    <n v="2025"/>
    <x v="0"/>
    <s v="Lamar"/>
    <n v="3"/>
    <n v="20"/>
    <n v="6"/>
    <n v="15"/>
    <x v="7"/>
    <n v="57.5"/>
    <n v="91.037609193209988"/>
    <m/>
    <m/>
    <m/>
  </r>
  <r>
    <n v="2025"/>
    <x v="0"/>
    <s v="Lamar"/>
    <n v="1"/>
    <n v="5"/>
    <n v="1"/>
    <n v="16"/>
    <x v="40"/>
    <n v="61.8"/>
    <n v="76.167771428571413"/>
    <n v="11"/>
    <m/>
    <m/>
  </r>
  <r>
    <n v="2025"/>
    <x v="0"/>
    <s v="Lamar"/>
    <n v="2"/>
    <n v="4"/>
    <n v="3"/>
    <n v="16"/>
    <x v="40"/>
    <n v="62.3"/>
    <n v="71.303515666489631"/>
    <m/>
    <m/>
    <m/>
  </r>
  <r>
    <n v="2025"/>
    <x v="0"/>
    <s v="Lamar"/>
    <n v="3"/>
    <n v="14"/>
    <n v="5"/>
    <n v="16"/>
    <x v="40"/>
    <n v="61.7"/>
    <n v="70.616083086053422"/>
    <m/>
    <m/>
    <m/>
  </r>
  <r>
    <n v="2025"/>
    <x v="0"/>
    <s v="Lamar"/>
    <n v="1"/>
    <n v="21"/>
    <n v="2"/>
    <n v="11"/>
    <x v="2"/>
    <n v="61.3"/>
    <n v="63.320388559872875"/>
    <n v="10.6"/>
    <m/>
    <m/>
  </r>
  <r>
    <n v="2025"/>
    <x v="0"/>
    <s v="Lamar"/>
    <n v="2"/>
    <n v="1"/>
    <n v="4"/>
    <n v="11"/>
    <x v="2"/>
    <n v="61.5"/>
    <n v="70.221895973154361"/>
    <m/>
    <m/>
    <m/>
  </r>
  <r>
    <n v="2025"/>
    <x v="0"/>
    <s v="Lamar"/>
    <n v="3"/>
    <n v="4"/>
    <n v="5"/>
    <n v="11"/>
    <x v="2"/>
    <n v="61.7"/>
    <n v="76.298219584569722"/>
    <m/>
    <m/>
    <m/>
  </r>
  <r>
    <n v="2025"/>
    <x v="0"/>
    <s v="Lamar"/>
    <n v="1"/>
    <n v="12"/>
    <n v="1"/>
    <n v="1"/>
    <x v="12"/>
    <n v="60.2"/>
    <n v="84.050057142857142"/>
    <n v="9.8000000000000007"/>
    <m/>
    <m/>
  </r>
  <r>
    <n v="2025"/>
    <x v="0"/>
    <s v="Lamar"/>
    <n v="2"/>
    <n v="14"/>
    <n v="3"/>
    <n v="1"/>
    <x v="12"/>
    <n v="60.4"/>
    <n v="75.911964949548576"/>
    <m/>
    <m/>
    <m/>
  </r>
  <r>
    <n v="2025"/>
    <x v="0"/>
    <s v="Lamar"/>
    <n v="3"/>
    <n v="16"/>
    <n v="5"/>
    <n v="1"/>
    <x v="12"/>
    <n v="59.9"/>
    <n v="81.859025010597705"/>
    <m/>
    <m/>
    <m/>
  </r>
  <r>
    <n v="2025"/>
    <x v="0"/>
    <s v="Lamar"/>
    <n v="1"/>
    <n v="10"/>
    <n v="2"/>
    <n v="17"/>
    <x v="32"/>
    <n v="61.4"/>
    <n v="79.741499349992779"/>
    <n v="9.8000000000000007"/>
    <m/>
    <m/>
  </r>
  <r>
    <n v="2025"/>
    <x v="0"/>
    <s v="Lamar"/>
    <n v="2"/>
    <n v="21"/>
    <n v="4"/>
    <n v="17"/>
    <x v="32"/>
    <n v="60.8"/>
    <n v="73.083831255992337"/>
    <m/>
    <m/>
    <m/>
  </r>
  <r>
    <n v="2025"/>
    <x v="0"/>
    <s v="Lamar"/>
    <n v="3"/>
    <n v="15"/>
    <n v="6"/>
    <n v="17"/>
    <x v="32"/>
    <n v="60.6"/>
    <n v="80.589738699218003"/>
    <m/>
    <m/>
    <m/>
  </r>
  <r>
    <n v="2025"/>
    <x v="0"/>
    <s v="Lamar"/>
    <n v="1"/>
    <n v="7"/>
    <n v="2"/>
    <n v="12"/>
    <x v="41"/>
    <n v="56.1"/>
    <n v="67.975566950743882"/>
    <n v="10"/>
    <m/>
    <m/>
  </r>
  <r>
    <n v="2025"/>
    <x v="0"/>
    <s v="Lamar"/>
    <n v="2"/>
    <n v="4"/>
    <n v="4"/>
    <n v="12"/>
    <x v="41"/>
    <n v="60"/>
    <n v="68.994837008628949"/>
    <m/>
    <m/>
    <m/>
  </r>
  <r>
    <n v="2025"/>
    <x v="0"/>
    <s v="Lamar"/>
    <n v="3"/>
    <n v="10"/>
    <n v="5"/>
    <n v="12"/>
    <x v="41"/>
    <n v="60.5"/>
    <n v="72.425604069520972"/>
    <m/>
    <m/>
    <m/>
  </r>
  <r>
    <n v="2025"/>
    <x v="0"/>
    <s v="Lamar"/>
    <n v="1"/>
    <n v="18"/>
    <n v="1"/>
    <n v="13"/>
    <x v="38"/>
    <n v="60.4"/>
    <n v="70.031185714285698"/>
    <n v="9.1999999999999993"/>
    <m/>
    <m/>
  </r>
  <r>
    <n v="2025"/>
    <x v="0"/>
    <s v="Lamar"/>
    <n v="2"/>
    <n v="8"/>
    <n v="4"/>
    <n v="13"/>
    <x v="38"/>
    <n v="61.8"/>
    <n v="72.336727708533076"/>
    <m/>
    <m/>
    <m/>
  </r>
  <r>
    <n v="2025"/>
    <x v="0"/>
    <s v="Lamar"/>
    <n v="3"/>
    <n v="11"/>
    <n v="5"/>
    <n v="13"/>
    <x v="38"/>
    <n v="60.1"/>
    <n v="64.588278931750736"/>
    <m/>
    <m/>
    <m/>
  </r>
  <r>
    <n v="2025"/>
    <x v="0"/>
    <s v="Lamar"/>
    <n v="1"/>
    <n v="3"/>
    <n v="2"/>
    <n v="2"/>
    <x v="23"/>
    <n v="59.8"/>
    <n v="82.267813086812055"/>
    <n v="9.1"/>
    <m/>
    <m/>
  </r>
  <r>
    <n v="2025"/>
    <x v="0"/>
    <s v="Lamar"/>
    <n v="2"/>
    <n v="1"/>
    <n v="3"/>
    <n v="2"/>
    <x v="23"/>
    <n v="61.1"/>
    <n v="78.331784386617088"/>
    <m/>
    <m/>
    <m/>
  </r>
  <r>
    <n v="2025"/>
    <x v="0"/>
    <s v="Lamar"/>
    <n v="3"/>
    <n v="21"/>
    <n v="6"/>
    <n v="2"/>
    <x v="23"/>
    <n v="60.1"/>
    <n v="82.979485027655912"/>
    <m/>
    <m/>
    <m/>
  </r>
  <r>
    <n v="2025"/>
    <x v="0"/>
    <s v="Lamar"/>
    <n v="1"/>
    <n v="7"/>
    <n v="1"/>
    <n v="9"/>
    <x v="1"/>
    <n v="56.4"/>
    <n v="73.927542857142853"/>
    <n v="10.9"/>
    <m/>
    <m/>
  </r>
  <r>
    <n v="2025"/>
    <x v="0"/>
    <s v="Lamar"/>
    <n v="2"/>
    <n v="13"/>
    <n v="4"/>
    <n v="9"/>
    <x v="1"/>
    <n v="57.6"/>
    <n v="73.087627996164898"/>
    <m/>
    <m/>
    <m/>
  </r>
  <r>
    <n v="2025"/>
    <x v="0"/>
    <s v="Lamar"/>
    <n v="3"/>
    <n v="15"/>
    <n v="5"/>
    <n v="9"/>
    <x v="1"/>
    <n v="58.1"/>
    <n v="71.359597286986002"/>
    <m/>
    <m/>
    <m/>
  </r>
  <r>
    <n v="2025"/>
    <x v="0"/>
    <s v="Lamar"/>
    <n v="1"/>
    <n v="4"/>
    <n v="2"/>
    <n v="3"/>
    <x v="16"/>
    <n v="60.4"/>
    <n v="67.804203380037563"/>
    <n v="10"/>
    <m/>
    <m/>
  </r>
  <r>
    <n v="2025"/>
    <x v="0"/>
    <s v="Lamar"/>
    <n v="2"/>
    <n v="15"/>
    <n v="3"/>
    <n v="3"/>
    <x v="16"/>
    <n v="60.9"/>
    <n v="68.853106744556555"/>
    <m/>
    <m/>
    <m/>
  </r>
  <r>
    <n v="2025"/>
    <x v="0"/>
    <s v="Lamar"/>
    <n v="3"/>
    <n v="12"/>
    <n v="6"/>
    <n v="3"/>
    <x v="16"/>
    <n v="58.6"/>
    <n v="70.020974156017544"/>
    <m/>
    <m/>
    <m/>
  </r>
  <r>
    <n v="2025"/>
    <x v="0"/>
    <s v="Lamar"/>
    <n v="1"/>
    <n v="19"/>
    <n v="1"/>
    <n v="10"/>
    <x v="15"/>
    <n v="58.3"/>
    <n v="67.385245714285702"/>
    <n v="10.9"/>
    <m/>
    <m/>
  </r>
  <r>
    <n v="2025"/>
    <x v="0"/>
    <s v="Lamar"/>
    <n v="2"/>
    <n v="16"/>
    <n v="4"/>
    <n v="10"/>
    <x v="15"/>
    <n v="58.6"/>
    <n v="64.38521476510067"/>
    <m/>
    <m/>
    <m/>
  </r>
  <r>
    <n v="2025"/>
    <x v="0"/>
    <s v="Lamar"/>
    <n v="3"/>
    <n v="18"/>
    <n v="6"/>
    <n v="10"/>
    <x v="15"/>
    <n v="58.1"/>
    <n v="68.818123211901579"/>
    <m/>
    <m/>
    <m/>
  </r>
  <r>
    <n v="2025"/>
    <x v="0"/>
    <s v="Lamar"/>
    <n v="1"/>
    <n v="10"/>
    <n v="1"/>
    <n v="4"/>
    <x v="4"/>
    <n v="57.4"/>
    <n v="84.207137142857135"/>
    <n v="9.5"/>
    <m/>
    <m/>
  </r>
  <r>
    <n v="2025"/>
    <x v="0"/>
    <s v="Lamar"/>
    <n v="2"/>
    <n v="7"/>
    <n v="3"/>
    <n v="4"/>
    <x v="4"/>
    <n v="56.4"/>
    <n v="76.858231545406269"/>
    <m/>
    <m/>
    <m/>
  </r>
  <r>
    <n v="2025"/>
    <x v="0"/>
    <s v="Lamar"/>
    <n v="3"/>
    <n v="3"/>
    <n v="5"/>
    <n v="4"/>
    <x v="4"/>
    <n v="56.9"/>
    <n v="80.092123781263226"/>
    <m/>
    <m/>
    <m/>
  </r>
  <r>
    <n v="2025"/>
    <x v="0"/>
    <s v="Lamar"/>
    <n v="1"/>
    <n v="12"/>
    <n v="2"/>
    <n v="5"/>
    <x v="28"/>
    <n v="59.5"/>
    <n v="83.243226924743595"/>
    <n v="10.4"/>
    <m/>
    <m/>
  </r>
  <r>
    <n v="2025"/>
    <x v="0"/>
    <s v="Lamar"/>
    <n v="2"/>
    <n v="5"/>
    <n v="3"/>
    <n v="5"/>
    <x v="28"/>
    <n v="60.7"/>
    <n v="84.341232076473702"/>
    <m/>
    <m/>
    <m/>
  </r>
  <r>
    <n v="2025"/>
    <x v="0"/>
    <s v="Lamar"/>
    <n v="3"/>
    <n v="7"/>
    <n v="5"/>
    <n v="5"/>
    <x v="28"/>
    <n v="58"/>
    <n v="85.566850360322164"/>
    <m/>
    <m/>
    <m/>
  </r>
  <r>
    <n v="2025"/>
    <x v="0"/>
    <s v="Lamar"/>
    <n v="1"/>
    <n v="1"/>
    <n v="2"/>
    <n v="6"/>
    <x v="10"/>
    <n v="62.1"/>
    <n v="62.140863787375409"/>
    <n v="10.9"/>
    <m/>
    <m/>
  </r>
  <r>
    <n v="2025"/>
    <x v="0"/>
    <s v="Lamar"/>
    <n v="2"/>
    <n v="13"/>
    <n v="3"/>
    <n v="6"/>
    <x v="10"/>
    <n v="62.2"/>
    <n v="56.063069569835363"/>
    <m/>
    <m/>
    <m/>
  </r>
  <r>
    <n v="2025"/>
    <x v="0"/>
    <s v="Lamar"/>
    <n v="3"/>
    <n v="2"/>
    <n v="6"/>
    <n v="6"/>
    <x v="10"/>
    <n v="61.4"/>
    <n v="57.299530802975397"/>
    <m/>
    <m/>
    <m/>
  </r>
  <r>
    <n v="2025"/>
    <x v="0"/>
    <s v="Lamar"/>
    <n v="1"/>
    <n v="8"/>
    <n v="2"/>
    <n v="8"/>
    <x v="9"/>
    <n v="61.9"/>
    <n v="82.458148201646679"/>
    <n v="9.6"/>
    <m/>
    <m/>
  </r>
  <r>
    <n v="2025"/>
    <x v="0"/>
    <s v="Lamar"/>
    <n v="2"/>
    <n v="17"/>
    <n v="4"/>
    <n v="8"/>
    <x v="9"/>
    <n v="61.1"/>
    <n v="79.414325982742085"/>
    <m/>
    <m/>
    <m/>
  </r>
  <r>
    <n v="2025"/>
    <x v="0"/>
    <s v="Lamar"/>
    <n v="3"/>
    <n v="10"/>
    <n v="6"/>
    <n v="8"/>
    <x v="9"/>
    <n v="61.1"/>
    <n v="82.103156589738703"/>
    <m/>
    <m/>
    <m/>
  </r>
  <r>
    <n v="2025"/>
    <x v="0"/>
    <s v="Lamar"/>
    <n v="1"/>
    <n v="13"/>
    <n v="2"/>
    <n v="42"/>
    <x v="42"/>
    <n v="61.8"/>
    <n v="78.362296692185438"/>
    <n v="10.199999999999999"/>
    <m/>
    <m/>
  </r>
  <r>
    <n v="2025"/>
    <x v="0"/>
    <s v="Lamar"/>
    <n v="2"/>
    <n v="3"/>
    <n v="4"/>
    <n v="42"/>
    <x v="42"/>
    <n v="62.5"/>
    <n v="72.419022051773723"/>
    <m/>
    <m/>
    <m/>
  </r>
  <r>
    <n v="2025"/>
    <x v="0"/>
    <s v="Lamar"/>
    <n v="3"/>
    <n v="5"/>
    <n v="5"/>
    <n v="42"/>
    <x v="42"/>
    <n v="62"/>
    <n v="74.389936413734631"/>
    <m/>
    <m/>
    <m/>
  </r>
  <r>
    <n v="2025"/>
    <x v="0"/>
    <s v="Lamar"/>
    <n v="1"/>
    <n v="9"/>
    <n v="1"/>
    <n v="44"/>
    <x v="17"/>
    <n v="59.2"/>
    <n v="73.805160000000001"/>
    <n v="9.8000000000000007"/>
    <m/>
    <m/>
  </r>
  <r>
    <n v="2025"/>
    <x v="0"/>
    <s v="Lamar"/>
    <n v="2"/>
    <n v="12"/>
    <n v="3"/>
    <n v="44"/>
    <x v="17"/>
    <n v="58.8"/>
    <n v="68.378252788104092"/>
    <m/>
    <m/>
    <m/>
  </r>
  <r>
    <n v="2025"/>
    <x v="0"/>
    <s v="Lamar"/>
    <n v="3"/>
    <n v="13"/>
    <n v="6"/>
    <n v="44"/>
    <x v="17"/>
    <n v="58.4"/>
    <n v="72.277836162502382"/>
    <m/>
    <m/>
    <m/>
  </r>
  <r>
    <n v="2025"/>
    <x v="0"/>
    <s v="Lamar"/>
    <n v="1"/>
    <n v="6"/>
    <n v="1"/>
    <n v="43"/>
    <x v="22"/>
    <n v="57.3"/>
    <n v="80.889788571428554"/>
    <n v="10.6"/>
    <m/>
    <m/>
  </r>
  <r>
    <n v="2025"/>
    <x v="0"/>
    <s v="Lamar"/>
    <n v="2"/>
    <n v="12"/>
    <n v="4"/>
    <n v="43"/>
    <x v="22"/>
    <n v="59.2"/>
    <n v="72.208635186960663"/>
    <m/>
    <m/>
    <m/>
  </r>
  <r>
    <n v="2025"/>
    <x v="0"/>
    <s v="Lamar"/>
    <n v="3"/>
    <n v="1"/>
    <n v="5"/>
    <n v="43"/>
    <x v="22"/>
    <n v="59.8"/>
    <n v="72.670411191182694"/>
    <m/>
    <m/>
    <m/>
  </r>
  <r>
    <n v="2025"/>
    <x v="0"/>
    <s v="Lamar"/>
    <n v="1"/>
    <n v="11"/>
    <n v="2"/>
    <n v="27"/>
    <x v="39"/>
    <n v="61.1"/>
    <n v="74.49620106890076"/>
    <n v="10.5"/>
    <m/>
    <m/>
  </r>
  <r>
    <n v="2025"/>
    <x v="0"/>
    <s v="Lamar"/>
    <n v="2"/>
    <n v="18"/>
    <n v="3"/>
    <n v="27"/>
    <x v="39"/>
    <n v="60.6"/>
    <n v="73.774190122145498"/>
    <m/>
    <m/>
    <m/>
  </r>
  <r>
    <n v="2025"/>
    <x v="0"/>
    <s v="Lamar"/>
    <n v="3"/>
    <n v="17"/>
    <n v="6"/>
    <n v="27"/>
    <x v="39"/>
    <n v="58"/>
    <s v="."/>
    <m/>
    <m/>
    <m/>
  </r>
  <r>
    <n v="2025"/>
    <x v="0"/>
    <s v="Lamar"/>
    <n v="1"/>
    <n v="20"/>
    <n v="2"/>
    <n v="31"/>
    <x v="6"/>
    <n v="58.3"/>
    <n v="62.957021522461361"/>
    <n v="10.1"/>
    <m/>
    <m/>
  </r>
  <r>
    <n v="2025"/>
    <x v="0"/>
    <s v="Lamar"/>
    <n v="2"/>
    <n v="15"/>
    <n v="4"/>
    <n v="31"/>
    <x v="6"/>
    <n v="60.1"/>
    <n v="65.286608341323117"/>
    <m/>
    <m/>
    <m/>
  </r>
  <r>
    <n v="2025"/>
    <x v="0"/>
    <s v="Lamar"/>
    <n v="3"/>
    <n v="8"/>
    <n v="5"/>
    <n v="31"/>
    <x v="6"/>
    <n v="59.3"/>
    <n v="69.896769817719374"/>
    <m/>
    <m/>
    <m/>
  </r>
  <r>
    <n v="2025"/>
    <x v="0"/>
    <s v="Lamar"/>
    <n v="1"/>
    <n v="20"/>
    <n v="1"/>
    <n v="23"/>
    <x v="35"/>
    <n v="60.3"/>
    <n v="75.803027142857133"/>
    <n v="10.199999999999999"/>
    <m/>
    <m/>
  </r>
  <r>
    <n v="2025"/>
    <x v="0"/>
    <s v="Lamar"/>
    <n v="2"/>
    <n v="19"/>
    <n v="3"/>
    <n v="23"/>
    <x v="35"/>
    <n v="61.1"/>
    <n v="71.091492299522045"/>
    <m/>
    <m/>
    <m/>
  </r>
  <r>
    <n v="2025"/>
    <x v="0"/>
    <s v="Lamar"/>
    <n v="3"/>
    <n v="4"/>
    <n v="6"/>
    <n v="23"/>
    <x v="35"/>
    <n v="60.2"/>
    <n v="78.079759202746516"/>
    <m/>
    <m/>
    <m/>
  </r>
  <r>
    <n v="2025"/>
    <x v="0"/>
    <s v="Lamar"/>
    <n v="1"/>
    <n v="3"/>
    <n v="1"/>
    <n v="28"/>
    <x v="37"/>
    <n v="59"/>
    <n v="83.327168571428558"/>
    <n v="9"/>
    <m/>
    <m/>
  </r>
  <r>
    <n v="2025"/>
    <x v="0"/>
    <s v="Lamar"/>
    <n v="2"/>
    <n v="16"/>
    <n v="3"/>
    <n v="28"/>
    <x v="37"/>
    <n v="58.5"/>
    <n v="77.406787041954331"/>
    <m/>
    <m/>
    <m/>
  </r>
  <r>
    <n v="2025"/>
    <x v="0"/>
    <s v="Lamar"/>
    <n v="3"/>
    <n v="7"/>
    <n v="6"/>
    <n v="28"/>
    <x v="37"/>
    <n v="56.2"/>
    <n v="78.902084207514775"/>
    <m/>
    <m/>
    <m/>
  </r>
  <r>
    <n v="2025"/>
    <x v="0"/>
    <s v="Lamar"/>
    <n v="1"/>
    <n v="13"/>
    <n v="1"/>
    <n v="46"/>
    <x v="25"/>
    <n v="57.2"/>
    <n v="70.873817142857135"/>
    <n v="10.7"/>
    <m/>
    <m/>
  </r>
  <r>
    <n v="2025"/>
    <x v="0"/>
    <s v="Lamar"/>
    <n v="2"/>
    <n v="21"/>
    <n v="3"/>
    <n v="46"/>
    <x v="25"/>
    <n v="59.6"/>
    <n v="61.422634094530004"/>
    <m/>
    <m/>
    <m/>
  </r>
  <r>
    <n v="2025"/>
    <x v="0"/>
    <s v="Lamar"/>
    <n v="3"/>
    <n v="6"/>
    <n v="6"/>
    <n v="46"/>
    <x v="25"/>
    <n v="57.7"/>
    <n v="70.705599847415598"/>
    <m/>
    <m/>
    <m/>
  </r>
  <r>
    <n v="2025"/>
    <x v="0"/>
    <s v="Lamar"/>
    <n v="1"/>
    <n v="16"/>
    <n v="2"/>
    <n v="45"/>
    <x v="21"/>
    <n v="60"/>
    <n v="71.733982377581967"/>
    <n v="10.5"/>
    <m/>
    <m/>
  </r>
  <r>
    <n v="2025"/>
    <x v="0"/>
    <s v="Lamar"/>
    <n v="2"/>
    <n v="3"/>
    <n v="3"/>
    <n v="45"/>
    <x v="21"/>
    <n v="60.4"/>
    <n v="66.372586298459893"/>
    <m/>
    <m/>
    <m/>
  </r>
  <r>
    <n v="2025"/>
    <x v="0"/>
    <s v="Lamar"/>
    <n v="3"/>
    <n v="18"/>
    <n v="5"/>
    <n v="45"/>
    <x v="21"/>
    <n v="59.5"/>
    <n v="72.220059347181007"/>
    <m/>
    <m/>
    <m/>
  </r>
  <r>
    <n v="2025"/>
    <x v="0"/>
    <s v="Lamar"/>
    <n v="1"/>
    <n v="1"/>
    <n v="1"/>
    <n v="24"/>
    <x v="29"/>
    <s v="."/>
    <s v="."/>
    <s v="."/>
    <m/>
    <m/>
  </r>
  <r>
    <n v="2025"/>
    <x v="0"/>
    <s v="Lamar"/>
    <n v="2"/>
    <n v="10"/>
    <n v="3"/>
    <n v="24"/>
    <x v="29"/>
    <n v="59.7"/>
    <n v="78.11694105151355"/>
    <m/>
    <m/>
    <m/>
  </r>
  <r>
    <n v="2025"/>
    <x v="0"/>
    <s v="Lamar"/>
    <n v="3"/>
    <n v="6"/>
    <n v="5"/>
    <n v="24"/>
    <x v="29"/>
    <n v="57.2"/>
    <n v="89.908096651123358"/>
    <n v="8.3000000000000007"/>
    <m/>
    <m/>
  </r>
  <r>
    <n v="2025"/>
    <x v="0"/>
    <s v="Lamar"/>
    <n v="1"/>
    <n v="11"/>
    <n v="1"/>
    <n v="33"/>
    <x v="3"/>
    <n v="59.4"/>
    <n v="81.085808571428558"/>
    <n v="9.6999999999999993"/>
    <m/>
    <m/>
  </r>
  <r>
    <n v="2025"/>
    <x v="0"/>
    <s v="Lamar"/>
    <n v="2"/>
    <n v="14"/>
    <n v="4"/>
    <n v="33"/>
    <x v="3"/>
    <n v="60.6"/>
    <n v="79.523909395973149"/>
    <m/>
    <m/>
    <m/>
  </r>
  <r>
    <n v="2025"/>
    <x v="0"/>
    <s v="Lamar"/>
    <n v="3"/>
    <n v="12"/>
    <n v="5"/>
    <n v="33"/>
    <x v="3"/>
    <n v="61.5"/>
    <n v="74.75504874947012"/>
    <m/>
    <m/>
    <m/>
  </r>
  <r>
    <n v="2025"/>
    <x v="0"/>
    <s v="Lamar"/>
    <n v="1"/>
    <n v="5"/>
    <n v="2"/>
    <n v="25"/>
    <x v="34"/>
    <n v="60.2"/>
    <n v="70.828114979055314"/>
    <n v="10.6"/>
    <m/>
    <m/>
  </r>
  <r>
    <n v="2025"/>
    <x v="0"/>
    <s v="Lamar"/>
    <n v="2"/>
    <n v="11"/>
    <n v="3"/>
    <n v="25"/>
    <x v="34"/>
    <n v="60.4"/>
    <n v="67.685353159851289"/>
    <m/>
    <m/>
    <m/>
  </r>
  <r>
    <n v="2025"/>
    <x v="0"/>
    <s v="Lamar"/>
    <n v="3"/>
    <n v="9"/>
    <n v="5"/>
    <n v="25"/>
    <x v="34"/>
    <n v="60"/>
    <n v="75.803476049173383"/>
    <m/>
    <m/>
    <m/>
  </r>
  <r>
    <n v="2025"/>
    <x v="0"/>
    <s v="Lamar"/>
    <n v="1"/>
    <n v="18"/>
    <n v="2"/>
    <n v="34"/>
    <x v="0"/>
    <n v="60.9"/>
    <n v="77.255607395637725"/>
    <n v="9.9"/>
    <m/>
    <m/>
  </r>
  <r>
    <n v="2025"/>
    <x v="0"/>
    <s v="Lamar"/>
    <n v="2"/>
    <n v="19"/>
    <n v="4"/>
    <n v="34"/>
    <x v="0"/>
    <n v="60"/>
    <n v="74.215592042185989"/>
    <m/>
    <m/>
    <m/>
  </r>
  <r>
    <n v="2025"/>
    <x v="0"/>
    <s v="Lamar"/>
    <n v="3"/>
    <n v="21"/>
    <n v="5"/>
    <n v="34"/>
    <x v="0"/>
    <n v="60"/>
    <n v="74.657498940228919"/>
    <m/>
    <m/>
    <m/>
  </r>
  <r>
    <n v="2025"/>
    <x v="0"/>
    <s v="Lamar"/>
    <n v="1"/>
    <n v="15"/>
    <n v="1"/>
    <n v="35"/>
    <x v="30"/>
    <n v="60.7"/>
    <n v="76.461989999999986"/>
    <n v="10.3"/>
    <m/>
    <m/>
  </r>
  <r>
    <n v="2025"/>
    <x v="0"/>
    <s v="Lamar"/>
    <n v="2"/>
    <n v="6"/>
    <n v="3"/>
    <n v="35"/>
    <x v="30"/>
    <s v="."/>
    <s v="."/>
    <m/>
    <m/>
    <m/>
  </r>
  <r>
    <n v="2025"/>
    <x v="0"/>
    <s v="Lamar"/>
    <n v="3"/>
    <n v="20"/>
    <n v="5"/>
    <n v="35"/>
    <x v="30"/>
    <n v="61.1"/>
    <n v="77.71269181856718"/>
    <m/>
    <m/>
    <m/>
  </r>
  <r>
    <n v="2025"/>
    <x v="0"/>
    <s v="Lamar"/>
    <n v="1"/>
    <n v="14"/>
    <n v="1"/>
    <n v="26"/>
    <x v="11"/>
    <n v="60.1"/>
    <n v="80.864472857142829"/>
    <n v="9.4"/>
    <m/>
    <m/>
  </r>
  <r>
    <n v="2025"/>
    <x v="0"/>
    <s v="Lamar"/>
    <n v="2"/>
    <n v="20"/>
    <n v="4"/>
    <n v="26"/>
    <x v="11"/>
    <s v="."/>
    <s v="."/>
    <m/>
    <m/>
    <m/>
  </r>
  <r>
    <n v="2025"/>
    <x v="0"/>
    <s v="Lamar"/>
    <n v="3"/>
    <n v="3"/>
    <n v="6"/>
    <n v="26"/>
    <x v="11"/>
    <n v="60"/>
    <n v="79.668942399389664"/>
    <m/>
    <m/>
    <m/>
  </r>
  <r>
    <n v="2025"/>
    <x v="0"/>
    <s v="Lamar"/>
    <n v="1"/>
    <n v="16"/>
    <n v="1"/>
    <n v="36"/>
    <x v="36"/>
    <n v="59.7"/>
    <n v="79.529999999999987"/>
    <n v="10.4"/>
    <m/>
    <m/>
  </r>
  <r>
    <n v="2025"/>
    <x v="0"/>
    <s v="Lamar"/>
    <n v="2"/>
    <n v="5"/>
    <n v="4"/>
    <n v="36"/>
    <x v="36"/>
    <n v="58.7"/>
    <n v="72.088895493767978"/>
    <m/>
    <m/>
    <m/>
  </r>
  <r>
    <n v="2025"/>
    <x v="0"/>
    <s v="Lamar"/>
    <n v="3"/>
    <n v="19"/>
    <n v="5"/>
    <n v="36"/>
    <x v="36"/>
    <n v="60.8"/>
    <n v="75.260330648579881"/>
    <m/>
    <m/>
    <m/>
  </r>
  <r>
    <n v="2025"/>
    <x v="0"/>
    <s v="SLake"/>
    <n v="1"/>
    <n v="1"/>
    <n v="1"/>
    <n v="3"/>
    <x v="16"/>
    <n v="61"/>
    <n v="71.551067450942568"/>
    <n v="10.1"/>
    <m/>
    <m/>
  </r>
  <r>
    <n v="2025"/>
    <x v="0"/>
    <s v="SLake"/>
    <n v="1"/>
    <n v="2"/>
    <n v="1"/>
    <n v="45"/>
    <x v="21"/>
    <n v="59.4"/>
    <n v="71.440759847644742"/>
    <n v="10.199999999999999"/>
    <m/>
    <m/>
  </r>
  <r>
    <n v="2025"/>
    <x v="0"/>
    <s v="SLake"/>
    <n v="1"/>
    <n v="3"/>
    <n v="1"/>
    <n v="44"/>
    <x v="17"/>
    <n v="58.2"/>
    <n v="63.527251337929712"/>
    <n v="10.3"/>
    <m/>
    <m/>
  </r>
  <r>
    <n v="2025"/>
    <x v="0"/>
    <s v="SLake"/>
    <n v="1"/>
    <n v="4"/>
    <n v="1"/>
    <n v="31"/>
    <x v="6"/>
    <n v="60"/>
    <n v="63.805812641627689"/>
    <n v="10.5"/>
    <m/>
    <m/>
  </r>
  <r>
    <n v="2025"/>
    <x v="0"/>
    <s v="SLake"/>
    <n v="1"/>
    <n v="5"/>
    <n v="1"/>
    <n v="22"/>
    <x v="33"/>
    <n v="59.6"/>
    <n v="69.452072706234034"/>
    <n v="9.9"/>
    <m/>
    <m/>
  </r>
  <r>
    <n v="2025"/>
    <x v="0"/>
    <s v="SLake"/>
    <n v="1"/>
    <n v="6"/>
    <n v="1"/>
    <n v="23"/>
    <x v="35"/>
    <n v="60.6"/>
    <n v="64.391287787474084"/>
    <n v="10.5"/>
    <m/>
    <m/>
  </r>
  <r>
    <n v="2025"/>
    <x v="0"/>
    <s v="SLake"/>
    <n v="1"/>
    <n v="7"/>
    <n v="1"/>
    <n v="25"/>
    <x v="34"/>
    <n v="59.5"/>
    <n v="69.700276746540652"/>
    <n v="10.3"/>
    <m/>
    <m/>
  </r>
  <r>
    <n v="2025"/>
    <x v="0"/>
    <s v="SLake"/>
    <n v="1"/>
    <n v="8"/>
    <n v="1"/>
    <n v="37"/>
    <x v="31"/>
    <n v="60.6"/>
    <n v="66.983397136107229"/>
    <n v="9.1"/>
    <m/>
    <m/>
  </r>
  <r>
    <n v="2025"/>
    <x v="0"/>
    <s v="SLake"/>
    <n v="1"/>
    <n v="9"/>
    <n v="1"/>
    <n v="17"/>
    <x v="32"/>
    <n v="56.4"/>
    <n v="65.139813895183451"/>
    <s v="."/>
    <m/>
    <m/>
  </r>
  <r>
    <n v="2025"/>
    <x v="0"/>
    <s v="SLake"/>
    <n v="1"/>
    <n v="10"/>
    <n v="1"/>
    <n v="42"/>
    <x v="42"/>
    <n v="61.8"/>
    <n v="64.004805457788919"/>
    <n v="9.6"/>
    <m/>
    <m/>
  </r>
  <r>
    <n v="2025"/>
    <x v="0"/>
    <s v="SLake"/>
    <n v="1"/>
    <n v="11"/>
    <n v="1"/>
    <n v="27"/>
    <x v="39"/>
    <n v="61.8"/>
    <n v="61.50753869148064"/>
    <n v="10.8"/>
    <m/>
    <m/>
  </r>
  <r>
    <n v="2025"/>
    <x v="0"/>
    <s v="SLake"/>
    <n v="1"/>
    <n v="12"/>
    <n v="1"/>
    <n v="28"/>
    <x v="37"/>
    <n v="58.7"/>
    <n v="65.198428233932788"/>
    <n v="10.3"/>
    <m/>
    <m/>
  </r>
  <r>
    <n v="2025"/>
    <x v="0"/>
    <s v="SLake"/>
    <n v="1"/>
    <n v="13"/>
    <n v="1"/>
    <n v="9"/>
    <x v="1"/>
    <n v="59.1"/>
    <n v="61.132273275155484"/>
    <n v="10.3"/>
    <m/>
    <m/>
  </r>
  <r>
    <n v="2025"/>
    <x v="0"/>
    <s v="SLake"/>
    <n v="1"/>
    <n v="14"/>
    <n v="1"/>
    <n v="5"/>
    <x v="28"/>
    <n v="60.5"/>
    <n v="61.341910226122167"/>
    <n v="9.6"/>
    <m/>
    <m/>
  </r>
  <r>
    <n v="2025"/>
    <x v="0"/>
    <s v="SLake"/>
    <n v="1"/>
    <n v="15"/>
    <n v="1"/>
    <n v="30"/>
    <x v="14"/>
    <n v="61.3"/>
    <n v="58.526464972759271"/>
    <n v="10.3"/>
    <m/>
    <m/>
  </r>
  <r>
    <n v="2025"/>
    <x v="0"/>
    <s v="SLake"/>
    <n v="1"/>
    <n v="16"/>
    <n v="1"/>
    <n v="14"/>
    <x v="5"/>
    <n v="61.5"/>
    <n v="62.580352924159875"/>
    <n v="10.199999999999999"/>
    <m/>
    <m/>
  </r>
  <r>
    <n v="2025"/>
    <x v="0"/>
    <s v="SLake"/>
    <n v="1"/>
    <n v="17"/>
    <n v="1"/>
    <n v="29"/>
    <x v="27"/>
    <n v="61.5"/>
    <n v="61.129361650836508"/>
    <n v="10.1"/>
    <m/>
    <m/>
  </r>
  <r>
    <n v="2025"/>
    <x v="0"/>
    <s v="SLake"/>
    <n v="1"/>
    <n v="18"/>
    <n v="1"/>
    <n v="21"/>
    <x v="26"/>
    <n v="62.1"/>
    <n v="62.610996576828498"/>
    <n v="10.3"/>
    <m/>
    <m/>
  </r>
  <r>
    <n v="2025"/>
    <x v="0"/>
    <s v="SLake"/>
    <n v="1"/>
    <n v="19"/>
    <n v="1"/>
    <n v="12"/>
    <x v="41"/>
    <n v="61.7"/>
    <n v="56.831088182826285"/>
    <n v="9.6999999999999993"/>
    <m/>
    <m/>
  </r>
  <r>
    <n v="2025"/>
    <x v="0"/>
    <s v="SLake"/>
    <n v="1"/>
    <n v="20"/>
    <n v="1"/>
    <n v="41"/>
    <x v="20"/>
    <n v="60.8"/>
    <n v="61.60352683091461"/>
    <n v="10.1"/>
    <m/>
    <m/>
  </r>
  <r>
    <n v="2025"/>
    <x v="0"/>
    <s v="SLake"/>
    <n v="1"/>
    <n v="21"/>
    <n v="1"/>
    <n v="2"/>
    <x v="23"/>
    <n v="62.8"/>
    <n v="69.994684923581303"/>
    <n v="9.9"/>
    <m/>
    <m/>
  </r>
  <r>
    <n v="2025"/>
    <x v="0"/>
    <s v="SLake"/>
    <n v="1"/>
    <n v="21"/>
    <n v="2"/>
    <n v="6"/>
    <x v="10"/>
    <n v="60.4"/>
    <n v="55.558660623885054"/>
    <n v="12"/>
    <m/>
    <m/>
  </r>
  <r>
    <n v="2025"/>
    <x v="0"/>
    <s v="SLake"/>
    <n v="1"/>
    <n v="20"/>
    <n v="2"/>
    <n v="16"/>
    <x v="40"/>
    <n v="60.3"/>
    <n v="65.030413191263676"/>
    <s v="."/>
    <m/>
    <m/>
  </r>
  <r>
    <n v="2025"/>
    <x v="0"/>
    <s v="SLake"/>
    <n v="1"/>
    <n v="19"/>
    <n v="2"/>
    <n v="36"/>
    <x v="36"/>
    <n v="63"/>
    <n v="68.556151583819499"/>
    <n v="10.4"/>
    <m/>
    <m/>
  </r>
  <r>
    <n v="2025"/>
    <x v="0"/>
    <s v="SLake"/>
    <n v="1"/>
    <n v="18"/>
    <n v="2"/>
    <n v="26"/>
    <x v="11"/>
    <n v="61.7"/>
    <n v="73.96046044067306"/>
    <s v="."/>
    <m/>
    <m/>
  </r>
  <r>
    <n v="2025"/>
    <x v="0"/>
    <s v="SLake"/>
    <n v="1"/>
    <n v="17"/>
    <n v="2"/>
    <n v="43"/>
    <x v="22"/>
    <n v="61.7"/>
    <n v="62.377493852755407"/>
    <n v="10.3"/>
    <m/>
    <m/>
  </r>
  <r>
    <n v="2025"/>
    <x v="0"/>
    <s v="SLake"/>
    <n v="1"/>
    <n v="16"/>
    <n v="2"/>
    <n v="1"/>
    <x v="12"/>
    <n v="61.9"/>
    <n v="69.084826189672626"/>
    <n v="10.1"/>
    <m/>
    <m/>
  </r>
  <r>
    <n v="2025"/>
    <x v="0"/>
    <s v="SLake"/>
    <n v="1"/>
    <n v="15"/>
    <n v="2"/>
    <n v="10"/>
    <x v="15"/>
    <n v="56.3"/>
    <n v="58.640877489031382"/>
    <n v="10"/>
    <m/>
    <m/>
  </r>
  <r>
    <n v="2025"/>
    <x v="0"/>
    <s v="SLake"/>
    <n v="1"/>
    <n v="14"/>
    <n v="2"/>
    <n v="34"/>
    <x v="0"/>
    <n v="59.3"/>
    <n v="61.827865098114842"/>
    <n v="10.5"/>
    <m/>
    <m/>
  </r>
  <r>
    <n v="2025"/>
    <x v="0"/>
    <s v="SLake"/>
    <n v="1"/>
    <n v="13"/>
    <n v="2"/>
    <n v="20"/>
    <x v="18"/>
    <n v="60.4"/>
    <n v="67.245920640277703"/>
    <n v="10.3"/>
    <m/>
    <m/>
  </r>
  <r>
    <n v="2025"/>
    <x v="0"/>
    <s v="SLake"/>
    <n v="1"/>
    <n v="12"/>
    <n v="2"/>
    <n v="24"/>
    <x v="29"/>
    <n v="60.7"/>
    <n v="64.116831396750399"/>
    <n v="10.1"/>
    <m/>
    <m/>
  </r>
  <r>
    <n v="2025"/>
    <x v="0"/>
    <s v="SLake"/>
    <n v="1"/>
    <n v="11"/>
    <n v="2"/>
    <n v="35"/>
    <x v="30"/>
    <n v="61.4"/>
    <n v="60.12986307314015"/>
    <n v="9.9"/>
    <m/>
    <m/>
  </r>
  <r>
    <n v="2025"/>
    <x v="0"/>
    <s v="SLake"/>
    <n v="1"/>
    <n v="10"/>
    <n v="2"/>
    <n v="46"/>
    <x v="25"/>
    <n v="61.7"/>
    <n v="57.761137360782989"/>
    <n v="10.5"/>
    <m/>
    <m/>
  </r>
  <r>
    <n v="2025"/>
    <x v="0"/>
    <s v="SLake"/>
    <n v="1"/>
    <n v="9"/>
    <n v="2"/>
    <n v="40"/>
    <x v="13"/>
    <n v="62"/>
    <n v="66.934424569692879"/>
    <s v="."/>
    <m/>
    <m/>
  </r>
  <r>
    <n v="2025"/>
    <x v="0"/>
    <s v="SLake"/>
    <n v="1"/>
    <n v="8"/>
    <n v="2"/>
    <n v="18"/>
    <x v="8"/>
    <n v="58.3"/>
    <n v="58.466752808447026"/>
    <n v="10.4"/>
    <m/>
    <m/>
  </r>
  <r>
    <n v="2025"/>
    <x v="0"/>
    <s v="SLake"/>
    <n v="2"/>
    <n v="7"/>
    <n v="2"/>
    <n v="20"/>
    <x v="18"/>
    <n v="60.2"/>
    <n v="74.722876428330352"/>
    <n v="10.199999999999999"/>
    <m/>
    <m/>
  </r>
  <r>
    <n v="2025"/>
    <x v="0"/>
    <s v="SLake"/>
    <n v="1"/>
    <n v="6"/>
    <n v="2"/>
    <n v="13"/>
    <x v="38"/>
    <n v="62.5"/>
    <n v="68.634144930331232"/>
    <n v="9.4"/>
    <m/>
    <m/>
  </r>
  <r>
    <n v="2025"/>
    <x v="0"/>
    <s v="SLake"/>
    <n v="1"/>
    <n v="5"/>
    <n v="2"/>
    <n v="15"/>
    <x v="7"/>
    <n v="60.4"/>
    <n v="67.885332433344587"/>
    <n v="9.3000000000000007"/>
    <m/>
    <m/>
  </r>
  <r>
    <n v="2025"/>
    <x v="0"/>
    <s v="SLake"/>
    <n v="1"/>
    <n v="4"/>
    <n v="2"/>
    <n v="11"/>
    <x v="2"/>
    <n v="61.3"/>
    <n v="65.447968757533403"/>
    <n v="9.5"/>
    <m/>
    <m/>
  </r>
  <r>
    <n v="2025"/>
    <x v="0"/>
    <s v="SLake"/>
    <n v="1"/>
    <n v="3"/>
    <n v="2"/>
    <n v="4"/>
    <x v="4"/>
    <n v="54.5"/>
    <n v="65.799654790029408"/>
    <n v="9.6999999999999993"/>
    <m/>
    <m/>
  </r>
  <r>
    <n v="2025"/>
    <x v="0"/>
    <s v="SLake"/>
    <n v="1"/>
    <n v="2"/>
    <n v="2"/>
    <n v="8"/>
    <x v="9"/>
    <n v="60.9"/>
    <n v="66.08375295308808"/>
    <n v="9.1999999999999993"/>
    <m/>
    <m/>
  </r>
  <r>
    <n v="2025"/>
    <x v="0"/>
    <s v="SLake"/>
    <n v="1"/>
    <n v="1"/>
    <n v="2"/>
    <n v="33"/>
    <x v="3"/>
    <n v="58"/>
    <n v="64.775192613663762"/>
    <n v="10.1"/>
    <m/>
    <m/>
  </r>
  <r>
    <n v="2025"/>
    <x v="0"/>
    <s v="SLake"/>
    <n v="2"/>
    <n v="1"/>
    <n v="3"/>
    <n v="9"/>
    <x v="1"/>
    <n v="57.2"/>
    <n v="74.446428571428569"/>
    <m/>
    <m/>
    <m/>
  </r>
  <r>
    <n v="2025"/>
    <x v="0"/>
    <s v="SLake"/>
    <n v="2"/>
    <n v="2"/>
    <n v="3"/>
    <n v="34"/>
    <x v="0"/>
    <n v="57.4"/>
    <n v="79.170843373493952"/>
    <m/>
    <m/>
    <m/>
  </r>
  <r>
    <n v="2025"/>
    <x v="0"/>
    <s v="SLake"/>
    <n v="2"/>
    <n v="3"/>
    <n v="3"/>
    <n v="27"/>
    <x v="39"/>
    <n v="58.8"/>
    <s v="."/>
    <m/>
    <m/>
    <m/>
  </r>
  <r>
    <n v="2025"/>
    <x v="0"/>
    <s v="SLake"/>
    <n v="2"/>
    <n v="4"/>
    <n v="3"/>
    <n v="12"/>
    <x v="41"/>
    <n v="60"/>
    <n v="58.588016351118753"/>
    <m/>
    <m/>
    <m/>
  </r>
  <r>
    <n v="2025"/>
    <x v="0"/>
    <s v="SLake"/>
    <n v="2"/>
    <n v="5"/>
    <n v="3"/>
    <n v="8"/>
    <x v="9"/>
    <n v="62.1"/>
    <n v="72.684487951807228"/>
    <m/>
    <m/>
    <m/>
  </r>
  <r>
    <n v="2025"/>
    <x v="0"/>
    <s v="SLake"/>
    <n v="2"/>
    <n v="6"/>
    <n v="3"/>
    <n v="21"/>
    <x v="26"/>
    <n v="61.3"/>
    <n v="66.596385542168662"/>
    <m/>
    <m/>
    <m/>
  </r>
  <r>
    <n v="2025"/>
    <x v="0"/>
    <s v="SLake"/>
    <n v="1"/>
    <n v="7"/>
    <n v="3"/>
    <n v="32"/>
    <x v="24"/>
    <n v="62.1"/>
    <n v="70.347319277108426"/>
    <m/>
    <m/>
    <m/>
  </r>
  <r>
    <n v="2025"/>
    <x v="0"/>
    <s v="SLake"/>
    <n v="2"/>
    <n v="8"/>
    <n v="3"/>
    <n v="4"/>
    <x v="4"/>
    <n v="58.9"/>
    <n v="69.882706540447487"/>
    <m/>
    <m/>
    <m/>
  </r>
  <r>
    <n v="2025"/>
    <x v="0"/>
    <s v="SLake"/>
    <n v="2"/>
    <n v="9"/>
    <n v="3"/>
    <n v="30"/>
    <x v="14"/>
    <n v="61.4"/>
    <n v="66.803463855421668"/>
    <m/>
    <m/>
    <m/>
  </r>
  <r>
    <n v="2025"/>
    <x v="0"/>
    <s v="SLake"/>
    <n v="2"/>
    <n v="10"/>
    <n v="3"/>
    <n v="22"/>
    <x v="33"/>
    <n v="61.6"/>
    <n v="69.439724612736669"/>
    <m/>
    <m/>
    <m/>
  </r>
  <r>
    <n v="2025"/>
    <x v="0"/>
    <s v="SLake"/>
    <n v="2"/>
    <n v="11"/>
    <n v="3"/>
    <n v="36"/>
    <x v="36"/>
    <n v="63.2"/>
    <n v="68.643029259896736"/>
    <m/>
    <m/>
    <m/>
  </r>
  <r>
    <n v="2025"/>
    <x v="0"/>
    <s v="SLake"/>
    <n v="2"/>
    <n v="12"/>
    <n v="3"/>
    <n v="18"/>
    <x v="8"/>
    <n v="59.5"/>
    <n v="58.011084337349388"/>
    <m/>
    <m/>
    <m/>
  </r>
  <r>
    <n v="2025"/>
    <x v="0"/>
    <s v="SLake"/>
    <n v="2"/>
    <n v="13"/>
    <n v="3"/>
    <n v="44"/>
    <x v="17"/>
    <n v="60.9"/>
    <n v="70.986445783132538"/>
    <m/>
    <m/>
    <m/>
  </r>
  <r>
    <n v="2025"/>
    <x v="0"/>
    <s v="SLake"/>
    <n v="2"/>
    <n v="14"/>
    <n v="3"/>
    <n v="23"/>
    <x v="35"/>
    <n v="61.8"/>
    <n v="70.543653184165223"/>
    <m/>
    <m/>
    <m/>
  </r>
  <r>
    <n v="2025"/>
    <x v="0"/>
    <s v="SLake"/>
    <n v="2"/>
    <n v="15"/>
    <n v="3"/>
    <n v="5"/>
    <x v="28"/>
    <n v="60.4"/>
    <n v="72.141824440619615"/>
    <m/>
    <m/>
    <m/>
  </r>
  <r>
    <n v="2025"/>
    <x v="0"/>
    <s v="SLake"/>
    <n v="2"/>
    <n v="16"/>
    <n v="3"/>
    <n v="46"/>
    <x v="25"/>
    <n v="60.9"/>
    <n v="64.033347676419965"/>
    <m/>
    <m/>
    <m/>
  </r>
  <r>
    <n v="2025"/>
    <x v="0"/>
    <s v="SLake"/>
    <n v="2"/>
    <n v="17"/>
    <n v="3"/>
    <n v="24"/>
    <x v="29"/>
    <n v="61.5"/>
    <n v="69.816867469879497"/>
    <m/>
    <m/>
    <m/>
  </r>
  <r>
    <n v="2025"/>
    <x v="0"/>
    <s v="SLake"/>
    <n v="2"/>
    <n v="18"/>
    <n v="3"/>
    <n v="11"/>
    <x v="2"/>
    <n v="58.3"/>
    <n v="72.277099827882964"/>
    <m/>
    <m/>
    <m/>
  </r>
  <r>
    <n v="2025"/>
    <x v="0"/>
    <s v="SLake"/>
    <n v="2"/>
    <n v="19"/>
    <n v="3"/>
    <n v="40"/>
    <x v="13"/>
    <n v="61.4"/>
    <n v="74.680959552495693"/>
    <m/>
    <m/>
    <m/>
  </r>
  <r>
    <n v="2025"/>
    <x v="0"/>
    <s v="SLake"/>
    <n v="2"/>
    <n v="20"/>
    <n v="3"/>
    <n v="6"/>
    <x v="10"/>
    <n v="56.3"/>
    <n v="62.276140275387256"/>
    <m/>
    <m/>
    <m/>
  </r>
  <r>
    <n v="2025"/>
    <x v="0"/>
    <s v="SLake"/>
    <n v="2"/>
    <n v="21"/>
    <n v="3"/>
    <n v="45"/>
    <x v="21"/>
    <n v="60.9"/>
    <n v="74.72838640275387"/>
    <m/>
    <m/>
    <m/>
  </r>
  <r>
    <n v="2025"/>
    <x v="0"/>
    <s v="SLake"/>
    <n v="2"/>
    <n v="21"/>
    <n v="4"/>
    <n v="33"/>
    <x v="3"/>
    <n v="61.2"/>
    <n v="66.897787735619303"/>
    <m/>
    <m/>
    <m/>
  </r>
  <r>
    <n v="2025"/>
    <x v="0"/>
    <s v="SLake"/>
    <n v="2"/>
    <n v="20"/>
    <n v="4"/>
    <n v="1"/>
    <x v="12"/>
    <n v="61.4"/>
    <n v="63.577760459792508"/>
    <m/>
    <m/>
    <m/>
  </r>
  <r>
    <n v="2025"/>
    <x v="0"/>
    <s v="SLake"/>
    <n v="2"/>
    <n v="19"/>
    <n v="4"/>
    <n v="31"/>
    <x v="6"/>
    <n v="61.8"/>
    <n v="57.785023622814272"/>
    <m/>
    <m/>
    <m/>
  </r>
  <r>
    <n v="2025"/>
    <x v="0"/>
    <s v="SLake"/>
    <n v="2"/>
    <n v="18"/>
    <n v="4"/>
    <n v="37"/>
    <x v="31"/>
    <n v="60.8"/>
    <n v="65.795821440748142"/>
    <m/>
    <m/>
    <m/>
  </r>
  <r>
    <n v="2025"/>
    <x v="0"/>
    <s v="SLake"/>
    <n v="2"/>
    <n v="17"/>
    <n v="4"/>
    <n v="13"/>
    <x v="38"/>
    <n v="62.2"/>
    <n v="63.881111002873702"/>
    <m/>
    <m/>
    <m/>
  </r>
  <r>
    <n v="2025"/>
    <x v="0"/>
    <s v="SLake"/>
    <n v="2"/>
    <n v="16"/>
    <n v="4"/>
    <n v="3"/>
    <x v="16"/>
    <n v="61.8"/>
    <n v="66.534596463883872"/>
    <m/>
    <m/>
    <m/>
  </r>
  <r>
    <n v="2025"/>
    <x v="0"/>
    <s v="SLake"/>
    <n v="2"/>
    <n v="15"/>
    <n v="4"/>
    <n v="15"/>
    <x v="7"/>
    <n v="61.8"/>
    <n v="69.395812673518094"/>
    <m/>
    <m/>
    <m/>
  </r>
  <r>
    <n v="2025"/>
    <x v="0"/>
    <s v="SLake"/>
    <n v="2"/>
    <n v="14"/>
    <n v="4"/>
    <n v="43"/>
    <x v="22"/>
    <n v="61.5"/>
    <n v="65.229576737616284"/>
    <m/>
    <m/>
    <m/>
  </r>
  <r>
    <n v="2025"/>
    <x v="0"/>
    <s v="SLake"/>
    <n v="2"/>
    <n v="13"/>
    <n v="4"/>
    <n v="42"/>
    <x v="42"/>
    <n v="62.9"/>
    <n v="67.349510496322637"/>
    <m/>
    <m/>
    <m/>
  </r>
  <r>
    <n v="2025"/>
    <x v="0"/>
    <s v="SLake"/>
    <n v="2"/>
    <n v="12"/>
    <n v="4"/>
    <n v="25"/>
    <x v="34"/>
    <n v="61.4"/>
    <n v="66.989067751205482"/>
    <m/>
    <m/>
    <m/>
  </r>
  <r>
    <n v="2025"/>
    <x v="0"/>
    <s v="SLake"/>
    <n v="2"/>
    <n v="11"/>
    <n v="4"/>
    <n v="10"/>
    <x v="15"/>
    <n v="57.6"/>
    <n v="58.04092591690614"/>
    <m/>
    <m/>
    <m/>
  </r>
  <r>
    <n v="2025"/>
    <x v="0"/>
    <s v="SLake"/>
    <n v="2"/>
    <n v="10"/>
    <n v="4"/>
    <n v="32"/>
    <x v="24"/>
    <n v="64.5"/>
    <n v="69.225066484827806"/>
    <m/>
    <m/>
    <m/>
  </r>
  <r>
    <n v="2025"/>
    <x v="0"/>
    <s v="SLake"/>
    <n v="2"/>
    <n v="9"/>
    <n v="4"/>
    <n v="28"/>
    <x v="37"/>
    <n v="59.7"/>
    <n v="69.421224489795932"/>
    <m/>
    <m/>
    <m/>
  </r>
  <r>
    <n v="2025"/>
    <x v="0"/>
    <s v="SLake"/>
    <n v="2"/>
    <n v="8"/>
    <n v="4"/>
    <n v="17"/>
    <x v="32"/>
    <n v="60.8"/>
    <n v="67.26734401636547"/>
    <m/>
    <m/>
    <m/>
  </r>
  <r>
    <n v="2025"/>
    <x v="0"/>
    <s v="SLake"/>
    <n v="2"/>
    <n v="7"/>
    <n v="4"/>
    <n v="29"/>
    <x v="27"/>
    <n v="60.8"/>
    <n v="62.499662948711709"/>
    <m/>
    <m/>
    <m/>
  </r>
  <r>
    <n v="2025"/>
    <x v="0"/>
    <s v="SLake"/>
    <n v="2"/>
    <n v="6"/>
    <n v="4"/>
    <n v="35"/>
    <x v="30"/>
    <n v="61.5"/>
    <n v="72.233208319127172"/>
    <m/>
    <m/>
    <m/>
  </r>
  <r>
    <n v="2025"/>
    <x v="0"/>
    <s v="SLake"/>
    <n v="2"/>
    <n v="5"/>
    <n v="4"/>
    <n v="41"/>
    <x v="20"/>
    <n v="57.7"/>
    <n v="63.945195070868444"/>
    <m/>
    <m/>
    <m/>
  </r>
  <r>
    <n v="2025"/>
    <x v="0"/>
    <s v="SLake"/>
    <n v="2"/>
    <n v="4"/>
    <n v="4"/>
    <n v="16"/>
    <x v="40"/>
    <n v="59.8"/>
    <n v="66.248171058399492"/>
    <m/>
    <m/>
    <m/>
  </r>
  <r>
    <n v="2025"/>
    <x v="0"/>
    <s v="SLake"/>
    <n v="2"/>
    <n v="3"/>
    <n v="4"/>
    <n v="26"/>
    <x v="11"/>
    <s v="."/>
    <s v="."/>
    <m/>
    <m/>
    <m/>
  </r>
  <r>
    <n v="2025"/>
    <x v="0"/>
    <s v="SLake"/>
    <n v="2"/>
    <n v="2"/>
    <n v="4"/>
    <n v="14"/>
    <x v="5"/>
    <n v="62.1"/>
    <n v="70.813618430665827"/>
    <m/>
    <m/>
    <m/>
  </r>
  <r>
    <n v="2025"/>
    <x v="0"/>
    <s v="SLake"/>
    <n v="2"/>
    <n v="1"/>
    <n v="4"/>
    <n v="2"/>
    <x v="23"/>
    <n v="58.7"/>
    <n v="67.883399736983094"/>
    <m/>
    <m/>
    <m/>
  </r>
  <r>
    <n v="2025"/>
    <x v="0"/>
    <s v="SLake"/>
    <n v="3"/>
    <n v="1"/>
    <n v="5"/>
    <n v="34"/>
    <x v="0"/>
    <n v="58.7"/>
    <n v="68.320857333587625"/>
    <m/>
    <m/>
    <m/>
  </r>
  <r>
    <n v="2025"/>
    <x v="0"/>
    <s v="SLake"/>
    <n v="3"/>
    <n v="2"/>
    <n v="5"/>
    <n v="27"/>
    <x v="39"/>
    <n v="60.8"/>
    <n v="60.150761014686246"/>
    <m/>
    <m/>
    <m/>
  </r>
  <r>
    <n v="2025"/>
    <x v="0"/>
    <s v="SLake"/>
    <n v="3"/>
    <n v="3"/>
    <n v="5"/>
    <n v="20"/>
    <x v="18"/>
    <n v="61.9"/>
    <n v="73.600259393477018"/>
    <m/>
    <m/>
    <m/>
  </r>
  <r>
    <n v="2025"/>
    <x v="0"/>
    <s v="SLake"/>
    <n v="3"/>
    <n v="4"/>
    <n v="5"/>
    <n v="8"/>
    <x v="9"/>
    <n v="62.1"/>
    <n v="68.342383177570085"/>
    <m/>
    <m/>
    <m/>
  </r>
  <r>
    <n v="2025"/>
    <x v="0"/>
    <s v="SLake"/>
    <n v="3"/>
    <n v="5"/>
    <n v="5"/>
    <n v="23"/>
    <x v="35"/>
    <n v="61.1"/>
    <n v="68.768840358573328"/>
    <m/>
    <m/>
    <m/>
  </r>
  <r>
    <n v="2025"/>
    <x v="0"/>
    <s v="SLake"/>
    <n v="3"/>
    <n v="6"/>
    <n v="5"/>
    <n v="37"/>
    <x v="31"/>
    <n v="61.3"/>
    <n v="70.220890711424772"/>
    <m/>
    <m/>
    <m/>
  </r>
  <r>
    <n v="2025"/>
    <x v="0"/>
    <s v="SLake"/>
    <n v="3"/>
    <n v="7"/>
    <n v="5"/>
    <n v="26"/>
    <x v="11"/>
    <n v="61.7"/>
    <n v="77.090844936105285"/>
    <m/>
    <m/>
    <m/>
  </r>
  <r>
    <n v="2025"/>
    <x v="0"/>
    <s v="SLake"/>
    <n v="3"/>
    <n v="8"/>
    <n v="5"/>
    <n v="13"/>
    <x v="38"/>
    <n v="62.9"/>
    <n v="66.590387182910547"/>
    <m/>
    <m/>
    <m/>
  </r>
  <r>
    <n v="2025"/>
    <x v="0"/>
    <s v="SLake"/>
    <n v="3"/>
    <n v="9"/>
    <n v="5"/>
    <n v="3"/>
    <x v="16"/>
    <n v="63.4"/>
    <n v="65.452585828724011"/>
    <m/>
    <m/>
    <m/>
  </r>
  <r>
    <n v="2025"/>
    <x v="0"/>
    <s v="SLake"/>
    <n v="3"/>
    <n v="10"/>
    <n v="5"/>
    <n v="5"/>
    <x v="28"/>
    <n v="62.2"/>
    <n v="65.055490654205599"/>
    <m/>
    <m/>
    <m/>
  </r>
  <r>
    <n v="2025"/>
    <x v="0"/>
    <s v="SLake"/>
    <n v="3"/>
    <n v="11"/>
    <n v="5"/>
    <n v="29"/>
    <x v="27"/>
    <n v="62"/>
    <n v="62.430423421705129"/>
    <m/>
    <m/>
    <m/>
  </r>
  <r>
    <n v="2025"/>
    <x v="0"/>
    <s v="SLake"/>
    <n v="3"/>
    <n v="12"/>
    <n v="5"/>
    <n v="9"/>
    <x v="1"/>
    <s v="."/>
    <n v="60.12399532710279"/>
    <m/>
    <m/>
    <m/>
  </r>
  <r>
    <n v="2025"/>
    <x v="0"/>
    <s v="SLake"/>
    <n v="3"/>
    <n v="13"/>
    <n v="5"/>
    <n v="4"/>
    <x v="4"/>
    <n v="58.7"/>
    <n v="64.97859240892619"/>
    <m/>
    <m/>
    <m/>
  </r>
  <r>
    <n v="2025"/>
    <x v="0"/>
    <s v="SLake"/>
    <n v="3"/>
    <n v="14"/>
    <n v="5"/>
    <n v="14"/>
    <x v="5"/>
    <n v="62.3"/>
    <n v="66.783930955559782"/>
    <m/>
    <m/>
    <m/>
  </r>
  <r>
    <n v="2025"/>
    <x v="0"/>
    <s v="SLake"/>
    <n v="3"/>
    <n v="15"/>
    <n v="5"/>
    <n v="24"/>
    <x v="29"/>
    <n v="61"/>
    <n v="66.521938775510208"/>
    <m/>
    <m/>
    <m/>
  </r>
  <r>
    <n v="2025"/>
    <x v="0"/>
    <s v="SLake"/>
    <n v="3"/>
    <n v="16"/>
    <n v="5"/>
    <n v="41"/>
    <x v="20"/>
    <n v="61.3"/>
    <n v="64.274753957657822"/>
    <m/>
    <m/>
    <m/>
  </r>
  <r>
    <n v="2025"/>
    <x v="0"/>
    <s v="SLake"/>
    <n v="3"/>
    <n v="17"/>
    <n v="5"/>
    <n v="25"/>
    <x v="34"/>
    <n v="60.4"/>
    <n v="68.051406637421323"/>
    <m/>
    <m/>
    <m/>
  </r>
  <r>
    <n v="2025"/>
    <x v="0"/>
    <s v="SLake"/>
    <n v="3"/>
    <n v="18"/>
    <n v="5"/>
    <n v="30"/>
    <x v="14"/>
    <n v="61.2"/>
    <n v="61.069669082586302"/>
    <m/>
    <m/>
    <m/>
  </r>
  <r>
    <n v="2025"/>
    <x v="0"/>
    <s v="SLake"/>
    <n v="3"/>
    <n v="19"/>
    <n v="5"/>
    <n v="1"/>
    <x v="12"/>
    <n v="59.9"/>
    <n v="67.374097844745378"/>
    <m/>
    <m/>
    <m/>
  </r>
  <r>
    <n v="2025"/>
    <x v="0"/>
    <s v="SLake"/>
    <n v="3"/>
    <n v="20"/>
    <n v="5"/>
    <n v="35"/>
    <x v="30"/>
    <n v="60.6"/>
    <n v="65.262016021361802"/>
    <m/>
    <m/>
    <m/>
  </r>
  <r>
    <n v="2025"/>
    <x v="0"/>
    <s v="SLake"/>
    <n v="3"/>
    <n v="21"/>
    <n v="5"/>
    <n v="11"/>
    <x v="2"/>
    <n v="63"/>
    <n v="69.602022696929239"/>
    <m/>
    <m/>
    <m/>
  </r>
  <r>
    <n v="2025"/>
    <x v="0"/>
    <s v="SLake"/>
    <n v="3"/>
    <n v="21"/>
    <n v="6"/>
    <n v="42"/>
    <x v="42"/>
    <n v="62.1"/>
    <n v="59.414300158890647"/>
    <m/>
    <m/>
    <m/>
  </r>
  <r>
    <n v="2025"/>
    <x v="0"/>
    <s v="SLake"/>
    <n v="3"/>
    <n v="20"/>
    <n v="6"/>
    <n v="36"/>
    <x v="36"/>
    <n v="62.5"/>
    <n v="59.229351437238179"/>
    <m/>
    <m/>
    <m/>
  </r>
  <r>
    <n v="2025"/>
    <x v="0"/>
    <s v="SLake"/>
    <n v="3"/>
    <n v="19"/>
    <n v="6"/>
    <n v="15"/>
    <x v="7"/>
    <n v="61.1"/>
    <n v="61.38271703018922"/>
    <m/>
    <m/>
    <m/>
  </r>
  <r>
    <n v="2025"/>
    <x v="0"/>
    <s v="SLake"/>
    <n v="3"/>
    <n v="18"/>
    <n v="6"/>
    <n v="33"/>
    <x v="3"/>
    <n v="60.2"/>
    <n v="60.644113823486919"/>
    <m/>
    <m/>
    <m/>
  </r>
  <r>
    <n v="2025"/>
    <x v="0"/>
    <s v="SLake"/>
    <n v="3"/>
    <n v="17"/>
    <n v="6"/>
    <n v="16"/>
    <x v="40"/>
    <n v="61.1"/>
    <n v="65.457976310847897"/>
    <m/>
    <m/>
    <m/>
  </r>
  <r>
    <n v="2025"/>
    <x v="0"/>
    <s v="SLake"/>
    <n v="3"/>
    <n v="16"/>
    <n v="6"/>
    <n v="40"/>
    <x v="13"/>
    <n v="62.3"/>
    <n v="63.585942510472336"/>
    <n v="9.1999999999999993"/>
    <m/>
    <m/>
  </r>
  <r>
    <n v="2025"/>
    <x v="0"/>
    <s v="SLake"/>
    <n v="3"/>
    <n v="15"/>
    <n v="6"/>
    <n v="17"/>
    <x v="32"/>
    <n v="61.1"/>
    <n v="66.074551495016607"/>
    <n v="9.5"/>
    <m/>
    <m/>
  </r>
  <r>
    <n v="2025"/>
    <x v="0"/>
    <s v="SLake"/>
    <n v="3"/>
    <n v="14"/>
    <n v="6"/>
    <n v="21"/>
    <x v="26"/>
    <n v="61.8"/>
    <n v="61.879218546872728"/>
    <m/>
    <m/>
    <m/>
  </r>
  <r>
    <n v="2025"/>
    <x v="0"/>
    <s v="SLake"/>
    <n v="3"/>
    <n v="13"/>
    <n v="6"/>
    <n v="2"/>
    <x v="23"/>
    <n v="61.8"/>
    <n v="67.247355192835471"/>
    <m/>
    <m/>
    <m/>
  </r>
  <r>
    <n v="2025"/>
    <x v="0"/>
    <s v="SLake"/>
    <n v="3"/>
    <n v="12"/>
    <n v="6"/>
    <n v="43"/>
    <x v="22"/>
    <s v="."/>
    <n v="62.125038278203078"/>
    <m/>
    <m/>
    <m/>
  </r>
  <r>
    <n v="2025"/>
    <x v="0"/>
    <s v="SLake"/>
    <n v="3"/>
    <n v="11"/>
    <n v="6"/>
    <n v="44"/>
    <x v="17"/>
    <n v="60.6"/>
    <n v="56.145283836487067"/>
    <m/>
    <m/>
    <m/>
  </r>
  <r>
    <n v="2025"/>
    <x v="0"/>
    <s v="SLake"/>
    <n v="3"/>
    <n v="10"/>
    <n v="6"/>
    <n v="10"/>
    <x v="15"/>
    <n v="58.8"/>
    <n v="52.194721941354892"/>
    <m/>
    <m/>
    <m/>
  </r>
  <r>
    <n v="2025"/>
    <x v="0"/>
    <s v="SLake"/>
    <n v="3"/>
    <n v="9"/>
    <n v="6"/>
    <n v="46"/>
    <x v="25"/>
    <n v="62.2"/>
    <n v="60.862334248158312"/>
    <m/>
    <m/>
    <m/>
  </r>
  <r>
    <n v="2025"/>
    <x v="0"/>
    <s v="SLake"/>
    <n v="3"/>
    <n v="8"/>
    <n v="6"/>
    <n v="31"/>
    <x v="6"/>
    <n v="59.9"/>
    <n v="58.02890076556406"/>
    <m/>
    <m/>
    <m/>
  </r>
  <r>
    <n v="2025"/>
    <x v="0"/>
    <s v="SLake"/>
    <n v="3"/>
    <n v="7"/>
    <n v="6"/>
    <n v="18"/>
    <x v="8"/>
    <n v="60.1"/>
    <n v="55.67223458038422"/>
    <m/>
    <m/>
    <m/>
  </r>
  <r>
    <n v="2025"/>
    <x v="0"/>
    <s v="SLake"/>
    <n v="3"/>
    <n v="6"/>
    <n v="6"/>
    <n v="12"/>
    <x v="41"/>
    <n v="60.9"/>
    <n v="57.695564061822907"/>
    <m/>
    <m/>
    <m/>
  </r>
  <r>
    <n v="2025"/>
    <x v="0"/>
    <s v="SLake"/>
    <n v="3"/>
    <n v="5"/>
    <n v="6"/>
    <n v="45"/>
    <x v="21"/>
    <n v="59.7"/>
    <n v="62.506995522172467"/>
    <m/>
    <m/>
    <m/>
  </r>
  <r>
    <n v="2025"/>
    <x v="0"/>
    <s v="SLake"/>
    <n v="3"/>
    <n v="4"/>
    <n v="6"/>
    <n v="28"/>
    <x v="37"/>
    <n v="56.9"/>
    <n v="64.925581395348829"/>
    <m/>
    <m/>
    <m/>
  </r>
  <r>
    <n v="2025"/>
    <x v="0"/>
    <s v="SLake"/>
    <n v="3"/>
    <n v="3"/>
    <n v="6"/>
    <n v="32"/>
    <x v="24"/>
    <n v="62.4"/>
    <n v="64.47198035533728"/>
    <m/>
    <m/>
    <m/>
  </r>
  <r>
    <n v="2025"/>
    <x v="0"/>
    <s v="SLake"/>
    <n v="3"/>
    <n v="2"/>
    <n v="6"/>
    <n v="22"/>
    <x v="33"/>
    <n v="55.6"/>
    <n v="59.78610429004766"/>
    <m/>
    <m/>
    <m/>
  </r>
  <r>
    <n v="2025"/>
    <x v="0"/>
    <s v="SLake"/>
    <n v="3"/>
    <n v="1"/>
    <n v="6"/>
    <n v="6"/>
    <x v="10"/>
    <n v="57.3"/>
    <n v="55.881445904954496"/>
    <m/>
    <m/>
    <m/>
  </r>
  <r>
    <n v="2025"/>
    <x v="0"/>
    <s v="Walsh"/>
    <n v="1"/>
    <n v="7"/>
    <n v="2"/>
    <n v="30"/>
    <x v="14"/>
    <n v="57.2"/>
    <n v="62.851799999999983"/>
    <n v="13.890599999999999"/>
    <m/>
    <m/>
  </r>
  <r>
    <n v="2025"/>
    <x v="0"/>
    <s v="Walsh"/>
    <n v="2"/>
    <n v="3"/>
    <n v="3"/>
    <n v="30"/>
    <x v="14"/>
    <n v="57.9"/>
    <n v="67.114959999999996"/>
    <n v="14.070600000000001"/>
    <m/>
    <m/>
  </r>
  <r>
    <n v="2025"/>
    <x v="0"/>
    <s v="Walsh"/>
    <n v="3"/>
    <n v="16"/>
    <n v="6"/>
    <n v="30"/>
    <x v="14"/>
    <n v="56.4"/>
    <n v="60.80415"/>
    <n v="13.890599999999999"/>
    <m/>
    <m/>
  </r>
  <r>
    <n v="2025"/>
    <x v="0"/>
    <s v="Walsh"/>
    <n v="1"/>
    <n v="9"/>
    <n v="2"/>
    <n v="37"/>
    <x v="31"/>
    <n v="59.2"/>
    <n v="68.603040000000007"/>
    <n v="13.3506"/>
    <m/>
    <m/>
  </r>
  <r>
    <n v="2025"/>
    <x v="0"/>
    <s v="Walsh"/>
    <n v="2"/>
    <n v="4"/>
    <n v="3"/>
    <n v="37"/>
    <x v="31"/>
    <n v="58.7"/>
    <n v="72.454139999999981"/>
    <n v="14.2506"/>
    <m/>
    <m/>
  </r>
  <r>
    <n v="2025"/>
    <x v="0"/>
    <s v="Walsh"/>
    <n v="3"/>
    <n v="10"/>
    <n v="6"/>
    <n v="37"/>
    <x v="31"/>
    <n v="58.7"/>
    <n v="60.074629999999999"/>
    <n v="14.610600000000002"/>
    <m/>
    <m/>
  </r>
  <r>
    <n v="2025"/>
    <x v="0"/>
    <s v="Walsh"/>
    <n v="1"/>
    <n v="11"/>
    <n v="1"/>
    <n v="40"/>
    <x v="13"/>
    <n v="58.7"/>
    <n v="80.600849999999994"/>
    <n v="12.630600000000001"/>
    <m/>
    <m/>
  </r>
  <r>
    <n v="2025"/>
    <x v="0"/>
    <s v="Walsh"/>
    <n v="2"/>
    <n v="16"/>
    <n v="4"/>
    <n v="40"/>
    <x v="13"/>
    <n v="59.1"/>
    <n v="62.79619499999999"/>
    <n v="13.980600000000001"/>
    <m/>
    <m/>
  </r>
  <r>
    <n v="2025"/>
    <x v="0"/>
    <s v="Walsh"/>
    <n v="3"/>
    <n v="3"/>
    <n v="5"/>
    <n v="40"/>
    <x v="13"/>
    <n v="59"/>
    <n v="60.678639999999994"/>
    <n v="13.710599999999999"/>
    <m/>
    <m/>
  </r>
  <r>
    <n v="2025"/>
    <x v="0"/>
    <s v="Walsh"/>
    <n v="1"/>
    <n v="21"/>
    <n v="1"/>
    <n v="41"/>
    <x v="20"/>
    <s v="."/>
    <s v="."/>
    <n v="14.3406"/>
    <m/>
    <m/>
  </r>
  <r>
    <n v="2025"/>
    <x v="0"/>
    <s v="Walsh"/>
    <n v="2"/>
    <n v="18"/>
    <n v="3"/>
    <n v="41"/>
    <x v="20"/>
    <n v="56.9"/>
    <n v="68.888819999999996"/>
    <n v="14.610600000000002"/>
    <m/>
    <m/>
  </r>
  <r>
    <n v="2025"/>
    <x v="0"/>
    <s v="Walsh"/>
    <n v="3"/>
    <n v="13"/>
    <n v="6"/>
    <n v="41"/>
    <x v="20"/>
    <n v="56.5"/>
    <n v="60.607634999999995"/>
    <n v="14.610600000000002"/>
    <m/>
    <m/>
  </r>
  <r>
    <n v="2025"/>
    <x v="0"/>
    <s v="Walsh"/>
    <n v="1"/>
    <n v="1"/>
    <n v="2"/>
    <n v="20"/>
    <x v="18"/>
    <n v="56.9"/>
    <n v="64.377224999999996"/>
    <n v="14.2506"/>
    <m/>
    <m/>
  </r>
  <r>
    <n v="2025"/>
    <x v="0"/>
    <s v="Walsh"/>
    <n v="2"/>
    <n v="16"/>
    <n v="3"/>
    <n v="20"/>
    <x v="18"/>
    <n v="57.1"/>
    <n v="79.025759999999991"/>
    <n v="13.980600000000001"/>
    <m/>
    <m/>
  </r>
  <r>
    <n v="2025"/>
    <x v="0"/>
    <s v="Walsh"/>
    <n v="3"/>
    <n v="21"/>
    <n v="6"/>
    <n v="20"/>
    <x v="18"/>
    <n v="56.9"/>
    <n v="83.401064999999988"/>
    <n v="13.710599999999999"/>
    <m/>
    <m/>
  </r>
  <r>
    <n v="2025"/>
    <x v="0"/>
    <s v="Walsh"/>
    <n v="1"/>
    <n v="14"/>
    <n v="2"/>
    <n v="32"/>
    <x v="24"/>
    <n v="59.3"/>
    <n v="74.324249999999992"/>
    <n v="14.3406"/>
    <m/>
    <m/>
  </r>
  <r>
    <n v="2025"/>
    <x v="0"/>
    <s v="Walsh"/>
    <n v="2"/>
    <n v="11"/>
    <n v="4"/>
    <n v="32"/>
    <x v="24"/>
    <n v="58.9"/>
    <n v="75.469239999999999"/>
    <n v="15.240600000000001"/>
    <m/>
    <m/>
  </r>
  <r>
    <n v="2025"/>
    <x v="0"/>
    <s v="Walsh"/>
    <n v="3"/>
    <n v="9"/>
    <n v="6"/>
    <n v="32"/>
    <x v="24"/>
    <n v="59"/>
    <n v="79.609529999999992"/>
    <n v="15.150600000000001"/>
    <m/>
    <m/>
  </r>
  <r>
    <n v="2025"/>
    <x v="0"/>
    <s v="Walsh"/>
    <n v="1"/>
    <n v="6"/>
    <n v="2"/>
    <n v="21"/>
    <x v="26"/>
    <n v="57.6"/>
    <n v="71.420359999999988"/>
    <n v="13.980600000000001"/>
    <m/>
    <m/>
  </r>
  <r>
    <n v="2025"/>
    <x v="0"/>
    <s v="Walsh"/>
    <n v="2"/>
    <n v="5"/>
    <n v="3"/>
    <n v="21"/>
    <x v="26"/>
    <n v="58.3"/>
    <n v="77.82929"/>
    <n v="13.2606"/>
    <m/>
    <m/>
  </r>
  <r>
    <n v="2025"/>
    <x v="0"/>
    <s v="Walsh"/>
    <n v="3"/>
    <n v="18"/>
    <n v="6"/>
    <n v="21"/>
    <x v="26"/>
    <n v="57.2"/>
    <n v="77.774234999999976"/>
    <n v="14.2506"/>
    <m/>
    <m/>
  </r>
  <r>
    <n v="2025"/>
    <x v="0"/>
    <s v="Walsh"/>
    <n v="1"/>
    <n v="16"/>
    <n v="1"/>
    <n v="29"/>
    <x v="27"/>
    <n v="57.8"/>
    <n v="64.639574999999994"/>
    <n v="13.620600000000001"/>
    <m/>
    <m/>
  </r>
  <r>
    <n v="2025"/>
    <x v="0"/>
    <s v="Walsh"/>
    <n v="2"/>
    <n v="14"/>
    <n v="3"/>
    <n v="29"/>
    <x v="27"/>
    <n v="57.5"/>
    <n v="69.678619999999981"/>
    <n v="14.070600000000001"/>
    <m/>
    <m/>
  </r>
  <r>
    <n v="2025"/>
    <x v="0"/>
    <s v="Walsh"/>
    <n v="3"/>
    <n v="21"/>
    <n v="5"/>
    <n v="29"/>
    <x v="27"/>
    <n v="57.6"/>
    <n v="55.23265"/>
    <n v="13.3506"/>
    <m/>
    <m/>
  </r>
  <r>
    <n v="2025"/>
    <x v="0"/>
    <s v="Walsh"/>
    <n v="1"/>
    <n v="18"/>
    <n v="2"/>
    <n v="22"/>
    <x v="33"/>
    <n v="58.7"/>
    <n v="71.162409999999994"/>
    <n v="12.720600000000001"/>
    <m/>
    <m/>
  </r>
  <r>
    <n v="2025"/>
    <x v="0"/>
    <s v="Walsh"/>
    <n v="2"/>
    <n v="1"/>
    <n v="3"/>
    <n v="22"/>
    <x v="33"/>
    <n v="59"/>
    <n v="71.572050000000004"/>
    <n v="12.810600000000001"/>
    <m/>
    <m/>
  </r>
  <r>
    <n v="2025"/>
    <x v="0"/>
    <s v="Walsh"/>
    <n v="3"/>
    <n v="7"/>
    <n v="5"/>
    <n v="22"/>
    <x v="33"/>
    <n v="58.7"/>
    <n v="61.910199999999989"/>
    <n v="13.530600000000002"/>
    <m/>
    <m/>
  </r>
  <r>
    <n v="2025"/>
    <x v="0"/>
    <s v="Walsh"/>
    <n v="1"/>
    <n v="18"/>
    <n v="1"/>
    <n v="18"/>
    <x v="8"/>
    <n v="57.8"/>
    <n v="54.973379999999992"/>
    <n v="14.4306"/>
    <m/>
    <m/>
  </r>
  <r>
    <n v="2025"/>
    <x v="0"/>
    <s v="Walsh"/>
    <n v="2"/>
    <n v="6"/>
    <n v="4"/>
    <n v="18"/>
    <x v="8"/>
    <n v="56.9"/>
    <n v="64.671749999999989"/>
    <n v="14.070600000000001"/>
    <m/>
    <m/>
  </r>
  <r>
    <n v="2025"/>
    <x v="0"/>
    <s v="Walsh"/>
    <n v="3"/>
    <n v="14"/>
    <n v="6"/>
    <n v="18"/>
    <x v="8"/>
    <n v="56.9"/>
    <n v="59.245339999999992"/>
    <n v="14.5206"/>
    <m/>
    <m/>
  </r>
  <r>
    <n v="2025"/>
    <x v="0"/>
    <s v="Walsh"/>
    <n v="1"/>
    <n v="1"/>
    <n v="1"/>
    <n v="14"/>
    <x v="5"/>
    <n v="58.9"/>
    <n v="76.619784999999993"/>
    <n v="12.720600000000001"/>
    <m/>
    <m/>
  </r>
  <r>
    <n v="2025"/>
    <x v="0"/>
    <s v="Walsh"/>
    <n v="2"/>
    <n v="8"/>
    <n v="4"/>
    <n v="14"/>
    <x v="5"/>
    <n v="58.4"/>
    <n v="72.672600000000003"/>
    <n v="14.070600000000001"/>
    <m/>
    <m/>
  </r>
  <r>
    <n v="2025"/>
    <x v="0"/>
    <s v="Walsh"/>
    <n v="3"/>
    <n v="9"/>
    <n v="5"/>
    <n v="14"/>
    <x v="5"/>
    <n v="59"/>
    <n v="76.070279999999997"/>
    <n v="13.2606"/>
    <m/>
    <m/>
  </r>
  <r>
    <n v="2025"/>
    <x v="0"/>
    <s v="Walsh"/>
    <n v="1"/>
    <n v="19"/>
    <n v="1"/>
    <n v="15"/>
    <x v="7"/>
    <n v="56.9"/>
    <n v="72.779849999999982"/>
    <n v="13.800599999999999"/>
    <m/>
    <m/>
  </r>
  <r>
    <n v="2025"/>
    <x v="0"/>
    <s v="Walsh"/>
    <n v="2"/>
    <n v="13"/>
    <n v="4"/>
    <n v="15"/>
    <x v="7"/>
    <n v="56.2"/>
    <n v="68.777005000000003"/>
    <n v="13.800599999999999"/>
    <m/>
    <m/>
  </r>
  <r>
    <n v="2025"/>
    <x v="0"/>
    <s v="Walsh"/>
    <n v="3"/>
    <n v="14"/>
    <n v="5"/>
    <n v="15"/>
    <x v="7"/>
    <n v="56.9"/>
    <n v="61.942649999999986"/>
    <n v="13.530600000000002"/>
    <m/>
    <m/>
  </r>
  <r>
    <n v="2025"/>
    <x v="0"/>
    <s v="Walsh"/>
    <n v="1"/>
    <n v="4"/>
    <n v="1"/>
    <n v="16"/>
    <x v="40"/>
    <n v="60.3"/>
    <n v="70.808319999999981"/>
    <n v="12.900600000000001"/>
    <m/>
    <m/>
  </r>
  <r>
    <n v="2025"/>
    <x v="0"/>
    <s v="Walsh"/>
    <n v="2"/>
    <n v="19"/>
    <n v="3"/>
    <n v="16"/>
    <x v="40"/>
    <n v="60.4"/>
    <n v="77.614845000000003"/>
    <n v="11.640599999999999"/>
    <m/>
    <m/>
  </r>
  <r>
    <n v="2025"/>
    <x v="0"/>
    <s v="Walsh"/>
    <n v="3"/>
    <n v="17"/>
    <n v="5"/>
    <n v="16"/>
    <x v="40"/>
    <n v="59.3"/>
    <n v="66.267299999999992"/>
    <n v="13.1706"/>
    <m/>
    <m/>
  </r>
  <r>
    <n v="2025"/>
    <x v="0"/>
    <s v="Walsh"/>
    <n v="1"/>
    <n v="20"/>
    <n v="1"/>
    <n v="11"/>
    <x v="2"/>
    <n v="59.7"/>
    <n v="74.686700000000002"/>
    <n v="13.620600000000001"/>
    <m/>
    <m/>
  </r>
  <r>
    <n v="2025"/>
    <x v="0"/>
    <s v="Walsh"/>
    <n v="2"/>
    <n v="3"/>
    <n v="4"/>
    <n v="11"/>
    <x v="2"/>
    <n v="59.1"/>
    <n v="70.16069499999999"/>
    <n v="12.990599999999999"/>
    <m/>
    <m/>
  </r>
  <r>
    <n v="2025"/>
    <x v="0"/>
    <s v="Walsh"/>
    <n v="3"/>
    <n v="11"/>
    <n v="6"/>
    <n v="11"/>
    <x v="2"/>
    <n v="58.9"/>
    <n v="68.628559999999993"/>
    <n v="13.620600000000001"/>
    <m/>
    <m/>
  </r>
  <r>
    <n v="2025"/>
    <x v="0"/>
    <s v="Walsh"/>
    <n v="1"/>
    <n v="4"/>
    <n v="2"/>
    <n v="1"/>
    <x v="12"/>
    <n v="57.9"/>
    <n v="70.231754999999993"/>
    <n v="13.0806"/>
    <m/>
    <m/>
  </r>
  <r>
    <n v="2025"/>
    <x v="0"/>
    <s v="Walsh"/>
    <n v="2"/>
    <n v="10"/>
    <n v="4"/>
    <n v="1"/>
    <x v="12"/>
    <n v="57.1"/>
    <n v="68.552494999999993"/>
    <n v="13.3506"/>
    <m/>
    <m/>
  </r>
  <r>
    <n v="2025"/>
    <x v="0"/>
    <s v="Walsh"/>
    <n v="3"/>
    <n v="5"/>
    <n v="5"/>
    <n v="1"/>
    <x v="12"/>
    <n v="57.6"/>
    <n v="61.182274999999997"/>
    <n v="13.710599999999999"/>
    <m/>
    <m/>
  </r>
  <r>
    <n v="2025"/>
    <x v="0"/>
    <s v="Walsh"/>
    <n v="1"/>
    <n v="12"/>
    <n v="1"/>
    <n v="17"/>
    <x v="32"/>
    <n v="58.6"/>
    <n v="83.865704999999991"/>
    <n v="11.460599999999999"/>
    <m/>
    <m/>
  </r>
  <r>
    <n v="2025"/>
    <x v="0"/>
    <s v="Walsh"/>
    <n v="2"/>
    <n v="10"/>
    <n v="3"/>
    <n v="17"/>
    <x v="32"/>
    <n v="58.5"/>
    <n v="82.492409999999992"/>
    <n v="12.4506"/>
    <m/>
    <m/>
  </r>
  <r>
    <n v="2025"/>
    <x v="0"/>
    <s v="Walsh"/>
    <n v="3"/>
    <n v="19"/>
    <n v="5"/>
    <n v="17"/>
    <x v="32"/>
    <n v="57.6"/>
    <n v="60.238859999999988"/>
    <n v="13.1706"/>
    <m/>
    <m/>
  </r>
  <r>
    <n v="2025"/>
    <x v="0"/>
    <s v="Walsh"/>
    <n v="1"/>
    <n v="17"/>
    <n v="2"/>
    <n v="12"/>
    <x v="41"/>
    <n v="58.3"/>
    <n v="69.254019999999983"/>
    <n v="13.2606"/>
    <m/>
    <m/>
  </r>
  <r>
    <n v="2025"/>
    <x v="0"/>
    <s v="Walsh"/>
    <n v="2"/>
    <n v="2"/>
    <n v="4"/>
    <n v="12"/>
    <x v="41"/>
    <n v="57.6"/>
    <n v="60.567044999999986"/>
    <n v="14.4306"/>
    <m/>
    <m/>
  </r>
  <r>
    <n v="2025"/>
    <x v="0"/>
    <s v="Walsh"/>
    <n v="3"/>
    <n v="1"/>
    <n v="6"/>
    <n v="12"/>
    <x v="41"/>
    <n v="57.9"/>
    <n v="53.099199999999996"/>
    <n v="14.3406"/>
    <m/>
    <m/>
  </r>
  <r>
    <n v="2025"/>
    <x v="0"/>
    <s v="Walsh"/>
    <n v="1"/>
    <n v="17"/>
    <n v="1"/>
    <n v="13"/>
    <x v="38"/>
    <n v="57.2"/>
    <n v="65.387520000000009"/>
    <n v="13.890599999999999"/>
    <m/>
    <m/>
  </r>
  <r>
    <n v="2025"/>
    <x v="0"/>
    <s v="Walsh"/>
    <n v="2"/>
    <n v="2"/>
    <n v="3"/>
    <n v="13"/>
    <x v="38"/>
    <n v="57.6"/>
    <n v="78.011559999999989"/>
    <n v="13.530600000000002"/>
    <m/>
    <m/>
  </r>
  <r>
    <n v="2025"/>
    <x v="0"/>
    <s v="Walsh"/>
    <n v="3"/>
    <n v="12"/>
    <n v="6"/>
    <n v="13"/>
    <x v="38"/>
    <n v="57.2"/>
    <n v="68.047979999999981"/>
    <n v="14.070600000000001"/>
    <m/>
    <m/>
  </r>
  <r>
    <n v="2025"/>
    <x v="0"/>
    <s v="Walsh"/>
    <n v="1"/>
    <n v="8"/>
    <n v="1"/>
    <n v="2"/>
    <x v="23"/>
    <n v="57.6"/>
    <n v="73.72475"/>
    <n v="12.900600000000001"/>
    <m/>
    <m/>
  </r>
  <r>
    <n v="2025"/>
    <x v="0"/>
    <s v="Walsh"/>
    <n v="2"/>
    <n v="13"/>
    <n v="3"/>
    <n v="2"/>
    <x v="23"/>
    <n v="58.9"/>
    <n v="81.259200000000007"/>
    <n v="13.0806"/>
    <m/>
    <m/>
  </r>
  <r>
    <n v="2025"/>
    <x v="0"/>
    <s v="Walsh"/>
    <n v="3"/>
    <n v="3"/>
    <n v="6"/>
    <n v="2"/>
    <x v="23"/>
    <n v="57.6"/>
    <n v="59.835380000000001"/>
    <n v="13.530600000000002"/>
    <m/>
    <m/>
  </r>
  <r>
    <n v="2025"/>
    <x v="0"/>
    <s v="Walsh"/>
    <n v="1"/>
    <n v="13"/>
    <n v="1"/>
    <n v="9"/>
    <x v="1"/>
    <n v="55.6"/>
    <n v="68.363514999999992"/>
    <n v="14.160600000000001"/>
    <m/>
    <m/>
  </r>
  <r>
    <n v="2025"/>
    <x v="0"/>
    <s v="Walsh"/>
    <n v="2"/>
    <n v="20"/>
    <n v="4"/>
    <n v="9"/>
    <x v="1"/>
    <n v="55.2"/>
    <n v="63.861270000000005"/>
    <n v="15.150600000000001"/>
    <m/>
    <m/>
  </r>
  <r>
    <n v="2025"/>
    <x v="0"/>
    <s v="Walsh"/>
    <n v="3"/>
    <n v="17"/>
    <n v="6"/>
    <n v="9"/>
    <x v="1"/>
    <n v="54.8"/>
    <n v="63.512624999999986"/>
    <n v="15.240600000000001"/>
    <m/>
    <m/>
  </r>
  <r>
    <n v="2025"/>
    <x v="0"/>
    <s v="Walsh"/>
    <n v="1"/>
    <n v="5"/>
    <n v="2"/>
    <n v="3"/>
    <x v="16"/>
    <n v="58.7"/>
    <n v="64.719269999999995"/>
    <n v="13.4406"/>
    <m/>
    <m/>
  </r>
  <r>
    <n v="2025"/>
    <x v="0"/>
    <s v="Walsh"/>
    <n v="2"/>
    <n v="15"/>
    <n v="3"/>
    <n v="3"/>
    <x v="16"/>
    <n v="58.5"/>
    <n v="69.90120499999999"/>
    <n v="14.070600000000001"/>
    <m/>
    <m/>
  </r>
  <r>
    <n v="2025"/>
    <x v="0"/>
    <s v="Walsh"/>
    <n v="3"/>
    <n v="20"/>
    <n v="6"/>
    <n v="3"/>
    <x v="16"/>
    <n v="58.5"/>
    <n v="68.595559999999992"/>
    <n v="13.800599999999999"/>
    <m/>
    <m/>
  </r>
  <r>
    <n v="2025"/>
    <x v="0"/>
    <s v="Walsh"/>
    <n v="1"/>
    <n v="3"/>
    <n v="2"/>
    <n v="10"/>
    <x v="15"/>
    <n v="54.4"/>
    <n v="54.89528"/>
    <n v="14.7006"/>
    <m/>
    <m/>
  </r>
  <r>
    <n v="2025"/>
    <x v="0"/>
    <s v="Walsh"/>
    <n v="2"/>
    <n v="6"/>
    <n v="3"/>
    <n v="10"/>
    <x v="15"/>
    <n v="53.4"/>
    <n v="59.206729999999986"/>
    <n v="15.240600000000001"/>
    <m/>
    <m/>
  </r>
  <r>
    <n v="2025"/>
    <x v="0"/>
    <s v="Walsh"/>
    <n v="3"/>
    <n v="12"/>
    <n v="5"/>
    <n v="10"/>
    <x v="15"/>
    <n v="54.1"/>
    <n v="55.525029999999987"/>
    <n v="15.060600000000003"/>
    <m/>
    <m/>
  </r>
  <r>
    <n v="2025"/>
    <x v="0"/>
    <s v="Walsh"/>
    <n v="1"/>
    <n v="9"/>
    <n v="1"/>
    <n v="4"/>
    <x v="4"/>
    <n v="57"/>
    <n v="74.826729999999998"/>
    <n v="12.900600000000001"/>
    <m/>
    <m/>
  </r>
  <r>
    <n v="2025"/>
    <x v="0"/>
    <s v="Walsh"/>
    <n v="2"/>
    <n v="7"/>
    <n v="3"/>
    <n v="4"/>
    <x v="4"/>
    <n v="56.1"/>
    <n v="67.366199999999992"/>
    <n v="13.2606"/>
    <m/>
    <m/>
  </r>
  <r>
    <n v="2025"/>
    <x v="0"/>
    <s v="Walsh"/>
    <n v="3"/>
    <n v="2"/>
    <n v="6"/>
    <n v="4"/>
    <x v="4"/>
    <n v="55.1"/>
    <n v="58.226300000000009"/>
    <n v="13.980600000000001"/>
    <m/>
    <m/>
  </r>
  <r>
    <n v="2025"/>
    <x v="0"/>
    <s v="Walsh"/>
    <n v="1"/>
    <n v="10"/>
    <n v="1"/>
    <n v="5"/>
    <x v="28"/>
    <n v="57.4"/>
    <n v="76.936859999999996"/>
    <n v="13.0806"/>
    <m/>
    <m/>
  </r>
  <r>
    <n v="2025"/>
    <x v="0"/>
    <s v="Walsh"/>
    <n v="2"/>
    <n v="20"/>
    <n v="3"/>
    <n v="5"/>
    <x v="28"/>
    <n v="57.1"/>
    <n v="52.842239999999997"/>
    <n v="13.980600000000001"/>
    <m/>
    <m/>
  </r>
  <r>
    <n v="2025"/>
    <x v="0"/>
    <s v="Walsh"/>
    <n v="3"/>
    <n v="19"/>
    <n v="6"/>
    <n v="5"/>
    <x v="28"/>
    <n v="57.3"/>
    <n v="67.670459999999991"/>
    <n v="13.800599999999999"/>
    <m/>
    <m/>
  </r>
  <r>
    <n v="2025"/>
    <x v="0"/>
    <s v="Walsh"/>
    <n v="1"/>
    <n v="2"/>
    <n v="1"/>
    <n v="6"/>
    <x v="10"/>
    <n v="57.6"/>
    <n v="61.439399999999992"/>
    <n v="14.970600000000001"/>
    <m/>
    <m/>
  </r>
  <r>
    <n v="2025"/>
    <x v="0"/>
    <s v="Walsh"/>
    <n v="2"/>
    <n v="9"/>
    <n v="3"/>
    <n v="6"/>
    <x v="10"/>
    <n v="58"/>
    <n v="62.391559999999998"/>
    <n v="13.890599999999999"/>
    <m/>
    <m/>
  </r>
  <r>
    <n v="2025"/>
    <x v="0"/>
    <s v="Walsh"/>
    <n v="3"/>
    <n v="6"/>
    <n v="6"/>
    <n v="6"/>
    <x v="10"/>
    <n v="57.6"/>
    <n v="56.618099999999998"/>
    <n v="14.7006"/>
    <m/>
    <m/>
  </r>
  <r>
    <n v="2025"/>
    <x v="0"/>
    <s v="Walsh"/>
    <n v="1"/>
    <n v="10"/>
    <n v="2"/>
    <n v="8"/>
    <x v="9"/>
    <n v="59"/>
    <n v="72.662810000000007"/>
    <n v="12.5406"/>
    <m/>
    <m/>
  </r>
  <r>
    <n v="2025"/>
    <x v="0"/>
    <s v="Walsh"/>
    <n v="2"/>
    <n v="12"/>
    <n v="4"/>
    <n v="8"/>
    <x v="9"/>
    <n v="59.1"/>
    <n v="72.56832"/>
    <n v="13.2606"/>
    <m/>
    <m/>
  </r>
  <r>
    <n v="2025"/>
    <x v="0"/>
    <s v="Walsh"/>
    <n v="3"/>
    <n v="4"/>
    <n v="6"/>
    <n v="8"/>
    <x v="9"/>
    <n v="57.2"/>
    <n v="71.162520000000001"/>
    <n v="13.3506"/>
    <m/>
    <m/>
  </r>
  <r>
    <n v="2025"/>
    <x v="0"/>
    <s v="Walsh"/>
    <n v="1"/>
    <n v="13"/>
    <n v="2"/>
    <n v="42"/>
    <x v="42"/>
    <n v="58.8"/>
    <n v="68.127289999999988"/>
    <n v="13.530600000000002"/>
    <m/>
    <m/>
  </r>
  <r>
    <n v="2025"/>
    <x v="0"/>
    <s v="Walsh"/>
    <n v="2"/>
    <n v="8"/>
    <n v="3"/>
    <n v="42"/>
    <x v="42"/>
    <n v="59.2"/>
    <n v="70.618019999999987"/>
    <n v="13.530600000000002"/>
    <m/>
    <m/>
  </r>
  <r>
    <n v="2025"/>
    <x v="0"/>
    <s v="Walsh"/>
    <n v="3"/>
    <n v="2"/>
    <n v="5"/>
    <n v="42"/>
    <x v="42"/>
    <n v="59.3"/>
    <n v="62.124479999999998"/>
    <n v="13.710599999999999"/>
    <m/>
    <m/>
  </r>
  <r>
    <n v="2025"/>
    <x v="0"/>
    <s v="Walsh"/>
    <n v="1"/>
    <n v="15"/>
    <n v="2"/>
    <n v="44"/>
    <x v="17"/>
    <n v="56.5"/>
    <n v="61.27319"/>
    <n v="14.5206"/>
    <m/>
    <m/>
  </r>
  <r>
    <n v="2025"/>
    <x v="0"/>
    <s v="Walsh"/>
    <n v="2"/>
    <n v="19"/>
    <n v="4"/>
    <n v="44"/>
    <x v="17"/>
    <n v="56.4"/>
    <n v="50.423724999999997"/>
    <n v="14.4306"/>
    <m/>
    <m/>
  </r>
  <r>
    <n v="2025"/>
    <x v="0"/>
    <s v="Walsh"/>
    <n v="3"/>
    <n v="1"/>
    <n v="5"/>
    <n v="44"/>
    <x v="17"/>
    <n v="57.3"/>
    <n v="55.182160000000003"/>
    <n v="14.070600000000001"/>
    <m/>
    <m/>
  </r>
  <r>
    <n v="2025"/>
    <x v="0"/>
    <s v="Walsh"/>
    <n v="1"/>
    <n v="15"/>
    <n v="1"/>
    <n v="43"/>
    <x v="22"/>
    <n v="54.8"/>
    <s v="."/>
    <n v="14.970600000000001"/>
    <m/>
    <m/>
  </r>
  <r>
    <n v="2025"/>
    <x v="0"/>
    <s v="Walsh"/>
    <n v="2"/>
    <n v="11"/>
    <n v="3"/>
    <n v="43"/>
    <x v="22"/>
    <n v="55.9"/>
    <n v="54.737100000000005"/>
    <n v="13.980600000000001"/>
    <m/>
    <m/>
  </r>
  <r>
    <n v="2025"/>
    <x v="0"/>
    <s v="Walsh"/>
    <n v="3"/>
    <n v="7"/>
    <n v="6"/>
    <n v="43"/>
    <x v="22"/>
    <n v="55.2"/>
    <n v="47.33014"/>
    <n v="14.790600000000001"/>
    <m/>
    <m/>
  </r>
  <r>
    <n v="2025"/>
    <x v="0"/>
    <s v="Walsh"/>
    <n v="1"/>
    <n v="3"/>
    <n v="1"/>
    <n v="27"/>
    <x v="39"/>
    <n v="58.8"/>
    <n v="73.50007500000001"/>
    <n v="13.0806"/>
    <m/>
    <m/>
  </r>
  <r>
    <n v="2025"/>
    <x v="0"/>
    <s v="Walsh"/>
    <n v="2"/>
    <n v="21"/>
    <n v="3"/>
    <n v="27"/>
    <x v="39"/>
    <n v="58.5"/>
    <n v="62.228099999999991"/>
    <n v="12.3606"/>
    <m/>
    <m/>
  </r>
  <r>
    <n v="2025"/>
    <x v="0"/>
    <s v="Walsh"/>
    <n v="3"/>
    <n v="6"/>
    <n v="5"/>
    <n v="27"/>
    <x v="39"/>
    <n v="58.1"/>
    <n v="57.820455000000003"/>
    <n v="14.5206"/>
    <m/>
    <m/>
  </r>
  <r>
    <n v="2025"/>
    <x v="0"/>
    <s v="Walsh"/>
    <n v="1"/>
    <n v="16"/>
    <n v="2"/>
    <n v="31"/>
    <x v="6"/>
    <n v="57.1"/>
    <n v="63.494199999999999"/>
    <n v="14.3406"/>
    <m/>
    <m/>
  </r>
  <r>
    <n v="2025"/>
    <x v="0"/>
    <s v="Walsh"/>
    <n v="2"/>
    <n v="14"/>
    <n v="4"/>
    <n v="31"/>
    <x v="6"/>
    <n v="56.9"/>
    <n v="56.328799999999994"/>
    <n v="14.2506"/>
    <m/>
    <m/>
  </r>
  <r>
    <n v="2025"/>
    <x v="0"/>
    <s v="Walsh"/>
    <n v="3"/>
    <n v="4"/>
    <n v="5"/>
    <n v="31"/>
    <x v="6"/>
    <n v="57.5"/>
    <n v="54.189629999999994"/>
    <n v="14.7006"/>
    <m/>
    <m/>
  </r>
  <r>
    <n v="2025"/>
    <x v="0"/>
    <s v="Walsh"/>
    <n v="1"/>
    <n v="12"/>
    <n v="2"/>
    <n v="23"/>
    <x v="35"/>
    <n v="59"/>
    <n v="67.355199999999982"/>
    <n v="13.620600000000001"/>
    <m/>
    <m/>
  </r>
  <r>
    <n v="2025"/>
    <x v="0"/>
    <s v="Walsh"/>
    <n v="2"/>
    <n v="15"/>
    <n v="4"/>
    <n v="23"/>
    <x v="35"/>
    <n v="58.2"/>
    <n v="70.058339999999987"/>
    <n v="14.160600000000001"/>
    <m/>
    <m/>
  </r>
  <r>
    <n v="2025"/>
    <x v="0"/>
    <s v="Walsh"/>
    <n v="3"/>
    <n v="20"/>
    <n v="5"/>
    <n v="23"/>
    <x v="35"/>
    <n v="58"/>
    <s v="."/>
    <n v="14.790600000000001"/>
    <m/>
    <m/>
  </r>
  <r>
    <n v="2025"/>
    <x v="0"/>
    <s v="Walsh"/>
    <n v="1"/>
    <n v="14"/>
    <n v="1"/>
    <n v="28"/>
    <x v="37"/>
    <n v="56.2"/>
    <n v="56.801249999999996"/>
    <n v="14.160600000000001"/>
    <m/>
    <m/>
  </r>
  <r>
    <n v="2025"/>
    <x v="0"/>
    <s v="Walsh"/>
    <n v="2"/>
    <n v="12"/>
    <n v="3"/>
    <n v="28"/>
    <x v="37"/>
    <n v="56.9"/>
    <n v="71.055104999999983"/>
    <n v="13.710599999999999"/>
    <m/>
    <m/>
  </r>
  <r>
    <n v="2025"/>
    <x v="0"/>
    <s v="Walsh"/>
    <n v="3"/>
    <n v="11"/>
    <n v="5"/>
    <n v="28"/>
    <x v="37"/>
    <n v="56.5"/>
    <n v="60.86849999999999"/>
    <n v="13.980600000000001"/>
    <m/>
    <m/>
  </r>
  <r>
    <n v="2025"/>
    <x v="0"/>
    <s v="Walsh"/>
    <n v="1"/>
    <n v="6"/>
    <n v="1"/>
    <n v="46"/>
    <x v="25"/>
    <n v="58.6"/>
    <n v="70.985144999999989"/>
    <n v="13.530600000000002"/>
    <m/>
    <m/>
  </r>
  <r>
    <n v="2025"/>
    <x v="0"/>
    <s v="Walsh"/>
    <n v="2"/>
    <n v="17"/>
    <n v="3"/>
    <n v="46"/>
    <x v="25"/>
    <n v="58.6"/>
    <n v="76.976349999999996"/>
    <n v="12.630600000000001"/>
    <m/>
    <m/>
  </r>
  <r>
    <n v="2025"/>
    <x v="0"/>
    <s v="Walsh"/>
    <n v="3"/>
    <n v="8"/>
    <n v="5"/>
    <n v="46"/>
    <x v="25"/>
    <n v="58.7"/>
    <n v="61.46403999999999"/>
    <n v="13.530600000000002"/>
    <m/>
    <m/>
  </r>
  <r>
    <n v="2025"/>
    <x v="0"/>
    <s v="Walsh"/>
    <n v="1"/>
    <n v="20"/>
    <n v="2"/>
    <n v="45"/>
    <x v="21"/>
    <n v="59.5"/>
    <n v="65.405339999999995"/>
    <n v="12.4506"/>
    <m/>
    <m/>
  </r>
  <r>
    <n v="2025"/>
    <x v="0"/>
    <s v="Walsh"/>
    <n v="2"/>
    <n v="9"/>
    <n v="4"/>
    <n v="45"/>
    <x v="21"/>
    <n v="58.6"/>
    <n v="69.913799999999995"/>
    <n v="13.530600000000002"/>
    <m/>
    <m/>
  </r>
  <r>
    <n v="2025"/>
    <x v="0"/>
    <s v="Walsh"/>
    <n v="3"/>
    <n v="15"/>
    <n v="6"/>
    <n v="45"/>
    <x v="21"/>
    <n v="58.5"/>
    <n v="68.811049999999994"/>
    <n v="13.4406"/>
    <m/>
    <m/>
  </r>
  <r>
    <n v="2025"/>
    <x v="0"/>
    <s v="Walsh"/>
    <n v="1"/>
    <n v="2"/>
    <n v="2"/>
    <n v="24"/>
    <x v="29"/>
    <n v="57.5"/>
    <n v="64.414349999999985"/>
    <n v="12.990599999999999"/>
    <m/>
    <m/>
  </r>
  <r>
    <n v="2025"/>
    <x v="0"/>
    <s v="Walsh"/>
    <n v="2"/>
    <n v="4"/>
    <n v="4"/>
    <n v="24"/>
    <x v="29"/>
    <n v="57"/>
    <n v="70.778179999999978"/>
    <n v="13.710599999999999"/>
    <m/>
    <m/>
  </r>
  <r>
    <n v="2025"/>
    <x v="0"/>
    <s v="Walsh"/>
    <n v="3"/>
    <n v="13"/>
    <n v="5"/>
    <n v="24"/>
    <x v="29"/>
    <n v="57.1"/>
    <n v="70.728239999999971"/>
    <n v="13.890599999999999"/>
    <m/>
    <m/>
  </r>
  <r>
    <n v="2025"/>
    <x v="0"/>
    <s v="Walsh"/>
    <n v="1"/>
    <n v="8"/>
    <n v="2"/>
    <n v="33"/>
    <x v="3"/>
    <n v="58"/>
    <n v="68.951959999999985"/>
    <n v="12.990599999999999"/>
    <m/>
    <m/>
  </r>
  <r>
    <n v="2025"/>
    <x v="0"/>
    <s v="Walsh"/>
    <n v="2"/>
    <n v="5"/>
    <n v="4"/>
    <n v="33"/>
    <x v="3"/>
    <n v="57.8"/>
    <n v="72.478560000000002"/>
    <n v="12.5406"/>
    <m/>
    <m/>
  </r>
  <r>
    <n v="2025"/>
    <x v="0"/>
    <s v="Walsh"/>
    <n v="3"/>
    <n v="18"/>
    <n v="5"/>
    <n v="33"/>
    <x v="3"/>
    <n v="58"/>
    <n v="59.103494999999995"/>
    <n v="13.1706"/>
    <m/>
    <m/>
  </r>
  <r>
    <n v="2025"/>
    <x v="0"/>
    <s v="Walsh"/>
    <n v="1"/>
    <n v="11"/>
    <n v="2"/>
    <n v="25"/>
    <x v="34"/>
    <n v="57.1"/>
    <n v="69.505424999999988"/>
    <n v="13.530600000000002"/>
    <m/>
    <m/>
  </r>
  <r>
    <n v="2025"/>
    <x v="0"/>
    <s v="Walsh"/>
    <n v="2"/>
    <n v="18"/>
    <n v="4"/>
    <n v="25"/>
    <x v="34"/>
    <n v="57.1"/>
    <n v="62.388480000000001"/>
    <n v="14.070600000000001"/>
    <m/>
    <m/>
  </r>
  <r>
    <n v="2025"/>
    <x v="0"/>
    <s v="Walsh"/>
    <n v="3"/>
    <n v="5"/>
    <n v="6"/>
    <n v="25"/>
    <x v="34"/>
    <n v="57.3"/>
    <n v="68.654079999999993"/>
    <n v="13.710599999999999"/>
    <m/>
    <m/>
  </r>
  <r>
    <n v="2025"/>
    <x v="0"/>
    <s v="Walsh"/>
    <n v="1"/>
    <n v="21"/>
    <n v="2"/>
    <n v="34"/>
    <x v="0"/>
    <n v="55.8"/>
    <n v="57.906089999999999"/>
    <n v="14.160600000000001"/>
    <m/>
    <m/>
  </r>
  <r>
    <n v="2025"/>
    <x v="0"/>
    <s v="Walsh"/>
    <n v="2"/>
    <n v="7"/>
    <n v="4"/>
    <n v="34"/>
    <x v="0"/>
    <n v="57.6"/>
    <n v="73.418730000000011"/>
    <n v="12.810600000000001"/>
    <m/>
    <m/>
  </r>
  <r>
    <n v="2025"/>
    <x v="0"/>
    <s v="Walsh"/>
    <n v="3"/>
    <n v="10"/>
    <n v="5"/>
    <n v="34"/>
    <x v="0"/>
    <n v="58"/>
    <n v="63.072074999999991"/>
    <n v="13.1706"/>
    <m/>
    <m/>
  </r>
  <r>
    <n v="2025"/>
    <x v="0"/>
    <s v="Walsh"/>
    <n v="1"/>
    <n v="19"/>
    <n v="2"/>
    <n v="35"/>
    <x v="30"/>
    <n v="57.4"/>
    <n v="75.403019999999998"/>
    <n v="13.800599999999999"/>
    <m/>
    <m/>
  </r>
  <r>
    <n v="2025"/>
    <x v="0"/>
    <s v="Walsh"/>
    <n v="2"/>
    <n v="1"/>
    <n v="4"/>
    <n v="35"/>
    <x v="30"/>
    <n v="58.1"/>
    <n v="78.254219999999975"/>
    <n v="13.530600000000002"/>
    <m/>
    <m/>
  </r>
  <r>
    <n v="2025"/>
    <x v="0"/>
    <s v="Walsh"/>
    <n v="3"/>
    <n v="15"/>
    <n v="5"/>
    <n v="35"/>
    <x v="30"/>
    <n v="57.7"/>
    <n v="69.426719999999989"/>
    <n v="13.980600000000001"/>
    <m/>
    <m/>
  </r>
  <r>
    <n v="2025"/>
    <x v="0"/>
    <s v="Walsh"/>
    <n v="1"/>
    <n v="5"/>
    <n v="1"/>
    <n v="26"/>
    <x v="11"/>
    <n v="57"/>
    <n v="80.176964999999996"/>
    <n v="13.0806"/>
    <m/>
    <m/>
  </r>
  <r>
    <n v="2025"/>
    <x v="0"/>
    <s v="Walsh"/>
    <n v="2"/>
    <n v="21"/>
    <n v="4"/>
    <n v="26"/>
    <x v="11"/>
    <n v="57"/>
    <n v="82.161254999999997"/>
    <n v="13.2606"/>
    <m/>
    <m/>
  </r>
  <r>
    <n v="2025"/>
    <x v="0"/>
    <s v="Walsh"/>
    <n v="3"/>
    <n v="8"/>
    <n v="6"/>
    <n v="26"/>
    <x v="11"/>
    <n v="56.9"/>
    <n v="78.867249999999999"/>
    <n v="13.710599999999999"/>
    <m/>
    <m/>
  </r>
  <r>
    <n v="2025"/>
    <x v="0"/>
    <s v="Walsh"/>
    <n v="1"/>
    <n v="7"/>
    <n v="1"/>
    <n v="36"/>
    <x v="36"/>
    <n v="58.9"/>
    <n v="59.367879999999985"/>
    <n v="13.800599999999999"/>
    <m/>
    <m/>
  </r>
  <r>
    <n v="2025"/>
    <x v="0"/>
    <s v="Walsh"/>
    <n v="2"/>
    <n v="17"/>
    <n v="4"/>
    <n v="36"/>
    <x v="36"/>
    <n v="58.3"/>
    <n v="61.585589999999989"/>
    <n v="13.980600000000001"/>
    <m/>
    <m/>
  </r>
  <r>
    <n v="2025"/>
    <x v="0"/>
    <s v="Walsh"/>
    <n v="3"/>
    <n v="16"/>
    <n v="5"/>
    <n v="36"/>
    <x v="36"/>
    <n v="58.8"/>
    <n v="53.317440000000005"/>
    <n v="14.3406"/>
    <m/>
    <m/>
  </r>
  <r>
    <n v="2025"/>
    <x v="1"/>
    <s v="Akron"/>
    <n v="1"/>
    <n v="1"/>
    <n v="1"/>
    <n v="42"/>
    <x v="42"/>
    <n v="57.6"/>
    <n v="54.166433823529403"/>
    <n v="10.199999999999999"/>
    <n v="0"/>
    <m/>
  </r>
  <r>
    <n v="2025"/>
    <x v="1"/>
    <s v="Akron"/>
    <n v="1"/>
    <n v="2"/>
    <n v="1"/>
    <n v="38"/>
    <x v="43"/>
    <n v="51"/>
    <n v="53.994233193277296"/>
    <n v="11.5"/>
    <n v="2"/>
    <m/>
  </r>
  <r>
    <n v="2025"/>
    <x v="1"/>
    <s v="Akron"/>
    <n v="1"/>
    <n v="3"/>
    <n v="1"/>
    <n v="7"/>
    <x v="44"/>
    <n v="54.1"/>
    <n v="42.326659663865534"/>
    <n v="11.3"/>
    <n v="3"/>
    <m/>
  </r>
  <r>
    <n v="2025"/>
    <x v="1"/>
    <s v="Akron"/>
    <n v="1"/>
    <n v="4"/>
    <n v="1"/>
    <n v="11"/>
    <x v="2"/>
    <n v="55.8"/>
    <n v="52.804852941176456"/>
    <n v="10.6"/>
    <n v="1"/>
    <m/>
  </r>
  <r>
    <n v="2025"/>
    <x v="1"/>
    <s v="Akron"/>
    <n v="1"/>
    <n v="5"/>
    <n v="1"/>
    <n v="5"/>
    <x v="28"/>
    <n v="52.1"/>
    <n v="49.395110294117636"/>
    <n v="10.7"/>
    <n v="-1"/>
    <m/>
  </r>
  <r>
    <n v="2025"/>
    <x v="1"/>
    <s v="Akron"/>
    <n v="1"/>
    <n v="6"/>
    <n v="1"/>
    <n v="57"/>
    <x v="45"/>
    <n v="55.5"/>
    <n v="46.004369747899155"/>
    <n v="10.4"/>
    <n v="-1"/>
    <m/>
  </r>
  <r>
    <n v="2025"/>
    <x v="1"/>
    <s v="Akron"/>
    <n v="1"/>
    <n v="7"/>
    <n v="1"/>
    <n v="3"/>
    <x v="16"/>
    <n v="55.5"/>
    <n v="46.724464285714269"/>
    <n v="10.9"/>
    <n v="-1"/>
    <m/>
  </r>
  <r>
    <n v="2025"/>
    <x v="1"/>
    <s v="Akron"/>
    <n v="1"/>
    <n v="8"/>
    <n v="1"/>
    <n v="17"/>
    <x v="32"/>
    <n v="56.6"/>
    <n v="49.334936974789898"/>
    <n v="10"/>
    <n v="0"/>
    <m/>
  </r>
  <r>
    <n v="2025"/>
    <x v="1"/>
    <s v="Akron"/>
    <n v="1"/>
    <n v="9"/>
    <n v="1"/>
    <n v="24"/>
    <x v="29"/>
    <n v="53.6"/>
    <n v="52.929406512605027"/>
    <n v="9.6999999999999993"/>
    <n v="0"/>
    <m/>
  </r>
  <r>
    <n v="2025"/>
    <x v="1"/>
    <s v="Akron"/>
    <n v="1"/>
    <n v="10"/>
    <n v="1"/>
    <n v="35"/>
    <x v="30"/>
    <n v="56.4"/>
    <n v="47.893235294117638"/>
    <n v="9.9"/>
    <n v="0"/>
    <m/>
  </r>
  <r>
    <n v="2025"/>
    <x v="1"/>
    <s v="Akron"/>
    <n v="1"/>
    <n v="11"/>
    <n v="1"/>
    <n v="26"/>
    <x v="11"/>
    <n v="55.5"/>
    <n v="59.321864495798316"/>
    <n v="9.8000000000000007"/>
    <n v="-1"/>
    <m/>
  </r>
  <r>
    <n v="2025"/>
    <x v="1"/>
    <s v="Akron"/>
    <n v="1"/>
    <n v="12"/>
    <n v="1"/>
    <n v="6"/>
    <x v="10"/>
    <n v="57"/>
    <n v="43.668387605042007"/>
    <n v="12.7"/>
    <n v="4"/>
    <m/>
  </r>
  <r>
    <n v="2025"/>
    <x v="1"/>
    <s v="Akron"/>
    <n v="1"/>
    <n v="13"/>
    <n v="1"/>
    <n v="10"/>
    <x v="15"/>
    <n v="48.6"/>
    <n v="43.636575630252089"/>
    <n v="12.4"/>
    <n v="4"/>
    <m/>
  </r>
  <r>
    <n v="2025"/>
    <x v="1"/>
    <s v="Akron"/>
    <n v="1"/>
    <n v="13"/>
    <n v="2"/>
    <n v="28"/>
    <x v="37"/>
    <n v="54.5"/>
    <n v="37.490152980877383"/>
    <n v="10.7"/>
    <n v="1"/>
    <m/>
  </r>
  <r>
    <n v="2025"/>
    <x v="1"/>
    <s v="Akron"/>
    <n v="1"/>
    <n v="12"/>
    <n v="2"/>
    <n v="8"/>
    <x v="9"/>
    <n v="57.1"/>
    <n v="49.135092013498308"/>
    <n v="10.3"/>
    <n v="0"/>
    <m/>
  </r>
  <r>
    <n v="2025"/>
    <x v="1"/>
    <s v="Akron"/>
    <n v="1"/>
    <n v="11"/>
    <n v="2"/>
    <n v="40"/>
    <x v="13"/>
    <n v="56.2"/>
    <n v="46.873214848143974"/>
    <n v="10.1"/>
    <n v="0"/>
    <m/>
  </r>
  <r>
    <n v="2025"/>
    <x v="1"/>
    <s v="Akron"/>
    <n v="1"/>
    <n v="10"/>
    <n v="2"/>
    <n v="12"/>
    <x v="41"/>
    <n v="54.5"/>
    <n v="39.264134983127107"/>
    <n v="11"/>
    <n v="-1"/>
    <m/>
  </r>
  <r>
    <n v="2025"/>
    <x v="1"/>
    <s v="Akron"/>
    <n v="1"/>
    <n v="9"/>
    <n v="2"/>
    <n v="43"/>
    <x v="22"/>
    <n v="49.1"/>
    <n v="27.214153430821142"/>
    <n v="12.3"/>
    <n v="0"/>
    <m/>
  </r>
  <r>
    <n v="2025"/>
    <x v="1"/>
    <s v="Akron"/>
    <n v="1"/>
    <n v="8"/>
    <n v="2"/>
    <n v="2"/>
    <x v="23"/>
    <n v="55.8"/>
    <n v="43.136738807649046"/>
    <n v="10"/>
    <n v="-2"/>
    <m/>
  </r>
  <r>
    <n v="2025"/>
    <x v="1"/>
    <s v="Akron"/>
    <n v="1"/>
    <n v="7"/>
    <n v="2"/>
    <n v="27"/>
    <x v="39"/>
    <n v="55.4"/>
    <n v="41.06519999999999"/>
    <n v="10.1"/>
    <n v="-1"/>
    <m/>
  </r>
  <r>
    <n v="2025"/>
    <x v="1"/>
    <s v="Akron"/>
    <n v="1"/>
    <n v="6"/>
    <n v="2"/>
    <n v="14"/>
    <x v="5"/>
    <n v="57"/>
    <n v="46.123532058492678"/>
    <n v="9.6999999999999993"/>
    <n v="0"/>
    <m/>
  </r>
  <r>
    <n v="2025"/>
    <x v="1"/>
    <s v="Akron"/>
    <n v="1"/>
    <n v="5"/>
    <n v="2"/>
    <n v="44"/>
    <x v="17"/>
    <n v="51"/>
    <n v="32.962790551181101"/>
    <n v="11.1"/>
    <n v="-2"/>
    <m/>
  </r>
  <r>
    <n v="2025"/>
    <x v="1"/>
    <s v="Akron"/>
    <n v="1"/>
    <n v="4"/>
    <n v="2"/>
    <n v="32"/>
    <x v="24"/>
    <n v="56.1"/>
    <n v="48.088743307086609"/>
    <n v="10.3"/>
    <n v="0"/>
    <m/>
  </r>
  <r>
    <n v="2025"/>
    <x v="1"/>
    <s v="Akron"/>
    <n v="1"/>
    <n v="3"/>
    <n v="2"/>
    <n v="29"/>
    <x v="27"/>
    <n v="55.7"/>
    <n v="47.6359046119235"/>
    <n v="10.3"/>
    <n v="0"/>
    <m/>
  </r>
  <r>
    <n v="2025"/>
    <x v="1"/>
    <s v="Akron"/>
    <n v="1"/>
    <n v="2"/>
    <n v="2"/>
    <n v="4"/>
    <x v="4"/>
    <n v="50.5"/>
    <n v="45.954307761529805"/>
    <n v="10.7"/>
    <n v="4"/>
    <m/>
  </r>
  <r>
    <n v="2025"/>
    <x v="1"/>
    <s v="Akron"/>
    <n v="1"/>
    <n v="1"/>
    <n v="2"/>
    <n v="1"/>
    <x v="12"/>
    <n v="57.4"/>
    <n v="44.912725309336338"/>
    <n v="9.8000000000000007"/>
    <n v="-3"/>
    <m/>
  </r>
  <r>
    <n v="2025"/>
    <x v="1"/>
    <s v="Akron"/>
    <n v="1"/>
    <n v="1"/>
    <n v="3"/>
    <n v="13"/>
    <x v="38"/>
    <n v="55.9"/>
    <n v="50.830733488217724"/>
    <n v="10.4"/>
    <n v="0"/>
    <m/>
  </r>
  <r>
    <n v="2025"/>
    <x v="1"/>
    <s v="Akron"/>
    <n v="1"/>
    <n v="2"/>
    <n v="3"/>
    <n v="39"/>
    <x v="46"/>
    <n v="55.1"/>
    <n v="56.39606277559146"/>
    <n v="10.7"/>
    <n v="0"/>
    <m/>
  </r>
  <r>
    <n v="2025"/>
    <x v="1"/>
    <s v="Akron"/>
    <n v="1"/>
    <n v="3"/>
    <n v="3"/>
    <n v="20"/>
    <x v="18"/>
    <n v="56.1"/>
    <n v="56.771202882746174"/>
    <n v="10.3"/>
    <n v="0"/>
    <m/>
  </r>
  <r>
    <n v="2025"/>
    <x v="1"/>
    <s v="Akron"/>
    <n v="1"/>
    <n v="4"/>
    <n v="3"/>
    <n v="16"/>
    <x v="40"/>
    <n v="57.9"/>
    <n v="57.006087904793503"/>
    <n v="10.7"/>
    <n v="2"/>
    <m/>
  </r>
  <r>
    <n v="2025"/>
    <x v="1"/>
    <s v="Akron"/>
    <n v="1"/>
    <n v="5"/>
    <n v="3"/>
    <n v="49"/>
    <x v="47"/>
    <n v="50.7"/>
    <n v="43.313896448722197"/>
    <n v="12.8"/>
    <n v="1"/>
    <m/>
  </r>
  <r>
    <n v="2025"/>
    <x v="1"/>
    <s v="Akron"/>
    <n v="1"/>
    <n v="6"/>
    <n v="3"/>
    <n v="34"/>
    <x v="0"/>
    <n v="54.2"/>
    <n v="51.328667204020668"/>
    <n v="9.9"/>
    <n v="-1"/>
    <m/>
  </r>
  <r>
    <n v="2025"/>
    <x v="1"/>
    <s v="Akron"/>
    <n v="1"/>
    <n v="7"/>
    <n v="3"/>
    <n v="45"/>
    <x v="21"/>
    <n v="58.1"/>
    <n v="53.667894836660189"/>
    <n v="10.1"/>
    <n v="0"/>
    <m/>
  </r>
  <r>
    <n v="2025"/>
    <x v="1"/>
    <s v="Akron"/>
    <n v="1"/>
    <n v="8"/>
    <n v="3"/>
    <n v="30"/>
    <x v="14"/>
    <n v="54.4"/>
    <n v="46.421241287753055"/>
    <n v="11.4"/>
    <n v="0"/>
    <m/>
  </r>
  <r>
    <n v="2025"/>
    <x v="1"/>
    <s v="Akron"/>
    <n v="1"/>
    <n v="9"/>
    <n v="3"/>
    <n v="21"/>
    <x v="26"/>
    <n v="55.4"/>
    <n v="55.164606230145544"/>
    <n v="10.4"/>
    <n v="-1"/>
    <m/>
  </r>
  <r>
    <n v="2025"/>
    <x v="1"/>
    <s v="Akron"/>
    <n v="1"/>
    <n v="10"/>
    <n v="3"/>
    <n v="46"/>
    <x v="25"/>
    <n v="54.5"/>
    <n v="43.619894741833008"/>
    <n v="11.1"/>
    <n v="0"/>
    <m/>
  </r>
  <r>
    <n v="2025"/>
    <x v="1"/>
    <s v="Akron"/>
    <n v="1"/>
    <n v="11"/>
    <n v="3"/>
    <n v="48"/>
    <x v="48"/>
    <n v="54.8"/>
    <n v="38.720824048172204"/>
    <n v="11.9"/>
    <n v="3"/>
    <m/>
  </r>
  <r>
    <n v="2025"/>
    <x v="1"/>
    <s v="Akron"/>
    <n v="1"/>
    <n v="12"/>
    <n v="3"/>
    <n v="36"/>
    <x v="36"/>
    <n v="55.5"/>
    <n v="43.724663600587917"/>
    <n v="12.3"/>
    <n v="-2"/>
    <m/>
  </r>
  <r>
    <n v="2025"/>
    <x v="1"/>
    <s v="Akron"/>
    <n v="1"/>
    <n v="13"/>
    <n v="3"/>
    <n v="18"/>
    <x v="8"/>
    <n v="54.8"/>
    <n v="38.519453795457771"/>
    <n v="11.8"/>
    <n v="0"/>
    <m/>
  </r>
  <r>
    <n v="2025"/>
    <x v="1"/>
    <s v="Akron"/>
    <n v="1"/>
    <n v="13"/>
    <n v="4"/>
    <n v="25"/>
    <x v="34"/>
    <n v="56.6"/>
    <n v="38.174029997541183"/>
    <n v="11.4"/>
    <n v="1"/>
    <m/>
  </r>
  <r>
    <n v="2025"/>
    <x v="1"/>
    <s v="Akron"/>
    <n v="1"/>
    <n v="12"/>
    <n v="4"/>
    <n v="15"/>
    <x v="7"/>
    <n v="53.7"/>
    <n v="44.62950184411114"/>
    <n v="10.3"/>
    <n v="-2"/>
    <m/>
  </r>
  <r>
    <n v="2025"/>
    <x v="1"/>
    <s v="Akron"/>
    <n v="1"/>
    <n v="11"/>
    <n v="4"/>
    <n v="22"/>
    <x v="33"/>
    <n v="56.9"/>
    <n v="46.470507499385299"/>
    <n v="10.3"/>
    <n v="1"/>
    <m/>
  </r>
  <r>
    <n v="2025"/>
    <x v="1"/>
    <s v="Akron"/>
    <n v="1"/>
    <n v="10"/>
    <n v="4"/>
    <n v="37"/>
    <x v="31"/>
    <n v="55.9"/>
    <n v="50.439903614457819"/>
    <n v="10.5"/>
    <n v="1"/>
    <m/>
  </r>
  <r>
    <n v="2025"/>
    <x v="1"/>
    <s v="Akron"/>
    <n v="1"/>
    <n v="9"/>
    <n v="4"/>
    <n v="31"/>
    <x v="6"/>
    <n v="55.3"/>
    <n v="44.32580772067864"/>
    <n v="11.2"/>
    <n v="-2"/>
    <m/>
  </r>
  <r>
    <n v="2025"/>
    <x v="1"/>
    <s v="Akron"/>
    <n v="1"/>
    <n v="8"/>
    <n v="4"/>
    <n v="19"/>
    <x v="49"/>
    <n v="51.4"/>
    <n v="43.991929186132282"/>
    <n v="10.5"/>
    <n v="1"/>
    <m/>
  </r>
  <r>
    <n v="2025"/>
    <x v="1"/>
    <s v="Akron"/>
    <n v="1"/>
    <n v="7"/>
    <n v="4"/>
    <n v="33"/>
    <x v="3"/>
    <n v="56.6"/>
    <n v="43.025930661421192"/>
    <n v="10.199999999999999"/>
    <n v="0"/>
    <m/>
  </r>
  <r>
    <n v="2025"/>
    <x v="1"/>
    <s v="Akron"/>
    <n v="1"/>
    <n v="6"/>
    <n v="4"/>
    <n v="9"/>
    <x v="1"/>
    <n v="53.7"/>
    <n v="43.81914777477256"/>
    <n v="11.7"/>
    <n v="1"/>
    <m/>
  </r>
  <r>
    <n v="2025"/>
    <x v="1"/>
    <s v="Akron"/>
    <n v="1"/>
    <n v="5"/>
    <n v="4"/>
    <n v="23"/>
    <x v="35"/>
    <n v="57.6"/>
    <n v="49.264756331448247"/>
    <n v="10.5"/>
    <n v="0"/>
    <m/>
  </r>
  <r>
    <n v="2025"/>
    <x v="1"/>
    <s v="Akron"/>
    <n v="1"/>
    <n v="4"/>
    <n v="4"/>
    <n v="47"/>
    <x v="50"/>
    <n v="56.3"/>
    <n v="53.460778952544878"/>
    <n v="11.4"/>
    <n v="1"/>
    <m/>
  </r>
  <r>
    <n v="2025"/>
    <x v="1"/>
    <s v="Akron"/>
    <n v="1"/>
    <n v="3"/>
    <n v="4"/>
    <n v="41"/>
    <x v="20"/>
    <n v="51.7"/>
    <n v="38.691059749200882"/>
    <n v="11.7"/>
    <n v="-1"/>
    <m/>
  </r>
  <r>
    <n v="2025"/>
    <x v="1"/>
    <s v="Akron"/>
    <n v="1"/>
    <n v="2"/>
    <n v="4"/>
    <n v="58"/>
    <x v="51"/>
    <n v="54"/>
    <n v="40.27749397590361"/>
    <n v="11.6"/>
    <n v="-3"/>
    <m/>
  </r>
  <r>
    <n v="2025"/>
    <x v="1"/>
    <s v="Akron"/>
    <n v="1"/>
    <n v="1"/>
    <n v="4"/>
    <n v="60"/>
    <x v="52"/>
    <n v="49.6"/>
    <n v="26.785500368822227"/>
    <n v="13.9"/>
    <n v="5"/>
    <m/>
  </r>
  <r>
    <n v="2025"/>
    <x v="1"/>
    <s v="Akron"/>
    <n v="2"/>
    <n v="1"/>
    <n v="5"/>
    <n v="10"/>
    <x v="15"/>
    <n v="53.1"/>
    <n v="37.501339376114942"/>
    <m/>
    <n v="4"/>
    <m/>
  </r>
  <r>
    <n v="2025"/>
    <x v="1"/>
    <s v="Akron"/>
    <n v="2"/>
    <n v="2"/>
    <n v="5"/>
    <n v="44"/>
    <x v="17"/>
    <n v="50.3"/>
    <n v="34.579214116966391"/>
    <m/>
    <n v="-3"/>
    <m/>
  </r>
  <r>
    <n v="2025"/>
    <x v="1"/>
    <s v="Akron"/>
    <n v="2"/>
    <n v="3"/>
    <n v="5"/>
    <n v="58"/>
    <x v="51"/>
    <n v="53.5"/>
    <n v="41.008987512656091"/>
    <m/>
    <n v="-2"/>
    <m/>
  </r>
  <r>
    <n v="2025"/>
    <x v="1"/>
    <s v="Akron"/>
    <n v="2"/>
    <n v="4"/>
    <n v="5"/>
    <n v="4"/>
    <x v="4"/>
    <n v="49.8"/>
    <n v="48.350433441010566"/>
    <m/>
    <n v="3"/>
    <m/>
  </r>
  <r>
    <n v="2025"/>
    <x v="1"/>
    <s v="Akron"/>
    <n v="2"/>
    <n v="5"/>
    <n v="5"/>
    <n v="12"/>
    <x v="41"/>
    <n v="51.4"/>
    <n v="38.056600453208617"/>
    <m/>
    <n v="-2"/>
    <m/>
  </r>
  <r>
    <n v="2025"/>
    <x v="1"/>
    <s v="Akron"/>
    <n v="2"/>
    <n v="6"/>
    <n v="5"/>
    <n v="30"/>
    <x v="14"/>
    <n v="53.1"/>
    <n v="35.747777831348536"/>
    <m/>
    <n v="1"/>
    <m/>
  </r>
  <r>
    <n v="2025"/>
    <x v="1"/>
    <s v="Akron"/>
    <n v="2"/>
    <n v="7"/>
    <n v="5"/>
    <n v="1"/>
    <x v="12"/>
    <n v="56.2"/>
    <n v="47.429500988380497"/>
    <m/>
    <n v="-3"/>
    <m/>
  </r>
  <r>
    <n v="2025"/>
    <x v="1"/>
    <s v="Akron"/>
    <n v="2"/>
    <n v="8"/>
    <n v="5"/>
    <n v="9"/>
    <x v="1"/>
    <n v="51"/>
    <n v="42.315447664047056"/>
    <m/>
    <n v="4"/>
    <m/>
  </r>
  <r>
    <n v="2025"/>
    <x v="1"/>
    <s v="Akron"/>
    <n v="2"/>
    <n v="9"/>
    <n v="5"/>
    <n v="13"/>
    <x v="38"/>
    <n v="55.9"/>
    <n v="45.597898365556148"/>
    <m/>
    <n v="1"/>
    <m/>
  </r>
  <r>
    <n v="2025"/>
    <x v="1"/>
    <s v="Akron"/>
    <n v="2"/>
    <n v="10"/>
    <n v="5"/>
    <n v="34"/>
    <x v="0"/>
    <n v="54.9"/>
    <n v="46.200318210308076"/>
    <m/>
    <n v="-1"/>
    <m/>
  </r>
  <r>
    <n v="2025"/>
    <x v="1"/>
    <s v="Akron"/>
    <n v="2"/>
    <n v="11"/>
    <n v="5"/>
    <n v="3"/>
    <x v="16"/>
    <n v="56.7"/>
    <n v="42.843835880622919"/>
    <m/>
    <n v="2"/>
    <m/>
  </r>
  <r>
    <n v="2025"/>
    <x v="1"/>
    <s v="Akron"/>
    <n v="2"/>
    <n v="12"/>
    <n v="5"/>
    <n v="20"/>
    <x v="18"/>
    <n v="53.5"/>
    <n v="45.823429921411702"/>
    <m/>
    <n v="1"/>
    <m/>
  </r>
  <r>
    <n v="2025"/>
    <x v="1"/>
    <s v="Akron"/>
    <n v="2"/>
    <n v="13"/>
    <n v="5"/>
    <n v="45"/>
    <x v="21"/>
    <n v="58.1"/>
    <n v="49.072420809025601"/>
    <m/>
    <n v="1"/>
    <m/>
  </r>
  <r>
    <n v="2025"/>
    <x v="1"/>
    <s v="Akron"/>
    <n v="2"/>
    <n v="13"/>
    <n v="6"/>
    <n v="29"/>
    <x v="27"/>
    <n v="55.9"/>
    <n v="44.153211615033506"/>
    <m/>
    <n v="1"/>
    <m/>
  </r>
  <r>
    <n v="2025"/>
    <x v="1"/>
    <s v="Akron"/>
    <n v="2"/>
    <n v="12"/>
    <n v="6"/>
    <n v="37"/>
    <x v="31"/>
    <n v="55.6"/>
    <n v="48.093357774108952"/>
    <m/>
    <n v="0"/>
    <m/>
  </r>
  <r>
    <n v="2025"/>
    <x v="1"/>
    <s v="Akron"/>
    <n v="2"/>
    <n v="11"/>
    <n v="6"/>
    <n v="60"/>
    <x v="52"/>
    <n v="47.4"/>
    <n v="22.064347382732826"/>
    <m/>
    <n v="10"/>
    <m/>
  </r>
  <r>
    <n v="2025"/>
    <x v="1"/>
    <s v="Akron"/>
    <n v="2"/>
    <n v="10"/>
    <n v="6"/>
    <n v="17"/>
    <x v="32"/>
    <n v="56.1"/>
    <n v="49.961060988637456"/>
    <m/>
    <n v="1"/>
    <m/>
  </r>
  <r>
    <n v="2025"/>
    <x v="1"/>
    <s v="Akron"/>
    <n v="2"/>
    <n v="9"/>
    <n v="6"/>
    <n v="2"/>
    <x v="23"/>
    <n v="55.9"/>
    <n v="48.780262212294836"/>
    <m/>
    <n v="0"/>
    <m/>
  </r>
  <r>
    <n v="2025"/>
    <x v="1"/>
    <s v="Akron"/>
    <n v="2"/>
    <n v="8"/>
    <n v="6"/>
    <n v="5"/>
    <x v="28"/>
    <n v="52.9"/>
    <n v="51.197623579683395"/>
    <m/>
    <n v="-1"/>
    <m/>
  </r>
  <r>
    <n v="2025"/>
    <x v="1"/>
    <s v="Akron"/>
    <n v="2"/>
    <n v="7"/>
    <n v="6"/>
    <n v="39"/>
    <x v="46"/>
    <n v="55.9"/>
    <n v="49.274877634262388"/>
    <m/>
    <n v="-1"/>
    <m/>
  </r>
  <r>
    <n v="2025"/>
    <x v="1"/>
    <s v="Akron"/>
    <n v="2"/>
    <n v="6"/>
    <n v="6"/>
    <n v="47"/>
    <x v="50"/>
    <n v="54.4"/>
    <n v="54.394716907837235"/>
    <m/>
    <n v="-1"/>
    <m/>
  </r>
  <r>
    <n v="2025"/>
    <x v="1"/>
    <s v="Akron"/>
    <n v="2"/>
    <n v="5"/>
    <n v="6"/>
    <n v="11"/>
    <x v="2"/>
    <n v="56"/>
    <n v="51.073933670000962"/>
    <m/>
    <n v="2"/>
    <m/>
  </r>
  <r>
    <n v="2025"/>
    <x v="1"/>
    <s v="Akron"/>
    <n v="2"/>
    <n v="4"/>
    <n v="6"/>
    <n v="21"/>
    <x v="26"/>
    <n v="54.8"/>
    <n v="53.350106827231208"/>
    <m/>
    <n v="0"/>
    <m/>
  </r>
  <r>
    <n v="2025"/>
    <x v="1"/>
    <s v="Akron"/>
    <n v="2"/>
    <n v="3"/>
    <n v="6"/>
    <n v="26"/>
    <x v="11"/>
    <n v="56.9"/>
    <n v="61.636321258618999"/>
    <m/>
    <n v="1"/>
    <m/>
  </r>
  <r>
    <n v="2025"/>
    <x v="1"/>
    <s v="Akron"/>
    <n v="2"/>
    <n v="2"/>
    <n v="6"/>
    <n v="19"/>
    <x v="49"/>
    <n v="52.1"/>
    <n v="44.688928814217725"/>
    <m/>
    <n v="2"/>
    <m/>
  </r>
  <r>
    <n v="2025"/>
    <x v="1"/>
    <s v="Akron"/>
    <n v="2"/>
    <n v="1"/>
    <n v="6"/>
    <n v="24"/>
    <x v="29"/>
    <n v="56.7"/>
    <n v="47.404915023793336"/>
    <m/>
    <n v="-3"/>
    <m/>
  </r>
  <r>
    <n v="2025"/>
    <x v="1"/>
    <s v="Akron"/>
    <n v="2"/>
    <n v="1"/>
    <n v="7"/>
    <n v="48"/>
    <x v="48"/>
    <n v="52.4"/>
    <n v="41.098288590604028"/>
    <m/>
    <n v="1"/>
    <m/>
  </r>
  <r>
    <n v="2025"/>
    <x v="1"/>
    <s v="Akron"/>
    <n v="2"/>
    <n v="2"/>
    <n v="7"/>
    <n v="36"/>
    <x v="36"/>
    <n v="51.1"/>
    <n v="44.553417066155319"/>
    <m/>
    <n v="-2"/>
    <m/>
  </r>
  <r>
    <n v="2025"/>
    <x v="1"/>
    <s v="Akron"/>
    <n v="2"/>
    <n v="3"/>
    <n v="7"/>
    <n v="6"/>
    <x v="10"/>
    <n v="54.8"/>
    <n v="39.559517257909867"/>
    <m/>
    <n v="2"/>
    <m/>
  </r>
  <r>
    <n v="2025"/>
    <x v="1"/>
    <s v="Akron"/>
    <n v="2"/>
    <n v="4"/>
    <n v="7"/>
    <n v="46"/>
    <x v="25"/>
    <n v="50.3"/>
    <n v="44.706425695110262"/>
    <m/>
    <n v="1"/>
    <m/>
  </r>
  <r>
    <n v="2025"/>
    <x v="1"/>
    <s v="Akron"/>
    <n v="2"/>
    <n v="5"/>
    <n v="7"/>
    <n v="40"/>
    <x v="13"/>
    <n v="55.6"/>
    <n v="48.958062799616499"/>
    <m/>
    <n v="1"/>
    <m/>
  </r>
  <r>
    <n v="2025"/>
    <x v="1"/>
    <s v="Akron"/>
    <n v="2"/>
    <n v="6"/>
    <n v="7"/>
    <n v="28"/>
    <x v="37"/>
    <n v="50.6"/>
    <n v="40.006298657718119"/>
    <m/>
    <n v="0"/>
    <m/>
  </r>
  <r>
    <n v="2025"/>
    <x v="1"/>
    <s v="Akron"/>
    <n v="2"/>
    <n v="7"/>
    <n v="7"/>
    <n v="7"/>
    <x v="44"/>
    <n v="53.6"/>
    <n v="40.447669702780438"/>
    <m/>
    <n v="4"/>
    <m/>
  </r>
  <r>
    <n v="2025"/>
    <x v="1"/>
    <s v="Akron"/>
    <n v="2"/>
    <n v="8"/>
    <n v="7"/>
    <n v="38"/>
    <x v="43"/>
    <n v="51.7"/>
    <n v="56.200534515819747"/>
    <m/>
    <n v="4"/>
    <m/>
  </r>
  <r>
    <n v="2025"/>
    <x v="1"/>
    <s v="Akron"/>
    <n v="2"/>
    <n v="9"/>
    <n v="7"/>
    <n v="22"/>
    <x v="33"/>
    <n v="56.1"/>
    <n v="49.839428571428563"/>
    <m/>
    <n v="0"/>
    <m/>
  </r>
  <r>
    <n v="2025"/>
    <x v="1"/>
    <s v="Akron"/>
    <n v="2"/>
    <n v="10"/>
    <n v="7"/>
    <n v="14"/>
    <x v="5"/>
    <n v="49.3"/>
    <n v="58.703488015340348"/>
    <m/>
    <n v="0"/>
    <m/>
  </r>
  <r>
    <n v="2025"/>
    <x v="1"/>
    <s v="Akron"/>
    <n v="2"/>
    <n v="11"/>
    <n v="7"/>
    <n v="25"/>
    <x v="34"/>
    <n v="55.7"/>
    <n v="44.705476510067108"/>
    <m/>
    <n v="2"/>
    <m/>
  </r>
  <r>
    <n v="2025"/>
    <x v="1"/>
    <s v="Akron"/>
    <n v="2"/>
    <n v="12"/>
    <n v="7"/>
    <n v="16"/>
    <x v="40"/>
    <n v="56.9"/>
    <n v="54.934464046021084"/>
    <m/>
    <n v="1"/>
    <m/>
  </r>
  <r>
    <n v="2025"/>
    <x v="1"/>
    <s v="Akron"/>
    <n v="2"/>
    <n v="13"/>
    <n v="7"/>
    <n v="35"/>
    <x v="30"/>
    <n v="55.3"/>
    <n v="40.075731543624158"/>
    <m/>
    <n v="0"/>
    <m/>
  </r>
  <r>
    <n v="2025"/>
    <x v="1"/>
    <s v="Akron"/>
    <n v="2"/>
    <n v="13"/>
    <n v="8"/>
    <n v="8"/>
    <x v="9"/>
    <n v="54.1"/>
    <n v="53.385188071840055"/>
    <m/>
    <n v="0"/>
    <m/>
  </r>
  <r>
    <n v="2025"/>
    <x v="1"/>
    <s v="Akron"/>
    <n v="2"/>
    <n v="12"/>
    <n v="8"/>
    <n v="18"/>
    <x v="8"/>
    <n v="53.2"/>
    <n v="48.588981459069565"/>
    <m/>
    <n v="0"/>
    <m/>
  </r>
  <r>
    <n v="2025"/>
    <x v="1"/>
    <s v="Akron"/>
    <n v="2"/>
    <n v="11"/>
    <n v="8"/>
    <n v="33"/>
    <x v="3"/>
    <n v="54.1"/>
    <n v="53.647676816575498"/>
    <m/>
    <n v="1"/>
    <m/>
  </r>
  <r>
    <n v="2025"/>
    <x v="1"/>
    <s v="Akron"/>
    <n v="2"/>
    <n v="10"/>
    <n v="8"/>
    <n v="23"/>
    <x v="35"/>
    <n v="56.2"/>
    <n v="55.562593793871315"/>
    <m/>
    <n v="2"/>
    <m/>
  </r>
  <r>
    <n v="2025"/>
    <x v="1"/>
    <s v="Akron"/>
    <n v="2"/>
    <n v="9"/>
    <n v="8"/>
    <n v="49"/>
    <x v="47"/>
    <n v="49.7"/>
    <n v="39.945543883429337"/>
    <m/>
    <n v="1"/>
    <m/>
  </r>
  <r>
    <n v="2025"/>
    <x v="1"/>
    <s v="Akron"/>
    <n v="2"/>
    <n v="8"/>
    <n v="8"/>
    <n v="32"/>
    <x v="24"/>
    <n v="54.1"/>
    <n v="51.670696132061771"/>
    <m/>
    <n v="-1"/>
    <m/>
  </r>
  <r>
    <n v="2025"/>
    <x v="1"/>
    <s v="Akron"/>
    <n v="2"/>
    <n v="7"/>
    <n v="8"/>
    <n v="31"/>
    <x v="6"/>
    <n v="52.1"/>
    <n v="44.542763227961466"/>
    <m/>
    <n v="0"/>
    <m/>
  </r>
  <r>
    <n v="2025"/>
    <x v="1"/>
    <s v="Akron"/>
    <n v="2"/>
    <n v="6"/>
    <n v="8"/>
    <n v="41"/>
    <x v="20"/>
    <n v="49.9"/>
    <n v="37.028885123686884"/>
    <m/>
    <n v="-1"/>
    <m/>
  </r>
  <r>
    <n v="2025"/>
    <x v="1"/>
    <s v="Akron"/>
    <n v="2"/>
    <n v="5"/>
    <n v="8"/>
    <n v="42"/>
    <x v="42"/>
    <n v="55.2"/>
    <n v="47.889027448322608"/>
    <m/>
    <n v="0"/>
    <m/>
  </r>
  <r>
    <n v="2025"/>
    <x v="1"/>
    <s v="Akron"/>
    <n v="2"/>
    <n v="4"/>
    <n v="8"/>
    <n v="57"/>
    <x v="45"/>
    <n v="54.5"/>
    <n v="45.137232899259331"/>
    <m/>
    <n v="0"/>
    <m/>
  </r>
  <r>
    <n v="2025"/>
    <x v="1"/>
    <s v="Akron"/>
    <n v="2"/>
    <n v="3"/>
    <n v="8"/>
    <n v="27"/>
    <x v="39"/>
    <n v="52.7"/>
    <n v="49.259892530377108"/>
    <m/>
    <n v="1"/>
    <m/>
  </r>
  <r>
    <n v="2025"/>
    <x v="1"/>
    <s v="Akron"/>
    <n v="2"/>
    <n v="2"/>
    <n v="8"/>
    <n v="15"/>
    <x v="7"/>
    <n v="52.9"/>
    <n v="50.005903083700439"/>
    <m/>
    <n v="-1"/>
    <m/>
  </r>
  <r>
    <n v="2025"/>
    <x v="1"/>
    <s v="Akron"/>
    <n v="2"/>
    <n v="1"/>
    <n v="8"/>
    <n v="43"/>
    <x v="22"/>
    <n v="48.6"/>
    <n v="26.160020332090816"/>
    <m/>
    <n v="-2"/>
    <m/>
  </r>
  <r>
    <n v="2025"/>
    <x v="1"/>
    <s v="Akron"/>
    <n v="3"/>
    <n v="1"/>
    <n v="9"/>
    <n v="4"/>
    <x v="4"/>
    <n v="47.6"/>
    <n v="50.427986792269586"/>
    <m/>
    <n v="2"/>
    <m/>
  </r>
  <r>
    <n v="2025"/>
    <x v="1"/>
    <s v="Akron"/>
    <n v="3"/>
    <n v="2"/>
    <n v="9"/>
    <n v="28"/>
    <x v="37"/>
    <n v="49.4"/>
    <n v="37.942276391181885"/>
    <m/>
    <n v="0"/>
    <m/>
  </r>
  <r>
    <n v="2025"/>
    <x v="1"/>
    <s v="Akron"/>
    <n v="3"/>
    <n v="3"/>
    <n v="9"/>
    <n v="21"/>
    <x v="26"/>
    <n v="52.3"/>
    <n v="51.338667573079526"/>
    <m/>
    <n v="0"/>
    <m/>
  </r>
  <r>
    <n v="2025"/>
    <x v="1"/>
    <s v="Akron"/>
    <n v="3"/>
    <n v="4"/>
    <n v="9"/>
    <n v="45"/>
    <x v="21"/>
    <n v="54.9"/>
    <n v="58.002828008157699"/>
    <m/>
    <n v="-1"/>
    <m/>
  </r>
  <r>
    <n v="2025"/>
    <x v="1"/>
    <s v="Akron"/>
    <n v="3"/>
    <n v="5"/>
    <n v="9"/>
    <n v="22"/>
    <x v="33"/>
    <n v="55.2"/>
    <n v="47.126192094784884"/>
    <m/>
    <n v="-1"/>
    <m/>
  </r>
  <r>
    <n v="2025"/>
    <x v="1"/>
    <s v="Akron"/>
    <n v="3"/>
    <n v="6"/>
    <n v="9"/>
    <n v="19"/>
    <x v="49"/>
    <n v="48.6"/>
    <n v="47.398954064290557"/>
    <m/>
    <n v="3"/>
    <m/>
  </r>
  <r>
    <n v="2025"/>
    <x v="1"/>
    <s v="Akron"/>
    <n v="3"/>
    <n v="7"/>
    <n v="9"/>
    <n v="32"/>
    <x v="24"/>
    <n v="55.1"/>
    <n v="48.980819656210535"/>
    <m/>
    <n v="-1"/>
    <m/>
  </r>
  <r>
    <n v="2025"/>
    <x v="1"/>
    <s v="Akron"/>
    <n v="3"/>
    <n v="8"/>
    <n v="9"/>
    <n v="31"/>
    <x v="6"/>
    <n v="51"/>
    <n v="46.078601534427492"/>
    <m/>
    <n v="-1"/>
    <m/>
  </r>
  <r>
    <n v="2025"/>
    <x v="1"/>
    <s v="Akron"/>
    <n v="3"/>
    <n v="9"/>
    <n v="9"/>
    <n v="33"/>
    <x v="3"/>
    <n v="53.9"/>
    <n v="49.563695736622307"/>
    <m/>
    <n v="0"/>
    <m/>
  </r>
  <r>
    <n v="2025"/>
    <x v="1"/>
    <s v="Akron"/>
    <n v="3"/>
    <n v="10"/>
    <n v="9"/>
    <n v="60"/>
    <x v="52"/>
    <n v="43"/>
    <n v="22.572374963581623"/>
    <m/>
    <n v="8"/>
    <m/>
  </r>
  <r>
    <n v="2025"/>
    <x v="1"/>
    <s v="Akron"/>
    <n v="3"/>
    <n v="11"/>
    <n v="9"/>
    <n v="38"/>
    <x v="43"/>
    <n v="53.4"/>
    <n v="49.396548509274531"/>
    <m/>
    <n v="4"/>
    <m/>
  </r>
  <r>
    <n v="2025"/>
    <x v="1"/>
    <s v="Akron"/>
    <n v="3"/>
    <n v="12"/>
    <n v="9"/>
    <n v="30"/>
    <x v="14"/>
    <n v="53.8"/>
    <n v="39.783203360201995"/>
    <m/>
    <n v="-1"/>
    <m/>
  </r>
  <r>
    <n v="2025"/>
    <x v="1"/>
    <s v="Akron"/>
    <n v="3"/>
    <n v="13"/>
    <n v="9"/>
    <n v="16"/>
    <x v="40"/>
    <n v="57.3"/>
    <n v="50.728246091094483"/>
    <m/>
    <n v="1"/>
    <m/>
  </r>
  <r>
    <n v="2025"/>
    <x v="1"/>
    <s v="Akron"/>
    <n v="3"/>
    <n v="13"/>
    <n v="10"/>
    <n v="3"/>
    <x v="16"/>
    <n v="54.8"/>
    <n v="36.492861476238616"/>
    <m/>
    <n v="3"/>
    <m/>
  </r>
  <r>
    <n v="2025"/>
    <x v="1"/>
    <s v="Akron"/>
    <n v="3"/>
    <n v="12"/>
    <n v="10"/>
    <n v="17"/>
    <x v="32"/>
    <n v="54.5"/>
    <n v="42.951099234435937"/>
    <m/>
    <n v="1"/>
    <m/>
  </r>
  <r>
    <n v="2025"/>
    <x v="1"/>
    <s v="Akron"/>
    <n v="3"/>
    <n v="11"/>
    <n v="10"/>
    <n v="9"/>
    <x v="1"/>
    <n v="50"/>
    <n v="37.27384082045355"/>
    <m/>
    <n v="3"/>
    <m/>
  </r>
  <r>
    <n v="2025"/>
    <x v="1"/>
    <s v="Akron"/>
    <n v="3"/>
    <n v="10"/>
    <n v="10"/>
    <n v="10"/>
    <x v="15"/>
    <n v="50.1"/>
    <n v="35.372491694352156"/>
    <m/>
    <n v="4"/>
    <m/>
  </r>
  <r>
    <n v="2025"/>
    <x v="1"/>
    <s v="Akron"/>
    <n v="3"/>
    <n v="9"/>
    <n v="10"/>
    <n v="20"/>
    <x v="18"/>
    <n v="52.5"/>
    <n v="45.18945543839375"/>
    <m/>
    <n v="0"/>
    <m/>
  </r>
  <r>
    <n v="2025"/>
    <x v="1"/>
    <s v="Akron"/>
    <n v="3"/>
    <n v="8"/>
    <n v="10"/>
    <n v="42"/>
    <x v="42"/>
    <n v="53.7"/>
    <n v="46.688684096489965"/>
    <m/>
    <n v="0"/>
    <m/>
  </r>
  <r>
    <n v="2025"/>
    <x v="1"/>
    <s v="Akron"/>
    <n v="3"/>
    <n v="7"/>
    <n v="10"/>
    <n v="26"/>
    <x v="11"/>
    <n v="54.1"/>
    <n v="52.751427126968075"/>
    <m/>
    <n v="1"/>
    <m/>
  </r>
  <r>
    <n v="2025"/>
    <x v="1"/>
    <s v="Akron"/>
    <n v="3"/>
    <n v="6"/>
    <n v="10"/>
    <n v="36"/>
    <x v="36"/>
    <n v="51.6"/>
    <n v="38.722923588039862"/>
    <m/>
    <n v="0"/>
    <m/>
  </r>
  <r>
    <n v="2025"/>
    <x v="1"/>
    <s v="Akron"/>
    <n v="3"/>
    <n v="5"/>
    <n v="10"/>
    <n v="18"/>
    <x v="8"/>
    <n v="53.2"/>
    <n v="31.573892821031336"/>
    <m/>
    <n v="0"/>
    <m/>
  </r>
  <r>
    <n v="2025"/>
    <x v="1"/>
    <s v="Akron"/>
    <n v="3"/>
    <n v="4"/>
    <n v="10"/>
    <n v="49"/>
    <x v="47"/>
    <n v="45.8"/>
    <n v="37.077594973277478"/>
    <m/>
    <n v="1"/>
    <m/>
  </r>
  <r>
    <n v="2025"/>
    <x v="1"/>
    <s v="Akron"/>
    <n v="3"/>
    <n v="3"/>
    <n v="10"/>
    <n v="13"/>
    <x v="38"/>
    <n v="51.5"/>
    <n v="42.821253791708799"/>
    <m/>
    <n v="0"/>
    <m/>
  </r>
  <r>
    <n v="2025"/>
    <x v="1"/>
    <s v="Akron"/>
    <n v="3"/>
    <n v="2"/>
    <n v="10"/>
    <n v="14"/>
    <x v="5"/>
    <n v="53.7"/>
    <n v="45.865185613173466"/>
    <m/>
    <n v="1"/>
    <m/>
  </r>
  <r>
    <n v="2025"/>
    <x v="1"/>
    <s v="Akron"/>
    <n v="3"/>
    <n v="1"/>
    <n v="10"/>
    <n v="37"/>
    <x v="31"/>
    <n v="53.5"/>
    <n v="44.120137223746923"/>
    <m/>
    <n v="-1"/>
    <m/>
  </r>
  <r>
    <n v="2025"/>
    <x v="1"/>
    <s v="Akron"/>
    <n v="3"/>
    <n v="1"/>
    <n v="11"/>
    <n v="34"/>
    <x v="0"/>
    <n v="53.5"/>
    <n v="43.926320054017545"/>
    <m/>
    <n v="-3"/>
    <m/>
  </r>
  <r>
    <n v="2025"/>
    <x v="1"/>
    <s v="Akron"/>
    <n v="3"/>
    <n v="2"/>
    <n v="11"/>
    <n v="48"/>
    <x v="48"/>
    <n v="47.5"/>
    <n v="34.066237098485573"/>
    <m/>
    <n v="2"/>
    <m/>
  </r>
  <r>
    <n v="2025"/>
    <x v="1"/>
    <s v="Akron"/>
    <n v="3"/>
    <n v="3"/>
    <n v="11"/>
    <n v="23"/>
    <x v="35"/>
    <n v="55.7"/>
    <n v="45.637214237484322"/>
    <m/>
    <n v="-1"/>
    <m/>
  </r>
  <r>
    <n v="2025"/>
    <x v="1"/>
    <s v="Akron"/>
    <n v="3"/>
    <n v="4"/>
    <n v="11"/>
    <n v="58"/>
    <x v="51"/>
    <n v="49.3"/>
    <n v="32.30644931031155"/>
    <m/>
    <n v="-1"/>
    <m/>
  </r>
  <r>
    <n v="2025"/>
    <x v="1"/>
    <s v="Akron"/>
    <n v="3"/>
    <n v="5"/>
    <n v="11"/>
    <n v="35"/>
    <x v="30"/>
    <n v="52.8"/>
    <n v="35.92409858203915"/>
    <m/>
    <n v="0"/>
    <m/>
  </r>
  <r>
    <n v="2025"/>
    <x v="1"/>
    <s v="Akron"/>
    <n v="3"/>
    <n v="6"/>
    <n v="11"/>
    <n v="39"/>
    <x v="46"/>
    <n v="51.5"/>
    <n v="44.392719205170238"/>
    <m/>
    <n v="0"/>
    <m/>
  </r>
  <r>
    <n v="2025"/>
    <x v="1"/>
    <s v="Akron"/>
    <n v="3"/>
    <n v="7"/>
    <n v="11"/>
    <n v="15"/>
    <x v="7"/>
    <n v="51.4"/>
    <n v="40.912201215394994"/>
    <m/>
    <n v="-1"/>
    <m/>
  </r>
  <r>
    <n v="2025"/>
    <x v="1"/>
    <s v="Akron"/>
    <n v="3"/>
    <n v="8"/>
    <n v="11"/>
    <n v="46"/>
    <x v="25"/>
    <n v="52"/>
    <n v="42.017941545287925"/>
    <m/>
    <n v="0"/>
    <m/>
  </r>
  <r>
    <n v="2025"/>
    <x v="1"/>
    <s v="Akron"/>
    <n v="3"/>
    <n v="9"/>
    <n v="11"/>
    <n v="5"/>
    <x v="28"/>
    <n v="52.2"/>
    <n v="40.270615896594947"/>
    <m/>
    <n v="1"/>
    <m/>
  </r>
  <r>
    <n v="2025"/>
    <x v="1"/>
    <s v="Akron"/>
    <n v="3"/>
    <n v="10"/>
    <n v="11"/>
    <n v="1"/>
    <x v="12"/>
    <n v="53.1"/>
    <n v="47.942662293816916"/>
    <m/>
    <n v="-3"/>
    <m/>
  </r>
  <r>
    <n v="2025"/>
    <x v="1"/>
    <s v="Akron"/>
    <n v="3"/>
    <n v="11"/>
    <n v="11"/>
    <n v="2"/>
    <x v="23"/>
    <n v="53.4"/>
    <n v="40.98897945403683"/>
    <m/>
    <n v="-1"/>
    <m/>
  </r>
  <r>
    <n v="2025"/>
    <x v="1"/>
    <s v="Akron"/>
    <n v="3"/>
    <n v="12"/>
    <n v="11"/>
    <n v="24"/>
    <x v="29"/>
    <n v="51.7"/>
    <n v="44.817339153081896"/>
    <m/>
    <n v="-2"/>
    <m/>
  </r>
  <r>
    <n v="2025"/>
    <x v="1"/>
    <s v="Akron"/>
    <n v="3"/>
    <n v="13"/>
    <n v="11"/>
    <n v="57"/>
    <x v="45"/>
    <n v="51.8"/>
    <n v="34.220557538342817"/>
    <m/>
    <n v="1"/>
    <m/>
  </r>
  <r>
    <n v="2025"/>
    <x v="1"/>
    <s v="Akron"/>
    <n v="3"/>
    <n v="13"/>
    <n v="12"/>
    <n v="44"/>
    <x v="17"/>
    <n v="50"/>
    <n v="29.639939332659246"/>
    <m/>
    <n v="-3"/>
    <m/>
  </r>
  <r>
    <n v="2025"/>
    <x v="1"/>
    <s v="Akron"/>
    <n v="3"/>
    <n v="12"/>
    <n v="12"/>
    <n v="25"/>
    <x v="34"/>
    <n v="50.7"/>
    <n v="39.553095478838642"/>
    <m/>
    <n v="0"/>
    <m/>
  </r>
  <r>
    <n v="2025"/>
    <x v="1"/>
    <s v="Akron"/>
    <n v="3"/>
    <n v="11"/>
    <n v="12"/>
    <n v="27"/>
    <x v="39"/>
    <n v="52.4"/>
    <n v="49.356998411093443"/>
    <m/>
    <n v="0"/>
    <m/>
  </r>
  <r>
    <n v="2025"/>
    <x v="1"/>
    <s v="Akron"/>
    <n v="3"/>
    <n v="10"/>
    <n v="12"/>
    <n v="6"/>
    <x v="10"/>
    <n v="49"/>
    <n v="32.178789542106017"/>
    <m/>
    <n v="4"/>
    <m/>
  </r>
  <r>
    <n v="2025"/>
    <x v="1"/>
    <s v="Akron"/>
    <n v="3"/>
    <n v="9"/>
    <n v="12"/>
    <n v="12"/>
    <x v="41"/>
    <n v="48.8"/>
    <n v="34.960313447927199"/>
    <m/>
    <n v="-3"/>
    <m/>
  </r>
  <r>
    <n v="2025"/>
    <x v="1"/>
    <s v="Akron"/>
    <n v="3"/>
    <n v="8"/>
    <n v="12"/>
    <n v="7"/>
    <x v="44"/>
    <n v="48.7"/>
    <n v="29.45441860465116"/>
    <m/>
    <n v="3"/>
    <m/>
  </r>
  <r>
    <n v="2025"/>
    <x v="1"/>
    <s v="Akron"/>
    <n v="3"/>
    <n v="7"/>
    <n v="12"/>
    <n v="43"/>
    <x v="22"/>
    <s v="."/>
    <n v="15.933427704752273"/>
    <m/>
    <n v="-2"/>
    <m/>
  </r>
  <r>
    <n v="2025"/>
    <x v="1"/>
    <s v="Akron"/>
    <n v="3"/>
    <n v="6"/>
    <n v="12"/>
    <n v="40"/>
    <x v="13"/>
    <n v="52.9"/>
    <n v="40.508346092734357"/>
    <m/>
    <n v="-1"/>
    <m/>
  </r>
  <r>
    <n v="2025"/>
    <x v="1"/>
    <s v="Akron"/>
    <n v="3"/>
    <n v="5"/>
    <n v="12"/>
    <n v="8"/>
    <x v="9"/>
    <n v="52.3"/>
    <n v="40.212046800520007"/>
    <m/>
    <n v="-2"/>
    <m/>
  </r>
  <r>
    <n v="2025"/>
    <x v="1"/>
    <s v="Akron"/>
    <n v="3"/>
    <n v="4"/>
    <n v="12"/>
    <n v="29"/>
    <x v="27"/>
    <n v="49.5"/>
    <n v="37.581913910154555"/>
    <m/>
    <n v="1"/>
    <m/>
  </r>
  <r>
    <n v="2025"/>
    <x v="1"/>
    <s v="Akron"/>
    <n v="3"/>
    <n v="3"/>
    <n v="12"/>
    <n v="11"/>
    <x v="2"/>
    <n v="52.3"/>
    <n v="43.442166690741004"/>
    <m/>
    <n v="1"/>
    <m/>
  </r>
  <r>
    <n v="2025"/>
    <x v="1"/>
    <s v="Akron"/>
    <n v="3"/>
    <n v="2"/>
    <n v="12"/>
    <n v="47"/>
    <x v="50"/>
    <n v="52.8"/>
    <n v="47.760242669362981"/>
    <m/>
    <n v="-2"/>
    <m/>
  </r>
  <r>
    <n v="2025"/>
    <x v="1"/>
    <s v="Akron"/>
    <n v="3"/>
    <n v="1"/>
    <n v="12"/>
    <n v="41"/>
    <x v="20"/>
    <n v="49.6"/>
    <n v="28.695842842698251"/>
    <m/>
    <n v="-2"/>
    <m/>
  </r>
  <r>
    <n v="2025"/>
    <x v="1"/>
    <s v="Genoa"/>
    <n v="1"/>
    <n v="23"/>
    <n v="1"/>
    <n v="30"/>
    <x v="14"/>
    <n v="58.5"/>
    <n v="54.077684393230797"/>
    <n v="14.6"/>
    <m/>
    <n v="1"/>
  </r>
  <r>
    <n v="2025"/>
    <x v="1"/>
    <s v="Genoa"/>
    <n v="2"/>
    <n v="24"/>
    <n v="3"/>
    <n v="30"/>
    <x v="14"/>
    <n v="58.3"/>
    <n v="50.038325924497371"/>
    <m/>
    <m/>
    <m/>
  </r>
  <r>
    <n v="2025"/>
    <x v="1"/>
    <s v="Genoa"/>
    <n v="3"/>
    <n v="15"/>
    <n v="6"/>
    <n v="30"/>
    <x v="14"/>
    <n v="57.5"/>
    <n v="51.807318363225463"/>
    <m/>
    <m/>
    <m/>
  </r>
  <r>
    <n v="2025"/>
    <x v="1"/>
    <s v="Genoa"/>
    <n v="1"/>
    <n v="2"/>
    <n v="2"/>
    <n v="39"/>
    <x v="46"/>
    <n v="53.6"/>
    <n v="47.441730728310269"/>
    <n v="14.9"/>
    <m/>
    <n v="3"/>
  </r>
  <r>
    <n v="2025"/>
    <x v="1"/>
    <s v="Genoa"/>
    <n v="2"/>
    <n v="17"/>
    <n v="4"/>
    <n v="39"/>
    <x v="46"/>
    <n v="57.3"/>
    <n v="49.883291225674284"/>
    <m/>
    <m/>
    <m/>
  </r>
  <r>
    <n v="2025"/>
    <x v="1"/>
    <s v="Genoa"/>
    <n v="3"/>
    <n v="16"/>
    <n v="5"/>
    <n v="39"/>
    <x v="46"/>
    <n v="54.5"/>
    <n v="44.945559531869613"/>
    <m/>
    <m/>
    <m/>
  </r>
  <r>
    <n v="2025"/>
    <x v="1"/>
    <s v="Genoa"/>
    <n v="1"/>
    <n v="21"/>
    <n v="1"/>
    <n v="38"/>
    <x v="43"/>
    <n v="60.1"/>
    <n v="55.440572778554561"/>
    <n v="14.1"/>
    <m/>
    <n v="1"/>
  </r>
  <r>
    <n v="2025"/>
    <x v="1"/>
    <s v="Genoa"/>
    <n v="2"/>
    <n v="11"/>
    <n v="3"/>
    <n v="38"/>
    <x v="43"/>
    <n v="57.6"/>
    <n v="50.593911576105292"/>
    <m/>
    <m/>
    <m/>
  </r>
  <r>
    <n v="2025"/>
    <x v="1"/>
    <s v="Genoa"/>
    <n v="3"/>
    <n v="8"/>
    <n v="5"/>
    <n v="38"/>
    <x v="43"/>
    <n v="58.2"/>
    <n v="42.721674243156983"/>
    <m/>
    <m/>
    <m/>
  </r>
  <r>
    <n v="2025"/>
    <x v="1"/>
    <s v="Genoa"/>
    <n v="1"/>
    <n v="10"/>
    <n v="1"/>
    <n v="37"/>
    <x v="31"/>
    <n v="53.3"/>
    <n v="43.633296562364393"/>
    <n v="16"/>
    <m/>
    <n v="4"/>
  </r>
  <r>
    <n v="2025"/>
    <x v="1"/>
    <s v="Genoa"/>
    <n v="2"/>
    <n v="16"/>
    <n v="3"/>
    <n v="37"/>
    <x v="31"/>
    <n v="60.5"/>
    <n v="58.805264934188308"/>
    <m/>
    <m/>
    <m/>
  </r>
  <r>
    <n v="2025"/>
    <x v="1"/>
    <s v="Genoa"/>
    <n v="3"/>
    <n v="3"/>
    <n v="6"/>
    <n v="37"/>
    <x v="31"/>
    <n v="58.5"/>
    <n v="56.834530461124196"/>
    <m/>
    <m/>
    <m/>
  </r>
  <r>
    <n v="2025"/>
    <x v="1"/>
    <s v="Genoa"/>
    <n v="1"/>
    <n v="26"/>
    <n v="1"/>
    <n v="40"/>
    <x v="13"/>
    <n v="58.1"/>
    <n v="58.575055686803907"/>
    <n v="13.5"/>
    <m/>
    <n v="2"/>
  </r>
  <r>
    <n v="2025"/>
    <x v="1"/>
    <s v="Genoa"/>
    <n v="2"/>
    <n v="7"/>
    <n v="4"/>
    <n v="40"/>
    <x v="13"/>
    <n v="57.5"/>
    <n v="42.320218504609073"/>
    <m/>
    <m/>
    <m/>
  </r>
  <r>
    <n v="2025"/>
    <x v="1"/>
    <s v="Genoa"/>
    <n v="3"/>
    <n v="6"/>
    <n v="6"/>
    <n v="40"/>
    <x v="13"/>
    <n v="53.8"/>
    <n v="32.192446506707689"/>
    <m/>
    <m/>
    <m/>
  </r>
  <r>
    <n v="2025"/>
    <x v="1"/>
    <s v="Genoa"/>
    <n v="1"/>
    <n v="24"/>
    <n v="2"/>
    <n v="41"/>
    <x v="20"/>
    <n v="58.8"/>
    <n v="44.935218106199819"/>
    <n v="15.1"/>
    <m/>
    <n v="3"/>
  </r>
  <r>
    <n v="2025"/>
    <x v="1"/>
    <s v="Genoa"/>
    <n v="2"/>
    <n v="12"/>
    <n v="3"/>
    <n v="41"/>
    <x v="20"/>
    <n v="58.9"/>
    <n v="44.802810134516172"/>
    <m/>
    <m/>
    <m/>
  </r>
  <r>
    <n v="2025"/>
    <x v="1"/>
    <s v="Genoa"/>
    <n v="3"/>
    <n v="15"/>
    <n v="5"/>
    <n v="41"/>
    <x v="20"/>
    <n v="59.7"/>
    <n v="48.176144307960151"/>
    <m/>
    <m/>
    <m/>
  </r>
  <r>
    <n v="2025"/>
    <x v="1"/>
    <s v="Genoa"/>
    <n v="1"/>
    <n v="9"/>
    <n v="2"/>
    <n v="20"/>
    <x v="18"/>
    <n v="59"/>
    <n v="57.732904729664376"/>
    <n v="13.9"/>
    <m/>
    <n v="3"/>
  </r>
  <r>
    <n v="2025"/>
    <x v="1"/>
    <s v="Genoa"/>
    <n v="2"/>
    <n v="19"/>
    <n v="3"/>
    <n v="20"/>
    <x v="18"/>
    <n v="57.3"/>
    <n v="39.00120775276023"/>
    <m/>
    <m/>
    <m/>
  </r>
  <r>
    <n v="2025"/>
    <x v="1"/>
    <s v="Genoa"/>
    <n v="3"/>
    <n v="1"/>
    <n v="6"/>
    <n v="20"/>
    <x v="18"/>
    <n v="56.1"/>
    <n v="40.584002019522039"/>
    <m/>
    <m/>
    <m/>
  </r>
  <r>
    <n v="2025"/>
    <x v="1"/>
    <s v="Genoa"/>
    <n v="1"/>
    <n v="13"/>
    <n v="2"/>
    <n v="32"/>
    <x v="24"/>
    <n v="61.4"/>
    <n v="58.020032498307373"/>
    <n v="14.4"/>
    <m/>
    <n v="3"/>
  </r>
  <r>
    <n v="2025"/>
    <x v="1"/>
    <s v="Genoa"/>
    <n v="2"/>
    <n v="6"/>
    <n v="4"/>
    <n v="32"/>
    <x v="24"/>
    <n v="55.7"/>
    <n v="34.649758571916301"/>
    <m/>
    <m/>
    <m/>
  </r>
  <r>
    <n v="2025"/>
    <x v="1"/>
    <s v="Genoa"/>
    <n v="3"/>
    <n v="23"/>
    <n v="6"/>
    <n v="32"/>
    <x v="24"/>
    <n v="60.2"/>
    <n v="50.116183007164487"/>
    <m/>
    <m/>
    <m/>
  </r>
  <r>
    <n v="2025"/>
    <x v="1"/>
    <s v="Genoa"/>
    <n v="1"/>
    <n v="17"/>
    <n v="1"/>
    <n v="21"/>
    <x v="26"/>
    <n v="57.7"/>
    <n v="53.921564051877922"/>
    <n v="14.5"/>
    <m/>
    <n v="2"/>
  </r>
  <r>
    <n v="2025"/>
    <x v="1"/>
    <s v="Genoa"/>
    <n v="2"/>
    <n v="11"/>
    <n v="4"/>
    <n v="21"/>
    <x v="26"/>
    <n v="55.3"/>
    <n v="52.868501194947072"/>
    <m/>
    <m/>
    <m/>
  </r>
  <r>
    <n v="2025"/>
    <x v="1"/>
    <s v="Genoa"/>
    <n v="3"/>
    <n v="23"/>
    <n v="5"/>
    <n v="21"/>
    <x v="26"/>
    <n v="55.9"/>
    <n v="45.507328755198763"/>
    <m/>
    <m/>
    <m/>
  </r>
  <r>
    <n v="2025"/>
    <x v="1"/>
    <s v="Genoa"/>
    <n v="1"/>
    <n v="1"/>
    <n v="1"/>
    <n v="29"/>
    <x v="27"/>
    <n v="55.2"/>
    <n v="33.919468685212863"/>
    <n v="16"/>
    <m/>
    <n v="2"/>
  </r>
  <r>
    <n v="2025"/>
    <x v="1"/>
    <s v="Genoa"/>
    <n v="2"/>
    <n v="10"/>
    <n v="4"/>
    <n v="29"/>
    <x v="27"/>
    <n v="56.6"/>
    <n v="48.658429985855733"/>
    <m/>
    <m/>
    <m/>
  </r>
  <r>
    <n v="2025"/>
    <x v="1"/>
    <s v="Genoa"/>
    <n v="3"/>
    <n v="4"/>
    <n v="6"/>
    <n v="29"/>
    <x v="27"/>
    <n v="56.8"/>
    <n v="46.727695340674124"/>
    <m/>
    <m/>
    <m/>
  </r>
  <r>
    <n v="2025"/>
    <x v="1"/>
    <s v="Genoa"/>
    <n v="1"/>
    <n v="11"/>
    <n v="2"/>
    <n v="22"/>
    <x v="33"/>
    <n v="58.3"/>
    <n v="51.411880646097302"/>
    <n v="14.6"/>
    <m/>
    <n v="5"/>
  </r>
  <r>
    <n v="2025"/>
    <x v="1"/>
    <s v="Genoa"/>
    <n v="2"/>
    <n v="3"/>
    <n v="3"/>
    <n v="22"/>
    <x v="33"/>
    <n v="55.4"/>
    <n v="44.556682416469791"/>
    <m/>
    <m/>
    <m/>
  </r>
  <r>
    <n v="2025"/>
    <x v="1"/>
    <s v="Genoa"/>
    <n v="3"/>
    <n v="7"/>
    <n v="5"/>
    <n v="22"/>
    <x v="33"/>
    <n v="59.3"/>
    <n v="37.49450488441822"/>
    <m/>
    <m/>
    <m/>
  </r>
  <r>
    <n v="2025"/>
    <x v="1"/>
    <s v="Genoa"/>
    <n v="1"/>
    <n v="11"/>
    <n v="1"/>
    <n v="18"/>
    <x v="8"/>
    <n v="53.9"/>
    <n v="45.02039438792729"/>
    <n v="15.6"/>
    <m/>
    <n v="2"/>
  </r>
  <r>
    <n v="2025"/>
    <x v="1"/>
    <s v="Genoa"/>
    <n v="2"/>
    <n v="25"/>
    <n v="3"/>
    <n v="18"/>
    <x v="8"/>
    <n v="53.3"/>
    <n v="32.918729087314979"/>
    <m/>
    <m/>
    <m/>
  </r>
  <r>
    <n v="2025"/>
    <x v="1"/>
    <s v="Genoa"/>
    <n v="3"/>
    <n v="2"/>
    <n v="6"/>
    <n v="18"/>
    <x v="8"/>
    <n v="54.8"/>
    <n v="40.929790354378028"/>
    <m/>
    <m/>
    <m/>
  </r>
  <r>
    <n v="2025"/>
    <x v="1"/>
    <s v="Genoa"/>
    <n v="1"/>
    <n v="15"/>
    <n v="1"/>
    <n v="14"/>
    <x v="5"/>
    <n v="58"/>
    <n v="48.031118943156066"/>
    <n v="16.100000000000001"/>
    <m/>
    <n v="4"/>
  </r>
  <r>
    <n v="2025"/>
    <x v="1"/>
    <s v="Genoa"/>
    <n v="2"/>
    <n v="14"/>
    <n v="4"/>
    <n v="14"/>
    <x v="5"/>
    <n v="60.1"/>
    <n v="51.018582646441985"/>
    <m/>
    <m/>
    <m/>
  </r>
  <r>
    <n v="2025"/>
    <x v="1"/>
    <s v="Genoa"/>
    <n v="3"/>
    <n v="20"/>
    <n v="5"/>
    <n v="14"/>
    <x v="5"/>
    <n v="58.9"/>
    <n v="45.217768836444527"/>
    <m/>
    <m/>
    <m/>
  </r>
  <r>
    <n v="2025"/>
    <x v="1"/>
    <s v="Genoa"/>
    <n v="1"/>
    <n v="8"/>
    <n v="1"/>
    <n v="15"/>
    <x v="7"/>
    <n v="54.8"/>
    <n v="44.978123330601221"/>
    <n v="14.8"/>
    <m/>
    <n v="5"/>
  </r>
  <r>
    <n v="2025"/>
    <x v="1"/>
    <s v="Genoa"/>
    <n v="2"/>
    <n v="15"/>
    <n v="4"/>
    <n v="15"/>
    <x v="7"/>
    <n v="55.1"/>
    <n v="51.844701263229773"/>
    <m/>
    <m/>
    <m/>
  </r>
  <r>
    <n v="2025"/>
    <x v="1"/>
    <s v="Genoa"/>
    <n v="3"/>
    <n v="13"/>
    <n v="6"/>
    <n v="15"/>
    <x v="7"/>
    <n v="56.9"/>
    <n v="45.637967014473219"/>
    <m/>
    <m/>
    <m/>
  </r>
  <r>
    <n v="2025"/>
    <x v="1"/>
    <s v="Genoa"/>
    <n v="1"/>
    <n v="4"/>
    <n v="1"/>
    <n v="16"/>
    <x v="40"/>
    <n v="51.1"/>
    <n v="30.391105057615349"/>
    <n v="16"/>
    <m/>
    <n v="4"/>
  </r>
  <r>
    <n v="2025"/>
    <x v="1"/>
    <s v="Genoa"/>
    <n v="2"/>
    <n v="26"/>
    <n v="4"/>
    <n v="16"/>
    <x v="40"/>
    <n v="59.8"/>
    <n v="52.659443788713844"/>
    <m/>
    <m/>
    <m/>
  </r>
  <r>
    <n v="2025"/>
    <x v="1"/>
    <s v="Genoa"/>
    <n v="3"/>
    <n v="7"/>
    <n v="6"/>
    <n v="16"/>
    <x v="40"/>
    <n v="54.4"/>
    <n v="33.412369091695915"/>
    <m/>
    <m/>
    <m/>
  </r>
  <r>
    <n v="2025"/>
    <x v="1"/>
    <s v="Genoa"/>
    <n v="1"/>
    <n v="18"/>
    <n v="1"/>
    <n v="11"/>
    <x v="2"/>
    <n v="58.8"/>
    <n v="46.60985487681404"/>
    <n v="15.1"/>
    <m/>
    <n v="4"/>
  </r>
  <r>
    <n v="2025"/>
    <x v="1"/>
    <s v="Genoa"/>
    <n v="2"/>
    <n v="4"/>
    <n v="3"/>
    <n v="11"/>
    <x v="2"/>
    <n v="57.8"/>
    <n v="40.075024347909938"/>
    <m/>
    <m/>
    <m/>
  </r>
  <r>
    <n v="2025"/>
    <x v="1"/>
    <s v="Genoa"/>
    <n v="3"/>
    <n v="10"/>
    <n v="5"/>
    <n v="11"/>
    <x v="2"/>
    <n v="60.1"/>
    <n v="45.120932875519877"/>
    <m/>
    <m/>
    <m/>
  </r>
  <r>
    <n v="2025"/>
    <x v="1"/>
    <s v="Genoa"/>
    <n v="1"/>
    <n v="16"/>
    <n v="2"/>
    <n v="1"/>
    <x v="12"/>
    <n v="61.7"/>
    <n v="70.601545023696659"/>
    <n v="13.1"/>
    <m/>
    <n v="2"/>
  </r>
  <r>
    <n v="2025"/>
    <x v="1"/>
    <s v="Genoa"/>
    <n v="2"/>
    <n v="26"/>
    <n v="3"/>
    <n v="1"/>
    <x v="12"/>
    <n v="58.3"/>
    <n v="50.922662600646063"/>
    <m/>
    <m/>
    <m/>
  </r>
  <r>
    <n v="2025"/>
    <x v="1"/>
    <s v="Genoa"/>
    <n v="3"/>
    <n v="21"/>
    <n v="5"/>
    <n v="1"/>
    <x v="12"/>
    <n v="56.6"/>
    <n v="54.297751233194688"/>
    <m/>
    <m/>
    <m/>
  </r>
  <r>
    <n v="2025"/>
    <x v="1"/>
    <s v="Genoa"/>
    <n v="1"/>
    <n v="6"/>
    <n v="1"/>
    <n v="17"/>
    <x v="32"/>
    <n v="45.8"/>
    <n v="17.659574273178727"/>
    <n v="17.600000000000001"/>
    <m/>
    <n v="4"/>
  </r>
  <r>
    <n v="2025"/>
    <x v="1"/>
    <s v="Genoa"/>
    <n v="2"/>
    <n v="3"/>
    <n v="4"/>
    <n v="17"/>
    <x v="32"/>
    <n v="50.3"/>
    <n v="37.902808857240402"/>
    <m/>
    <m/>
    <m/>
  </r>
  <r>
    <n v="2025"/>
    <x v="1"/>
    <s v="Genoa"/>
    <n v="3"/>
    <n v="5"/>
    <n v="6"/>
    <n v="17"/>
    <x v="32"/>
    <n v="45.8"/>
    <n v="20.423932778766162"/>
    <m/>
    <m/>
    <m/>
  </r>
  <r>
    <n v="2025"/>
    <x v="1"/>
    <s v="Genoa"/>
    <n v="1"/>
    <n v="18"/>
    <n v="2"/>
    <n v="12"/>
    <x v="41"/>
    <n v="59.7"/>
    <n v="57.330149289099523"/>
    <n v="14.1"/>
    <m/>
    <n v="1"/>
  </r>
  <r>
    <n v="2025"/>
    <x v="1"/>
    <s v="Genoa"/>
    <n v="2"/>
    <n v="2"/>
    <n v="4"/>
    <n v="12"/>
    <x v="41"/>
    <n v="56.9"/>
    <n v="47.697729698092957"/>
    <m/>
    <m/>
    <m/>
  </r>
  <r>
    <n v="2025"/>
    <x v="1"/>
    <s v="Genoa"/>
    <n v="3"/>
    <n v="1"/>
    <n v="5"/>
    <n v="12"/>
    <x v="41"/>
    <n v="56.9"/>
    <n v="39.9839733049618"/>
    <m/>
    <m/>
    <m/>
  </r>
  <r>
    <n v="2025"/>
    <x v="1"/>
    <s v="Genoa"/>
    <n v="1"/>
    <n v="3"/>
    <n v="1"/>
    <n v="13"/>
    <x v="38"/>
    <n v="54.2"/>
    <n v="45.718468251289707"/>
    <n v="15.3"/>
    <m/>
    <n v="1"/>
  </r>
  <r>
    <n v="2025"/>
    <x v="1"/>
    <s v="Genoa"/>
    <n v="2"/>
    <n v="5"/>
    <n v="3"/>
    <n v="13"/>
    <x v="38"/>
    <n v="52.8"/>
    <n v="34.598879514006072"/>
    <m/>
    <m/>
    <m/>
  </r>
  <r>
    <n v="2025"/>
    <x v="1"/>
    <s v="Genoa"/>
    <n v="3"/>
    <n v="13"/>
    <n v="5"/>
    <n v="13"/>
    <x v="38"/>
    <n v="58.5"/>
    <n v="47.672622207176715"/>
    <m/>
    <m/>
    <m/>
  </r>
  <r>
    <n v="2025"/>
    <x v="1"/>
    <s v="Genoa"/>
    <n v="1"/>
    <n v="9"/>
    <n v="1"/>
    <n v="2"/>
    <x v="23"/>
    <n v="57.8"/>
    <n v="45.461815727303403"/>
    <n v="14.6"/>
    <m/>
    <n v="3"/>
  </r>
  <r>
    <n v="2025"/>
    <x v="1"/>
    <s v="Genoa"/>
    <n v="2"/>
    <n v="6"/>
    <n v="3"/>
    <n v="2"/>
    <x v="23"/>
    <n v="55.5"/>
    <n v="33.641957475531562"/>
    <m/>
    <m/>
    <m/>
  </r>
  <r>
    <n v="2025"/>
    <x v="1"/>
    <s v="Genoa"/>
    <n v="3"/>
    <n v="19"/>
    <n v="5"/>
    <n v="2"/>
    <x v="23"/>
    <n v="60.2"/>
    <n v="48.178911596866229"/>
    <m/>
    <m/>
    <m/>
  </r>
  <r>
    <n v="2025"/>
    <x v="1"/>
    <s v="Genoa"/>
    <n v="1"/>
    <n v="5"/>
    <n v="1"/>
    <n v="9"/>
    <x v="1"/>
    <s v="."/>
    <s v="."/>
    <n v="19"/>
    <m/>
    <n v="1"/>
  </r>
  <r>
    <n v="2025"/>
    <x v="1"/>
    <s v="Genoa"/>
    <n v="2"/>
    <n v="21"/>
    <n v="3"/>
    <n v="9"/>
    <x v="1"/>
    <n v="55.2"/>
    <n v="41.146311171110362"/>
    <m/>
    <m/>
    <m/>
  </r>
  <r>
    <n v="2025"/>
    <x v="1"/>
    <s v="Genoa"/>
    <n v="3"/>
    <n v="22"/>
    <n v="5"/>
    <n v="9"/>
    <x v="1"/>
    <n v="52.9"/>
    <n v="41.801239481574619"/>
    <m/>
    <m/>
    <m/>
  </r>
  <r>
    <n v="2025"/>
    <x v="1"/>
    <s v="Genoa"/>
    <n v="1"/>
    <n v="4"/>
    <n v="2"/>
    <n v="3"/>
    <x v="16"/>
    <n v="55.3"/>
    <n v="42.897765741367635"/>
    <n v="16.2"/>
    <m/>
    <n v="1"/>
  </r>
  <r>
    <n v="2025"/>
    <x v="1"/>
    <s v="Genoa"/>
    <n v="2"/>
    <n v="24"/>
    <n v="4"/>
    <n v="3"/>
    <x v="16"/>
    <n v="58.1"/>
    <n v="51.570390674535432"/>
    <m/>
    <m/>
    <m/>
  </r>
  <r>
    <n v="2025"/>
    <x v="1"/>
    <s v="Genoa"/>
    <n v="3"/>
    <n v="17"/>
    <n v="6"/>
    <n v="3"/>
    <x v="16"/>
    <n v="61.1"/>
    <n v="57.067928066548056"/>
    <m/>
    <m/>
    <m/>
  </r>
  <r>
    <n v="2025"/>
    <x v="1"/>
    <s v="Genoa"/>
    <n v="1"/>
    <n v="20"/>
    <n v="2"/>
    <n v="10"/>
    <x v="15"/>
    <n v="57.5"/>
    <n v="49.524541735177479"/>
    <n v="15.8"/>
    <m/>
    <n v="2"/>
  </r>
  <r>
    <n v="2025"/>
    <x v="1"/>
    <s v="Genoa"/>
    <n v="2"/>
    <n v="2"/>
    <n v="3"/>
    <n v="10"/>
    <x v="15"/>
    <n v="49.9"/>
    <n v="35.708074731208711"/>
    <m/>
    <m/>
    <m/>
  </r>
  <r>
    <n v="2025"/>
    <x v="1"/>
    <s v="Genoa"/>
    <n v="3"/>
    <n v="25"/>
    <n v="6"/>
    <n v="10"/>
    <x v="15"/>
    <n v="51.1"/>
    <n v="31.504916093667351"/>
    <m/>
    <m/>
    <m/>
  </r>
  <r>
    <n v="2025"/>
    <x v="1"/>
    <s v="Genoa"/>
    <n v="1"/>
    <n v="20"/>
    <n v="1"/>
    <n v="4"/>
    <x v="4"/>
    <n v="54.1"/>
    <n v="46.872975025312179"/>
    <n v="15.1"/>
    <m/>
    <n v="0"/>
  </r>
  <r>
    <n v="2025"/>
    <x v="1"/>
    <s v="Genoa"/>
    <n v="2"/>
    <n v="18"/>
    <n v="4"/>
    <n v="4"/>
    <x v="4"/>
    <n v="53.5"/>
    <n v="39.410816953616539"/>
    <m/>
    <m/>
    <m/>
  </r>
  <r>
    <n v="2025"/>
    <x v="1"/>
    <s v="Genoa"/>
    <n v="3"/>
    <n v="14"/>
    <n v="6"/>
    <n v="4"/>
    <x v="4"/>
    <n v="52.7"/>
    <n v="42.360937058229531"/>
    <m/>
    <m/>
    <m/>
  </r>
  <r>
    <n v="2025"/>
    <x v="1"/>
    <s v="Genoa"/>
    <n v="1"/>
    <n v="15"/>
    <n v="2"/>
    <n v="5"/>
    <x v="28"/>
    <n v="54.3"/>
    <n v="44.928228068478568"/>
    <n v="15.8"/>
    <m/>
    <n v="1"/>
  </r>
  <r>
    <n v="2025"/>
    <x v="1"/>
    <s v="Genoa"/>
    <n v="2"/>
    <n v="14"/>
    <n v="3"/>
    <n v="5"/>
    <x v="28"/>
    <n v="54.8"/>
    <n v="47.063495492020635"/>
    <m/>
    <m/>
    <m/>
  </r>
  <r>
    <n v="2025"/>
    <x v="1"/>
    <s v="Genoa"/>
    <n v="3"/>
    <n v="8"/>
    <n v="6"/>
    <n v="5"/>
    <x v="28"/>
    <n v="53"/>
    <n v="46.689136894744422"/>
    <m/>
    <m/>
    <m/>
  </r>
  <r>
    <n v="2025"/>
    <x v="1"/>
    <s v="Genoa"/>
    <n v="1"/>
    <n v="8"/>
    <n v="2"/>
    <n v="19"/>
    <x v="49"/>
    <n v="54.5"/>
    <n v="53.879545894187061"/>
    <n v="14.5"/>
    <m/>
    <n v="1"/>
  </r>
  <r>
    <n v="2025"/>
    <x v="1"/>
    <s v="Genoa"/>
    <n v="2"/>
    <n v="10"/>
    <n v="3"/>
    <n v="19"/>
    <x v="49"/>
    <n v="54.4"/>
    <n v="47.034426980377035"/>
    <m/>
    <m/>
    <m/>
  </r>
  <r>
    <n v="2025"/>
    <x v="1"/>
    <s v="Genoa"/>
    <n v="3"/>
    <n v="22"/>
    <n v="6"/>
    <n v="19"/>
    <x v="49"/>
    <n v="55.6"/>
    <n v="45.52609991825743"/>
    <m/>
    <m/>
    <m/>
  </r>
  <r>
    <n v="2025"/>
    <x v="1"/>
    <s v="Genoa"/>
    <n v="1"/>
    <n v="7"/>
    <n v="1"/>
    <n v="6"/>
    <x v="10"/>
    <n v="50"/>
    <n v="24.670145123185957"/>
    <n v="18.2"/>
    <m/>
    <n v="1"/>
  </r>
  <r>
    <n v="2025"/>
    <x v="1"/>
    <s v="Genoa"/>
    <n v="2"/>
    <n v="9"/>
    <n v="4"/>
    <n v="6"/>
    <x v="10"/>
    <n v="51.1"/>
    <n v="34.34497975905964"/>
    <m/>
    <m/>
    <m/>
  </r>
  <r>
    <n v="2025"/>
    <x v="1"/>
    <s v="Genoa"/>
    <n v="3"/>
    <n v="11"/>
    <n v="5"/>
    <n v="6"/>
    <x v="10"/>
    <n v="55.2"/>
    <n v="41.220807815069158"/>
    <m/>
    <m/>
    <m/>
  </r>
  <r>
    <n v="2025"/>
    <x v="1"/>
    <s v="Genoa"/>
    <n v="1"/>
    <n v="19"/>
    <n v="2"/>
    <n v="8"/>
    <x v="9"/>
    <n v="58"/>
    <n v="55.307131830931411"/>
    <n v="14.1"/>
    <m/>
    <n v="1"/>
  </r>
  <r>
    <n v="2025"/>
    <x v="1"/>
    <s v="Genoa"/>
    <n v="2"/>
    <n v="13"/>
    <n v="4"/>
    <n v="8"/>
    <x v="9"/>
    <n v="55.1"/>
    <n v="50.562283568258302"/>
    <m/>
    <m/>
    <m/>
  </r>
  <r>
    <n v="2025"/>
    <x v="1"/>
    <s v="Genoa"/>
    <n v="3"/>
    <n v="18"/>
    <n v="5"/>
    <n v="8"/>
    <x v="9"/>
    <n v="58.4"/>
    <n v="56.125981236096329"/>
    <m/>
    <m/>
    <m/>
  </r>
  <r>
    <n v="2025"/>
    <x v="1"/>
    <s v="Genoa"/>
    <n v="1"/>
    <n v="25"/>
    <n v="2"/>
    <n v="7"/>
    <x v="44"/>
    <n v="56.4"/>
    <n v="41.614327787987222"/>
    <n v="15.1"/>
    <m/>
    <n v="1"/>
  </r>
  <r>
    <n v="2025"/>
    <x v="1"/>
    <s v="Genoa"/>
    <n v="2"/>
    <n v="20"/>
    <n v="4"/>
    <n v="7"/>
    <x v="44"/>
    <n v="57"/>
    <n v="41.108104667609631"/>
    <m/>
    <m/>
    <m/>
  </r>
  <r>
    <n v="2025"/>
    <x v="1"/>
    <s v="Genoa"/>
    <n v="3"/>
    <n v="6"/>
    <n v="5"/>
    <n v="7"/>
    <x v="44"/>
    <n v="53.2"/>
    <n v="27.362646290743783"/>
    <m/>
    <m/>
    <m/>
  </r>
  <r>
    <n v="2025"/>
    <x v="1"/>
    <s v="Genoa"/>
    <n v="1"/>
    <n v="6"/>
    <n v="2"/>
    <n v="42"/>
    <x v="42"/>
    <n v="54.5"/>
    <n v="37.986957829577328"/>
    <n v="14.9"/>
    <m/>
    <n v="2"/>
  </r>
  <r>
    <n v="2025"/>
    <x v="1"/>
    <s v="Genoa"/>
    <n v="2"/>
    <n v="22"/>
    <n v="3"/>
    <n v="42"/>
    <x v="42"/>
    <n v="59.2"/>
    <n v="49.012398389662984"/>
    <m/>
    <m/>
    <m/>
  </r>
  <r>
    <n v="2025"/>
    <x v="1"/>
    <s v="Genoa"/>
    <n v="3"/>
    <n v="24"/>
    <n v="6"/>
    <n v="42"/>
    <x v="42"/>
    <n v="58.7"/>
    <n v="41.554056354281869"/>
    <m/>
    <m/>
    <m/>
  </r>
  <r>
    <n v="2025"/>
    <x v="1"/>
    <s v="Genoa"/>
    <n v="1"/>
    <n v="16"/>
    <n v="1"/>
    <n v="44"/>
    <x v="17"/>
    <n v="58.3"/>
    <n v="50.964461115664626"/>
    <n v="15"/>
    <m/>
    <n v="3"/>
  </r>
  <r>
    <n v="2025"/>
    <x v="1"/>
    <s v="Genoa"/>
    <n v="2"/>
    <n v="7"/>
    <n v="3"/>
    <n v="44"/>
    <x v="17"/>
    <n v="56.8"/>
    <n v="38.788850103659414"/>
    <m/>
    <m/>
    <m/>
  </r>
  <r>
    <n v="2025"/>
    <x v="1"/>
    <s v="Genoa"/>
    <n v="3"/>
    <n v="25"/>
    <n v="5"/>
    <n v="44"/>
    <x v="17"/>
    <n v="58.4"/>
    <n v="42.587364977270525"/>
    <m/>
    <m/>
    <m/>
  </r>
  <r>
    <n v="2025"/>
    <x v="1"/>
    <s v="Genoa"/>
    <n v="1"/>
    <n v="19"/>
    <n v="1"/>
    <n v="43"/>
    <x v="22"/>
    <n v="58.3"/>
    <n v="44.314349356347336"/>
    <n v="15"/>
    <m/>
    <n v="2"/>
  </r>
  <r>
    <n v="2025"/>
    <x v="1"/>
    <s v="Genoa"/>
    <n v="2"/>
    <n v="12"/>
    <n v="4"/>
    <n v="43"/>
    <x v="22"/>
    <n v="56.4"/>
    <n v="51.658033897478411"/>
    <m/>
    <m/>
    <m/>
  </r>
  <r>
    <n v="2025"/>
    <x v="1"/>
    <s v="Genoa"/>
    <n v="3"/>
    <n v="9"/>
    <n v="5"/>
    <n v="43"/>
    <x v="22"/>
    <n v="56.2"/>
    <n v="38.902241029113064"/>
    <m/>
    <m/>
    <m/>
  </r>
  <r>
    <n v="2025"/>
    <x v="1"/>
    <s v="Genoa"/>
    <n v="1"/>
    <n v="23"/>
    <n v="2"/>
    <n v="27"/>
    <x v="39"/>
    <n v="58.8"/>
    <n v="53.485671631685847"/>
    <n v="14.1"/>
    <m/>
    <n v="2"/>
  </r>
  <r>
    <n v="2025"/>
    <x v="1"/>
    <s v="Genoa"/>
    <n v="2"/>
    <n v="1"/>
    <n v="4"/>
    <n v="27"/>
    <x v="39"/>
    <n v="55.6"/>
    <n v="38.203097107740327"/>
    <m/>
    <m/>
    <m/>
  </r>
  <r>
    <n v="2025"/>
    <x v="1"/>
    <s v="Genoa"/>
    <n v="3"/>
    <n v="12"/>
    <n v="6"/>
    <n v="27"/>
    <x v="39"/>
    <n v="57.9"/>
    <n v="51.382509015723407"/>
    <m/>
    <m/>
    <m/>
  </r>
  <r>
    <n v="2025"/>
    <x v="1"/>
    <s v="Genoa"/>
    <n v="1"/>
    <n v="13"/>
    <n v="1"/>
    <n v="31"/>
    <x v="6"/>
    <n v="56.4"/>
    <n v="44.860016392652241"/>
    <n v="14.7"/>
    <m/>
    <n v="1"/>
  </r>
  <r>
    <n v="2025"/>
    <x v="1"/>
    <s v="Genoa"/>
    <n v="2"/>
    <n v="23"/>
    <n v="3"/>
    <n v="31"/>
    <x v="6"/>
    <n v="58.6"/>
    <n v="44.320268068077723"/>
    <m/>
    <m/>
    <m/>
  </r>
  <r>
    <n v="2025"/>
    <x v="1"/>
    <s v="Genoa"/>
    <n v="3"/>
    <n v="5"/>
    <n v="5"/>
    <n v="31"/>
    <x v="6"/>
    <n v="50"/>
    <n v="27.89025050778605"/>
    <m/>
    <m/>
    <m/>
  </r>
  <r>
    <n v="2025"/>
    <x v="1"/>
    <s v="Genoa"/>
    <n v="1"/>
    <n v="5"/>
    <n v="2"/>
    <n v="23"/>
    <x v="35"/>
    <n v="50.2"/>
    <n v="29.808967985298384"/>
    <n v="17.5"/>
    <m/>
    <n v="3"/>
  </r>
  <r>
    <n v="2025"/>
    <x v="1"/>
    <s v="Genoa"/>
    <n v="2"/>
    <n v="20"/>
    <n v="3"/>
    <n v="23"/>
    <x v="35"/>
    <n v="56.2"/>
    <n v="34.622974398534296"/>
    <m/>
    <m/>
    <m/>
  </r>
  <r>
    <n v="2025"/>
    <x v="1"/>
    <s v="Genoa"/>
    <n v="3"/>
    <n v="9"/>
    <n v="6"/>
    <n v="23"/>
    <x v="35"/>
    <n v="58.5"/>
    <n v="39.406303312977819"/>
    <m/>
    <m/>
    <m/>
  </r>
  <r>
    <n v="2025"/>
    <x v="1"/>
    <s v="Genoa"/>
    <n v="1"/>
    <n v="25"/>
    <n v="1"/>
    <n v="28"/>
    <x v="37"/>
    <n v="55.2"/>
    <n v="45.142014367677554"/>
    <n v="14.3"/>
    <m/>
    <n v="2"/>
  </r>
  <r>
    <n v="2025"/>
    <x v="1"/>
    <s v="Genoa"/>
    <n v="2"/>
    <n v="4"/>
    <n v="4"/>
    <n v="28"/>
    <x v="37"/>
    <n v="52.8"/>
    <n v="30.528291469541038"/>
    <m/>
    <m/>
    <m/>
  </r>
  <r>
    <n v="2025"/>
    <x v="1"/>
    <s v="Genoa"/>
    <n v="3"/>
    <n v="21"/>
    <n v="6"/>
    <n v="28"/>
    <x v="37"/>
    <n v="55.4"/>
    <n v="49.735292205606576"/>
    <m/>
    <m/>
    <m/>
  </r>
  <r>
    <n v="2025"/>
    <x v="1"/>
    <s v="Genoa"/>
    <n v="1"/>
    <n v="22"/>
    <n v="1"/>
    <n v="46"/>
    <x v="25"/>
    <n v="58.7"/>
    <n v="54.638229352490235"/>
    <n v="14.3"/>
    <m/>
    <n v="2"/>
  </r>
  <r>
    <n v="2025"/>
    <x v="1"/>
    <s v="Genoa"/>
    <n v="2"/>
    <n v="9"/>
    <n v="3"/>
    <n v="46"/>
    <x v="25"/>
    <n v="57.2"/>
    <n v="49.231032737090779"/>
    <m/>
    <m/>
    <m/>
  </r>
  <r>
    <n v="2025"/>
    <x v="1"/>
    <s v="Genoa"/>
    <n v="3"/>
    <n v="3"/>
    <n v="5"/>
    <n v="46"/>
    <x v="25"/>
    <n v="55.8"/>
    <n v="44.913960731211908"/>
    <m/>
    <m/>
    <m/>
  </r>
  <r>
    <n v="2025"/>
    <x v="1"/>
    <s v="Genoa"/>
    <n v="1"/>
    <n v="12"/>
    <n v="2"/>
    <n v="47"/>
    <x v="50"/>
    <n v="58.1"/>
    <n v="52.83391285424122"/>
    <n v="14.4"/>
    <m/>
    <n v="4"/>
  </r>
  <r>
    <n v="2025"/>
    <x v="1"/>
    <s v="Genoa"/>
    <n v="2"/>
    <n v="8"/>
    <n v="4"/>
    <n v="47"/>
    <x v="50"/>
    <n v="59.1"/>
    <n v="45.974546407842759"/>
    <m/>
    <m/>
    <m/>
  </r>
  <r>
    <n v="2025"/>
    <x v="1"/>
    <s v="Genoa"/>
    <n v="3"/>
    <n v="16"/>
    <n v="6"/>
    <n v="47"/>
    <x v="50"/>
    <n v="59.1"/>
    <n v="46.030501514641514"/>
    <m/>
    <m/>
    <m/>
  </r>
  <r>
    <n v="2025"/>
    <x v="1"/>
    <s v="Genoa"/>
    <n v="1"/>
    <n v="24"/>
    <n v="1"/>
    <n v="45"/>
    <x v="21"/>
    <n v="56.3"/>
    <n v="47.093423171496063"/>
    <n v="15.6"/>
    <m/>
    <n v="4"/>
  </r>
  <r>
    <n v="2025"/>
    <x v="1"/>
    <s v="Genoa"/>
    <n v="2"/>
    <n v="25"/>
    <n v="4"/>
    <n v="45"/>
    <x v="21"/>
    <n v="56"/>
    <n v="51.974637857874463"/>
    <m/>
    <m/>
    <m/>
  </r>
  <r>
    <n v="2025"/>
    <x v="1"/>
    <s v="Genoa"/>
    <n v="3"/>
    <n v="19"/>
    <n v="6"/>
    <n v="45"/>
    <x v="21"/>
    <n v="54.1"/>
    <n v="44.351495407991536"/>
    <m/>
    <m/>
    <m/>
  </r>
  <r>
    <n v="2025"/>
    <x v="1"/>
    <s v="Genoa"/>
    <n v="1"/>
    <n v="7"/>
    <n v="2"/>
    <n v="24"/>
    <x v="29"/>
    <n v="53.9"/>
    <n v="44.41872134635846"/>
    <n v="14.2"/>
    <m/>
    <n v="3"/>
  </r>
  <r>
    <n v="2025"/>
    <x v="1"/>
    <s v="Genoa"/>
    <n v="2"/>
    <n v="19"/>
    <n v="4"/>
    <n v="24"/>
    <x v="29"/>
    <n v="55.5"/>
    <n v="38.332599131834371"/>
    <m/>
    <m/>
    <m/>
  </r>
  <r>
    <n v="2025"/>
    <x v="1"/>
    <s v="Genoa"/>
    <n v="3"/>
    <n v="24"/>
    <n v="5"/>
    <n v="24"/>
    <x v="29"/>
    <n v="57.8"/>
    <n v="40.975409614082601"/>
    <m/>
    <m/>
    <m/>
  </r>
  <r>
    <n v="2025"/>
    <x v="1"/>
    <s v="Genoa"/>
    <n v="1"/>
    <n v="22"/>
    <n v="2"/>
    <n v="33"/>
    <x v="3"/>
    <n v="57.9"/>
    <n v="49.758889931327978"/>
    <n v="13.9"/>
    <m/>
    <n v="3"/>
  </r>
  <r>
    <n v="2025"/>
    <x v="1"/>
    <s v="Genoa"/>
    <n v="2"/>
    <n v="17"/>
    <n v="3"/>
    <n v="33"/>
    <x v="3"/>
    <n v="56.6"/>
    <n v="46.026336724362366"/>
    <m/>
    <m/>
    <m/>
  </r>
  <r>
    <n v="2025"/>
    <x v="1"/>
    <s v="Genoa"/>
    <n v="3"/>
    <n v="10"/>
    <n v="6"/>
    <n v="33"/>
    <x v="3"/>
    <n v="55.2"/>
    <n v="39.920606337452504"/>
    <m/>
    <m/>
    <m/>
  </r>
  <r>
    <n v="2025"/>
    <x v="1"/>
    <s v="Genoa"/>
    <n v="1"/>
    <n v="14"/>
    <n v="1"/>
    <n v="60"/>
    <x v="52"/>
    <n v="51.2"/>
    <n v="31.547115375343523"/>
    <n v="18.3"/>
    <m/>
    <n v="1"/>
  </r>
  <r>
    <n v="2025"/>
    <x v="1"/>
    <s v="Genoa"/>
    <n v="2"/>
    <n v="22"/>
    <n v="4"/>
    <n v="60"/>
    <x v="52"/>
    <n v="53.2"/>
    <n v="42.744069648344144"/>
    <m/>
    <m/>
    <m/>
  </r>
  <r>
    <n v="2025"/>
    <x v="1"/>
    <s v="Genoa"/>
    <n v="3"/>
    <n v="20"/>
    <n v="6"/>
    <n v="60"/>
    <x v="52"/>
    <n v="51.3"/>
    <n v="31.159460979949024"/>
    <m/>
    <m/>
    <m/>
  </r>
  <r>
    <n v="2025"/>
    <x v="1"/>
    <s v="Genoa"/>
    <n v="1"/>
    <n v="17"/>
    <n v="2"/>
    <n v="58"/>
    <x v="51"/>
    <n v="59"/>
    <n v="52.537496953283679"/>
    <n v="14.6"/>
    <m/>
    <n v="3"/>
  </r>
  <r>
    <n v="2025"/>
    <x v="1"/>
    <s v="Genoa"/>
    <n v="2"/>
    <n v="16"/>
    <n v="4"/>
    <n v="58"/>
    <x v="51"/>
    <n v="56.4"/>
    <n v="47.470169243525334"/>
    <m/>
    <m/>
    <m/>
  </r>
  <r>
    <n v="2025"/>
    <x v="1"/>
    <s v="Genoa"/>
    <n v="3"/>
    <n v="4"/>
    <n v="5"/>
    <n v="58"/>
    <x v="51"/>
    <n v="53.5"/>
    <n v="35.548650739916816"/>
    <m/>
    <m/>
    <m/>
  </r>
  <r>
    <n v="2025"/>
    <x v="1"/>
    <s v="Genoa"/>
    <n v="1"/>
    <n v="21"/>
    <n v="2"/>
    <n v="25"/>
    <x v="34"/>
    <n v="58"/>
    <n v="50.678156494825416"/>
    <n v="13.4"/>
    <m/>
    <n v="2"/>
  </r>
  <r>
    <n v="2025"/>
    <x v="1"/>
    <s v="Genoa"/>
    <n v="2"/>
    <n v="23"/>
    <n v="4"/>
    <n v="25"/>
    <x v="34"/>
    <n v="56.9"/>
    <n v="53.48433595083646"/>
    <m/>
    <m/>
    <m/>
  </r>
  <r>
    <n v="2025"/>
    <x v="1"/>
    <s v="Genoa"/>
    <n v="3"/>
    <n v="14"/>
    <n v="5"/>
    <n v="25"/>
    <x v="34"/>
    <n v="55.4"/>
    <n v="47.656736628300607"/>
    <m/>
    <m/>
    <m/>
  </r>
  <r>
    <n v="2025"/>
    <x v="1"/>
    <s v="Genoa"/>
    <n v="1"/>
    <n v="12"/>
    <n v="1"/>
    <n v="34"/>
    <x v="0"/>
    <n v="57.2"/>
    <n v="47.89574273178728"/>
    <n v="15"/>
    <m/>
    <n v="4"/>
  </r>
  <r>
    <n v="2025"/>
    <x v="1"/>
    <s v="Genoa"/>
    <n v="2"/>
    <n v="1"/>
    <n v="3"/>
    <n v="34"/>
    <x v="0"/>
    <n v="55.2"/>
    <n v="33.866820789740125"/>
    <m/>
    <m/>
    <m/>
  </r>
  <r>
    <n v="2025"/>
    <x v="1"/>
    <s v="Genoa"/>
    <n v="3"/>
    <n v="2"/>
    <n v="5"/>
    <n v="34"/>
    <x v="0"/>
    <n v="58.6"/>
    <n v="34.859222361930549"/>
    <m/>
    <m/>
    <m/>
  </r>
  <r>
    <n v="2025"/>
    <x v="1"/>
    <s v="Genoa"/>
    <n v="1"/>
    <n v="14"/>
    <n v="2"/>
    <n v="35"/>
    <x v="30"/>
    <n v="51.6"/>
    <n v="47.520430892736236"/>
    <n v="15"/>
    <m/>
    <n v="5"/>
  </r>
  <r>
    <n v="2025"/>
    <x v="1"/>
    <s v="Genoa"/>
    <n v="2"/>
    <n v="15"/>
    <n v="3"/>
    <n v="35"/>
    <x v="30"/>
    <n v="55.9"/>
    <n v="50.929149317776371"/>
    <m/>
    <m/>
    <m/>
  </r>
  <r>
    <n v="2025"/>
    <x v="1"/>
    <s v="Genoa"/>
    <n v="3"/>
    <n v="18"/>
    <n v="6"/>
    <n v="35"/>
    <x v="30"/>
    <n v="57.9"/>
    <n v="46.902403183151414"/>
    <m/>
    <m/>
    <m/>
  </r>
  <r>
    <n v="2025"/>
    <x v="1"/>
    <s v="Genoa"/>
    <n v="1"/>
    <n v="3"/>
    <n v="2"/>
    <n v="57"/>
    <x v="45"/>
    <n v="51"/>
    <n v="43.343395009188498"/>
    <n v="15.3"/>
    <m/>
    <n v="3"/>
  </r>
  <r>
    <n v="2025"/>
    <x v="1"/>
    <s v="Genoa"/>
    <n v="2"/>
    <n v="21"/>
    <n v="4"/>
    <n v="57"/>
    <x v="45"/>
    <n v="55.9"/>
    <n v="45.600163878456797"/>
    <m/>
    <m/>
    <m/>
  </r>
  <r>
    <n v="2025"/>
    <x v="1"/>
    <s v="Genoa"/>
    <n v="3"/>
    <n v="26"/>
    <n v="5"/>
    <n v="57"/>
    <x v="45"/>
    <n v="55.9"/>
    <n v="48.723512138504681"/>
    <m/>
    <m/>
    <m/>
  </r>
  <r>
    <n v="2025"/>
    <x v="1"/>
    <s v="Genoa"/>
    <n v="1"/>
    <n v="26"/>
    <n v="2"/>
    <n v="49"/>
    <x v="47"/>
    <n v="60.9"/>
    <n v="57.184330399458368"/>
    <n v="15.2"/>
    <m/>
    <n v="1"/>
  </r>
  <r>
    <n v="2025"/>
    <x v="1"/>
    <s v="Genoa"/>
    <n v="2"/>
    <n v="13"/>
    <n v="3"/>
    <n v="49"/>
    <x v="47"/>
    <n v="57.3"/>
    <n v="47.567683814666601"/>
    <m/>
    <m/>
    <m/>
  </r>
  <r>
    <n v="2025"/>
    <x v="1"/>
    <s v="Genoa"/>
    <n v="3"/>
    <n v="12"/>
    <n v="5"/>
    <n v="49"/>
    <x v="47"/>
    <n v="57"/>
    <n v="46.654192861978906"/>
    <m/>
    <m/>
    <m/>
  </r>
  <r>
    <n v="2025"/>
    <x v="1"/>
    <s v="Genoa"/>
    <n v="1"/>
    <n v="2"/>
    <n v="1"/>
    <n v="48"/>
    <x v="48"/>
    <n v="52.2"/>
    <n v="37.506112530736225"/>
    <n v="17"/>
    <m/>
    <n v="0"/>
  </r>
  <r>
    <n v="2025"/>
    <x v="1"/>
    <s v="Genoa"/>
    <n v="2"/>
    <n v="18"/>
    <n v="3"/>
    <n v="48"/>
    <x v="48"/>
    <n v="49.3"/>
    <n v="36.63109782556289"/>
    <m/>
    <m/>
    <m/>
  </r>
  <r>
    <n v="2025"/>
    <x v="1"/>
    <s v="Genoa"/>
    <n v="3"/>
    <n v="11"/>
    <n v="6"/>
    <n v="48"/>
    <x v="48"/>
    <n v="53.6"/>
    <n v="40.141817569841798"/>
    <m/>
    <m/>
    <m/>
  </r>
  <r>
    <n v="2025"/>
    <x v="1"/>
    <s v="Genoa"/>
    <n v="1"/>
    <n v="10"/>
    <n v="2"/>
    <n v="26"/>
    <x v="11"/>
    <n v="58.7"/>
    <n v="58.362324112583416"/>
    <n v="13.7"/>
    <m/>
    <n v="2"/>
  </r>
  <r>
    <n v="2025"/>
    <x v="1"/>
    <s v="Genoa"/>
    <n v="2"/>
    <n v="5"/>
    <n v="4"/>
    <n v="26"/>
    <x v="11"/>
    <s v="."/>
    <s v="."/>
    <m/>
    <m/>
    <m/>
  </r>
  <r>
    <n v="2025"/>
    <x v="1"/>
    <s v="Genoa"/>
    <n v="3"/>
    <n v="17"/>
    <n v="5"/>
    <n v="26"/>
    <x v="11"/>
    <n v="56.4"/>
    <n v="49.210009188509517"/>
    <m/>
    <m/>
    <m/>
  </r>
  <r>
    <n v="2025"/>
    <x v="1"/>
    <s v="Genoa"/>
    <n v="1"/>
    <n v="1"/>
    <n v="2"/>
    <n v="36"/>
    <x v="36"/>
    <n v="59"/>
    <n v="53.397951445981235"/>
    <n v="15.7"/>
    <m/>
    <n v="1"/>
  </r>
  <r>
    <n v="2025"/>
    <x v="1"/>
    <s v="Genoa"/>
    <n v="2"/>
    <n v="8"/>
    <n v="3"/>
    <n v="36"/>
    <x v="36"/>
    <n v="58"/>
    <n v="49.678134130466226"/>
    <m/>
    <m/>
    <m/>
  </r>
  <r>
    <n v="2025"/>
    <x v="1"/>
    <s v="Genoa"/>
    <n v="3"/>
    <n v="26"/>
    <n v="6"/>
    <n v="36"/>
    <x v="36"/>
    <n v="58.4"/>
    <n v="51.074674568447357"/>
    <m/>
    <m/>
    <m/>
  </r>
  <r>
    <n v="2025"/>
    <x v="1"/>
    <s v="Julesburg"/>
    <n v="1"/>
    <n v="1"/>
    <n v="1"/>
    <n v="34"/>
    <x v="0"/>
    <n v="56.2"/>
    <n v="53.905276691729306"/>
    <n v="14.8"/>
    <m/>
    <m/>
  </r>
  <r>
    <n v="2025"/>
    <x v="1"/>
    <s v="Julesburg"/>
    <n v="1"/>
    <n v="2"/>
    <n v="1"/>
    <n v="23"/>
    <x v="35"/>
    <n v="53.6"/>
    <n v="44.768842105263154"/>
    <n v="15.5"/>
    <m/>
    <m/>
  </r>
  <r>
    <n v="2025"/>
    <x v="1"/>
    <s v="Julesburg"/>
    <n v="1"/>
    <n v="3"/>
    <n v="1"/>
    <n v="18"/>
    <x v="8"/>
    <n v="57.2"/>
    <n v="57.949190977443607"/>
    <n v="13.4"/>
    <m/>
    <m/>
  </r>
  <r>
    <n v="2025"/>
    <x v="1"/>
    <s v="Julesburg"/>
    <n v="1"/>
    <n v="4"/>
    <n v="1"/>
    <n v="46"/>
    <x v="25"/>
    <n v="58.2"/>
    <n v="72.608336842105231"/>
    <n v="14.1"/>
    <m/>
    <m/>
  </r>
  <r>
    <n v="2025"/>
    <x v="1"/>
    <s v="Julesburg"/>
    <n v="1"/>
    <n v="5"/>
    <n v="1"/>
    <n v="43"/>
    <x v="22"/>
    <n v="58.5"/>
    <n v="54.405953684210516"/>
    <n v="14"/>
    <m/>
    <m/>
  </r>
  <r>
    <n v="2025"/>
    <x v="1"/>
    <s v="Julesburg"/>
    <n v="1"/>
    <n v="6"/>
    <n v="1"/>
    <n v="37"/>
    <x v="31"/>
    <n v="58.6"/>
    <n v="60.811526616541336"/>
    <n v="13.2"/>
    <m/>
    <m/>
  </r>
  <r>
    <n v="2025"/>
    <x v="1"/>
    <s v="Julesburg"/>
    <n v="1"/>
    <n v="7"/>
    <n v="1"/>
    <n v="28"/>
    <x v="37"/>
    <n v="56.6"/>
    <n v="53.842105263157876"/>
    <n v="12.3"/>
    <m/>
    <m/>
  </r>
  <r>
    <n v="2025"/>
    <x v="1"/>
    <s v="Julesburg"/>
    <n v="1"/>
    <n v="8"/>
    <n v="1"/>
    <n v="35"/>
    <x v="30"/>
    <n v="55.8"/>
    <n v="53.23669172932329"/>
    <n v="14"/>
    <m/>
    <m/>
  </r>
  <r>
    <n v="2025"/>
    <x v="1"/>
    <s v="Julesburg"/>
    <n v="1"/>
    <n v="9"/>
    <n v="1"/>
    <n v="49"/>
    <x v="47"/>
    <n v="55.2"/>
    <n v="50.831314285714285"/>
    <n v="15.2"/>
    <m/>
    <m/>
  </r>
  <r>
    <n v="2025"/>
    <x v="1"/>
    <s v="Julesburg"/>
    <n v="1"/>
    <n v="10"/>
    <n v="1"/>
    <n v="7"/>
    <x v="44"/>
    <n v="56.4"/>
    <n v="42.335675187969919"/>
    <n v="14.6"/>
    <m/>
    <m/>
  </r>
  <r>
    <n v="2025"/>
    <x v="1"/>
    <s v="Julesburg"/>
    <n v="1"/>
    <n v="11"/>
    <n v="1"/>
    <n v="20"/>
    <x v="18"/>
    <n v="58.2"/>
    <n v="61.188153383458641"/>
    <n v="13.1"/>
    <m/>
    <m/>
  </r>
  <r>
    <n v="2025"/>
    <x v="1"/>
    <s v="Julesburg"/>
    <n v="1"/>
    <n v="12"/>
    <n v="1"/>
    <n v="21"/>
    <x v="26"/>
    <n v="57.6"/>
    <n v="57.165428571428563"/>
    <n v="13.5"/>
    <m/>
    <m/>
  </r>
  <r>
    <n v="2025"/>
    <x v="1"/>
    <s v="Julesburg"/>
    <n v="1"/>
    <n v="13"/>
    <n v="1"/>
    <n v="40"/>
    <x v="13"/>
    <n v="59.2"/>
    <n v="60.799199999999985"/>
    <n v="14"/>
    <m/>
    <m/>
  </r>
  <r>
    <n v="2025"/>
    <x v="1"/>
    <s v="Julesburg"/>
    <n v="1"/>
    <n v="13"/>
    <n v="2"/>
    <n v="9"/>
    <x v="1"/>
    <n v="54.6"/>
    <n v="57.360368337425967"/>
    <n v="14.5"/>
    <m/>
    <m/>
  </r>
  <r>
    <n v="2025"/>
    <x v="1"/>
    <s v="Julesburg"/>
    <n v="1"/>
    <n v="12"/>
    <n v="2"/>
    <n v="32"/>
    <x v="24"/>
    <n v="57.6"/>
    <n v="55.242657807308966"/>
    <n v="13.6"/>
    <m/>
    <m/>
  </r>
  <r>
    <n v="2025"/>
    <x v="1"/>
    <s v="Julesburg"/>
    <n v="1"/>
    <n v="11"/>
    <n v="2"/>
    <n v="17"/>
    <x v="32"/>
    <n v="56.7"/>
    <n v="60.487069478549756"/>
    <n v="13.7"/>
    <m/>
    <m/>
  </r>
  <r>
    <n v="2025"/>
    <x v="1"/>
    <s v="Julesburg"/>
    <n v="1"/>
    <n v="10"/>
    <n v="2"/>
    <n v="36"/>
    <x v="36"/>
    <n v="59.6"/>
    <n v="58.27320468005199"/>
    <n v="14"/>
    <m/>
    <m/>
  </r>
  <r>
    <n v="2025"/>
    <x v="1"/>
    <s v="Julesburg"/>
    <n v="1"/>
    <n v="9"/>
    <n v="2"/>
    <n v="13"/>
    <x v="38"/>
    <n v="58.1"/>
    <n v="57.670219413549027"/>
    <n v="13.2"/>
    <m/>
    <m/>
  </r>
  <r>
    <n v="2025"/>
    <x v="1"/>
    <s v="Julesburg"/>
    <n v="1"/>
    <n v="8"/>
    <n v="2"/>
    <n v="2"/>
    <x v="23"/>
    <n v="56.2"/>
    <n v="71.660956232847028"/>
    <n v="12.8"/>
    <m/>
    <m/>
  </r>
  <r>
    <n v="2025"/>
    <x v="1"/>
    <s v="Julesburg"/>
    <n v="1"/>
    <n v="7"/>
    <n v="2"/>
    <n v="11"/>
    <x v="2"/>
    <n v="58.2"/>
    <n v="63.282493138812647"/>
    <n v="13.3"/>
    <m/>
    <m/>
  </r>
  <r>
    <n v="2025"/>
    <x v="1"/>
    <s v="Julesburg"/>
    <n v="1"/>
    <n v="6"/>
    <n v="2"/>
    <n v="41"/>
    <x v="20"/>
    <n v="58.3"/>
    <n v="59.090830564784042"/>
    <n v="14.3"/>
    <m/>
    <m/>
  </r>
  <r>
    <n v="2025"/>
    <x v="1"/>
    <s v="Julesburg"/>
    <n v="1"/>
    <n v="5"/>
    <n v="2"/>
    <n v="12"/>
    <x v="41"/>
    <n v="59.6"/>
    <n v="61.797564639607103"/>
    <n v="14.3"/>
    <m/>
    <m/>
  </r>
  <r>
    <n v="2025"/>
    <x v="1"/>
    <s v="Julesburg"/>
    <n v="1"/>
    <n v="4"/>
    <n v="2"/>
    <n v="1"/>
    <x v="12"/>
    <n v="58.7"/>
    <n v="66.133944821609134"/>
    <n v="14"/>
    <m/>
    <m/>
  </r>
  <r>
    <n v="2025"/>
    <x v="1"/>
    <s v="Julesburg"/>
    <n v="1"/>
    <n v="3"/>
    <n v="2"/>
    <n v="4"/>
    <x v="4"/>
    <n v="56.8"/>
    <n v="62.849198324425821"/>
    <n v="13.2"/>
    <m/>
    <m/>
  </r>
  <r>
    <n v="2025"/>
    <x v="1"/>
    <s v="Julesburg"/>
    <n v="1"/>
    <n v="2"/>
    <n v="2"/>
    <n v="48"/>
    <x v="48"/>
    <n v="53.5"/>
    <n v="48.690182002022233"/>
    <n v="15.6"/>
    <m/>
    <m/>
  </r>
  <r>
    <n v="2025"/>
    <x v="1"/>
    <s v="Julesburg"/>
    <n v="1"/>
    <n v="1"/>
    <n v="2"/>
    <n v="6"/>
    <x v="10"/>
    <n v="57.3"/>
    <n v="53.325292503250026"/>
    <n v="15.8"/>
    <m/>
    <m/>
  </r>
  <r>
    <n v="2025"/>
    <x v="1"/>
    <s v="Julesburg"/>
    <n v="1"/>
    <n v="1"/>
    <n v="3"/>
    <n v="16"/>
    <x v="40"/>
    <n v="57.4"/>
    <n v="64.883083939482106"/>
    <n v="13.6"/>
    <m/>
    <m/>
  </r>
  <r>
    <n v="2025"/>
    <x v="1"/>
    <s v="Julesburg"/>
    <n v="1"/>
    <n v="2"/>
    <n v="3"/>
    <n v="8"/>
    <x v="9"/>
    <n v="58.1"/>
    <n v="63.889421006691883"/>
    <n v="13.4"/>
    <m/>
    <m/>
  </r>
  <r>
    <n v="2025"/>
    <x v="1"/>
    <s v="Julesburg"/>
    <n v="1"/>
    <n v="3"/>
    <n v="3"/>
    <n v="33"/>
    <x v="3"/>
    <n v="58"/>
    <n v="62.900069100960131"/>
    <n v="13"/>
    <m/>
    <m/>
  </r>
  <r>
    <n v="2025"/>
    <x v="1"/>
    <s v="Julesburg"/>
    <n v="1"/>
    <n v="4"/>
    <n v="3"/>
    <n v="5"/>
    <x v="28"/>
    <n v="55.5"/>
    <n v="61.098487052662207"/>
    <n v="13.3"/>
    <m/>
    <m/>
  </r>
  <r>
    <n v="2025"/>
    <x v="1"/>
    <s v="Julesburg"/>
    <n v="1"/>
    <n v="5"/>
    <n v="3"/>
    <n v="42"/>
    <x v="42"/>
    <n v="58"/>
    <n v="62.585743380855391"/>
    <n v="13.5"/>
    <m/>
    <m/>
  </r>
  <r>
    <n v="2025"/>
    <x v="1"/>
    <s v="Julesburg"/>
    <n v="1"/>
    <n v="6"/>
    <n v="3"/>
    <n v="3"/>
    <x v="16"/>
    <n v="60.1"/>
    <n v="68.674661041606043"/>
    <n v="13.3"/>
    <m/>
    <m/>
  </r>
  <r>
    <n v="2025"/>
    <x v="1"/>
    <s v="Julesburg"/>
    <n v="1"/>
    <n v="7"/>
    <n v="3"/>
    <n v="15"/>
    <x v="7"/>
    <n v="56.3"/>
    <n v="60.970841286005232"/>
    <n v="13.4"/>
    <m/>
    <m/>
  </r>
  <r>
    <n v="2025"/>
    <x v="1"/>
    <s v="Julesburg"/>
    <n v="1"/>
    <n v="8"/>
    <n v="3"/>
    <n v="47"/>
    <x v="50"/>
    <n v="55.3"/>
    <n v="59.548341576956638"/>
    <n v="14.9"/>
    <m/>
    <m/>
  </r>
  <r>
    <n v="2025"/>
    <x v="1"/>
    <s v="Julesburg"/>
    <n v="1"/>
    <n v="9"/>
    <n v="3"/>
    <n v="30"/>
    <x v="14"/>
    <n v="57.7"/>
    <n v="55.526182135583355"/>
    <n v="13.7"/>
    <m/>
    <m/>
  </r>
  <r>
    <n v="2025"/>
    <x v="1"/>
    <s v="Julesburg"/>
    <n v="1"/>
    <n v="10"/>
    <n v="3"/>
    <n v="57"/>
    <x v="45"/>
    <n v="52.4"/>
    <n v="56.255878673261549"/>
    <n v="14.3"/>
    <m/>
    <m/>
  </r>
  <r>
    <n v="2025"/>
    <x v="1"/>
    <s v="Julesburg"/>
    <n v="1"/>
    <n v="11"/>
    <n v="3"/>
    <n v="22"/>
    <x v="33"/>
    <n v="58"/>
    <n v="71.476828629618836"/>
    <n v="13.5"/>
    <m/>
    <m/>
  </r>
  <r>
    <n v="2025"/>
    <x v="1"/>
    <s v="Julesburg"/>
    <n v="1"/>
    <n v="12"/>
    <n v="3"/>
    <n v="31"/>
    <x v="6"/>
    <n v="54.8"/>
    <n v="44.50852196683153"/>
    <n v="13.5"/>
    <m/>
    <m/>
  </r>
  <r>
    <n v="2025"/>
    <x v="1"/>
    <s v="Julesburg"/>
    <n v="1"/>
    <n v="13"/>
    <n v="3"/>
    <n v="26"/>
    <x v="11"/>
    <n v="56.4"/>
    <n v="71.642740762292703"/>
    <n v="13.2"/>
    <m/>
    <m/>
  </r>
  <r>
    <n v="2025"/>
    <x v="1"/>
    <s v="Julesburg"/>
    <n v="1"/>
    <n v="13"/>
    <n v="4"/>
    <n v="29"/>
    <x v="27"/>
    <n v="58.5"/>
    <n v="69.681861909576767"/>
    <n v="12.8"/>
    <m/>
    <m/>
  </r>
  <r>
    <n v="2025"/>
    <x v="1"/>
    <s v="Julesburg"/>
    <n v="1"/>
    <n v="12"/>
    <n v="4"/>
    <n v="39"/>
    <x v="46"/>
    <n v="58.1"/>
    <n v="68.895119601328901"/>
    <n v="13.3"/>
    <m/>
    <m/>
  </r>
  <r>
    <n v="2025"/>
    <x v="1"/>
    <s v="Julesburg"/>
    <n v="1"/>
    <n v="11"/>
    <n v="4"/>
    <n v="24"/>
    <x v="29"/>
    <n v="59"/>
    <n v="74.132023689152092"/>
    <n v="13.1"/>
    <m/>
    <m/>
  </r>
  <r>
    <n v="2025"/>
    <x v="1"/>
    <s v="Julesburg"/>
    <n v="1"/>
    <n v="10"/>
    <n v="4"/>
    <n v="38"/>
    <x v="43"/>
    <n v="58.4"/>
    <n v="62.87259338437093"/>
    <n v="13.8"/>
    <m/>
    <m/>
  </r>
  <r>
    <n v="2025"/>
    <x v="1"/>
    <s v="Julesburg"/>
    <n v="1"/>
    <n v="9"/>
    <n v="4"/>
    <n v="19"/>
    <x v="49"/>
    <n v="56.6"/>
    <n v="64.887571573017468"/>
    <n v="13.7"/>
    <m/>
    <m/>
  </r>
  <r>
    <n v="2025"/>
    <x v="1"/>
    <s v="Julesburg"/>
    <n v="1"/>
    <n v="8"/>
    <n v="4"/>
    <n v="25"/>
    <x v="34"/>
    <n v="58"/>
    <n v="69.112667918532424"/>
    <n v="13.3"/>
    <m/>
    <m/>
  </r>
  <r>
    <n v="2025"/>
    <x v="1"/>
    <s v="Julesburg"/>
    <n v="1"/>
    <n v="7"/>
    <n v="4"/>
    <n v="14"/>
    <x v="5"/>
    <n v="59.2"/>
    <n v="59.556348403871155"/>
    <n v="13.9"/>
    <m/>
    <m/>
  </r>
  <r>
    <n v="2025"/>
    <x v="1"/>
    <s v="Julesburg"/>
    <n v="1"/>
    <n v="6"/>
    <n v="4"/>
    <n v="10"/>
    <x v="15"/>
    <n v="53.5"/>
    <n v="55.913144590495449"/>
    <n v="15.2"/>
    <m/>
    <m/>
  </r>
  <r>
    <n v="2025"/>
    <x v="1"/>
    <s v="Julesburg"/>
    <n v="1"/>
    <n v="5"/>
    <n v="4"/>
    <n v="27"/>
    <x v="39"/>
    <n v="58.8"/>
    <n v="67.605788675429707"/>
    <n v="13.3"/>
    <m/>
    <m/>
  </r>
  <r>
    <n v="2025"/>
    <x v="1"/>
    <s v="Julesburg"/>
    <n v="1"/>
    <n v="4"/>
    <n v="4"/>
    <n v="58"/>
    <x v="51"/>
    <n v="57.3"/>
    <n v="58.621585150946125"/>
    <n v="14.7"/>
    <m/>
    <m/>
  </r>
  <r>
    <n v="2025"/>
    <x v="1"/>
    <s v="Julesburg"/>
    <n v="1"/>
    <n v="3"/>
    <n v="4"/>
    <n v="60"/>
    <x v="52"/>
    <n v="54.8"/>
    <n v="50.9950339448216"/>
    <n v="15.4"/>
    <m/>
    <m/>
  </r>
  <r>
    <n v="2025"/>
    <x v="1"/>
    <s v="Julesburg"/>
    <n v="1"/>
    <n v="2"/>
    <n v="4"/>
    <n v="45"/>
    <x v="21"/>
    <n v="55.3"/>
    <n v="47.238668207424524"/>
    <n v="14.2"/>
    <m/>
    <m/>
  </r>
  <r>
    <n v="2025"/>
    <x v="1"/>
    <s v="Julesburg"/>
    <n v="1"/>
    <n v="1"/>
    <n v="4"/>
    <n v="44"/>
    <x v="17"/>
    <n v="57.4"/>
    <n v="45.716101382488482"/>
    <n v="14.5"/>
    <m/>
    <m/>
  </r>
  <r>
    <n v="2025"/>
    <x v="1"/>
    <s v="Julesburg"/>
    <n v="2"/>
    <n v="1"/>
    <n v="5"/>
    <n v="35"/>
    <x v="30"/>
    <n v="56.2"/>
    <n v="49.21618479262672"/>
    <m/>
    <m/>
    <m/>
  </r>
  <r>
    <n v="2025"/>
    <x v="1"/>
    <s v="Julesburg"/>
    <n v="2"/>
    <n v="2"/>
    <n v="5"/>
    <n v="19"/>
    <x v="49"/>
    <n v="55.8"/>
    <n v="43.526695852534559"/>
    <m/>
    <m/>
    <m/>
  </r>
  <r>
    <n v="2025"/>
    <x v="1"/>
    <s v="Julesburg"/>
    <n v="2"/>
    <n v="3"/>
    <n v="5"/>
    <n v="45"/>
    <x v="21"/>
    <n v="59.4"/>
    <n v="60.445111520737321"/>
    <m/>
    <m/>
    <m/>
  </r>
  <r>
    <n v="2025"/>
    <x v="1"/>
    <s v="Julesburg"/>
    <n v="2"/>
    <n v="4"/>
    <n v="5"/>
    <n v="20"/>
    <x v="18"/>
    <n v="59"/>
    <n v="55.288790046082951"/>
    <m/>
    <m/>
    <m/>
  </r>
  <r>
    <n v="2025"/>
    <x v="1"/>
    <s v="Julesburg"/>
    <n v="2"/>
    <n v="5"/>
    <n v="5"/>
    <n v="29"/>
    <x v="27"/>
    <n v="59.4"/>
    <n v="59.808025990783413"/>
    <m/>
    <m/>
    <m/>
  </r>
  <r>
    <n v="2025"/>
    <x v="1"/>
    <s v="Julesburg"/>
    <n v="2"/>
    <n v="6"/>
    <n v="5"/>
    <n v="8"/>
    <x v="9"/>
    <n v="58.6"/>
    <n v="63.907853225806448"/>
    <m/>
    <m/>
    <m/>
  </r>
  <r>
    <n v="2025"/>
    <x v="1"/>
    <s v="Julesburg"/>
    <n v="2"/>
    <n v="7"/>
    <n v="5"/>
    <n v="37"/>
    <x v="31"/>
    <n v="58"/>
    <n v="48.603251612903222"/>
    <m/>
    <m/>
    <m/>
  </r>
  <r>
    <n v="2025"/>
    <x v="1"/>
    <s v="Julesburg"/>
    <n v="2"/>
    <n v="8"/>
    <n v="5"/>
    <n v="39"/>
    <x v="46"/>
    <n v="58"/>
    <n v="58.170780414746545"/>
    <m/>
    <m/>
    <m/>
  </r>
  <r>
    <n v="2025"/>
    <x v="1"/>
    <s v="Julesburg"/>
    <n v="2"/>
    <n v="9"/>
    <n v="5"/>
    <n v="22"/>
    <x v="33"/>
    <n v="57"/>
    <n v="57.048179723502308"/>
    <m/>
    <m/>
    <m/>
  </r>
  <r>
    <n v="2025"/>
    <x v="1"/>
    <s v="Julesburg"/>
    <n v="2"/>
    <n v="10"/>
    <n v="5"/>
    <n v="13"/>
    <x v="38"/>
    <n v="57.3"/>
    <n v="55.153639078341016"/>
    <m/>
    <m/>
    <m/>
  </r>
  <r>
    <n v="2025"/>
    <x v="1"/>
    <s v="Julesburg"/>
    <n v="2"/>
    <n v="11"/>
    <n v="5"/>
    <n v="58"/>
    <x v="51"/>
    <n v="58.8"/>
    <n v="50.967252995391696"/>
    <m/>
    <m/>
    <m/>
  </r>
  <r>
    <n v="2025"/>
    <x v="1"/>
    <s v="Julesburg"/>
    <n v="2"/>
    <n v="12"/>
    <n v="5"/>
    <n v="17"/>
    <x v="32"/>
    <n v="55.9"/>
    <n v="47.978297004608294"/>
    <m/>
    <m/>
    <m/>
  </r>
  <r>
    <n v="2025"/>
    <x v="1"/>
    <s v="Julesburg"/>
    <n v="2"/>
    <n v="13"/>
    <n v="5"/>
    <n v="12"/>
    <x v="41"/>
    <n v="59.7"/>
    <n v="56.333700829493075"/>
    <m/>
    <m/>
    <m/>
  </r>
  <r>
    <n v="2025"/>
    <x v="1"/>
    <s v="Julesburg"/>
    <n v="2"/>
    <n v="13"/>
    <n v="6"/>
    <n v="6"/>
    <x v="10"/>
    <n v="58.6"/>
    <n v="48.025135951661618"/>
    <m/>
    <m/>
    <m/>
  </r>
  <r>
    <n v="2025"/>
    <x v="1"/>
    <s v="Julesburg"/>
    <n v="2"/>
    <n v="12"/>
    <n v="6"/>
    <n v="14"/>
    <x v="5"/>
    <n v="57.4"/>
    <n v="50.191903323262835"/>
    <m/>
    <m/>
    <m/>
  </r>
  <r>
    <n v="2025"/>
    <x v="1"/>
    <s v="Julesburg"/>
    <n v="2"/>
    <n v="11"/>
    <n v="6"/>
    <n v="1"/>
    <x v="12"/>
    <n v="59.1"/>
    <n v="68.463534743202416"/>
    <m/>
    <m/>
    <m/>
  </r>
  <r>
    <n v="2025"/>
    <x v="1"/>
    <s v="Julesburg"/>
    <n v="2"/>
    <n v="10"/>
    <n v="6"/>
    <n v="42"/>
    <x v="42"/>
    <n v="57.8"/>
    <n v="53.842792403970641"/>
    <m/>
    <m/>
    <m/>
  </r>
  <r>
    <n v="2025"/>
    <x v="1"/>
    <s v="Julesburg"/>
    <n v="2"/>
    <n v="9"/>
    <n v="6"/>
    <n v="7"/>
    <x v="44"/>
    <n v="58"/>
    <n v="51.121965904186439"/>
    <m/>
    <m/>
    <m/>
  </r>
  <r>
    <n v="2025"/>
    <x v="1"/>
    <s v="Julesburg"/>
    <n v="2"/>
    <n v="8"/>
    <n v="6"/>
    <n v="23"/>
    <x v="35"/>
    <n v="56.4"/>
    <n v="53.002054380664653"/>
    <m/>
    <m/>
    <m/>
  </r>
  <r>
    <n v="2025"/>
    <x v="1"/>
    <s v="Julesburg"/>
    <n v="2"/>
    <n v="7"/>
    <n v="6"/>
    <n v="57"/>
    <x v="45"/>
    <n v="53.1"/>
    <n v="41.908243418213203"/>
    <m/>
    <m/>
    <m/>
  </r>
  <r>
    <n v="2025"/>
    <x v="1"/>
    <s v="Julesburg"/>
    <n v="2"/>
    <n v="6"/>
    <n v="6"/>
    <n v="43"/>
    <x v="22"/>
    <n v="58.5"/>
    <n v="59.545402244281391"/>
    <m/>
    <m/>
    <m/>
  </r>
  <r>
    <n v="2025"/>
    <x v="1"/>
    <s v="Julesburg"/>
    <n v="2"/>
    <n v="5"/>
    <n v="6"/>
    <n v="28"/>
    <x v="37"/>
    <n v="58.7"/>
    <n v="59.252447129909349"/>
    <m/>
    <m/>
    <m/>
  </r>
  <r>
    <n v="2025"/>
    <x v="1"/>
    <s v="Julesburg"/>
    <n v="2"/>
    <n v="4"/>
    <n v="6"/>
    <n v="60"/>
    <x v="52"/>
    <n v="54.6"/>
    <n v="50.050807078118254"/>
    <m/>
    <m/>
    <m/>
  </r>
  <r>
    <n v="2025"/>
    <x v="1"/>
    <s v="Julesburg"/>
    <n v="2"/>
    <n v="3"/>
    <n v="6"/>
    <n v="16"/>
    <x v="40"/>
    <n v="58.7"/>
    <n v="56.29963314630988"/>
    <m/>
    <m/>
    <m/>
  </r>
  <r>
    <n v="2025"/>
    <x v="1"/>
    <s v="Julesburg"/>
    <n v="2"/>
    <n v="2"/>
    <n v="6"/>
    <n v="3"/>
    <x v="16"/>
    <n v="58"/>
    <n v="48.784738886491148"/>
    <m/>
    <m/>
    <m/>
  </r>
  <r>
    <n v="2025"/>
    <x v="1"/>
    <s v="Julesburg"/>
    <n v="2"/>
    <n v="1"/>
    <n v="6"/>
    <n v="26"/>
    <x v="11"/>
    <n v="55.2"/>
    <n v="49.667112645662492"/>
    <m/>
    <m/>
    <m/>
  </r>
  <r>
    <n v="2025"/>
    <x v="1"/>
    <s v="Julesburg"/>
    <n v="2"/>
    <n v="1"/>
    <n v="7"/>
    <n v="2"/>
    <x v="23"/>
    <n v="59.3"/>
    <n v="56.645465004793863"/>
    <m/>
    <m/>
    <m/>
  </r>
  <r>
    <n v="2025"/>
    <x v="1"/>
    <s v="Julesburg"/>
    <n v="2"/>
    <n v="2"/>
    <n v="7"/>
    <n v="46"/>
    <x v="25"/>
    <n v="56.5"/>
    <n v="43.945843720038361"/>
    <m/>
    <m/>
    <m/>
  </r>
  <r>
    <n v="2025"/>
    <x v="1"/>
    <s v="Julesburg"/>
    <n v="2"/>
    <n v="3"/>
    <n v="7"/>
    <n v="48"/>
    <x v="48"/>
    <n v="55.9"/>
    <n v="47.509407094918494"/>
    <m/>
    <m/>
    <m/>
  </r>
  <r>
    <n v="2025"/>
    <x v="1"/>
    <s v="Julesburg"/>
    <n v="2"/>
    <n v="4"/>
    <n v="7"/>
    <n v="32"/>
    <x v="24"/>
    <n v="59.5"/>
    <n v="60.150805369127511"/>
    <m/>
    <m/>
    <m/>
  </r>
  <r>
    <n v="2025"/>
    <x v="1"/>
    <s v="Julesburg"/>
    <n v="2"/>
    <n v="5"/>
    <n v="7"/>
    <n v="44"/>
    <x v="17"/>
    <n v="59.7"/>
    <n v="55.00238772770853"/>
    <m/>
    <m/>
    <m/>
  </r>
  <r>
    <n v="2025"/>
    <x v="1"/>
    <s v="Julesburg"/>
    <n v="2"/>
    <n v="6"/>
    <n v="7"/>
    <n v="15"/>
    <x v="7"/>
    <n v="57.1"/>
    <n v="55.927558389261726"/>
    <m/>
    <m/>
    <m/>
  </r>
  <r>
    <n v="2025"/>
    <x v="1"/>
    <s v="Julesburg"/>
    <n v="2"/>
    <n v="7"/>
    <n v="7"/>
    <n v="9"/>
    <x v="1"/>
    <n v="54.5"/>
    <n v="46.977208533077665"/>
    <m/>
    <m/>
    <m/>
  </r>
  <r>
    <n v="2025"/>
    <x v="1"/>
    <s v="Julesburg"/>
    <n v="2"/>
    <n v="8"/>
    <n v="7"/>
    <n v="18"/>
    <x v="8"/>
    <n v="54.6"/>
    <n v="45.093503355704691"/>
    <m/>
    <m/>
    <m/>
  </r>
  <r>
    <n v="2025"/>
    <x v="1"/>
    <s v="Julesburg"/>
    <n v="2"/>
    <n v="9"/>
    <n v="7"/>
    <n v="41"/>
    <x v="20"/>
    <n v="57.5"/>
    <n v="47.604762224352832"/>
    <m/>
    <m/>
    <m/>
  </r>
  <r>
    <n v="2025"/>
    <x v="1"/>
    <s v="Julesburg"/>
    <n v="2"/>
    <n v="10"/>
    <n v="7"/>
    <n v="10"/>
    <x v="15"/>
    <n v="52"/>
    <n v="40.917943432406517"/>
    <m/>
    <m/>
    <m/>
  </r>
  <r>
    <n v="2025"/>
    <x v="1"/>
    <s v="Julesburg"/>
    <n v="2"/>
    <n v="11"/>
    <n v="7"/>
    <n v="49"/>
    <x v="47"/>
    <n v="55"/>
    <n v="53.161671140939603"/>
    <m/>
    <m/>
    <m/>
  </r>
  <r>
    <n v="2025"/>
    <x v="1"/>
    <s v="Julesburg"/>
    <n v="2"/>
    <n v="12"/>
    <n v="7"/>
    <n v="33"/>
    <x v="3"/>
    <n v="56.5"/>
    <n v="56.406507670182165"/>
    <m/>
    <m/>
    <m/>
  </r>
  <r>
    <n v="2025"/>
    <x v="1"/>
    <s v="Julesburg"/>
    <n v="2"/>
    <n v="13"/>
    <n v="7"/>
    <n v="31"/>
    <x v="6"/>
    <n v="57.8"/>
    <n v="59.100057526366243"/>
    <m/>
    <m/>
    <m/>
  </r>
  <r>
    <n v="2025"/>
    <x v="1"/>
    <s v="Julesburg"/>
    <n v="2"/>
    <n v="13"/>
    <n v="8"/>
    <n v="24"/>
    <x v="29"/>
    <n v="58"/>
    <n v="57.233892093654561"/>
    <m/>
    <m/>
    <m/>
  </r>
  <r>
    <n v="2025"/>
    <x v="1"/>
    <s v="Julesburg"/>
    <n v="2"/>
    <n v="12"/>
    <n v="8"/>
    <n v="25"/>
    <x v="34"/>
    <n v="55.2"/>
    <n v="54.715532502787333"/>
    <m/>
    <m/>
    <m/>
  </r>
  <r>
    <n v="2025"/>
    <x v="1"/>
    <s v="Julesburg"/>
    <n v="2"/>
    <n v="11"/>
    <n v="8"/>
    <n v="47"/>
    <x v="50"/>
    <n v="58"/>
    <n v="59.444343400067865"/>
    <m/>
    <m/>
    <m/>
  </r>
  <r>
    <n v="2025"/>
    <x v="1"/>
    <s v="Julesburg"/>
    <n v="2"/>
    <n v="10"/>
    <n v="8"/>
    <n v="5"/>
    <x v="28"/>
    <n v="55.5"/>
    <n v="52.076428329051332"/>
    <m/>
    <m/>
    <m/>
  </r>
  <r>
    <n v="2025"/>
    <x v="1"/>
    <s v="Julesburg"/>
    <n v="2"/>
    <n v="9"/>
    <n v="8"/>
    <n v="11"/>
    <x v="2"/>
    <n v="56.9"/>
    <n v="56.271438751272477"/>
    <m/>
    <m/>
    <m/>
  </r>
  <r>
    <n v="2025"/>
    <x v="1"/>
    <s v="Julesburg"/>
    <n v="2"/>
    <n v="8"/>
    <n v="8"/>
    <n v="38"/>
    <x v="43"/>
    <n v="56.8"/>
    <n v="54.732425226622709"/>
    <m/>
    <m/>
    <m/>
  </r>
  <r>
    <n v="2025"/>
    <x v="1"/>
    <s v="Julesburg"/>
    <n v="2"/>
    <n v="7"/>
    <n v="8"/>
    <n v="4"/>
    <x v="4"/>
    <n v="53"/>
    <n v="36.382320034902321"/>
    <m/>
    <m/>
    <m/>
  </r>
  <r>
    <n v="2025"/>
    <x v="1"/>
    <s v="Julesburg"/>
    <n v="2"/>
    <n v="6"/>
    <n v="8"/>
    <n v="21"/>
    <x v="26"/>
    <n v="59.2"/>
    <n v="53.910882156187888"/>
    <m/>
    <m/>
    <m/>
  </r>
  <r>
    <n v="2025"/>
    <x v="1"/>
    <s v="Julesburg"/>
    <n v="2"/>
    <n v="5"/>
    <n v="8"/>
    <n v="36"/>
    <x v="36"/>
    <n v="61"/>
    <n v="56.983380677686753"/>
    <m/>
    <m/>
    <m/>
  </r>
  <r>
    <n v="2025"/>
    <x v="1"/>
    <s v="Julesburg"/>
    <n v="2"/>
    <n v="4"/>
    <n v="8"/>
    <n v="34"/>
    <x v="0"/>
    <n v="57"/>
    <n v="53.766415773910502"/>
    <m/>
    <m/>
    <m/>
  </r>
  <r>
    <n v="2025"/>
    <x v="1"/>
    <s v="Julesburg"/>
    <n v="2"/>
    <n v="3"/>
    <n v="8"/>
    <n v="27"/>
    <x v="39"/>
    <n v="60"/>
    <n v="51.484923845072473"/>
    <m/>
    <m/>
    <m/>
  </r>
  <r>
    <n v="2025"/>
    <x v="1"/>
    <s v="Julesburg"/>
    <n v="2"/>
    <n v="2"/>
    <n v="8"/>
    <n v="30"/>
    <x v="14"/>
    <n v="57.3"/>
    <n v="43.3689682485821"/>
    <m/>
    <m/>
    <m/>
  </r>
  <r>
    <n v="2025"/>
    <x v="1"/>
    <s v="Julesburg"/>
    <n v="2"/>
    <n v="1"/>
    <n v="8"/>
    <n v="40"/>
    <x v="13"/>
    <n v="60.2"/>
    <n v="46.988167143341897"/>
    <m/>
    <m/>
    <m/>
  </r>
  <r>
    <n v="2025"/>
    <x v="1"/>
    <s v="Julesburg"/>
    <n v="3"/>
    <n v="1"/>
    <n v="9"/>
    <n v="57"/>
    <x v="45"/>
    <n v="54.8"/>
    <n v="34.660834866828083"/>
    <m/>
    <m/>
    <m/>
  </r>
  <r>
    <n v="2025"/>
    <x v="1"/>
    <s v="Julesburg"/>
    <n v="3"/>
    <n v="2"/>
    <n v="9"/>
    <n v="34"/>
    <x v="0"/>
    <n v="54.5"/>
    <n v="38.574427118644067"/>
    <m/>
    <m/>
    <m/>
  </r>
  <r>
    <n v="2025"/>
    <x v="1"/>
    <s v="Julesburg"/>
    <n v="3"/>
    <n v="3"/>
    <n v="9"/>
    <n v="17"/>
    <x v="32"/>
    <n v="55.8"/>
    <n v="53.62204358353511"/>
    <m/>
    <m/>
    <m/>
  </r>
  <r>
    <n v="2025"/>
    <x v="1"/>
    <s v="Julesburg"/>
    <n v="3"/>
    <n v="4"/>
    <n v="9"/>
    <n v="47"/>
    <x v="50"/>
    <n v="58"/>
    <n v="54.328563196125899"/>
    <m/>
    <m/>
    <m/>
  </r>
  <r>
    <n v="2025"/>
    <x v="1"/>
    <s v="Julesburg"/>
    <n v="3"/>
    <n v="5"/>
    <n v="9"/>
    <n v="38"/>
    <x v="43"/>
    <n v="60.4"/>
    <n v="58.74881491525425"/>
    <m/>
    <m/>
    <m/>
  </r>
  <r>
    <n v="2025"/>
    <x v="1"/>
    <s v="Julesburg"/>
    <n v="3"/>
    <n v="6"/>
    <n v="9"/>
    <n v="30"/>
    <x v="14"/>
    <n v="59.5"/>
    <n v="58.613992736077478"/>
    <m/>
    <m/>
    <m/>
  </r>
  <r>
    <n v="2025"/>
    <x v="1"/>
    <s v="Julesburg"/>
    <n v="3"/>
    <n v="7"/>
    <n v="9"/>
    <n v="24"/>
    <x v="29"/>
    <n v="58.5"/>
    <n v="54.517981598062953"/>
    <m/>
    <m/>
    <m/>
  </r>
  <r>
    <n v="2025"/>
    <x v="1"/>
    <s v="Julesburg"/>
    <n v="3"/>
    <n v="8"/>
    <n v="9"/>
    <n v="8"/>
    <x v="9"/>
    <n v="59"/>
    <n v="62.375666731234865"/>
    <m/>
    <m/>
    <m/>
  </r>
  <r>
    <n v="2025"/>
    <x v="1"/>
    <s v="Julesburg"/>
    <n v="3"/>
    <n v="9"/>
    <n v="9"/>
    <n v="6"/>
    <x v="10"/>
    <n v="57.8"/>
    <n v="51.017648426150117"/>
    <m/>
    <m/>
    <m/>
  </r>
  <r>
    <n v="2025"/>
    <x v="1"/>
    <s v="Julesburg"/>
    <n v="3"/>
    <n v="10"/>
    <n v="9"/>
    <n v="15"/>
    <x v="7"/>
    <n v="56.9"/>
    <n v="61.069312590799036"/>
    <m/>
    <m/>
    <m/>
  </r>
  <r>
    <n v="2025"/>
    <x v="1"/>
    <s v="Julesburg"/>
    <n v="3"/>
    <n v="11"/>
    <n v="9"/>
    <n v="44"/>
    <x v="17"/>
    <n v="58.3"/>
    <n v="61.590944309927359"/>
    <m/>
    <m/>
    <m/>
  </r>
  <r>
    <n v="2025"/>
    <x v="1"/>
    <s v="Julesburg"/>
    <n v="3"/>
    <n v="12"/>
    <n v="9"/>
    <n v="40"/>
    <x v="13"/>
    <n v="56.8"/>
    <n v="58.532635351089581"/>
    <m/>
    <m/>
    <m/>
  </r>
  <r>
    <n v="2025"/>
    <x v="1"/>
    <s v="Julesburg"/>
    <n v="3"/>
    <n v="13"/>
    <n v="9"/>
    <n v="39"/>
    <x v="46"/>
    <n v="57.2"/>
    <n v="62.751713317191282"/>
    <m/>
    <m/>
    <m/>
  </r>
  <r>
    <n v="2025"/>
    <x v="1"/>
    <s v="Julesburg"/>
    <n v="3"/>
    <n v="13"/>
    <n v="10"/>
    <n v="4"/>
    <x v="4"/>
    <n v="54.7"/>
    <n v="54.805398174225495"/>
    <m/>
    <m/>
    <m/>
  </r>
  <r>
    <n v="2025"/>
    <x v="1"/>
    <s v="Julesburg"/>
    <n v="3"/>
    <n v="12"/>
    <n v="10"/>
    <n v="9"/>
    <x v="1"/>
    <n v="54.1"/>
    <n v="62.577383703991437"/>
    <m/>
    <m/>
    <m/>
  </r>
  <r>
    <n v="2025"/>
    <x v="1"/>
    <s v="Julesburg"/>
    <n v="3"/>
    <n v="11"/>
    <n v="10"/>
    <n v="60"/>
    <x v="52"/>
    <n v="53.7"/>
    <n v="52.241849082256948"/>
    <m/>
    <m/>
    <m/>
  </r>
  <r>
    <n v="2025"/>
    <x v="1"/>
    <s v="Julesburg"/>
    <n v="3"/>
    <n v="10"/>
    <n v="10"/>
    <n v="23"/>
    <x v="35"/>
    <n v="59.4"/>
    <n v="59.532679421190622"/>
    <m/>
    <m/>
    <m/>
  </r>
  <r>
    <n v="2025"/>
    <x v="1"/>
    <s v="Julesburg"/>
    <n v="3"/>
    <n v="9"/>
    <n v="10"/>
    <n v="10"/>
    <x v="15"/>
    <n v="54.6"/>
    <n v="54.607196270758472"/>
    <m/>
    <m/>
    <m/>
  </r>
  <r>
    <n v="2025"/>
    <x v="1"/>
    <s v="Julesburg"/>
    <n v="3"/>
    <n v="8"/>
    <n v="10"/>
    <n v="21"/>
    <x v="26"/>
    <n v="58"/>
    <n v="62.465375352044276"/>
    <m/>
    <m/>
    <m/>
  </r>
  <r>
    <n v="2025"/>
    <x v="1"/>
    <s v="Julesburg"/>
    <n v="3"/>
    <n v="7"/>
    <n v="10"/>
    <n v="49"/>
    <x v="47"/>
    <n v="54.5"/>
    <n v="48.249208021753894"/>
    <m/>
    <m/>
    <m/>
  </r>
  <r>
    <n v="2025"/>
    <x v="1"/>
    <s v="Julesburg"/>
    <n v="3"/>
    <n v="6"/>
    <n v="10"/>
    <n v="12"/>
    <x v="41"/>
    <n v="57.9"/>
    <n v="52.284936243566065"/>
    <m/>
    <m/>
    <m/>
  </r>
  <r>
    <n v="2025"/>
    <x v="1"/>
    <s v="Julesburg"/>
    <n v="3"/>
    <n v="5"/>
    <n v="10"/>
    <n v="37"/>
    <x v="31"/>
    <n v="59.4"/>
    <n v="58.676849082256958"/>
    <m/>
    <m/>
    <m/>
  </r>
  <r>
    <n v="2025"/>
    <x v="1"/>
    <s v="Julesburg"/>
    <n v="3"/>
    <n v="4"/>
    <n v="10"/>
    <n v="45"/>
    <x v="21"/>
    <n v="56.5"/>
    <n v="60.545619500825474"/>
    <m/>
    <m/>
    <m/>
  </r>
  <r>
    <n v="2025"/>
    <x v="1"/>
    <s v="Julesburg"/>
    <n v="3"/>
    <n v="3"/>
    <n v="10"/>
    <n v="58"/>
    <x v="51"/>
    <n v="57.4"/>
    <n v="47.991579197824599"/>
    <m/>
    <m/>
    <m/>
  </r>
  <r>
    <n v="2025"/>
    <x v="1"/>
    <s v="Julesburg"/>
    <n v="3"/>
    <n v="2"/>
    <n v="10"/>
    <n v="36"/>
    <x v="36"/>
    <n v="57.9"/>
    <n v="39.279598426726217"/>
    <m/>
    <m/>
    <m/>
  </r>
  <r>
    <n v="2025"/>
    <x v="1"/>
    <s v="Julesburg"/>
    <n v="3"/>
    <n v="1"/>
    <n v="10"/>
    <n v="42"/>
    <x v="42"/>
    <n v="57.3"/>
    <n v="36.657016606778662"/>
    <m/>
    <m/>
    <m/>
  </r>
  <r>
    <n v="2025"/>
    <x v="1"/>
    <s v="Julesburg"/>
    <n v="3"/>
    <n v="1"/>
    <n v="11"/>
    <n v="13"/>
    <x v="38"/>
    <n v="58.2"/>
    <n v="55.299826854606636"/>
    <m/>
    <m/>
    <m/>
  </r>
  <r>
    <n v="2025"/>
    <x v="1"/>
    <s v="Julesburg"/>
    <n v="3"/>
    <n v="2"/>
    <n v="11"/>
    <n v="32"/>
    <x v="24"/>
    <n v="60.1"/>
    <n v="53.234332341608543"/>
    <m/>
    <m/>
    <m/>
  </r>
  <r>
    <n v="2025"/>
    <x v="1"/>
    <s v="Julesburg"/>
    <n v="3"/>
    <n v="3"/>
    <n v="11"/>
    <n v="11"/>
    <x v="2"/>
    <n v="60.9"/>
    <n v="69.842991074476913"/>
    <m/>
    <m/>
    <m/>
  </r>
  <r>
    <n v="2025"/>
    <x v="1"/>
    <s v="Julesburg"/>
    <n v="3"/>
    <n v="4"/>
    <n v="11"/>
    <n v="33"/>
    <x v="3"/>
    <n v="57.4"/>
    <n v="69.974260352143588"/>
    <m/>
    <m/>
    <m/>
  </r>
  <r>
    <n v="2025"/>
    <x v="1"/>
    <s v="Julesburg"/>
    <n v="3"/>
    <n v="5"/>
    <n v="11"/>
    <n v="31"/>
    <x v="6"/>
    <n v="59"/>
    <n v="69.187803540945225"/>
    <m/>
    <m/>
    <m/>
  </r>
  <r>
    <n v="2025"/>
    <x v="1"/>
    <s v="Julesburg"/>
    <n v="3"/>
    <n v="6"/>
    <n v="11"/>
    <n v="22"/>
    <x v="33"/>
    <n v="54.8"/>
    <n v="53.314225723064915"/>
    <m/>
    <m/>
    <m/>
  </r>
  <r>
    <n v="2025"/>
    <x v="1"/>
    <s v="Julesburg"/>
    <n v="3"/>
    <n v="7"/>
    <n v="11"/>
    <n v="27"/>
    <x v="39"/>
    <n v="57.4"/>
    <n v="53.657391601229079"/>
    <m/>
    <m/>
    <m/>
  </r>
  <r>
    <n v="2025"/>
    <x v="1"/>
    <s v="Julesburg"/>
    <n v="3"/>
    <n v="8"/>
    <n v="11"/>
    <n v="7"/>
    <x v="44"/>
    <n v="56.6"/>
    <n v="48.907535482612296"/>
    <m/>
    <m/>
    <m/>
  </r>
  <r>
    <n v="2025"/>
    <x v="1"/>
    <s v="Julesburg"/>
    <n v="3"/>
    <n v="9"/>
    <n v="11"/>
    <n v="20"/>
    <x v="18"/>
    <n v="57"/>
    <n v="58.731340779398131"/>
    <m/>
    <m/>
    <m/>
  </r>
  <r>
    <n v="2025"/>
    <x v="1"/>
    <s v="Julesburg"/>
    <n v="3"/>
    <n v="10"/>
    <n v="11"/>
    <n v="26"/>
    <x v="11"/>
    <n v="57.8"/>
    <n v="68.128108081744116"/>
    <m/>
    <m/>
    <m/>
  </r>
  <r>
    <n v="2025"/>
    <x v="1"/>
    <s v="Julesburg"/>
    <n v="3"/>
    <n v="11"/>
    <n v="11"/>
    <n v="46"/>
    <x v="25"/>
    <n v="56.8"/>
    <n v="61.372660586255677"/>
    <m/>
    <m/>
    <m/>
  </r>
  <r>
    <n v="2025"/>
    <x v="1"/>
    <s v="Julesburg"/>
    <n v="3"/>
    <n v="12"/>
    <n v="11"/>
    <n v="19"/>
    <x v="49"/>
    <n v="53.8"/>
    <n v="62.79076086426376"/>
    <m/>
    <m/>
    <m/>
  </r>
  <r>
    <n v="2025"/>
    <x v="1"/>
    <s v="Julesburg"/>
    <n v="3"/>
    <n v="13"/>
    <n v="11"/>
    <n v="35"/>
    <x v="30"/>
    <n v="55.7"/>
    <n v="50.298161244695898"/>
    <m/>
    <m/>
    <m/>
  </r>
  <r>
    <n v="2025"/>
    <x v="1"/>
    <s v="Julesburg"/>
    <n v="3"/>
    <n v="13"/>
    <n v="12"/>
    <n v="28"/>
    <x v="37"/>
    <n v="54.6"/>
    <n v="55.801428571428552"/>
    <m/>
    <m/>
    <m/>
  </r>
  <r>
    <n v="2025"/>
    <x v="1"/>
    <s v="Julesburg"/>
    <n v="3"/>
    <n v="12"/>
    <n v="12"/>
    <n v="16"/>
    <x v="40"/>
    <n v="54.8"/>
    <n v="79.159384615384596"/>
    <m/>
    <m/>
    <m/>
  </r>
  <r>
    <n v="2025"/>
    <x v="1"/>
    <s v="Julesburg"/>
    <n v="3"/>
    <n v="11"/>
    <n v="12"/>
    <n v="41"/>
    <x v="20"/>
    <n v="57.3"/>
    <n v="64.358074725274705"/>
    <m/>
    <m/>
    <m/>
  </r>
  <r>
    <n v="2025"/>
    <x v="1"/>
    <s v="Julesburg"/>
    <n v="3"/>
    <n v="10"/>
    <n v="12"/>
    <n v="18"/>
    <x v="8"/>
    <n v="57.6"/>
    <n v="67.562821978021972"/>
    <m/>
    <m/>
    <m/>
  </r>
  <r>
    <n v="2025"/>
    <x v="1"/>
    <s v="Julesburg"/>
    <n v="3"/>
    <n v="9"/>
    <n v="12"/>
    <n v="5"/>
    <x v="28"/>
    <n v="58"/>
    <n v="73.417674725274722"/>
    <m/>
    <m/>
    <m/>
  </r>
  <r>
    <n v="2025"/>
    <x v="1"/>
    <s v="Julesburg"/>
    <n v="3"/>
    <n v="8"/>
    <n v="12"/>
    <n v="43"/>
    <x v="22"/>
    <n v="57.6"/>
    <n v="57.185185054945052"/>
    <m/>
    <m/>
    <m/>
  </r>
  <r>
    <n v="2025"/>
    <x v="1"/>
    <s v="Julesburg"/>
    <n v="3"/>
    <n v="7"/>
    <n v="12"/>
    <n v="48"/>
    <x v="48"/>
    <n v="54"/>
    <n v="49.290830769230759"/>
    <m/>
    <m/>
    <m/>
  </r>
  <r>
    <n v="2025"/>
    <x v="1"/>
    <s v="Julesburg"/>
    <n v="3"/>
    <n v="6"/>
    <n v="12"/>
    <n v="29"/>
    <x v="27"/>
    <n v="57.4"/>
    <n v="71.929846153846128"/>
    <m/>
    <m/>
    <m/>
  </r>
  <r>
    <n v="2025"/>
    <x v="1"/>
    <s v="Julesburg"/>
    <n v="3"/>
    <n v="5"/>
    <n v="12"/>
    <n v="1"/>
    <x v="12"/>
    <n v="57.8"/>
    <n v="74.19608791208789"/>
    <m/>
    <m/>
    <m/>
  </r>
  <r>
    <n v="2025"/>
    <x v="1"/>
    <s v="Julesburg"/>
    <n v="3"/>
    <n v="4"/>
    <n v="12"/>
    <n v="3"/>
    <x v="16"/>
    <n v="60.8"/>
    <n v="73.387609670329653"/>
    <m/>
    <m/>
    <m/>
  </r>
  <r>
    <n v="2025"/>
    <x v="1"/>
    <s v="Julesburg"/>
    <n v="3"/>
    <n v="3"/>
    <n v="12"/>
    <n v="25"/>
    <x v="34"/>
    <n v="57.6"/>
    <n v="67.499868131868112"/>
    <m/>
    <m/>
    <m/>
  </r>
  <r>
    <n v="2025"/>
    <x v="1"/>
    <s v="Julesburg"/>
    <n v="3"/>
    <n v="2"/>
    <n v="12"/>
    <n v="2"/>
    <x v="23"/>
    <n v="58"/>
    <n v="58.051472527472527"/>
    <m/>
    <m/>
    <m/>
  </r>
  <r>
    <n v="2025"/>
    <x v="1"/>
    <s v="Julesburg"/>
    <n v="3"/>
    <n v="1"/>
    <n v="12"/>
    <n v="14"/>
    <x v="5"/>
    <n v="58.5"/>
    <n v="50.76840879120877"/>
    <m/>
    <m/>
    <m/>
  </r>
  <r>
    <n v="2025"/>
    <x v="1"/>
    <s v="New Raymer"/>
    <n v="1"/>
    <n v="1"/>
    <n v="1"/>
    <n v="38"/>
    <x v="43"/>
    <n v="58.7"/>
    <n v="21.044288152953232"/>
    <n v="14.862500000000001"/>
    <n v="0"/>
    <n v="1"/>
  </r>
  <r>
    <n v="2025"/>
    <x v="1"/>
    <s v="New Raymer"/>
    <n v="1"/>
    <n v="2"/>
    <n v="1"/>
    <n v="22"/>
    <x v="33"/>
    <n v="59.4"/>
    <n v="41.329328439740543"/>
    <n v="14.262499999999999"/>
    <n v="0"/>
    <n v="2"/>
  </r>
  <r>
    <n v="2025"/>
    <x v="1"/>
    <s v="New Raymer"/>
    <n v="1"/>
    <n v="3"/>
    <n v="1"/>
    <n v="49"/>
    <x v="47"/>
    <n v="57.6"/>
    <n v="39.016838511437356"/>
    <n v="15.5625"/>
    <n v="1"/>
    <n v="2"/>
  </r>
  <r>
    <n v="2025"/>
    <x v="1"/>
    <s v="New Raymer"/>
    <n v="1"/>
    <n v="4"/>
    <n v="1"/>
    <n v="21"/>
    <x v="26"/>
    <n v="57.2"/>
    <n v="48.553111812905435"/>
    <n v="14.862500000000001"/>
    <n v="-1"/>
    <n v="3"/>
  </r>
  <r>
    <n v="2025"/>
    <x v="1"/>
    <s v="New Raymer"/>
    <n v="1"/>
    <n v="5"/>
    <n v="1"/>
    <n v="57"/>
    <x v="45"/>
    <n v="56.7"/>
    <n v="46.306312051894857"/>
    <n v="15.1625"/>
    <n v="0"/>
    <n v="4"/>
  </r>
  <r>
    <n v="2025"/>
    <x v="1"/>
    <s v="New Raymer"/>
    <n v="1"/>
    <n v="6"/>
    <n v="1"/>
    <n v="6"/>
    <x v="10"/>
    <n v="60.1"/>
    <n v="40.651820075110969"/>
    <n v="15.9625"/>
    <n v="2"/>
    <n v="1"/>
  </r>
  <r>
    <n v="2025"/>
    <x v="1"/>
    <s v="New Raymer"/>
    <n v="1"/>
    <n v="7"/>
    <n v="1"/>
    <n v="17"/>
    <x v="32"/>
    <n v="57.6"/>
    <n v="50.366945715261188"/>
    <n v="14.862500000000001"/>
    <n v="1"/>
    <n v="4"/>
  </r>
  <r>
    <n v="2025"/>
    <x v="1"/>
    <s v="New Raymer"/>
    <n v="1"/>
    <n v="8"/>
    <n v="1"/>
    <n v="4"/>
    <x v="4"/>
    <n v="58.4"/>
    <n v="42.896727039945382"/>
    <n v="14.1625"/>
    <n v="1"/>
    <n v="1"/>
  </r>
  <r>
    <n v="2025"/>
    <x v="1"/>
    <s v="New Raymer"/>
    <n v="1"/>
    <n v="9"/>
    <n v="1"/>
    <n v="15"/>
    <x v="7"/>
    <n v="55.5"/>
    <n v="57.15405650392627"/>
    <n v="15.0625"/>
    <n v="-2"/>
    <n v="2"/>
  </r>
  <r>
    <n v="2025"/>
    <x v="1"/>
    <s v="New Raymer"/>
    <n v="1"/>
    <n v="10"/>
    <n v="1"/>
    <n v="28"/>
    <x v="37"/>
    <n v="58.7"/>
    <n v="44.9309590303858"/>
    <n v="14.262499999999999"/>
    <n v="-1"/>
    <n v="4"/>
  </r>
  <r>
    <n v="2025"/>
    <x v="1"/>
    <s v="New Raymer"/>
    <n v="1"/>
    <n v="11"/>
    <n v="1"/>
    <n v="23"/>
    <x v="35"/>
    <n v="58.4"/>
    <n v="37.20716763400479"/>
    <n v="15.5625"/>
    <n v="0"/>
    <n v="4"/>
  </r>
  <r>
    <n v="2025"/>
    <x v="1"/>
    <s v="New Raymer"/>
    <n v="1"/>
    <n v="12"/>
    <n v="1"/>
    <n v="25"/>
    <x v="34"/>
    <n v="58.8"/>
    <n v="32.513168316831695"/>
    <n v="14.862500000000001"/>
    <n v="0"/>
    <n v="5"/>
  </r>
  <r>
    <n v="2025"/>
    <x v="1"/>
    <s v="New Raymer"/>
    <n v="1"/>
    <n v="13"/>
    <n v="1"/>
    <n v="58"/>
    <x v="51"/>
    <n v="56.9"/>
    <n v="32.486021338340741"/>
    <n v="15.4625"/>
    <n v="1"/>
    <n v="3"/>
  </r>
  <r>
    <n v="2025"/>
    <x v="1"/>
    <s v="New Raymer"/>
    <n v="1"/>
    <n v="14"/>
    <n v="1"/>
    <n v="20"/>
    <x v="18"/>
    <n v="59.5"/>
    <n v="40.57343803345853"/>
    <n v="14.0625"/>
    <n v="-2"/>
    <n v="4"/>
  </r>
  <r>
    <n v="2025"/>
    <x v="1"/>
    <s v="New Raymer"/>
    <n v="1"/>
    <n v="15"/>
    <n v="1"/>
    <n v="18"/>
    <x v="8"/>
    <n v="56.2"/>
    <n v="25.532564185728923"/>
    <n v="15.0625"/>
    <n v="0"/>
    <n v="3"/>
  </r>
  <r>
    <n v="2025"/>
    <x v="1"/>
    <s v="New Raymer"/>
    <n v="1"/>
    <n v="16"/>
    <n v="1"/>
    <n v="19"/>
    <x v="49"/>
    <n v="58"/>
    <n v="34.615152270399456"/>
    <n v="15.762499999999999"/>
    <n v="1"/>
    <n v="3"/>
  </r>
  <r>
    <n v="2025"/>
    <x v="1"/>
    <s v="New Raymer"/>
    <n v="1"/>
    <n v="17"/>
    <n v="1"/>
    <n v="16"/>
    <x v="40"/>
    <n v="58.8"/>
    <n v="23.788189143052239"/>
    <n v="14.762499999999999"/>
    <n v="0"/>
    <n v="5"/>
  </r>
  <r>
    <n v="2025"/>
    <x v="1"/>
    <s v="New Raymer"/>
    <n v="1"/>
    <n v="18"/>
    <n v="1"/>
    <n v="1"/>
    <x v="12"/>
    <n v="57.6"/>
    <n v="39.480151075452383"/>
    <n v="14.762499999999999"/>
    <n v="-2"/>
    <n v="3"/>
  </r>
  <r>
    <n v="2025"/>
    <x v="1"/>
    <s v="New Raymer"/>
    <n v="1"/>
    <n v="19"/>
    <n v="1"/>
    <n v="10"/>
    <x v="15"/>
    <n v="57.2"/>
    <n v="38.87674906111301"/>
    <n v="15.762499999999999"/>
    <n v="3"/>
    <n v="4"/>
  </r>
  <r>
    <n v="2025"/>
    <x v="1"/>
    <s v="New Raymer"/>
    <n v="1"/>
    <n v="20"/>
    <n v="1"/>
    <n v="36"/>
    <x v="36"/>
    <n v="59.1"/>
    <n v="50.08890747695461"/>
    <n v="15.6625"/>
    <n v="-1"/>
    <n v="1"/>
  </r>
  <r>
    <n v="2025"/>
    <x v="1"/>
    <s v="New Raymer"/>
    <n v="1"/>
    <n v="21"/>
    <n v="1"/>
    <n v="24"/>
    <x v="29"/>
    <n v="56.3"/>
    <n v="55.670200068282711"/>
    <n v="15.262499999999999"/>
    <n v="-3"/>
    <n v="2"/>
  </r>
  <r>
    <n v="2025"/>
    <x v="1"/>
    <s v="New Raymer"/>
    <n v="1"/>
    <n v="22"/>
    <n v="1"/>
    <n v="48"/>
    <x v="48"/>
    <n v="58.7"/>
    <n v="33.199999829293283"/>
    <n v="16.162500000000001"/>
    <n v="3"/>
    <n v="1"/>
  </r>
  <r>
    <n v="2025"/>
    <x v="1"/>
    <s v="New Raymer"/>
    <n v="1"/>
    <n v="23"/>
    <n v="1"/>
    <n v="43"/>
    <x v="22"/>
    <n v="55.2"/>
    <n v="40.466799248890425"/>
    <n v="15.9625"/>
    <n v="-1"/>
    <n v="2"/>
  </r>
  <r>
    <n v="2025"/>
    <x v="1"/>
    <s v="New Raymer"/>
    <n v="1"/>
    <n v="24"/>
    <n v="1"/>
    <n v="30"/>
    <x v="14"/>
    <n v="59.5"/>
    <n v="42.750976101058384"/>
    <n v="14.9625"/>
    <n v="0"/>
    <n v="2"/>
  </r>
  <r>
    <n v="2025"/>
    <x v="1"/>
    <s v="New Raymer"/>
    <n v="1"/>
    <n v="25"/>
    <n v="1"/>
    <n v="44"/>
    <x v="17"/>
    <n v="56.6"/>
    <n v="43.086682656196665"/>
    <n v="15.0625"/>
    <n v="0"/>
    <n v="3"/>
  </r>
  <r>
    <n v="2025"/>
    <x v="1"/>
    <s v="New Raymer"/>
    <n v="1"/>
    <n v="26"/>
    <n v="1"/>
    <n v="13"/>
    <x v="38"/>
    <n v="60.1"/>
    <n v="57.78125930351657"/>
    <n v="14.362500000000001"/>
    <n v="0"/>
    <n v="3"/>
  </r>
  <r>
    <n v="2025"/>
    <x v="1"/>
    <s v="New Raymer"/>
    <n v="1"/>
    <n v="26"/>
    <n v="2"/>
    <n v="37"/>
    <x v="31"/>
    <n v="59.8"/>
    <n v="59.660567431850779"/>
    <n v="15.362500000000001"/>
    <n v="-1"/>
    <n v="4"/>
  </r>
  <r>
    <n v="2025"/>
    <x v="1"/>
    <s v="New Raymer"/>
    <n v="1"/>
    <n v="25"/>
    <n v="2"/>
    <n v="31"/>
    <x v="6"/>
    <n v="57.7"/>
    <n v="50.686810437589664"/>
    <n v="15.4625"/>
    <n v="0"/>
    <n v="2"/>
  </r>
  <r>
    <n v="2025"/>
    <x v="1"/>
    <s v="New Raymer"/>
    <n v="1"/>
    <n v="24"/>
    <n v="2"/>
    <n v="34"/>
    <x v="0"/>
    <n v="59.2"/>
    <n v="56.104130918220939"/>
    <n v="15.362500000000001"/>
    <n v="0"/>
    <n v="5"/>
  </r>
  <r>
    <n v="2025"/>
    <x v="1"/>
    <s v="New Raymer"/>
    <n v="1"/>
    <n v="23"/>
    <n v="2"/>
    <n v="27"/>
    <x v="39"/>
    <n v="56.6"/>
    <n v="64.739661585365837"/>
    <n v="14.9625"/>
    <n v="-3"/>
    <n v="3"/>
  </r>
  <r>
    <n v="2025"/>
    <x v="1"/>
    <s v="New Raymer"/>
    <n v="1"/>
    <n v="22"/>
    <n v="2"/>
    <n v="45"/>
    <x v="21"/>
    <n v="56.6"/>
    <n v="57.284141319942592"/>
    <n v="15.5625"/>
    <n v="0"/>
    <n v="2"/>
  </r>
  <r>
    <n v="2025"/>
    <x v="1"/>
    <s v="New Raymer"/>
    <n v="1"/>
    <n v="21"/>
    <n v="2"/>
    <n v="5"/>
    <x v="28"/>
    <n v="58"/>
    <n v="72.517346126255376"/>
    <n v="14.862500000000001"/>
    <n v="1"/>
    <n v="2"/>
  </r>
  <r>
    <n v="2025"/>
    <x v="1"/>
    <s v="New Raymer"/>
    <n v="1"/>
    <n v="20"/>
    <n v="2"/>
    <n v="29"/>
    <x v="27"/>
    <n v="58.3"/>
    <n v="62.203656563845044"/>
    <n v="15.5625"/>
    <n v="0"/>
    <n v="4"/>
  </r>
  <r>
    <n v="2025"/>
    <x v="1"/>
    <s v="New Raymer"/>
    <n v="1"/>
    <n v="19"/>
    <n v="2"/>
    <n v="46"/>
    <x v="25"/>
    <n v="57.5"/>
    <n v="56.211404591104724"/>
    <n v="15.262499999999999"/>
    <n v="0"/>
    <n v="2"/>
  </r>
  <r>
    <n v="2025"/>
    <x v="1"/>
    <s v="New Raymer"/>
    <n v="1"/>
    <n v="18"/>
    <n v="2"/>
    <n v="9"/>
    <x v="1"/>
    <n v="58.2"/>
    <n v="35.643302367288371"/>
    <n v="15.9625"/>
    <n v="3"/>
    <n v="5"/>
  </r>
  <r>
    <n v="2025"/>
    <x v="1"/>
    <s v="New Raymer"/>
    <n v="1"/>
    <n v="17"/>
    <n v="2"/>
    <n v="11"/>
    <x v="2"/>
    <n v="59.7"/>
    <n v="42.779422166427537"/>
    <n v="14.5625"/>
    <n v="0"/>
    <n v="5"/>
  </r>
  <r>
    <n v="2025"/>
    <x v="1"/>
    <s v="New Raymer"/>
    <n v="1"/>
    <n v="16"/>
    <n v="2"/>
    <n v="40"/>
    <x v="13"/>
    <n v="59"/>
    <n v="46.564893830703006"/>
    <n v="14.4625"/>
    <n v="1"/>
    <n v="3"/>
  </r>
  <r>
    <n v="2025"/>
    <x v="1"/>
    <s v="New Raymer"/>
    <n v="1"/>
    <n v="15"/>
    <n v="2"/>
    <n v="47"/>
    <x v="50"/>
    <n v="59.7"/>
    <n v="31.976088593974175"/>
    <n v="15.6625"/>
    <n v="1"/>
    <n v="6"/>
  </r>
  <r>
    <n v="2025"/>
    <x v="1"/>
    <s v="New Raymer"/>
    <n v="1"/>
    <n v="14"/>
    <n v="2"/>
    <n v="41"/>
    <x v="20"/>
    <n v="57.5"/>
    <n v="37.837559720229557"/>
    <n v="15.362500000000001"/>
    <n v="1"/>
    <n v="6"/>
  </r>
  <r>
    <n v="2025"/>
    <x v="1"/>
    <s v="New Raymer"/>
    <n v="1"/>
    <n v="13"/>
    <n v="2"/>
    <n v="32"/>
    <x v="24"/>
    <n v="58.9"/>
    <n v="58.721109038737445"/>
    <n v="15.862500000000001"/>
    <n v="-1"/>
    <n v="6"/>
  </r>
  <r>
    <n v="2025"/>
    <x v="1"/>
    <s v="New Raymer"/>
    <n v="1"/>
    <n v="12"/>
    <n v="2"/>
    <n v="35"/>
    <x v="30"/>
    <n v="58.8"/>
    <n v="56.497313845050208"/>
    <n v="14.9625"/>
    <n v="0"/>
    <n v="5"/>
  </r>
  <r>
    <n v="2025"/>
    <x v="1"/>
    <s v="New Raymer"/>
    <n v="1"/>
    <n v="11"/>
    <n v="2"/>
    <n v="60"/>
    <x v="52"/>
    <n v="59"/>
    <n v="42.162589670014349"/>
    <n v="15.6625"/>
    <n v="4"/>
    <n v="3"/>
  </r>
  <r>
    <n v="2025"/>
    <x v="1"/>
    <s v="New Raymer"/>
    <n v="1"/>
    <n v="10"/>
    <n v="2"/>
    <n v="12"/>
    <x v="41"/>
    <n v="58.9"/>
    <n v="65.061482604017201"/>
    <n v="15.0625"/>
    <n v="-2"/>
    <n v="2"/>
  </r>
  <r>
    <n v="2025"/>
    <x v="1"/>
    <s v="New Raymer"/>
    <n v="1"/>
    <n v="9"/>
    <n v="2"/>
    <n v="7"/>
    <x v="44"/>
    <n v="57.1"/>
    <n v="64.818545552367283"/>
    <n v="14.762499999999999"/>
    <n v="1"/>
    <n v="2"/>
  </r>
  <r>
    <n v="2025"/>
    <x v="1"/>
    <s v="New Raymer"/>
    <n v="1"/>
    <n v="8"/>
    <n v="2"/>
    <n v="33"/>
    <x v="3"/>
    <n v="57.3"/>
    <n v="67.818136657101846"/>
    <n v="14.9625"/>
    <n v="1"/>
    <n v="3"/>
  </r>
  <r>
    <n v="2025"/>
    <x v="1"/>
    <s v="New Raymer"/>
    <n v="1"/>
    <n v="7"/>
    <n v="2"/>
    <n v="39"/>
    <x v="46"/>
    <n v="56.3"/>
    <n v="65.701467180774728"/>
    <n v="15.362500000000001"/>
    <n v="0"/>
    <n v="6"/>
  </r>
  <r>
    <n v="2025"/>
    <x v="1"/>
    <s v="New Raymer"/>
    <n v="1"/>
    <n v="6"/>
    <n v="2"/>
    <n v="8"/>
    <x v="9"/>
    <n v="58"/>
    <n v="76.126028694404582"/>
    <n v="14.262499999999999"/>
    <n v="0"/>
    <n v="1"/>
  </r>
  <r>
    <n v="2025"/>
    <x v="1"/>
    <s v="New Raymer"/>
    <n v="1"/>
    <n v="5"/>
    <n v="2"/>
    <n v="2"/>
    <x v="23"/>
    <n v="57.6"/>
    <n v="63.135421269727388"/>
    <n v="14.9625"/>
    <n v="0"/>
    <n v="4"/>
  </r>
  <r>
    <n v="2025"/>
    <x v="1"/>
    <s v="New Raymer"/>
    <n v="1"/>
    <n v="4"/>
    <n v="2"/>
    <n v="26"/>
    <x v="11"/>
    <n v="57.8"/>
    <n v="64.987930954088952"/>
    <n v="14.6625"/>
    <n v="2"/>
    <n v="5"/>
  </r>
  <r>
    <n v="2025"/>
    <x v="1"/>
    <s v="New Raymer"/>
    <n v="1"/>
    <n v="3"/>
    <n v="2"/>
    <n v="42"/>
    <x v="42"/>
    <n v="57"/>
    <n v="65.842332675753227"/>
    <n v="14.362500000000001"/>
    <n v="-1"/>
    <n v="2"/>
  </r>
  <r>
    <n v="2025"/>
    <x v="1"/>
    <s v="New Raymer"/>
    <n v="1"/>
    <n v="2"/>
    <n v="2"/>
    <n v="14"/>
    <x v="5"/>
    <n v="58.8"/>
    <n v="56.239172883787639"/>
    <n v="14.262499999999999"/>
    <n v="0"/>
    <n v="2"/>
  </r>
  <r>
    <n v="2025"/>
    <x v="1"/>
    <s v="New Raymer"/>
    <n v="1"/>
    <n v="1"/>
    <n v="2"/>
    <n v="3"/>
    <x v="16"/>
    <n v="59.6"/>
    <n v="48.096789813486374"/>
    <n v="14.5625"/>
    <n v="1"/>
    <n v="1"/>
  </r>
  <r>
    <n v="2025"/>
    <x v="1"/>
    <s v="New Raymer"/>
    <n v="2"/>
    <n v="1"/>
    <n v="3"/>
    <n v="58"/>
    <x v="51"/>
    <n v="56.2"/>
    <n v="39.686402982516277"/>
    <n v="14.4625"/>
    <m/>
    <n v="4"/>
  </r>
  <r>
    <n v="2025"/>
    <x v="1"/>
    <s v="New Raymer"/>
    <n v="2"/>
    <n v="2"/>
    <n v="3"/>
    <n v="19"/>
    <x v="49"/>
    <n v="57.1"/>
    <n v="55.212218546451815"/>
    <n v="15.0625"/>
    <m/>
    <n v="1"/>
  </r>
  <r>
    <n v="2025"/>
    <x v="1"/>
    <s v="New Raymer"/>
    <n v="2"/>
    <n v="3"/>
    <n v="3"/>
    <n v="27"/>
    <x v="39"/>
    <n v="57.3"/>
    <n v="64.911503428179614"/>
    <n v="13.6625"/>
    <m/>
    <n v="2"/>
  </r>
  <r>
    <n v="2025"/>
    <x v="1"/>
    <s v="New Raymer"/>
    <n v="2"/>
    <n v="4"/>
    <n v="3"/>
    <n v="47"/>
    <x v="50"/>
    <n v="58.4"/>
    <n v="49.401559993143628"/>
    <n v="15.9625"/>
    <m/>
    <n v="2"/>
  </r>
  <r>
    <n v="2025"/>
    <x v="1"/>
    <s v="New Raymer"/>
    <n v="2"/>
    <n v="5"/>
    <n v="3"/>
    <n v="45"/>
    <x v="21"/>
    <n v="56.3"/>
    <n v="49.006306650668492"/>
    <n v="15.5625"/>
    <m/>
    <n v="3"/>
  </r>
  <r>
    <n v="2025"/>
    <x v="1"/>
    <s v="New Raymer"/>
    <n v="2"/>
    <n v="6"/>
    <n v="3"/>
    <n v="39"/>
    <x v="46"/>
    <n v="56.6"/>
    <n v="55.714588961261562"/>
    <n v="15.762499999999999"/>
    <m/>
    <n v="5"/>
  </r>
  <r>
    <n v="2025"/>
    <x v="1"/>
    <s v="New Raymer"/>
    <n v="2"/>
    <n v="7"/>
    <n v="3"/>
    <n v="20"/>
    <x v="18"/>
    <n v="55.2"/>
    <n v="66.701812821391826"/>
    <n v="15.5625"/>
    <m/>
    <n v="2"/>
  </r>
  <r>
    <n v="2025"/>
    <x v="1"/>
    <s v="New Raymer"/>
    <n v="2"/>
    <n v="8"/>
    <n v="3"/>
    <n v="10"/>
    <x v="15"/>
    <n v="54.6"/>
    <n v="54.639215461090146"/>
    <n v="16.762499999999999"/>
    <m/>
    <n v="4"/>
  </r>
  <r>
    <n v="2025"/>
    <x v="1"/>
    <s v="New Raymer"/>
    <n v="2"/>
    <n v="9"/>
    <n v="3"/>
    <n v="22"/>
    <x v="33"/>
    <n v="57.6"/>
    <n v="69.106219746314679"/>
    <n v="15.762499999999999"/>
    <m/>
    <n v="3"/>
  </r>
  <r>
    <n v="2025"/>
    <x v="1"/>
    <s v="New Raymer"/>
    <n v="2"/>
    <n v="10"/>
    <n v="3"/>
    <n v="57"/>
    <x v="45"/>
    <n v="57.8"/>
    <n v="69.514375557079177"/>
    <n v="13.262499999999999"/>
    <m/>
    <n v="5"/>
  </r>
  <r>
    <n v="2025"/>
    <x v="1"/>
    <s v="New Raymer"/>
    <n v="2"/>
    <n v="11"/>
    <n v="3"/>
    <n v="1"/>
    <x v="12"/>
    <n v="55"/>
    <n v="59.657625128556731"/>
    <n v="15.362500000000001"/>
    <m/>
    <n v="2"/>
  </r>
  <r>
    <n v="2025"/>
    <x v="1"/>
    <s v="New Raymer"/>
    <n v="2"/>
    <n v="12"/>
    <n v="3"/>
    <n v="9"/>
    <x v="1"/>
    <n v="58.3"/>
    <n v="42.157856359273211"/>
    <n v="15.1625"/>
    <m/>
    <n v="5"/>
  </r>
  <r>
    <n v="2025"/>
    <x v="1"/>
    <s v="New Raymer"/>
    <n v="2"/>
    <n v="13"/>
    <n v="3"/>
    <n v="5"/>
    <x v="28"/>
    <n v="57"/>
    <n v="38.856108501885494"/>
    <n v="14.6625"/>
    <m/>
    <n v="1"/>
  </r>
  <r>
    <n v="2025"/>
    <x v="1"/>
    <s v="New Raymer"/>
    <n v="2"/>
    <n v="14"/>
    <n v="3"/>
    <n v="32"/>
    <x v="24"/>
    <n v="58.5"/>
    <n v="41.657007541995192"/>
    <n v="14.4625"/>
    <m/>
    <n v="3"/>
  </r>
  <r>
    <n v="2025"/>
    <x v="1"/>
    <s v="New Raymer"/>
    <n v="2"/>
    <n v="15"/>
    <n v="3"/>
    <n v="14"/>
    <x v="5"/>
    <n v="58.2"/>
    <n v="29.536753513884122"/>
    <n v="14.762499999999999"/>
    <m/>
    <n v="2"/>
  </r>
  <r>
    <n v="2025"/>
    <x v="1"/>
    <s v="New Raymer"/>
    <n v="2"/>
    <n v="16"/>
    <n v="3"/>
    <n v="42"/>
    <x v="42"/>
    <n v="59.3"/>
    <n v="34.693594617757959"/>
    <n v="14.762499999999999"/>
    <m/>
    <n v="2"/>
  </r>
  <r>
    <n v="2025"/>
    <x v="1"/>
    <s v="New Raymer"/>
    <n v="2"/>
    <n v="17"/>
    <n v="3"/>
    <n v="8"/>
    <x v="9"/>
    <n v="56.9"/>
    <n v="41.086046451834072"/>
    <n v="14.6625"/>
    <m/>
    <n v="1"/>
  </r>
  <r>
    <n v="2025"/>
    <x v="1"/>
    <s v="New Raymer"/>
    <n v="2"/>
    <n v="18"/>
    <n v="3"/>
    <n v="6"/>
    <x v="10"/>
    <n v="60.6"/>
    <n v="33.978262769969135"/>
    <n v="15.862500000000001"/>
    <m/>
    <n v="1"/>
  </r>
  <r>
    <n v="2025"/>
    <x v="1"/>
    <s v="New Raymer"/>
    <n v="2"/>
    <n v="19"/>
    <n v="3"/>
    <n v="40"/>
    <x v="13"/>
    <n v="57.7"/>
    <n v="49.000231573534442"/>
    <n v="14.6625"/>
    <m/>
    <n v="2"/>
  </r>
  <r>
    <n v="2025"/>
    <x v="1"/>
    <s v="New Raymer"/>
    <n v="2"/>
    <n v="20"/>
    <n v="3"/>
    <n v="15"/>
    <x v="7"/>
    <n v="56.7"/>
    <n v="59.327528968117925"/>
    <n v="13.1625"/>
    <m/>
    <n v="1"/>
  </r>
  <r>
    <n v="2025"/>
    <x v="1"/>
    <s v="New Raymer"/>
    <n v="2"/>
    <n v="21"/>
    <n v="3"/>
    <n v="37"/>
    <x v="31"/>
    <n v="58.7"/>
    <n v="60.703121014741164"/>
    <n v="15.5625"/>
    <m/>
    <n v="5"/>
  </r>
  <r>
    <n v="2025"/>
    <x v="1"/>
    <s v="New Raymer"/>
    <n v="2"/>
    <n v="22"/>
    <n v="3"/>
    <n v="4"/>
    <x v="4"/>
    <n v="57.7"/>
    <n v="53.547698320191955"/>
    <n v="13.762499999999999"/>
    <m/>
    <n v="1"/>
  </r>
  <r>
    <n v="2025"/>
    <x v="1"/>
    <s v="New Raymer"/>
    <n v="2"/>
    <n v="23"/>
    <n v="3"/>
    <n v="24"/>
    <x v="29"/>
    <n v="56.3"/>
    <n v="68.052165581076437"/>
    <n v="14.0625"/>
    <m/>
    <n v="4"/>
  </r>
  <r>
    <n v="2025"/>
    <x v="1"/>
    <s v="New Raymer"/>
    <n v="2"/>
    <n v="24"/>
    <n v="3"/>
    <n v="31"/>
    <x v="6"/>
    <n v="58.1"/>
    <n v="55.282681522111744"/>
    <n v="14.262499999999999"/>
    <m/>
    <n v="1"/>
  </r>
  <r>
    <n v="2025"/>
    <x v="1"/>
    <s v="New Raymer"/>
    <n v="2"/>
    <n v="25"/>
    <n v="3"/>
    <n v="13"/>
    <x v="38"/>
    <n v="57.9"/>
    <n v="49.770601131299266"/>
    <n v="14.6625"/>
    <m/>
    <n v="2"/>
  </r>
  <r>
    <n v="2025"/>
    <x v="1"/>
    <s v="New Raymer"/>
    <n v="2"/>
    <n v="26"/>
    <n v="3"/>
    <n v="30"/>
    <x v="14"/>
    <n v="59.8"/>
    <n v="57.864572334590314"/>
    <n v="14.1625"/>
    <m/>
    <n v="2"/>
  </r>
  <r>
    <n v="2025"/>
    <x v="1"/>
    <s v="New Raymer"/>
    <n v="2"/>
    <n v="26"/>
    <n v="4"/>
    <n v="46"/>
    <x v="25"/>
    <n v="58.6"/>
    <n v="51.695344771241835"/>
    <n v="14.362500000000001"/>
    <m/>
    <n v="4"/>
  </r>
  <r>
    <n v="2025"/>
    <x v="1"/>
    <s v="New Raymer"/>
    <n v="2"/>
    <n v="25"/>
    <n v="4"/>
    <n v="16"/>
    <x v="40"/>
    <n v="59.9"/>
    <n v="55.133443899782137"/>
    <n v="13.9625"/>
    <m/>
    <n v="5"/>
  </r>
  <r>
    <n v="2025"/>
    <x v="1"/>
    <s v="New Raymer"/>
    <n v="2"/>
    <n v="24"/>
    <n v="4"/>
    <n v="12"/>
    <x v="41"/>
    <n v="57.7"/>
    <n v="55.119957516339873"/>
    <n v="13.9625"/>
    <m/>
    <n v="1"/>
  </r>
  <r>
    <n v="2025"/>
    <x v="1"/>
    <s v="New Raymer"/>
    <n v="2"/>
    <n v="23"/>
    <n v="4"/>
    <n v="48"/>
    <x v="48"/>
    <n v="58"/>
    <n v="44.476067538126358"/>
    <n v="15.5625"/>
    <m/>
    <n v="1"/>
  </r>
  <r>
    <n v="2025"/>
    <x v="1"/>
    <s v="New Raymer"/>
    <n v="2"/>
    <n v="22"/>
    <n v="4"/>
    <n v="43"/>
    <x v="22"/>
    <n v="56.5"/>
    <n v="65.411452069716773"/>
    <n v="14.362500000000001"/>
    <m/>
    <n v="2"/>
  </r>
  <r>
    <n v="2025"/>
    <x v="1"/>
    <s v="New Raymer"/>
    <n v="2"/>
    <n v="21"/>
    <n v="4"/>
    <n v="38"/>
    <x v="43"/>
    <n v="59.3"/>
    <n v="64.526263616557756"/>
    <n v="13.9625"/>
    <m/>
    <n v="2"/>
  </r>
  <r>
    <n v="2025"/>
    <x v="1"/>
    <s v="New Raymer"/>
    <n v="2"/>
    <n v="20"/>
    <n v="4"/>
    <n v="26"/>
    <x v="11"/>
    <n v="59"/>
    <n v="64.492826252723304"/>
    <n v="13.9625"/>
    <m/>
    <n v="5"/>
  </r>
  <r>
    <n v="2025"/>
    <x v="1"/>
    <s v="New Raymer"/>
    <n v="2"/>
    <n v="19"/>
    <n v="4"/>
    <n v="44"/>
    <x v="17"/>
    <n v="56.3"/>
    <n v="50.440829520697179"/>
    <n v="13.4625"/>
    <m/>
    <n v="3"/>
  </r>
  <r>
    <n v="2025"/>
    <x v="1"/>
    <s v="New Raymer"/>
    <n v="2"/>
    <n v="18"/>
    <n v="4"/>
    <n v="2"/>
    <x v="23"/>
    <n v="59.4"/>
    <n v="37.234065359477121"/>
    <n v="13.9625"/>
    <m/>
    <n v="4"/>
  </r>
  <r>
    <n v="2025"/>
    <x v="1"/>
    <s v="New Raymer"/>
    <n v="2"/>
    <n v="17"/>
    <n v="4"/>
    <n v="35"/>
    <x v="30"/>
    <n v="56.9"/>
    <n v="36.137522331154685"/>
    <n v="14.5625"/>
    <m/>
    <n v="3"/>
  </r>
  <r>
    <n v="2025"/>
    <x v="1"/>
    <s v="New Raymer"/>
    <n v="2"/>
    <n v="16"/>
    <n v="4"/>
    <n v="29"/>
    <x v="27"/>
    <n v="59.6"/>
    <n v="41.022415032679739"/>
    <n v="14.262499999999999"/>
    <m/>
    <n v="5"/>
  </r>
  <r>
    <n v="2025"/>
    <x v="1"/>
    <s v="New Raymer"/>
    <n v="2"/>
    <n v="15"/>
    <n v="4"/>
    <n v="25"/>
    <x v="34"/>
    <n v="58"/>
    <n v="35.656416122004359"/>
    <n v="13.5625"/>
    <m/>
    <n v="4"/>
  </r>
  <r>
    <n v="2025"/>
    <x v="1"/>
    <s v="New Raymer"/>
    <n v="2"/>
    <n v="14"/>
    <n v="4"/>
    <n v="3"/>
    <x v="16"/>
    <n v="60"/>
    <n v="46.061535403050108"/>
    <n v="13.862500000000001"/>
    <m/>
    <n v="1"/>
  </r>
  <r>
    <n v="2025"/>
    <x v="1"/>
    <s v="New Raymer"/>
    <n v="2"/>
    <n v="13"/>
    <n v="4"/>
    <n v="49"/>
    <x v="47"/>
    <n v="56.5"/>
    <n v="42.012091503267982"/>
    <n v="15.0625"/>
    <m/>
    <n v="1"/>
  </r>
  <r>
    <n v="2025"/>
    <x v="1"/>
    <s v="New Raymer"/>
    <n v="2"/>
    <n v="12"/>
    <n v="4"/>
    <n v="34"/>
    <x v="0"/>
    <n v="58.7"/>
    <n v="60.530843137254912"/>
    <n v="13.262499999999999"/>
    <m/>
    <n v="4"/>
  </r>
  <r>
    <n v="2025"/>
    <x v="1"/>
    <s v="New Raymer"/>
    <n v="2"/>
    <n v="11"/>
    <n v="4"/>
    <n v="28"/>
    <x v="37"/>
    <n v="57.6"/>
    <n v="80.926874183006547"/>
    <n v="12.4625"/>
    <m/>
    <n v="5"/>
  </r>
  <r>
    <n v="2025"/>
    <x v="1"/>
    <s v="New Raymer"/>
    <n v="2"/>
    <n v="10"/>
    <n v="4"/>
    <n v="23"/>
    <x v="35"/>
    <n v="59.7"/>
    <n v="77.942638888888908"/>
    <n v="12.4625"/>
    <m/>
    <n v="5"/>
  </r>
  <r>
    <n v="2025"/>
    <x v="1"/>
    <s v="New Raymer"/>
    <n v="2"/>
    <n v="9"/>
    <n v="4"/>
    <n v="11"/>
    <x v="2"/>
    <n v="60.4"/>
    <n v="86.70678104575164"/>
    <n v="11.862500000000001"/>
    <m/>
    <n v="6"/>
  </r>
  <r>
    <n v="2025"/>
    <x v="1"/>
    <s v="New Raymer"/>
    <n v="2"/>
    <n v="8"/>
    <n v="4"/>
    <n v="60"/>
    <x v="52"/>
    <n v="59.4"/>
    <n v="54.938888888888897"/>
    <n v="15.5625"/>
    <m/>
    <n v="2"/>
  </r>
  <r>
    <n v="2025"/>
    <x v="1"/>
    <s v="New Raymer"/>
    <n v="2"/>
    <n v="7"/>
    <n v="4"/>
    <n v="33"/>
    <x v="3"/>
    <n v="57.5"/>
    <n v="81.186830065359487"/>
    <n v="14.0625"/>
    <m/>
    <n v="4"/>
  </r>
  <r>
    <n v="2025"/>
    <x v="1"/>
    <s v="New Raymer"/>
    <n v="2"/>
    <n v="6"/>
    <n v="4"/>
    <n v="36"/>
    <x v="36"/>
    <n v="59.1"/>
    <n v="63.724467864923753"/>
    <n v="15.4625"/>
    <m/>
    <n v="1"/>
  </r>
  <r>
    <n v="2025"/>
    <x v="1"/>
    <s v="New Raymer"/>
    <n v="2"/>
    <n v="5"/>
    <n v="4"/>
    <n v="7"/>
    <x v="44"/>
    <n v="57"/>
    <n v="57.815424836601302"/>
    <n v="14.362500000000001"/>
    <m/>
    <n v="1"/>
  </r>
  <r>
    <n v="2025"/>
    <x v="1"/>
    <s v="New Raymer"/>
    <n v="2"/>
    <n v="4"/>
    <n v="4"/>
    <n v="18"/>
    <x v="8"/>
    <n v="55.7"/>
    <n v="58.500258714596953"/>
    <n v="14.262499999999999"/>
    <m/>
    <n v="2"/>
  </r>
  <r>
    <n v="2025"/>
    <x v="1"/>
    <s v="New Raymer"/>
    <n v="2"/>
    <n v="3"/>
    <n v="4"/>
    <n v="41"/>
    <x v="20"/>
    <n v="56.6"/>
    <n v="61.276668300653597"/>
    <n v="14.762499999999999"/>
    <m/>
    <n v="4"/>
  </r>
  <r>
    <n v="2025"/>
    <x v="1"/>
    <s v="New Raymer"/>
    <n v="2"/>
    <n v="2"/>
    <n v="4"/>
    <n v="17"/>
    <x v="32"/>
    <n v="57.8"/>
    <n v="69.241009803921571"/>
    <n v="13.6625"/>
    <m/>
    <n v="2"/>
  </r>
  <r>
    <n v="2025"/>
    <x v="1"/>
    <s v="New Raymer"/>
    <n v="2"/>
    <n v="1"/>
    <n v="4"/>
    <n v="21"/>
    <x v="26"/>
    <n v="56.3"/>
    <n v="66.768340413943363"/>
    <n v="14.5625"/>
    <m/>
    <n v="2"/>
  </r>
  <r>
    <n v="2025"/>
    <x v="1"/>
    <s v="New Raymer"/>
    <n v="3"/>
    <n v="1"/>
    <n v="5"/>
    <n v="15"/>
    <x v="7"/>
    <n v="55.8"/>
    <n v="49.71492063222297"/>
    <n v="14.1625"/>
    <m/>
    <n v="2"/>
  </r>
  <r>
    <n v="2025"/>
    <x v="1"/>
    <s v="New Raymer"/>
    <n v="3"/>
    <n v="2"/>
    <n v="5"/>
    <n v="40"/>
    <x v="13"/>
    <n v="58.6"/>
    <n v="50.209858939496932"/>
    <n v="13.9625"/>
    <m/>
    <n v="1"/>
  </r>
  <r>
    <n v="2025"/>
    <x v="1"/>
    <s v="New Raymer"/>
    <n v="3"/>
    <n v="3"/>
    <n v="5"/>
    <n v="19"/>
    <x v="49"/>
    <n v="55.6"/>
    <n v="49.202663494221603"/>
    <n v="13.0625"/>
    <m/>
    <n v="1"/>
  </r>
  <r>
    <n v="2025"/>
    <x v="1"/>
    <s v="New Raymer"/>
    <n v="3"/>
    <n v="4"/>
    <n v="5"/>
    <n v="1"/>
    <x v="12"/>
    <n v="55.9"/>
    <n v="53.100729605710391"/>
    <n v="13.762499999999999"/>
    <m/>
    <n v="2"/>
  </r>
  <r>
    <n v="2025"/>
    <x v="1"/>
    <s v="New Raymer"/>
    <n v="3"/>
    <n v="5"/>
    <n v="5"/>
    <n v="3"/>
    <x v="16"/>
    <n v="58.3"/>
    <n v="53.646648538409238"/>
    <n v="14.5625"/>
    <m/>
    <n v="1"/>
  </r>
  <r>
    <n v="2025"/>
    <x v="1"/>
    <s v="New Raymer"/>
    <n v="3"/>
    <n v="6"/>
    <n v="5"/>
    <n v="22"/>
    <x v="33"/>
    <n v="58.8"/>
    <n v="48.634507138001347"/>
    <n v="14.862500000000001"/>
    <m/>
    <n v="3"/>
  </r>
  <r>
    <n v="2025"/>
    <x v="1"/>
    <s v="New Raymer"/>
    <n v="3"/>
    <n v="7"/>
    <n v="5"/>
    <n v="44"/>
    <x v="17"/>
    <n v="56.2"/>
    <n v="56.865887151597541"/>
    <n v="15.4625"/>
    <m/>
    <n v="4"/>
  </r>
  <r>
    <n v="2025"/>
    <x v="1"/>
    <s v="New Raymer"/>
    <n v="3"/>
    <n v="8"/>
    <n v="5"/>
    <n v="42"/>
    <x v="42"/>
    <n v="58.7"/>
    <n v="65.387587525492847"/>
    <n v="15.1625"/>
    <m/>
    <n v="2"/>
  </r>
  <r>
    <n v="2025"/>
    <x v="1"/>
    <s v="New Raymer"/>
    <n v="3"/>
    <n v="9"/>
    <n v="5"/>
    <n v="8"/>
    <x v="9"/>
    <n v="56.9"/>
    <n v="68.721574609109439"/>
    <n v="14.262499999999999"/>
    <m/>
    <n v="1"/>
  </r>
  <r>
    <n v="2025"/>
    <x v="1"/>
    <s v="New Raymer"/>
    <n v="3"/>
    <n v="10"/>
    <n v="5"/>
    <n v="10"/>
    <x v="15"/>
    <n v="57.3"/>
    <n v="53.607899898028542"/>
    <n v="15.4625"/>
    <m/>
    <n v="4"/>
  </r>
  <r>
    <n v="2025"/>
    <x v="1"/>
    <s v="New Raymer"/>
    <n v="3"/>
    <n v="11"/>
    <n v="5"/>
    <n v="27"/>
    <x v="39"/>
    <n v="56.6"/>
    <n v="52.079451393609766"/>
    <n v="12.9625"/>
    <m/>
    <n v="3"/>
  </r>
  <r>
    <n v="2025"/>
    <x v="1"/>
    <s v="New Raymer"/>
    <n v="3"/>
    <n v="12"/>
    <n v="5"/>
    <n v="11"/>
    <x v="2"/>
    <n v="59.7"/>
    <n v="40.242675560842962"/>
    <n v="14.362500000000001"/>
    <m/>
    <n v="5"/>
  </r>
  <r>
    <n v="2025"/>
    <x v="1"/>
    <s v="New Raymer"/>
    <n v="3"/>
    <n v="13"/>
    <n v="5"/>
    <n v="17"/>
    <x v="32"/>
    <n v="57"/>
    <n v="50.066843983684564"/>
    <n v="12.762499999999999"/>
    <m/>
    <n v="4"/>
  </r>
  <r>
    <n v="2025"/>
    <x v="1"/>
    <s v="New Raymer"/>
    <n v="3"/>
    <n v="14"/>
    <n v="5"/>
    <n v="39"/>
    <x v="46"/>
    <n v="57.6"/>
    <n v="40.765016655336495"/>
    <n v="15.0625"/>
    <m/>
    <n v="5"/>
  </r>
  <r>
    <n v="2025"/>
    <x v="1"/>
    <s v="New Raymer"/>
    <n v="3"/>
    <n v="15"/>
    <n v="5"/>
    <n v="37"/>
    <x v="31"/>
    <n v="59"/>
    <n v="33.831674031271241"/>
    <n v="13.762499999999999"/>
    <m/>
    <n v="4"/>
  </r>
  <r>
    <n v="2025"/>
    <x v="1"/>
    <s v="New Raymer"/>
    <n v="3"/>
    <n v="16"/>
    <n v="5"/>
    <n v="58"/>
    <x v="51"/>
    <n v="58.5"/>
    <n v="30.109892080217534"/>
    <n v="14.262499999999999"/>
    <m/>
    <n v="6"/>
  </r>
  <r>
    <n v="2025"/>
    <x v="1"/>
    <s v="New Raymer"/>
    <n v="3"/>
    <n v="17"/>
    <n v="5"/>
    <n v="33"/>
    <x v="3"/>
    <n v="57.9"/>
    <n v="34.045859959211413"/>
    <n v="13.6625"/>
    <m/>
    <n v="3"/>
  </r>
  <r>
    <n v="2025"/>
    <x v="1"/>
    <s v="New Raymer"/>
    <n v="3"/>
    <n v="18"/>
    <n v="5"/>
    <n v="35"/>
    <x v="30"/>
    <n v="58.1"/>
    <n v="44.984978585995904"/>
    <n v="13.0625"/>
    <m/>
    <n v="2"/>
  </r>
  <r>
    <n v="2025"/>
    <x v="1"/>
    <s v="New Raymer"/>
    <n v="3"/>
    <n v="19"/>
    <n v="5"/>
    <n v="25"/>
    <x v="34"/>
    <n v="57.7"/>
    <n v="53.344129843643778"/>
    <n v="12.762499999999999"/>
    <m/>
    <n v="3"/>
  </r>
  <r>
    <n v="2025"/>
    <x v="1"/>
    <s v="New Raymer"/>
    <n v="3"/>
    <n v="20"/>
    <n v="5"/>
    <n v="28"/>
    <x v="37"/>
    <n v="59.4"/>
    <n v="53.995386301835481"/>
    <n v="12.362500000000001"/>
    <m/>
    <n v="5"/>
  </r>
  <r>
    <n v="2025"/>
    <x v="1"/>
    <s v="New Raymer"/>
    <n v="3"/>
    <n v="21"/>
    <n v="5"/>
    <n v="21"/>
    <x v="26"/>
    <n v="56.9"/>
    <n v="65.909889360978909"/>
    <n v="12.1625"/>
    <m/>
    <n v="3"/>
  </r>
  <r>
    <n v="2025"/>
    <x v="1"/>
    <s v="New Raymer"/>
    <n v="3"/>
    <n v="22"/>
    <n v="5"/>
    <n v="30"/>
    <x v="14"/>
    <n v="59.6"/>
    <n v="63.185970428280065"/>
    <n v="13.5625"/>
    <m/>
    <n v="2"/>
  </r>
  <r>
    <n v="2025"/>
    <x v="1"/>
    <s v="New Raymer"/>
    <n v="3"/>
    <n v="23"/>
    <n v="5"/>
    <n v="13"/>
    <x v="38"/>
    <n v="59.7"/>
    <n v="59.592509347382723"/>
    <n v="12.762499999999999"/>
    <m/>
    <n v="2"/>
  </r>
  <r>
    <n v="2025"/>
    <x v="1"/>
    <s v="New Raymer"/>
    <n v="3"/>
    <n v="24"/>
    <n v="5"/>
    <n v="4"/>
    <x v="4"/>
    <n v="58.3"/>
    <n v="44.733614377974149"/>
    <n v="13.1625"/>
    <m/>
    <n v="1"/>
  </r>
  <r>
    <n v="2025"/>
    <x v="1"/>
    <s v="New Raymer"/>
    <n v="3"/>
    <n v="25"/>
    <n v="5"/>
    <n v="6"/>
    <x v="10"/>
    <n v="61.1"/>
    <n v="48.47945649218218"/>
    <n v="15.1625"/>
    <m/>
    <n v="1"/>
  </r>
  <r>
    <n v="2025"/>
    <x v="1"/>
    <s v="New Raymer"/>
    <n v="3"/>
    <n v="26"/>
    <n v="5"/>
    <n v="36"/>
    <x v="36"/>
    <n v="60"/>
    <n v="56.155063562202578"/>
    <n v="13.5625"/>
    <m/>
    <n v="1"/>
  </r>
  <r>
    <n v="2025"/>
    <x v="1"/>
    <s v="New Raymer"/>
    <n v="3"/>
    <n v="26"/>
    <n v="6"/>
    <n v="48"/>
    <x v="48"/>
    <n v="59.4"/>
    <n v="47.237535861809974"/>
    <n v="14.862500000000001"/>
    <m/>
    <n v="1"/>
  </r>
  <r>
    <n v="2025"/>
    <x v="1"/>
    <s v="New Raymer"/>
    <n v="3"/>
    <n v="25"/>
    <n v="6"/>
    <n v="18"/>
    <x v="8"/>
    <n v="58.4"/>
    <n v="43.647840968832142"/>
    <n v="14.262499999999999"/>
    <m/>
    <n v="5"/>
  </r>
  <r>
    <n v="2025"/>
    <x v="1"/>
    <s v="New Raymer"/>
    <n v="3"/>
    <n v="24"/>
    <n v="6"/>
    <n v="26"/>
    <x v="11"/>
    <n v="58.4"/>
    <n v="57.296686819376639"/>
    <n v="13.0625"/>
    <m/>
    <n v="6"/>
  </r>
  <r>
    <n v="2025"/>
    <x v="1"/>
    <s v="New Raymer"/>
    <n v="3"/>
    <n v="23"/>
    <n v="6"/>
    <n v="32"/>
    <x v="24"/>
    <n v="60.1"/>
    <n v="64.419909688321425"/>
    <n v="14.5625"/>
    <m/>
    <n v="6"/>
  </r>
  <r>
    <n v="2025"/>
    <x v="1"/>
    <s v="New Raymer"/>
    <n v="3"/>
    <n v="22"/>
    <n v="6"/>
    <n v="20"/>
    <x v="18"/>
    <n v="58.7"/>
    <n v="87.158520653398426"/>
    <n v="11.6625"/>
    <m/>
    <n v="5"/>
  </r>
  <r>
    <n v="2025"/>
    <x v="1"/>
    <s v="New Raymer"/>
    <n v="3"/>
    <n v="21"/>
    <n v="6"/>
    <n v="57"/>
    <x v="45"/>
    <n v="57.2"/>
    <n v="79.234034735260977"/>
    <n v="13.362500000000001"/>
    <m/>
    <n v="5"/>
  </r>
  <r>
    <n v="2025"/>
    <x v="1"/>
    <s v="New Raymer"/>
    <n v="3"/>
    <n v="20"/>
    <n v="6"/>
    <n v="41"/>
    <x v="20"/>
    <n v="55.6"/>
    <n v="65.235652835148343"/>
    <n v="14.5625"/>
    <m/>
    <n v="4"/>
  </r>
  <r>
    <n v="2025"/>
    <x v="1"/>
    <s v="New Raymer"/>
    <n v="3"/>
    <n v="19"/>
    <n v="6"/>
    <n v="38"/>
    <x v="43"/>
    <n v="59.7"/>
    <n v="61.024968081111524"/>
    <n v="13.362500000000001"/>
    <m/>
    <n v="2"/>
  </r>
  <r>
    <n v="2025"/>
    <x v="1"/>
    <s v="New Raymer"/>
    <n v="3"/>
    <n v="18"/>
    <n v="6"/>
    <n v="7"/>
    <x v="44"/>
    <n v="58.4"/>
    <n v="34.958747653022904"/>
    <n v="14.762499999999999"/>
    <m/>
    <n v="2"/>
  </r>
  <r>
    <n v="2025"/>
    <x v="1"/>
    <s v="New Raymer"/>
    <n v="3"/>
    <n v="17"/>
    <n v="6"/>
    <n v="12"/>
    <x v="41"/>
    <n v="58.1"/>
    <n v="35.899241457003384"/>
    <n v="13.6625"/>
    <m/>
    <n v="1"/>
  </r>
  <r>
    <n v="2025"/>
    <x v="1"/>
    <s v="New Raymer"/>
    <n v="3"/>
    <n v="16"/>
    <n v="6"/>
    <n v="47"/>
    <x v="50"/>
    <n v="59.4"/>
    <n v="34.920010138941045"/>
    <n v="14.4625"/>
    <m/>
    <n v="6"/>
  </r>
  <r>
    <n v="2025"/>
    <x v="1"/>
    <s v="New Raymer"/>
    <n v="3"/>
    <n v="15"/>
    <n v="6"/>
    <n v="34"/>
    <x v="0"/>
    <n v="57.6"/>
    <n v="33.206798347728125"/>
    <n v="14.262499999999999"/>
    <m/>
    <n v="5"/>
  </r>
  <r>
    <n v="2025"/>
    <x v="1"/>
    <s v="New Raymer"/>
    <n v="3"/>
    <n v="14"/>
    <n v="6"/>
    <n v="49"/>
    <x v="47"/>
    <n v="57.8"/>
    <n v="38.266975966954568"/>
    <n v="15.5625"/>
    <m/>
    <n v="1"/>
  </r>
  <r>
    <n v="2025"/>
    <x v="1"/>
    <s v="New Raymer"/>
    <n v="3"/>
    <n v="13"/>
    <n v="6"/>
    <n v="14"/>
    <x v="5"/>
    <n v="58.3"/>
    <n v="58.739250281637254"/>
    <n v="13.1625"/>
    <m/>
    <n v="3"/>
  </r>
  <r>
    <n v="2025"/>
    <x v="1"/>
    <s v="New Raymer"/>
    <n v="3"/>
    <n v="12"/>
    <n v="6"/>
    <n v="2"/>
    <x v="23"/>
    <n v="58.7"/>
    <n v="53.282149455501305"/>
    <n v="14.0625"/>
    <m/>
    <n v="3"/>
  </r>
  <r>
    <n v="2025"/>
    <x v="1"/>
    <s v="New Raymer"/>
    <n v="3"/>
    <n v="11"/>
    <n v="6"/>
    <n v="16"/>
    <x v="40"/>
    <n v="58.8"/>
    <n v="67.367554449868564"/>
    <n v="14.1625"/>
    <m/>
    <n v="3"/>
  </r>
  <r>
    <n v="2025"/>
    <x v="1"/>
    <s v="New Raymer"/>
    <n v="3"/>
    <n v="10"/>
    <n v="6"/>
    <n v="60"/>
    <x v="52"/>
    <n v="59.2"/>
    <n v="49.297947803229434"/>
    <n v="14.4625"/>
    <m/>
    <n v="2"/>
  </r>
  <r>
    <n v="2025"/>
    <x v="1"/>
    <s v="New Raymer"/>
    <n v="3"/>
    <n v="9"/>
    <n v="6"/>
    <n v="46"/>
    <x v="25"/>
    <n v="58"/>
    <n v="64.97078539241457"/>
    <n v="15.4625"/>
    <m/>
    <n v="2"/>
  </r>
  <r>
    <n v="2025"/>
    <x v="1"/>
    <s v="New Raymer"/>
    <n v="3"/>
    <n v="8"/>
    <n v="6"/>
    <n v="45"/>
    <x v="21"/>
    <n v="56.2"/>
    <n v="59.355332895230937"/>
    <n v="14.9625"/>
    <m/>
    <n v="3"/>
  </r>
  <r>
    <n v="2025"/>
    <x v="1"/>
    <s v="New Raymer"/>
    <n v="3"/>
    <n v="7"/>
    <n v="6"/>
    <n v="29"/>
    <x v="27"/>
    <n v="57.4"/>
    <n v="70.632429215170859"/>
    <n v="15.362500000000001"/>
    <m/>
    <n v="4"/>
  </r>
  <r>
    <n v="2025"/>
    <x v="1"/>
    <s v="New Raymer"/>
    <n v="3"/>
    <n v="6"/>
    <n v="6"/>
    <n v="24"/>
    <x v="29"/>
    <n v="56.2"/>
    <n v="63.187329327825758"/>
    <n v="13.762499999999999"/>
    <m/>
    <n v="2"/>
  </r>
  <r>
    <n v="2025"/>
    <x v="1"/>
    <s v="New Raymer"/>
    <n v="3"/>
    <n v="5"/>
    <n v="6"/>
    <n v="23"/>
    <x v="35"/>
    <n v="58"/>
    <n v="70.476041682313181"/>
    <n v="14.362500000000001"/>
    <m/>
    <n v="4"/>
  </r>
  <r>
    <n v="2025"/>
    <x v="1"/>
    <s v="New Raymer"/>
    <n v="3"/>
    <n v="4"/>
    <n v="6"/>
    <n v="5"/>
    <x v="28"/>
    <n v="57.7"/>
    <n v="56.068102891475775"/>
    <n v="12.862500000000001"/>
    <m/>
    <n v="1"/>
  </r>
  <r>
    <n v="2025"/>
    <x v="1"/>
    <s v="New Raymer"/>
    <n v="3"/>
    <n v="3"/>
    <n v="6"/>
    <n v="31"/>
    <x v="6"/>
    <n v="57"/>
    <n v="54.802435786706724"/>
    <n v="13.4625"/>
    <m/>
    <n v="2"/>
  </r>
  <r>
    <n v="2025"/>
    <x v="1"/>
    <s v="New Raymer"/>
    <n v="3"/>
    <n v="2"/>
    <n v="6"/>
    <n v="9"/>
    <x v="1"/>
    <n v="58.5"/>
    <n v="46.29527619226436"/>
    <n v="13.4625"/>
    <m/>
    <n v="2"/>
  </r>
  <r>
    <n v="2025"/>
    <x v="1"/>
    <s v="New Raymer"/>
    <n v="3"/>
    <n v="1"/>
    <n v="6"/>
    <n v="43"/>
    <x v="22"/>
    <n v="55"/>
    <n v="44.009744273375901"/>
    <n v="14.362500000000001"/>
    <m/>
    <n v="2"/>
  </r>
  <r>
    <n v="2025"/>
    <x v="1"/>
    <s v="Orchard"/>
    <n v="1"/>
    <n v="5"/>
    <n v="3"/>
    <n v="30"/>
    <x v="14"/>
    <n v="58.7"/>
    <n v="33.919317101008183"/>
    <n v="15.4"/>
    <m/>
    <n v="1"/>
  </r>
  <r>
    <n v="2025"/>
    <x v="1"/>
    <s v="Orchard"/>
    <n v="2"/>
    <n v="4"/>
    <n v="5"/>
    <n v="30"/>
    <x v="14"/>
    <n v="60.6"/>
    <n v="27.661778650447772"/>
    <m/>
    <m/>
    <n v="1"/>
  </r>
  <r>
    <n v="2025"/>
    <x v="1"/>
    <s v="Orchard"/>
    <n v="3"/>
    <n v="3"/>
    <n v="9"/>
    <n v="30"/>
    <x v="14"/>
    <n v="59.2"/>
    <n v="41.210701264264394"/>
    <m/>
    <m/>
    <n v="1"/>
  </r>
  <r>
    <n v="2025"/>
    <x v="1"/>
    <s v="Orchard"/>
    <n v="1"/>
    <n v="2"/>
    <n v="1"/>
    <n v="39"/>
    <x v="46"/>
    <n v="58.7"/>
    <n v="29.392416536582903"/>
    <n v="15.6"/>
    <m/>
    <n v="5"/>
  </r>
  <r>
    <n v="2025"/>
    <x v="1"/>
    <s v="Orchard"/>
    <n v="2"/>
    <n v="8"/>
    <n v="6"/>
    <n v="39"/>
    <x v="46"/>
    <n v="56.9"/>
    <n v="19.372246010120666"/>
    <m/>
    <m/>
    <n v="3"/>
  </r>
  <r>
    <n v="2025"/>
    <x v="1"/>
    <s v="Orchard"/>
    <n v="3"/>
    <n v="15"/>
    <n v="9"/>
    <n v="39"/>
    <x v="46"/>
    <n v="57.5"/>
    <n v="29.851600928074237"/>
    <m/>
    <m/>
    <n v="4"/>
  </r>
  <r>
    <n v="2025"/>
    <x v="1"/>
    <s v="Orchard"/>
    <n v="1"/>
    <n v="3"/>
    <n v="2"/>
    <n v="38"/>
    <x v="43"/>
    <n v="57.7"/>
    <n v="32.581871185431446"/>
    <n v="15.3"/>
    <m/>
    <n v="1"/>
  </r>
  <r>
    <n v="2025"/>
    <x v="1"/>
    <s v="Orchard"/>
    <n v="2"/>
    <n v="13"/>
    <n v="6"/>
    <n v="38"/>
    <x v="43"/>
    <n v="57.8"/>
    <n v="40.104104223433232"/>
    <m/>
    <m/>
    <n v="1"/>
  </r>
  <r>
    <n v="2025"/>
    <x v="1"/>
    <s v="Orchard"/>
    <n v="3"/>
    <n v="12"/>
    <n v="8"/>
    <n v="38"/>
    <x v="43"/>
    <n v="56.7"/>
    <n v="40.440340909090907"/>
    <m/>
    <m/>
    <n v="1"/>
  </r>
  <r>
    <n v="2025"/>
    <x v="1"/>
    <s v="Orchard"/>
    <n v="1"/>
    <n v="1"/>
    <n v="2"/>
    <n v="37"/>
    <x v="31"/>
    <n v="60.1"/>
    <n v="23.317292710762665"/>
    <n v="15.9"/>
    <m/>
    <n v="4"/>
  </r>
  <r>
    <n v="2025"/>
    <x v="1"/>
    <s v="Orchard"/>
    <n v="2"/>
    <n v="16"/>
    <n v="4"/>
    <n v="37"/>
    <x v="31"/>
    <n v="59.1"/>
    <n v="19.166686487290022"/>
    <m/>
    <m/>
    <n v="3"/>
  </r>
  <r>
    <n v="2025"/>
    <x v="1"/>
    <s v="Orchard"/>
    <n v="3"/>
    <n v="17"/>
    <n v="7"/>
    <n v="37"/>
    <x v="31"/>
    <n v="58.6"/>
    <n v="23.381978607083429"/>
    <m/>
    <m/>
    <n v="3"/>
  </r>
  <r>
    <n v="2025"/>
    <x v="1"/>
    <s v="Orchard"/>
    <n v="1"/>
    <n v="8"/>
    <n v="3"/>
    <n v="40"/>
    <x v="13"/>
    <n v="58.7"/>
    <n v="17.38102529960053"/>
    <n v="14"/>
    <m/>
    <n v="4"/>
  </r>
  <r>
    <n v="2025"/>
    <x v="1"/>
    <s v="Orchard"/>
    <n v="2"/>
    <n v="10"/>
    <n v="6"/>
    <n v="40"/>
    <x v="13"/>
    <n v="57.9"/>
    <n v="19.624274036590108"/>
    <m/>
    <m/>
    <n v="3"/>
  </r>
  <r>
    <n v="2025"/>
    <x v="1"/>
    <s v="Orchard"/>
    <n v="3"/>
    <n v="18"/>
    <n v="7"/>
    <n v="40"/>
    <x v="13"/>
    <n v="62.3"/>
    <n v="28.960712146422626"/>
    <m/>
    <m/>
    <n v="3"/>
  </r>
  <r>
    <n v="2025"/>
    <x v="1"/>
    <s v="Orchard"/>
    <n v="1"/>
    <n v="3"/>
    <n v="3"/>
    <n v="41"/>
    <x v="20"/>
    <n v="58.3"/>
    <n v="27.281966901274487"/>
    <n v="15.1"/>
    <m/>
    <n v="3"/>
  </r>
  <r>
    <n v="2025"/>
    <x v="1"/>
    <s v="Orchard"/>
    <n v="2"/>
    <n v="17"/>
    <n v="6"/>
    <n v="41"/>
    <x v="20"/>
    <s v="."/>
    <n v="16.952064032697546"/>
    <m/>
    <m/>
    <n v="3"/>
  </r>
  <r>
    <n v="2025"/>
    <x v="1"/>
    <s v="Orchard"/>
    <n v="3"/>
    <n v="18"/>
    <n v="9"/>
    <n v="41"/>
    <x v="20"/>
    <n v="58"/>
    <n v="24.310994838770771"/>
    <m/>
    <m/>
    <n v="4"/>
  </r>
  <r>
    <n v="2025"/>
    <x v="1"/>
    <s v="Orchard"/>
    <n v="1"/>
    <n v="13"/>
    <n v="3"/>
    <n v="20"/>
    <x v="18"/>
    <n v="60.9"/>
    <n v="24.14737492866654"/>
    <n v="15"/>
    <m/>
    <n v="4"/>
  </r>
  <r>
    <n v="2025"/>
    <x v="1"/>
    <s v="Orchard"/>
    <n v="2"/>
    <n v="5"/>
    <n v="6"/>
    <n v="20"/>
    <x v="18"/>
    <n v="60.4"/>
    <n v="26.747245036979368"/>
    <m/>
    <m/>
    <n v="4"/>
  </r>
  <r>
    <n v="2025"/>
    <x v="1"/>
    <s v="Orchard"/>
    <n v="3"/>
    <n v="2"/>
    <n v="9"/>
    <n v="20"/>
    <x v="18"/>
    <n v="61.8"/>
    <n v="40.822557886263539"/>
    <m/>
    <m/>
    <n v="3"/>
  </r>
  <r>
    <n v="2025"/>
    <x v="1"/>
    <s v="Orchard"/>
    <n v="1"/>
    <n v="1"/>
    <n v="3"/>
    <n v="32"/>
    <x v="24"/>
    <n v="60.6"/>
    <n v="34.959786950732358"/>
    <n v="15.6"/>
    <m/>
    <n v="4"/>
  </r>
  <r>
    <n v="2025"/>
    <x v="1"/>
    <s v="Orchard"/>
    <n v="2"/>
    <n v="9"/>
    <n v="6"/>
    <n v="32"/>
    <x v="24"/>
    <n v="59"/>
    <n v="25.235751265083689"/>
    <m/>
    <m/>
    <n v="3"/>
  </r>
  <r>
    <n v="2025"/>
    <x v="1"/>
    <s v="Orchard"/>
    <n v="3"/>
    <n v="4"/>
    <n v="9"/>
    <n v="32"/>
    <x v="24"/>
    <n v="62.1"/>
    <n v="39.391537004593005"/>
    <m/>
    <m/>
    <n v="4"/>
  </r>
  <r>
    <n v="2025"/>
    <x v="1"/>
    <s v="Orchard"/>
    <n v="1"/>
    <n v="3"/>
    <n v="1"/>
    <n v="21"/>
    <x v="26"/>
    <n v="56.4"/>
    <n v="18.067911274485116"/>
    <n v="15.9"/>
    <m/>
    <n v="4"/>
  </r>
  <r>
    <n v="2025"/>
    <x v="1"/>
    <s v="Orchard"/>
    <n v="2"/>
    <n v="8"/>
    <n v="5"/>
    <n v="21"/>
    <x v="26"/>
    <n v="59.5"/>
    <n v="20.174693261816955"/>
    <m/>
    <m/>
    <n v="2"/>
  </r>
  <r>
    <n v="2025"/>
    <x v="1"/>
    <s v="Orchard"/>
    <n v="3"/>
    <n v="7"/>
    <n v="8"/>
    <n v="21"/>
    <x v="26"/>
    <n v="60.4"/>
    <n v="30.989366883116876"/>
    <m/>
    <m/>
    <n v="3"/>
  </r>
  <r>
    <n v="2025"/>
    <x v="1"/>
    <s v="Orchard"/>
    <n v="1"/>
    <n v="12"/>
    <n v="2"/>
    <n v="29"/>
    <x v="27"/>
    <n v="57.5"/>
    <n v="23.538941100580551"/>
    <n v="14.3"/>
    <m/>
    <n v="4"/>
  </r>
  <r>
    <n v="2025"/>
    <x v="1"/>
    <s v="Orchard"/>
    <n v="2"/>
    <n v="7"/>
    <n v="4"/>
    <n v="29"/>
    <x v="27"/>
    <n v="58.7"/>
    <n v="21.265990783410135"/>
    <m/>
    <m/>
    <n v="4"/>
  </r>
  <r>
    <n v="2025"/>
    <x v="1"/>
    <s v="Orchard"/>
    <n v="3"/>
    <n v="10"/>
    <n v="9"/>
    <n v="29"/>
    <x v="27"/>
    <n v="63.5"/>
    <n v="29.770597092665366"/>
    <m/>
    <m/>
    <n v="3"/>
  </r>
  <r>
    <n v="2025"/>
    <x v="1"/>
    <s v="Orchard"/>
    <n v="1"/>
    <n v="9"/>
    <n v="2"/>
    <n v="22"/>
    <x v="33"/>
    <n v="63.1"/>
    <n v="29.15059494864288"/>
    <n v="12.7"/>
    <m/>
    <n v="3"/>
  </r>
  <r>
    <n v="2025"/>
    <x v="1"/>
    <s v="Orchard"/>
    <n v="2"/>
    <n v="11"/>
    <n v="4"/>
    <n v="22"/>
    <x v="33"/>
    <n v="62.5"/>
    <n v="27.736482830385011"/>
    <m/>
    <m/>
    <n v="3"/>
  </r>
  <r>
    <n v="2025"/>
    <x v="1"/>
    <s v="Orchard"/>
    <n v="3"/>
    <n v="1"/>
    <n v="9"/>
    <n v="22"/>
    <x v="33"/>
    <n v="62.6"/>
    <n v="35.596497940243374"/>
    <m/>
    <m/>
    <n v="4"/>
  </r>
  <r>
    <n v="2025"/>
    <x v="1"/>
    <s v="Orchard"/>
    <n v="1"/>
    <n v="8"/>
    <n v="2"/>
    <n v="18"/>
    <x v="8"/>
    <s v="."/>
    <n v="17.356292115317814"/>
    <n v="15"/>
    <m/>
    <n v="2"/>
  </r>
  <r>
    <n v="2025"/>
    <x v="1"/>
    <s v="Orchard"/>
    <n v="2"/>
    <n v="17"/>
    <n v="4"/>
    <n v="18"/>
    <x v="8"/>
    <n v="58.2"/>
    <n v="19.5376482830385"/>
    <m/>
    <m/>
    <n v="3"/>
  </r>
  <r>
    <n v="2025"/>
    <x v="1"/>
    <s v="Orchard"/>
    <n v="3"/>
    <n v="7"/>
    <n v="7"/>
    <n v="18"/>
    <x v="8"/>
    <n v="58.6"/>
    <n v="30.385916805324456"/>
    <m/>
    <m/>
    <n v="2"/>
  </r>
  <r>
    <n v="2025"/>
    <x v="1"/>
    <s v="Orchard"/>
    <n v="1"/>
    <n v="12"/>
    <n v="1"/>
    <n v="14"/>
    <x v="5"/>
    <s v="."/>
    <n v="18.332572637091495"/>
    <n v="15.7"/>
    <m/>
    <n v="4"/>
  </r>
  <r>
    <n v="2025"/>
    <x v="1"/>
    <s v="Orchard"/>
    <n v="2"/>
    <n v="14"/>
    <n v="5"/>
    <n v="14"/>
    <x v="5"/>
    <n v="61"/>
    <n v="25.792057851635452"/>
    <m/>
    <m/>
    <n v="3"/>
  </r>
  <r>
    <n v="2025"/>
    <x v="1"/>
    <s v="Orchard"/>
    <n v="3"/>
    <n v="17"/>
    <n v="9"/>
    <n v="14"/>
    <x v="5"/>
    <n v="58.9"/>
    <n v="27.867006960556839"/>
    <m/>
    <m/>
    <n v="3"/>
  </r>
  <r>
    <n v="2025"/>
    <x v="1"/>
    <s v="Orchard"/>
    <n v="1"/>
    <n v="7"/>
    <n v="3"/>
    <n v="15"/>
    <x v="7"/>
    <n v="59.8"/>
    <n v="21.023328894806927"/>
    <n v="14.1"/>
    <m/>
    <n v="3"/>
  </r>
  <r>
    <n v="2025"/>
    <x v="1"/>
    <s v="Orchard"/>
    <n v="2"/>
    <n v="15"/>
    <n v="5"/>
    <n v="15"/>
    <x v="7"/>
    <n v="59.1"/>
    <n v="20.476088309946839"/>
    <m/>
    <m/>
    <n v="3"/>
  </r>
  <r>
    <n v="2025"/>
    <x v="1"/>
    <s v="Orchard"/>
    <n v="3"/>
    <n v="8"/>
    <n v="8"/>
    <n v="15"/>
    <x v="7"/>
    <n v="56.8"/>
    <n v="18.088831168831167"/>
    <m/>
    <m/>
    <n v="3"/>
  </r>
  <r>
    <n v="2025"/>
    <x v="1"/>
    <s v="Orchard"/>
    <n v="1"/>
    <n v="17"/>
    <n v="2"/>
    <n v="16"/>
    <x v="40"/>
    <n v="60.5"/>
    <n v="23.774147769562841"/>
    <n v="15"/>
    <m/>
    <n v="3"/>
  </r>
  <r>
    <n v="2025"/>
    <x v="1"/>
    <s v="Orchard"/>
    <n v="2"/>
    <n v="1"/>
    <n v="5"/>
    <n v="16"/>
    <x v="40"/>
    <n v="58.3"/>
    <n v="30.353330779177234"/>
    <m/>
    <m/>
    <n v="3"/>
  </r>
  <r>
    <n v="2025"/>
    <x v="1"/>
    <s v="Orchard"/>
    <n v="3"/>
    <n v="2"/>
    <n v="8"/>
    <n v="16"/>
    <x v="40"/>
    <n v="58.7"/>
    <n v="33.456038961038963"/>
    <m/>
    <m/>
    <n v="3"/>
  </r>
  <r>
    <n v="2025"/>
    <x v="1"/>
    <s v="Orchard"/>
    <n v="1"/>
    <n v="17"/>
    <n v="1"/>
    <n v="11"/>
    <x v="2"/>
    <n v="61.2"/>
    <n v="27.122580190341903"/>
    <n v="15.1"/>
    <m/>
    <n v="5"/>
  </r>
  <r>
    <n v="2025"/>
    <x v="1"/>
    <s v="Orchard"/>
    <n v="2"/>
    <n v="9"/>
    <n v="4"/>
    <n v="11"/>
    <x v="2"/>
    <n v="61.5"/>
    <n v="27.887379218076401"/>
    <m/>
    <m/>
    <n v="4"/>
  </r>
  <r>
    <n v="2025"/>
    <x v="1"/>
    <s v="Orchard"/>
    <n v="3"/>
    <n v="12"/>
    <n v="7"/>
    <n v="11"/>
    <x v="2"/>
    <n v="59"/>
    <n v="30.787658664131211"/>
    <m/>
    <m/>
    <n v="4"/>
  </r>
  <r>
    <n v="2025"/>
    <x v="1"/>
    <s v="Orchard"/>
    <n v="1"/>
    <n v="18"/>
    <n v="1"/>
    <n v="1"/>
    <x v="12"/>
    <n v="57.3"/>
    <n v="25.266810010574545"/>
    <n v="15.7"/>
    <m/>
    <n v="4"/>
  </r>
  <r>
    <n v="2025"/>
    <x v="1"/>
    <s v="Orchard"/>
    <n v="2"/>
    <n v="12"/>
    <n v="5"/>
    <n v="1"/>
    <x v="12"/>
    <n v="57.6"/>
    <n v="21.039716488673911"/>
    <m/>
    <m/>
    <n v="2"/>
  </r>
  <r>
    <n v="2025"/>
    <x v="1"/>
    <s v="Orchard"/>
    <n v="3"/>
    <n v="14"/>
    <n v="8"/>
    <n v="1"/>
    <x v="12"/>
    <n v="56.4"/>
    <n v="21.68571428571428"/>
    <m/>
    <m/>
    <n v="2"/>
  </r>
  <r>
    <n v="2025"/>
    <x v="1"/>
    <s v="Orchard"/>
    <n v="1"/>
    <n v="10"/>
    <n v="1"/>
    <n v="17"/>
    <x v="32"/>
    <n v="60.7"/>
    <n v="23.779890729643981"/>
    <n v="14.3"/>
    <m/>
    <n v="3"/>
  </r>
  <r>
    <n v="2025"/>
    <x v="1"/>
    <s v="Orchard"/>
    <n v="2"/>
    <n v="13"/>
    <n v="4"/>
    <n v="17"/>
    <x v="32"/>
    <n v="59.5"/>
    <n v="25.383460680838411"/>
    <m/>
    <m/>
    <n v="3"/>
  </r>
  <r>
    <n v="2025"/>
    <x v="1"/>
    <s v="Orchard"/>
    <n v="3"/>
    <n v="11"/>
    <n v="9"/>
    <n v="17"/>
    <x v="32"/>
    <n v="59.2"/>
    <n v="30.608949287371555"/>
    <m/>
    <m/>
    <n v="3"/>
  </r>
  <r>
    <n v="2025"/>
    <x v="1"/>
    <s v="Orchard"/>
    <n v="1"/>
    <n v="14"/>
    <n v="1"/>
    <n v="12"/>
    <x v="41"/>
    <n v="48.7"/>
    <n v="13.182468905785784"/>
    <n v="16.7"/>
    <m/>
    <n v="2"/>
  </r>
  <r>
    <n v="2025"/>
    <x v="1"/>
    <s v="Orchard"/>
    <n v="2"/>
    <n v="2"/>
    <n v="4"/>
    <n v="12"/>
    <x v="41"/>
    <s v="."/>
    <n v="10.207581388434663"/>
    <m/>
    <m/>
    <n v="1"/>
  </r>
  <r>
    <n v="2025"/>
    <x v="1"/>
    <s v="Orchard"/>
    <n v="3"/>
    <n v="12"/>
    <n v="9"/>
    <n v="12"/>
    <x v="41"/>
    <s v="."/>
    <n v="16.257019745253086"/>
    <m/>
    <m/>
    <n v="1"/>
  </r>
  <r>
    <n v="2025"/>
    <x v="1"/>
    <s v="Orchard"/>
    <n v="1"/>
    <n v="15"/>
    <n v="1"/>
    <n v="13"/>
    <x v="38"/>
    <n v="60.1"/>
    <n v="28.13207210836396"/>
    <n v="14.6"/>
    <m/>
    <n v="1"/>
  </r>
  <r>
    <n v="2025"/>
    <x v="1"/>
    <s v="Orchard"/>
    <n v="2"/>
    <n v="11"/>
    <n v="6"/>
    <n v="13"/>
    <x v="38"/>
    <n v="61.4"/>
    <n v="22.927613857532112"/>
    <m/>
    <m/>
    <n v="1"/>
  </r>
  <r>
    <n v="2025"/>
    <x v="1"/>
    <s v="Orchard"/>
    <n v="3"/>
    <n v="17"/>
    <n v="8"/>
    <n v="13"/>
    <x v="38"/>
    <n v="62.5"/>
    <n v="27.403636363636359"/>
    <m/>
    <m/>
    <n v="1"/>
  </r>
  <r>
    <n v="2025"/>
    <x v="1"/>
    <s v="Orchard"/>
    <n v="1"/>
    <n v="17"/>
    <n v="3"/>
    <n v="2"/>
    <x v="23"/>
    <s v="."/>
    <n v="10.007436750998666"/>
    <m/>
    <m/>
    <n v="2"/>
  </r>
  <r>
    <n v="2025"/>
    <x v="1"/>
    <s v="Orchard"/>
    <n v="2"/>
    <n v="14"/>
    <n v="6"/>
    <n v="2"/>
    <x v="23"/>
    <s v="."/>
    <n v="15.167636239782013"/>
    <m/>
    <m/>
    <n v="1"/>
  </r>
  <r>
    <n v="2025"/>
    <x v="1"/>
    <s v="Orchard"/>
    <n v="3"/>
    <n v="13"/>
    <n v="9"/>
    <n v="2"/>
    <x v="23"/>
    <n v="60.4"/>
    <n v="23.070904872389782"/>
    <m/>
    <m/>
    <n v="1"/>
  </r>
  <r>
    <n v="2025"/>
    <x v="1"/>
    <s v="Orchard"/>
    <n v="1"/>
    <n v="6"/>
    <n v="2"/>
    <n v="9"/>
    <x v="1"/>
    <n v="58.7"/>
    <n v="40.433834168610126"/>
    <n v="14.9"/>
    <m/>
    <n v="2"/>
  </r>
  <r>
    <n v="2025"/>
    <x v="1"/>
    <s v="Orchard"/>
    <n v="2"/>
    <n v="5"/>
    <n v="4"/>
    <n v="9"/>
    <x v="1"/>
    <n v="57.6"/>
    <n v="30.764025568604126"/>
    <m/>
    <m/>
    <n v="3"/>
  </r>
  <r>
    <n v="2025"/>
    <x v="1"/>
    <s v="Orchard"/>
    <n v="3"/>
    <n v="4"/>
    <n v="7"/>
    <n v="9"/>
    <x v="1"/>
    <n v="58.2"/>
    <n v="35.62188019966721"/>
    <m/>
    <m/>
    <n v="2"/>
  </r>
  <r>
    <n v="2025"/>
    <x v="1"/>
    <s v="Orchard"/>
    <n v="1"/>
    <n v="14"/>
    <n v="3"/>
    <n v="3"/>
    <x v="16"/>
    <n v="59.9"/>
    <n v="24.525804641430472"/>
    <n v="14.5"/>
    <m/>
    <n v="1"/>
  </r>
  <r>
    <n v="2025"/>
    <x v="1"/>
    <s v="Orchard"/>
    <n v="2"/>
    <n v="9"/>
    <n v="5"/>
    <n v="3"/>
    <x v="16"/>
    <n v="62.2"/>
    <n v="30.8522896413007"/>
    <m/>
    <m/>
    <n v="1"/>
  </r>
  <r>
    <n v="2025"/>
    <x v="1"/>
    <s v="Orchard"/>
    <n v="3"/>
    <n v="8"/>
    <n v="7"/>
    <n v="3"/>
    <x v="16"/>
    <n v="60.7"/>
    <n v="35.404207273591631"/>
    <m/>
    <m/>
    <n v="1"/>
  </r>
  <r>
    <n v="2025"/>
    <x v="1"/>
    <s v="Orchard"/>
    <n v="1"/>
    <n v="18"/>
    <n v="2"/>
    <n v="10"/>
    <x v="15"/>
    <n v="59"/>
    <n v="38.736396566268049"/>
    <n v="14.9"/>
    <m/>
    <n v="1"/>
  </r>
  <r>
    <n v="2025"/>
    <x v="1"/>
    <s v="Orchard"/>
    <n v="2"/>
    <n v="13"/>
    <n v="5"/>
    <n v="10"/>
    <x v="15"/>
    <n v="59"/>
    <n v="30.993007039892717"/>
    <m/>
    <m/>
    <n v="2"/>
  </r>
  <r>
    <n v="2025"/>
    <x v="1"/>
    <s v="Orchard"/>
    <n v="3"/>
    <n v="6"/>
    <n v="8"/>
    <n v="10"/>
    <x v="15"/>
    <n v="61"/>
    <n v="38.706331168831163"/>
    <m/>
    <m/>
    <n v="2"/>
  </r>
  <r>
    <n v="2025"/>
    <x v="1"/>
    <s v="Orchard"/>
    <n v="1"/>
    <n v="5"/>
    <n v="1"/>
    <n v="4"/>
    <x v="4"/>
    <n v="59.4"/>
    <n v="36.883095825570258"/>
    <n v="14.9"/>
    <m/>
    <n v="1"/>
  </r>
  <r>
    <n v="2025"/>
    <x v="1"/>
    <s v="Orchard"/>
    <n v="2"/>
    <n v="2"/>
    <n v="6"/>
    <n v="4"/>
    <x v="4"/>
    <n v="58.9"/>
    <n v="45.214222946671853"/>
    <m/>
    <m/>
    <n v="1"/>
  </r>
  <r>
    <n v="2025"/>
    <x v="1"/>
    <s v="Orchard"/>
    <n v="3"/>
    <n v="1"/>
    <n v="7"/>
    <n v="4"/>
    <x v="4"/>
    <n v="57.3"/>
    <n v="39.808871880199661"/>
    <m/>
    <m/>
    <n v="1"/>
  </r>
  <r>
    <n v="2025"/>
    <x v="1"/>
    <s v="Orchard"/>
    <n v="1"/>
    <n v="10"/>
    <n v="2"/>
    <n v="5"/>
    <x v="28"/>
    <n v="57.6"/>
    <n v="44.34603632213566"/>
    <n v="14.1"/>
    <m/>
    <n v="1"/>
  </r>
  <r>
    <n v="2025"/>
    <x v="1"/>
    <s v="Orchard"/>
    <n v="2"/>
    <n v="12"/>
    <n v="4"/>
    <n v="5"/>
    <x v="28"/>
    <n v="59.1"/>
    <n v="44.955742530102562"/>
    <m/>
    <m/>
    <n v="2"/>
  </r>
  <r>
    <n v="2025"/>
    <x v="1"/>
    <s v="Orchard"/>
    <n v="3"/>
    <n v="2"/>
    <n v="7"/>
    <n v="5"/>
    <x v="28"/>
    <n v="58.6"/>
    <n v="39.41437794152602"/>
    <m/>
    <m/>
    <n v="2"/>
  </r>
  <r>
    <n v="2025"/>
    <x v="1"/>
    <s v="Orchard"/>
    <n v="1"/>
    <n v="4"/>
    <n v="1"/>
    <n v="19"/>
    <x v="49"/>
    <n v="56.6"/>
    <n v="19.937839266831155"/>
    <n v="14.8"/>
    <m/>
    <n v="4"/>
  </r>
  <r>
    <n v="2025"/>
    <x v="1"/>
    <s v="Orchard"/>
    <n v="2"/>
    <n v="5"/>
    <n v="5"/>
    <n v="19"/>
    <x v="49"/>
    <n v="60.8"/>
    <n v="28.787660073751255"/>
    <m/>
    <m/>
    <n v="3"/>
  </r>
  <r>
    <n v="2025"/>
    <x v="1"/>
    <s v="Orchard"/>
    <n v="3"/>
    <n v="3"/>
    <n v="8"/>
    <n v="19"/>
    <x v="49"/>
    <n v="59.9"/>
    <n v="32.43068181818181"/>
    <m/>
    <m/>
    <n v="3"/>
  </r>
  <r>
    <n v="2025"/>
    <x v="1"/>
    <s v="Orchard"/>
    <n v="1"/>
    <n v="4"/>
    <n v="2"/>
    <n v="6"/>
    <x v="10"/>
    <n v="59.4"/>
    <n v="32.998542648737164"/>
    <n v="15.7"/>
    <m/>
    <n v="1"/>
  </r>
  <r>
    <n v="2025"/>
    <x v="1"/>
    <s v="Orchard"/>
    <n v="2"/>
    <n v="2"/>
    <n v="5"/>
    <n v="6"/>
    <x v="10"/>
    <n v="60.1"/>
    <n v="42.66098271155596"/>
    <m/>
    <m/>
    <n v="1"/>
  </r>
  <r>
    <n v="2025"/>
    <x v="1"/>
    <s v="Orchard"/>
    <n v="3"/>
    <n v="11"/>
    <n v="8"/>
    <n v="6"/>
    <x v="10"/>
    <n v="60"/>
    <n v="50.071120129870124"/>
    <m/>
    <m/>
    <n v="1"/>
  </r>
  <r>
    <n v="2025"/>
    <x v="1"/>
    <s v="Orchard"/>
    <n v="1"/>
    <n v="16"/>
    <n v="3"/>
    <n v="8"/>
    <x v="9"/>
    <n v="58.8"/>
    <n v="20.969940079893469"/>
    <n v="13.2"/>
    <m/>
    <n v="2"/>
  </r>
  <r>
    <n v="2025"/>
    <x v="1"/>
    <s v="Orchard"/>
    <n v="2"/>
    <n v="10"/>
    <n v="5"/>
    <n v="8"/>
    <x v="9"/>
    <n v="59.9"/>
    <n v="32.182704372395953"/>
    <m/>
    <m/>
    <n v="1"/>
  </r>
  <r>
    <n v="2025"/>
    <x v="1"/>
    <s v="Orchard"/>
    <n v="3"/>
    <n v="6"/>
    <n v="7"/>
    <n v="8"/>
    <x v="9"/>
    <n v="61"/>
    <n v="39.413530782029945"/>
    <m/>
    <m/>
    <n v="1"/>
  </r>
  <r>
    <n v="2025"/>
    <x v="1"/>
    <s v="Orchard"/>
    <n v="1"/>
    <n v="9"/>
    <n v="1"/>
    <n v="7"/>
    <x v="44"/>
    <n v="59"/>
    <n v="20.715671483961927"/>
    <n v="15"/>
    <m/>
    <n v="2"/>
  </r>
  <r>
    <n v="2025"/>
    <x v="1"/>
    <s v="Orchard"/>
    <n v="2"/>
    <n v="18"/>
    <n v="4"/>
    <n v="7"/>
    <x v="44"/>
    <n v="58.2"/>
    <n v="36.258106139438084"/>
    <m/>
    <m/>
    <n v="1"/>
  </r>
  <r>
    <n v="2025"/>
    <x v="1"/>
    <s v="Orchard"/>
    <n v="3"/>
    <n v="16"/>
    <n v="7"/>
    <n v="7"/>
    <x v="44"/>
    <n v="59.3"/>
    <n v="20.018614214404558"/>
    <m/>
    <m/>
    <n v="1"/>
  </r>
  <r>
    <n v="2025"/>
    <x v="1"/>
    <s v="Orchard"/>
    <n v="1"/>
    <n v="4"/>
    <n v="3"/>
    <n v="42"/>
    <x v="42"/>
    <n v="59.6"/>
    <n v="23.822522351150845"/>
    <n v="14.9"/>
    <m/>
    <n v="3"/>
  </r>
  <r>
    <n v="2025"/>
    <x v="1"/>
    <s v="Orchard"/>
    <n v="2"/>
    <n v="6"/>
    <n v="5"/>
    <n v="42"/>
    <x v="42"/>
    <n v="59.9"/>
    <n v="20.6941813131555"/>
    <m/>
    <m/>
    <n v="3"/>
  </r>
  <r>
    <n v="2025"/>
    <x v="1"/>
    <s v="Orchard"/>
    <n v="3"/>
    <n v="5"/>
    <n v="7"/>
    <n v="42"/>
    <x v="42"/>
    <n v="59.9"/>
    <n v="25.724327549322552"/>
    <m/>
    <m/>
    <n v="3"/>
  </r>
  <r>
    <n v="2025"/>
    <x v="1"/>
    <s v="Orchard"/>
    <n v="1"/>
    <n v="14"/>
    <n v="2"/>
    <n v="44"/>
    <x v="17"/>
    <n v="59"/>
    <n v="27.556662035428964"/>
    <n v="15.3"/>
    <m/>
    <n v="3"/>
  </r>
  <r>
    <n v="2025"/>
    <x v="1"/>
    <s v="Orchard"/>
    <n v="2"/>
    <n v="7"/>
    <n v="6"/>
    <n v="44"/>
    <x v="17"/>
    <n v="59.1"/>
    <n v="31.10542234332425"/>
    <m/>
    <m/>
    <n v="4"/>
  </r>
  <r>
    <n v="2025"/>
    <x v="1"/>
    <s v="Orchard"/>
    <n v="3"/>
    <n v="5"/>
    <n v="9"/>
    <n v="44"/>
    <x v="17"/>
    <n v="60.1"/>
    <n v="38.345003077797237"/>
    <m/>
    <m/>
    <n v="4"/>
  </r>
  <r>
    <n v="2025"/>
    <x v="1"/>
    <s v="Orchard"/>
    <n v="1"/>
    <n v="11"/>
    <n v="3"/>
    <n v="43"/>
    <x v="22"/>
    <n v="59.4"/>
    <n v="19.12463619935324"/>
    <n v="14.8"/>
    <m/>
    <n v="4"/>
  </r>
  <r>
    <n v="2025"/>
    <x v="1"/>
    <s v="Orchard"/>
    <n v="2"/>
    <n v="6"/>
    <n v="6"/>
    <n v="43"/>
    <x v="22"/>
    <n v="58.8"/>
    <n v="19.097192487349162"/>
    <m/>
    <m/>
    <n v="3"/>
  </r>
  <r>
    <n v="2025"/>
    <x v="1"/>
    <s v="Orchard"/>
    <n v="3"/>
    <n v="9"/>
    <n v="9"/>
    <n v="43"/>
    <x v="22"/>
    <n v="57.5"/>
    <n v="19.906036270656745"/>
    <m/>
    <m/>
    <n v="2"/>
  </r>
  <r>
    <n v="2025"/>
    <x v="1"/>
    <s v="Orchard"/>
    <n v="1"/>
    <n v="13"/>
    <n v="1"/>
    <n v="27"/>
    <x v="39"/>
    <n v="57.7"/>
    <n v="22.662271010624899"/>
    <n v="15.3"/>
    <m/>
    <n v="5"/>
  </r>
  <r>
    <n v="2025"/>
    <x v="1"/>
    <s v="Orchard"/>
    <n v="2"/>
    <n v="14"/>
    <n v="4"/>
    <n v="27"/>
    <x v="39"/>
    <n v="56.6"/>
    <n v="18.756774193548381"/>
    <m/>
    <m/>
    <n v="3"/>
  </r>
  <r>
    <n v="2025"/>
    <x v="1"/>
    <s v="Orchard"/>
    <n v="3"/>
    <n v="1"/>
    <n v="8"/>
    <n v="27"/>
    <x v="39"/>
    <n v="58.1"/>
    <n v="27.634042207792202"/>
    <m/>
    <m/>
    <n v="4"/>
  </r>
  <r>
    <n v="2025"/>
    <x v="1"/>
    <s v="Orchard"/>
    <n v="1"/>
    <n v="7"/>
    <n v="2"/>
    <n v="31"/>
    <x v="6"/>
    <n v="59.5"/>
    <n v="26.008021634496099"/>
    <n v="14.9"/>
    <m/>
    <n v="1"/>
  </r>
  <r>
    <n v="2025"/>
    <x v="1"/>
    <s v="Orchard"/>
    <n v="2"/>
    <n v="6"/>
    <n v="4"/>
    <n v="31"/>
    <x v="6"/>
    <n v="60.2"/>
    <n v="26.276771220454876"/>
    <m/>
    <m/>
    <n v="2"/>
  </r>
  <r>
    <n v="2025"/>
    <x v="1"/>
    <s v="Orchard"/>
    <n v="3"/>
    <n v="16"/>
    <n v="9"/>
    <n v="31"/>
    <x v="6"/>
    <n v="58.6"/>
    <n v="24.337902362801263"/>
    <m/>
    <m/>
    <n v="1"/>
  </r>
  <r>
    <n v="2025"/>
    <x v="1"/>
    <s v="Orchard"/>
    <n v="1"/>
    <n v="6"/>
    <n v="1"/>
    <n v="23"/>
    <x v="35"/>
    <s v="."/>
    <n v="18.10205951961327"/>
    <n v="15.2"/>
    <m/>
    <n v="6"/>
  </r>
  <r>
    <n v="2025"/>
    <x v="1"/>
    <s v="Orchard"/>
    <n v="2"/>
    <n v="18"/>
    <n v="6"/>
    <n v="23"/>
    <x v="35"/>
    <n v="59.8"/>
    <n v="26.734624367458149"/>
    <m/>
    <m/>
    <n v="5"/>
  </r>
  <r>
    <n v="2025"/>
    <x v="1"/>
    <s v="Orchard"/>
    <n v="3"/>
    <n v="13"/>
    <n v="8"/>
    <n v="23"/>
    <x v="35"/>
    <n v="61.1"/>
    <n v="30.539415584415583"/>
    <m/>
    <m/>
    <n v="3"/>
  </r>
  <r>
    <n v="2025"/>
    <x v="1"/>
    <s v="Orchard"/>
    <n v="1"/>
    <n v="16"/>
    <n v="2"/>
    <n v="28"/>
    <x v="37"/>
    <n v="60.4"/>
    <n v="32.236871929737504"/>
    <n v="13.8"/>
    <m/>
    <n v="3"/>
  </r>
  <r>
    <n v="2025"/>
    <x v="1"/>
    <s v="Orchard"/>
    <n v="2"/>
    <n v="17"/>
    <n v="5"/>
    <n v="28"/>
    <x v="37"/>
    <n v="61.7"/>
    <n v="26.77542023849432"/>
    <m/>
    <m/>
    <n v="2"/>
  </r>
  <r>
    <n v="2025"/>
    <x v="1"/>
    <s v="Orchard"/>
    <n v="3"/>
    <n v="10"/>
    <n v="8"/>
    <n v="28"/>
    <x v="37"/>
    <n v="60.2"/>
    <n v="44.774512987012983"/>
    <m/>
    <m/>
    <n v="2"/>
  </r>
  <r>
    <n v="2025"/>
    <x v="1"/>
    <s v="Orchard"/>
    <n v="1"/>
    <n v="16"/>
    <n v="1"/>
    <n v="46"/>
    <x v="25"/>
    <s v="."/>
    <n v="14.001378719975827"/>
    <n v="15.6"/>
    <m/>
    <n v="3"/>
  </r>
  <r>
    <n v="2025"/>
    <x v="1"/>
    <s v="Orchard"/>
    <n v="2"/>
    <n v="7"/>
    <n v="5"/>
    <n v="46"/>
    <x v="25"/>
    <n v="58.5"/>
    <n v="20.323043915521286"/>
    <m/>
    <m/>
    <n v="3"/>
  </r>
  <r>
    <n v="2025"/>
    <x v="1"/>
    <s v="Orchard"/>
    <n v="3"/>
    <n v="11"/>
    <n v="7"/>
    <n v="46"/>
    <x v="25"/>
    <n v="60.1"/>
    <n v="22.577271214642259"/>
    <m/>
    <m/>
    <n v="3"/>
  </r>
  <r>
    <n v="2025"/>
    <x v="1"/>
    <s v="Orchard"/>
    <n v="1"/>
    <n v="12"/>
    <n v="3"/>
    <n v="47"/>
    <x v="50"/>
    <n v="59.1"/>
    <n v="28.687401559824991"/>
    <n v="15.9"/>
    <m/>
    <n v="4"/>
  </r>
  <r>
    <n v="2025"/>
    <x v="1"/>
    <s v="Orchard"/>
    <n v="2"/>
    <n v="16"/>
    <n v="6"/>
    <n v="47"/>
    <x v="50"/>
    <s v="."/>
    <n v="16.890405799922142"/>
    <m/>
    <m/>
    <n v="3"/>
  </r>
  <r>
    <n v="2025"/>
    <x v="1"/>
    <s v="Orchard"/>
    <n v="3"/>
    <n v="9"/>
    <n v="8"/>
    <n v="47"/>
    <x v="50"/>
    <n v="60.4"/>
    <n v="39.263376623376615"/>
    <m/>
    <m/>
    <n v="4"/>
  </r>
  <r>
    <n v="2025"/>
    <x v="1"/>
    <s v="Orchard"/>
    <n v="1"/>
    <n v="11"/>
    <n v="2"/>
    <n v="45"/>
    <x v="21"/>
    <n v="57.4"/>
    <n v="22.386192626407976"/>
    <n v="14.5"/>
    <m/>
    <n v="4"/>
  </r>
  <r>
    <n v="2025"/>
    <x v="1"/>
    <s v="Orchard"/>
    <n v="2"/>
    <n v="4"/>
    <n v="6"/>
    <n v="45"/>
    <x v="21"/>
    <s v="."/>
    <s v="."/>
    <m/>
    <m/>
    <n v="5"/>
  </r>
  <r>
    <n v="2025"/>
    <x v="1"/>
    <s v="Orchard"/>
    <n v="3"/>
    <n v="7"/>
    <n v="9"/>
    <n v="45"/>
    <x v="21"/>
    <n v="60.2"/>
    <n v="32.4470988209669"/>
    <m/>
    <m/>
    <n v="3"/>
  </r>
  <r>
    <n v="2025"/>
    <x v="1"/>
    <s v="Orchard"/>
    <n v="1"/>
    <n v="1"/>
    <n v="1"/>
    <n v="24"/>
    <x v="29"/>
    <n v="59"/>
    <n v="24.510962284102916"/>
    <n v="15.7"/>
    <m/>
    <n v="4"/>
  </r>
  <r>
    <n v="2025"/>
    <x v="1"/>
    <s v="Orchard"/>
    <n v="2"/>
    <n v="8"/>
    <n v="4"/>
    <n v="24"/>
    <x v="29"/>
    <s v="."/>
    <n v="13.825856994202464"/>
    <m/>
    <m/>
    <n v="3"/>
  </r>
  <r>
    <n v="2025"/>
    <x v="1"/>
    <s v="Orchard"/>
    <n v="3"/>
    <n v="4"/>
    <n v="8"/>
    <n v="24"/>
    <x v="29"/>
    <s v="."/>
    <n v="11.673409090909088"/>
    <m/>
    <m/>
    <n v="3"/>
  </r>
  <r>
    <n v="2025"/>
    <x v="1"/>
    <s v="Orchard"/>
    <n v="1"/>
    <n v="15"/>
    <n v="3"/>
    <n v="33"/>
    <x v="3"/>
    <n v="59.2"/>
    <n v="21.029119745101767"/>
    <n v="13.2"/>
    <m/>
    <n v="2"/>
  </r>
  <r>
    <n v="2025"/>
    <x v="1"/>
    <s v="Orchard"/>
    <n v="2"/>
    <n v="10"/>
    <n v="4"/>
    <n v="33"/>
    <x v="3"/>
    <n v="58.6"/>
    <n v="25.110561914672211"/>
    <m/>
    <m/>
    <n v="3"/>
  </r>
  <r>
    <n v="2025"/>
    <x v="1"/>
    <s v="Orchard"/>
    <n v="3"/>
    <n v="18"/>
    <n v="8"/>
    <n v="33"/>
    <x v="3"/>
    <n v="56.8"/>
    <n v="31.514025974025976"/>
    <m/>
    <m/>
    <n v="4"/>
  </r>
  <r>
    <n v="2025"/>
    <x v="1"/>
    <s v="Orchard"/>
    <n v="1"/>
    <n v="15"/>
    <n v="2"/>
    <n v="60"/>
    <x v="52"/>
    <n v="60.3"/>
    <n v="25.95034982384756"/>
    <n v="15.3"/>
    <m/>
    <n v="1"/>
  </r>
  <r>
    <n v="2025"/>
    <x v="1"/>
    <s v="Orchard"/>
    <n v="2"/>
    <n v="16"/>
    <n v="5"/>
    <n v="60"/>
    <x v="52"/>
    <n v="56.1"/>
    <n v="19.45768880800728"/>
    <m/>
    <m/>
    <n v="1"/>
  </r>
  <r>
    <n v="2025"/>
    <x v="1"/>
    <s v="Orchard"/>
    <n v="3"/>
    <n v="9"/>
    <n v="7"/>
    <n v="60"/>
    <x v="52"/>
    <n v="59.5"/>
    <n v="29.365466127882101"/>
    <m/>
    <m/>
    <n v="1"/>
  </r>
  <r>
    <n v="2025"/>
    <x v="1"/>
    <s v="Orchard"/>
    <n v="1"/>
    <n v="2"/>
    <n v="3"/>
    <n v="58"/>
    <x v="51"/>
    <n v="58.7"/>
    <n v="20.909771732927524"/>
    <n v="15.5"/>
    <m/>
    <n v="5"/>
  </r>
  <r>
    <n v="2025"/>
    <x v="1"/>
    <s v="Orchard"/>
    <n v="2"/>
    <n v="1"/>
    <n v="6"/>
    <n v="58"/>
    <x v="51"/>
    <s v="."/>
    <s v="."/>
    <m/>
    <m/>
    <n v="4"/>
  </r>
  <r>
    <n v="2025"/>
    <x v="1"/>
    <s v="Orchard"/>
    <n v="3"/>
    <n v="15"/>
    <n v="7"/>
    <n v="58"/>
    <x v="51"/>
    <n v="59.7"/>
    <n v="22.066810553838835"/>
    <m/>
    <m/>
    <n v="3"/>
  </r>
  <r>
    <n v="2025"/>
    <x v="1"/>
    <s v="Orchard"/>
    <n v="1"/>
    <n v="13"/>
    <n v="2"/>
    <n v="25"/>
    <x v="34"/>
    <n v="58.9"/>
    <n v="25.030597429663072"/>
    <n v="16"/>
    <m/>
    <n v="2"/>
  </r>
  <r>
    <n v="2025"/>
    <x v="1"/>
    <s v="Orchard"/>
    <n v="2"/>
    <n v="3"/>
    <n v="6"/>
    <n v="25"/>
    <x v="34"/>
    <s v="."/>
    <s v="."/>
    <m/>
    <m/>
    <n v="4"/>
  </r>
  <r>
    <n v="2025"/>
    <x v="1"/>
    <s v="Orchard"/>
    <n v="3"/>
    <n v="8"/>
    <n v="9"/>
    <n v="25"/>
    <x v="34"/>
    <n v="57.8"/>
    <n v="26.958713954259196"/>
    <m/>
    <m/>
    <n v="2"/>
  </r>
  <r>
    <n v="2025"/>
    <x v="1"/>
    <s v="Orchard"/>
    <n v="1"/>
    <n v="2"/>
    <n v="2"/>
    <n v="34"/>
    <x v="0"/>
    <n v="58.8"/>
    <n v="25.619842207115564"/>
    <n v="14.9"/>
    <m/>
    <n v="4"/>
  </r>
  <r>
    <n v="2025"/>
    <x v="1"/>
    <s v="Orchard"/>
    <n v="2"/>
    <n v="3"/>
    <n v="4"/>
    <n v="34"/>
    <x v="0"/>
    <s v="."/>
    <n v="17.234344432882409"/>
    <m/>
    <m/>
    <n v="4"/>
  </r>
  <r>
    <n v="2025"/>
    <x v="1"/>
    <s v="Orchard"/>
    <n v="3"/>
    <n v="10"/>
    <n v="7"/>
    <n v="34"/>
    <x v="0"/>
    <n v="57.6"/>
    <n v="21.942560494414071"/>
    <m/>
    <m/>
    <n v="4"/>
  </r>
  <r>
    <n v="2025"/>
    <x v="1"/>
    <s v="Orchard"/>
    <n v="1"/>
    <n v="9"/>
    <n v="3"/>
    <n v="35"/>
    <x v="30"/>
    <s v="."/>
    <n v="15.654786950732355"/>
    <n v="13.1"/>
    <m/>
    <n v="3"/>
  </r>
  <r>
    <n v="2025"/>
    <x v="1"/>
    <s v="Orchard"/>
    <n v="2"/>
    <n v="11"/>
    <n v="5"/>
    <n v="35"/>
    <x v="30"/>
    <n v="59.4"/>
    <n v="23.413232124898226"/>
    <m/>
    <m/>
    <n v="4"/>
  </r>
  <r>
    <n v="2025"/>
    <x v="1"/>
    <s v="Orchard"/>
    <n v="3"/>
    <n v="14"/>
    <n v="9"/>
    <n v="35"/>
    <x v="30"/>
    <n v="57.7"/>
    <n v="20.726153226952032"/>
    <m/>
    <m/>
    <n v="2"/>
  </r>
  <r>
    <n v="2025"/>
    <x v="1"/>
    <s v="Orchard"/>
    <n v="1"/>
    <n v="18"/>
    <n v="3"/>
    <n v="57"/>
    <x v="45"/>
    <n v="58.8"/>
    <n v="22.199295225413728"/>
    <n v="15.2"/>
    <m/>
    <n v="5"/>
  </r>
  <r>
    <n v="2025"/>
    <x v="1"/>
    <s v="Orchard"/>
    <n v="2"/>
    <n v="4"/>
    <n v="4"/>
    <n v="57"/>
    <x v="45"/>
    <n v="58.7"/>
    <n v="22.620722461721417"/>
    <m/>
    <m/>
    <n v="3"/>
  </r>
  <r>
    <n v="2025"/>
    <x v="1"/>
    <s v="Orchard"/>
    <n v="3"/>
    <n v="3"/>
    <n v="7"/>
    <n v="57"/>
    <x v="45"/>
    <n v="59.4"/>
    <n v="31.713651057760867"/>
    <m/>
    <m/>
    <n v="4"/>
  </r>
  <r>
    <n v="2025"/>
    <x v="1"/>
    <s v="Orchard"/>
    <n v="1"/>
    <n v="11"/>
    <n v="1"/>
    <n v="49"/>
    <x v="47"/>
    <n v="58.4"/>
    <n v="29.270180774459931"/>
    <n v="16.3"/>
    <m/>
    <n v="1"/>
  </r>
  <r>
    <n v="2025"/>
    <x v="1"/>
    <s v="Orchard"/>
    <n v="2"/>
    <n v="3"/>
    <n v="5"/>
    <n v="49"/>
    <x v="47"/>
    <n v="58.3"/>
    <s v="."/>
    <m/>
    <m/>
    <n v="1"/>
  </r>
  <r>
    <n v="2025"/>
    <x v="1"/>
    <s v="Orchard"/>
    <n v="3"/>
    <n v="5"/>
    <n v="8"/>
    <n v="49"/>
    <x v="47"/>
    <n v="60.1"/>
    <n v="40.167467532467533"/>
    <m/>
    <m/>
    <n v="1"/>
  </r>
  <r>
    <n v="2025"/>
    <x v="1"/>
    <s v="Orchard"/>
    <n v="1"/>
    <n v="6"/>
    <n v="3"/>
    <n v="48"/>
    <x v="48"/>
    <n v="58.7"/>
    <n v="36.458628495339539"/>
    <n v="16.2"/>
    <m/>
    <n v="1"/>
  </r>
  <r>
    <n v="2025"/>
    <x v="1"/>
    <s v="Orchard"/>
    <n v="2"/>
    <n v="15"/>
    <n v="6"/>
    <n v="48"/>
    <x v="48"/>
    <n v="60.1"/>
    <n v="40.982155994550411"/>
    <m/>
    <m/>
    <n v="1"/>
  </r>
  <r>
    <n v="2025"/>
    <x v="1"/>
    <s v="Orchard"/>
    <n v="3"/>
    <n v="14"/>
    <n v="7"/>
    <n v="48"/>
    <x v="48"/>
    <n v="58.5"/>
    <n v="33.630349417637262"/>
    <m/>
    <m/>
    <n v="1"/>
  </r>
  <r>
    <n v="2025"/>
    <x v="1"/>
    <s v="Orchard"/>
    <n v="1"/>
    <n v="5"/>
    <n v="2"/>
    <n v="26"/>
    <x v="11"/>
    <n v="59.4"/>
    <n v="34.906280950726931"/>
    <n v="14.1"/>
    <m/>
    <n v="4"/>
  </r>
  <r>
    <n v="2025"/>
    <x v="1"/>
    <s v="Orchard"/>
    <n v="2"/>
    <n v="12"/>
    <n v="6"/>
    <n v="26"/>
    <x v="11"/>
    <n v="58.7"/>
    <n v="29.339492020241334"/>
    <m/>
    <m/>
    <n v="3"/>
  </r>
  <r>
    <n v="2025"/>
    <x v="1"/>
    <s v="Orchard"/>
    <n v="3"/>
    <n v="6"/>
    <n v="9"/>
    <n v="26"/>
    <x v="11"/>
    <n v="59.4"/>
    <n v="49.203079691273246"/>
    <m/>
    <m/>
    <n v="3"/>
  </r>
  <r>
    <n v="2025"/>
    <x v="1"/>
    <s v="Orchard"/>
    <n v="1"/>
    <n v="7"/>
    <n v="1"/>
    <n v="36"/>
    <x v="36"/>
    <n v="61.3"/>
    <n v="35.90520972858652"/>
    <n v="14.3"/>
    <m/>
    <n v="1"/>
  </r>
  <r>
    <n v="2025"/>
    <x v="1"/>
    <s v="Orchard"/>
    <n v="2"/>
    <n v="1"/>
    <n v="4"/>
    <n v="36"/>
    <x v="36"/>
    <n v="56.9"/>
    <n v="31.227114612754566"/>
    <m/>
    <m/>
    <n v="2"/>
  </r>
  <r>
    <n v="2025"/>
    <x v="1"/>
    <s v="Orchard"/>
    <n v="3"/>
    <n v="15"/>
    <n v="8"/>
    <n v="36"/>
    <x v="36"/>
    <n v="60.3"/>
    <n v="47.96975649350648"/>
    <m/>
    <m/>
    <n v="1"/>
  </r>
  <r>
    <n v="2025"/>
    <x v="1"/>
    <s v="Yuma"/>
    <n v="1"/>
    <n v="14"/>
    <n v="1"/>
    <n v="30"/>
    <x v="14"/>
    <n v="61.3"/>
    <n v="81.49012048192769"/>
    <n v="11.4"/>
    <m/>
    <m/>
  </r>
  <r>
    <n v="2025"/>
    <x v="1"/>
    <s v="Yuma"/>
    <n v="2"/>
    <n v="19"/>
    <n v="4"/>
    <n v="30"/>
    <x v="14"/>
    <n v="61.1"/>
    <n v="82.735084853523745"/>
    <m/>
    <m/>
    <m/>
  </r>
  <r>
    <n v="2025"/>
    <x v="1"/>
    <s v="Yuma"/>
    <n v="3"/>
    <n v="24"/>
    <n v="6"/>
    <n v="30"/>
    <x v="14"/>
    <n v="61"/>
    <n v="74.991267713519704"/>
    <m/>
    <m/>
    <m/>
  </r>
  <r>
    <n v="2025"/>
    <x v="1"/>
    <s v="Yuma"/>
    <n v="1"/>
    <n v="18"/>
    <n v="2"/>
    <n v="39"/>
    <x v="46"/>
    <n v="60.1"/>
    <n v="83.753999999999991"/>
    <n v="10.6"/>
    <m/>
    <m/>
  </r>
  <r>
    <n v="2025"/>
    <x v="1"/>
    <s v="Yuma"/>
    <n v="2"/>
    <n v="7"/>
    <n v="3"/>
    <n v="39"/>
    <x v="46"/>
    <n v="60.2"/>
    <n v="79.233991416308996"/>
    <m/>
    <m/>
    <m/>
  </r>
  <r>
    <n v="2025"/>
    <x v="1"/>
    <s v="Yuma"/>
    <n v="3"/>
    <n v="26"/>
    <n v="6"/>
    <n v="39"/>
    <x v="46"/>
    <n v="61.2"/>
    <n v="76.848986978169279"/>
    <m/>
    <m/>
    <m/>
  </r>
  <r>
    <n v="2025"/>
    <x v="1"/>
    <s v="Yuma"/>
    <n v="1"/>
    <n v="12"/>
    <n v="1"/>
    <n v="38"/>
    <x v="43"/>
    <n v="60.1"/>
    <n v="83.459518072289143"/>
    <n v="11.6"/>
    <m/>
    <m/>
  </r>
  <r>
    <n v="2025"/>
    <x v="1"/>
    <s v="Yuma"/>
    <n v="2"/>
    <n v="10"/>
    <n v="4"/>
    <n v="38"/>
    <x v="43"/>
    <n v="59.5"/>
    <n v="78.057822663471399"/>
    <m/>
    <m/>
    <m/>
  </r>
  <r>
    <n v="2025"/>
    <x v="1"/>
    <s v="Yuma"/>
    <n v="3"/>
    <n v="9"/>
    <n v="6"/>
    <n v="38"/>
    <x v="43"/>
    <n v="59.5"/>
    <n v="76.706563098429697"/>
    <m/>
    <m/>
    <m/>
  </r>
  <r>
    <n v="2025"/>
    <x v="1"/>
    <s v="Yuma"/>
    <n v="1"/>
    <n v="25"/>
    <n v="2"/>
    <n v="37"/>
    <x v="31"/>
    <n v="60.5"/>
    <n v="92.174033898305083"/>
    <n v="9.1999999999999993"/>
    <m/>
    <m/>
  </r>
  <r>
    <n v="2025"/>
    <x v="1"/>
    <s v="Yuma"/>
    <n v="2"/>
    <n v="14"/>
    <n v="3"/>
    <n v="37"/>
    <x v="31"/>
    <n v="60.8"/>
    <n v="83.228636513700877"/>
    <m/>
    <m/>
    <m/>
  </r>
  <r>
    <n v="2025"/>
    <x v="1"/>
    <s v="Yuma"/>
    <n v="3"/>
    <n v="5"/>
    <n v="5"/>
    <n v="37"/>
    <x v="31"/>
    <n v="60.1"/>
    <n v="88.091040719605374"/>
    <m/>
    <m/>
    <m/>
  </r>
  <r>
    <n v="2025"/>
    <x v="1"/>
    <s v="Yuma"/>
    <n v="1"/>
    <n v="5"/>
    <n v="1"/>
    <n v="40"/>
    <x v="13"/>
    <n v="59.5"/>
    <n v="91.764754733218567"/>
    <n v="10.5"/>
    <m/>
    <m/>
  </r>
  <r>
    <n v="2025"/>
    <x v="1"/>
    <s v="Yuma"/>
    <n v="2"/>
    <n v="1"/>
    <n v="4"/>
    <n v="40"/>
    <x v="13"/>
    <n v="60.4"/>
    <n v="84.693635741184522"/>
    <m/>
    <m/>
    <m/>
  </r>
  <r>
    <n v="2025"/>
    <x v="1"/>
    <s v="Yuma"/>
    <n v="3"/>
    <n v="19"/>
    <n v="6"/>
    <n v="40"/>
    <x v="13"/>
    <n v="60.8"/>
    <n v="89.318114707008789"/>
    <m/>
    <m/>
    <m/>
  </r>
  <r>
    <n v="2025"/>
    <x v="1"/>
    <s v="Yuma"/>
    <n v="1"/>
    <n v="9"/>
    <n v="2"/>
    <n v="41"/>
    <x v="20"/>
    <n v="59.9"/>
    <n v="87.81266440677966"/>
    <n v="10.5"/>
    <m/>
    <m/>
  </r>
  <r>
    <n v="2025"/>
    <x v="1"/>
    <s v="Yuma"/>
    <n v="2"/>
    <n v="26"/>
    <n v="3"/>
    <n v="41"/>
    <x v="20"/>
    <n v="59.6"/>
    <n v="67.897854077253214"/>
    <m/>
    <m/>
    <m/>
  </r>
  <r>
    <n v="2025"/>
    <x v="1"/>
    <s v="Yuma"/>
    <n v="3"/>
    <n v="17"/>
    <n v="5"/>
    <n v="41"/>
    <x v="20"/>
    <n v="60.2"/>
    <n v="75.59007640971079"/>
    <m/>
    <m/>
    <m/>
  </r>
  <r>
    <n v="2025"/>
    <x v="1"/>
    <s v="Yuma"/>
    <n v="1"/>
    <n v="14"/>
    <n v="2"/>
    <n v="20"/>
    <x v="18"/>
    <n v="60.3"/>
    <n v="85.838033898305085"/>
    <n v="9.8000000000000007"/>
    <m/>
    <m/>
  </r>
  <r>
    <n v="2025"/>
    <x v="1"/>
    <s v="Yuma"/>
    <n v="2"/>
    <n v="16"/>
    <n v="4"/>
    <n v="20"/>
    <x v="18"/>
    <n v="59.8"/>
    <n v="91.862238959260523"/>
    <m/>
    <m/>
    <m/>
  </r>
  <r>
    <n v="2025"/>
    <x v="1"/>
    <s v="Yuma"/>
    <n v="3"/>
    <n v="12"/>
    <n v="6"/>
    <n v="20"/>
    <x v="18"/>
    <n v="60.1"/>
    <n v="90.257117004978909"/>
    <m/>
    <m/>
    <m/>
  </r>
  <r>
    <n v="2025"/>
    <x v="1"/>
    <s v="Yuma"/>
    <n v="1"/>
    <n v="15"/>
    <n v="2"/>
    <n v="32"/>
    <x v="24"/>
    <s v="."/>
    <s v="."/>
    <s v="."/>
    <m/>
    <m/>
  </r>
  <r>
    <n v="2025"/>
    <x v="1"/>
    <s v="Yuma"/>
    <n v="2"/>
    <n v="12"/>
    <n v="4"/>
    <n v="32"/>
    <x v="24"/>
    <n v="62.3"/>
    <n v="93.241179635154296"/>
    <m/>
    <m/>
    <m/>
  </r>
  <r>
    <n v="2025"/>
    <x v="1"/>
    <s v="Yuma"/>
    <n v="3"/>
    <n v="25"/>
    <n v="5"/>
    <n v="32"/>
    <x v="24"/>
    <n v="63.4"/>
    <n v="78.22713995550825"/>
    <n v="9.8000000000000007"/>
    <m/>
    <m/>
  </r>
  <r>
    <n v="2025"/>
    <x v="1"/>
    <s v="Yuma"/>
    <n v="1"/>
    <n v="1"/>
    <n v="2"/>
    <n v="21"/>
    <x v="26"/>
    <n v="58.7"/>
    <n v="93.104490072639223"/>
    <n v="8.6"/>
    <m/>
    <m/>
  </r>
  <r>
    <n v="2025"/>
    <x v="1"/>
    <s v="Yuma"/>
    <n v="2"/>
    <n v="17"/>
    <n v="3"/>
    <n v="21"/>
    <x v="26"/>
    <n v="59"/>
    <n v="90.579233599018991"/>
    <m/>
    <m/>
    <m/>
  </r>
  <r>
    <n v="2025"/>
    <x v="1"/>
    <s v="Yuma"/>
    <n v="3"/>
    <n v="22"/>
    <n v="6"/>
    <n v="21"/>
    <x v="26"/>
    <n v="58.3"/>
    <n v="82.738273649942542"/>
    <m/>
    <m/>
    <m/>
  </r>
  <r>
    <n v="2025"/>
    <x v="1"/>
    <s v="Yuma"/>
    <n v="1"/>
    <n v="22"/>
    <n v="2"/>
    <n v="29"/>
    <x v="27"/>
    <n v="60.1"/>
    <n v="91.588759322033894"/>
    <n v="9.1"/>
    <m/>
    <m/>
  </r>
  <r>
    <n v="2025"/>
    <x v="1"/>
    <s v="Yuma"/>
    <n v="2"/>
    <n v="18"/>
    <n v="3"/>
    <n v="29"/>
    <x v="27"/>
    <n v="59.6"/>
    <n v="88.064289015705327"/>
    <m/>
    <m/>
    <m/>
  </r>
  <r>
    <n v="2025"/>
    <x v="1"/>
    <s v="Yuma"/>
    <n v="3"/>
    <n v="4"/>
    <n v="6"/>
    <n v="29"/>
    <x v="27"/>
    <n v="59.4"/>
    <n v="82.248487169666774"/>
    <m/>
    <m/>
    <m/>
  </r>
  <r>
    <n v="2025"/>
    <x v="1"/>
    <s v="Yuma"/>
    <n v="1"/>
    <n v="6"/>
    <n v="1"/>
    <n v="22"/>
    <x v="33"/>
    <n v="60.8"/>
    <n v="93.410021514629946"/>
    <n v="11.5"/>
    <m/>
    <m/>
  </r>
  <r>
    <n v="2025"/>
    <x v="1"/>
    <s v="Yuma"/>
    <n v="2"/>
    <n v="23"/>
    <n v="4"/>
    <n v="22"/>
    <x v="33"/>
    <n v="60.7"/>
    <n v="85.215435027143343"/>
    <m/>
    <m/>
    <m/>
  </r>
  <r>
    <n v="2025"/>
    <x v="1"/>
    <s v="Yuma"/>
    <n v="3"/>
    <n v="18"/>
    <n v="6"/>
    <n v="22"/>
    <x v="33"/>
    <n v="59.3"/>
    <n v="78.754670624281857"/>
    <m/>
    <m/>
    <m/>
  </r>
  <r>
    <n v="2025"/>
    <x v="1"/>
    <s v="Yuma"/>
    <n v="1"/>
    <n v="8"/>
    <n v="1"/>
    <n v="18"/>
    <x v="8"/>
    <n v="58"/>
    <n v="93.25538726333906"/>
    <n v="10.1"/>
    <m/>
    <m/>
  </r>
  <r>
    <n v="2025"/>
    <x v="1"/>
    <s v="Yuma"/>
    <n v="2"/>
    <n v="10"/>
    <n v="3"/>
    <n v="18"/>
    <x v="8"/>
    <n v="57.9"/>
    <n v="84.888893081167751"/>
    <m/>
    <m/>
    <m/>
  </r>
  <r>
    <n v="2025"/>
    <x v="1"/>
    <s v="Yuma"/>
    <n v="3"/>
    <n v="2"/>
    <n v="5"/>
    <n v="18"/>
    <x v="8"/>
    <n v="58.1"/>
    <n v="85.111656833349443"/>
    <m/>
    <m/>
    <m/>
  </r>
  <r>
    <n v="2025"/>
    <x v="1"/>
    <s v="Yuma"/>
    <n v="1"/>
    <n v="26"/>
    <n v="1"/>
    <n v="14"/>
    <x v="5"/>
    <n v="62.2"/>
    <n v="89.173270223752141"/>
    <n v="9"/>
    <m/>
    <m/>
  </r>
  <r>
    <n v="2025"/>
    <x v="1"/>
    <s v="Yuma"/>
    <n v="2"/>
    <n v="3"/>
    <n v="3"/>
    <n v="14"/>
    <x v="5"/>
    <n v="61.5"/>
    <n v="89.778427581002688"/>
    <m/>
    <m/>
    <m/>
  </r>
  <r>
    <n v="2025"/>
    <x v="1"/>
    <s v="Yuma"/>
    <n v="3"/>
    <n v="14"/>
    <n v="5"/>
    <n v="14"/>
    <x v="5"/>
    <n v="58.8"/>
    <n v="81.62314924073894"/>
    <m/>
    <m/>
    <m/>
  </r>
  <r>
    <n v="2025"/>
    <x v="1"/>
    <s v="Yuma"/>
    <n v="1"/>
    <n v="9"/>
    <n v="1"/>
    <n v="15"/>
    <x v="7"/>
    <n v="58.5"/>
    <n v="106.11577882960412"/>
    <n v="10"/>
    <m/>
    <m/>
  </r>
  <r>
    <n v="2025"/>
    <x v="1"/>
    <s v="Yuma"/>
    <n v="2"/>
    <n v="13"/>
    <n v="3"/>
    <n v="15"/>
    <x v="7"/>
    <n v="58"/>
    <n v="94.734264019242545"/>
    <m/>
    <m/>
    <m/>
  </r>
  <r>
    <n v="2025"/>
    <x v="1"/>
    <s v="Yuma"/>
    <n v="3"/>
    <n v="19"/>
    <n v="5"/>
    <n v="15"/>
    <x v="7"/>
    <n v="58.2"/>
    <n v="87.53873198568526"/>
    <m/>
    <m/>
    <m/>
  </r>
  <r>
    <n v="2025"/>
    <x v="1"/>
    <s v="Yuma"/>
    <n v="1"/>
    <n v="5"/>
    <n v="2"/>
    <n v="16"/>
    <x v="40"/>
    <n v="61.1"/>
    <n v="86.373305084745766"/>
    <n v="10.6"/>
    <m/>
    <m/>
  </r>
  <r>
    <n v="2025"/>
    <x v="1"/>
    <s v="Yuma"/>
    <n v="2"/>
    <n v="15"/>
    <n v="3"/>
    <n v="16"/>
    <x v="40"/>
    <s v="."/>
    <s v="."/>
    <m/>
    <m/>
    <m/>
  </r>
  <r>
    <n v="2025"/>
    <x v="1"/>
    <s v="Yuma"/>
    <n v="3"/>
    <n v="16"/>
    <n v="6"/>
    <n v="16"/>
    <x v="40"/>
    <n v="57.5"/>
    <n v="76.931739754883182"/>
    <m/>
    <m/>
    <m/>
  </r>
  <r>
    <n v="2025"/>
    <x v="1"/>
    <s v="Yuma"/>
    <n v="1"/>
    <n v="3"/>
    <n v="2"/>
    <n v="11"/>
    <x v="2"/>
    <n v="60.5"/>
    <n v="89.513882324455196"/>
    <n v="9.9"/>
    <m/>
    <m/>
  </r>
  <r>
    <n v="2025"/>
    <x v="1"/>
    <s v="Yuma"/>
    <n v="2"/>
    <n v="2"/>
    <n v="3"/>
    <n v="11"/>
    <x v="2"/>
    <n v="60.7"/>
    <n v="83.712033674479997"/>
    <m/>
    <m/>
    <m/>
  </r>
  <r>
    <n v="2025"/>
    <x v="1"/>
    <s v="Yuma"/>
    <n v="3"/>
    <n v="21"/>
    <n v="5"/>
    <n v="11"/>
    <x v="2"/>
    <n v="61.1"/>
    <n v="83.08358835477317"/>
    <m/>
    <m/>
    <m/>
  </r>
  <r>
    <n v="2025"/>
    <x v="1"/>
    <s v="Yuma"/>
    <n v="1"/>
    <n v="4"/>
    <n v="2"/>
    <n v="1"/>
    <x v="12"/>
    <n v="58.7"/>
    <n v="97.245326876513317"/>
    <n v="9.3000000000000007"/>
    <m/>
    <m/>
  </r>
  <r>
    <n v="2025"/>
    <x v="1"/>
    <s v="Yuma"/>
    <n v="2"/>
    <n v="23"/>
    <n v="3"/>
    <n v="1"/>
    <x v="12"/>
    <n v="59"/>
    <n v="90.784396076026951"/>
    <m/>
    <m/>
    <m/>
  </r>
  <r>
    <n v="2025"/>
    <x v="1"/>
    <s v="Yuma"/>
    <n v="3"/>
    <n v="3"/>
    <n v="5"/>
    <n v="1"/>
    <x v="12"/>
    <n v="58.3"/>
    <n v="88.392378373150208"/>
    <m/>
    <m/>
    <m/>
  </r>
  <r>
    <n v="2025"/>
    <x v="1"/>
    <s v="Yuma"/>
    <n v="1"/>
    <n v="22"/>
    <n v="1"/>
    <n v="17"/>
    <x v="32"/>
    <n v="57.7"/>
    <n v="94.823644578313235"/>
    <n v="9.5"/>
    <m/>
    <m/>
  </r>
  <r>
    <n v="2025"/>
    <x v="1"/>
    <s v="Yuma"/>
    <n v="2"/>
    <n v="18"/>
    <n v="4"/>
    <n v="17"/>
    <x v="32"/>
    <n v="60.1"/>
    <n v="90.820092923167195"/>
    <m/>
    <m/>
    <m/>
  </r>
  <r>
    <n v="2025"/>
    <x v="1"/>
    <s v="Yuma"/>
    <n v="3"/>
    <n v="2"/>
    <n v="6"/>
    <n v="17"/>
    <x v="32"/>
    <n v="59.8"/>
    <n v="87.552437763309058"/>
    <m/>
    <m/>
    <m/>
  </r>
  <r>
    <n v="2025"/>
    <x v="1"/>
    <s v="Yuma"/>
    <n v="1"/>
    <n v="25"/>
    <n v="1"/>
    <n v="12"/>
    <x v="41"/>
    <n v="60.4"/>
    <n v="82.852198795180726"/>
    <n v="9.6"/>
    <m/>
    <m/>
  </r>
  <r>
    <n v="2025"/>
    <x v="1"/>
    <s v="Yuma"/>
    <n v="2"/>
    <n v="21"/>
    <n v="3"/>
    <n v="12"/>
    <x v="41"/>
    <n v="59.6"/>
    <n v="82.933219355751532"/>
    <m/>
    <m/>
    <m/>
  </r>
  <r>
    <n v="2025"/>
    <x v="1"/>
    <s v="Yuma"/>
    <n v="3"/>
    <n v="1"/>
    <n v="5"/>
    <n v="12"/>
    <x v="41"/>
    <n v="60.1"/>
    <n v="82.756397137053852"/>
    <m/>
    <m/>
    <m/>
  </r>
  <r>
    <n v="2025"/>
    <x v="1"/>
    <s v="Yuma"/>
    <n v="1"/>
    <n v="19"/>
    <n v="1"/>
    <n v="13"/>
    <x v="38"/>
    <n v="60.8"/>
    <n v="90.037271944922537"/>
    <n v="10.5"/>
    <m/>
    <m/>
  </r>
  <r>
    <n v="2025"/>
    <x v="1"/>
    <s v="Yuma"/>
    <n v="2"/>
    <n v="7"/>
    <n v="4"/>
    <n v="13"/>
    <x v="38"/>
    <n v="60.9"/>
    <n v="88.01408421773364"/>
    <m/>
    <m/>
    <m/>
  </r>
  <r>
    <n v="2025"/>
    <x v="1"/>
    <s v="Yuma"/>
    <n v="3"/>
    <n v="9"/>
    <n v="5"/>
    <n v="13"/>
    <x v="38"/>
    <n v="61"/>
    <n v="88.190816326530609"/>
    <m/>
    <m/>
    <m/>
  </r>
  <r>
    <n v="2025"/>
    <x v="1"/>
    <s v="Yuma"/>
    <n v="1"/>
    <n v="24"/>
    <n v="1"/>
    <n v="2"/>
    <x v="23"/>
    <n v="61.4"/>
    <n v="92.573235800344207"/>
    <n v="9.4"/>
    <m/>
    <m/>
  </r>
  <r>
    <n v="2025"/>
    <x v="1"/>
    <s v="Yuma"/>
    <n v="2"/>
    <n v="14"/>
    <n v="4"/>
    <n v="2"/>
    <x v="23"/>
    <n v="60.5"/>
    <n v="92.568171369883117"/>
    <m/>
    <m/>
    <m/>
  </r>
  <r>
    <n v="2025"/>
    <x v="1"/>
    <s v="Yuma"/>
    <n v="3"/>
    <n v="12"/>
    <n v="5"/>
    <n v="2"/>
    <x v="23"/>
    <n v="57.9"/>
    <n v="79.459397427217326"/>
    <m/>
    <m/>
    <m/>
  </r>
  <r>
    <n v="2025"/>
    <x v="1"/>
    <s v="Yuma"/>
    <n v="1"/>
    <n v="6"/>
    <n v="2"/>
    <n v="9"/>
    <x v="1"/>
    <n v="59"/>
    <n v="83.201421791767544"/>
    <n v="10.5"/>
    <m/>
    <m/>
  </r>
  <r>
    <n v="2025"/>
    <x v="1"/>
    <s v="Yuma"/>
    <n v="2"/>
    <n v="3"/>
    <n v="4"/>
    <n v="9"/>
    <x v="1"/>
    <n v="59.4"/>
    <n v="73.673827456350566"/>
    <m/>
    <m/>
    <m/>
  </r>
  <r>
    <n v="2025"/>
    <x v="1"/>
    <s v="Yuma"/>
    <n v="3"/>
    <n v="5"/>
    <n v="6"/>
    <n v="9"/>
    <x v="1"/>
    <n v="59.1"/>
    <n v="77.746091535810038"/>
    <m/>
    <m/>
    <m/>
  </r>
  <r>
    <n v="2025"/>
    <x v="1"/>
    <s v="Yuma"/>
    <n v="1"/>
    <n v="10"/>
    <n v="2"/>
    <n v="3"/>
    <x v="16"/>
    <n v="61.4"/>
    <n v="88.662290556900714"/>
    <n v="10.7"/>
    <m/>
    <m/>
  </r>
  <r>
    <n v="2025"/>
    <x v="1"/>
    <s v="Yuma"/>
    <n v="2"/>
    <n v="4"/>
    <n v="3"/>
    <n v="3"/>
    <x v="16"/>
    <n v="61"/>
    <n v="80.443628260151854"/>
    <m/>
    <m/>
    <m/>
  </r>
  <r>
    <n v="2025"/>
    <x v="1"/>
    <s v="Yuma"/>
    <n v="3"/>
    <n v="11"/>
    <n v="6"/>
    <n v="3"/>
    <x v="16"/>
    <n v="60.7"/>
    <n v="84.015064630409782"/>
    <m/>
    <m/>
    <m/>
  </r>
  <r>
    <n v="2025"/>
    <x v="1"/>
    <s v="Yuma"/>
    <n v="1"/>
    <n v="4"/>
    <n v="1"/>
    <n v="10"/>
    <x v="15"/>
    <n v="57.6"/>
    <n v="82.391135972461271"/>
    <n v="11.4"/>
    <m/>
    <m/>
  </r>
  <r>
    <n v="2025"/>
    <x v="1"/>
    <s v="Yuma"/>
    <n v="2"/>
    <n v="6"/>
    <n v="4"/>
    <n v="10"/>
    <x v="15"/>
    <n v="57.6"/>
    <n v="73.578928449161225"/>
    <m/>
    <m/>
    <m/>
  </r>
  <r>
    <n v="2025"/>
    <x v="1"/>
    <s v="Yuma"/>
    <n v="3"/>
    <n v="23"/>
    <n v="6"/>
    <n v="10"/>
    <x v="15"/>
    <n v="56.9"/>
    <n v="66.801112600536172"/>
    <m/>
    <m/>
    <m/>
  </r>
  <r>
    <n v="2025"/>
    <x v="1"/>
    <s v="Yuma"/>
    <n v="1"/>
    <n v="16"/>
    <n v="1"/>
    <n v="4"/>
    <x v="4"/>
    <n v="60.1"/>
    <n v="85.214595524956962"/>
    <n v="11.1"/>
    <m/>
    <m/>
  </r>
  <r>
    <n v="2025"/>
    <x v="1"/>
    <s v="Yuma"/>
    <n v="2"/>
    <n v="2"/>
    <n v="4"/>
    <n v="4"/>
    <x v="4"/>
    <n v="58.3"/>
    <n v="77.0748916711498"/>
    <m/>
    <m/>
    <m/>
  </r>
  <r>
    <n v="2025"/>
    <x v="1"/>
    <s v="Yuma"/>
    <n v="3"/>
    <n v="26"/>
    <n v="5"/>
    <n v="4"/>
    <x v="4"/>
    <n v="58.7"/>
    <n v="71.225037237643889"/>
    <m/>
    <m/>
    <m/>
  </r>
  <r>
    <n v="2025"/>
    <x v="1"/>
    <s v="Yuma"/>
    <n v="1"/>
    <n v="8"/>
    <n v="2"/>
    <n v="5"/>
    <x v="28"/>
    <n v="60.4"/>
    <n v="92.140762227602906"/>
    <n v="9.9"/>
    <m/>
    <m/>
  </r>
  <r>
    <n v="2025"/>
    <x v="1"/>
    <s v="Yuma"/>
    <n v="2"/>
    <n v="13"/>
    <n v="4"/>
    <n v="5"/>
    <x v="28"/>
    <n v="61"/>
    <n v="90.250602044309673"/>
    <m/>
    <m/>
    <m/>
  </r>
  <r>
    <n v="2025"/>
    <x v="1"/>
    <s v="Yuma"/>
    <n v="3"/>
    <n v="7"/>
    <n v="5"/>
    <n v="5"/>
    <x v="28"/>
    <n v="60.5"/>
    <n v="83.75463197601313"/>
    <m/>
    <m/>
    <m/>
  </r>
  <r>
    <n v="2025"/>
    <x v="1"/>
    <s v="Yuma"/>
    <n v="1"/>
    <n v="21"/>
    <n v="1"/>
    <n v="19"/>
    <x v="49"/>
    <n v="58.3"/>
    <n v="84.45813253012048"/>
    <n v="9.9"/>
    <m/>
    <m/>
  </r>
  <r>
    <n v="2025"/>
    <x v="1"/>
    <s v="Yuma"/>
    <n v="2"/>
    <n v="8"/>
    <n v="4"/>
    <n v="19"/>
    <x v="49"/>
    <n v="57.3"/>
    <n v="82.171404117963519"/>
    <m/>
    <m/>
    <m/>
  </r>
  <r>
    <n v="2025"/>
    <x v="1"/>
    <s v="Yuma"/>
    <n v="3"/>
    <n v="10"/>
    <n v="5"/>
    <n v="19"/>
    <x v="49"/>
    <n v="58.5"/>
    <n v="78.000203114421126"/>
    <m/>
    <m/>
    <m/>
  </r>
  <r>
    <n v="2025"/>
    <x v="1"/>
    <s v="Yuma"/>
    <n v="1"/>
    <n v="15"/>
    <n v="1"/>
    <n v="6"/>
    <x v="10"/>
    <n v="60.1"/>
    <n v="74.346652323580017"/>
    <n v="12.3"/>
    <m/>
    <m/>
  </r>
  <r>
    <n v="2025"/>
    <x v="1"/>
    <s v="Yuma"/>
    <n v="2"/>
    <n v="9"/>
    <n v="4"/>
    <n v="6"/>
    <x v="10"/>
    <n v="60.4"/>
    <n v="70.49640534063677"/>
    <m/>
    <m/>
    <m/>
  </r>
  <r>
    <n v="2025"/>
    <x v="1"/>
    <s v="Yuma"/>
    <n v="3"/>
    <n v="7"/>
    <n v="6"/>
    <n v="6"/>
    <x v="10"/>
    <n v="60.3"/>
    <n v="74.412282650325537"/>
    <m/>
    <m/>
    <m/>
  </r>
  <r>
    <n v="2025"/>
    <x v="1"/>
    <s v="Yuma"/>
    <n v="1"/>
    <n v="3"/>
    <n v="1"/>
    <n v="8"/>
    <x v="9"/>
    <n v="59.2"/>
    <n v="99.62047762478484"/>
    <n v="10.1"/>
    <m/>
    <m/>
  </r>
  <r>
    <n v="2025"/>
    <x v="1"/>
    <s v="Yuma"/>
    <n v="2"/>
    <n v="24"/>
    <n v="3"/>
    <n v="8"/>
    <x v="9"/>
    <n v="60.4"/>
    <n v="81.807627222562843"/>
    <m/>
    <m/>
    <m/>
  </r>
  <r>
    <n v="2025"/>
    <x v="1"/>
    <s v="Yuma"/>
    <n v="3"/>
    <n v="20"/>
    <n v="5"/>
    <n v="8"/>
    <x v="9"/>
    <n v="60.4"/>
    <n v="81.786266079891661"/>
    <m/>
    <m/>
    <m/>
  </r>
  <r>
    <n v="2025"/>
    <x v="1"/>
    <s v="Yuma"/>
    <n v="1"/>
    <n v="7"/>
    <n v="2"/>
    <n v="7"/>
    <x v="44"/>
    <n v="58.7"/>
    <n v="78.749346246973374"/>
    <n v="10.3"/>
    <m/>
    <m/>
  </r>
  <r>
    <n v="2025"/>
    <x v="1"/>
    <s v="Yuma"/>
    <n v="2"/>
    <n v="24"/>
    <n v="4"/>
    <n v="7"/>
    <x v="44"/>
    <n v="59.7"/>
    <n v="74.341655010514984"/>
    <m/>
    <m/>
    <m/>
  </r>
  <r>
    <n v="2025"/>
    <x v="1"/>
    <s v="Yuma"/>
    <n v="3"/>
    <n v="11"/>
    <n v="5"/>
    <n v="7"/>
    <x v="44"/>
    <n v="58.2"/>
    <n v="75.635176516104067"/>
    <m/>
    <m/>
    <m/>
  </r>
  <r>
    <n v="2025"/>
    <x v="1"/>
    <s v="Yuma"/>
    <n v="1"/>
    <n v="21"/>
    <n v="2"/>
    <n v="42"/>
    <x v="42"/>
    <n v="60.4"/>
    <n v="88.548428571428573"/>
    <n v="10"/>
    <m/>
    <m/>
  </r>
  <r>
    <n v="2025"/>
    <x v="1"/>
    <s v="Yuma"/>
    <n v="2"/>
    <n v="20"/>
    <n v="4"/>
    <n v="42"/>
    <x v="42"/>
    <n v="61.4"/>
    <n v="87.254988995940721"/>
    <m/>
    <m/>
    <m/>
  </r>
  <r>
    <n v="2025"/>
    <x v="1"/>
    <s v="Yuma"/>
    <n v="3"/>
    <n v="18"/>
    <n v="5"/>
    <n v="42"/>
    <x v="42"/>
    <n v="60.8"/>
    <n v="80.483294322468325"/>
    <m/>
    <m/>
    <m/>
  </r>
  <r>
    <n v="2025"/>
    <x v="1"/>
    <s v="Yuma"/>
    <n v="1"/>
    <n v="23"/>
    <n v="1"/>
    <n v="44"/>
    <x v="17"/>
    <n v="58.8"/>
    <n v="82.513253012048182"/>
    <n v="10.1"/>
    <m/>
    <m/>
  </r>
  <r>
    <n v="2025"/>
    <x v="1"/>
    <s v="Yuma"/>
    <n v="2"/>
    <n v="25"/>
    <n v="3"/>
    <n v="44"/>
    <x v="17"/>
    <n v="60.4"/>
    <n v="72.892164316370327"/>
    <m/>
    <m/>
    <m/>
  </r>
  <r>
    <n v="2025"/>
    <x v="1"/>
    <s v="Yuma"/>
    <n v="3"/>
    <n v="8"/>
    <n v="6"/>
    <n v="44"/>
    <x v="17"/>
    <n v="60.1"/>
    <n v="78.792729318268854"/>
    <m/>
    <m/>
    <m/>
  </r>
  <r>
    <n v="2025"/>
    <x v="1"/>
    <s v="Yuma"/>
    <n v="1"/>
    <n v="11"/>
    <n v="2"/>
    <n v="43"/>
    <x v="22"/>
    <n v="58"/>
    <n v="78.241737530266349"/>
    <n v="10.9"/>
    <m/>
    <m/>
  </r>
  <r>
    <n v="2025"/>
    <x v="1"/>
    <s v="Yuma"/>
    <n v="2"/>
    <n v="1"/>
    <n v="3"/>
    <n v="43"/>
    <x v="22"/>
    <n v="57.9"/>
    <n v="69.028722350610749"/>
    <m/>
    <m/>
    <m/>
  </r>
  <r>
    <n v="2025"/>
    <x v="1"/>
    <s v="Yuma"/>
    <n v="3"/>
    <n v="22"/>
    <n v="5"/>
    <n v="43"/>
    <x v="22"/>
    <n v="58.2"/>
    <n v="68.999715639810404"/>
    <m/>
    <m/>
    <m/>
  </r>
  <r>
    <n v="2025"/>
    <x v="1"/>
    <s v="Yuma"/>
    <n v="1"/>
    <n v="20"/>
    <n v="1"/>
    <n v="27"/>
    <x v="39"/>
    <n v="59.5"/>
    <n v="96.98222891566266"/>
    <n v="9.6"/>
    <m/>
    <m/>
  </r>
  <r>
    <n v="2025"/>
    <x v="1"/>
    <s v="Yuma"/>
    <n v="2"/>
    <n v="21"/>
    <n v="4"/>
    <n v="27"/>
    <x v="39"/>
    <n v="59"/>
    <n v="89.77034528292657"/>
    <m/>
    <m/>
    <m/>
  </r>
  <r>
    <n v="2025"/>
    <x v="1"/>
    <s v="Yuma"/>
    <n v="3"/>
    <n v="6"/>
    <n v="5"/>
    <n v="27"/>
    <x v="39"/>
    <n v="58.6"/>
    <n v="89.326458071380202"/>
    <m/>
    <m/>
    <m/>
  </r>
  <r>
    <n v="2025"/>
    <x v="1"/>
    <s v="Yuma"/>
    <n v="1"/>
    <n v="12"/>
    <n v="2"/>
    <n v="31"/>
    <x v="6"/>
    <n v="59.9"/>
    <n v="86.486639709443097"/>
    <n v="10.4"/>
    <m/>
    <m/>
  </r>
  <r>
    <n v="2025"/>
    <x v="1"/>
    <s v="Yuma"/>
    <n v="2"/>
    <n v="25"/>
    <n v="4"/>
    <n v="31"/>
    <x v="6"/>
    <n v="60.3"/>
    <n v="78.500846089890942"/>
    <m/>
    <m/>
    <m/>
  </r>
  <r>
    <n v="2025"/>
    <x v="1"/>
    <s v="Yuma"/>
    <n v="3"/>
    <n v="24"/>
    <n v="5"/>
    <n v="31"/>
    <x v="6"/>
    <n v="60.1"/>
    <n v="73.604426927168959"/>
    <m/>
    <m/>
    <m/>
  </r>
  <r>
    <n v="2025"/>
    <x v="1"/>
    <s v="Yuma"/>
    <n v="1"/>
    <n v="18"/>
    <n v="1"/>
    <n v="23"/>
    <x v="35"/>
    <n v="61"/>
    <n v="87.418192771084335"/>
    <n v="11"/>
    <m/>
    <m/>
  </r>
  <r>
    <n v="2025"/>
    <x v="1"/>
    <s v="Yuma"/>
    <n v="2"/>
    <n v="22"/>
    <n v="4"/>
    <n v="23"/>
    <x v="35"/>
    <n v="60.6"/>
    <n v="84.477062649777466"/>
    <m/>
    <m/>
    <m/>
  </r>
  <r>
    <n v="2025"/>
    <x v="1"/>
    <s v="Yuma"/>
    <n v="3"/>
    <n v="4"/>
    <n v="5"/>
    <n v="23"/>
    <x v="35"/>
    <n v="60.2"/>
    <n v="81.858751813521607"/>
    <m/>
    <m/>
    <m/>
  </r>
  <r>
    <n v="2025"/>
    <x v="1"/>
    <s v="Yuma"/>
    <n v="1"/>
    <n v="2"/>
    <n v="2"/>
    <n v="28"/>
    <x v="37"/>
    <n v="58.3"/>
    <n v="95.417398547215484"/>
    <n v="9"/>
    <m/>
    <m/>
  </r>
  <r>
    <n v="2025"/>
    <x v="1"/>
    <s v="Yuma"/>
    <n v="2"/>
    <n v="19"/>
    <n v="3"/>
    <n v="28"/>
    <x v="37"/>
    <n v="58.7"/>
    <n v="84.881422440220732"/>
    <m/>
    <m/>
    <m/>
  </r>
  <r>
    <n v="2025"/>
    <x v="1"/>
    <s v="Yuma"/>
    <n v="3"/>
    <n v="6"/>
    <n v="6"/>
    <n v="28"/>
    <x v="37"/>
    <n v="56.6"/>
    <n v="81.881407985446174"/>
    <m/>
    <m/>
    <m/>
  </r>
  <r>
    <n v="2025"/>
    <x v="1"/>
    <s v="Yuma"/>
    <n v="1"/>
    <n v="17"/>
    <n v="2"/>
    <n v="46"/>
    <x v="25"/>
    <n v="60"/>
    <n v="85.756772397094437"/>
    <n v="10.5"/>
    <m/>
    <m/>
  </r>
  <r>
    <n v="2025"/>
    <x v="1"/>
    <s v="Yuma"/>
    <n v="2"/>
    <n v="11"/>
    <n v="4"/>
    <n v="46"/>
    <x v="25"/>
    <n v="60.7"/>
    <n v="83.624811463784411"/>
    <m/>
    <m/>
    <m/>
  </r>
  <r>
    <n v="2025"/>
    <x v="1"/>
    <s v="Yuma"/>
    <n v="3"/>
    <n v="8"/>
    <n v="5"/>
    <n v="46"/>
    <x v="25"/>
    <n v="59.8"/>
    <n v="82.704211238997956"/>
    <m/>
    <m/>
    <m/>
  </r>
  <r>
    <n v="2025"/>
    <x v="1"/>
    <s v="Yuma"/>
    <n v="1"/>
    <n v="19"/>
    <n v="2"/>
    <n v="47"/>
    <x v="50"/>
    <n v="61.5"/>
    <n v="77.172489588377715"/>
    <n v="12.2"/>
    <m/>
    <m/>
  </r>
  <r>
    <n v="2025"/>
    <x v="1"/>
    <s v="Yuma"/>
    <n v="2"/>
    <n v="9"/>
    <n v="3"/>
    <n v="47"/>
    <x v="50"/>
    <n v="61.6"/>
    <n v="74.812819412347295"/>
    <m/>
    <m/>
    <m/>
  </r>
  <r>
    <n v="2025"/>
    <x v="1"/>
    <s v="Yuma"/>
    <n v="3"/>
    <n v="13"/>
    <n v="6"/>
    <n v="47"/>
    <x v="50"/>
    <n v="61.7"/>
    <n v="75.136108770585963"/>
    <m/>
    <m/>
    <m/>
  </r>
  <r>
    <n v="2025"/>
    <x v="1"/>
    <s v="Yuma"/>
    <n v="1"/>
    <n v="13"/>
    <n v="1"/>
    <n v="45"/>
    <x v="21"/>
    <n v="57.3"/>
    <n v="79.592667814113582"/>
    <n v="11.3"/>
    <m/>
    <m/>
  </r>
  <r>
    <n v="2025"/>
    <x v="1"/>
    <s v="Yuma"/>
    <n v="2"/>
    <n v="15"/>
    <n v="4"/>
    <n v="45"/>
    <x v="21"/>
    <n v="56.2"/>
    <n v="86.307354624150236"/>
    <m/>
    <m/>
    <m/>
  </r>
  <r>
    <n v="2025"/>
    <x v="1"/>
    <s v="Yuma"/>
    <n v="3"/>
    <n v="17"/>
    <n v="6"/>
    <n v="45"/>
    <x v="21"/>
    <n v="60.6"/>
    <n v="86.266973381846014"/>
    <m/>
    <m/>
    <m/>
  </r>
  <r>
    <n v="2025"/>
    <x v="1"/>
    <s v="Yuma"/>
    <n v="1"/>
    <n v="13"/>
    <n v="2"/>
    <n v="24"/>
    <x v="29"/>
    <n v="58.4"/>
    <n v="90.888280387409196"/>
    <n v="9.6999999999999993"/>
    <m/>
    <m/>
  </r>
  <r>
    <n v="2025"/>
    <x v="1"/>
    <s v="Yuma"/>
    <n v="2"/>
    <n v="22"/>
    <n v="3"/>
    <n v="24"/>
    <x v="29"/>
    <n v="57.7"/>
    <n v="86.992345422817522"/>
    <m/>
    <m/>
    <m/>
  </r>
  <r>
    <n v="2025"/>
    <x v="1"/>
    <s v="Yuma"/>
    <n v="3"/>
    <n v="15"/>
    <n v="5"/>
    <n v="24"/>
    <x v="29"/>
    <n v="58.2"/>
    <n v="88.174298771641347"/>
    <m/>
    <m/>
    <m/>
  </r>
  <r>
    <n v="2025"/>
    <x v="1"/>
    <s v="Yuma"/>
    <n v="1"/>
    <n v="20"/>
    <n v="2"/>
    <n v="33"/>
    <x v="3"/>
    <n v="60.1"/>
    <n v="92.372944794188868"/>
    <n v="9.6"/>
    <m/>
    <m/>
  </r>
  <r>
    <n v="2025"/>
    <x v="1"/>
    <s v="Yuma"/>
    <n v="2"/>
    <n v="11"/>
    <n v="3"/>
    <n v="33"/>
    <x v="3"/>
    <n v="60.4"/>
    <n v="90.189312833089645"/>
    <m/>
    <m/>
    <m/>
  </r>
  <r>
    <n v="2025"/>
    <x v="1"/>
    <s v="Yuma"/>
    <n v="3"/>
    <n v="13"/>
    <n v="5"/>
    <n v="33"/>
    <x v="3"/>
    <n v="59.7"/>
    <n v="84.512715929973879"/>
    <m/>
    <m/>
    <m/>
  </r>
  <r>
    <n v="2025"/>
    <x v="1"/>
    <s v="Yuma"/>
    <n v="1"/>
    <n v="11"/>
    <n v="1"/>
    <n v="60"/>
    <x v="52"/>
    <s v="."/>
    <n v="71.438468158347675"/>
    <n v="11.9"/>
    <m/>
    <m/>
  </r>
  <r>
    <n v="2025"/>
    <x v="1"/>
    <s v="Yuma"/>
    <n v="2"/>
    <n v="16"/>
    <n v="3"/>
    <n v="60"/>
    <x v="52"/>
    <n v="55.6"/>
    <n v="63.057719190680558"/>
    <m/>
    <m/>
    <m/>
  </r>
  <r>
    <n v="2025"/>
    <x v="1"/>
    <s v="Yuma"/>
    <n v="3"/>
    <n v="23"/>
    <n v="5"/>
    <n v="60"/>
    <x v="52"/>
    <n v="54"/>
    <n v="58.849606344907613"/>
    <m/>
    <m/>
    <m/>
  </r>
  <r>
    <n v="2025"/>
    <x v="1"/>
    <s v="Yuma"/>
    <n v="1"/>
    <n v="23"/>
    <n v="2"/>
    <n v="58"/>
    <x v="51"/>
    <n v="60.3"/>
    <n v="84.145972881355931"/>
    <n v="10.5"/>
    <m/>
    <m/>
  </r>
  <r>
    <n v="2025"/>
    <x v="1"/>
    <s v="Yuma"/>
    <n v="2"/>
    <n v="8"/>
    <n v="3"/>
    <n v="58"/>
    <x v="51"/>
    <n v="59.5"/>
    <n v="82.55058246474556"/>
    <m/>
    <m/>
    <m/>
  </r>
  <r>
    <n v="2025"/>
    <x v="1"/>
    <s v="Yuma"/>
    <n v="3"/>
    <n v="14"/>
    <n v="6"/>
    <n v="58"/>
    <x v="51"/>
    <n v="60.1"/>
    <n v="80.74699348908463"/>
    <m/>
    <m/>
    <m/>
  </r>
  <r>
    <n v="2025"/>
    <x v="1"/>
    <s v="Yuma"/>
    <n v="1"/>
    <n v="1"/>
    <n v="1"/>
    <n v="25"/>
    <x v="34"/>
    <n v="60"/>
    <n v="93.013567125645437"/>
    <n v="9.8000000000000007"/>
    <m/>
    <m/>
  </r>
  <r>
    <n v="2025"/>
    <x v="1"/>
    <s v="Yuma"/>
    <n v="2"/>
    <n v="4"/>
    <n v="4"/>
    <n v="25"/>
    <x v="34"/>
    <n v="59.1"/>
    <n v="82.091514647625573"/>
    <m/>
    <m/>
    <m/>
  </r>
  <r>
    <n v="2025"/>
    <x v="1"/>
    <s v="Yuma"/>
    <n v="3"/>
    <n v="16"/>
    <n v="5"/>
    <n v="25"/>
    <x v="34"/>
    <n v="56.1"/>
    <n v="74.093681690685742"/>
    <m/>
    <m/>
    <m/>
  </r>
  <r>
    <n v="2025"/>
    <x v="1"/>
    <s v="Yuma"/>
    <n v="1"/>
    <n v="2"/>
    <n v="1"/>
    <n v="34"/>
    <x v="0"/>
    <n v="60.8"/>
    <n v="98.020223752151452"/>
    <n v="9.6999999999999993"/>
    <m/>
    <m/>
  </r>
  <r>
    <n v="2025"/>
    <x v="1"/>
    <s v="Yuma"/>
    <n v="2"/>
    <n v="6"/>
    <n v="3"/>
    <n v="34"/>
    <x v="0"/>
    <n v="60"/>
    <n v="92.415377069282641"/>
    <m/>
    <m/>
    <m/>
  </r>
  <r>
    <n v="2025"/>
    <x v="1"/>
    <s v="Yuma"/>
    <n v="3"/>
    <n v="10"/>
    <n v="6"/>
    <n v="34"/>
    <x v="0"/>
    <n v="60"/>
    <n v="88.104217732669468"/>
    <m/>
    <m/>
    <m/>
  </r>
  <r>
    <n v="2025"/>
    <x v="1"/>
    <s v="Yuma"/>
    <n v="1"/>
    <n v="16"/>
    <n v="2"/>
    <n v="35"/>
    <x v="30"/>
    <n v="60.5"/>
    <n v="92.16923970944309"/>
    <n v="9.8000000000000007"/>
    <m/>
    <m/>
  </r>
  <r>
    <n v="2025"/>
    <x v="1"/>
    <s v="Yuma"/>
    <n v="2"/>
    <n v="20"/>
    <n v="3"/>
    <n v="35"/>
    <x v="30"/>
    <n v="60.6"/>
    <n v="90.142341178135169"/>
    <m/>
    <m/>
    <m/>
  </r>
  <r>
    <n v="2025"/>
    <x v="1"/>
    <s v="Yuma"/>
    <n v="3"/>
    <n v="15"/>
    <n v="6"/>
    <n v="35"/>
    <x v="30"/>
    <n v="61.2"/>
    <n v="88.069050172347758"/>
    <m/>
    <m/>
    <m/>
  </r>
  <r>
    <n v="2025"/>
    <x v="1"/>
    <s v="Yuma"/>
    <n v="1"/>
    <n v="17"/>
    <n v="1"/>
    <n v="57"/>
    <x v="45"/>
    <n v="58.1"/>
    <n v="83.263941480206526"/>
    <n v="10.9"/>
    <m/>
    <m/>
  </r>
  <r>
    <n v="2025"/>
    <x v="1"/>
    <s v="Yuma"/>
    <n v="2"/>
    <n v="5"/>
    <n v="3"/>
    <n v="57"/>
    <x v="45"/>
    <n v="59.7"/>
    <n v="83.228636513700877"/>
    <m/>
    <m/>
    <m/>
  </r>
  <r>
    <n v="2025"/>
    <x v="1"/>
    <s v="Yuma"/>
    <n v="3"/>
    <n v="21"/>
    <n v="6"/>
    <n v="57"/>
    <x v="45"/>
    <n v="60.1"/>
    <n v="77.910838759096123"/>
    <m/>
    <m/>
    <m/>
  </r>
  <r>
    <n v="2025"/>
    <x v="1"/>
    <s v="Yuma"/>
    <n v="1"/>
    <n v="24"/>
    <n v="2"/>
    <n v="49"/>
    <x v="47"/>
    <n v="58.3"/>
    <n v="73.02939951573849"/>
    <n v="11.4"/>
    <m/>
    <m/>
  </r>
  <r>
    <n v="2025"/>
    <x v="1"/>
    <s v="Yuma"/>
    <n v="2"/>
    <n v="26"/>
    <n v="4"/>
    <n v="49"/>
    <x v="47"/>
    <n v="59.1"/>
    <n v="67.325761725436493"/>
    <m/>
    <m/>
    <m/>
  </r>
  <r>
    <n v="2025"/>
    <x v="1"/>
    <s v="Yuma"/>
    <n v="3"/>
    <n v="25"/>
    <n v="6"/>
    <n v="49"/>
    <x v="47"/>
    <n v="56.6"/>
    <n v="67.437920337035592"/>
    <m/>
    <m/>
    <m/>
  </r>
  <r>
    <n v="2025"/>
    <x v="1"/>
    <s v="Yuma"/>
    <n v="1"/>
    <n v="10"/>
    <n v="1"/>
    <n v="48"/>
    <x v="48"/>
    <n v="60.4"/>
    <n v="77.302074010327019"/>
    <n v="11.5"/>
    <m/>
    <m/>
  </r>
  <r>
    <n v="2025"/>
    <x v="1"/>
    <s v="Yuma"/>
    <n v="2"/>
    <n v="17"/>
    <n v="4"/>
    <n v="48"/>
    <x v="48"/>
    <n v="60.1"/>
    <n v="72.124262238959261"/>
    <m/>
    <m/>
    <m/>
  </r>
  <r>
    <n v="2025"/>
    <x v="1"/>
    <s v="Yuma"/>
    <n v="3"/>
    <n v="20"/>
    <n v="6"/>
    <n v="48"/>
    <x v="48"/>
    <n v="57.1"/>
    <n v="60.970501723477589"/>
    <m/>
    <m/>
    <m/>
  </r>
  <r>
    <n v="2025"/>
    <x v="1"/>
    <s v="Yuma"/>
    <n v="1"/>
    <n v="7"/>
    <n v="1"/>
    <n v="26"/>
    <x v="11"/>
    <n v="57.6"/>
    <n v="101.91149741824439"/>
    <n v="10.3"/>
    <m/>
    <m/>
  </r>
  <r>
    <n v="2025"/>
    <x v="1"/>
    <s v="Yuma"/>
    <n v="2"/>
    <n v="12"/>
    <n v="3"/>
    <n v="26"/>
    <x v="11"/>
    <n v="60.6"/>
    <n v="93.10659812290713"/>
    <m/>
    <m/>
    <m/>
  </r>
  <r>
    <n v="2025"/>
    <x v="1"/>
    <s v="Yuma"/>
    <n v="3"/>
    <n v="3"/>
    <n v="6"/>
    <n v="26"/>
    <x v="11"/>
    <n v="59.2"/>
    <n v="85.56096801991572"/>
    <m/>
    <m/>
    <m/>
  </r>
  <r>
    <n v="2025"/>
    <x v="1"/>
    <s v="Yuma"/>
    <n v="1"/>
    <n v="26"/>
    <n v="2"/>
    <n v="36"/>
    <x v="36"/>
    <n v="62.8"/>
    <n v="84.644999999999996"/>
    <n v="9.6999999999999993"/>
    <m/>
    <m/>
  </r>
  <r>
    <n v="2025"/>
    <x v="1"/>
    <s v="Yuma"/>
    <n v="2"/>
    <n v="5"/>
    <n v="4"/>
    <n v="36"/>
    <x v="36"/>
    <n v="61.1"/>
    <n v="82.547901403628885"/>
    <m/>
    <m/>
    <m/>
  </r>
  <r>
    <n v="2025"/>
    <x v="1"/>
    <s v="Yuma"/>
    <n v="3"/>
    <n v="1"/>
    <n v="6"/>
    <n v="36"/>
    <x v="36"/>
    <n v="62.3"/>
    <n v="78.338726541554934"/>
    <m/>
    <m/>
    <m/>
  </r>
  <r>
    <n v="2025"/>
    <x v="1"/>
    <s v="Roggen"/>
    <n v="1"/>
    <n v="1"/>
    <n v="1"/>
    <n v="46"/>
    <x v="25"/>
    <m/>
    <m/>
    <m/>
    <m/>
    <n v="4"/>
  </r>
  <r>
    <n v="2025"/>
    <x v="1"/>
    <s v="Roggen"/>
    <n v="1"/>
    <n v="2"/>
    <n v="1"/>
    <n v="11"/>
    <x v="2"/>
    <m/>
    <m/>
    <m/>
    <m/>
    <n v="6"/>
  </r>
  <r>
    <n v="2025"/>
    <x v="1"/>
    <s v="Roggen"/>
    <n v="1"/>
    <n v="3"/>
    <n v="1"/>
    <n v="30"/>
    <x v="14"/>
    <m/>
    <m/>
    <m/>
    <m/>
    <n v="2"/>
  </r>
  <r>
    <n v="2025"/>
    <x v="1"/>
    <s v="Roggen"/>
    <n v="1"/>
    <n v="4"/>
    <n v="1"/>
    <n v="32"/>
    <x v="24"/>
    <m/>
    <m/>
    <m/>
    <m/>
    <n v="5"/>
  </r>
  <r>
    <n v="2025"/>
    <x v="1"/>
    <s v="Roggen"/>
    <n v="1"/>
    <n v="5"/>
    <n v="1"/>
    <n v="7"/>
    <x v="44"/>
    <m/>
    <m/>
    <m/>
    <m/>
    <n v="2"/>
  </r>
  <r>
    <n v="2025"/>
    <x v="1"/>
    <s v="Roggen"/>
    <n v="1"/>
    <n v="6"/>
    <n v="1"/>
    <n v="42"/>
    <x v="42"/>
    <m/>
    <m/>
    <m/>
    <m/>
    <n v="6"/>
  </r>
  <r>
    <n v="2025"/>
    <x v="1"/>
    <s v="Roggen"/>
    <n v="1"/>
    <n v="7"/>
    <n v="1"/>
    <n v="47"/>
    <x v="50"/>
    <m/>
    <m/>
    <m/>
    <m/>
    <n v="5"/>
  </r>
  <r>
    <n v="2025"/>
    <x v="1"/>
    <s v="Roggen"/>
    <n v="1"/>
    <n v="8"/>
    <n v="1"/>
    <n v="12"/>
    <x v="41"/>
    <m/>
    <m/>
    <m/>
    <m/>
    <n v="2"/>
  </r>
  <r>
    <n v="2025"/>
    <x v="1"/>
    <s v="Roggen"/>
    <n v="1"/>
    <n v="9"/>
    <n v="1"/>
    <n v="41"/>
    <x v="20"/>
    <m/>
    <m/>
    <m/>
    <m/>
    <n v="6"/>
  </r>
  <r>
    <n v="2025"/>
    <x v="1"/>
    <s v="Roggen"/>
    <n v="1"/>
    <n v="10"/>
    <n v="1"/>
    <n v="20"/>
    <x v="18"/>
    <m/>
    <m/>
    <m/>
    <m/>
    <n v="5"/>
  </r>
  <r>
    <n v="2025"/>
    <x v="1"/>
    <s v="Roggen"/>
    <n v="1"/>
    <n v="11"/>
    <n v="1"/>
    <n v="21"/>
    <x v="26"/>
    <m/>
    <m/>
    <m/>
    <m/>
    <n v="4"/>
  </r>
  <r>
    <n v="2025"/>
    <x v="1"/>
    <s v="Roggen"/>
    <n v="1"/>
    <n v="12"/>
    <n v="1"/>
    <n v="35"/>
    <x v="30"/>
    <m/>
    <m/>
    <m/>
    <m/>
    <n v="3"/>
  </r>
  <r>
    <n v="2025"/>
    <x v="1"/>
    <s v="Roggen"/>
    <n v="1"/>
    <n v="13"/>
    <n v="1"/>
    <n v="4"/>
    <x v="4"/>
    <m/>
    <m/>
    <m/>
    <m/>
    <n v="1"/>
  </r>
  <r>
    <n v="2025"/>
    <x v="1"/>
    <s v="Roggen"/>
    <n v="1"/>
    <n v="14"/>
    <n v="1"/>
    <n v="24"/>
    <x v="29"/>
    <m/>
    <m/>
    <m/>
    <m/>
    <n v="3"/>
  </r>
  <r>
    <n v="2025"/>
    <x v="1"/>
    <s v="Roggen"/>
    <n v="1"/>
    <n v="15"/>
    <n v="1"/>
    <n v="37"/>
    <x v="31"/>
    <m/>
    <m/>
    <m/>
    <m/>
    <n v="4"/>
  </r>
  <r>
    <n v="2025"/>
    <x v="1"/>
    <s v="Roggen"/>
    <n v="1"/>
    <n v="16"/>
    <n v="1"/>
    <n v="49"/>
    <x v="47"/>
    <m/>
    <m/>
    <m/>
    <m/>
    <n v="2"/>
  </r>
  <r>
    <n v="2025"/>
    <x v="1"/>
    <s v="Roggen"/>
    <n v="1"/>
    <n v="17"/>
    <n v="1"/>
    <n v="1"/>
    <x v="12"/>
    <m/>
    <m/>
    <m/>
    <m/>
    <n v="4"/>
  </r>
  <r>
    <n v="2025"/>
    <x v="1"/>
    <s v="Roggen"/>
    <n v="1"/>
    <n v="18"/>
    <n v="1"/>
    <n v="25"/>
    <x v="34"/>
    <m/>
    <m/>
    <m/>
    <m/>
    <n v="5"/>
  </r>
  <r>
    <n v="2025"/>
    <x v="1"/>
    <s v="Roggen"/>
    <n v="1"/>
    <n v="19"/>
    <n v="1"/>
    <n v="57"/>
    <x v="45"/>
    <m/>
    <m/>
    <m/>
    <m/>
    <n v="5"/>
  </r>
  <r>
    <n v="2025"/>
    <x v="1"/>
    <s v="Roggen"/>
    <n v="1"/>
    <n v="20"/>
    <n v="1"/>
    <n v="29"/>
    <x v="27"/>
    <m/>
    <m/>
    <m/>
    <m/>
    <n v="5"/>
  </r>
  <r>
    <n v="2025"/>
    <x v="1"/>
    <s v="Roggen"/>
    <n v="1"/>
    <n v="21"/>
    <n v="1"/>
    <n v="13"/>
    <x v="38"/>
    <m/>
    <m/>
    <m/>
    <m/>
    <n v="2"/>
  </r>
  <r>
    <n v="2025"/>
    <x v="1"/>
    <s v="Roggen"/>
    <n v="1"/>
    <n v="22"/>
    <n v="1"/>
    <n v="34"/>
    <x v="0"/>
    <m/>
    <m/>
    <m/>
    <m/>
    <n v="5"/>
  </r>
  <r>
    <n v="2025"/>
    <x v="1"/>
    <s v="Roggen"/>
    <n v="1"/>
    <n v="23"/>
    <n v="1"/>
    <n v="22"/>
    <x v="33"/>
    <m/>
    <m/>
    <m/>
    <m/>
    <n v="5"/>
  </r>
  <r>
    <n v="2025"/>
    <x v="1"/>
    <s v="Roggen"/>
    <n v="1"/>
    <n v="24"/>
    <n v="1"/>
    <n v="5"/>
    <x v="28"/>
    <m/>
    <m/>
    <m/>
    <m/>
    <n v="2"/>
  </r>
  <r>
    <n v="2025"/>
    <x v="1"/>
    <s v="Roggen"/>
    <n v="1"/>
    <n v="25"/>
    <n v="1"/>
    <n v="38"/>
    <x v="43"/>
    <m/>
    <m/>
    <m/>
    <m/>
    <n v="1"/>
  </r>
  <r>
    <n v="2025"/>
    <x v="1"/>
    <s v="Roggen"/>
    <n v="1"/>
    <n v="26"/>
    <n v="1"/>
    <n v="15"/>
    <x v="7"/>
    <m/>
    <m/>
    <m/>
    <m/>
    <n v="5"/>
  </r>
  <r>
    <n v="2025"/>
    <x v="1"/>
    <s v="Roggen"/>
    <n v="1"/>
    <n v="26"/>
    <n v="2"/>
    <n v="26"/>
    <x v="11"/>
    <m/>
    <m/>
    <m/>
    <m/>
    <n v="5"/>
  </r>
  <r>
    <n v="2025"/>
    <x v="1"/>
    <s v="Roggen"/>
    <n v="1"/>
    <n v="25"/>
    <n v="2"/>
    <n v="17"/>
    <x v="32"/>
    <m/>
    <m/>
    <m/>
    <m/>
    <n v="5"/>
  </r>
  <r>
    <n v="2025"/>
    <x v="1"/>
    <s v="Roggen"/>
    <n v="1"/>
    <n v="24"/>
    <n v="2"/>
    <n v="45"/>
    <x v="21"/>
    <m/>
    <m/>
    <m/>
    <m/>
    <n v="5"/>
  </r>
  <r>
    <n v="2025"/>
    <x v="1"/>
    <s v="Roggen"/>
    <n v="1"/>
    <n v="23"/>
    <n v="2"/>
    <n v="2"/>
    <x v="23"/>
    <m/>
    <m/>
    <m/>
    <m/>
    <n v="5"/>
  </r>
  <r>
    <n v="2025"/>
    <x v="1"/>
    <s v="Roggen"/>
    <n v="1"/>
    <n v="22"/>
    <n v="2"/>
    <n v="6"/>
    <x v="10"/>
    <m/>
    <m/>
    <m/>
    <m/>
    <n v="1"/>
  </r>
  <r>
    <n v="2025"/>
    <x v="1"/>
    <s v="Roggen"/>
    <n v="1"/>
    <n v="21"/>
    <n v="2"/>
    <n v="19"/>
    <x v="49"/>
    <m/>
    <m/>
    <m/>
    <m/>
    <n v="4"/>
  </r>
  <r>
    <n v="2025"/>
    <x v="1"/>
    <s v="Roggen"/>
    <n v="1"/>
    <n v="20"/>
    <n v="2"/>
    <n v="48"/>
    <x v="48"/>
    <m/>
    <m/>
    <m/>
    <m/>
    <n v="1"/>
  </r>
  <r>
    <n v="2025"/>
    <x v="1"/>
    <s v="Roggen"/>
    <n v="1"/>
    <n v="19"/>
    <n v="2"/>
    <n v="58"/>
    <x v="51"/>
    <m/>
    <m/>
    <m/>
    <m/>
    <n v="6"/>
  </r>
  <r>
    <n v="2025"/>
    <x v="1"/>
    <s v="Roggen"/>
    <n v="1"/>
    <n v="18"/>
    <n v="2"/>
    <n v="31"/>
    <x v="6"/>
    <m/>
    <m/>
    <m/>
    <m/>
    <n v="2"/>
  </r>
  <r>
    <n v="2025"/>
    <x v="1"/>
    <s v="Roggen"/>
    <n v="1"/>
    <n v="17"/>
    <n v="2"/>
    <n v="40"/>
    <x v="13"/>
    <m/>
    <m/>
    <m/>
    <m/>
    <n v="5"/>
  </r>
  <r>
    <n v="2025"/>
    <x v="1"/>
    <s v="Roggen"/>
    <n v="1"/>
    <n v="16"/>
    <n v="2"/>
    <n v="8"/>
    <x v="9"/>
    <m/>
    <m/>
    <m/>
    <m/>
    <n v="1"/>
  </r>
  <r>
    <n v="2025"/>
    <x v="1"/>
    <s v="Roggen"/>
    <n v="1"/>
    <n v="15"/>
    <n v="2"/>
    <n v="18"/>
    <x v="8"/>
    <m/>
    <m/>
    <m/>
    <m/>
    <n v="4"/>
  </r>
  <r>
    <n v="2025"/>
    <x v="1"/>
    <s v="Roggen"/>
    <n v="1"/>
    <n v="14"/>
    <n v="2"/>
    <n v="28"/>
    <x v="37"/>
    <m/>
    <m/>
    <m/>
    <m/>
    <n v="4"/>
  </r>
  <r>
    <n v="2025"/>
    <x v="1"/>
    <s v="Roggen"/>
    <n v="1"/>
    <n v="13"/>
    <n v="2"/>
    <n v="43"/>
    <x v="22"/>
    <m/>
    <m/>
    <m/>
    <m/>
    <n v="4"/>
  </r>
  <r>
    <n v="2025"/>
    <x v="1"/>
    <s v="Roggen"/>
    <n v="1"/>
    <n v="12"/>
    <n v="2"/>
    <n v="36"/>
    <x v="36"/>
    <m/>
    <m/>
    <m/>
    <m/>
    <n v="2"/>
  </r>
  <r>
    <n v="2025"/>
    <x v="1"/>
    <s v="Roggen"/>
    <n v="1"/>
    <n v="11"/>
    <n v="2"/>
    <n v="23"/>
    <x v="35"/>
    <m/>
    <m/>
    <m/>
    <m/>
    <n v="3"/>
  </r>
  <r>
    <n v="2025"/>
    <x v="1"/>
    <s v="Roggen"/>
    <n v="1"/>
    <n v="10"/>
    <n v="2"/>
    <n v="44"/>
    <x v="17"/>
    <m/>
    <m/>
    <m/>
    <m/>
    <n v="6"/>
  </r>
  <r>
    <n v="2025"/>
    <x v="1"/>
    <s v="Roggen"/>
    <n v="1"/>
    <n v="9"/>
    <n v="2"/>
    <n v="16"/>
    <x v="40"/>
    <m/>
    <m/>
    <m/>
    <m/>
    <n v="5"/>
  </r>
  <r>
    <n v="2025"/>
    <x v="1"/>
    <s v="Roggen"/>
    <n v="1"/>
    <n v="8"/>
    <n v="2"/>
    <n v="39"/>
    <x v="46"/>
    <m/>
    <m/>
    <m/>
    <m/>
    <n v="7"/>
  </r>
  <r>
    <n v="2025"/>
    <x v="1"/>
    <s v="Roggen"/>
    <n v="1"/>
    <n v="7"/>
    <n v="2"/>
    <n v="14"/>
    <x v="5"/>
    <m/>
    <m/>
    <m/>
    <m/>
    <n v="4"/>
  </r>
  <r>
    <n v="2025"/>
    <x v="1"/>
    <s v="Roggen"/>
    <n v="1"/>
    <n v="6"/>
    <n v="2"/>
    <n v="9"/>
    <x v="1"/>
    <m/>
    <m/>
    <m/>
    <m/>
    <n v="4"/>
  </r>
  <r>
    <n v="2025"/>
    <x v="1"/>
    <s v="Roggen"/>
    <n v="1"/>
    <n v="5"/>
    <n v="2"/>
    <n v="33"/>
    <x v="3"/>
    <m/>
    <m/>
    <m/>
    <m/>
    <n v="3"/>
  </r>
  <r>
    <n v="2025"/>
    <x v="1"/>
    <s v="Roggen"/>
    <n v="1"/>
    <n v="4"/>
    <n v="2"/>
    <n v="60"/>
    <x v="52"/>
    <m/>
    <m/>
    <m/>
    <m/>
    <n v="2"/>
  </r>
  <r>
    <n v="2025"/>
    <x v="1"/>
    <s v="Roggen"/>
    <n v="1"/>
    <n v="3"/>
    <n v="2"/>
    <n v="3"/>
    <x v="16"/>
    <m/>
    <m/>
    <m/>
    <m/>
    <s v="."/>
  </r>
  <r>
    <n v="2025"/>
    <x v="1"/>
    <s v="Roggen"/>
    <n v="1"/>
    <n v="2"/>
    <n v="2"/>
    <n v="10"/>
    <x v="15"/>
    <m/>
    <m/>
    <m/>
    <m/>
    <n v="4"/>
  </r>
  <r>
    <n v="2025"/>
    <x v="1"/>
    <s v="Roggen"/>
    <n v="1"/>
    <n v="1"/>
    <n v="2"/>
    <n v="27"/>
    <x v="39"/>
    <m/>
    <m/>
    <m/>
    <m/>
    <n v="6"/>
  </r>
  <r>
    <n v="2025"/>
    <x v="1"/>
    <s v="Roggen"/>
    <n v="2"/>
    <n v="1"/>
    <n v="3"/>
    <n v="17"/>
    <x v="32"/>
    <m/>
    <m/>
    <m/>
    <m/>
    <n v="6"/>
  </r>
  <r>
    <n v="2025"/>
    <x v="1"/>
    <s v="Roggen"/>
    <n v="2"/>
    <n v="2"/>
    <n v="3"/>
    <n v="15"/>
    <x v="7"/>
    <m/>
    <m/>
    <m/>
    <m/>
    <n v="5"/>
  </r>
  <r>
    <n v="2025"/>
    <x v="1"/>
    <s v="Roggen"/>
    <n v="2"/>
    <n v="3"/>
    <n v="3"/>
    <n v="16"/>
    <x v="40"/>
    <m/>
    <m/>
    <m/>
    <m/>
    <n v="4"/>
  </r>
  <r>
    <n v="2025"/>
    <x v="1"/>
    <s v="Roggen"/>
    <n v="2"/>
    <n v="4"/>
    <n v="3"/>
    <n v="39"/>
    <x v="46"/>
    <m/>
    <m/>
    <m/>
    <m/>
    <n v="6"/>
  </r>
  <r>
    <n v="2025"/>
    <x v="1"/>
    <s v="Roggen"/>
    <n v="2"/>
    <n v="5"/>
    <n v="3"/>
    <n v="3"/>
    <x v="16"/>
    <m/>
    <m/>
    <m/>
    <m/>
    <n v="1"/>
  </r>
  <r>
    <n v="2025"/>
    <x v="1"/>
    <s v="Roggen"/>
    <n v="2"/>
    <n v="6"/>
    <n v="3"/>
    <n v="24"/>
    <x v="29"/>
    <m/>
    <m/>
    <m/>
    <m/>
    <n v="4"/>
  </r>
  <r>
    <n v="2025"/>
    <x v="1"/>
    <s v="Roggen"/>
    <n v="2"/>
    <n v="7"/>
    <n v="3"/>
    <n v="34"/>
    <x v="0"/>
    <m/>
    <m/>
    <m/>
    <m/>
    <n v="4"/>
  </r>
  <r>
    <n v="2025"/>
    <x v="1"/>
    <s v="Roggen"/>
    <n v="2"/>
    <n v="8"/>
    <n v="3"/>
    <n v="4"/>
    <x v="4"/>
    <m/>
    <m/>
    <m/>
    <m/>
    <n v="1"/>
  </r>
  <r>
    <n v="2025"/>
    <x v="1"/>
    <s v="Roggen"/>
    <n v="2"/>
    <n v="9"/>
    <n v="3"/>
    <n v="25"/>
    <x v="34"/>
    <m/>
    <m/>
    <m/>
    <m/>
    <n v="4"/>
  </r>
  <r>
    <n v="2025"/>
    <x v="1"/>
    <s v="Roggen"/>
    <n v="2"/>
    <n v="10"/>
    <n v="3"/>
    <n v="18"/>
    <x v="8"/>
    <m/>
    <m/>
    <m/>
    <m/>
    <n v="4"/>
  </r>
  <r>
    <n v="2025"/>
    <x v="1"/>
    <s v="Roggen"/>
    <n v="2"/>
    <n v="11"/>
    <n v="3"/>
    <n v="49"/>
    <x v="47"/>
    <m/>
    <m/>
    <m/>
    <m/>
    <n v="1"/>
  </r>
  <r>
    <n v="2025"/>
    <x v="1"/>
    <s v="Roggen"/>
    <n v="2"/>
    <n v="12"/>
    <n v="3"/>
    <n v="38"/>
    <x v="43"/>
    <m/>
    <m/>
    <m/>
    <m/>
    <n v="2"/>
  </r>
  <r>
    <n v="2025"/>
    <x v="1"/>
    <s v="Roggen"/>
    <n v="2"/>
    <n v="13"/>
    <n v="3"/>
    <n v="11"/>
    <x v="2"/>
    <m/>
    <m/>
    <m/>
    <m/>
    <n v="4"/>
  </r>
  <r>
    <n v="2025"/>
    <x v="1"/>
    <s v="Roggen"/>
    <n v="2"/>
    <n v="14"/>
    <n v="3"/>
    <n v="13"/>
    <x v="38"/>
    <m/>
    <m/>
    <m/>
    <m/>
    <n v="1"/>
  </r>
  <r>
    <n v="2025"/>
    <x v="1"/>
    <s v="Roggen"/>
    <n v="2"/>
    <n v="15"/>
    <n v="3"/>
    <n v="19"/>
    <x v="49"/>
    <m/>
    <m/>
    <m/>
    <m/>
    <n v="3"/>
  </r>
  <r>
    <n v="2025"/>
    <x v="1"/>
    <s v="Roggen"/>
    <n v="2"/>
    <n v="16"/>
    <n v="3"/>
    <n v="37"/>
    <x v="31"/>
    <m/>
    <m/>
    <m/>
    <m/>
    <n v="4"/>
  </r>
  <r>
    <n v="2025"/>
    <x v="1"/>
    <s v="Roggen"/>
    <n v="2"/>
    <n v="17"/>
    <n v="3"/>
    <n v="14"/>
    <x v="5"/>
    <m/>
    <m/>
    <m/>
    <m/>
    <n v="5"/>
  </r>
  <r>
    <n v="2025"/>
    <x v="1"/>
    <s v="Roggen"/>
    <n v="2"/>
    <n v="18"/>
    <n v="3"/>
    <n v="35"/>
    <x v="30"/>
    <m/>
    <m/>
    <m/>
    <m/>
    <n v="5"/>
  </r>
  <r>
    <n v="2025"/>
    <x v="1"/>
    <s v="Roggen"/>
    <n v="2"/>
    <n v="19"/>
    <n v="3"/>
    <n v="42"/>
    <x v="42"/>
    <m/>
    <m/>
    <m/>
    <m/>
    <n v="5"/>
  </r>
  <r>
    <n v="2025"/>
    <x v="1"/>
    <s v="Roggen"/>
    <n v="2"/>
    <n v="20"/>
    <n v="3"/>
    <n v="41"/>
    <x v="20"/>
    <m/>
    <m/>
    <m/>
    <m/>
    <n v="6"/>
  </r>
  <r>
    <n v="2025"/>
    <x v="1"/>
    <s v="Roggen"/>
    <n v="2"/>
    <n v="21"/>
    <n v="3"/>
    <n v="23"/>
    <x v="35"/>
    <m/>
    <m/>
    <m/>
    <m/>
    <n v="4"/>
  </r>
  <r>
    <n v="2025"/>
    <x v="1"/>
    <s v="Roggen"/>
    <n v="2"/>
    <n v="22"/>
    <n v="3"/>
    <n v="30"/>
    <x v="14"/>
    <m/>
    <m/>
    <m/>
    <m/>
    <n v="2"/>
  </r>
  <r>
    <n v="2025"/>
    <x v="1"/>
    <s v="Roggen"/>
    <n v="2"/>
    <n v="23"/>
    <n v="3"/>
    <n v="8"/>
    <x v="9"/>
    <m/>
    <m/>
    <m/>
    <m/>
    <n v="2"/>
  </r>
  <r>
    <n v="2025"/>
    <x v="1"/>
    <s v="Roggen"/>
    <n v="2"/>
    <n v="24"/>
    <n v="3"/>
    <n v="6"/>
    <x v="10"/>
    <m/>
    <m/>
    <m/>
    <m/>
    <n v="1"/>
  </r>
  <r>
    <n v="2025"/>
    <x v="1"/>
    <s v="Roggen"/>
    <n v="2"/>
    <n v="25"/>
    <n v="3"/>
    <n v="21"/>
    <x v="26"/>
    <m/>
    <m/>
    <m/>
    <m/>
    <n v="4"/>
  </r>
  <r>
    <n v="2025"/>
    <x v="1"/>
    <s v="Roggen"/>
    <n v="2"/>
    <n v="26"/>
    <n v="3"/>
    <n v="20"/>
    <x v="18"/>
    <m/>
    <m/>
    <m/>
    <m/>
    <n v="6"/>
  </r>
  <r>
    <n v="2025"/>
    <x v="1"/>
    <s v="Roggen"/>
    <n v="2"/>
    <n v="26"/>
    <n v="4"/>
    <n v="36"/>
    <x v="36"/>
    <m/>
    <m/>
    <m/>
    <m/>
    <n v="2"/>
  </r>
  <r>
    <n v="2025"/>
    <x v="1"/>
    <s v="Roggen"/>
    <n v="2"/>
    <n v="25"/>
    <n v="4"/>
    <n v="46"/>
    <x v="25"/>
    <m/>
    <m/>
    <m/>
    <m/>
    <n v="4"/>
  </r>
  <r>
    <n v="2025"/>
    <x v="1"/>
    <s v="Roggen"/>
    <n v="2"/>
    <n v="24"/>
    <n v="4"/>
    <n v="12"/>
    <x v="41"/>
    <m/>
    <m/>
    <m/>
    <m/>
    <n v="2"/>
  </r>
  <r>
    <n v="2025"/>
    <x v="1"/>
    <s v="Roggen"/>
    <n v="2"/>
    <n v="23"/>
    <n v="4"/>
    <n v="7"/>
    <x v="44"/>
    <m/>
    <m/>
    <m/>
    <m/>
    <n v="2"/>
  </r>
  <r>
    <n v="2025"/>
    <x v="1"/>
    <s v="Roggen"/>
    <n v="2"/>
    <n v="22"/>
    <n v="4"/>
    <n v="10"/>
    <x v="15"/>
    <m/>
    <m/>
    <m/>
    <m/>
    <n v="3"/>
  </r>
  <r>
    <n v="2025"/>
    <x v="1"/>
    <s v="Roggen"/>
    <n v="2"/>
    <n v="21"/>
    <n v="4"/>
    <n v="44"/>
    <x v="17"/>
    <m/>
    <m/>
    <m/>
    <m/>
    <n v="5"/>
  </r>
  <r>
    <n v="2025"/>
    <x v="1"/>
    <s v="Roggen"/>
    <n v="2"/>
    <n v="20"/>
    <n v="4"/>
    <n v="5"/>
    <x v="28"/>
    <m/>
    <m/>
    <m/>
    <m/>
    <n v="2"/>
  </r>
  <r>
    <n v="2025"/>
    <x v="1"/>
    <s v="Roggen"/>
    <n v="2"/>
    <n v="19"/>
    <n v="4"/>
    <n v="26"/>
    <x v="11"/>
    <m/>
    <m/>
    <m/>
    <m/>
    <n v="4"/>
  </r>
  <r>
    <n v="2025"/>
    <x v="1"/>
    <s v="Roggen"/>
    <n v="2"/>
    <n v="18"/>
    <n v="4"/>
    <n v="33"/>
    <x v="3"/>
    <m/>
    <m/>
    <m/>
    <m/>
    <n v="4"/>
  </r>
  <r>
    <n v="2025"/>
    <x v="1"/>
    <s v="Roggen"/>
    <n v="2"/>
    <n v="17"/>
    <n v="4"/>
    <n v="43"/>
    <x v="22"/>
    <m/>
    <m/>
    <m/>
    <m/>
    <n v="3"/>
  </r>
  <r>
    <n v="2025"/>
    <x v="1"/>
    <s v="Roggen"/>
    <n v="2"/>
    <n v="16"/>
    <n v="4"/>
    <n v="29"/>
    <x v="27"/>
    <m/>
    <m/>
    <m/>
    <m/>
    <n v="3"/>
  </r>
  <r>
    <n v="2025"/>
    <x v="1"/>
    <s v="Roggen"/>
    <n v="2"/>
    <n v="15"/>
    <n v="4"/>
    <n v="1"/>
    <x v="12"/>
    <m/>
    <m/>
    <m/>
    <m/>
    <n v="3"/>
  </r>
  <r>
    <n v="2025"/>
    <x v="1"/>
    <s v="Roggen"/>
    <n v="2"/>
    <n v="14"/>
    <n v="4"/>
    <n v="47"/>
    <x v="50"/>
    <m/>
    <m/>
    <m/>
    <m/>
    <n v="3"/>
  </r>
  <r>
    <n v="2025"/>
    <x v="1"/>
    <s v="Roggen"/>
    <n v="2"/>
    <n v="13"/>
    <n v="4"/>
    <n v="22"/>
    <x v="33"/>
    <m/>
    <m/>
    <m/>
    <m/>
    <n v="4"/>
  </r>
  <r>
    <n v="2025"/>
    <x v="1"/>
    <s v="Roggen"/>
    <n v="2"/>
    <n v="12"/>
    <n v="4"/>
    <n v="28"/>
    <x v="37"/>
    <m/>
    <m/>
    <m/>
    <m/>
    <n v="3"/>
  </r>
  <r>
    <n v="2025"/>
    <x v="1"/>
    <s v="Roggen"/>
    <n v="2"/>
    <n v="11"/>
    <n v="4"/>
    <n v="9"/>
    <x v="1"/>
    <m/>
    <m/>
    <m/>
    <m/>
    <n v="3"/>
  </r>
  <r>
    <n v="2025"/>
    <x v="1"/>
    <s v="Roggen"/>
    <n v="2"/>
    <n v="10"/>
    <n v="4"/>
    <n v="27"/>
    <x v="39"/>
    <m/>
    <m/>
    <m/>
    <m/>
    <n v="2"/>
  </r>
  <r>
    <n v="2025"/>
    <x v="1"/>
    <s v="Roggen"/>
    <n v="2"/>
    <n v="9"/>
    <n v="4"/>
    <n v="2"/>
    <x v="23"/>
    <m/>
    <m/>
    <m/>
    <m/>
    <n v="4"/>
  </r>
  <r>
    <n v="2025"/>
    <x v="1"/>
    <s v="Roggen"/>
    <n v="2"/>
    <n v="8"/>
    <n v="4"/>
    <n v="60"/>
    <x v="52"/>
    <m/>
    <m/>
    <m/>
    <m/>
    <n v="2"/>
  </r>
  <r>
    <n v="2025"/>
    <x v="1"/>
    <s v="Roggen"/>
    <n v="2"/>
    <n v="7"/>
    <n v="4"/>
    <n v="32"/>
    <x v="24"/>
    <m/>
    <m/>
    <m/>
    <m/>
    <n v="5"/>
  </r>
  <r>
    <n v="2025"/>
    <x v="1"/>
    <s v="Roggen"/>
    <n v="2"/>
    <n v="6"/>
    <n v="4"/>
    <n v="58"/>
    <x v="51"/>
    <m/>
    <m/>
    <m/>
    <m/>
    <n v="6"/>
  </r>
  <r>
    <n v="2025"/>
    <x v="1"/>
    <s v="Roggen"/>
    <n v="2"/>
    <n v="5"/>
    <n v="4"/>
    <n v="31"/>
    <x v="6"/>
    <m/>
    <m/>
    <m/>
    <m/>
    <n v="2"/>
  </r>
  <r>
    <n v="2025"/>
    <x v="1"/>
    <s v="Roggen"/>
    <n v="2"/>
    <n v="4"/>
    <n v="4"/>
    <n v="40"/>
    <x v="13"/>
    <m/>
    <m/>
    <m/>
    <m/>
    <n v="3"/>
  </r>
  <r>
    <n v="2025"/>
    <x v="1"/>
    <s v="Roggen"/>
    <n v="2"/>
    <n v="3"/>
    <n v="4"/>
    <n v="45"/>
    <x v="21"/>
    <m/>
    <m/>
    <m/>
    <m/>
    <n v="4"/>
  </r>
  <r>
    <n v="2025"/>
    <x v="1"/>
    <s v="Roggen"/>
    <n v="2"/>
    <n v="2"/>
    <n v="4"/>
    <n v="48"/>
    <x v="48"/>
    <m/>
    <m/>
    <m/>
    <m/>
    <n v="1"/>
  </r>
  <r>
    <n v="2025"/>
    <x v="1"/>
    <s v="Roggen"/>
    <n v="2"/>
    <n v="1"/>
    <n v="4"/>
    <n v="57"/>
    <x v="45"/>
    <m/>
    <m/>
    <m/>
    <m/>
    <n v="4"/>
  </r>
  <r>
    <n v="2025"/>
    <x v="1"/>
    <s v="Roggen"/>
    <n v="3"/>
    <n v="1"/>
    <n v="5"/>
    <n v="23"/>
    <x v="35"/>
    <m/>
    <m/>
    <m/>
    <m/>
    <n v="5"/>
  </r>
  <r>
    <n v="2025"/>
    <x v="1"/>
    <s v="Roggen"/>
    <n v="3"/>
    <n v="2"/>
    <n v="5"/>
    <n v="17"/>
    <x v="32"/>
    <m/>
    <m/>
    <m/>
    <m/>
    <n v="6"/>
  </r>
  <r>
    <n v="2025"/>
    <x v="1"/>
    <s v="Roggen"/>
    <n v="3"/>
    <n v="3"/>
    <n v="5"/>
    <n v="20"/>
    <x v="18"/>
    <m/>
    <m/>
    <m/>
    <m/>
    <n v="5"/>
  </r>
  <r>
    <n v="2025"/>
    <x v="1"/>
    <s v="Roggen"/>
    <n v="3"/>
    <n v="4"/>
    <n v="5"/>
    <n v="3"/>
    <x v="16"/>
    <m/>
    <m/>
    <m/>
    <m/>
    <n v="2"/>
  </r>
  <r>
    <n v="2025"/>
    <x v="1"/>
    <s v="Roggen"/>
    <n v="3"/>
    <n v="5"/>
    <n v="5"/>
    <n v="21"/>
    <x v="26"/>
    <m/>
    <m/>
    <m/>
    <m/>
    <n v="3"/>
  </r>
  <r>
    <n v="2025"/>
    <x v="1"/>
    <s v="Roggen"/>
    <n v="3"/>
    <n v="6"/>
    <n v="5"/>
    <n v="30"/>
    <x v="14"/>
    <m/>
    <m/>
    <m/>
    <m/>
    <n v="2"/>
  </r>
  <r>
    <n v="2025"/>
    <x v="1"/>
    <s v="Roggen"/>
    <n v="3"/>
    <n v="7"/>
    <n v="5"/>
    <n v="28"/>
    <x v="37"/>
    <m/>
    <m/>
    <m/>
    <m/>
    <n v="5"/>
  </r>
  <r>
    <n v="2025"/>
    <x v="1"/>
    <s v="Roggen"/>
    <n v="3"/>
    <n v="8"/>
    <n v="5"/>
    <n v="15"/>
    <x v="7"/>
    <m/>
    <m/>
    <m/>
    <m/>
    <n v="4"/>
  </r>
  <r>
    <n v="2025"/>
    <x v="1"/>
    <s v="Roggen"/>
    <n v="3"/>
    <n v="9"/>
    <n v="5"/>
    <n v="45"/>
    <x v="21"/>
    <m/>
    <m/>
    <m/>
    <m/>
    <n v="5"/>
  </r>
  <r>
    <n v="2025"/>
    <x v="1"/>
    <s v="Roggen"/>
    <n v="3"/>
    <n v="10"/>
    <n v="5"/>
    <n v="11"/>
    <x v="2"/>
    <m/>
    <m/>
    <m/>
    <m/>
    <n v="6"/>
  </r>
  <r>
    <n v="2025"/>
    <x v="1"/>
    <s v="Roggen"/>
    <n v="3"/>
    <n v="11"/>
    <n v="5"/>
    <n v="37"/>
    <x v="31"/>
    <m/>
    <m/>
    <m/>
    <m/>
    <n v="5"/>
  </r>
  <r>
    <n v="2025"/>
    <x v="1"/>
    <s v="Roggen"/>
    <n v="3"/>
    <n v="12"/>
    <n v="5"/>
    <n v="58"/>
    <x v="51"/>
    <m/>
    <m/>
    <m/>
    <m/>
    <n v="6"/>
  </r>
  <r>
    <n v="2025"/>
    <x v="1"/>
    <s v="Roggen"/>
    <n v="3"/>
    <n v="13"/>
    <n v="5"/>
    <n v="13"/>
    <x v="38"/>
    <m/>
    <m/>
    <m/>
    <m/>
    <n v="3"/>
  </r>
  <r>
    <n v="2025"/>
    <x v="1"/>
    <s v="Roggen"/>
    <n v="3"/>
    <n v="14"/>
    <n v="5"/>
    <n v="1"/>
    <x v="12"/>
    <m/>
    <m/>
    <m/>
    <m/>
    <n v="4"/>
  </r>
  <r>
    <n v="2025"/>
    <x v="1"/>
    <s v="Roggen"/>
    <n v="3"/>
    <n v="15"/>
    <n v="5"/>
    <n v="48"/>
    <x v="48"/>
    <m/>
    <m/>
    <m/>
    <m/>
    <n v="2"/>
  </r>
  <r>
    <n v="2025"/>
    <x v="1"/>
    <s v="Roggen"/>
    <n v="3"/>
    <n v="16"/>
    <n v="5"/>
    <n v="4"/>
    <x v="4"/>
    <m/>
    <m/>
    <m/>
    <m/>
    <n v="2"/>
  </r>
  <r>
    <n v="2025"/>
    <x v="1"/>
    <s v="Roggen"/>
    <n v="3"/>
    <n v="17"/>
    <n v="5"/>
    <n v="18"/>
    <x v="8"/>
    <m/>
    <m/>
    <m/>
    <m/>
    <n v="6"/>
  </r>
  <r>
    <n v="2025"/>
    <x v="1"/>
    <s v="Roggen"/>
    <n v="3"/>
    <n v="18"/>
    <n v="5"/>
    <n v="6"/>
    <x v="10"/>
    <m/>
    <m/>
    <m/>
    <m/>
    <n v="1"/>
  </r>
  <r>
    <n v="2025"/>
    <x v="1"/>
    <s v="Roggen"/>
    <n v="3"/>
    <n v="19"/>
    <n v="5"/>
    <n v="35"/>
    <x v="30"/>
    <m/>
    <m/>
    <m/>
    <m/>
    <n v="3"/>
  </r>
  <r>
    <n v="2025"/>
    <x v="1"/>
    <s v="Roggen"/>
    <n v="3"/>
    <n v="20"/>
    <n v="5"/>
    <n v="14"/>
    <x v="5"/>
    <m/>
    <m/>
    <m/>
    <m/>
    <n v="6"/>
  </r>
  <r>
    <n v="2025"/>
    <x v="1"/>
    <s v="Roggen"/>
    <n v="3"/>
    <n v="21"/>
    <n v="5"/>
    <n v="26"/>
    <x v="11"/>
    <m/>
    <m/>
    <m/>
    <m/>
    <n v="7"/>
  </r>
  <r>
    <n v="2025"/>
    <x v="1"/>
    <s v="Roggen"/>
    <n v="3"/>
    <n v="22"/>
    <n v="5"/>
    <n v="2"/>
    <x v="23"/>
    <m/>
    <m/>
    <m/>
    <m/>
    <n v="5"/>
  </r>
  <r>
    <n v="2025"/>
    <x v="1"/>
    <s v="Roggen"/>
    <n v="3"/>
    <n v="23"/>
    <n v="5"/>
    <n v="10"/>
    <x v="15"/>
    <m/>
    <m/>
    <m/>
    <m/>
    <n v="4"/>
  </r>
  <r>
    <n v="2025"/>
    <x v="1"/>
    <s v="Roggen"/>
    <n v="3"/>
    <n v="24"/>
    <n v="5"/>
    <n v="22"/>
    <x v="33"/>
    <m/>
    <m/>
    <m/>
    <m/>
    <n v="5"/>
  </r>
  <r>
    <n v="2025"/>
    <x v="1"/>
    <s v="Roggen"/>
    <n v="3"/>
    <n v="25"/>
    <n v="5"/>
    <n v="29"/>
    <x v="27"/>
    <m/>
    <m/>
    <m/>
    <m/>
    <n v="5"/>
  </r>
  <r>
    <n v="2025"/>
    <x v="1"/>
    <s v="Roggen"/>
    <n v="3"/>
    <n v="26"/>
    <n v="5"/>
    <n v="57"/>
    <x v="45"/>
    <m/>
    <m/>
    <m/>
    <m/>
    <n v="6"/>
  </r>
  <r>
    <n v="2025"/>
    <x v="1"/>
    <s v="Roggen"/>
    <n v="3"/>
    <n v="26"/>
    <n v="6"/>
    <n v="41"/>
    <x v="20"/>
    <m/>
    <m/>
    <m/>
    <m/>
    <n v="5"/>
  </r>
  <r>
    <n v="2025"/>
    <x v="1"/>
    <s v="Roggen"/>
    <n v="3"/>
    <n v="25"/>
    <n v="6"/>
    <n v="33"/>
    <x v="3"/>
    <m/>
    <m/>
    <m/>
    <m/>
    <n v="2"/>
  </r>
  <r>
    <n v="2025"/>
    <x v="1"/>
    <s v="Roggen"/>
    <n v="3"/>
    <n v="24"/>
    <n v="6"/>
    <n v="43"/>
    <x v="22"/>
    <m/>
    <m/>
    <m/>
    <m/>
    <n v="4"/>
  </r>
  <r>
    <n v="2025"/>
    <x v="1"/>
    <s v="Roggen"/>
    <n v="3"/>
    <n v="23"/>
    <n v="6"/>
    <n v="5"/>
    <x v="28"/>
    <m/>
    <m/>
    <m/>
    <m/>
    <n v="2"/>
  </r>
  <r>
    <n v="2025"/>
    <x v="1"/>
    <s v="Roggen"/>
    <n v="3"/>
    <n v="22"/>
    <n v="6"/>
    <n v="40"/>
    <x v="13"/>
    <m/>
    <m/>
    <m/>
    <m/>
    <n v="3"/>
  </r>
  <r>
    <n v="2025"/>
    <x v="1"/>
    <s v="Roggen"/>
    <n v="3"/>
    <n v="21"/>
    <n v="6"/>
    <n v="32"/>
    <x v="24"/>
    <m/>
    <m/>
    <m/>
    <m/>
    <n v="5"/>
  </r>
  <r>
    <n v="2025"/>
    <x v="1"/>
    <s v="Roggen"/>
    <n v="3"/>
    <n v="20"/>
    <n v="6"/>
    <n v="9"/>
    <x v="1"/>
    <m/>
    <m/>
    <m/>
    <m/>
    <n v="2"/>
  </r>
  <r>
    <n v="2025"/>
    <x v="1"/>
    <s v="Roggen"/>
    <n v="3"/>
    <n v="19"/>
    <n v="6"/>
    <n v="38"/>
    <x v="43"/>
    <m/>
    <m/>
    <m/>
    <m/>
    <n v="1"/>
  </r>
  <r>
    <n v="2025"/>
    <x v="1"/>
    <s v="Roggen"/>
    <n v="3"/>
    <n v="18"/>
    <n v="6"/>
    <n v="60"/>
    <x v="52"/>
    <m/>
    <m/>
    <m/>
    <m/>
    <n v="1"/>
  </r>
  <r>
    <n v="2025"/>
    <x v="1"/>
    <s v="Roggen"/>
    <n v="3"/>
    <n v="17"/>
    <n v="6"/>
    <n v="19"/>
    <x v="49"/>
    <m/>
    <m/>
    <m/>
    <m/>
    <n v="2"/>
  </r>
  <r>
    <n v="2025"/>
    <x v="1"/>
    <s v="Roggen"/>
    <n v="3"/>
    <n v="16"/>
    <n v="6"/>
    <n v="27"/>
    <x v="39"/>
    <m/>
    <m/>
    <m/>
    <m/>
    <n v="5"/>
  </r>
  <r>
    <n v="2025"/>
    <x v="1"/>
    <s v="Roggen"/>
    <n v="3"/>
    <n v="15"/>
    <n v="6"/>
    <n v="49"/>
    <x v="47"/>
    <m/>
    <m/>
    <m/>
    <m/>
    <n v="2"/>
  </r>
  <r>
    <n v="2025"/>
    <x v="1"/>
    <s v="Roggen"/>
    <n v="3"/>
    <n v="14"/>
    <n v="6"/>
    <n v="42"/>
    <x v="42"/>
    <m/>
    <m/>
    <m/>
    <m/>
    <n v="5"/>
  </r>
  <r>
    <n v="2025"/>
    <x v="1"/>
    <s v="Roggen"/>
    <n v="3"/>
    <n v="13"/>
    <n v="6"/>
    <n v="47"/>
    <x v="50"/>
    <m/>
    <m/>
    <m/>
    <m/>
    <n v="6"/>
  </r>
  <r>
    <n v="2025"/>
    <x v="1"/>
    <s v="Roggen"/>
    <n v="3"/>
    <n v="12"/>
    <n v="6"/>
    <n v="12"/>
    <x v="41"/>
    <m/>
    <m/>
    <m/>
    <m/>
    <n v="2"/>
  </r>
  <r>
    <n v="2025"/>
    <x v="1"/>
    <s v="Roggen"/>
    <n v="3"/>
    <n v="11"/>
    <n v="6"/>
    <n v="39"/>
    <x v="46"/>
    <m/>
    <m/>
    <m/>
    <m/>
    <n v="7"/>
  </r>
  <r>
    <n v="2025"/>
    <x v="1"/>
    <s v="Roggen"/>
    <n v="3"/>
    <n v="10"/>
    <n v="6"/>
    <n v="7"/>
    <x v="44"/>
    <m/>
    <m/>
    <m/>
    <m/>
    <n v="1"/>
  </r>
  <r>
    <n v="2025"/>
    <x v="1"/>
    <s v="Roggen"/>
    <n v="3"/>
    <n v="9"/>
    <n v="6"/>
    <n v="46"/>
    <x v="25"/>
    <m/>
    <m/>
    <m/>
    <m/>
    <n v="3"/>
  </r>
  <r>
    <n v="2025"/>
    <x v="1"/>
    <s v="Roggen"/>
    <n v="3"/>
    <n v="8"/>
    <n v="6"/>
    <n v="36"/>
    <x v="36"/>
    <m/>
    <m/>
    <m/>
    <m/>
    <n v="2"/>
  </r>
  <r>
    <n v="2025"/>
    <x v="1"/>
    <s v="Roggen"/>
    <n v="3"/>
    <n v="7"/>
    <n v="6"/>
    <n v="31"/>
    <x v="6"/>
    <m/>
    <m/>
    <m/>
    <m/>
    <n v="1"/>
  </r>
  <r>
    <n v="2025"/>
    <x v="1"/>
    <s v="Roggen"/>
    <n v="3"/>
    <n v="6"/>
    <n v="6"/>
    <n v="8"/>
    <x v="9"/>
    <m/>
    <m/>
    <m/>
    <m/>
    <n v="2"/>
  </r>
  <r>
    <n v="2025"/>
    <x v="1"/>
    <s v="Roggen"/>
    <n v="3"/>
    <n v="5"/>
    <n v="6"/>
    <n v="34"/>
    <x v="0"/>
    <m/>
    <m/>
    <m/>
    <m/>
    <n v="1"/>
  </r>
  <r>
    <n v="2025"/>
    <x v="1"/>
    <s v="Roggen"/>
    <n v="3"/>
    <n v="4"/>
    <n v="6"/>
    <n v="24"/>
    <x v="29"/>
    <m/>
    <m/>
    <m/>
    <m/>
    <n v="4"/>
  </r>
  <r>
    <n v="2025"/>
    <x v="1"/>
    <s v="Roggen"/>
    <n v="3"/>
    <n v="3"/>
    <n v="6"/>
    <n v="44"/>
    <x v="17"/>
    <m/>
    <m/>
    <m/>
    <m/>
    <n v="4"/>
  </r>
  <r>
    <n v="2025"/>
    <x v="1"/>
    <s v="Roggen"/>
    <n v="3"/>
    <n v="2"/>
    <n v="6"/>
    <n v="16"/>
    <x v="40"/>
    <m/>
    <m/>
    <m/>
    <m/>
    <n v="5"/>
  </r>
  <r>
    <n v="2025"/>
    <x v="1"/>
    <s v="Roggen"/>
    <n v="3"/>
    <n v="1"/>
    <n v="6"/>
    <n v="25"/>
    <x v="34"/>
    <m/>
    <m/>
    <m/>
    <m/>
    <n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2">
  <r>
    <n v="2025"/>
    <s v="Southeast"/>
    <x v="0"/>
    <n v="1"/>
    <n v="1"/>
    <n v="1"/>
    <n v="34"/>
    <x v="0"/>
    <n v="57.4"/>
    <n v="55.987333365617431"/>
    <n v="14.9"/>
    <m/>
    <m/>
    <m/>
  </r>
  <r>
    <n v="2025"/>
    <s v="Southeast"/>
    <x v="0"/>
    <n v="1"/>
    <n v="2"/>
    <n v="1"/>
    <n v="9"/>
    <x v="1"/>
    <n v="53.2"/>
    <n v="44.851985956416463"/>
    <n v="16.600000000000001"/>
    <m/>
    <m/>
    <m/>
  </r>
  <r>
    <n v="2025"/>
    <s v="Southeast"/>
    <x v="0"/>
    <n v="1"/>
    <n v="3"/>
    <n v="1"/>
    <n v="11"/>
    <x v="2"/>
    <n v="57.9"/>
    <n v="66.940348184019371"/>
    <n v="14.5"/>
    <m/>
    <m/>
    <m/>
  </r>
  <r>
    <n v="2025"/>
    <s v="Southeast"/>
    <x v="0"/>
    <n v="1"/>
    <n v="4"/>
    <n v="1"/>
    <n v="33"/>
    <x v="3"/>
    <n v="57.3"/>
    <n v="62.267811864406781"/>
    <n v="14.5"/>
    <m/>
    <m/>
    <m/>
  </r>
  <r>
    <n v="2025"/>
    <s v="Southeast"/>
    <x v="0"/>
    <n v="1"/>
    <n v="5"/>
    <n v="1"/>
    <n v="4"/>
    <x v="4"/>
    <n v="54.1"/>
    <n v="49.276667506053265"/>
    <n v="15.3"/>
    <m/>
    <m/>
    <m/>
  </r>
  <r>
    <n v="2025"/>
    <s v="Southeast"/>
    <x v="0"/>
    <n v="1"/>
    <n v="6"/>
    <n v="1"/>
    <n v="14"/>
    <x v="5"/>
    <n v="57.6"/>
    <n v="76.380489588377714"/>
    <n v="14.4"/>
    <m/>
    <m/>
    <m/>
  </r>
  <r>
    <n v="2025"/>
    <s v="Southeast"/>
    <x v="0"/>
    <n v="1"/>
    <n v="7"/>
    <n v="1"/>
    <n v="31"/>
    <x v="6"/>
    <n v="57.2"/>
    <n v="60.873412445520586"/>
    <n v="14.2"/>
    <m/>
    <m/>
    <m/>
  </r>
  <r>
    <n v="2025"/>
    <s v="Southeast"/>
    <x v="0"/>
    <n v="1"/>
    <n v="8"/>
    <n v="1"/>
    <n v="15"/>
    <x v="7"/>
    <n v="56.3"/>
    <n v="53.440669830508476"/>
    <n v="13.9"/>
    <m/>
    <m/>
    <m/>
  </r>
  <r>
    <n v="2025"/>
    <s v="Southeast"/>
    <x v="0"/>
    <n v="1"/>
    <n v="9"/>
    <n v="1"/>
    <n v="18"/>
    <x v="8"/>
    <n v="56.1"/>
    <n v="57.232048619854723"/>
    <n v="13.3"/>
    <m/>
    <m/>
    <m/>
  </r>
  <r>
    <n v="2025"/>
    <s v="Southeast"/>
    <x v="0"/>
    <n v="1"/>
    <n v="10"/>
    <n v="1"/>
    <n v="8"/>
    <x v="9"/>
    <n v="56.6"/>
    <n v="61.575075544794188"/>
    <n v="13.9"/>
    <m/>
    <m/>
    <m/>
  </r>
  <r>
    <n v="2025"/>
    <s v="Southeast"/>
    <x v="0"/>
    <n v="1"/>
    <n v="11"/>
    <n v="1"/>
    <n v="6"/>
    <x v="10"/>
    <n v="56.6"/>
    <n v="50.398919999999997"/>
    <n v="15.6"/>
    <m/>
    <m/>
    <m/>
  </r>
  <r>
    <n v="2025"/>
    <s v="Southeast"/>
    <x v="0"/>
    <n v="1"/>
    <n v="11"/>
    <n v="2"/>
    <n v="26"/>
    <x v="11"/>
    <n v="56.6"/>
    <n v="66.763506857142843"/>
    <n v="14.5"/>
    <m/>
    <m/>
    <m/>
  </r>
  <r>
    <n v="2025"/>
    <s v="Southeast"/>
    <x v="0"/>
    <n v="1"/>
    <n v="10"/>
    <n v="2"/>
    <n v="1"/>
    <x v="12"/>
    <n v="56.1"/>
    <n v="64.18601357142856"/>
    <n v="13.7"/>
    <m/>
    <m/>
    <m/>
  </r>
  <r>
    <n v="2025"/>
    <s v="Southeast"/>
    <x v="0"/>
    <n v="1"/>
    <n v="9"/>
    <n v="2"/>
    <n v="40"/>
    <x v="13"/>
    <n v="58.9"/>
    <n v="58.878203999999997"/>
    <n v="13.7"/>
    <m/>
    <m/>
    <m/>
  </r>
  <r>
    <n v="2025"/>
    <s v="Southeast"/>
    <x v="0"/>
    <n v="1"/>
    <n v="8"/>
    <n v="2"/>
    <n v="30"/>
    <x v="14"/>
    <n v="55.9"/>
    <n v="46.95786857142857"/>
    <n v="14.1"/>
    <m/>
    <m/>
    <m/>
  </r>
  <r>
    <n v="2025"/>
    <s v="Southeast"/>
    <x v="0"/>
    <n v="1"/>
    <n v="7"/>
    <n v="2"/>
    <n v="10"/>
    <x v="15"/>
    <n v="52.4"/>
    <n v="47.099165142857132"/>
    <n v="16.100000000000001"/>
    <m/>
    <m/>
    <m/>
  </r>
  <r>
    <n v="2025"/>
    <s v="Southeast"/>
    <x v="0"/>
    <n v="1"/>
    <n v="6"/>
    <n v="2"/>
    <n v="3"/>
    <x v="16"/>
    <n v="59.4"/>
    <n v="52.902035999999974"/>
    <n v="14.1"/>
    <m/>
    <m/>
    <m/>
  </r>
  <r>
    <n v="2025"/>
    <s v="Southeast"/>
    <x v="0"/>
    <n v="1"/>
    <n v="5"/>
    <n v="2"/>
    <n v="44"/>
    <x v="17"/>
    <n v="55.5"/>
    <n v="41.854767428571421"/>
    <n v="15.1"/>
    <m/>
    <m/>
    <m/>
  </r>
  <r>
    <n v="2025"/>
    <s v="Southeast"/>
    <x v="0"/>
    <n v="1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n v="2"/>
    <n v="20"/>
    <x v="18"/>
    <n v="57.3"/>
    <n v="69.06050485714286"/>
    <n v="13.9"/>
    <m/>
    <m/>
    <m/>
  </r>
  <r>
    <n v="2025"/>
    <s v="Southeast"/>
    <x v="0"/>
    <n v="1"/>
    <n v="3"/>
    <n v="2"/>
    <n v="0"/>
    <x v="19"/>
    <n v="56.2"/>
    <n v="44.290422"/>
    <n v="14"/>
    <m/>
    <m/>
    <m/>
  </r>
  <r>
    <n v="2025"/>
    <s v="Southeast"/>
    <x v="0"/>
    <n v="1"/>
    <n v="2"/>
    <n v="2"/>
    <n v="41"/>
    <x v="20"/>
    <n v="57.4"/>
    <n v="43.247980285714277"/>
    <n v="15"/>
    <m/>
    <m/>
    <m/>
  </r>
  <r>
    <n v="2025"/>
    <s v="Southeast"/>
    <x v="0"/>
    <n v="1"/>
    <n v="1"/>
    <n v="2"/>
    <n v="45"/>
    <x v="21"/>
    <n v="57.8"/>
    <n v="60.46163828571428"/>
    <n v="14.3"/>
    <m/>
    <m/>
    <m/>
  </r>
  <r>
    <n v="2025"/>
    <s v="Southeast"/>
    <x v="0"/>
    <n v="1"/>
    <n v="1"/>
    <n v="3"/>
    <n v="43"/>
    <x v="22"/>
    <n v="56.9"/>
    <n v="36.18369937046004"/>
    <n v="14.8"/>
    <m/>
    <m/>
    <m/>
  </r>
  <r>
    <n v="2025"/>
    <s v="Southeast"/>
    <x v="0"/>
    <n v="1"/>
    <n v="2"/>
    <n v="3"/>
    <n v="2"/>
    <x v="23"/>
    <n v="57.8"/>
    <n v="67.386351573849879"/>
    <n v="13.6"/>
    <m/>
    <m/>
    <m/>
  </r>
  <r>
    <n v="2025"/>
    <s v="Southeast"/>
    <x v="0"/>
    <n v="1"/>
    <n v="3"/>
    <n v="3"/>
    <n v="32"/>
    <x v="24"/>
    <n v="59.9"/>
    <n v="70.182495108958832"/>
    <n v="14.7"/>
    <m/>
    <m/>
    <m/>
  </r>
  <r>
    <n v="2025"/>
    <s v="Southeast"/>
    <x v="0"/>
    <n v="1"/>
    <n v="4"/>
    <n v="3"/>
    <n v="46"/>
    <x v="25"/>
    <n v="58"/>
    <n v="65.078639999999993"/>
    <n v="14.2"/>
    <m/>
    <m/>
    <m/>
  </r>
  <r>
    <n v="2025"/>
    <s v="Southeast"/>
    <x v="0"/>
    <n v="1"/>
    <n v="5"/>
    <n v="3"/>
    <n v="21"/>
    <x v="26"/>
    <n v="56.3"/>
    <n v="64.672361259079892"/>
    <n v="13.6"/>
    <m/>
    <m/>
    <m/>
  </r>
  <r>
    <n v="2025"/>
    <s v="Southeast"/>
    <x v="0"/>
    <n v="1"/>
    <n v="6"/>
    <n v="3"/>
    <n v="29"/>
    <x v="27"/>
    <n v="55.9"/>
    <n v="63.548449975786916"/>
    <n v="14.3"/>
    <m/>
    <m/>
    <m/>
  </r>
  <r>
    <n v="2025"/>
    <s v="Southeast"/>
    <x v="0"/>
    <n v="1"/>
    <n v="7"/>
    <n v="3"/>
    <n v="5"/>
    <x v="28"/>
    <n v="56.4"/>
    <n v="54.414973656174332"/>
    <n v="14.5"/>
    <m/>
    <m/>
    <m/>
  </r>
  <r>
    <n v="2025"/>
    <s v="Southeast"/>
    <x v="0"/>
    <n v="1"/>
    <n v="8"/>
    <n v="3"/>
    <n v="24"/>
    <x v="29"/>
    <n v="56.9"/>
    <n v="61.309328861985477"/>
    <n v="13.7"/>
    <m/>
    <m/>
    <m/>
  </r>
  <r>
    <n v="2025"/>
    <s v="Southeast"/>
    <x v="0"/>
    <n v="1"/>
    <n v="9"/>
    <n v="3"/>
    <n v="35"/>
    <x v="30"/>
    <n v="57.6"/>
    <n v="69.413991428571435"/>
    <n v="14.5"/>
    <m/>
    <m/>
    <m/>
  </r>
  <r>
    <n v="2025"/>
    <s v="Southeast"/>
    <x v="0"/>
    <n v="1"/>
    <n v="10"/>
    <n v="3"/>
    <n v="37"/>
    <x v="31"/>
    <n v="59.3"/>
    <n v="71.537903389830518"/>
    <n v="13.7"/>
    <m/>
    <m/>
    <m/>
  </r>
  <r>
    <n v="2025"/>
    <s v="Southeast"/>
    <x v="0"/>
    <n v="1"/>
    <n v="11"/>
    <n v="3"/>
    <n v="17"/>
    <x v="32"/>
    <n v="55.6"/>
    <n v="75.272039564164672"/>
    <n v="14.1"/>
    <m/>
    <m/>
    <m/>
  </r>
  <r>
    <n v="2025"/>
    <s v="Southeast"/>
    <x v="0"/>
    <n v="1"/>
    <n v="11"/>
    <n v="4"/>
    <n v="22"/>
    <x v="33"/>
    <n v="58.1"/>
    <n v="64.528196213425119"/>
    <n v="14.9"/>
    <m/>
    <m/>
    <m/>
  </r>
  <r>
    <n v="2025"/>
    <s v="Southeast"/>
    <x v="0"/>
    <n v="1"/>
    <n v="10"/>
    <n v="4"/>
    <n v="25"/>
    <x v="34"/>
    <n v="57.2"/>
    <n v="58.780753012048194"/>
    <n v="14.4"/>
    <m/>
    <m/>
    <m/>
  </r>
  <r>
    <n v="2025"/>
    <s v="Southeast"/>
    <x v="0"/>
    <n v="1"/>
    <n v="9"/>
    <n v="4"/>
    <n v="100"/>
    <x v="19"/>
    <n v="56"/>
    <n v="46.333192771084342"/>
    <n v="14.8"/>
    <m/>
    <m/>
    <m/>
  </r>
  <r>
    <n v="2025"/>
    <s v="Southeast"/>
    <x v="0"/>
    <n v="1"/>
    <n v="8"/>
    <n v="4"/>
    <n v="23"/>
    <x v="35"/>
    <n v="56.9"/>
    <n v="53.134046901893278"/>
    <n v="15.6"/>
    <m/>
    <m/>
    <m/>
  </r>
  <r>
    <n v="2025"/>
    <s v="Southeast"/>
    <x v="0"/>
    <n v="1"/>
    <n v="7"/>
    <n v="4"/>
    <n v="36"/>
    <x v="36"/>
    <n v="57"/>
    <n v="53.901893287435449"/>
    <n v="15.2"/>
    <m/>
    <m/>
    <m/>
  </r>
  <r>
    <n v="2025"/>
    <s v="Southeast"/>
    <x v="0"/>
    <n v="1"/>
    <n v="6"/>
    <n v="4"/>
    <n v="28"/>
    <x v="37"/>
    <n v="55.1"/>
    <n v="54.963582616178996"/>
    <n v="14"/>
    <m/>
    <m/>
    <m/>
  </r>
  <r>
    <n v="2025"/>
    <s v="Southeast"/>
    <x v="0"/>
    <n v="1"/>
    <n v="5"/>
    <n v="4"/>
    <n v="13"/>
    <x v="38"/>
    <n v="56.1"/>
    <n v="61.831416523235788"/>
    <n v="14.5"/>
    <m/>
    <m/>
    <m/>
  </r>
  <r>
    <n v="2025"/>
    <s v="Southeast"/>
    <x v="0"/>
    <n v="1"/>
    <n v="4"/>
    <n v="4"/>
    <n v="27"/>
    <x v="39"/>
    <n v="56.4"/>
    <n v="68.484087779690185"/>
    <n v="14.1"/>
    <m/>
    <m/>
    <m/>
  </r>
  <r>
    <n v="2025"/>
    <s v="Southeast"/>
    <x v="0"/>
    <n v="1"/>
    <n v="3"/>
    <n v="4"/>
    <n v="16"/>
    <x v="40"/>
    <n v="59.4"/>
    <n v="67.523623063683303"/>
    <n v="14.2"/>
    <m/>
    <m/>
    <m/>
  </r>
  <r>
    <n v="2025"/>
    <s v="Southeast"/>
    <x v="0"/>
    <n v="1"/>
    <n v="2"/>
    <n v="4"/>
    <n v="12"/>
    <x v="41"/>
    <n v="56.9"/>
    <n v="55.833955249569698"/>
    <n v="15.5"/>
    <m/>
    <m/>
    <m/>
  </r>
  <r>
    <n v="2025"/>
    <s v="Southeast"/>
    <x v="0"/>
    <n v="1"/>
    <n v="1"/>
    <n v="4"/>
    <n v="42"/>
    <x v="42"/>
    <n v="58.3"/>
    <n v="62.616771084337344"/>
    <n v="14.7"/>
    <m/>
    <m/>
    <m/>
  </r>
  <r>
    <n v="2025"/>
    <s v="Southeast"/>
    <x v="0"/>
    <n v="2"/>
    <n v="1"/>
    <n v="5"/>
    <n v="11"/>
    <x v="2"/>
    <n v="60.2"/>
    <n v="69.302820998278833"/>
    <m/>
    <m/>
    <m/>
    <m/>
  </r>
  <r>
    <n v="2025"/>
    <s v="Southeast"/>
    <x v="0"/>
    <n v="2"/>
    <n v="2"/>
    <n v="5"/>
    <n v="13"/>
    <x v="38"/>
    <n v="56.4"/>
    <n v="57.612963855421675"/>
    <m/>
    <m/>
    <m/>
    <m/>
  </r>
  <r>
    <n v="2025"/>
    <s v="Southeast"/>
    <x v="0"/>
    <n v="2"/>
    <n v="3"/>
    <n v="5"/>
    <n v="20"/>
    <x v="18"/>
    <n v="56.9"/>
    <n v="67.075907917383816"/>
    <m/>
    <m/>
    <m/>
    <m/>
  </r>
  <r>
    <n v="2025"/>
    <s v="Southeast"/>
    <x v="0"/>
    <n v="2"/>
    <n v="4"/>
    <n v="5"/>
    <n v="1"/>
    <x v="12"/>
    <n v="56.8"/>
    <n v="68.136537005163504"/>
    <m/>
    <m/>
    <m/>
    <m/>
  </r>
  <r>
    <n v="2025"/>
    <s v="Southeast"/>
    <x v="0"/>
    <n v="2"/>
    <n v="5"/>
    <n v="5"/>
    <n v="46"/>
    <x v="25"/>
    <n v="57.1"/>
    <n v="58.319879518072291"/>
    <m/>
    <m/>
    <m/>
    <m/>
  </r>
  <r>
    <n v="2025"/>
    <s v="Southeast"/>
    <x v="0"/>
    <n v="2"/>
    <n v="6"/>
    <n v="5"/>
    <n v="100"/>
    <x v="19"/>
    <n v="56.6"/>
    <n v="50.36559681583477"/>
    <m/>
    <m/>
    <m/>
    <m/>
  </r>
  <r>
    <n v="2025"/>
    <s v="Southeast"/>
    <x v="0"/>
    <n v="2"/>
    <n v="7"/>
    <n v="5"/>
    <n v="24"/>
    <x v="29"/>
    <n v="56.6"/>
    <n v="64.908860585197928"/>
    <m/>
    <m/>
    <m/>
    <m/>
  </r>
  <r>
    <n v="2025"/>
    <s v="Southeast"/>
    <x v="0"/>
    <n v="2"/>
    <n v="8"/>
    <n v="5"/>
    <n v="36"/>
    <x v="36"/>
    <n v="58.4"/>
    <n v="48.218320137693624"/>
    <m/>
    <m/>
    <m/>
    <m/>
  </r>
  <r>
    <n v="2025"/>
    <s v="Southeast"/>
    <x v="0"/>
    <n v="2"/>
    <n v="9"/>
    <n v="5"/>
    <n v="42"/>
    <x v="42"/>
    <s v="."/>
    <s v="."/>
    <m/>
    <m/>
    <m/>
    <m/>
  </r>
  <r>
    <n v="2025"/>
    <s v="Southeast"/>
    <x v="0"/>
    <n v="2"/>
    <n v="10"/>
    <n v="5"/>
    <n v="6"/>
    <x v="10"/>
    <n v="54.1"/>
    <n v="46.49379087779689"/>
    <m/>
    <m/>
    <m/>
    <m/>
  </r>
  <r>
    <n v="2025"/>
    <s v="Southeast"/>
    <x v="0"/>
    <n v="2"/>
    <n v="11"/>
    <n v="5"/>
    <n v="3"/>
    <x v="16"/>
    <n v="56.9"/>
    <n v="58.005219879518073"/>
    <m/>
    <m/>
    <m/>
    <m/>
  </r>
  <r>
    <n v="2025"/>
    <s v="Southeast"/>
    <x v="0"/>
    <n v="2"/>
    <n v="11"/>
    <n v="6"/>
    <n v="15"/>
    <x v="7"/>
    <n v="54.2"/>
    <n v="71.941911784068466"/>
    <m/>
    <m/>
    <m/>
    <m/>
  </r>
  <r>
    <n v="2025"/>
    <s v="Southeast"/>
    <x v="0"/>
    <n v="2"/>
    <n v="10"/>
    <n v="6"/>
    <n v="4"/>
    <x v="4"/>
    <n v="54.3"/>
    <n v="54.581103075331519"/>
    <m/>
    <m/>
    <m/>
    <m/>
  </r>
  <r>
    <n v="2025"/>
    <s v="Southeast"/>
    <x v="0"/>
    <n v="2"/>
    <n v="9"/>
    <n v="6"/>
    <n v="25"/>
    <x v="34"/>
    <s v="."/>
    <s v="."/>
    <m/>
    <m/>
    <m/>
    <m/>
  </r>
  <r>
    <n v="2025"/>
    <s v="Southeast"/>
    <x v="0"/>
    <n v="2"/>
    <n v="8"/>
    <n v="6"/>
    <n v="44"/>
    <x v="17"/>
    <n v="55.8"/>
    <n v="45.479978980532309"/>
    <m/>
    <m/>
    <m/>
    <m/>
  </r>
  <r>
    <n v="2025"/>
    <s v="Southeast"/>
    <x v="0"/>
    <n v="2"/>
    <n v="7"/>
    <n v="6"/>
    <n v="17"/>
    <x v="32"/>
    <n v="57.6"/>
    <n v="72.768957020596261"/>
    <m/>
    <m/>
    <m/>
    <m/>
  </r>
  <r>
    <n v="2025"/>
    <s v="Southeast"/>
    <x v="0"/>
    <n v="2"/>
    <n v="6"/>
    <n v="6"/>
    <n v="2"/>
    <x v="23"/>
    <n v="57.1"/>
    <n v="61.840057180475874"/>
    <m/>
    <m/>
    <m/>
    <m/>
  </r>
  <r>
    <n v="2025"/>
    <s v="Southeast"/>
    <x v="0"/>
    <n v="2"/>
    <n v="5"/>
    <n v="6"/>
    <n v="31"/>
    <x v="6"/>
    <n v="56.6"/>
    <n v="62.56386142198815"/>
    <m/>
    <m/>
    <m/>
    <m/>
  </r>
  <r>
    <n v="2025"/>
    <s v="Southeast"/>
    <x v="0"/>
    <n v="2"/>
    <n v="4"/>
    <n v="6"/>
    <n v="37"/>
    <x v="31"/>
    <n v="57.6"/>
    <n v="66.970581115395476"/>
    <m/>
    <m/>
    <m/>
    <m/>
  </r>
  <r>
    <n v="2025"/>
    <s v="Southeast"/>
    <x v="0"/>
    <n v="2"/>
    <n v="3"/>
    <n v="6"/>
    <n v="21"/>
    <x v="26"/>
    <n v="57.3"/>
    <n v="66.354263519232575"/>
    <m/>
    <m/>
    <m/>
    <m/>
  </r>
  <r>
    <n v="2025"/>
    <s v="Southeast"/>
    <x v="0"/>
    <n v="2"/>
    <n v="2"/>
    <n v="6"/>
    <n v="5"/>
    <x v="28"/>
    <n v="56.3"/>
    <n v="54.993648076742211"/>
    <m/>
    <m/>
    <m/>
    <m/>
  </r>
  <r>
    <n v="2025"/>
    <s v="Southeast"/>
    <x v="0"/>
    <n v="2"/>
    <n v="1"/>
    <n v="6"/>
    <n v="23"/>
    <x v="35"/>
    <n v="58"/>
    <n v="57.240276779836357"/>
    <m/>
    <m/>
    <m/>
    <m/>
  </r>
  <r>
    <n v="2025"/>
    <s v="Southeast"/>
    <x v="0"/>
    <n v="2"/>
    <n v="1"/>
    <n v="7"/>
    <n v="32"/>
    <x v="24"/>
    <n v="59.4"/>
    <n v="71.241509281133972"/>
    <m/>
    <m/>
    <m/>
    <m/>
  </r>
  <r>
    <n v="2025"/>
    <s v="Southeast"/>
    <x v="0"/>
    <n v="2"/>
    <n v="2"/>
    <n v="7"/>
    <n v="16"/>
    <x v="40"/>
    <n v="60"/>
    <n v="69.779835687768198"/>
    <m/>
    <m/>
    <m/>
    <m/>
  </r>
  <r>
    <n v="2025"/>
    <s v="Southeast"/>
    <x v="0"/>
    <n v="2"/>
    <n v="3"/>
    <n v="7"/>
    <n v="0"/>
    <x v="19"/>
    <n v="57.3"/>
    <n v="53.458744660334595"/>
    <m/>
    <m/>
    <m/>
    <m/>
  </r>
  <r>
    <n v="2025"/>
    <s v="Southeast"/>
    <x v="0"/>
    <n v="2"/>
    <n v="4"/>
    <n v="7"/>
    <n v="34"/>
    <x v="0"/>
    <n v="57.5"/>
    <n v="68.57744462658502"/>
    <m/>
    <m/>
    <m/>
    <m/>
  </r>
  <r>
    <n v="2025"/>
    <s v="Southeast"/>
    <x v="0"/>
    <n v="2"/>
    <n v="5"/>
    <n v="7"/>
    <n v="8"/>
    <x v="9"/>
    <n v="55.9"/>
    <n v="71.209185478038648"/>
    <m/>
    <m/>
    <m/>
    <m/>
  </r>
  <r>
    <n v="2025"/>
    <s v="Southeast"/>
    <x v="0"/>
    <n v="2"/>
    <n v="6"/>
    <n v="7"/>
    <n v="27"/>
    <x v="39"/>
    <n v="56.5"/>
    <n v="75.621933513331101"/>
    <m/>
    <m/>
    <m/>
    <m/>
  </r>
  <r>
    <n v="2025"/>
    <s v="Southeast"/>
    <x v="0"/>
    <n v="2"/>
    <n v="7"/>
    <n v="7"/>
    <n v="12"/>
    <x v="41"/>
    <n v="56.4"/>
    <n v="63.734826286099995"/>
    <m/>
    <m/>
    <m/>
    <m/>
  </r>
  <r>
    <n v="2025"/>
    <s v="Southeast"/>
    <x v="0"/>
    <n v="2"/>
    <n v="8"/>
    <n v="7"/>
    <n v="10"/>
    <x v="15"/>
    <n v="52.6"/>
    <n v="47.086673930861572"/>
    <m/>
    <m/>
    <m/>
    <m/>
  </r>
  <r>
    <n v="2025"/>
    <s v="Southeast"/>
    <x v="0"/>
    <n v="2"/>
    <n v="9"/>
    <n v="7"/>
    <n v="14"/>
    <x v="5"/>
    <n v="58.4"/>
    <n v="77.003045802998898"/>
    <m/>
    <m/>
    <m/>
    <m/>
  </r>
  <r>
    <n v="2025"/>
    <s v="Southeast"/>
    <x v="0"/>
    <n v="2"/>
    <n v="10"/>
    <n v="7"/>
    <n v="28"/>
    <x v="37"/>
    <n v="55.5"/>
    <n v="58.476480497565205"/>
    <m/>
    <m/>
    <m/>
    <m/>
  </r>
  <r>
    <n v="2025"/>
    <s v="Southeast"/>
    <x v="0"/>
    <n v="2"/>
    <n v="11"/>
    <n v="7"/>
    <n v="30"/>
    <x v="14"/>
    <n v="55.9"/>
    <n v="52.34300544814618"/>
    <m/>
    <m/>
    <m/>
    <m/>
  </r>
  <r>
    <n v="2025"/>
    <s v="Southeast"/>
    <x v="0"/>
    <n v="2"/>
    <n v="11"/>
    <n v="8"/>
    <n v="43"/>
    <x v="22"/>
    <n v="54.8"/>
    <n v="49.793762478485363"/>
    <m/>
    <m/>
    <m/>
    <m/>
  </r>
  <r>
    <n v="2025"/>
    <s v="Southeast"/>
    <x v="0"/>
    <n v="2"/>
    <n v="10"/>
    <n v="8"/>
    <n v="45"/>
    <x v="21"/>
    <n v="57.1"/>
    <n v="68.511540447504302"/>
    <m/>
    <m/>
    <m/>
    <m/>
  </r>
  <r>
    <n v="2025"/>
    <s v="Southeast"/>
    <x v="0"/>
    <n v="2"/>
    <n v="9"/>
    <n v="8"/>
    <n v="22"/>
    <x v="33"/>
    <n v="58.8"/>
    <n v="66.667653614457848"/>
    <m/>
    <m/>
    <m/>
    <m/>
  </r>
  <r>
    <n v="2025"/>
    <s v="Southeast"/>
    <x v="0"/>
    <n v="2"/>
    <n v="8"/>
    <n v="8"/>
    <n v="40"/>
    <x v="13"/>
    <n v="59"/>
    <n v="67.309728915662632"/>
    <m/>
    <m/>
    <m/>
    <m/>
  </r>
  <r>
    <n v="2025"/>
    <s v="Southeast"/>
    <x v="0"/>
    <n v="2"/>
    <n v="7"/>
    <n v="8"/>
    <n v="29"/>
    <x v="27"/>
    <n v="55.9"/>
    <n v="65.814107573149727"/>
    <m/>
    <m/>
    <m/>
    <m/>
  </r>
  <r>
    <n v="2025"/>
    <s v="Southeast"/>
    <x v="0"/>
    <n v="2"/>
    <n v="6"/>
    <n v="8"/>
    <n v="26"/>
    <x v="11"/>
    <n v="57.6"/>
    <n v="76.278610154905337"/>
    <m/>
    <m/>
    <m/>
    <m/>
  </r>
  <r>
    <n v="2025"/>
    <s v="Southeast"/>
    <x v="0"/>
    <n v="2"/>
    <n v="5"/>
    <n v="8"/>
    <n v="35"/>
    <x v="30"/>
    <n v="57.5"/>
    <n v="71.763204819277107"/>
    <m/>
    <m/>
    <m/>
    <m/>
  </r>
  <r>
    <n v="2025"/>
    <s v="Southeast"/>
    <x v="0"/>
    <n v="2"/>
    <n v="4"/>
    <n v="8"/>
    <n v="9"/>
    <x v="1"/>
    <n v="55.6"/>
    <n v="53.053946643717723"/>
    <m/>
    <m/>
    <m/>
    <m/>
  </r>
  <r>
    <n v="2025"/>
    <s v="Southeast"/>
    <x v="0"/>
    <n v="2"/>
    <n v="3"/>
    <n v="8"/>
    <n v="18"/>
    <x v="8"/>
    <n v="56.3"/>
    <n v="52.453376936316687"/>
    <m/>
    <m/>
    <m/>
    <m/>
  </r>
  <r>
    <n v="2025"/>
    <s v="Southeast"/>
    <x v="0"/>
    <n v="2"/>
    <n v="2"/>
    <n v="8"/>
    <n v="33"/>
    <x v="3"/>
    <n v="59"/>
    <n v="68.295114027538716"/>
    <m/>
    <m/>
    <m/>
    <m/>
  </r>
  <r>
    <n v="2025"/>
    <s v="Southeast"/>
    <x v="0"/>
    <n v="2"/>
    <n v="1"/>
    <n v="8"/>
    <n v="41"/>
    <x v="20"/>
    <n v="57.9"/>
    <n v="50.878005593803785"/>
    <m/>
    <m/>
    <m/>
    <m/>
  </r>
  <r>
    <n v="2025"/>
    <s v="Southeast"/>
    <x v="0"/>
    <n v="3"/>
    <n v="1"/>
    <n v="9"/>
    <n v="20"/>
    <x v="18"/>
    <n v="58.4"/>
    <n v="74.933181620943998"/>
    <m/>
    <m/>
    <m/>
    <m/>
  </r>
  <r>
    <n v="2025"/>
    <s v="Southeast"/>
    <x v="0"/>
    <n v="3"/>
    <n v="2"/>
    <n v="9"/>
    <n v="0"/>
    <x v="19"/>
    <n v="58.1"/>
    <n v="52.25982368256112"/>
    <m/>
    <m/>
    <m/>
    <m/>
  </r>
  <r>
    <n v="2025"/>
    <s v="Southeast"/>
    <x v="0"/>
    <n v="3"/>
    <n v="3"/>
    <n v="9"/>
    <n v="12"/>
    <x v="41"/>
    <n v="57.9"/>
    <n v="60.601212091991712"/>
    <m/>
    <m/>
    <m/>
    <m/>
  </r>
  <r>
    <n v="2025"/>
    <s v="Southeast"/>
    <x v="0"/>
    <n v="3"/>
    <n v="4"/>
    <n v="9"/>
    <n v="23"/>
    <x v="35"/>
    <n v="58.8"/>
    <n v="63.904626488597465"/>
    <m/>
    <m/>
    <m/>
    <m/>
  </r>
  <r>
    <n v="2025"/>
    <s v="Southeast"/>
    <x v="0"/>
    <n v="3"/>
    <n v="5"/>
    <n v="9"/>
    <n v="41"/>
    <x v="20"/>
    <n v="57"/>
    <n v="55.026993250084374"/>
    <m/>
    <m/>
    <m/>
    <m/>
  </r>
  <r>
    <n v="2025"/>
    <s v="Southeast"/>
    <x v="0"/>
    <n v="3"/>
    <n v="6"/>
    <n v="9"/>
    <n v="22"/>
    <x v="33"/>
    <n v="59.3"/>
    <n v="69.433581505231189"/>
    <m/>
    <m/>
    <m/>
    <m/>
  </r>
  <r>
    <n v="2025"/>
    <s v="Southeast"/>
    <x v="0"/>
    <n v="3"/>
    <n v="7"/>
    <n v="9"/>
    <n v="26"/>
    <x v="11"/>
    <n v="56.5"/>
    <n v="75.948832553878788"/>
    <m/>
    <m/>
    <m/>
    <m/>
  </r>
  <r>
    <n v="2025"/>
    <s v="Southeast"/>
    <x v="0"/>
    <n v="3"/>
    <n v="8"/>
    <n v="9"/>
    <n v="45"/>
    <x v="21"/>
    <n v="58.1"/>
    <n v="66.224618292271344"/>
    <m/>
    <m/>
    <m/>
    <m/>
  </r>
  <r>
    <n v="2025"/>
    <s v="Southeast"/>
    <x v="0"/>
    <n v="3"/>
    <n v="9"/>
    <n v="9"/>
    <n v="37"/>
    <x v="31"/>
    <n v="58.3"/>
    <n v="72.153640036642386"/>
    <m/>
    <m/>
    <m/>
    <m/>
  </r>
  <r>
    <n v="2025"/>
    <s v="Southeast"/>
    <x v="0"/>
    <n v="3"/>
    <n v="10"/>
    <n v="9"/>
    <n v="27"/>
    <x v="39"/>
    <n v="56.6"/>
    <n v="75.868872667663069"/>
    <m/>
    <m/>
    <m/>
    <m/>
  </r>
  <r>
    <n v="2025"/>
    <s v="Southeast"/>
    <x v="0"/>
    <n v="3"/>
    <n v="11"/>
    <n v="9"/>
    <n v="11"/>
    <x v="2"/>
    <n v="59.2"/>
    <n v="74.131124584156993"/>
    <m/>
    <m/>
    <m/>
    <m/>
  </r>
  <r>
    <n v="2025"/>
    <s v="Southeast"/>
    <x v="0"/>
    <n v="3"/>
    <n v="11"/>
    <n v="10"/>
    <n v="16"/>
    <x v="40"/>
    <n v="59.5"/>
    <n v="77.991520192076806"/>
    <m/>
    <m/>
    <m/>
    <m/>
  </r>
  <r>
    <n v="2025"/>
    <s v="Southeast"/>
    <x v="0"/>
    <n v="3"/>
    <n v="10"/>
    <n v="10"/>
    <n v="31"/>
    <x v="6"/>
    <n v="55.6"/>
    <n v="68.827462184873951"/>
    <m/>
    <m/>
    <m/>
    <m/>
  </r>
  <r>
    <n v="2025"/>
    <s v="Southeast"/>
    <x v="0"/>
    <n v="3"/>
    <n v="9"/>
    <n v="10"/>
    <n v="10"/>
    <x v="15"/>
    <n v="51.1"/>
    <n v="47.059907899159661"/>
    <m/>
    <m/>
    <m/>
    <m/>
  </r>
  <r>
    <n v="2025"/>
    <s v="Southeast"/>
    <x v="0"/>
    <n v="3"/>
    <n v="8"/>
    <n v="10"/>
    <n v="21"/>
    <x v="26"/>
    <n v="56.5"/>
    <n v="70.464838991596636"/>
    <m/>
    <m/>
    <m/>
    <m/>
  </r>
  <r>
    <n v="2025"/>
    <s v="Southeast"/>
    <x v="0"/>
    <n v="3"/>
    <n v="7"/>
    <n v="10"/>
    <n v="43"/>
    <x v="22"/>
    <n v="55.7"/>
    <n v="49.311555342136849"/>
    <m/>
    <m/>
    <m/>
    <m/>
  </r>
  <r>
    <n v="2025"/>
    <s v="Southeast"/>
    <x v="0"/>
    <n v="3"/>
    <n v="6"/>
    <n v="10"/>
    <n v="40"/>
    <x v="13"/>
    <n v="58.5"/>
    <n v="70.20858468187275"/>
    <m/>
    <m/>
    <m/>
    <m/>
  </r>
  <r>
    <n v="2025"/>
    <s v="Southeast"/>
    <x v="0"/>
    <n v="3"/>
    <n v="5"/>
    <n v="10"/>
    <n v="24"/>
    <x v="29"/>
    <n v="56.3"/>
    <n v="70.372499207683077"/>
    <m/>
    <m/>
    <m/>
    <m/>
  </r>
  <r>
    <n v="2025"/>
    <s v="Southeast"/>
    <x v="0"/>
    <n v="3"/>
    <n v="4"/>
    <n v="10"/>
    <n v="44"/>
    <x v="17"/>
    <n v="57.3"/>
    <n v="51.976896806722685"/>
    <m/>
    <m/>
    <m/>
    <m/>
  </r>
  <r>
    <n v="2025"/>
    <s v="Southeast"/>
    <x v="0"/>
    <n v="3"/>
    <n v="3"/>
    <n v="10"/>
    <n v="28"/>
    <x v="37"/>
    <n v="55.8"/>
    <n v="59.626095558223284"/>
    <m/>
    <m/>
    <m/>
    <m/>
  </r>
  <r>
    <n v="2025"/>
    <s v="Southeast"/>
    <x v="0"/>
    <n v="3"/>
    <n v="2"/>
    <n v="10"/>
    <n v="25"/>
    <x v="34"/>
    <n v="58.3"/>
    <n v="63.337585354141659"/>
    <m/>
    <m/>
    <m/>
    <m/>
  </r>
  <r>
    <n v="2025"/>
    <s v="Southeast"/>
    <x v="0"/>
    <n v="3"/>
    <n v="1"/>
    <n v="10"/>
    <n v="1"/>
    <x v="12"/>
    <n v="57.4"/>
    <n v="72.197407923169251"/>
    <m/>
    <m/>
    <m/>
    <m/>
  </r>
  <r>
    <n v="2025"/>
    <s v="Southeast"/>
    <x v="0"/>
    <n v="3"/>
    <n v="1"/>
    <n v="11"/>
    <n v="46"/>
    <x v="25"/>
    <n v="58.8"/>
    <n v="70.120709999999988"/>
    <m/>
    <m/>
    <m/>
    <m/>
  </r>
  <r>
    <n v="2025"/>
    <s v="Southeast"/>
    <x v="0"/>
    <n v="3"/>
    <n v="2"/>
    <n v="11"/>
    <n v="42"/>
    <x v="42"/>
    <n v="60.3"/>
    <n v="67.393095000000002"/>
    <m/>
    <m/>
    <m/>
    <m/>
  </r>
  <r>
    <n v="2025"/>
    <s v="Southeast"/>
    <x v="0"/>
    <n v="3"/>
    <n v="3"/>
    <n v="11"/>
    <n v="8"/>
    <x v="9"/>
    <n v="56.2"/>
    <n v="63.804250714285708"/>
    <m/>
    <m/>
    <m/>
    <m/>
  </r>
  <r>
    <n v="2025"/>
    <s v="Southeast"/>
    <x v="0"/>
    <n v="3"/>
    <n v="4"/>
    <n v="11"/>
    <n v="14"/>
    <x v="5"/>
    <n v="58.4"/>
    <n v="79.82629285714286"/>
    <m/>
    <m/>
    <m/>
    <m/>
  </r>
  <r>
    <n v="2025"/>
    <s v="Southeast"/>
    <x v="0"/>
    <n v="3"/>
    <n v="5"/>
    <n v="11"/>
    <n v="33"/>
    <x v="3"/>
    <n v="58"/>
    <n v="70.251286285714286"/>
    <m/>
    <m/>
    <m/>
    <m/>
  </r>
  <r>
    <n v="2025"/>
    <s v="Southeast"/>
    <x v="0"/>
    <n v="3"/>
    <n v="6"/>
    <n v="11"/>
    <n v="34"/>
    <x v="0"/>
    <n v="58.4"/>
    <n v="73.293660000000017"/>
    <m/>
    <m/>
    <m/>
    <m/>
  </r>
  <r>
    <n v="2025"/>
    <s v="Southeast"/>
    <x v="0"/>
    <n v="3"/>
    <n v="7"/>
    <n v="11"/>
    <n v="32"/>
    <x v="24"/>
    <n v="59.2"/>
    <n v="73.198110857142851"/>
    <m/>
    <m/>
    <m/>
    <m/>
  </r>
  <r>
    <n v="2025"/>
    <s v="Southeast"/>
    <x v="0"/>
    <n v="3"/>
    <n v="8"/>
    <n v="11"/>
    <n v="6"/>
    <x v="10"/>
    <n v="57"/>
    <n v="56.270279999999993"/>
    <m/>
    <m/>
    <m/>
    <m/>
  </r>
  <r>
    <n v="2025"/>
    <s v="Southeast"/>
    <x v="0"/>
    <n v="3"/>
    <n v="9"/>
    <n v="11"/>
    <n v="2"/>
    <x v="23"/>
    <n v="56.3"/>
    <n v="66.217328571428567"/>
    <m/>
    <m/>
    <m/>
    <m/>
  </r>
  <r>
    <n v="2025"/>
    <s v="Southeast"/>
    <x v="0"/>
    <n v="3"/>
    <n v="10"/>
    <n v="11"/>
    <n v="3"/>
    <x v="16"/>
    <n v="57.2"/>
    <n v="65.072063571428558"/>
    <m/>
    <m/>
    <m/>
    <m/>
  </r>
  <r>
    <n v="2025"/>
    <s v="Southeast"/>
    <x v="0"/>
    <n v="3"/>
    <n v="11"/>
    <n v="11"/>
    <n v="100"/>
    <x v="19"/>
    <n v="56.6"/>
    <n v="57.919653000000011"/>
    <m/>
    <m/>
    <m/>
    <m/>
  </r>
  <r>
    <n v="2025"/>
    <s v="Southeast"/>
    <x v="0"/>
    <n v="3"/>
    <n v="11"/>
    <n v="12"/>
    <n v="9"/>
    <x v="1"/>
    <n v="52.5"/>
    <n v="57.729335447941892"/>
    <m/>
    <m/>
    <m/>
    <m/>
  </r>
  <r>
    <n v="2025"/>
    <s v="Southeast"/>
    <x v="0"/>
    <n v="3"/>
    <n v="10"/>
    <n v="12"/>
    <n v="5"/>
    <x v="28"/>
    <n v="55.3"/>
    <n v="64.437887070217911"/>
    <m/>
    <m/>
    <m/>
    <m/>
  </r>
  <r>
    <n v="2025"/>
    <s v="Southeast"/>
    <x v="0"/>
    <n v="3"/>
    <n v="9"/>
    <n v="12"/>
    <n v="30"/>
    <x v="14"/>
    <n v="56.5"/>
    <n v="55.561048474576261"/>
    <m/>
    <m/>
    <m/>
    <m/>
  </r>
  <r>
    <n v="2025"/>
    <s v="Southeast"/>
    <x v="0"/>
    <n v="3"/>
    <n v="8"/>
    <n v="12"/>
    <n v="13"/>
    <x v="38"/>
    <n v="57.2"/>
    <n v="71.492631864406761"/>
    <m/>
    <m/>
    <m/>
    <m/>
  </r>
  <r>
    <n v="2025"/>
    <s v="Southeast"/>
    <x v="0"/>
    <n v="3"/>
    <n v="7"/>
    <n v="12"/>
    <n v="15"/>
    <x v="7"/>
    <n v="55"/>
    <n v="69.588288958837765"/>
    <m/>
    <m/>
    <m/>
    <m/>
  </r>
  <r>
    <n v="2025"/>
    <s v="Southeast"/>
    <x v="0"/>
    <n v="3"/>
    <n v="6"/>
    <n v="12"/>
    <n v="35"/>
    <x v="30"/>
    <n v="58.5"/>
    <n v="80.845403970944304"/>
    <m/>
    <m/>
    <m/>
    <m/>
  </r>
  <r>
    <n v="2025"/>
    <s v="Southeast"/>
    <x v="0"/>
    <n v="3"/>
    <n v="5"/>
    <n v="12"/>
    <n v="18"/>
    <x v="8"/>
    <n v="56.6"/>
    <n v="59.000164648910406"/>
    <m/>
    <m/>
    <m/>
    <m/>
  </r>
  <r>
    <n v="2025"/>
    <s v="Southeast"/>
    <x v="0"/>
    <n v="3"/>
    <n v="4"/>
    <n v="12"/>
    <n v="4"/>
    <x v="4"/>
    <n v="56.1"/>
    <n v="62.331152687651333"/>
    <m/>
    <m/>
    <m/>
    <m/>
  </r>
  <r>
    <n v="2025"/>
    <s v="Southeast"/>
    <x v="0"/>
    <n v="3"/>
    <n v="3"/>
    <n v="12"/>
    <n v="36"/>
    <x v="36"/>
    <n v="60.1"/>
    <n v="53.681376464891045"/>
    <m/>
    <m/>
    <m/>
    <m/>
  </r>
  <r>
    <n v="2025"/>
    <s v="Southeast"/>
    <x v="0"/>
    <n v="3"/>
    <n v="2"/>
    <n v="12"/>
    <n v="29"/>
    <x v="27"/>
    <n v="58.7"/>
    <n v="66.507432929782084"/>
    <m/>
    <m/>
    <m/>
    <m/>
  </r>
  <r>
    <n v="2025"/>
    <s v="Southeast"/>
    <x v="0"/>
    <n v="3"/>
    <n v="1"/>
    <n v="12"/>
    <n v="17"/>
    <x v="32"/>
    <n v="58"/>
    <n v="64.19330673123487"/>
    <m/>
    <m/>
    <m/>
    <m/>
  </r>
  <r>
    <n v="2025"/>
    <s v="Southeast"/>
    <x v="1"/>
    <n v="1"/>
    <n v="9"/>
    <n v="2"/>
    <n v="30"/>
    <x v="14"/>
    <n v="60.6"/>
    <n v="69.003033367037403"/>
    <n v="10.5"/>
    <m/>
    <m/>
    <m/>
  </r>
  <r>
    <n v="2025"/>
    <s v="Southeast"/>
    <x v="1"/>
    <n v="2"/>
    <n v="2"/>
    <n v="3"/>
    <n v="30"/>
    <x v="14"/>
    <n v="60.4"/>
    <n v="54.535841741901223"/>
    <m/>
    <m/>
    <m/>
    <m/>
  </r>
  <r>
    <n v="2025"/>
    <s v="Southeast"/>
    <x v="1"/>
    <n v="3"/>
    <n v="14"/>
    <n v="6"/>
    <n v="30"/>
    <x v="14"/>
    <n v="59.5"/>
    <n v="68.768840358573328"/>
    <m/>
    <m/>
    <m/>
    <m/>
  </r>
  <r>
    <n v="2025"/>
    <s v="Southeast"/>
    <x v="1"/>
    <n v="1"/>
    <n v="2"/>
    <n v="2"/>
    <n v="37"/>
    <x v="31"/>
    <n v="61.8"/>
    <n v="82.982392026578069"/>
    <n v="9.6"/>
    <m/>
    <m/>
    <m/>
  </r>
  <r>
    <n v="2025"/>
    <s v="Southeast"/>
    <x v="1"/>
    <n v="2"/>
    <n v="9"/>
    <n v="4"/>
    <n v="37"/>
    <x v="31"/>
    <n v="61.5"/>
    <n v="78.904328859060399"/>
    <m/>
    <m/>
    <m/>
    <m/>
  </r>
  <r>
    <n v="2025"/>
    <s v="Southeast"/>
    <x v="1"/>
    <n v="3"/>
    <n v="16"/>
    <n v="6"/>
    <n v="37"/>
    <x v="31"/>
    <n v="61"/>
    <n v="81.101591169177951"/>
    <m/>
    <m/>
    <m/>
    <m/>
  </r>
  <r>
    <n v="2025"/>
    <s v="Southeast"/>
    <x v="1"/>
    <n v="1"/>
    <n v="6"/>
    <n v="2"/>
    <n v="40"/>
    <x v="13"/>
    <n v="62.5"/>
    <n v="70.648981655351719"/>
    <n v="10.3"/>
    <m/>
    <m/>
    <m/>
  </r>
  <r>
    <n v="2025"/>
    <s v="Southeast"/>
    <x v="1"/>
    <n v="2"/>
    <n v="7"/>
    <n v="4"/>
    <n v="40"/>
    <x v="13"/>
    <n v="58.2"/>
    <n v="74.425978906999035"/>
    <m/>
    <m/>
    <m/>
    <m/>
  </r>
  <r>
    <n v="2025"/>
    <s v="Southeast"/>
    <x v="1"/>
    <n v="3"/>
    <n v="2"/>
    <n v="5"/>
    <n v="40"/>
    <x v="13"/>
    <n v="61.7"/>
    <n v="76.56522255192877"/>
    <m/>
    <m/>
    <m/>
    <m/>
  </r>
  <r>
    <n v="2025"/>
    <s v="Southeast"/>
    <x v="1"/>
    <n v="1"/>
    <n v="19"/>
    <n v="2"/>
    <n v="41"/>
    <x v="20"/>
    <n v="59"/>
    <n v="69.771094901054454"/>
    <n v="10.199999999999999"/>
    <m/>
    <m/>
    <m/>
  </r>
  <r>
    <n v="2025"/>
    <s v="Southeast"/>
    <x v="1"/>
    <n v="2"/>
    <n v="6"/>
    <n v="4"/>
    <n v="41"/>
    <x v="20"/>
    <s v="."/>
    <s v="."/>
    <m/>
    <m/>
    <m/>
    <m/>
  </r>
  <r>
    <n v="2025"/>
    <s v="Southeast"/>
    <x v="1"/>
    <n v="3"/>
    <n v="17"/>
    <n v="5"/>
    <n v="41"/>
    <x v="20"/>
    <n v="56.9"/>
    <n v="68.58348452734208"/>
    <m/>
    <m/>
    <m/>
    <m/>
  </r>
  <r>
    <n v="2025"/>
    <s v="Southeast"/>
    <x v="1"/>
    <n v="1"/>
    <n v="4"/>
    <n v="1"/>
    <n v="20"/>
    <x v="18"/>
    <n v="60.5"/>
    <n v="79.362642857142859"/>
    <n v="9.4"/>
    <m/>
    <m/>
    <m/>
  </r>
  <r>
    <n v="2025"/>
    <s v="Southeast"/>
    <x v="1"/>
    <n v="2"/>
    <n v="2"/>
    <n v="4"/>
    <n v="20"/>
    <x v="18"/>
    <n v="60.4"/>
    <n v="75.344979865771805"/>
    <m/>
    <m/>
    <m/>
    <m/>
  </r>
  <r>
    <n v="2025"/>
    <s v="Southeast"/>
    <x v="1"/>
    <n v="3"/>
    <n v="8"/>
    <n v="6"/>
    <n v="20"/>
    <x v="18"/>
    <s v="."/>
    <n v="78.688289147434674"/>
    <m/>
    <m/>
    <m/>
    <m/>
  </r>
  <r>
    <n v="2025"/>
    <s v="Southeast"/>
    <x v="1"/>
    <n v="1"/>
    <n v="17"/>
    <n v="1"/>
    <n v="32"/>
    <x v="24"/>
    <n v="59.7"/>
    <n v="79.103828571428565"/>
    <n v="10"/>
    <m/>
    <m/>
    <m/>
  </r>
  <r>
    <n v="2025"/>
    <s v="Southeast"/>
    <x v="1"/>
    <n v="2"/>
    <n v="11"/>
    <n v="4"/>
    <n v="32"/>
    <x v="24"/>
    <n v="60.3"/>
    <n v="84.770007670182167"/>
    <m/>
    <m/>
    <m/>
    <m/>
  </r>
  <r>
    <n v="2025"/>
    <s v="Southeast"/>
    <x v="1"/>
    <n v="3"/>
    <n v="19"/>
    <n v="6"/>
    <n v="32"/>
    <x v="24"/>
    <n v="61.3"/>
    <n v="89.451116727064644"/>
    <m/>
    <m/>
    <m/>
    <m/>
  </r>
  <r>
    <n v="2025"/>
    <s v="Southeast"/>
    <x v="1"/>
    <n v="1"/>
    <n v="21"/>
    <n v="1"/>
    <n v="21"/>
    <x v="26"/>
    <n v="59.6"/>
    <n v="73.761600000000001"/>
    <n v="9.8000000000000007"/>
    <m/>
    <m/>
    <m/>
  </r>
  <r>
    <n v="2025"/>
    <s v="Southeast"/>
    <x v="1"/>
    <n v="2"/>
    <n v="9"/>
    <n v="3"/>
    <n v="21"/>
    <x v="26"/>
    <n v="60.4"/>
    <n v="72.390924057355278"/>
    <m/>
    <m/>
    <m/>
    <m/>
  </r>
  <r>
    <n v="2025"/>
    <s v="Southeast"/>
    <x v="1"/>
    <n v="3"/>
    <n v="13"/>
    <n v="5"/>
    <n v="21"/>
    <x v="26"/>
    <n v="59.6"/>
    <n v="77.385769393810946"/>
    <m/>
    <m/>
    <m/>
    <m/>
  </r>
  <r>
    <n v="2025"/>
    <s v="Southeast"/>
    <x v="1"/>
    <n v="1"/>
    <n v="8"/>
    <n v="1"/>
    <n v="29"/>
    <x v="27"/>
    <n v="60.2"/>
    <n v="69.954531428571428"/>
    <n v="9.1"/>
    <m/>
    <m/>
    <m/>
  </r>
  <r>
    <n v="2025"/>
    <s v="Southeast"/>
    <x v="1"/>
    <n v="2"/>
    <n v="17"/>
    <n v="3"/>
    <n v="29"/>
    <x v="27"/>
    <n v="59.5"/>
    <n v="68.498268720127442"/>
    <m/>
    <m/>
    <m/>
    <m/>
  </r>
  <r>
    <n v="2025"/>
    <s v="Southeast"/>
    <x v="1"/>
    <n v="3"/>
    <n v="9"/>
    <n v="6"/>
    <n v="29"/>
    <x v="27"/>
    <n v="60"/>
    <n v="66.548940492084682"/>
    <m/>
    <m/>
    <m/>
    <m/>
  </r>
  <r>
    <n v="2025"/>
    <s v="Southeast"/>
    <x v="1"/>
    <n v="1"/>
    <n v="14"/>
    <n v="2"/>
    <n v="22"/>
    <x v="33"/>
    <n v="61"/>
    <n v="72.112126245847165"/>
    <n v="11"/>
    <m/>
    <m/>
    <m/>
  </r>
  <r>
    <n v="2025"/>
    <s v="Southeast"/>
    <x v="1"/>
    <n v="2"/>
    <n v="18"/>
    <n v="4"/>
    <n v="22"/>
    <x v="33"/>
    <n v="61.1"/>
    <n v="72.20047219558964"/>
    <m/>
    <m/>
    <m/>
    <m/>
  </r>
  <r>
    <n v="2025"/>
    <s v="Southeast"/>
    <x v="1"/>
    <n v="3"/>
    <n v="11"/>
    <n v="6"/>
    <n v="22"/>
    <x v="33"/>
    <n v="61.1"/>
    <n v="71.949189395384323"/>
    <m/>
    <m/>
    <m/>
    <m/>
  </r>
  <r>
    <n v="2025"/>
    <s v="Southeast"/>
    <x v="1"/>
    <n v="1"/>
    <n v="2"/>
    <n v="1"/>
    <n v="18"/>
    <x v="8"/>
    <n v="60"/>
    <n v="82.356685714285703"/>
    <n v="9"/>
    <m/>
    <m/>
    <m/>
  </r>
  <r>
    <n v="2025"/>
    <s v="Southeast"/>
    <x v="1"/>
    <n v="2"/>
    <n v="20"/>
    <n v="3"/>
    <n v="18"/>
    <x v="8"/>
    <s v="."/>
    <s v="."/>
    <m/>
    <m/>
    <m/>
    <m/>
  </r>
  <r>
    <n v="2025"/>
    <s v="Southeast"/>
    <x v="1"/>
    <n v="3"/>
    <n v="5"/>
    <n v="6"/>
    <n v="18"/>
    <x v="8"/>
    <n v="60.4"/>
    <n v="79.774777798970035"/>
    <m/>
    <m/>
    <m/>
    <m/>
  </r>
  <r>
    <n v="2025"/>
    <s v="Southeast"/>
    <x v="1"/>
    <n v="1"/>
    <n v="17"/>
    <n v="2"/>
    <n v="14"/>
    <x v="5"/>
    <n v="61.2"/>
    <n v="80.488873320814676"/>
    <n v="9.8000000000000007"/>
    <m/>
    <m/>
    <m/>
  </r>
  <r>
    <n v="2025"/>
    <s v="Southeast"/>
    <x v="1"/>
    <n v="2"/>
    <n v="10"/>
    <n v="4"/>
    <n v="14"/>
    <x v="5"/>
    <n v="62.2"/>
    <n v="84.333999520613602"/>
    <m/>
    <m/>
    <m/>
    <m/>
  </r>
  <r>
    <n v="2025"/>
    <s v="Southeast"/>
    <x v="1"/>
    <n v="3"/>
    <n v="1"/>
    <n v="6"/>
    <n v="14"/>
    <x v="5"/>
    <n v="61.6"/>
    <n v="84.149622353614333"/>
    <m/>
    <m/>
    <m/>
    <m/>
  </r>
  <r>
    <n v="2025"/>
    <s v="Southeast"/>
    <x v="1"/>
    <n v="1"/>
    <n v="15"/>
    <n v="2"/>
    <n v="15"/>
    <x v="7"/>
    <n v="59.7"/>
    <n v="84.050327892532124"/>
    <n v="9.8000000000000007"/>
    <m/>
    <m/>
    <m/>
  </r>
  <r>
    <n v="2025"/>
    <s v="Southeast"/>
    <x v="1"/>
    <n v="2"/>
    <n v="8"/>
    <n v="3"/>
    <n v="15"/>
    <x v="7"/>
    <n v="59.7"/>
    <n v="81.844795539033456"/>
    <m/>
    <m/>
    <m/>
    <m/>
  </r>
  <r>
    <n v="2025"/>
    <s v="Southeast"/>
    <x v="1"/>
    <n v="3"/>
    <n v="20"/>
    <n v="6"/>
    <n v="15"/>
    <x v="7"/>
    <n v="57.5"/>
    <n v="91.037609193209988"/>
    <m/>
    <m/>
    <m/>
    <m/>
  </r>
  <r>
    <n v="2025"/>
    <s v="Southeast"/>
    <x v="1"/>
    <n v="1"/>
    <n v="5"/>
    <n v="1"/>
    <n v="16"/>
    <x v="40"/>
    <n v="61.8"/>
    <n v="76.167771428571413"/>
    <n v="11"/>
    <m/>
    <m/>
    <m/>
  </r>
  <r>
    <n v="2025"/>
    <s v="Southeast"/>
    <x v="1"/>
    <n v="2"/>
    <n v="4"/>
    <n v="3"/>
    <n v="16"/>
    <x v="40"/>
    <n v="62.3"/>
    <n v="71.303515666489631"/>
    <m/>
    <m/>
    <m/>
    <m/>
  </r>
  <r>
    <n v="2025"/>
    <s v="Southeast"/>
    <x v="1"/>
    <n v="3"/>
    <n v="14"/>
    <n v="5"/>
    <n v="16"/>
    <x v="40"/>
    <n v="61.7"/>
    <n v="70.616083086053422"/>
    <m/>
    <m/>
    <m/>
    <m/>
  </r>
  <r>
    <n v="2025"/>
    <s v="Southeast"/>
    <x v="1"/>
    <n v="1"/>
    <n v="21"/>
    <n v="2"/>
    <n v="11"/>
    <x v="2"/>
    <n v="61.3"/>
    <n v="63.320388559872875"/>
    <n v="10.6"/>
    <m/>
    <m/>
    <m/>
  </r>
  <r>
    <n v="2025"/>
    <s v="Southeast"/>
    <x v="1"/>
    <n v="2"/>
    <n v="1"/>
    <n v="4"/>
    <n v="11"/>
    <x v="2"/>
    <n v="61.5"/>
    <n v="70.221895973154361"/>
    <m/>
    <m/>
    <m/>
    <m/>
  </r>
  <r>
    <n v="2025"/>
    <s v="Southeast"/>
    <x v="1"/>
    <n v="3"/>
    <n v="4"/>
    <n v="5"/>
    <n v="11"/>
    <x v="2"/>
    <n v="61.7"/>
    <n v="76.298219584569722"/>
    <m/>
    <m/>
    <m/>
    <m/>
  </r>
  <r>
    <n v="2025"/>
    <s v="Southeast"/>
    <x v="1"/>
    <n v="1"/>
    <n v="12"/>
    <n v="1"/>
    <n v="1"/>
    <x v="12"/>
    <n v="60.2"/>
    <n v="84.050057142857142"/>
    <n v="9.8000000000000007"/>
    <m/>
    <m/>
    <m/>
  </r>
  <r>
    <n v="2025"/>
    <s v="Southeast"/>
    <x v="1"/>
    <n v="2"/>
    <n v="14"/>
    <n v="3"/>
    <n v="1"/>
    <x v="12"/>
    <n v="60.4"/>
    <n v="75.911964949548576"/>
    <m/>
    <m/>
    <m/>
    <m/>
  </r>
  <r>
    <n v="2025"/>
    <s v="Southeast"/>
    <x v="1"/>
    <n v="3"/>
    <n v="16"/>
    <n v="5"/>
    <n v="1"/>
    <x v="12"/>
    <n v="59.9"/>
    <n v="81.859025010597705"/>
    <m/>
    <m/>
    <m/>
    <m/>
  </r>
  <r>
    <n v="2025"/>
    <s v="Southeast"/>
    <x v="1"/>
    <n v="1"/>
    <n v="10"/>
    <n v="2"/>
    <n v="17"/>
    <x v="32"/>
    <n v="61.4"/>
    <n v="79.741499349992779"/>
    <n v="9.8000000000000007"/>
    <m/>
    <m/>
    <m/>
  </r>
  <r>
    <n v="2025"/>
    <s v="Southeast"/>
    <x v="1"/>
    <n v="2"/>
    <n v="21"/>
    <n v="4"/>
    <n v="17"/>
    <x v="32"/>
    <n v="60.8"/>
    <n v="73.083831255992337"/>
    <m/>
    <m/>
    <m/>
    <m/>
  </r>
  <r>
    <n v="2025"/>
    <s v="Southeast"/>
    <x v="1"/>
    <n v="3"/>
    <n v="15"/>
    <n v="6"/>
    <n v="17"/>
    <x v="32"/>
    <n v="60.6"/>
    <n v="80.589738699218003"/>
    <m/>
    <m/>
    <m/>
    <m/>
  </r>
  <r>
    <n v="2025"/>
    <s v="Southeast"/>
    <x v="1"/>
    <n v="1"/>
    <n v="7"/>
    <n v="2"/>
    <n v="12"/>
    <x v="41"/>
    <n v="56.1"/>
    <n v="67.975566950743882"/>
    <n v="10"/>
    <m/>
    <m/>
    <m/>
  </r>
  <r>
    <n v="2025"/>
    <s v="Southeast"/>
    <x v="1"/>
    <n v="2"/>
    <n v="4"/>
    <n v="4"/>
    <n v="12"/>
    <x v="41"/>
    <n v="60"/>
    <n v="68.994837008628949"/>
    <m/>
    <m/>
    <m/>
    <m/>
  </r>
  <r>
    <n v="2025"/>
    <s v="Southeast"/>
    <x v="1"/>
    <n v="3"/>
    <n v="10"/>
    <n v="5"/>
    <n v="12"/>
    <x v="41"/>
    <n v="60.5"/>
    <n v="72.425604069520972"/>
    <m/>
    <m/>
    <m/>
    <m/>
  </r>
  <r>
    <n v="2025"/>
    <s v="Southeast"/>
    <x v="1"/>
    <n v="1"/>
    <n v="18"/>
    <n v="1"/>
    <n v="13"/>
    <x v="38"/>
    <n v="60.4"/>
    <n v="70.031185714285698"/>
    <n v="9.1999999999999993"/>
    <m/>
    <m/>
    <m/>
  </r>
  <r>
    <n v="2025"/>
    <s v="Southeast"/>
    <x v="1"/>
    <n v="2"/>
    <n v="8"/>
    <n v="4"/>
    <n v="13"/>
    <x v="38"/>
    <n v="61.8"/>
    <n v="72.336727708533076"/>
    <m/>
    <m/>
    <m/>
    <m/>
  </r>
  <r>
    <n v="2025"/>
    <s v="Southeast"/>
    <x v="1"/>
    <n v="3"/>
    <n v="11"/>
    <n v="5"/>
    <n v="13"/>
    <x v="38"/>
    <n v="60.1"/>
    <n v="64.588278931750736"/>
    <m/>
    <m/>
    <m/>
    <m/>
  </r>
  <r>
    <n v="2025"/>
    <s v="Southeast"/>
    <x v="1"/>
    <n v="1"/>
    <n v="3"/>
    <n v="2"/>
    <n v="2"/>
    <x v="23"/>
    <n v="59.8"/>
    <n v="82.267813086812055"/>
    <n v="9.1"/>
    <m/>
    <m/>
    <m/>
  </r>
  <r>
    <n v="2025"/>
    <s v="Southeast"/>
    <x v="1"/>
    <n v="2"/>
    <n v="1"/>
    <n v="3"/>
    <n v="2"/>
    <x v="23"/>
    <n v="61.1"/>
    <n v="78.331784386617088"/>
    <m/>
    <m/>
    <m/>
    <m/>
  </r>
  <r>
    <n v="2025"/>
    <s v="Southeast"/>
    <x v="1"/>
    <n v="3"/>
    <n v="21"/>
    <n v="6"/>
    <n v="2"/>
    <x v="23"/>
    <n v="60.1"/>
    <n v="82.979485027655912"/>
    <m/>
    <m/>
    <m/>
    <m/>
  </r>
  <r>
    <n v="2025"/>
    <s v="Southeast"/>
    <x v="1"/>
    <n v="1"/>
    <n v="7"/>
    <n v="1"/>
    <n v="9"/>
    <x v="1"/>
    <n v="56.4"/>
    <n v="73.927542857142853"/>
    <n v="10.9"/>
    <m/>
    <m/>
    <m/>
  </r>
  <r>
    <n v="2025"/>
    <s v="Southeast"/>
    <x v="1"/>
    <n v="2"/>
    <n v="13"/>
    <n v="4"/>
    <n v="9"/>
    <x v="1"/>
    <n v="57.6"/>
    <n v="73.087627996164898"/>
    <m/>
    <m/>
    <m/>
    <m/>
  </r>
  <r>
    <n v="2025"/>
    <s v="Southeast"/>
    <x v="1"/>
    <n v="3"/>
    <n v="15"/>
    <n v="5"/>
    <n v="9"/>
    <x v="1"/>
    <n v="58.1"/>
    <n v="71.359597286986002"/>
    <m/>
    <m/>
    <m/>
    <m/>
  </r>
  <r>
    <n v="2025"/>
    <s v="Southeast"/>
    <x v="1"/>
    <n v="1"/>
    <n v="4"/>
    <n v="2"/>
    <n v="3"/>
    <x v="16"/>
    <n v="60.4"/>
    <n v="67.804203380037563"/>
    <n v="10"/>
    <m/>
    <m/>
    <m/>
  </r>
  <r>
    <n v="2025"/>
    <s v="Southeast"/>
    <x v="1"/>
    <n v="2"/>
    <n v="15"/>
    <n v="3"/>
    <n v="3"/>
    <x v="16"/>
    <n v="60.9"/>
    <n v="68.853106744556555"/>
    <m/>
    <m/>
    <m/>
    <m/>
  </r>
  <r>
    <n v="2025"/>
    <s v="Southeast"/>
    <x v="1"/>
    <n v="3"/>
    <n v="12"/>
    <n v="6"/>
    <n v="3"/>
    <x v="16"/>
    <n v="58.6"/>
    <n v="70.020974156017544"/>
    <m/>
    <m/>
    <m/>
    <m/>
  </r>
  <r>
    <n v="2025"/>
    <s v="Southeast"/>
    <x v="1"/>
    <n v="1"/>
    <n v="19"/>
    <n v="1"/>
    <n v="10"/>
    <x v="15"/>
    <n v="58.3"/>
    <n v="67.385245714285702"/>
    <n v="10.9"/>
    <m/>
    <m/>
    <m/>
  </r>
  <r>
    <n v="2025"/>
    <s v="Southeast"/>
    <x v="1"/>
    <n v="2"/>
    <n v="16"/>
    <n v="4"/>
    <n v="10"/>
    <x v="15"/>
    <n v="58.6"/>
    <n v="64.38521476510067"/>
    <m/>
    <m/>
    <m/>
    <m/>
  </r>
  <r>
    <n v="2025"/>
    <s v="Southeast"/>
    <x v="1"/>
    <n v="3"/>
    <n v="18"/>
    <n v="6"/>
    <n v="10"/>
    <x v="15"/>
    <n v="58.1"/>
    <n v="68.818123211901579"/>
    <m/>
    <m/>
    <m/>
    <m/>
  </r>
  <r>
    <n v="2025"/>
    <s v="Southeast"/>
    <x v="1"/>
    <n v="1"/>
    <n v="10"/>
    <n v="1"/>
    <n v="4"/>
    <x v="4"/>
    <n v="57.4"/>
    <n v="84.207137142857135"/>
    <n v="9.5"/>
    <m/>
    <m/>
    <m/>
  </r>
  <r>
    <n v="2025"/>
    <s v="Southeast"/>
    <x v="1"/>
    <n v="2"/>
    <n v="7"/>
    <n v="3"/>
    <n v="4"/>
    <x v="4"/>
    <n v="56.4"/>
    <n v="76.858231545406269"/>
    <m/>
    <m/>
    <m/>
    <m/>
  </r>
  <r>
    <n v="2025"/>
    <s v="Southeast"/>
    <x v="1"/>
    <n v="3"/>
    <n v="3"/>
    <n v="5"/>
    <n v="4"/>
    <x v="4"/>
    <n v="56.9"/>
    <n v="80.092123781263226"/>
    <m/>
    <m/>
    <m/>
    <m/>
  </r>
  <r>
    <n v="2025"/>
    <s v="Southeast"/>
    <x v="1"/>
    <n v="1"/>
    <n v="12"/>
    <n v="2"/>
    <n v="5"/>
    <x v="28"/>
    <n v="59.5"/>
    <n v="83.243226924743595"/>
    <n v="10.4"/>
    <m/>
    <m/>
    <m/>
  </r>
  <r>
    <n v="2025"/>
    <s v="Southeast"/>
    <x v="1"/>
    <n v="2"/>
    <n v="5"/>
    <n v="3"/>
    <n v="5"/>
    <x v="28"/>
    <n v="60.7"/>
    <n v="84.341232076473702"/>
    <m/>
    <m/>
    <m/>
    <m/>
  </r>
  <r>
    <n v="2025"/>
    <s v="Southeast"/>
    <x v="1"/>
    <n v="3"/>
    <n v="7"/>
    <n v="5"/>
    <n v="5"/>
    <x v="28"/>
    <n v="58"/>
    <n v="85.566850360322164"/>
    <m/>
    <m/>
    <m/>
    <m/>
  </r>
  <r>
    <n v="2025"/>
    <s v="Southeast"/>
    <x v="1"/>
    <n v="1"/>
    <n v="1"/>
    <n v="2"/>
    <n v="6"/>
    <x v="10"/>
    <n v="62.1"/>
    <n v="62.140863787375409"/>
    <n v="10.9"/>
    <m/>
    <m/>
    <m/>
  </r>
  <r>
    <n v="2025"/>
    <s v="Southeast"/>
    <x v="1"/>
    <n v="2"/>
    <n v="13"/>
    <n v="3"/>
    <n v="6"/>
    <x v="10"/>
    <n v="62.2"/>
    <n v="56.063069569835363"/>
    <m/>
    <m/>
    <m/>
    <m/>
  </r>
  <r>
    <n v="2025"/>
    <s v="Southeast"/>
    <x v="1"/>
    <n v="3"/>
    <n v="2"/>
    <n v="6"/>
    <n v="6"/>
    <x v="10"/>
    <n v="61.4"/>
    <n v="57.299530802975397"/>
    <m/>
    <m/>
    <m/>
    <m/>
  </r>
  <r>
    <n v="2025"/>
    <s v="Southeast"/>
    <x v="1"/>
    <n v="1"/>
    <n v="8"/>
    <n v="2"/>
    <n v="8"/>
    <x v="9"/>
    <n v="61.9"/>
    <n v="82.458148201646679"/>
    <n v="9.6"/>
    <m/>
    <m/>
    <m/>
  </r>
  <r>
    <n v="2025"/>
    <s v="Southeast"/>
    <x v="1"/>
    <n v="2"/>
    <n v="17"/>
    <n v="4"/>
    <n v="8"/>
    <x v="9"/>
    <n v="61.1"/>
    <n v="79.414325982742085"/>
    <m/>
    <m/>
    <m/>
    <m/>
  </r>
  <r>
    <n v="2025"/>
    <s v="Southeast"/>
    <x v="1"/>
    <n v="3"/>
    <n v="10"/>
    <n v="6"/>
    <n v="8"/>
    <x v="9"/>
    <n v="61.1"/>
    <n v="82.103156589738703"/>
    <m/>
    <m/>
    <m/>
    <m/>
  </r>
  <r>
    <n v="2025"/>
    <s v="Southeast"/>
    <x v="1"/>
    <n v="1"/>
    <n v="13"/>
    <n v="2"/>
    <n v="42"/>
    <x v="42"/>
    <n v="61.8"/>
    <n v="78.362296692185438"/>
    <n v="10.199999999999999"/>
    <m/>
    <m/>
    <m/>
  </r>
  <r>
    <n v="2025"/>
    <s v="Southeast"/>
    <x v="1"/>
    <n v="2"/>
    <n v="3"/>
    <n v="4"/>
    <n v="42"/>
    <x v="42"/>
    <n v="62.5"/>
    <n v="72.419022051773723"/>
    <m/>
    <m/>
    <m/>
    <m/>
  </r>
  <r>
    <n v="2025"/>
    <s v="Southeast"/>
    <x v="1"/>
    <n v="3"/>
    <n v="5"/>
    <n v="5"/>
    <n v="42"/>
    <x v="42"/>
    <n v="62"/>
    <n v="74.389936413734631"/>
    <m/>
    <m/>
    <m/>
    <m/>
  </r>
  <r>
    <n v="2025"/>
    <s v="Southeast"/>
    <x v="1"/>
    <n v="1"/>
    <n v="9"/>
    <n v="1"/>
    <n v="44"/>
    <x v="17"/>
    <n v="59.2"/>
    <n v="73.805160000000001"/>
    <n v="9.8000000000000007"/>
    <m/>
    <m/>
    <m/>
  </r>
  <r>
    <n v="2025"/>
    <s v="Southeast"/>
    <x v="1"/>
    <n v="2"/>
    <n v="12"/>
    <n v="3"/>
    <n v="44"/>
    <x v="17"/>
    <n v="58.8"/>
    <n v="68.378252788104092"/>
    <m/>
    <m/>
    <m/>
    <m/>
  </r>
  <r>
    <n v="2025"/>
    <s v="Southeast"/>
    <x v="1"/>
    <n v="3"/>
    <n v="13"/>
    <n v="6"/>
    <n v="44"/>
    <x v="17"/>
    <n v="58.4"/>
    <n v="72.277836162502382"/>
    <m/>
    <m/>
    <m/>
    <m/>
  </r>
  <r>
    <n v="2025"/>
    <s v="Southeast"/>
    <x v="1"/>
    <n v="1"/>
    <n v="6"/>
    <n v="1"/>
    <n v="43"/>
    <x v="22"/>
    <n v="57.3"/>
    <n v="80.889788571428554"/>
    <n v="10.6"/>
    <m/>
    <m/>
    <m/>
  </r>
  <r>
    <n v="2025"/>
    <s v="Southeast"/>
    <x v="1"/>
    <n v="2"/>
    <n v="12"/>
    <n v="4"/>
    <n v="43"/>
    <x v="22"/>
    <n v="59.2"/>
    <n v="72.208635186960663"/>
    <m/>
    <m/>
    <m/>
    <m/>
  </r>
  <r>
    <n v="2025"/>
    <s v="Southeast"/>
    <x v="1"/>
    <n v="3"/>
    <n v="1"/>
    <n v="5"/>
    <n v="43"/>
    <x v="22"/>
    <n v="59.8"/>
    <n v="72.670411191182694"/>
    <m/>
    <m/>
    <m/>
    <m/>
  </r>
  <r>
    <n v="2025"/>
    <s v="Southeast"/>
    <x v="1"/>
    <n v="1"/>
    <n v="11"/>
    <n v="2"/>
    <n v="27"/>
    <x v="39"/>
    <n v="61.1"/>
    <n v="74.49620106890076"/>
    <n v="10.5"/>
    <m/>
    <m/>
    <m/>
  </r>
  <r>
    <n v="2025"/>
    <s v="Southeast"/>
    <x v="1"/>
    <n v="2"/>
    <n v="18"/>
    <n v="3"/>
    <n v="27"/>
    <x v="39"/>
    <n v="60.6"/>
    <n v="73.774190122145498"/>
    <m/>
    <m/>
    <m/>
    <m/>
  </r>
  <r>
    <n v="2025"/>
    <s v="Southeast"/>
    <x v="1"/>
    <n v="3"/>
    <n v="17"/>
    <n v="6"/>
    <n v="27"/>
    <x v="39"/>
    <n v="58"/>
    <s v="."/>
    <m/>
    <m/>
    <m/>
    <m/>
  </r>
  <r>
    <n v="2025"/>
    <s v="Southeast"/>
    <x v="1"/>
    <n v="1"/>
    <n v="20"/>
    <n v="2"/>
    <n v="31"/>
    <x v="6"/>
    <n v="58.3"/>
    <n v="62.957021522461361"/>
    <n v="10.1"/>
    <m/>
    <m/>
    <m/>
  </r>
  <r>
    <n v="2025"/>
    <s v="Southeast"/>
    <x v="1"/>
    <n v="2"/>
    <n v="15"/>
    <n v="4"/>
    <n v="31"/>
    <x v="6"/>
    <n v="60.1"/>
    <n v="65.286608341323117"/>
    <m/>
    <m/>
    <m/>
    <m/>
  </r>
  <r>
    <n v="2025"/>
    <s v="Southeast"/>
    <x v="1"/>
    <n v="3"/>
    <n v="8"/>
    <n v="5"/>
    <n v="31"/>
    <x v="6"/>
    <n v="59.3"/>
    <n v="69.896769817719374"/>
    <m/>
    <m/>
    <m/>
    <m/>
  </r>
  <r>
    <n v="2025"/>
    <s v="Southeast"/>
    <x v="1"/>
    <n v="1"/>
    <n v="20"/>
    <n v="1"/>
    <n v="23"/>
    <x v="35"/>
    <n v="60.3"/>
    <n v="75.803027142857133"/>
    <n v="10.199999999999999"/>
    <m/>
    <m/>
    <m/>
  </r>
  <r>
    <n v="2025"/>
    <s v="Southeast"/>
    <x v="1"/>
    <n v="2"/>
    <n v="19"/>
    <n v="3"/>
    <n v="23"/>
    <x v="35"/>
    <n v="61.1"/>
    <n v="71.091492299522045"/>
    <m/>
    <m/>
    <m/>
    <m/>
  </r>
  <r>
    <n v="2025"/>
    <s v="Southeast"/>
    <x v="1"/>
    <n v="3"/>
    <n v="4"/>
    <n v="6"/>
    <n v="23"/>
    <x v="35"/>
    <n v="60.2"/>
    <n v="78.079759202746516"/>
    <m/>
    <m/>
    <m/>
    <m/>
  </r>
  <r>
    <n v="2025"/>
    <s v="Southeast"/>
    <x v="1"/>
    <n v="1"/>
    <n v="3"/>
    <n v="1"/>
    <n v="28"/>
    <x v="37"/>
    <n v="59"/>
    <n v="83.327168571428558"/>
    <n v="9"/>
    <m/>
    <m/>
    <m/>
  </r>
  <r>
    <n v="2025"/>
    <s v="Southeast"/>
    <x v="1"/>
    <n v="2"/>
    <n v="16"/>
    <n v="3"/>
    <n v="28"/>
    <x v="37"/>
    <n v="58.5"/>
    <n v="77.406787041954331"/>
    <m/>
    <m/>
    <m/>
    <m/>
  </r>
  <r>
    <n v="2025"/>
    <s v="Southeast"/>
    <x v="1"/>
    <n v="3"/>
    <n v="7"/>
    <n v="6"/>
    <n v="28"/>
    <x v="37"/>
    <n v="56.2"/>
    <n v="78.902084207514775"/>
    <m/>
    <m/>
    <m/>
    <m/>
  </r>
  <r>
    <n v="2025"/>
    <s v="Southeast"/>
    <x v="1"/>
    <n v="1"/>
    <n v="13"/>
    <n v="1"/>
    <n v="46"/>
    <x v="25"/>
    <n v="57.2"/>
    <n v="70.873817142857135"/>
    <n v="10.7"/>
    <m/>
    <m/>
    <m/>
  </r>
  <r>
    <n v="2025"/>
    <s v="Southeast"/>
    <x v="1"/>
    <n v="2"/>
    <n v="21"/>
    <n v="3"/>
    <n v="46"/>
    <x v="25"/>
    <n v="59.6"/>
    <n v="61.422634094530004"/>
    <m/>
    <m/>
    <m/>
    <m/>
  </r>
  <r>
    <n v="2025"/>
    <s v="Southeast"/>
    <x v="1"/>
    <n v="3"/>
    <n v="6"/>
    <n v="6"/>
    <n v="46"/>
    <x v="25"/>
    <n v="57.7"/>
    <n v="70.705599847415598"/>
    <m/>
    <m/>
    <m/>
    <m/>
  </r>
  <r>
    <n v="2025"/>
    <s v="Southeast"/>
    <x v="1"/>
    <n v="1"/>
    <n v="16"/>
    <n v="2"/>
    <n v="45"/>
    <x v="21"/>
    <n v="60"/>
    <n v="71.733982377581967"/>
    <n v="10.5"/>
    <m/>
    <m/>
    <m/>
  </r>
  <r>
    <n v="2025"/>
    <s v="Southeast"/>
    <x v="1"/>
    <n v="2"/>
    <n v="3"/>
    <n v="3"/>
    <n v="45"/>
    <x v="21"/>
    <n v="60.4"/>
    <n v="66.372586298459893"/>
    <m/>
    <m/>
    <m/>
    <m/>
  </r>
  <r>
    <n v="2025"/>
    <s v="Southeast"/>
    <x v="1"/>
    <n v="3"/>
    <n v="18"/>
    <n v="5"/>
    <n v="45"/>
    <x v="21"/>
    <n v="59.5"/>
    <n v="72.220059347181007"/>
    <m/>
    <m/>
    <m/>
    <m/>
  </r>
  <r>
    <n v="2025"/>
    <s v="Southeast"/>
    <x v="1"/>
    <n v="1"/>
    <n v="1"/>
    <n v="1"/>
    <n v="24"/>
    <x v="29"/>
    <s v="."/>
    <s v="."/>
    <s v="."/>
    <m/>
    <m/>
    <m/>
  </r>
  <r>
    <n v="2025"/>
    <s v="Southeast"/>
    <x v="1"/>
    <n v="2"/>
    <n v="10"/>
    <n v="3"/>
    <n v="24"/>
    <x v="29"/>
    <n v="59.7"/>
    <n v="78.11694105151355"/>
    <m/>
    <m/>
    <m/>
    <m/>
  </r>
  <r>
    <n v="2025"/>
    <s v="Southeast"/>
    <x v="1"/>
    <n v="3"/>
    <n v="6"/>
    <n v="5"/>
    <n v="24"/>
    <x v="29"/>
    <n v="57.2"/>
    <n v="89.908096651123358"/>
    <n v="8.3000000000000007"/>
    <m/>
    <m/>
    <m/>
  </r>
  <r>
    <n v="2025"/>
    <s v="Southeast"/>
    <x v="1"/>
    <n v="1"/>
    <n v="11"/>
    <n v="1"/>
    <n v="33"/>
    <x v="3"/>
    <n v="59.4"/>
    <n v="81.085808571428558"/>
    <n v="9.6999999999999993"/>
    <m/>
    <m/>
    <m/>
  </r>
  <r>
    <n v="2025"/>
    <s v="Southeast"/>
    <x v="1"/>
    <n v="2"/>
    <n v="14"/>
    <n v="4"/>
    <n v="33"/>
    <x v="3"/>
    <n v="60.6"/>
    <n v="79.523909395973149"/>
    <m/>
    <m/>
    <m/>
    <m/>
  </r>
  <r>
    <n v="2025"/>
    <s v="Southeast"/>
    <x v="1"/>
    <n v="3"/>
    <n v="12"/>
    <n v="5"/>
    <n v="33"/>
    <x v="3"/>
    <n v="61.5"/>
    <n v="74.75504874947012"/>
    <m/>
    <m/>
    <m/>
    <m/>
  </r>
  <r>
    <n v="2025"/>
    <s v="Southeast"/>
    <x v="1"/>
    <n v="1"/>
    <n v="5"/>
    <n v="2"/>
    <n v="25"/>
    <x v="34"/>
    <n v="60.2"/>
    <n v="70.828114979055314"/>
    <n v="10.6"/>
    <m/>
    <m/>
    <m/>
  </r>
  <r>
    <n v="2025"/>
    <s v="Southeast"/>
    <x v="1"/>
    <n v="2"/>
    <n v="11"/>
    <n v="3"/>
    <n v="25"/>
    <x v="34"/>
    <n v="60.4"/>
    <n v="67.685353159851289"/>
    <m/>
    <m/>
    <m/>
    <m/>
  </r>
  <r>
    <n v="2025"/>
    <s v="Southeast"/>
    <x v="1"/>
    <n v="3"/>
    <n v="9"/>
    <n v="5"/>
    <n v="25"/>
    <x v="34"/>
    <n v="60"/>
    <n v="75.803476049173383"/>
    <m/>
    <m/>
    <m/>
    <m/>
  </r>
  <r>
    <n v="2025"/>
    <s v="Southeast"/>
    <x v="1"/>
    <n v="1"/>
    <n v="18"/>
    <n v="2"/>
    <n v="34"/>
    <x v="0"/>
    <n v="60.9"/>
    <n v="77.255607395637725"/>
    <n v="9.9"/>
    <m/>
    <m/>
    <m/>
  </r>
  <r>
    <n v="2025"/>
    <s v="Southeast"/>
    <x v="1"/>
    <n v="2"/>
    <n v="19"/>
    <n v="4"/>
    <n v="34"/>
    <x v="0"/>
    <n v="60"/>
    <n v="74.215592042185989"/>
    <m/>
    <m/>
    <m/>
    <m/>
  </r>
  <r>
    <n v="2025"/>
    <s v="Southeast"/>
    <x v="1"/>
    <n v="3"/>
    <n v="21"/>
    <n v="5"/>
    <n v="34"/>
    <x v="0"/>
    <n v="60"/>
    <n v="74.657498940228919"/>
    <m/>
    <m/>
    <m/>
    <m/>
  </r>
  <r>
    <n v="2025"/>
    <s v="Southeast"/>
    <x v="1"/>
    <n v="1"/>
    <n v="15"/>
    <n v="1"/>
    <n v="35"/>
    <x v="30"/>
    <n v="60.7"/>
    <n v="76.461989999999986"/>
    <n v="10.3"/>
    <m/>
    <m/>
    <m/>
  </r>
  <r>
    <n v="2025"/>
    <s v="Southeast"/>
    <x v="1"/>
    <n v="2"/>
    <n v="6"/>
    <n v="3"/>
    <n v="35"/>
    <x v="30"/>
    <s v="."/>
    <s v="."/>
    <m/>
    <m/>
    <m/>
    <m/>
  </r>
  <r>
    <n v="2025"/>
    <s v="Southeast"/>
    <x v="1"/>
    <n v="3"/>
    <n v="20"/>
    <n v="5"/>
    <n v="35"/>
    <x v="30"/>
    <n v="61.1"/>
    <n v="77.71269181856718"/>
    <m/>
    <m/>
    <m/>
    <m/>
  </r>
  <r>
    <n v="2025"/>
    <s v="Southeast"/>
    <x v="1"/>
    <n v="1"/>
    <n v="14"/>
    <n v="1"/>
    <n v="26"/>
    <x v="11"/>
    <n v="60.1"/>
    <n v="80.864472857142829"/>
    <n v="9.4"/>
    <m/>
    <m/>
    <m/>
  </r>
  <r>
    <n v="2025"/>
    <s v="Southeast"/>
    <x v="1"/>
    <n v="2"/>
    <n v="20"/>
    <n v="4"/>
    <n v="26"/>
    <x v="11"/>
    <s v="."/>
    <s v="."/>
    <m/>
    <m/>
    <m/>
    <m/>
  </r>
  <r>
    <n v="2025"/>
    <s v="Southeast"/>
    <x v="1"/>
    <n v="3"/>
    <n v="3"/>
    <n v="6"/>
    <n v="26"/>
    <x v="11"/>
    <n v="60"/>
    <n v="79.668942399389664"/>
    <m/>
    <m/>
    <m/>
    <m/>
  </r>
  <r>
    <n v="2025"/>
    <s v="Southeast"/>
    <x v="1"/>
    <n v="1"/>
    <n v="16"/>
    <n v="1"/>
    <n v="36"/>
    <x v="36"/>
    <n v="59.7"/>
    <n v="79.529999999999987"/>
    <n v="10.4"/>
    <m/>
    <m/>
    <m/>
  </r>
  <r>
    <n v="2025"/>
    <s v="Southeast"/>
    <x v="1"/>
    <n v="2"/>
    <n v="5"/>
    <n v="4"/>
    <n v="36"/>
    <x v="36"/>
    <n v="58.7"/>
    <n v="72.088895493767978"/>
    <m/>
    <m/>
    <m/>
    <m/>
  </r>
  <r>
    <n v="2025"/>
    <s v="Southeast"/>
    <x v="1"/>
    <n v="3"/>
    <n v="19"/>
    <n v="5"/>
    <n v="36"/>
    <x v="36"/>
    <n v="60.8"/>
    <n v="75.260330648579881"/>
    <m/>
    <m/>
    <m/>
    <m/>
  </r>
  <r>
    <n v="2025"/>
    <s v="Southeast"/>
    <x v="2"/>
    <n v="1"/>
    <n v="1"/>
    <n v="1"/>
    <n v="3"/>
    <x v="16"/>
    <n v="61"/>
    <n v="71.551067450942568"/>
    <n v="10.1"/>
    <m/>
    <m/>
    <m/>
  </r>
  <r>
    <n v="2025"/>
    <s v="Southeast"/>
    <x v="2"/>
    <n v="1"/>
    <n v="2"/>
    <n v="1"/>
    <n v="45"/>
    <x v="21"/>
    <n v="59.4"/>
    <n v="71.440759847644742"/>
    <n v="10.199999999999999"/>
    <m/>
    <m/>
    <m/>
  </r>
  <r>
    <n v="2025"/>
    <s v="Southeast"/>
    <x v="2"/>
    <n v="1"/>
    <n v="3"/>
    <n v="1"/>
    <n v="44"/>
    <x v="17"/>
    <n v="58.2"/>
    <n v="63.527251337929712"/>
    <n v="10.3"/>
    <m/>
    <m/>
    <m/>
  </r>
  <r>
    <n v="2025"/>
    <s v="Southeast"/>
    <x v="2"/>
    <n v="1"/>
    <n v="4"/>
    <n v="1"/>
    <n v="31"/>
    <x v="6"/>
    <n v="60"/>
    <n v="63.805812641627689"/>
    <n v="10.5"/>
    <m/>
    <m/>
    <m/>
  </r>
  <r>
    <n v="2025"/>
    <s v="Southeast"/>
    <x v="2"/>
    <n v="1"/>
    <n v="5"/>
    <n v="1"/>
    <n v="22"/>
    <x v="33"/>
    <n v="59.6"/>
    <n v="69.452072706234034"/>
    <n v="9.9"/>
    <m/>
    <m/>
    <m/>
  </r>
  <r>
    <n v="2025"/>
    <s v="Southeast"/>
    <x v="2"/>
    <n v="1"/>
    <n v="6"/>
    <n v="1"/>
    <n v="23"/>
    <x v="35"/>
    <n v="60.6"/>
    <n v="64.391287787474084"/>
    <n v="10.5"/>
    <m/>
    <m/>
    <m/>
  </r>
  <r>
    <n v="2025"/>
    <s v="Southeast"/>
    <x v="2"/>
    <n v="1"/>
    <n v="7"/>
    <n v="1"/>
    <n v="25"/>
    <x v="34"/>
    <n v="59.5"/>
    <n v="69.700276746540652"/>
    <n v="10.3"/>
    <m/>
    <m/>
    <m/>
  </r>
  <r>
    <n v="2025"/>
    <s v="Southeast"/>
    <x v="2"/>
    <n v="1"/>
    <n v="8"/>
    <n v="1"/>
    <n v="37"/>
    <x v="31"/>
    <n v="60.6"/>
    <n v="66.983397136107229"/>
    <n v="9.1"/>
    <m/>
    <m/>
    <m/>
  </r>
  <r>
    <n v="2025"/>
    <s v="Southeast"/>
    <x v="2"/>
    <n v="1"/>
    <n v="9"/>
    <n v="1"/>
    <n v="17"/>
    <x v="32"/>
    <n v="56.4"/>
    <n v="65.139813895183451"/>
    <s v="."/>
    <m/>
    <m/>
    <m/>
  </r>
  <r>
    <n v="2025"/>
    <s v="Southeast"/>
    <x v="2"/>
    <n v="1"/>
    <n v="10"/>
    <n v="1"/>
    <n v="42"/>
    <x v="42"/>
    <n v="61.8"/>
    <n v="64.004805457788919"/>
    <n v="9.6"/>
    <m/>
    <m/>
    <m/>
  </r>
  <r>
    <n v="2025"/>
    <s v="Southeast"/>
    <x v="2"/>
    <n v="1"/>
    <n v="11"/>
    <n v="1"/>
    <n v="27"/>
    <x v="39"/>
    <n v="61.8"/>
    <n v="61.50753869148064"/>
    <n v="10.8"/>
    <m/>
    <m/>
    <m/>
  </r>
  <r>
    <n v="2025"/>
    <s v="Southeast"/>
    <x v="2"/>
    <n v="1"/>
    <n v="12"/>
    <n v="1"/>
    <n v="28"/>
    <x v="37"/>
    <n v="58.7"/>
    <n v="65.198428233932788"/>
    <n v="10.3"/>
    <m/>
    <m/>
    <m/>
  </r>
  <r>
    <n v="2025"/>
    <s v="Southeast"/>
    <x v="2"/>
    <n v="1"/>
    <n v="13"/>
    <n v="1"/>
    <n v="9"/>
    <x v="1"/>
    <n v="59.1"/>
    <n v="61.132273275155484"/>
    <n v="10.3"/>
    <m/>
    <m/>
    <m/>
  </r>
  <r>
    <n v="2025"/>
    <s v="Southeast"/>
    <x v="2"/>
    <n v="1"/>
    <n v="14"/>
    <n v="1"/>
    <n v="5"/>
    <x v="28"/>
    <n v="60.5"/>
    <n v="61.341910226122167"/>
    <n v="9.6"/>
    <m/>
    <m/>
    <m/>
  </r>
  <r>
    <n v="2025"/>
    <s v="Southeast"/>
    <x v="2"/>
    <n v="1"/>
    <n v="15"/>
    <n v="1"/>
    <n v="30"/>
    <x v="14"/>
    <n v="61.3"/>
    <n v="58.526464972759271"/>
    <n v="10.3"/>
    <m/>
    <m/>
    <m/>
  </r>
  <r>
    <n v="2025"/>
    <s v="Southeast"/>
    <x v="2"/>
    <n v="1"/>
    <n v="16"/>
    <n v="1"/>
    <n v="14"/>
    <x v="5"/>
    <n v="61.5"/>
    <n v="62.580352924159875"/>
    <n v="10.199999999999999"/>
    <m/>
    <m/>
    <m/>
  </r>
  <r>
    <n v="2025"/>
    <s v="Southeast"/>
    <x v="2"/>
    <n v="1"/>
    <n v="17"/>
    <n v="1"/>
    <n v="29"/>
    <x v="27"/>
    <n v="61.5"/>
    <n v="61.129361650836508"/>
    <n v="10.1"/>
    <m/>
    <m/>
    <m/>
  </r>
  <r>
    <n v="2025"/>
    <s v="Southeast"/>
    <x v="2"/>
    <n v="1"/>
    <n v="18"/>
    <n v="1"/>
    <n v="21"/>
    <x v="26"/>
    <n v="62.1"/>
    <n v="62.610996576828498"/>
    <n v="10.3"/>
    <m/>
    <m/>
    <m/>
  </r>
  <r>
    <n v="2025"/>
    <s v="Southeast"/>
    <x v="2"/>
    <n v="1"/>
    <n v="19"/>
    <n v="1"/>
    <n v="12"/>
    <x v="41"/>
    <n v="61.7"/>
    <n v="56.831088182826285"/>
    <n v="9.6999999999999993"/>
    <m/>
    <m/>
    <m/>
  </r>
  <r>
    <n v="2025"/>
    <s v="Southeast"/>
    <x v="2"/>
    <n v="1"/>
    <n v="20"/>
    <n v="1"/>
    <n v="41"/>
    <x v="20"/>
    <n v="60.8"/>
    <n v="61.60352683091461"/>
    <n v="10.1"/>
    <m/>
    <m/>
    <m/>
  </r>
  <r>
    <n v="2025"/>
    <s v="Southeast"/>
    <x v="2"/>
    <n v="1"/>
    <n v="21"/>
    <n v="1"/>
    <n v="2"/>
    <x v="23"/>
    <n v="62.8"/>
    <n v="69.994684923581303"/>
    <n v="9.9"/>
    <m/>
    <m/>
    <m/>
  </r>
  <r>
    <n v="2025"/>
    <s v="Southeast"/>
    <x v="2"/>
    <n v="1"/>
    <n v="21"/>
    <n v="2"/>
    <n v="6"/>
    <x v="10"/>
    <n v="60.4"/>
    <n v="55.558660623885054"/>
    <n v="12"/>
    <m/>
    <m/>
    <m/>
  </r>
  <r>
    <n v="2025"/>
    <s v="Southeast"/>
    <x v="2"/>
    <n v="1"/>
    <n v="20"/>
    <n v="2"/>
    <n v="16"/>
    <x v="40"/>
    <n v="60.3"/>
    <n v="65.030413191263676"/>
    <s v="."/>
    <m/>
    <m/>
    <m/>
  </r>
  <r>
    <n v="2025"/>
    <s v="Southeast"/>
    <x v="2"/>
    <n v="1"/>
    <n v="19"/>
    <n v="2"/>
    <n v="36"/>
    <x v="36"/>
    <n v="63"/>
    <n v="68.556151583819499"/>
    <n v="10.4"/>
    <m/>
    <m/>
    <m/>
  </r>
  <r>
    <n v="2025"/>
    <s v="Southeast"/>
    <x v="2"/>
    <n v="1"/>
    <n v="18"/>
    <n v="2"/>
    <n v="26"/>
    <x v="11"/>
    <n v="61.7"/>
    <n v="73.96046044067306"/>
    <s v="."/>
    <m/>
    <m/>
    <m/>
  </r>
  <r>
    <n v="2025"/>
    <s v="Southeast"/>
    <x v="2"/>
    <n v="1"/>
    <n v="17"/>
    <n v="2"/>
    <n v="43"/>
    <x v="22"/>
    <n v="61.7"/>
    <n v="62.377493852755407"/>
    <n v="10.3"/>
    <m/>
    <m/>
    <m/>
  </r>
  <r>
    <n v="2025"/>
    <s v="Southeast"/>
    <x v="2"/>
    <n v="1"/>
    <n v="16"/>
    <n v="2"/>
    <n v="1"/>
    <x v="12"/>
    <n v="61.9"/>
    <n v="69.084826189672626"/>
    <n v="10.1"/>
    <m/>
    <m/>
    <m/>
  </r>
  <r>
    <n v="2025"/>
    <s v="Southeast"/>
    <x v="2"/>
    <n v="1"/>
    <n v="15"/>
    <n v="2"/>
    <n v="10"/>
    <x v="15"/>
    <n v="56.3"/>
    <n v="58.640877489031382"/>
    <n v="10"/>
    <m/>
    <m/>
    <m/>
  </r>
  <r>
    <n v="2025"/>
    <s v="Southeast"/>
    <x v="2"/>
    <n v="1"/>
    <n v="14"/>
    <n v="2"/>
    <n v="34"/>
    <x v="0"/>
    <n v="59.3"/>
    <n v="61.827865098114842"/>
    <n v="10.5"/>
    <m/>
    <m/>
    <m/>
  </r>
  <r>
    <n v="2025"/>
    <s v="Southeast"/>
    <x v="2"/>
    <n v="1"/>
    <n v="13"/>
    <n v="2"/>
    <n v="20"/>
    <x v="18"/>
    <n v="60.4"/>
    <n v="67.245920640277703"/>
    <n v="10.3"/>
    <m/>
    <m/>
    <m/>
  </r>
  <r>
    <n v="2025"/>
    <s v="Southeast"/>
    <x v="2"/>
    <n v="1"/>
    <n v="12"/>
    <n v="2"/>
    <n v="24"/>
    <x v="29"/>
    <n v="60.7"/>
    <n v="64.116831396750399"/>
    <n v="10.1"/>
    <m/>
    <m/>
    <m/>
  </r>
  <r>
    <n v="2025"/>
    <s v="Southeast"/>
    <x v="2"/>
    <n v="1"/>
    <n v="11"/>
    <n v="2"/>
    <n v="35"/>
    <x v="30"/>
    <n v="61.4"/>
    <n v="60.12986307314015"/>
    <n v="9.9"/>
    <m/>
    <m/>
    <m/>
  </r>
  <r>
    <n v="2025"/>
    <s v="Southeast"/>
    <x v="2"/>
    <n v="1"/>
    <n v="10"/>
    <n v="2"/>
    <n v="46"/>
    <x v="25"/>
    <n v="61.7"/>
    <n v="57.761137360782989"/>
    <n v="10.5"/>
    <m/>
    <m/>
    <m/>
  </r>
  <r>
    <n v="2025"/>
    <s v="Southeast"/>
    <x v="2"/>
    <n v="1"/>
    <n v="9"/>
    <n v="2"/>
    <n v="40"/>
    <x v="13"/>
    <n v="62"/>
    <n v="66.934424569692879"/>
    <s v="."/>
    <m/>
    <m/>
    <m/>
  </r>
  <r>
    <n v="2025"/>
    <s v="Southeast"/>
    <x v="2"/>
    <n v="1"/>
    <n v="8"/>
    <n v="2"/>
    <n v="18"/>
    <x v="8"/>
    <n v="58.3"/>
    <n v="58.466752808447026"/>
    <n v="10.4"/>
    <m/>
    <m/>
    <m/>
  </r>
  <r>
    <n v="2025"/>
    <s v="Southeast"/>
    <x v="2"/>
    <n v="2"/>
    <n v="7"/>
    <n v="2"/>
    <n v="20"/>
    <x v="18"/>
    <n v="60.2"/>
    <n v="74.722876428330352"/>
    <n v="10.199999999999999"/>
    <m/>
    <m/>
    <m/>
  </r>
  <r>
    <n v="2025"/>
    <s v="Southeast"/>
    <x v="2"/>
    <n v="1"/>
    <n v="6"/>
    <n v="2"/>
    <n v="13"/>
    <x v="38"/>
    <n v="62.5"/>
    <n v="68.634144930331232"/>
    <n v="9.4"/>
    <m/>
    <m/>
    <m/>
  </r>
  <r>
    <n v="2025"/>
    <s v="Southeast"/>
    <x v="2"/>
    <n v="1"/>
    <n v="5"/>
    <n v="2"/>
    <n v="15"/>
    <x v="7"/>
    <n v="60.4"/>
    <n v="67.885332433344587"/>
    <n v="9.3000000000000007"/>
    <m/>
    <m/>
    <m/>
  </r>
  <r>
    <n v="2025"/>
    <s v="Southeast"/>
    <x v="2"/>
    <n v="1"/>
    <n v="4"/>
    <n v="2"/>
    <n v="11"/>
    <x v="2"/>
    <n v="61.3"/>
    <n v="65.447968757533403"/>
    <n v="9.5"/>
    <m/>
    <m/>
    <m/>
  </r>
  <r>
    <n v="2025"/>
    <s v="Southeast"/>
    <x v="2"/>
    <n v="1"/>
    <n v="3"/>
    <n v="2"/>
    <n v="4"/>
    <x v="4"/>
    <n v="54.5"/>
    <n v="65.799654790029408"/>
    <n v="9.6999999999999993"/>
    <m/>
    <m/>
    <m/>
  </r>
  <r>
    <n v="2025"/>
    <s v="Southeast"/>
    <x v="2"/>
    <n v="1"/>
    <n v="2"/>
    <n v="2"/>
    <n v="8"/>
    <x v="9"/>
    <n v="60.9"/>
    <n v="66.08375295308808"/>
    <n v="9.1999999999999993"/>
    <m/>
    <m/>
    <m/>
  </r>
  <r>
    <n v="2025"/>
    <s v="Southeast"/>
    <x v="2"/>
    <n v="1"/>
    <n v="1"/>
    <n v="2"/>
    <n v="33"/>
    <x v="3"/>
    <n v="58"/>
    <n v="64.775192613663762"/>
    <n v="10.1"/>
    <m/>
    <m/>
    <m/>
  </r>
  <r>
    <n v="2025"/>
    <s v="Southeast"/>
    <x v="2"/>
    <n v="2"/>
    <n v="1"/>
    <n v="3"/>
    <n v="9"/>
    <x v="1"/>
    <n v="57.2"/>
    <n v="74.446428571428569"/>
    <m/>
    <m/>
    <m/>
    <m/>
  </r>
  <r>
    <n v="2025"/>
    <s v="Southeast"/>
    <x v="2"/>
    <n v="2"/>
    <n v="2"/>
    <n v="3"/>
    <n v="34"/>
    <x v="0"/>
    <n v="57.4"/>
    <n v="79.170843373493952"/>
    <m/>
    <m/>
    <m/>
    <m/>
  </r>
  <r>
    <n v="2025"/>
    <s v="Southeast"/>
    <x v="2"/>
    <n v="2"/>
    <n v="3"/>
    <n v="3"/>
    <n v="27"/>
    <x v="39"/>
    <n v="58.8"/>
    <s v="."/>
    <m/>
    <m/>
    <m/>
    <m/>
  </r>
  <r>
    <n v="2025"/>
    <s v="Southeast"/>
    <x v="2"/>
    <n v="2"/>
    <n v="4"/>
    <n v="3"/>
    <n v="12"/>
    <x v="41"/>
    <n v="60"/>
    <n v="58.588016351118753"/>
    <m/>
    <m/>
    <m/>
    <m/>
  </r>
  <r>
    <n v="2025"/>
    <s v="Southeast"/>
    <x v="2"/>
    <n v="2"/>
    <n v="5"/>
    <n v="3"/>
    <n v="8"/>
    <x v="9"/>
    <n v="62.1"/>
    <n v="72.684487951807228"/>
    <m/>
    <m/>
    <m/>
    <m/>
  </r>
  <r>
    <n v="2025"/>
    <s v="Southeast"/>
    <x v="2"/>
    <n v="2"/>
    <n v="6"/>
    <n v="3"/>
    <n v="21"/>
    <x v="26"/>
    <n v="61.3"/>
    <n v="66.596385542168662"/>
    <m/>
    <m/>
    <m/>
    <m/>
  </r>
  <r>
    <n v="2025"/>
    <s v="Southeast"/>
    <x v="2"/>
    <n v="1"/>
    <n v="7"/>
    <n v="3"/>
    <n v="32"/>
    <x v="24"/>
    <n v="62.1"/>
    <n v="70.347319277108426"/>
    <m/>
    <m/>
    <m/>
    <m/>
  </r>
  <r>
    <n v="2025"/>
    <s v="Southeast"/>
    <x v="2"/>
    <n v="2"/>
    <n v="8"/>
    <n v="3"/>
    <n v="4"/>
    <x v="4"/>
    <n v="58.9"/>
    <n v="69.882706540447487"/>
    <m/>
    <m/>
    <m/>
    <m/>
  </r>
  <r>
    <n v="2025"/>
    <s v="Southeast"/>
    <x v="2"/>
    <n v="2"/>
    <n v="9"/>
    <n v="3"/>
    <n v="30"/>
    <x v="14"/>
    <n v="61.4"/>
    <n v="66.803463855421668"/>
    <m/>
    <m/>
    <m/>
    <m/>
  </r>
  <r>
    <n v="2025"/>
    <s v="Southeast"/>
    <x v="2"/>
    <n v="2"/>
    <n v="10"/>
    <n v="3"/>
    <n v="22"/>
    <x v="33"/>
    <n v="61.6"/>
    <n v="69.439724612736669"/>
    <m/>
    <m/>
    <m/>
    <m/>
  </r>
  <r>
    <n v="2025"/>
    <s v="Southeast"/>
    <x v="2"/>
    <n v="2"/>
    <n v="11"/>
    <n v="3"/>
    <n v="36"/>
    <x v="36"/>
    <n v="63.2"/>
    <n v="68.643029259896736"/>
    <m/>
    <m/>
    <m/>
    <m/>
  </r>
  <r>
    <n v="2025"/>
    <s v="Southeast"/>
    <x v="2"/>
    <n v="2"/>
    <n v="12"/>
    <n v="3"/>
    <n v="18"/>
    <x v="8"/>
    <n v="59.5"/>
    <n v="58.011084337349388"/>
    <m/>
    <m/>
    <m/>
    <m/>
  </r>
  <r>
    <n v="2025"/>
    <s v="Southeast"/>
    <x v="2"/>
    <n v="2"/>
    <n v="13"/>
    <n v="3"/>
    <n v="44"/>
    <x v="17"/>
    <n v="60.9"/>
    <n v="70.986445783132538"/>
    <m/>
    <m/>
    <m/>
    <m/>
  </r>
  <r>
    <n v="2025"/>
    <s v="Southeast"/>
    <x v="2"/>
    <n v="2"/>
    <n v="14"/>
    <n v="3"/>
    <n v="23"/>
    <x v="35"/>
    <n v="61.8"/>
    <n v="70.543653184165223"/>
    <m/>
    <m/>
    <m/>
    <m/>
  </r>
  <r>
    <n v="2025"/>
    <s v="Southeast"/>
    <x v="2"/>
    <n v="2"/>
    <n v="15"/>
    <n v="3"/>
    <n v="5"/>
    <x v="28"/>
    <n v="60.4"/>
    <n v="72.141824440619615"/>
    <m/>
    <m/>
    <m/>
    <m/>
  </r>
  <r>
    <n v="2025"/>
    <s v="Southeast"/>
    <x v="2"/>
    <n v="2"/>
    <n v="16"/>
    <n v="3"/>
    <n v="46"/>
    <x v="25"/>
    <n v="60.9"/>
    <n v="64.033347676419965"/>
    <m/>
    <m/>
    <m/>
    <m/>
  </r>
  <r>
    <n v="2025"/>
    <s v="Southeast"/>
    <x v="2"/>
    <n v="2"/>
    <n v="17"/>
    <n v="3"/>
    <n v="24"/>
    <x v="29"/>
    <n v="61.5"/>
    <n v="69.816867469879497"/>
    <m/>
    <m/>
    <m/>
    <m/>
  </r>
  <r>
    <n v="2025"/>
    <s v="Southeast"/>
    <x v="2"/>
    <n v="2"/>
    <n v="18"/>
    <n v="3"/>
    <n v="11"/>
    <x v="2"/>
    <n v="58.3"/>
    <n v="72.277099827882964"/>
    <m/>
    <m/>
    <m/>
    <m/>
  </r>
  <r>
    <n v="2025"/>
    <s v="Southeast"/>
    <x v="2"/>
    <n v="2"/>
    <n v="19"/>
    <n v="3"/>
    <n v="40"/>
    <x v="13"/>
    <n v="61.4"/>
    <n v="74.680959552495693"/>
    <m/>
    <m/>
    <m/>
    <m/>
  </r>
  <r>
    <n v="2025"/>
    <s v="Southeast"/>
    <x v="2"/>
    <n v="2"/>
    <n v="20"/>
    <n v="3"/>
    <n v="6"/>
    <x v="10"/>
    <n v="56.3"/>
    <n v="62.276140275387256"/>
    <m/>
    <m/>
    <m/>
    <m/>
  </r>
  <r>
    <n v="2025"/>
    <s v="Southeast"/>
    <x v="2"/>
    <n v="2"/>
    <n v="21"/>
    <n v="3"/>
    <n v="45"/>
    <x v="21"/>
    <n v="60.9"/>
    <n v="74.72838640275387"/>
    <m/>
    <m/>
    <m/>
    <m/>
  </r>
  <r>
    <n v="2025"/>
    <s v="Southeast"/>
    <x v="2"/>
    <n v="2"/>
    <n v="21"/>
    <n v="4"/>
    <n v="33"/>
    <x v="3"/>
    <n v="61.2"/>
    <n v="66.897787735619303"/>
    <m/>
    <m/>
    <m/>
    <m/>
  </r>
  <r>
    <n v="2025"/>
    <s v="Southeast"/>
    <x v="2"/>
    <n v="2"/>
    <n v="20"/>
    <n v="4"/>
    <n v="1"/>
    <x v="12"/>
    <n v="61.4"/>
    <n v="63.577760459792508"/>
    <m/>
    <m/>
    <m/>
    <m/>
  </r>
  <r>
    <n v="2025"/>
    <s v="Southeast"/>
    <x v="2"/>
    <n v="2"/>
    <n v="19"/>
    <n v="4"/>
    <n v="31"/>
    <x v="6"/>
    <n v="61.8"/>
    <n v="57.785023622814272"/>
    <m/>
    <m/>
    <m/>
    <m/>
  </r>
  <r>
    <n v="2025"/>
    <s v="Southeast"/>
    <x v="2"/>
    <n v="2"/>
    <n v="18"/>
    <n v="4"/>
    <n v="37"/>
    <x v="31"/>
    <n v="60.8"/>
    <n v="65.795821440748142"/>
    <m/>
    <m/>
    <m/>
    <m/>
  </r>
  <r>
    <n v="2025"/>
    <s v="Southeast"/>
    <x v="2"/>
    <n v="2"/>
    <n v="17"/>
    <n v="4"/>
    <n v="13"/>
    <x v="38"/>
    <n v="62.2"/>
    <n v="63.881111002873702"/>
    <m/>
    <m/>
    <m/>
    <m/>
  </r>
  <r>
    <n v="2025"/>
    <s v="Southeast"/>
    <x v="2"/>
    <n v="2"/>
    <n v="16"/>
    <n v="4"/>
    <n v="3"/>
    <x v="16"/>
    <n v="61.8"/>
    <n v="66.534596463883872"/>
    <m/>
    <m/>
    <m/>
    <m/>
  </r>
  <r>
    <n v="2025"/>
    <s v="Southeast"/>
    <x v="2"/>
    <n v="2"/>
    <n v="15"/>
    <n v="4"/>
    <n v="15"/>
    <x v="7"/>
    <n v="61.8"/>
    <n v="69.395812673518094"/>
    <m/>
    <m/>
    <m/>
    <m/>
  </r>
  <r>
    <n v="2025"/>
    <s v="Southeast"/>
    <x v="2"/>
    <n v="2"/>
    <n v="14"/>
    <n v="4"/>
    <n v="43"/>
    <x v="22"/>
    <n v="61.5"/>
    <n v="65.229576737616284"/>
    <m/>
    <m/>
    <m/>
    <m/>
  </r>
  <r>
    <n v="2025"/>
    <s v="Southeast"/>
    <x v="2"/>
    <n v="2"/>
    <n v="13"/>
    <n v="4"/>
    <n v="42"/>
    <x v="42"/>
    <n v="62.9"/>
    <n v="67.349510496322637"/>
    <m/>
    <m/>
    <m/>
    <m/>
  </r>
  <r>
    <n v="2025"/>
    <s v="Southeast"/>
    <x v="2"/>
    <n v="2"/>
    <n v="12"/>
    <n v="4"/>
    <n v="25"/>
    <x v="34"/>
    <n v="61.4"/>
    <n v="66.989067751205482"/>
    <m/>
    <m/>
    <m/>
    <m/>
  </r>
  <r>
    <n v="2025"/>
    <s v="Southeast"/>
    <x v="2"/>
    <n v="2"/>
    <n v="11"/>
    <n v="4"/>
    <n v="10"/>
    <x v="15"/>
    <n v="57.6"/>
    <n v="58.04092591690614"/>
    <m/>
    <m/>
    <m/>
    <m/>
  </r>
  <r>
    <n v="2025"/>
    <s v="Southeast"/>
    <x v="2"/>
    <n v="2"/>
    <n v="10"/>
    <n v="4"/>
    <n v="32"/>
    <x v="24"/>
    <n v="64.5"/>
    <n v="69.225066484827806"/>
    <m/>
    <m/>
    <m/>
    <m/>
  </r>
  <r>
    <n v="2025"/>
    <s v="Southeast"/>
    <x v="2"/>
    <n v="2"/>
    <n v="9"/>
    <n v="4"/>
    <n v="28"/>
    <x v="37"/>
    <n v="59.7"/>
    <n v="69.421224489795932"/>
    <m/>
    <m/>
    <m/>
    <m/>
  </r>
  <r>
    <n v="2025"/>
    <s v="Southeast"/>
    <x v="2"/>
    <n v="2"/>
    <n v="8"/>
    <n v="4"/>
    <n v="17"/>
    <x v="32"/>
    <n v="60.8"/>
    <n v="67.26734401636547"/>
    <m/>
    <m/>
    <m/>
    <m/>
  </r>
  <r>
    <n v="2025"/>
    <s v="Southeast"/>
    <x v="2"/>
    <n v="2"/>
    <n v="7"/>
    <n v="4"/>
    <n v="29"/>
    <x v="27"/>
    <n v="60.8"/>
    <n v="62.499662948711709"/>
    <m/>
    <m/>
    <m/>
    <m/>
  </r>
  <r>
    <n v="2025"/>
    <s v="Southeast"/>
    <x v="2"/>
    <n v="2"/>
    <n v="6"/>
    <n v="4"/>
    <n v="35"/>
    <x v="30"/>
    <n v="61.5"/>
    <n v="72.233208319127172"/>
    <m/>
    <m/>
    <m/>
    <m/>
  </r>
  <r>
    <n v="2025"/>
    <s v="Southeast"/>
    <x v="2"/>
    <n v="2"/>
    <n v="5"/>
    <n v="4"/>
    <n v="41"/>
    <x v="20"/>
    <n v="57.7"/>
    <n v="63.945195070868444"/>
    <m/>
    <m/>
    <m/>
    <m/>
  </r>
  <r>
    <n v="2025"/>
    <s v="Southeast"/>
    <x v="2"/>
    <n v="2"/>
    <n v="4"/>
    <n v="4"/>
    <n v="16"/>
    <x v="40"/>
    <n v="59.8"/>
    <n v="66.248171058399492"/>
    <m/>
    <m/>
    <m/>
    <m/>
  </r>
  <r>
    <n v="2025"/>
    <s v="Southeast"/>
    <x v="2"/>
    <n v="2"/>
    <n v="3"/>
    <n v="4"/>
    <n v="26"/>
    <x v="11"/>
    <s v="."/>
    <s v="."/>
    <m/>
    <m/>
    <m/>
    <m/>
  </r>
  <r>
    <n v="2025"/>
    <s v="Southeast"/>
    <x v="2"/>
    <n v="2"/>
    <n v="2"/>
    <n v="4"/>
    <n v="14"/>
    <x v="5"/>
    <n v="62.1"/>
    <n v="70.813618430665827"/>
    <m/>
    <m/>
    <m/>
    <m/>
  </r>
  <r>
    <n v="2025"/>
    <s v="Southeast"/>
    <x v="2"/>
    <n v="2"/>
    <n v="1"/>
    <n v="4"/>
    <n v="2"/>
    <x v="23"/>
    <n v="58.7"/>
    <n v="67.883399736983094"/>
    <m/>
    <m/>
    <m/>
    <m/>
  </r>
  <r>
    <n v="2025"/>
    <s v="Southeast"/>
    <x v="2"/>
    <n v="3"/>
    <n v="1"/>
    <n v="5"/>
    <n v="34"/>
    <x v="0"/>
    <n v="58.7"/>
    <n v="68.320857333587625"/>
    <m/>
    <m/>
    <m/>
    <m/>
  </r>
  <r>
    <n v="2025"/>
    <s v="Southeast"/>
    <x v="2"/>
    <n v="3"/>
    <n v="2"/>
    <n v="5"/>
    <n v="27"/>
    <x v="39"/>
    <n v="60.8"/>
    <n v="60.150761014686246"/>
    <m/>
    <m/>
    <m/>
    <m/>
  </r>
  <r>
    <n v="2025"/>
    <s v="Southeast"/>
    <x v="2"/>
    <n v="3"/>
    <n v="3"/>
    <n v="5"/>
    <n v="20"/>
    <x v="18"/>
    <n v="61.9"/>
    <n v="73.600259393477018"/>
    <m/>
    <m/>
    <m/>
    <m/>
  </r>
  <r>
    <n v="2025"/>
    <s v="Southeast"/>
    <x v="2"/>
    <n v="3"/>
    <n v="4"/>
    <n v="5"/>
    <n v="8"/>
    <x v="9"/>
    <n v="62.1"/>
    <n v="68.342383177570085"/>
    <m/>
    <m/>
    <m/>
    <m/>
  </r>
  <r>
    <n v="2025"/>
    <s v="Southeast"/>
    <x v="2"/>
    <n v="3"/>
    <n v="5"/>
    <n v="5"/>
    <n v="23"/>
    <x v="35"/>
    <n v="61.1"/>
    <n v="68.768840358573328"/>
    <m/>
    <m/>
    <m/>
    <m/>
  </r>
  <r>
    <n v="2025"/>
    <s v="Southeast"/>
    <x v="2"/>
    <n v="3"/>
    <n v="6"/>
    <n v="5"/>
    <n v="37"/>
    <x v="31"/>
    <n v="61.3"/>
    <n v="70.220890711424772"/>
    <m/>
    <m/>
    <m/>
    <m/>
  </r>
  <r>
    <n v="2025"/>
    <s v="Southeast"/>
    <x v="2"/>
    <n v="3"/>
    <n v="7"/>
    <n v="5"/>
    <n v="26"/>
    <x v="11"/>
    <n v="61.7"/>
    <n v="77.090844936105285"/>
    <m/>
    <m/>
    <m/>
    <m/>
  </r>
  <r>
    <n v="2025"/>
    <s v="Southeast"/>
    <x v="2"/>
    <n v="3"/>
    <n v="8"/>
    <n v="5"/>
    <n v="13"/>
    <x v="38"/>
    <n v="62.9"/>
    <n v="66.590387182910547"/>
    <m/>
    <m/>
    <m/>
    <m/>
  </r>
  <r>
    <n v="2025"/>
    <s v="Southeast"/>
    <x v="2"/>
    <n v="3"/>
    <n v="9"/>
    <n v="5"/>
    <n v="3"/>
    <x v="16"/>
    <n v="63.4"/>
    <n v="65.452585828724011"/>
    <m/>
    <m/>
    <m/>
    <m/>
  </r>
  <r>
    <n v="2025"/>
    <s v="Southeast"/>
    <x v="2"/>
    <n v="3"/>
    <n v="10"/>
    <n v="5"/>
    <n v="5"/>
    <x v="28"/>
    <n v="62.2"/>
    <n v="65.055490654205599"/>
    <m/>
    <m/>
    <m/>
    <m/>
  </r>
  <r>
    <n v="2025"/>
    <s v="Southeast"/>
    <x v="2"/>
    <n v="3"/>
    <n v="11"/>
    <n v="5"/>
    <n v="29"/>
    <x v="27"/>
    <n v="62"/>
    <n v="62.430423421705129"/>
    <m/>
    <m/>
    <m/>
    <m/>
  </r>
  <r>
    <n v="2025"/>
    <s v="Southeast"/>
    <x v="2"/>
    <n v="3"/>
    <n v="12"/>
    <n v="5"/>
    <n v="9"/>
    <x v="1"/>
    <s v="."/>
    <n v="60.12399532710279"/>
    <m/>
    <m/>
    <m/>
    <m/>
  </r>
  <r>
    <n v="2025"/>
    <s v="Southeast"/>
    <x v="2"/>
    <n v="3"/>
    <n v="13"/>
    <n v="5"/>
    <n v="4"/>
    <x v="4"/>
    <n v="58.7"/>
    <n v="64.97859240892619"/>
    <m/>
    <m/>
    <m/>
    <m/>
  </r>
  <r>
    <n v="2025"/>
    <s v="Southeast"/>
    <x v="2"/>
    <n v="3"/>
    <n v="14"/>
    <n v="5"/>
    <n v="14"/>
    <x v="5"/>
    <n v="62.3"/>
    <n v="66.783930955559782"/>
    <m/>
    <m/>
    <m/>
    <m/>
  </r>
  <r>
    <n v="2025"/>
    <s v="Southeast"/>
    <x v="2"/>
    <n v="3"/>
    <n v="15"/>
    <n v="5"/>
    <n v="24"/>
    <x v="29"/>
    <n v="61"/>
    <n v="66.521938775510208"/>
    <m/>
    <m/>
    <m/>
    <m/>
  </r>
  <r>
    <n v="2025"/>
    <s v="Southeast"/>
    <x v="2"/>
    <n v="3"/>
    <n v="16"/>
    <n v="5"/>
    <n v="41"/>
    <x v="20"/>
    <n v="61.3"/>
    <n v="64.274753957657822"/>
    <m/>
    <m/>
    <m/>
    <m/>
  </r>
  <r>
    <n v="2025"/>
    <s v="Southeast"/>
    <x v="2"/>
    <n v="3"/>
    <n v="17"/>
    <n v="5"/>
    <n v="25"/>
    <x v="34"/>
    <n v="60.4"/>
    <n v="68.051406637421323"/>
    <m/>
    <m/>
    <m/>
    <m/>
  </r>
  <r>
    <n v="2025"/>
    <s v="Southeast"/>
    <x v="2"/>
    <n v="3"/>
    <n v="18"/>
    <n v="5"/>
    <n v="30"/>
    <x v="14"/>
    <n v="61.2"/>
    <n v="61.069669082586302"/>
    <m/>
    <m/>
    <m/>
    <m/>
  </r>
  <r>
    <n v="2025"/>
    <s v="Southeast"/>
    <x v="2"/>
    <n v="3"/>
    <n v="19"/>
    <n v="5"/>
    <n v="1"/>
    <x v="12"/>
    <n v="59.9"/>
    <n v="67.374097844745378"/>
    <m/>
    <m/>
    <m/>
    <m/>
  </r>
  <r>
    <n v="2025"/>
    <s v="Southeast"/>
    <x v="2"/>
    <n v="3"/>
    <n v="20"/>
    <n v="5"/>
    <n v="35"/>
    <x v="30"/>
    <n v="60.6"/>
    <n v="65.262016021361802"/>
    <m/>
    <m/>
    <m/>
    <m/>
  </r>
  <r>
    <n v="2025"/>
    <s v="Southeast"/>
    <x v="2"/>
    <n v="3"/>
    <n v="21"/>
    <n v="5"/>
    <n v="11"/>
    <x v="2"/>
    <n v="63"/>
    <n v="69.602022696929239"/>
    <m/>
    <m/>
    <m/>
    <m/>
  </r>
  <r>
    <n v="2025"/>
    <s v="Southeast"/>
    <x v="2"/>
    <n v="3"/>
    <n v="21"/>
    <n v="6"/>
    <n v="42"/>
    <x v="42"/>
    <n v="62.1"/>
    <n v="59.414300158890647"/>
    <m/>
    <m/>
    <m/>
    <m/>
  </r>
  <r>
    <n v="2025"/>
    <s v="Southeast"/>
    <x v="2"/>
    <n v="3"/>
    <n v="20"/>
    <n v="6"/>
    <n v="36"/>
    <x v="36"/>
    <n v="62.5"/>
    <n v="59.229351437238179"/>
    <m/>
    <m/>
    <m/>
    <m/>
  </r>
  <r>
    <n v="2025"/>
    <s v="Southeast"/>
    <x v="2"/>
    <n v="3"/>
    <n v="19"/>
    <n v="6"/>
    <n v="15"/>
    <x v="7"/>
    <n v="61.1"/>
    <n v="61.38271703018922"/>
    <m/>
    <m/>
    <m/>
    <m/>
  </r>
  <r>
    <n v="2025"/>
    <s v="Southeast"/>
    <x v="2"/>
    <n v="3"/>
    <n v="18"/>
    <n v="6"/>
    <n v="33"/>
    <x v="3"/>
    <n v="60.2"/>
    <n v="60.644113823486919"/>
    <m/>
    <m/>
    <m/>
    <m/>
  </r>
  <r>
    <n v="2025"/>
    <s v="Southeast"/>
    <x v="2"/>
    <n v="3"/>
    <n v="17"/>
    <n v="6"/>
    <n v="16"/>
    <x v="40"/>
    <n v="61.1"/>
    <n v="65.457976310847897"/>
    <m/>
    <m/>
    <m/>
    <m/>
  </r>
  <r>
    <n v="2025"/>
    <s v="Southeast"/>
    <x v="2"/>
    <n v="3"/>
    <n v="16"/>
    <n v="6"/>
    <n v="40"/>
    <x v="13"/>
    <n v="62.3"/>
    <n v="63.585942510472336"/>
    <n v="9.1999999999999993"/>
    <m/>
    <m/>
    <m/>
  </r>
  <r>
    <n v="2025"/>
    <s v="Southeast"/>
    <x v="2"/>
    <n v="3"/>
    <n v="15"/>
    <n v="6"/>
    <n v="17"/>
    <x v="32"/>
    <n v="61.1"/>
    <n v="66.074551495016607"/>
    <n v="9.5"/>
    <m/>
    <m/>
    <m/>
  </r>
  <r>
    <n v="2025"/>
    <s v="Southeast"/>
    <x v="2"/>
    <n v="3"/>
    <n v="14"/>
    <n v="6"/>
    <n v="21"/>
    <x v="26"/>
    <n v="61.8"/>
    <n v="61.879218546872728"/>
    <m/>
    <m/>
    <m/>
    <m/>
  </r>
  <r>
    <n v="2025"/>
    <s v="Southeast"/>
    <x v="2"/>
    <n v="3"/>
    <n v="13"/>
    <n v="6"/>
    <n v="2"/>
    <x v="23"/>
    <n v="61.8"/>
    <n v="67.247355192835471"/>
    <m/>
    <m/>
    <m/>
    <m/>
  </r>
  <r>
    <n v="2025"/>
    <s v="Southeast"/>
    <x v="2"/>
    <n v="3"/>
    <n v="12"/>
    <n v="6"/>
    <n v="43"/>
    <x v="22"/>
    <s v="."/>
    <n v="62.125038278203078"/>
    <m/>
    <m/>
    <m/>
    <m/>
  </r>
  <r>
    <n v="2025"/>
    <s v="Southeast"/>
    <x v="2"/>
    <n v="3"/>
    <n v="11"/>
    <n v="6"/>
    <n v="44"/>
    <x v="17"/>
    <n v="60.6"/>
    <n v="56.145283836487067"/>
    <m/>
    <m/>
    <m/>
    <m/>
  </r>
  <r>
    <n v="2025"/>
    <s v="Southeast"/>
    <x v="2"/>
    <n v="3"/>
    <n v="10"/>
    <n v="6"/>
    <n v="10"/>
    <x v="15"/>
    <n v="58.8"/>
    <n v="52.194721941354892"/>
    <m/>
    <m/>
    <m/>
    <m/>
  </r>
  <r>
    <n v="2025"/>
    <s v="Southeast"/>
    <x v="2"/>
    <n v="3"/>
    <n v="9"/>
    <n v="6"/>
    <n v="46"/>
    <x v="25"/>
    <n v="62.2"/>
    <n v="60.862334248158312"/>
    <m/>
    <m/>
    <m/>
    <m/>
  </r>
  <r>
    <n v="2025"/>
    <s v="Southeast"/>
    <x v="2"/>
    <n v="3"/>
    <n v="8"/>
    <n v="6"/>
    <n v="31"/>
    <x v="6"/>
    <n v="59.9"/>
    <n v="58.02890076556406"/>
    <m/>
    <m/>
    <m/>
    <m/>
  </r>
  <r>
    <n v="2025"/>
    <s v="Southeast"/>
    <x v="2"/>
    <n v="3"/>
    <n v="7"/>
    <n v="6"/>
    <n v="18"/>
    <x v="8"/>
    <n v="60.1"/>
    <n v="55.67223458038422"/>
    <m/>
    <m/>
    <m/>
    <m/>
  </r>
  <r>
    <n v="2025"/>
    <s v="Southeast"/>
    <x v="2"/>
    <n v="3"/>
    <n v="6"/>
    <n v="6"/>
    <n v="12"/>
    <x v="41"/>
    <n v="60.9"/>
    <n v="57.695564061822907"/>
    <m/>
    <m/>
    <m/>
    <m/>
  </r>
  <r>
    <n v="2025"/>
    <s v="Southeast"/>
    <x v="2"/>
    <n v="3"/>
    <n v="5"/>
    <n v="6"/>
    <n v="45"/>
    <x v="21"/>
    <n v="59.7"/>
    <n v="62.506995522172467"/>
    <m/>
    <m/>
    <m/>
    <m/>
  </r>
  <r>
    <n v="2025"/>
    <s v="Southeast"/>
    <x v="2"/>
    <n v="3"/>
    <n v="4"/>
    <n v="6"/>
    <n v="28"/>
    <x v="37"/>
    <n v="56.9"/>
    <n v="64.925581395348829"/>
    <m/>
    <m/>
    <m/>
    <m/>
  </r>
  <r>
    <n v="2025"/>
    <s v="Southeast"/>
    <x v="2"/>
    <n v="3"/>
    <n v="3"/>
    <n v="6"/>
    <n v="32"/>
    <x v="24"/>
    <n v="62.4"/>
    <n v="64.47198035533728"/>
    <m/>
    <m/>
    <m/>
    <m/>
  </r>
  <r>
    <n v="2025"/>
    <s v="Southeast"/>
    <x v="2"/>
    <n v="3"/>
    <n v="2"/>
    <n v="6"/>
    <n v="22"/>
    <x v="33"/>
    <n v="55.6"/>
    <n v="59.78610429004766"/>
    <m/>
    <m/>
    <m/>
    <m/>
  </r>
  <r>
    <n v="2025"/>
    <s v="Southeast"/>
    <x v="2"/>
    <n v="3"/>
    <n v="1"/>
    <n v="6"/>
    <n v="6"/>
    <x v="10"/>
    <n v="57.3"/>
    <n v="55.881445904954496"/>
    <m/>
    <m/>
    <m/>
    <m/>
  </r>
  <r>
    <n v="2025"/>
    <s v="Southeast"/>
    <x v="3"/>
    <n v="1"/>
    <n v="7"/>
    <n v="2"/>
    <n v="30"/>
    <x v="14"/>
    <n v="57.2"/>
    <n v="62.851799999999983"/>
    <n v="13.890599999999999"/>
    <m/>
    <m/>
    <m/>
  </r>
  <r>
    <n v="2025"/>
    <s v="Southeast"/>
    <x v="3"/>
    <n v="2"/>
    <n v="3"/>
    <n v="3"/>
    <n v="30"/>
    <x v="14"/>
    <n v="57.9"/>
    <n v="67.114959999999996"/>
    <n v="14.070600000000001"/>
    <m/>
    <m/>
    <m/>
  </r>
  <r>
    <n v="2025"/>
    <s v="Southeast"/>
    <x v="3"/>
    <n v="3"/>
    <n v="16"/>
    <n v="6"/>
    <n v="30"/>
    <x v="14"/>
    <n v="56.4"/>
    <n v="60.80415"/>
    <n v="13.890599999999999"/>
    <m/>
    <m/>
    <m/>
  </r>
  <r>
    <n v="2025"/>
    <s v="Southeast"/>
    <x v="3"/>
    <n v="1"/>
    <n v="9"/>
    <n v="2"/>
    <n v="37"/>
    <x v="31"/>
    <n v="59.2"/>
    <n v="68.603040000000007"/>
    <n v="13.3506"/>
    <m/>
    <m/>
    <m/>
  </r>
  <r>
    <n v="2025"/>
    <s v="Southeast"/>
    <x v="3"/>
    <n v="2"/>
    <n v="4"/>
    <n v="3"/>
    <n v="37"/>
    <x v="31"/>
    <n v="58.7"/>
    <n v="72.454139999999981"/>
    <n v="14.2506"/>
    <m/>
    <m/>
    <m/>
  </r>
  <r>
    <n v="2025"/>
    <s v="Southeast"/>
    <x v="3"/>
    <n v="3"/>
    <n v="10"/>
    <n v="6"/>
    <n v="37"/>
    <x v="31"/>
    <n v="58.7"/>
    <n v="60.074629999999999"/>
    <n v="14.610600000000002"/>
    <m/>
    <m/>
    <m/>
  </r>
  <r>
    <n v="2025"/>
    <s v="Southeast"/>
    <x v="3"/>
    <n v="1"/>
    <n v="11"/>
    <n v="1"/>
    <n v="40"/>
    <x v="13"/>
    <n v="58.7"/>
    <n v="80.600849999999994"/>
    <n v="12.630600000000001"/>
    <m/>
    <m/>
    <m/>
  </r>
  <r>
    <n v="2025"/>
    <s v="Southeast"/>
    <x v="3"/>
    <n v="2"/>
    <n v="16"/>
    <n v="4"/>
    <n v="40"/>
    <x v="13"/>
    <n v="59.1"/>
    <n v="62.79619499999999"/>
    <n v="13.980600000000001"/>
    <m/>
    <m/>
    <m/>
  </r>
  <r>
    <n v="2025"/>
    <s v="Southeast"/>
    <x v="3"/>
    <n v="3"/>
    <n v="3"/>
    <n v="5"/>
    <n v="40"/>
    <x v="13"/>
    <n v="59"/>
    <n v="60.678639999999994"/>
    <n v="13.710599999999999"/>
    <m/>
    <m/>
    <m/>
  </r>
  <r>
    <n v="2025"/>
    <s v="Southeast"/>
    <x v="3"/>
    <n v="1"/>
    <n v="21"/>
    <n v="1"/>
    <n v="41"/>
    <x v="20"/>
    <s v="."/>
    <s v="."/>
    <n v="14.3406"/>
    <m/>
    <m/>
    <m/>
  </r>
  <r>
    <n v="2025"/>
    <s v="Southeast"/>
    <x v="3"/>
    <n v="2"/>
    <n v="18"/>
    <n v="3"/>
    <n v="41"/>
    <x v="20"/>
    <n v="56.9"/>
    <n v="68.888819999999996"/>
    <n v="14.610600000000002"/>
    <m/>
    <m/>
    <m/>
  </r>
  <r>
    <n v="2025"/>
    <s v="Southeast"/>
    <x v="3"/>
    <n v="3"/>
    <n v="13"/>
    <n v="6"/>
    <n v="41"/>
    <x v="20"/>
    <n v="56.5"/>
    <n v="60.607634999999995"/>
    <n v="14.610600000000002"/>
    <m/>
    <m/>
    <m/>
  </r>
  <r>
    <n v="2025"/>
    <s v="Southeast"/>
    <x v="3"/>
    <n v="1"/>
    <n v="1"/>
    <n v="2"/>
    <n v="20"/>
    <x v="18"/>
    <n v="56.9"/>
    <n v="64.377224999999996"/>
    <n v="14.2506"/>
    <m/>
    <m/>
    <m/>
  </r>
  <r>
    <n v="2025"/>
    <s v="Southeast"/>
    <x v="3"/>
    <n v="2"/>
    <n v="16"/>
    <n v="3"/>
    <n v="20"/>
    <x v="18"/>
    <n v="57.1"/>
    <n v="79.025759999999991"/>
    <n v="13.980600000000001"/>
    <m/>
    <m/>
    <m/>
  </r>
  <r>
    <n v="2025"/>
    <s v="Southeast"/>
    <x v="3"/>
    <n v="3"/>
    <n v="21"/>
    <n v="6"/>
    <n v="20"/>
    <x v="18"/>
    <n v="56.9"/>
    <n v="83.401064999999988"/>
    <n v="13.710599999999999"/>
    <m/>
    <m/>
    <m/>
  </r>
  <r>
    <n v="2025"/>
    <s v="Southeast"/>
    <x v="3"/>
    <n v="1"/>
    <n v="14"/>
    <n v="2"/>
    <n v="32"/>
    <x v="24"/>
    <n v="59.3"/>
    <n v="74.324249999999992"/>
    <n v="14.3406"/>
    <m/>
    <m/>
    <m/>
  </r>
  <r>
    <n v="2025"/>
    <s v="Southeast"/>
    <x v="3"/>
    <n v="2"/>
    <n v="11"/>
    <n v="4"/>
    <n v="32"/>
    <x v="24"/>
    <n v="58.9"/>
    <n v="75.469239999999999"/>
    <n v="15.240600000000001"/>
    <m/>
    <m/>
    <m/>
  </r>
  <r>
    <n v="2025"/>
    <s v="Southeast"/>
    <x v="3"/>
    <n v="3"/>
    <n v="9"/>
    <n v="6"/>
    <n v="32"/>
    <x v="24"/>
    <n v="59"/>
    <n v="79.609529999999992"/>
    <n v="15.150600000000001"/>
    <m/>
    <m/>
    <m/>
  </r>
  <r>
    <n v="2025"/>
    <s v="Southeast"/>
    <x v="3"/>
    <n v="1"/>
    <n v="6"/>
    <n v="2"/>
    <n v="21"/>
    <x v="26"/>
    <n v="57.6"/>
    <n v="71.420359999999988"/>
    <n v="13.980600000000001"/>
    <m/>
    <m/>
    <m/>
  </r>
  <r>
    <n v="2025"/>
    <s v="Southeast"/>
    <x v="3"/>
    <n v="2"/>
    <n v="5"/>
    <n v="3"/>
    <n v="21"/>
    <x v="26"/>
    <n v="58.3"/>
    <n v="77.82929"/>
    <n v="13.2606"/>
    <m/>
    <m/>
    <m/>
  </r>
  <r>
    <n v="2025"/>
    <s v="Southeast"/>
    <x v="3"/>
    <n v="3"/>
    <n v="18"/>
    <n v="6"/>
    <n v="21"/>
    <x v="26"/>
    <n v="57.2"/>
    <n v="77.774234999999976"/>
    <n v="14.2506"/>
    <m/>
    <m/>
    <m/>
  </r>
  <r>
    <n v="2025"/>
    <s v="Southeast"/>
    <x v="3"/>
    <n v="1"/>
    <n v="16"/>
    <n v="1"/>
    <n v="29"/>
    <x v="27"/>
    <n v="57.8"/>
    <n v="64.639574999999994"/>
    <n v="13.620600000000001"/>
    <m/>
    <m/>
    <m/>
  </r>
  <r>
    <n v="2025"/>
    <s v="Southeast"/>
    <x v="3"/>
    <n v="2"/>
    <n v="14"/>
    <n v="3"/>
    <n v="29"/>
    <x v="27"/>
    <n v="57.5"/>
    <n v="69.678619999999981"/>
    <n v="14.070600000000001"/>
    <m/>
    <m/>
    <m/>
  </r>
  <r>
    <n v="2025"/>
    <s v="Southeast"/>
    <x v="3"/>
    <n v="3"/>
    <n v="21"/>
    <n v="5"/>
    <n v="29"/>
    <x v="27"/>
    <n v="57.6"/>
    <n v="55.23265"/>
    <n v="13.3506"/>
    <m/>
    <m/>
    <m/>
  </r>
  <r>
    <n v="2025"/>
    <s v="Southeast"/>
    <x v="3"/>
    <n v="1"/>
    <n v="18"/>
    <n v="2"/>
    <n v="22"/>
    <x v="33"/>
    <n v="58.7"/>
    <n v="71.162409999999994"/>
    <n v="12.720600000000001"/>
    <m/>
    <m/>
    <m/>
  </r>
  <r>
    <n v="2025"/>
    <s v="Southeast"/>
    <x v="3"/>
    <n v="2"/>
    <n v="1"/>
    <n v="3"/>
    <n v="22"/>
    <x v="33"/>
    <n v="59"/>
    <n v="71.572050000000004"/>
    <n v="12.810600000000001"/>
    <m/>
    <m/>
    <m/>
  </r>
  <r>
    <n v="2025"/>
    <s v="Southeast"/>
    <x v="3"/>
    <n v="3"/>
    <n v="7"/>
    <n v="5"/>
    <n v="22"/>
    <x v="33"/>
    <n v="58.7"/>
    <n v="61.910199999999989"/>
    <n v="13.530600000000002"/>
    <m/>
    <m/>
    <m/>
  </r>
  <r>
    <n v="2025"/>
    <s v="Southeast"/>
    <x v="3"/>
    <n v="1"/>
    <n v="18"/>
    <n v="1"/>
    <n v="18"/>
    <x v="8"/>
    <n v="57.8"/>
    <n v="54.973379999999992"/>
    <n v="14.4306"/>
    <m/>
    <m/>
    <m/>
  </r>
  <r>
    <n v="2025"/>
    <s v="Southeast"/>
    <x v="3"/>
    <n v="2"/>
    <n v="6"/>
    <n v="4"/>
    <n v="18"/>
    <x v="8"/>
    <n v="56.9"/>
    <n v="64.671749999999989"/>
    <n v="14.070600000000001"/>
    <m/>
    <m/>
    <m/>
  </r>
  <r>
    <n v="2025"/>
    <s v="Southeast"/>
    <x v="3"/>
    <n v="3"/>
    <n v="14"/>
    <n v="6"/>
    <n v="18"/>
    <x v="8"/>
    <n v="56.9"/>
    <n v="59.245339999999992"/>
    <n v="14.5206"/>
    <m/>
    <m/>
    <m/>
  </r>
  <r>
    <n v="2025"/>
    <s v="Southeast"/>
    <x v="3"/>
    <n v="1"/>
    <n v="1"/>
    <n v="1"/>
    <n v="14"/>
    <x v="5"/>
    <n v="58.9"/>
    <n v="76.619784999999993"/>
    <n v="12.720600000000001"/>
    <m/>
    <m/>
    <m/>
  </r>
  <r>
    <n v="2025"/>
    <s v="Southeast"/>
    <x v="3"/>
    <n v="2"/>
    <n v="8"/>
    <n v="4"/>
    <n v="14"/>
    <x v="5"/>
    <n v="58.4"/>
    <n v="72.672600000000003"/>
    <n v="14.070600000000001"/>
    <m/>
    <m/>
    <m/>
  </r>
  <r>
    <n v="2025"/>
    <s v="Southeast"/>
    <x v="3"/>
    <n v="3"/>
    <n v="9"/>
    <n v="5"/>
    <n v="14"/>
    <x v="5"/>
    <n v="59"/>
    <n v="76.070279999999997"/>
    <n v="13.2606"/>
    <m/>
    <m/>
    <m/>
  </r>
  <r>
    <n v="2025"/>
    <s v="Southeast"/>
    <x v="3"/>
    <n v="1"/>
    <n v="19"/>
    <n v="1"/>
    <n v="15"/>
    <x v="7"/>
    <n v="56.9"/>
    <n v="72.779849999999982"/>
    <n v="13.800599999999999"/>
    <m/>
    <m/>
    <m/>
  </r>
  <r>
    <n v="2025"/>
    <s v="Southeast"/>
    <x v="3"/>
    <n v="2"/>
    <n v="13"/>
    <n v="4"/>
    <n v="15"/>
    <x v="7"/>
    <n v="56.2"/>
    <n v="68.777005000000003"/>
    <n v="13.800599999999999"/>
    <m/>
    <m/>
    <m/>
  </r>
  <r>
    <n v="2025"/>
    <s v="Southeast"/>
    <x v="3"/>
    <n v="3"/>
    <n v="14"/>
    <n v="5"/>
    <n v="15"/>
    <x v="7"/>
    <n v="56.9"/>
    <n v="61.942649999999986"/>
    <n v="13.530600000000002"/>
    <m/>
    <m/>
    <m/>
  </r>
  <r>
    <n v="2025"/>
    <s v="Southeast"/>
    <x v="3"/>
    <n v="1"/>
    <n v="4"/>
    <n v="1"/>
    <n v="16"/>
    <x v="40"/>
    <n v="60.3"/>
    <n v="70.808319999999981"/>
    <n v="12.900600000000001"/>
    <m/>
    <m/>
    <m/>
  </r>
  <r>
    <n v="2025"/>
    <s v="Southeast"/>
    <x v="3"/>
    <n v="2"/>
    <n v="19"/>
    <n v="3"/>
    <n v="16"/>
    <x v="40"/>
    <n v="60.4"/>
    <n v="77.614845000000003"/>
    <n v="11.640599999999999"/>
    <m/>
    <m/>
    <m/>
  </r>
  <r>
    <n v="2025"/>
    <s v="Southeast"/>
    <x v="3"/>
    <n v="3"/>
    <n v="17"/>
    <n v="5"/>
    <n v="16"/>
    <x v="40"/>
    <n v="59.3"/>
    <n v="66.267299999999992"/>
    <n v="13.1706"/>
    <m/>
    <m/>
    <m/>
  </r>
  <r>
    <n v="2025"/>
    <s v="Southeast"/>
    <x v="3"/>
    <n v="1"/>
    <n v="20"/>
    <n v="1"/>
    <n v="11"/>
    <x v="2"/>
    <n v="59.7"/>
    <n v="74.686700000000002"/>
    <n v="13.620600000000001"/>
    <m/>
    <m/>
    <m/>
  </r>
  <r>
    <n v="2025"/>
    <s v="Southeast"/>
    <x v="3"/>
    <n v="2"/>
    <n v="3"/>
    <n v="4"/>
    <n v="11"/>
    <x v="2"/>
    <n v="59.1"/>
    <n v="70.16069499999999"/>
    <n v="12.990599999999999"/>
    <m/>
    <m/>
    <m/>
  </r>
  <r>
    <n v="2025"/>
    <s v="Southeast"/>
    <x v="3"/>
    <n v="3"/>
    <n v="11"/>
    <n v="6"/>
    <n v="11"/>
    <x v="2"/>
    <n v="58.9"/>
    <n v="68.628559999999993"/>
    <n v="13.620600000000001"/>
    <m/>
    <m/>
    <m/>
  </r>
  <r>
    <n v="2025"/>
    <s v="Southeast"/>
    <x v="3"/>
    <n v="1"/>
    <n v="4"/>
    <n v="2"/>
    <n v="1"/>
    <x v="12"/>
    <n v="57.9"/>
    <n v="70.231754999999993"/>
    <n v="13.0806"/>
    <m/>
    <m/>
    <m/>
  </r>
  <r>
    <n v="2025"/>
    <s v="Southeast"/>
    <x v="3"/>
    <n v="2"/>
    <n v="10"/>
    <n v="4"/>
    <n v="1"/>
    <x v="12"/>
    <n v="57.1"/>
    <n v="68.552494999999993"/>
    <n v="13.3506"/>
    <m/>
    <m/>
    <m/>
  </r>
  <r>
    <n v="2025"/>
    <s v="Southeast"/>
    <x v="3"/>
    <n v="3"/>
    <n v="5"/>
    <n v="5"/>
    <n v="1"/>
    <x v="12"/>
    <n v="57.6"/>
    <n v="61.182274999999997"/>
    <n v="13.710599999999999"/>
    <m/>
    <m/>
    <m/>
  </r>
  <r>
    <n v="2025"/>
    <s v="Southeast"/>
    <x v="3"/>
    <n v="1"/>
    <n v="12"/>
    <n v="1"/>
    <n v="17"/>
    <x v="32"/>
    <n v="58.6"/>
    <n v="83.865704999999991"/>
    <n v="11.460599999999999"/>
    <m/>
    <m/>
    <m/>
  </r>
  <r>
    <n v="2025"/>
    <s v="Southeast"/>
    <x v="3"/>
    <n v="2"/>
    <n v="10"/>
    <n v="3"/>
    <n v="17"/>
    <x v="32"/>
    <n v="58.5"/>
    <n v="82.492409999999992"/>
    <n v="12.4506"/>
    <m/>
    <m/>
    <m/>
  </r>
  <r>
    <n v="2025"/>
    <s v="Southeast"/>
    <x v="3"/>
    <n v="3"/>
    <n v="19"/>
    <n v="5"/>
    <n v="17"/>
    <x v="32"/>
    <n v="57.6"/>
    <n v="60.238859999999988"/>
    <n v="13.1706"/>
    <m/>
    <m/>
    <m/>
  </r>
  <r>
    <n v="2025"/>
    <s v="Southeast"/>
    <x v="3"/>
    <n v="1"/>
    <n v="17"/>
    <n v="2"/>
    <n v="12"/>
    <x v="41"/>
    <n v="58.3"/>
    <n v="69.254019999999983"/>
    <n v="13.2606"/>
    <m/>
    <m/>
    <m/>
  </r>
  <r>
    <n v="2025"/>
    <s v="Southeast"/>
    <x v="3"/>
    <n v="2"/>
    <n v="2"/>
    <n v="4"/>
    <n v="12"/>
    <x v="41"/>
    <n v="57.6"/>
    <n v="60.567044999999986"/>
    <n v="14.4306"/>
    <m/>
    <m/>
    <m/>
  </r>
  <r>
    <n v="2025"/>
    <s v="Southeast"/>
    <x v="3"/>
    <n v="3"/>
    <n v="1"/>
    <n v="6"/>
    <n v="12"/>
    <x v="41"/>
    <n v="57.9"/>
    <n v="53.099199999999996"/>
    <n v="14.3406"/>
    <m/>
    <m/>
    <m/>
  </r>
  <r>
    <n v="2025"/>
    <s v="Southeast"/>
    <x v="3"/>
    <n v="1"/>
    <n v="17"/>
    <n v="1"/>
    <n v="13"/>
    <x v="38"/>
    <n v="57.2"/>
    <n v="65.387520000000009"/>
    <n v="13.890599999999999"/>
    <m/>
    <m/>
    <m/>
  </r>
  <r>
    <n v="2025"/>
    <s v="Southeast"/>
    <x v="3"/>
    <n v="2"/>
    <n v="2"/>
    <n v="3"/>
    <n v="13"/>
    <x v="38"/>
    <n v="57.6"/>
    <n v="78.011559999999989"/>
    <n v="13.530600000000002"/>
    <m/>
    <m/>
    <m/>
  </r>
  <r>
    <n v="2025"/>
    <s v="Southeast"/>
    <x v="3"/>
    <n v="3"/>
    <n v="12"/>
    <n v="6"/>
    <n v="13"/>
    <x v="38"/>
    <n v="57.2"/>
    <n v="68.047979999999981"/>
    <n v="14.070600000000001"/>
    <m/>
    <m/>
    <m/>
  </r>
  <r>
    <n v="2025"/>
    <s v="Southeast"/>
    <x v="3"/>
    <n v="1"/>
    <n v="8"/>
    <n v="1"/>
    <n v="2"/>
    <x v="23"/>
    <n v="57.6"/>
    <n v="73.72475"/>
    <n v="12.900600000000001"/>
    <m/>
    <m/>
    <m/>
  </r>
  <r>
    <n v="2025"/>
    <s v="Southeast"/>
    <x v="3"/>
    <n v="2"/>
    <n v="13"/>
    <n v="3"/>
    <n v="2"/>
    <x v="23"/>
    <n v="58.9"/>
    <n v="81.259200000000007"/>
    <n v="13.0806"/>
    <m/>
    <m/>
    <m/>
  </r>
  <r>
    <n v="2025"/>
    <s v="Southeast"/>
    <x v="3"/>
    <n v="3"/>
    <n v="3"/>
    <n v="6"/>
    <n v="2"/>
    <x v="23"/>
    <n v="57.6"/>
    <n v="59.835380000000001"/>
    <n v="13.530600000000002"/>
    <m/>
    <m/>
    <m/>
  </r>
  <r>
    <n v="2025"/>
    <s v="Southeast"/>
    <x v="3"/>
    <n v="1"/>
    <n v="13"/>
    <n v="1"/>
    <n v="9"/>
    <x v="1"/>
    <n v="55.6"/>
    <n v="68.363514999999992"/>
    <n v="14.160600000000001"/>
    <m/>
    <m/>
    <m/>
  </r>
  <r>
    <n v="2025"/>
    <s v="Southeast"/>
    <x v="3"/>
    <n v="2"/>
    <n v="20"/>
    <n v="4"/>
    <n v="9"/>
    <x v="1"/>
    <n v="55.2"/>
    <n v="63.861270000000005"/>
    <n v="15.150600000000001"/>
    <m/>
    <m/>
    <m/>
  </r>
  <r>
    <n v="2025"/>
    <s v="Southeast"/>
    <x v="3"/>
    <n v="3"/>
    <n v="17"/>
    <n v="6"/>
    <n v="9"/>
    <x v="1"/>
    <n v="54.8"/>
    <n v="63.512624999999986"/>
    <n v="15.240600000000001"/>
    <m/>
    <m/>
    <m/>
  </r>
  <r>
    <n v="2025"/>
    <s v="Southeast"/>
    <x v="3"/>
    <n v="1"/>
    <n v="5"/>
    <n v="2"/>
    <n v="3"/>
    <x v="16"/>
    <n v="58.7"/>
    <n v="64.719269999999995"/>
    <n v="13.4406"/>
    <m/>
    <m/>
    <m/>
  </r>
  <r>
    <n v="2025"/>
    <s v="Southeast"/>
    <x v="3"/>
    <n v="2"/>
    <n v="15"/>
    <n v="3"/>
    <n v="3"/>
    <x v="16"/>
    <n v="58.5"/>
    <n v="69.90120499999999"/>
    <n v="14.070600000000001"/>
    <m/>
    <m/>
    <m/>
  </r>
  <r>
    <n v="2025"/>
    <s v="Southeast"/>
    <x v="3"/>
    <n v="3"/>
    <n v="20"/>
    <n v="6"/>
    <n v="3"/>
    <x v="16"/>
    <n v="58.5"/>
    <n v="68.595559999999992"/>
    <n v="13.800599999999999"/>
    <m/>
    <m/>
    <m/>
  </r>
  <r>
    <n v="2025"/>
    <s v="Southeast"/>
    <x v="3"/>
    <n v="1"/>
    <n v="3"/>
    <n v="2"/>
    <n v="10"/>
    <x v="15"/>
    <n v="54.4"/>
    <n v="54.89528"/>
    <n v="14.7006"/>
    <m/>
    <m/>
    <m/>
  </r>
  <r>
    <n v="2025"/>
    <s v="Southeast"/>
    <x v="3"/>
    <n v="2"/>
    <n v="6"/>
    <n v="3"/>
    <n v="10"/>
    <x v="15"/>
    <n v="53.4"/>
    <n v="59.206729999999986"/>
    <n v="15.240600000000001"/>
    <m/>
    <m/>
    <m/>
  </r>
  <r>
    <n v="2025"/>
    <s v="Southeast"/>
    <x v="3"/>
    <n v="3"/>
    <n v="12"/>
    <n v="5"/>
    <n v="10"/>
    <x v="15"/>
    <n v="54.1"/>
    <n v="55.525029999999987"/>
    <n v="15.060600000000003"/>
    <m/>
    <m/>
    <m/>
  </r>
  <r>
    <n v="2025"/>
    <s v="Southeast"/>
    <x v="3"/>
    <n v="1"/>
    <n v="9"/>
    <n v="1"/>
    <n v="4"/>
    <x v="4"/>
    <n v="57"/>
    <n v="74.826729999999998"/>
    <n v="12.900600000000001"/>
    <m/>
    <m/>
    <m/>
  </r>
  <r>
    <n v="2025"/>
    <s v="Southeast"/>
    <x v="3"/>
    <n v="2"/>
    <n v="7"/>
    <n v="3"/>
    <n v="4"/>
    <x v="4"/>
    <n v="56.1"/>
    <n v="67.366199999999992"/>
    <n v="13.2606"/>
    <m/>
    <m/>
    <m/>
  </r>
  <r>
    <n v="2025"/>
    <s v="Southeast"/>
    <x v="3"/>
    <n v="3"/>
    <n v="2"/>
    <n v="6"/>
    <n v="4"/>
    <x v="4"/>
    <n v="55.1"/>
    <n v="58.226300000000009"/>
    <n v="13.980600000000001"/>
    <m/>
    <m/>
    <m/>
  </r>
  <r>
    <n v="2025"/>
    <s v="Southeast"/>
    <x v="3"/>
    <n v="1"/>
    <n v="10"/>
    <n v="1"/>
    <n v="5"/>
    <x v="28"/>
    <n v="57.4"/>
    <n v="76.936859999999996"/>
    <n v="13.0806"/>
    <m/>
    <m/>
    <m/>
  </r>
  <r>
    <n v="2025"/>
    <s v="Southeast"/>
    <x v="3"/>
    <n v="2"/>
    <n v="20"/>
    <n v="3"/>
    <n v="5"/>
    <x v="28"/>
    <n v="57.1"/>
    <n v="52.842239999999997"/>
    <n v="13.980600000000001"/>
    <m/>
    <m/>
    <m/>
  </r>
  <r>
    <n v="2025"/>
    <s v="Southeast"/>
    <x v="3"/>
    <n v="3"/>
    <n v="19"/>
    <n v="6"/>
    <n v="5"/>
    <x v="28"/>
    <n v="57.3"/>
    <n v="67.670459999999991"/>
    <n v="13.800599999999999"/>
    <m/>
    <m/>
    <m/>
  </r>
  <r>
    <n v="2025"/>
    <s v="Southeast"/>
    <x v="3"/>
    <n v="1"/>
    <n v="2"/>
    <n v="1"/>
    <n v="6"/>
    <x v="10"/>
    <n v="57.6"/>
    <n v="61.439399999999992"/>
    <n v="14.970600000000001"/>
    <m/>
    <m/>
    <m/>
  </r>
  <r>
    <n v="2025"/>
    <s v="Southeast"/>
    <x v="3"/>
    <n v="2"/>
    <n v="9"/>
    <n v="3"/>
    <n v="6"/>
    <x v="10"/>
    <n v="58"/>
    <n v="62.391559999999998"/>
    <n v="13.890599999999999"/>
    <m/>
    <m/>
    <m/>
  </r>
  <r>
    <n v="2025"/>
    <s v="Southeast"/>
    <x v="3"/>
    <n v="3"/>
    <n v="6"/>
    <n v="6"/>
    <n v="6"/>
    <x v="10"/>
    <n v="57.6"/>
    <n v="56.618099999999998"/>
    <n v="14.7006"/>
    <m/>
    <m/>
    <m/>
  </r>
  <r>
    <n v="2025"/>
    <s v="Southeast"/>
    <x v="3"/>
    <n v="1"/>
    <n v="10"/>
    <n v="2"/>
    <n v="8"/>
    <x v="9"/>
    <n v="59"/>
    <n v="72.662810000000007"/>
    <n v="12.5406"/>
    <m/>
    <m/>
    <m/>
  </r>
  <r>
    <n v="2025"/>
    <s v="Southeast"/>
    <x v="3"/>
    <n v="2"/>
    <n v="12"/>
    <n v="4"/>
    <n v="8"/>
    <x v="9"/>
    <n v="59.1"/>
    <n v="72.56832"/>
    <n v="13.2606"/>
    <m/>
    <m/>
    <m/>
  </r>
  <r>
    <n v="2025"/>
    <s v="Southeast"/>
    <x v="3"/>
    <n v="3"/>
    <n v="4"/>
    <n v="6"/>
    <n v="8"/>
    <x v="9"/>
    <n v="57.2"/>
    <n v="71.162520000000001"/>
    <n v="13.3506"/>
    <m/>
    <m/>
    <m/>
  </r>
  <r>
    <n v="2025"/>
    <s v="Southeast"/>
    <x v="3"/>
    <n v="1"/>
    <n v="13"/>
    <n v="2"/>
    <n v="42"/>
    <x v="42"/>
    <n v="58.8"/>
    <n v="68.127289999999988"/>
    <n v="13.530600000000002"/>
    <m/>
    <m/>
    <m/>
  </r>
  <r>
    <n v="2025"/>
    <s v="Southeast"/>
    <x v="3"/>
    <n v="2"/>
    <n v="8"/>
    <n v="3"/>
    <n v="42"/>
    <x v="42"/>
    <n v="59.2"/>
    <n v="70.618019999999987"/>
    <n v="13.530600000000002"/>
    <m/>
    <m/>
    <m/>
  </r>
  <r>
    <n v="2025"/>
    <s v="Southeast"/>
    <x v="3"/>
    <n v="3"/>
    <n v="2"/>
    <n v="5"/>
    <n v="42"/>
    <x v="42"/>
    <n v="59.3"/>
    <n v="62.124479999999998"/>
    <n v="13.710599999999999"/>
    <m/>
    <m/>
    <m/>
  </r>
  <r>
    <n v="2025"/>
    <s v="Southeast"/>
    <x v="3"/>
    <n v="1"/>
    <n v="15"/>
    <n v="2"/>
    <n v="44"/>
    <x v="17"/>
    <n v="56.5"/>
    <n v="61.27319"/>
    <n v="14.5206"/>
    <m/>
    <m/>
    <m/>
  </r>
  <r>
    <n v="2025"/>
    <s v="Southeast"/>
    <x v="3"/>
    <n v="2"/>
    <n v="19"/>
    <n v="4"/>
    <n v="44"/>
    <x v="17"/>
    <n v="56.4"/>
    <n v="50.423724999999997"/>
    <n v="14.4306"/>
    <m/>
    <m/>
    <m/>
  </r>
  <r>
    <n v="2025"/>
    <s v="Southeast"/>
    <x v="3"/>
    <n v="3"/>
    <n v="1"/>
    <n v="5"/>
    <n v="44"/>
    <x v="17"/>
    <n v="57.3"/>
    <n v="55.182160000000003"/>
    <n v="14.070600000000001"/>
    <m/>
    <m/>
    <m/>
  </r>
  <r>
    <n v="2025"/>
    <s v="Southeast"/>
    <x v="3"/>
    <n v="1"/>
    <n v="15"/>
    <n v="1"/>
    <n v="43"/>
    <x v="22"/>
    <n v="54.8"/>
    <s v="."/>
    <n v="14.970600000000001"/>
    <m/>
    <m/>
    <m/>
  </r>
  <r>
    <n v="2025"/>
    <s v="Southeast"/>
    <x v="3"/>
    <n v="2"/>
    <n v="11"/>
    <n v="3"/>
    <n v="43"/>
    <x v="22"/>
    <n v="55.9"/>
    <n v="54.737100000000005"/>
    <n v="13.980600000000001"/>
    <m/>
    <m/>
    <m/>
  </r>
  <r>
    <n v="2025"/>
    <s v="Southeast"/>
    <x v="3"/>
    <n v="3"/>
    <n v="7"/>
    <n v="6"/>
    <n v="43"/>
    <x v="22"/>
    <n v="55.2"/>
    <n v="47.33014"/>
    <n v="14.790600000000001"/>
    <m/>
    <m/>
    <m/>
  </r>
  <r>
    <n v="2025"/>
    <s v="Southeast"/>
    <x v="3"/>
    <n v="1"/>
    <n v="3"/>
    <n v="1"/>
    <n v="27"/>
    <x v="39"/>
    <n v="58.8"/>
    <n v="73.50007500000001"/>
    <n v="13.0806"/>
    <m/>
    <m/>
    <m/>
  </r>
  <r>
    <n v="2025"/>
    <s v="Southeast"/>
    <x v="3"/>
    <n v="2"/>
    <n v="21"/>
    <n v="3"/>
    <n v="27"/>
    <x v="39"/>
    <n v="58.5"/>
    <n v="62.228099999999991"/>
    <n v="12.3606"/>
    <m/>
    <m/>
    <m/>
  </r>
  <r>
    <n v="2025"/>
    <s v="Southeast"/>
    <x v="3"/>
    <n v="3"/>
    <n v="6"/>
    <n v="5"/>
    <n v="27"/>
    <x v="39"/>
    <n v="58.1"/>
    <n v="57.820455000000003"/>
    <n v="14.5206"/>
    <m/>
    <m/>
    <m/>
  </r>
  <r>
    <n v="2025"/>
    <s v="Southeast"/>
    <x v="3"/>
    <n v="1"/>
    <n v="16"/>
    <n v="2"/>
    <n v="31"/>
    <x v="6"/>
    <n v="57.1"/>
    <n v="63.494199999999999"/>
    <n v="14.3406"/>
    <m/>
    <m/>
    <m/>
  </r>
  <r>
    <n v="2025"/>
    <s v="Southeast"/>
    <x v="3"/>
    <n v="2"/>
    <n v="14"/>
    <n v="4"/>
    <n v="31"/>
    <x v="6"/>
    <n v="56.9"/>
    <n v="56.328799999999994"/>
    <n v="14.2506"/>
    <m/>
    <m/>
    <m/>
  </r>
  <r>
    <n v="2025"/>
    <s v="Southeast"/>
    <x v="3"/>
    <n v="3"/>
    <n v="4"/>
    <n v="5"/>
    <n v="31"/>
    <x v="6"/>
    <n v="57.5"/>
    <n v="54.189629999999994"/>
    <n v="14.7006"/>
    <m/>
    <m/>
    <m/>
  </r>
  <r>
    <n v="2025"/>
    <s v="Southeast"/>
    <x v="3"/>
    <n v="1"/>
    <n v="12"/>
    <n v="2"/>
    <n v="23"/>
    <x v="35"/>
    <n v="59"/>
    <n v="67.355199999999982"/>
    <n v="13.620600000000001"/>
    <m/>
    <m/>
    <m/>
  </r>
  <r>
    <n v="2025"/>
    <s v="Southeast"/>
    <x v="3"/>
    <n v="2"/>
    <n v="15"/>
    <n v="4"/>
    <n v="23"/>
    <x v="35"/>
    <n v="58.2"/>
    <n v="70.058339999999987"/>
    <n v="14.160600000000001"/>
    <m/>
    <m/>
    <m/>
  </r>
  <r>
    <n v="2025"/>
    <s v="Southeast"/>
    <x v="3"/>
    <n v="3"/>
    <n v="20"/>
    <n v="5"/>
    <n v="23"/>
    <x v="35"/>
    <n v="58"/>
    <s v="."/>
    <n v="14.790600000000001"/>
    <m/>
    <m/>
    <m/>
  </r>
  <r>
    <n v="2025"/>
    <s v="Southeast"/>
    <x v="3"/>
    <n v="1"/>
    <n v="14"/>
    <n v="1"/>
    <n v="28"/>
    <x v="37"/>
    <n v="56.2"/>
    <n v="56.801249999999996"/>
    <n v="14.160600000000001"/>
    <m/>
    <m/>
    <m/>
  </r>
  <r>
    <n v="2025"/>
    <s v="Southeast"/>
    <x v="3"/>
    <n v="2"/>
    <n v="12"/>
    <n v="3"/>
    <n v="28"/>
    <x v="37"/>
    <n v="56.9"/>
    <n v="71.055104999999983"/>
    <n v="13.710599999999999"/>
    <m/>
    <m/>
    <m/>
  </r>
  <r>
    <n v="2025"/>
    <s v="Southeast"/>
    <x v="3"/>
    <n v="3"/>
    <n v="11"/>
    <n v="5"/>
    <n v="28"/>
    <x v="37"/>
    <n v="56.5"/>
    <n v="60.86849999999999"/>
    <n v="13.980600000000001"/>
    <m/>
    <m/>
    <m/>
  </r>
  <r>
    <n v="2025"/>
    <s v="Southeast"/>
    <x v="3"/>
    <n v="1"/>
    <n v="6"/>
    <n v="1"/>
    <n v="46"/>
    <x v="25"/>
    <n v="58.6"/>
    <n v="70.985144999999989"/>
    <n v="13.530600000000002"/>
    <m/>
    <m/>
    <m/>
  </r>
  <r>
    <n v="2025"/>
    <s v="Southeast"/>
    <x v="3"/>
    <n v="2"/>
    <n v="17"/>
    <n v="3"/>
    <n v="46"/>
    <x v="25"/>
    <n v="58.6"/>
    <n v="76.976349999999996"/>
    <n v="12.630600000000001"/>
    <m/>
    <m/>
    <m/>
  </r>
  <r>
    <n v="2025"/>
    <s v="Southeast"/>
    <x v="3"/>
    <n v="3"/>
    <n v="8"/>
    <n v="5"/>
    <n v="46"/>
    <x v="25"/>
    <n v="58.7"/>
    <n v="61.46403999999999"/>
    <n v="13.530600000000002"/>
    <m/>
    <m/>
    <m/>
  </r>
  <r>
    <n v="2025"/>
    <s v="Southeast"/>
    <x v="3"/>
    <n v="1"/>
    <n v="20"/>
    <n v="2"/>
    <n v="45"/>
    <x v="21"/>
    <n v="59.5"/>
    <n v="65.405339999999995"/>
    <n v="12.4506"/>
    <m/>
    <m/>
    <m/>
  </r>
  <r>
    <n v="2025"/>
    <s v="Southeast"/>
    <x v="3"/>
    <n v="2"/>
    <n v="9"/>
    <n v="4"/>
    <n v="45"/>
    <x v="21"/>
    <n v="58.6"/>
    <n v="69.913799999999995"/>
    <n v="13.530600000000002"/>
    <m/>
    <m/>
    <m/>
  </r>
  <r>
    <n v="2025"/>
    <s v="Southeast"/>
    <x v="3"/>
    <n v="3"/>
    <n v="15"/>
    <n v="6"/>
    <n v="45"/>
    <x v="21"/>
    <n v="58.5"/>
    <n v="68.811049999999994"/>
    <n v="13.4406"/>
    <m/>
    <m/>
    <m/>
  </r>
  <r>
    <n v="2025"/>
    <s v="Southeast"/>
    <x v="3"/>
    <n v="1"/>
    <n v="2"/>
    <n v="2"/>
    <n v="24"/>
    <x v="29"/>
    <n v="57.5"/>
    <n v="64.414349999999985"/>
    <n v="12.990599999999999"/>
    <m/>
    <m/>
    <m/>
  </r>
  <r>
    <n v="2025"/>
    <s v="Southeast"/>
    <x v="3"/>
    <n v="2"/>
    <n v="4"/>
    <n v="4"/>
    <n v="24"/>
    <x v="29"/>
    <n v="57"/>
    <n v="70.778179999999978"/>
    <n v="13.710599999999999"/>
    <m/>
    <m/>
    <m/>
  </r>
  <r>
    <n v="2025"/>
    <s v="Southeast"/>
    <x v="3"/>
    <n v="3"/>
    <n v="13"/>
    <n v="5"/>
    <n v="24"/>
    <x v="29"/>
    <n v="57.1"/>
    <n v="70.728239999999971"/>
    <n v="13.890599999999999"/>
    <m/>
    <m/>
    <m/>
  </r>
  <r>
    <n v="2025"/>
    <s v="Southeast"/>
    <x v="3"/>
    <n v="1"/>
    <n v="8"/>
    <n v="2"/>
    <n v="33"/>
    <x v="3"/>
    <n v="58"/>
    <n v="68.951959999999985"/>
    <n v="12.990599999999999"/>
    <m/>
    <m/>
    <m/>
  </r>
  <r>
    <n v="2025"/>
    <s v="Southeast"/>
    <x v="3"/>
    <n v="2"/>
    <n v="5"/>
    <n v="4"/>
    <n v="33"/>
    <x v="3"/>
    <n v="57.8"/>
    <n v="72.478560000000002"/>
    <n v="12.5406"/>
    <m/>
    <m/>
    <m/>
  </r>
  <r>
    <n v="2025"/>
    <s v="Southeast"/>
    <x v="3"/>
    <n v="3"/>
    <n v="18"/>
    <n v="5"/>
    <n v="33"/>
    <x v="3"/>
    <n v="58"/>
    <n v="59.103494999999995"/>
    <n v="13.1706"/>
    <m/>
    <m/>
    <m/>
  </r>
  <r>
    <n v="2025"/>
    <s v="Southeast"/>
    <x v="3"/>
    <n v="1"/>
    <n v="11"/>
    <n v="2"/>
    <n v="25"/>
    <x v="34"/>
    <n v="57.1"/>
    <n v="69.505424999999988"/>
    <n v="13.530600000000002"/>
    <m/>
    <m/>
    <m/>
  </r>
  <r>
    <n v="2025"/>
    <s v="Southeast"/>
    <x v="3"/>
    <n v="2"/>
    <n v="18"/>
    <n v="4"/>
    <n v="25"/>
    <x v="34"/>
    <n v="57.1"/>
    <n v="62.388480000000001"/>
    <n v="14.070600000000001"/>
    <m/>
    <m/>
    <m/>
  </r>
  <r>
    <n v="2025"/>
    <s v="Southeast"/>
    <x v="3"/>
    <n v="3"/>
    <n v="5"/>
    <n v="6"/>
    <n v="25"/>
    <x v="34"/>
    <n v="57.3"/>
    <n v="68.654079999999993"/>
    <n v="13.710599999999999"/>
    <m/>
    <m/>
    <m/>
  </r>
  <r>
    <n v="2025"/>
    <s v="Southeast"/>
    <x v="3"/>
    <n v="1"/>
    <n v="21"/>
    <n v="2"/>
    <n v="34"/>
    <x v="0"/>
    <n v="55.8"/>
    <n v="57.906089999999999"/>
    <n v="14.160600000000001"/>
    <m/>
    <m/>
    <m/>
  </r>
  <r>
    <n v="2025"/>
    <s v="Southeast"/>
    <x v="3"/>
    <n v="2"/>
    <n v="7"/>
    <n v="4"/>
    <n v="34"/>
    <x v="0"/>
    <n v="57.6"/>
    <n v="73.418730000000011"/>
    <n v="12.810600000000001"/>
    <m/>
    <m/>
    <m/>
  </r>
  <r>
    <n v="2025"/>
    <s v="Southeast"/>
    <x v="3"/>
    <n v="3"/>
    <n v="10"/>
    <n v="5"/>
    <n v="34"/>
    <x v="0"/>
    <n v="58"/>
    <n v="63.072074999999991"/>
    <n v="13.1706"/>
    <m/>
    <m/>
    <m/>
  </r>
  <r>
    <n v="2025"/>
    <s v="Southeast"/>
    <x v="3"/>
    <n v="1"/>
    <n v="19"/>
    <n v="2"/>
    <n v="35"/>
    <x v="30"/>
    <n v="57.4"/>
    <n v="75.403019999999998"/>
    <n v="13.800599999999999"/>
    <m/>
    <m/>
    <m/>
  </r>
  <r>
    <n v="2025"/>
    <s v="Southeast"/>
    <x v="3"/>
    <n v="2"/>
    <n v="1"/>
    <n v="4"/>
    <n v="35"/>
    <x v="30"/>
    <n v="58.1"/>
    <n v="78.254219999999975"/>
    <n v="13.530600000000002"/>
    <m/>
    <m/>
    <m/>
  </r>
  <r>
    <n v="2025"/>
    <s v="Southeast"/>
    <x v="3"/>
    <n v="3"/>
    <n v="15"/>
    <n v="5"/>
    <n v="35"/>
    <x v="30"/>
    <n v="57.7"/>
    <n v="69.426719999999989"/>
    <n v="13.980600000000001"/>
    <m/>
    <m/>
    <m/>
  </r>
  <r>
    <n v="2025"/>
    <s v="Southeast"/>
    <x v="3"/>
    <n v="1"/>
    <n v="5"/>
    <n v="1"/>
    <n v="26"/>
    <x v="11"/>
    <n v="57"/>
    <n v="80.176964999999996"/>
    <n v="13.0806"/>
    <m/>
    <m/>
    <m/>
  </r>
  <r>
    <n v="2025"/>
    <s v="Southeast"/>
    <x v="3"/>
    <n v="2"/>
    <n v="21"/>
    <n v="4"/>
    <n v="26"/>
    <x v="11"/>
    <n v="57"/>
    <n v="82.161254999999997"/>
    <n v="13.2606"/>
    <m/>
    <m/>
    <m/>
  </r>
  <r>
    <n v="2025"/>
    <s v="Southeast"/>
    <x v="3"/>
    <n v="3"/>
    <n v="8"/>
    <n v="6"/>
    <n v="26"/>
    <x v="11"/>
    <n v="56.9"/>
    <n v="78.867249999999999"/>
    <n v="13.710599999999999"/>
    <m/>
    <m/>
    <m/>
  </r>
  <r>
    <n v="2025"/>
    <s v="Southeast"/>
    <x v="3"/>
    <n v="1"/>
    <n v="7"/>
    <n v="1"/>
    <n v="36"/>
    <x v="36"/>
    <n v="58.9"/>
    <n v="59.367879999999985"/>
    <n v="13.800599999999999"/>
    <m/>
    <m/>
    <m/>
  </r>
  <r>
    <n v="2025"/>
    <s v="Southeast"/>
    <x v="3"/>
    <n v="2"/>
    <n v="17"/>
    <n v="4"/>
    <n v="36"/>
    <x v="36"/>
    <n v="58.3"/>
    <n v="61.585589999999989"/>
    <n v="13.980600000000001"/>
    <m/>
    <m/>
    <m/>
  </r>
  <r>
    <n v="2025"/>
    <s v="Southeast"/>
    <x v="3"/>
    <n v="3"/>
    <n v="16"/>
    <n v="5"/>
    <n v="36"/>
    <x v="36"/>
    <n v="58.8"/>
    <n v="53.317440000000005"/>
    <n v="14.3406"/>
    <m/>
    <m/>
    <m/>
  </r>
  <r>
    <n v="2025"/>
    <s v="Northeast"/>
    <x v="4"/>
    <n v="1"/>
    <n v="1"/>
    <n v="1"/>
    <n v="42"/>
    <x v="42"/>
    <n v="57.6"/>
    <n v="54.166433823529403"/>
    <n v="10.199999999999999"/>
    <n v="0"/>
    <m/>
    <m/>
  </r>
  <r>
    <n v="2025"/>
    <s v="Northeast"/>
    <x v="4"/>
    <n v="1"/>
    <n v="2"/>
    <n v="1"/>
    <n v="38"/>
    <x v="43"/>
    <n v="51"/>
    <n v="53.994233193277296"/>
    <n v="11.5"/>
    <n v="2"/>
    <m/>
    <m/>
  </r>
  <r>
    <n v="2025"/>
    <s v="Northeast"/>
    <x v="4"/>
    <n v="1"/>
    <n v="3"/>
    <n v="1"/>
    <n v="7"/>
    <x v="44"/>
    <n v="54.1"/>
    <n v="42.326659663865534"/>
    <n v="11.3"/>
    <n v="3"/>
    <m/>
    <m/>
  </r>
  <r>
    <n v="2025"/>
    <s v="Northeast"/>
    <x v="4"/>
    <n v="1"/>
    <n v="4"/>
    <n v="1"/>
    <n v="11"/>
    <x v="2"/>
    <n v="55.8"/>
    <n v="52.804852941176456"/>
    <n v="10.6"/>
    <n v="1"/>
    <m/>
    <m/>
  </r>
  <r>
    <n v="2025"/>
    <s v="Northeast"/>
    <x v="4"/>
    <n v="1"/>
    <n v="5"/>
    <n v="1"/>
    <n v="5"/>
    <x v="28"/>
    <n v="52.1"/>
    <n v="49.395110294117636"/>
    <n v="10.7"/>
    <n v="-1"/>
    <m/>
    <m/>
  </r>
  <r>
    <n v="2025"/>
    <s v="Northeast"/>
    <x v="4"/>
    <n v="1"/>
    <n v="6"/>
    <n v="1"/>
    <n v="57"/>
    <x v="45"/>
    <n v="55.5"/>
    <n v="46.004369747899155"/>
    <n v="10.4"/>
    <n v="-1"/>
    <m/>
    <m/>
  </r>
  <r>
    <n v="2025"/>
    <s v="Northeast"/>
    <x v="4"/>
    <n v="1"/>
    <n v="7"/>
    <n v="1"/>
    <n v="3"/>
    <x v="16"/>
    <n v="55.5"/>
    <n v="46.724464285714269"/>
    <n v="10.9"/>
    <n v="-1"/>
    <m/>
    <m/>
  </r>
  <r>
    <n v="2025"/>
    <s v="Northeast"/>
    <x v="4"/>
    <n v="1"/>
    <n v="8"/>
    <n v="1"/>
    <n v="17"/>
    <x v="32"/>
    <n v="56.6"/>
    <n v="49.334936974789898"/>
    <n v="10"/>
    <n v="0"/>
    <m/>
    <m/>
  </r>
  <r>
    <n v="2025"/>
    <s v="Northeast"/>
    <x v="4"/>
    <n v="1"/>
    <n v="9"/>
    <n v="1"/>
    <n v="24"/>
    <x v="29"/>
    <n v="53.6"/>
    <n v="52.929406512605027"/>
    <n v="9.6999999999999993"/>
    <n v="0"/>
    <m/>
    <m/>
  </r>
  <r>
    <n v="2025"/>
    <s v="Northeast"/>
    <x v="4"/>
    <n v="1"/>
    <n v="10"/>
    <n v="1"/>
    <n v="35"/>
    <x v="30"/>
    <n v="56.4"/>
    <n v="47.893235294117638"/>
    <n v="9.9"/>
    <n v="0"/>
    <m/>
    <m/>
  </r>
  <r>
    <n v="2025"/>
    <s v="Northeast"/>
    <x v="4"/>
    <n v="1"/>
    <n v="11"/>
    <n v="1"/>
    <n v="26"/>
    <x v="11"/>
    <n v="55.5"/>
    <n v="59.321864495798316"/>
    <n v="9.8000000000000007"/>
    <n v="-1"/>
    <m/>
    <m/>
  </r>
  <r>
    <n v="2025"/>
    <s v="Northeast"/>
    <x v="4"/>
    <n v="1"/>
    <n v="12"/>
    <n v="1"/>
    <n v="6"/>
    <x v="10"/>
    <n v="57"/>
    <n v="43.668387605042007"/>
    <n v="12.7"/>
    <n v="4"/>
    <m/>
    <m/>
  </r>
  <r>
    <n v="2025"/>
    <s v="Northeast"/>
    <x v="4"/>
    <n v="1"/>
    <n v="13"/>
    <n v="1"/>
    <n v="10"/>
    <x v="15"/>
    <n v="48.6"/>
    <n v="43.636575630252089"/>
    <n v="12.4"/>
    <n v="4"/>
    <m/>
    <m/>
  </r>
  <r>
    <n v="2025"/>
    <s v="Northeast"/>
    <x v="4"/>
    <n v="1"/>
    <n v="13"/>
    <n v="2"/>
    <n v="28"/>
    <x v="37"/>
    <n v="54.5"/>
    <n v="37.490152980877383"/>
    <n v="10.7"/>
    <n v="1"/>
    <m/>
    <m/>
  </r>
  <r>
    <n v="2025"/>
    <s v="Northeast"/>
    <x v="4"/>
    <n v="1"/>
    <n v="12"/>
    <n v="2"/>
    <n v="8"/>
    <x v="9"/>
    <n v="57.1"/>
    <n v="49.135092013498308"/>
    <n v="10.3"/>
    <n v="0"/>
    <m/>
    <m/>
  </r>
  <r>
    <n v="2025"/>
    <s v="Northeast"/>
    <x v="4"/>
    <n v="1"/>
    <n v="11"/>
    <n v="2"/>
    <n v="40"/>
    <x v="13"/>
    <n v="56.2"/>
    <n v="46.873214848143974"/>
    <n v="10.1"/>
    <n v="0"/>
    <m/>
    <m/>
  </r>
  <r>
    <n v="2025"/>
    <s v="Northeast"/>
    <x v="4"/>
    <n v="1"/>
    <n v="10"/>
    <n v="2"/>
    <n v="12"/>
    <x v="41"/>
    <n v="54.5"/>
    <n v="39.264134983127107"/>
    <n v="11"/>
    <n v="-1"/>
    <m/>
    <m/>
  </r>
  <r>
    <n v="2025"/>
    <s v="Northeast"/>
    <x v="4"/>
    <n v="1"/>
    <n v="9"/>
    <n v="2"/>
    <n v="43"/>
    <x v="22"/>
    <n v="49.1"/>
    <n v="27.214153430821142"/>
    <n v="12.3"/>
    <n v="0"/>
    <m/>
    <m/>
  </r>
  <r>
    <n v="2025"/>
    <s v="Northeast"/>
    <x v="4"/>
    <n v="1"/>
    <n v="8"/>
    <n v="2"/>
    <n v="2"/>
    <x v="23"/>
    <n v="55.8"/>
    <n v="43.136738807649046"/>
    <n v="10"/>
    <n v="-2"/>
    <m/>
    <m/>
  </r>
  <r>
    <n v="2025"/>
    <s v="Northeast"/>
    <x v="4"/>
    <n v="1"/>
    <n v="7"/>
    <n v="2"/>
    <n v="27"/>
    <x v="39"/>
    <n v="55.4"/>
    <n v="41.06519999999999"/>
    <n v="10.1"/>
    <n v="-1"/>
    <m/>
    <m/>
  </r>
  <r>
    <n v="2025"/>
    <s v="Northeast"/>
    <x v="4"/>
    <n v="1"/>
    <n v="6"/>
    <n v="2"/>
    <n v="14"/>
    <x v="5"/>
    <n v="57"/>
    <n v="46.123532058492678"/>
    <n v="9.6999999999999993"/>
    <n v="0"/>
    <m/>
    <m/>
  </r>
  <r>
    <n v="2025"/>
    <s v="Northeast"/>
    <x v="4"/>
    <n v="1"/>
    <n v="5"/>
    <n v="2"/>
    <n v="44"/>
    <x v="17"/>
    <n v="51"/>
    <n v="32.962790551181101"/>
    <n v="11.1"/>
    <n v="-2"/>
    <m/>
    <m/>
  </r>
  <r>
    <n v="2025"/>
    <s v="Northeast"/>
    <x v="4"/>
    <n v="1"/>
    <n v="4"/>
    <n v="2"/>
    <n v="32"/>
    <x v="24"/>
    <n v="56.1"/>
    <n v="48.088743307086609"/>
    <n v="10.3"/>
    <n v="0"/>
    <m/>
    <m/>
  </r>
  <r>
    <n v="2025"/>
    <s v="Northeast"/>
    <x v="4"/>
    <n v="1"/>
    <n v="3"/>
    <n v="2"/>
    <n v="29"/>
    <x v="27"/>
    <n v="55.7"/>
    <n v="47.6359046119235"/>
    <n v="10.3"/>
    <n v="0"/>
    <m/>
    <m/>
  </r>
  <r>
    <n v="2025"/>
    <s v="Northeast"/>
    <x v="4"/>
    <n v="1"/>
    <n v="2"/>
    <n v="2"/>
    <n v="4"/>
    <x v="4"/>
    <n v="50.5"/>
    <n v="45.954307761529805"/>
    <n v="10.7"/>
    <n v="4"/>
    <m/>
    <m/>
  </r>
  <r>
    <n v="2025"/>
    <s v="Northeast"/>
    <x v="4"/>
    <n v="1"/>
    <n v="1"/>
    <n v="2"/>
    <n v="1"/>
    <x v="12"/>
    <n v="57.4"/>
    <n v="44.912725309336338"/>
    <n v="9.8000000000000007"/>
    <n v="-3"/>
    <m/>
    <m/>
  </r>
  <r>
    <n v="2025"/>
    <s v="Northeast"/>
    <x v="4"/>
    <n v="1"/>
    <n v="1"/>
    <n v="3"/>
    <n v="13"/>
    <x v="38"/>
    <n v="55.9"/>
    <n v="50.830733488217724"/>
    <n v="10.4"/>
    <n v="0"/>
    <m/>
    <m/>
  </r>
  <r>
    <n v="2025"/>
    <s v="Northeast"/>
    <x v="4"/>
    <n v="1"/>
    <n v="2"/>
    <n v="3"/>
    <n v="39"/>
    <x v="46"/>
    <n v="55.1"/>
    <n v="56.39606277559146"/>
    <n v="10.7"/>
    <n v="0"/>
    <m/>
    <m/>
  </r>
  <r>
    <n v="2025"/>
    <s v="Northeast"/>
    <x v="4"/>
    <n v="1"/>
    <n v="3"/>
    <n v="3"/>
    <n v="20"/>
    <x v="18"/>
    <n v="56.1"/>
    <n v="56.771202882746174"/>
    <n v="10.3"/>
    <n v="0"/>
    <m/>
    <m/>
  </r>
  <r>
    <n v="2025"/>
    <s v="Northeast"/>
    <x v="4"/>
    <n v="1"/>
    <n v="4"/>
    <n v="3"/>
    <n v="16"/>
    <x v="40"/>
    <n v="57.9"/>
    <n v="57.006087904793503"/>
    <n v="10.7"/>
    <n v="2"/>
    <m/>
    <m/>
  </r>
  <r>
    <n v="2025"/>
    <s v="Northeast"/>
    <x v="4"/>
    <n v="1"/>
    <n v="5"/>
    <n v="3"/>
    <n v="49"/>
    <x v="47"/>
    <n v="50.7"/>
    <n v="43.313896448722197"/>
    <n v="12.8"/>
    <n v="1"/>
    <m/>
    <m/>
  </r>
  <r>
    <n v="2025"/>
    <s v="Northeast"/>
    <x v="4"/>
    <n v="1"/>
    <n v="6"/>
    <n v="3"/>
    <n v="34"/>
    <x v="0"/>
    <n v="54.2"/>
    <n v="51.328667204020668"/>
    <n v="9.9"/>
    <n v="-1"/>
    <m/>
    <m/>
  </r>
  <r>
    <n v="2025"/>
    <s v="Northeast"/>
    <x v="4"/>
    <n v="1"/>
    <n v="7"/>
    <n v="3"/>
    <n v="45"/>
    <x v="21"/>
    <n v="58.1"/>
    <n v="53.667894836660189"/>
    <n v="10.1"/>
    <n v="0"/>
    <m/>
    <m/>
  </r>
  <r>
    <n v="2025"/>
    <s v="Northeast"/>
    <x v="4"/>
    <n v="1"/>
    <n v="8"/>
    <n v="3"/>
    <n v="30"/>
    <x v="14"/>
    <n v="54.4"/>
    <n v="46.421241287753055"/>
    <n v="11.4"/>
    <n v="0"/>
    <m/>
    <m/>
  </r>
  <r>
    <n v="2025"/>
    <s v="Northeast"/>
    <x v="4"/>
    <n v="1"/>
    <n v="9"/>
    <n v="3"/>
    <n v="21"/>
    <x v="26"/>
    <n v="55.4"/>
    <n v="55.164606230145544"/>
    <n v="10.4"/>
    <n v="-1"/>
    <m/>
    <m/>
  </r>
  <r>
    <n v="2025"/>
    <s v="Northeast"/>
    <x v="4"/>
    <n v="1"/>
    <n v="10"/>
    <n v="3"/>
    <n v="46"/>
    <x v="25"/>
    <n v="54.5"/>
    <n v="43.619894741833008"/>
    <n v="11.1"/>
    <n v="0"/>
    <m/>
    <m/>
  </r>
  <r>
    <n v="2025"/>
    <s v="Northeast"/>
    <x v="4"/>
    <n v="1"/>
    <n v="11"/>
    <n v="3"/>
    <n v="48"/>
    <x v="48"/>
    <n v="54.8"/>
    <n v="38.720824048172204"/>
    <n v="11.9"/>
    <n v="3"/>
    <m/>
    <m/>
  </r>
  <r>
    <n v="2025"/>
    <s v="Northeast"/>
    <x v="4"/>
    <n v="1"/>
    <n v="12"/>
    <n v="3"/>
    <n v="36"/>
    <x v="36"/>
    <n v="55.5"/>
    <n v="43.724663600587917"/>
    <n v="12.3"/>
    <n v="-2"/>
    <m/>
    <m/>
  </r>
  <r>
    <n v="2025"/>
    <s v="Northeast"/>
    <x v="4"/>
    <n v="1"/>
    <n v="13"/>
    <n v="3"/>
    <n v="18"/>
    <x v="8"/>
    <n v="54.8"/>
    <n v="38.519453795457771"/>
    <n v="11.8"/>
    <n v="0"/>
    <m/>
    <m/>
  </r>
  <r>
    <n v="2025"/>
    <s v="Northeast"/>
    <x v="4"/>
    <n v="1"/>
    <n v="13"/>
    <n v="4"/>
    <n v="25"/>
    <x v="34"/>
    <n v="56.6"/>
    <n v="38.174029997541183"/>
    <n v="11.4"/>
    <n v="1"/>
    <m/>
    <m/>
  </r>
  <r>
    <n v="2025"/>
    <s v="Northeast"/>
    <x v="4"/>
    <n v="1"/>
    <n v="12"/>
    <n v="4"/>
    <n v="15"/>
    <x v="7"/>
    <n v="53.7"/>
    <n v="44.62950184411114"/>
    <n v="10.3"/>
    <n v="-2"/>
    <m/>
    <m/>
  </r>
  <r>
    <n v="2025"/>
    <s v="Northeast"/>
    <x v="4"/>
    <n v="1"/>
    <n v="11"/>
    <n v="4"/>
    <n v="22"/>
    <x v="33"/>
    <n v="56.9"/>
    <n v="46.470507499385299"/>
    <n v="10.3"/>
    <n v="1"/>
    <m/>
    <m/>
  </r>
  <r>
    <n v="2025"/>
    <s v="Northeast"/>
    <x v="4"/>
    <n v="1"/>
    <n v="10"/>
    <n v="4"/>
    <n v="37"/>
    <x v="31"/>
    <n v="55.9"/>
    <n v="50.439903614457819"/>
    <n v="10.5"/>
    <n v="1"/>
    <m/>
    <m/>
  </r>
  <r>
    <n v="2025"/>
    <s v="Northeast"/>
    <x v="4"/>
    <n v="1"/>
    <n v="9"/>
    <n v="4"/>
    <n v="31"/>
    <x v="6"/>
    <n v="55.3"/>
    <n v="44.32580772067864"/>
    <n v="11.2"/>
    <n v="-2"/>
    <m/>
    <m/>
  </r>
  <r>
    <n v="2025"/>
    <s v="Northeast"/>
    <x v="4"/>
    <n v="1"/>
    <n v="8"/>
    <n v="4"/>
    <n v="19"/>
    <x v="49"/>
    <n v="51.4"/>
    <n v="43.991929186132282"/>
    <n v="10.5"/>
    <n v="1"/>
    <m/>
    <m/>
  </r>
  <r>
    <n v="2025"/>
    <s v="Northeast"/>
    <x v="4"/>
    <n v="1"/>
    <n v="7"/>
    <n v="4"/>
    <n v="33"/>
    <x v="3"/>
    <n v="56.6"/>
    <n v="43.025930661421192"/>
    <n v="10.199999999999999"/>
    <n v="0"/>
    <m/>
    <m/>
  </r>
  <r>
    <n v="2025"/>
    <s v="Northeast"/>
    <x v="4"/>
    <n v="1"/>
    <n v="6"/>
    <n v="4"/>
    <n v="9"/>
    <x v="1"/>
    <n v="53.7"/>
    <n v="43.81914777477256"/>
    <n v="11.7"/>
    <n v="1"/>
    <m/>
    <m/>
  </r>
  <r>
    <n v="2025"/>
    <s v="Northeast"/>
    <x v="4"/>
    <n v="1"/>
    <n v="5"/>
    <n v="4"/>
    <n v="23"/>
    <x v="35"/>
    <n v="57.6"/>
    <n v="49.264756331448247"/>
    <n v="10.5"/>
    <n v="0"/>
    <m/>
    <m/>
  </r>
  <r>
    <n v="2025"/>
    <s v="Northeast"/>
    <x v="4"/>
    <n v="1"/>
    <n v="4"/>
    <n v="4"/>
    <n v="47"/>
    <x v="50"/>
    <n v="56.3"/>
    <n v="53.460778952544878"/>
    <n v="11.4"/>
    <n v="1"/>
    <m/>
    <m/>
  </r>
  <r>
    <n v="2025"/>
    <s v="Northeast"/>
    <x v="4"/>
    <n v="1"/>
    <n v="3"/>
    <n v="4"/>
    <n v="41"/>
    <x v="20"/>
    <n v="51.7"/>
    <n v="38.691059749200882"/>
    <n v="11.7"/>
    <n v="-1"/>
    <m/>
    <m/>
  </r>
  <r>
    <n v="2025"/>
    <s v="Northeast"/>
    <x v="4"/>
    <n v="1"/>
    <n v="2"/>
    <n v="4"/>
    <n v="58"/>
    <x v="51"/>
    <n v="54"/>
    <n v="40.27749397590361"/>
    <n v="11.6"/>
    <n v="-3"/>
    <m/>
    <m/>
  </r>
  <r>
    <n v="2025"/>
    <s v="Northeast"/>
    <x v="4"/>
    <n v="1"/>
    <n v="1"/>
    <n v="4"/>
    <n v="60"/>
    <x v="52"/>
    <n v="49.6"/>
    <n v="26.785500368822227"/>
    <n v="13.9"/>
    <n v="5"/>
    <m/>
    <m/>
  </r>
  <r>
    <n v="2025"/>
    <s v="Northeast"/>
    <x v="4"/>
    <n v="2"/>
    <n v="1"/>
    <n v="5"/>
    <n v="10"/>
    <x v="15"/>
    <n v="53.1"/>
    <n v="37.501339376114942"/>
    <m/>
    <n v="4"/>
    <m/>
    <m/>
  </r>
  <r>
    <n v="2025"/>
    <s v="Northeast"/>
    <x v="4"/>
    <n v="2"/>
    <n v="2"/>
    <n v="5"/>
    <n v="44"/>
    <x v="17"/>
    <n v="50.3"/>
    <n v="34.579214116966391"/>
    <m/>
    <n v="-3"/>
    <m/>
    <m/>
  </r>
  <r>
    <n v="2025"/>
    <s v="Northeast"/>
    <x v="4"/>
    <n v="2"/>
    <n v="3"/>
    <n v="5"/>
    <n v="58"/>
    <x v="51"/>
    <n v="53.5"/>
    <n v="41.008987512656091"/>
    <m/>
    <n v="-2"/>
    <m/>
    <m/>
  </r>
  <r>
    <n v="2025"/>
    <s v="Northeast"/>
    <x v="4"/>
    <n v="2"/>
    <n v="4"/>
    <n v="5"/>
    <n v="4"/>
    <x v="4"/>
    <n v="49.8"/>
    <n v="48.350433441010566"/>
    <m/>
    <n v="3"/>
    <m/>
    <m/>
  </r>
  <r>
    <n v="2025"/>
    <s v="Northeast"/>
    <x v="4"/>
    <n v="2"/>
    <n v="5"/>
    <n v="5"/>
    <n v="12"/>
    <x v="41"/>
    <n v="51.4"/>
    <n v="38.056600453208617"/>
    <m/>
    <n v="-2"/>
    <m/>
    <m/>
  </r>
  <r>
    <n v="2025"/>
    <s v="Northeast"/>
    <x v="4"/>
    <n v="2"/>
    <n v="6"/>
    <n v="5"/>
    <n v="30"/>
    <x v="14"/>
    <n v="53.1"/>
    <n v="35.747777831348536"/>
    <m/>
    <n v="1"/>
    <m/>
    <m/>
  </r>
  <r>
    <n v="2025"/>
    <s v="Northeast"/>
    <x v="4"/>
    <n v="2"/>
    <n v="7"/>
    <n v="5"/>
    <n v="1"/>
    <x v="12"/>
    <n v="56.2"/>
    <n v="47.429500988380497"/>
    <m/>
    <n v="-3"/>
    <m/>
    <m/>
  </r>
  <r>
    <n v="2025"/>
    <s v="Northeast"/>
    <x v="4"/>
    <n v="2"/>
    <n v="8"/>
    <n v="5"/>
    <n v="9"/>
    <x v="1"/>
    <n v="51"/>
    <n v="42.315447664047056"/>
    <m/>
    <n v="4"/>
    <m/>
    <m/>
  </r>
  <r>
    <n v="2025"/>
    <s v="Northeast"/>
    <x v="4"/>
    <n v="2"/>
    <n v="9"/>
    <n v="5"/>
    <n v="13"/>
    <x v="38"/>
    <n v="55.9"/>
    <n v="45.597898365556148"/>
    <m/>
    <n v="1"/>
    <m/>
    <m/>
  </r>
  <r>
    <n v="2025"/>
    <s v="Northeast"/>
    <x v="4"/>
    <n v="2"/>
    <n v="10"/>
    <n v="5"/>
    <n v="34"/>
    <x v="0"/>
    <n v="54.9"/>
    <n v="46.200318210308076"/>
    <m/>
    <n v="-1"/>
    <m/>
    <m/>
  </r>
  <r>
    <n v="2025"/>
    <s v="Northeast"/>
    <x v="4"/>
    <n v="2"/>
    <n v="11"/>
    <n v="5"/>
    <n v="3"/>
    <x v="16"/>
    <n v="56.7"/>
    <n v="42.843835880622919"/>
    <m/>
    <n v="2"/>
    <m/>
    <m/>
  </r>
  <r>
    <n v="2025"/>
    <s v="Northeast"/>
    <x v="4"/>
    <n v="2"/>
    <n v="12"/>
    <n v="5"/>
    <n v="20"/>
    <x v="18"/>
    <n v="53.5"/>
    <n v="45.823429921411702"/>
    <m/>
    <n v="1"/>
    <m/>
    <m/>
  </r>
  <r>
    <n v="2025"/>
    <s v="Northeast"/>
    <x v="4"/>
    <n v="2"/>
    <n v="13"/>
    <n v="5"/>
    <n v="45"/>
    <x v="21"/>
    <n v="58.1"/>
    <n v="49.072420809025601"/>
    <m/>
    <n v="1"/>
    <m/>
    <m/>
  </r>
  <r>
    <n v="2025"/>
    <s v="Northeast"/>
    <x v="4"/>
    <n v="2"/>
    <n v="13"/>
    <n v="6"/>
    <n v="29"/>
    <x v="27"/>
    <n v="55.9"/>
    <n v="44.153211615033506"/>
    <m/>
    <n v="1"/>
    <m/>
    <m/>
  </r>
  <r>
    <n v="2025"/>
    <s v="Northeast"/>
    <x v="4"/>
    <n v="2"/>
    <n v="12"/>
    <n v="6"/>
    <n v="37"/>
    <x v="31"/>
    <n v="55.6"/>
    <n v="48.093357774108952"/>
    <m/>
    <n v="0"/>
    <m/>
    <m/>
  </r>
  <r>
    <n v="2025"/>
    <s v="Northeast"/>
    <x v="4"/>
    <n v="2"/>
    <n v="11"/>
    <n v="6"/>
    <n v="60"/>
    <x v="52"/>
    <n v="47.4"/>
    <n v="22.064347382732826"/>
    <m/>
    <n v="10"/>
    <m/>
    <m/>
  </r>
  <r>
    <n v="2025"/>
    <s v="Northeast"/>
    <x v="4"/>
    <n v="2"/>
    <n v="10"/>
    <n v="6"/>
    <n v="17"/>
    <x v="32"/>
    <n v="56.1"/>
    <n v="49.961060988637456"/>
    <m/>
    <n v="1"/>
    <m/>
    <m/>
  </r>
  <r>
    <n v="2025"/>
    <s v="Northeast"/>
    <x v="4"/>
    <n v="2"/>
    <n v="9"/>
    <n v="6"/>
    <n v="2"/>
    <x v="23"/>
    <n v="55.9"/>
    <n v="48.780262212294836"/>
    <m/>
    <n v="0"/>
    <m/>
    <m/>
  </r>
  <r>
    <n v="2025"/>
    <s v="Northeast"/>
    <x v="4"/>
    <n v="2"/>
    <n v="8"/>
    <n v="6"/>
    <n v="5"/>
    <x v="28"/>
    <n v="52.9"/>
    <n v="51.197623579683395"/>
    <m/>
    <n v="-1"/>
    <m/>
    <m/>
  </r>
  <r>
    <n v="2025"/>
    <s v="Northeast"/>
    <x v="4"/>
    <n v="2"/>
    <n v="7"/>
    <n v="6"/>
    <n v="39"/>
    <x v="46"/>
    <n v="55.9"/>
    <n v="49.274877634262388"/>
    <m/>
    <n v="-1"/>
    <m/>
    <m/>
  </r>
  <r>
    <n v="2025"/>
    <s v="Northeast"/>
    <x v="4"/>
    <n v="2"/>
    <n v="6"/>
    <n v="6"/>
    <n v="47"/>
    <x v="50"/>
    <n v="54.4"/>
    <n v="54.394716907837235"/>
    <m/>
    <n v="-1"/>
    <m/>
    <m/>
  </r>
  <r>
    <n v="2025"/>
    <s v="Northeast"/>
    <x v="4"/>
    <n v="2"/>
    <n v="5"/>
    <n v="6"/>
    <n v="11"/>
    <x v="2"/>
    <n v="56"/>
    <n v="51.073933670000962"/>
    <m/>
    <n v="2"/>
    <m/>
    <m/>
  </r>
  <r>
    <n v="2025"/>
    <s v="Northeast"/>
    <x v="4"/>
    <n v="2"/>
    <n v="4"/>
    <n v="6"/>
    <n v="21"/>
    <x v="26"/>
    <n v="54.8"/>
    <n v="53.350106827231208"/>
    <m/>
    <n v="0"/>
    <m/>
    <m/>
  </r>
  <r>
    <n v="2025"/>
    <s v="Northeast"/>
    <x v="4"/>
    <n v="2"/>
    <n v="3"/>
    <n v="6"/>
    <n v="26"/>
    <x v="11"/>
    <n v="56.9"/>
    <n v="61.636321258618999"/>
    <m/>
    <n v="1"/>
    <m/>
    <m/>
  </r>
  <r>
    <n v="2025"/>
    <s v="Northeast"/>
    <x v="4"/>
    <n v="2"/>
    <n v="2"/>
    <n v="6"/>
    <n v="19"/>
    <x v="49"/>
    <n v="52.1"/>
    <n v="44.688928814217725"/>
    <m/>
    <n v="2"/>
    <m/>
    <m/>
  </r>
  <r>
    <n v="2025"/>
    <s v="Northeast"/>
    <x v="4"/>
    <n v="2"/>
    <n v="1"/>
    <n v="6"/>
    <n v="24"/>
    <x v="29"/>
    <n v="56.7"/>
    <n v="47.404915023793336"/>
    <m/>
    <n v="-3"/>
    <m/>
    <m/>
  </r>
  <r>
    <n v="2025"/>
    <s v="Northeast"/>
    <x v="4"/>
    <n v="2"/>
    <n v="1"/>
    <n v="7"/>
    <n v="48"/>
    <x v="48"/>
    <n v="52.4"/>
    <n v="41.098288590604028"/>
    <m/>
    <n v="1"/>
    <m/>
    <m/>
  </r>
  <r>
    <n v="2025"/>
    <s v="Northeast"/>
    <x v="4"/>
    <n v="2"/>
    <n v="2"/>
    <n v="7"/>
    <n v="36"/>
    <x v="36"/>
    <n v="51.1"/>
    <n v="44.553417066155319"/>
    <m/>
    <n v="-2"/>
    <m/>
    <m/>
  </r>
  <r>
    <n v="2025"/>
    <s v="Northeast"/>
    <x v="4"/>
    <n v="2"/>
    <n v="3"/>
    <n v="7"/>
    <n v="6"/>
    <x v="10"/>
    <n v="54.8"/>
    <n v="39.559517257909867"/>
    <m/>
    <n v="2"/>
    <m/>
    <m/>
  </r>
  <r>
    <n v="2025"/>
    <s v="Northeast"/>
    <x v="4"/>
    <n v="2"/>
    <n v="4"/>
    <n v="7"/>
    <n v="46"/>
    <x v="25"/>
    <n v="50.3"/>
    <n v="44.706425695110262"/>
    <m/>
    <n v="1"/>
    <m/>
    <m/>
  </r>
  <r>
    <n v="2025"/>
    <s v="Northeast"/>
    <x v="4"/>
    <n v="2"/>
    <n v="5"/>
    <n v="7"/>
    <n v="40"/>
    <x v="13"/>
    <n v="55.6"/>
    <n v="48.958062799616499"/>
    <m/>
    <n v="1"/>
    <m/>
    <m/>
  </r>
  <r>
    <n v="2025"/>
    <s v="Northeast"/>
    <x v="4"/>
    <n v="2"/>
    <n v="6"/>
    <n v="7"/>
    <n v="28"/>
    <x v="37"/>
    <n v="50.6"/>
    <n v="40.006298657718119"/>
    <m/>
    <n v="0"/>
    <m/>
    <m/>
  </r>
  <r>
    <n v="2025"/>
    <s v="Northeast"/>
    <x v="4"/>
    <n v="2"/>
    <n v="7"/>
    <n v="7"/>
    <n v="7"/>
    <x v="44"/>
    <n v="53.6"/>
    <n v="40.447669702780438"/>
    <m/>
    <n v="4"/>
    <m/>
    <m/>
  </r>
  <r>
    <n v="2025"/>
    <s v="Northeast"/>
    <x v="4"/>
    <n v="2"/>
    <n v="8"/>
    <n v="7"/>
    <n v="38"/>
    <x v="43"/>
    <n v="51.7"/>
    <n v="56.200534515819747"/>
    <m/>
    <n v="4"/>
    <m/>
    <m/>
  </r>
  <r>
    <n v="2025"/>
    <s v="Northeast"/>
    <x v="4"/>
    <n v="2"/>
    <n v="9"/>
    <n v="7"/>
    <n v="22"/>
    <x v="33"/>
    <n v="56.1"/>
    <n v="49.839428571428563"/>
    <m/>
    <n v="0"/>
    <m/>
    <m/>
  </r>
  <r>
    <n v="2025"/>
    <s v="Northeast"/>
    <x v="4"/>
    <n v="2"/>
    <n v="10"/>
    <n v="7"/>
    <n v="14"/>
    <x v="5"/>
    <n v="49.3"/>
    <n v="58.703488015340348"/>
    <m/>
    <n v="0"/>
    <m/>
    <m/>
  </r>
  <r>
    <n v="2025"/>
    <s v="Northeast"/>
    <x v="4"/>
    <n v="2"/>
    <n v="11"/>
    <n v="7"/>
    <n v="25"/>
    <x v="34"/>
    <n v="55.7"/>
    <n v="44.705476510067108"/>
    <m/>
    <n v="2"/>
    <m/>
    <m/>
  </r>
  <r>
    <n v="2025"/>
    <s v="Northeast"/>
    <x v="4"/>
    <n v="2"/>
    <n v="12"/>
    <n v="7"/>
    <n v="16"/>
    <x v="40"/>
    <n v="56.9"/>
    <n v="54.934464046021084"/>
    <m/>
    <n v="1"/>
    <m/>
    <m/>
  </r>
  <r>
    <n v="2025"/>
    <s v="Northeast"/>
    <x v="4"/>
    <n v="2"/>
    <n v="13"/>
    <n v="7"/>
    <n v="35"/>
    <x v="30"/>
    <n v="55.3"/>
    <n v="40.075731543624158"/>
    <m/>
    <n v="0"/>
    <m/>
    <m/>
  </r>
  <r>
    <n v="2025"/>
    <s v="Northeast"/>
    <x v="4"/>
    <n v="2"/>
    <n v="13"/>
    <n v="8"/>
    <n v="8"/>
    <x v="9"/>
    <n v="54.1"/>
    <n v="53.385188071840055"/>
    <m/>
    <n v="0"/>
    <m/>
    <m/>
  </r>
  <r>
    <n v="2025"/>
    <s v="Northeast"/>
    <x v="4"/>
    <n v="2"/>
    <n v="12"/>
    <n v="8"/>
    <n v="18"/>
    <x v="8"/>
    <n v="53.2"/>
    <n v="48.588981459069565"/>
    <m/>
    <n v="0"/>
    <m/>
    <m/>
  </r>
  <r>
    <n v="2025"/>
    <s v="Northeast"/>
    <x v="4"/>
    <n v="2"/>
    <n v="11"/>
    <n v="8"/>
    <n v="33"/>
    <x v="3"/>
    <n v="54.1"/>
    <n v="53.647676816575498"/>
    <m/>
    <n v="1"/>
    <m/>
    <m/>
  </r>
  <r>
    <n v="2025"/>
    <s v="Northeast"/>
    <x v="4"/>
    <n v="2"/>
    <n v="10"/>
    <n v="8"/>
    <n v="23"/>
    <x v="35"/>
    <n v="56.2"/>
    <n v="55.562593793871315"/>
    <m/>
    <n v="2"/>
    <m/>
    <m/>
  </r>
  <r>
    <n v="2025"/>
    <s v="Northeast"/>
    <x v="4"/>
    <n v="2"/>
    <n v="9"/>
    <n v="8"/>
    <n v="49"/>
    <x v="47"/>
    <n v="49.7"/>
    <n v="39.945543883429337"/>
    <m/>
    <n v="1"/>
    <m/>
    <m/>
  </r>
  <r>
    <n v="2025"/>
    <s v="Northeast"/>
    <x v="4"/>
    <n v="2"/>
    <n v="8"/>
    <n v="8"/>
    <n v="32"/>
    <x v="24"/>
    <n v="54.1"/>
    <n v="51.670696132061771"/>
    <m/>
    <n v="-1"/>
    <m/>
    <m/>
  </r>
  <r>
    <n v="2025"/>
    <s v="Northeast"/>
    <x v="4"/>
    <n v="2"/>
    <n v="7"/>
    <n v="8"/>
    <n v="31"/>
    <x v="6"/>
    <n v="52.1"/>
    <n v="44.542763227961466"/>
    <m/>
    <n v="0"/>
    <m/>
    <m/>
  </r>
  <r>
    <n v="2025"/>
    <s v="Northeast"/>
    <x v="4"/>
    <n v="2"/>
    <n v="6"/>
    <n v="8"/>
    <n v="41"/>
    <x v="20"/>
    <n v="49.9"/>
    <n v="37.028885123686884"/>
    <m/>
    <n v="-1"/>
    <m/>
    <m/>
  </r>
  <r>
    <n v="2025"/>
    <s v="Northeast"/>
    <x v="4"/>
    <n v="2"/>
    <n v="5"/>
    <n v="8"/>
    <n v="42"/>
    <x v="42"/>
    <n v="55.2"/>
    <n v="47.889027448322608"/>
    <m/>
    <n v="0"/>
    <m/>
    <m/>
  </r>
  <r>
    <n v="2025"/>
    <s v="Northeast"/>
    <x v="4"/>
    <n v="2"/>
    <n v="4"/>
    <n v="8"/>
    <n v="57"/>
    <x v="45"/>
    <n v="54.5"/>
    <n v="45.137232899259331"/>
    <m/>
    <n v="0"/>
    <m/>
    <m/>
  </r>
  <r>
    <n v="2025"/>
    <s v="Northeast"/>
    <x v="4"/>
    <n v="2"/>
    <n v="3"/>
    <n v="8"/>
    <n v="27"/>
    <x v="39"/>
    <n v="52.7"/>
    <n v="49.259892530377108"/>
    <m/>
    <n v="1"/>
    <m/>
    <m/>
  </r>
  <r>
    <n v="2025"/>
    <s v="Northeast"/>
    <x v="4"/>
    <n v="2"/>
    <n v="2"/>
    <n v="8"/>
    <n v="15"/>
    <x v="7"/>
    <n v="52.9"/>
    <n v="50.005903083700439"/>
    <m/>
    <n v="-1"/>
    <m/>
    <m/>
  </r>
  <r>
    <n v="2025"/>
    <s v="Northeast"/>
    <x v="4"/>
    <n v="2"/>
    <n v="1"/>
    <n v="8"/>
    <n v="43"/>
    <x v="22"/>
    <n v="48.6"/>
    <n v="26.160020332090816"/>
    <m/>
    <n v="-2"/>
    <m/>
    <m/>
  </r>
  <r>
    <n v="2025"/>
    <s v="Northeast"/>
    <x v="4"/>
    <n v="3"/>
    <n v="1"/>
    <n v="9"/>
    <n v="4"/>
    <x v="4"/>
    <n v="47.6"/>
    <n v="50.427986792269586"/>
    <m/>
    <n v="2"/>
    <m/>
    <m/>
  </r>
  <r>
    <n v="2025"/>
    <s v="Northeast"/>
    <x v="4"/>
    <n v="3"/>
    <n v="2"/>
    <n v="9"/>
    <n v="28"/>
    <x v="37"/>
    <n v="49.4"/>
    <n v="37.942276391181885"/>
    <m/>
    <n v="0"/>
    <m/>
    <m/>
  </r>
  <r>
    <n v="2025"/>
    <s v="Northeast"/>
    <x v="4"/>
    <n v="3"/>
    <n v="3"/>
    <n v="9"/>
    <n v="21"/>
    <x v="26"/>
    <n v="52.3"/>
    <n v="51.338667573079526"/>
    <m/>
    <n v="0"/>
    <m/>
    <m/>
  </r>
  <r>
    <n v="2025"/>
    <s v="Northeast"/>
    <x v="4"/>
    <n v="3"/>
    <n v="4"/>
    <n v="9"/>
    <n v="45"/>
    <x v="21"/>
    <n v="54.9"/>
    <n v="58.002828008157699"/>
    <m/>
    <n v="-1"/>
    <m/>
    <m/>
  </r>
  <r>
    <n v="2025"/>
    <s v="Northeast"/>
    <x v="4"/>
    <n v="3"/>
    <n v="5"/>
    <n v="9"/>
    <n v="22"/>
    <x v="33"/>
    <n v="55.2"/>
    <n v="47.126192094784884"/>
    <m/>
    <n v="-1"/>
    <m/>
    <m/>
  </r>
  <r>
    <n v="2025"/>
    <s v="Northeast"/>
    <x v="4"/>
    <n v="3"/>
    <n v="6"/>
    <n v="9"/>
    <n v="19"/>
    <x v="49"/>
    <n v="48.6"/>
    <n v="47.398954064290557"/>
    <m/>
    <n v="3"/>
    <m/>
    <m/>
  </r>
  <r>
    <n v="2025"/>
    <s v="Northeast"/>
    <x v="4"/>
    <n v="3"/>
    <n v="7"/>
    <n v="9"/>
    <n v="32"/>
    <x v="24"/>
    <n v="55.1"/>
    <n v="48.980819656210535"/>
    <m/>
    <n v="-1"/>
    <m/>
    <m/>
  </r>
  <r>
    <n v="2025"/>
    <s v="Northeast"/>
    <x v="4"/>
    <n v="3"/>
    <n v="8"/>
    <n v="9"/>
    <n v="31"/>
    <x v="6"/>
    <n v="51"/>
    <n v="46.078601534427492"/>
    <m/>
    <n v="-1"/>
    <m/>
    <m/>
  </r>
  <r>
    <n v="2025"/>
    <s v="Northeast"/>
    <x v="4"/>
    <n v="3"/>
    <n v="9"/>
    <n v="9"/>
    <n v="33"/>
    <x v="3"/>
    <n v="53.9"/>
    <n v="49.563695736622307"/>
    <m/>
    <n v="0"/>
    <m/>
    <m/>
  </r>
  <r>
    <n v="2025"/>
    <s v="Northeast"/>
    <x v="4"/>
    <n v="3"/>
    <n v="10"/>
    <n v="9"/>
    <n v="60"/>
    <x v="52"/>
    <n v="43"/>
    <n v="22.572374963581623"/>
    <m/>
    <n v="8"/>
    <m/>
    <m/>
  </r>
  <r>
    <n v="2025"/>
    <s v="Northeast"/>
    <x v="4"/>
    <n v="3"/>
    <n v="11"/>
    <n v="9"/>
    <n v="38"/>
    <x v="43"/>
    <n v="53.4"/>
    <n v="49.396548509274531"/>
    <m/>
    <n v="4"/>
    <m/>
    <m/>
  </r>
  <r>
    <n v="2025"/>
    <s v="Northeast"/>
    <x v="4"/>
    <n v="3"/>
    <n v="12"/>
    <n v="9"/>
    <n v="30"/>
    <x v="14"/>
    <n v="53.8"/>
    <n v="39.783203360201995"/>
    <m/>
    <n v="-1"/>
    <m/>
    <m/>
  </r>
  <r>
    <n v="2025"/>
    <s v="Northeast"/>
    <x v="4"/>
    <n v="3"/>
    <n v="13"/>
    <n v="9"/>
    <n v="16"/>
    <x v="40"/>
    <n v="57.3"/>
    <n v="50.728246091094483"/>
    <m/>
    <n v="1"/>
    <m/>
    <m/>
  </r>
  <r>
    <n v="2025"/>
    <s v="Northeast"/>
    <x v="4"/>
    <n v="3"/>
    <n v="13"/>
    <n v="10"/>
    <n v="3"/>
    <x v="16"/>
    <n v="54.8"/>
    <n v="36.492861476238616"/>
    <m/>
    <n v="3"/>
    <m/>
    <m/>
  </r>
  <r>
    <n v="2025"/>
    <s v="Northeast"/>
    <x v="4"/>
    <n v="3"/>
    <n v="12"/>
    <n v="10"/>
    <n v="17"/>
    <x v="32"/>
    <n v="54.5"/>
    <n v="42.951099234435937"/>
    <m/>
    <n v="1"/>
    <m/>
    <m/>
  </r>
  <r>
    <n v="2025"/>
    <s v="Northeast"/>
    <x v="4"/>
    <n v="3"/>
    <n v="11"/>
    <n v="10"/>
    <n v="9"/>
    <x v="1"/>
    <n v="50"/>
    <n v="37.27384082045355"/>
    <m/>
    <n v="3"/>
    <m/>
    <m/>
  </r>
  <r>
    <n v="2025"/>
    <s v="Northeast"/>
    <x v="4"/>
    <n v="3"/>
    <n v="10"/>
    <n v="10"/>
    <n v="10"/>
    <x v="15"/>
    <n v="50.1"/>
    <n v="35.372491694352156"/>
    <m/>
    <n v="4"/>
    <m/>
    <m/>
  </r>
  <r>
    <n v="2025"/>
    <s v="Northeast"/>
    <x v="4"/>
    <n v="3"/>
    <n v="9"/>
    <n v="10"/>
    <n v="20"/>
    <x v="18"/>
    <n v="52.5"/>
    <n v="45.18945543839375"/>
    <m/>
    <n v="0"/>
    <m/>
    <m/>
  </r>
  <r>
    <n v="2025"/>
    <s v="Northeast"/>
    <x v="4"/>
    <n v="3"/>
    <n v="8"/>
    <n v="10"/>
    <n v="42"/>
    <x v="42"/>
    <n v="53.7"/>
    <n v="46.688684096489965"/>
    <m/>
    <n v="0"/>
    <m/>
    <m/>
  </r>
  <r>
    <n v="2025"/>
    <s v="Northeast"/>
    <x v="4"/>
    <n v="3"/>
    <n v="7"/>
    <n v="10"/>
    <n v="26"/>
    <x v="11"/>
    <n v="54.1"/>
    <n v="52.751427126968075"/>
    <m/>
    <n v="1"/>
    <m/>
    <m/>
  </r>
  <r>
    <n v="2025"/>
    <s v="Northeast"/>
    <x v="4"/>
    <n v="3"/>
    <n v="6"/>
    <n v="10"/>
    <n v="36"/>
    <x v="36"/>
    <n v="51.6"/>
    <n v="38.722923588039862"/>
    <m/>
    <n v="0"/>
    <m/>
    <m/>
  </r>
  <r>
    <n v="2025"/>
    <s v="Northeast"/>
    <x v="4"/>
    <n v="3"/>
    <n v="5"/>
    <n v="10"/>
    <n v="18"/>
    <x v="8"/>
    <n v="53.2"/>
    <n v="31.573892821031336"/>
    <m/>
    <n v="0"/>
    <m/>
    <m/>
  </r>
  <r>
    <n v="2025"/>
    <s v="Northeast"/>
    <x v="4"/>
    <n v="3"/>
    <n v="4"/>
    <n v="10"/>
    <n v="49"/>
    <x v="47"/>
    <n v="45.8"/>
    <n v="37.077594973277478"/>
    <m/>
    <n v="1"/>
    <m/>
    <m/>
  </r>
  <r>
    <n v="2025"/>
    <s v="Northeast"/>
    <x v="4"/>
    <n v="3"/>
    <n v="3"/>
    <n v="10"/>
    <n v="13"/>
    <x v="38"/>
    <n v="51.5"/>
    <n v="42.821253791708799"/>
    <m/>
    <n v="0"/>
    <m/>
    <m/>
  </r>
  <r>
    <n v="2025"/>
    <s v="Northeast"/>
    <x v="4"/>
    <n v="3"/>
    <n v="2"/>
    <n v="10"/>
    <n v="14"/>
    <x v="5"/>
    <n v="53.7"/>
    <n v="45.865185613173466"/>
    <m/>
    <n v="1"/>
    <m/>
    <m/>
  </r>
  <r>
    <n v="2025"/>
    <s v="Northeast"/>
    <x v="4"/>
    <n v="3"/>
    <n v="1"/>
    <n v="10"/>
    <n v="37"/>
    <x v="31"/>
    <n v="53.5"/>
    <n v="44.120137223746923"/>
    <m/>
    <n v="-1"/>
    <m/>
    <m/>
  </r>
  <r>
    <n v="2025"/>
    <s v="Northeast"/>
    <x v="4"/>
    <n v="3"/>
    <n v="1"/>
    <n v="11"/>
    <n v="34"/>
    <x v="0"/>
    <n v="53.5"/>
    <n v="43.926320054017545"/>
    <m/>
    <n v="-3"/>
    <m/>
    <m/>
  </r>
  <r>
    <n v="2025"/>
    <s v="Northeast"/>
    <x v="4"/>
    <n v="3"/>
    <n v="2"/>
    <n v="11"/>
    <n v="48"/>
    <x v="48"/>
    <n v="47.5"/>
    <n v="34.066237098485573"/>
    <m/>
    <n v="2"/>
    <m/>
    <m/>
  </r>
  <r>
    <n v="2025"/>
    <s v="Northeast"/>
    <x v="4"/>
    <n v="3"/>
    <n v="3"/>
    <n v="11"/>
    <n v="23"/>
    <x v="35"/>
    <n v="55.7"/>
    <n v="45.637214237484322"/>
    <m/>
    <n v="-1"/>
    <m/>
    <m/>
  </r>
  <r>
    <n v="2025"/>
    <s v="Northeast"/>
    <x v="4"/>
    <n v="3"/>
    <n v="4"/>
    <n v="11"/>
    <n v="58"/>
    <x v="51"/>
    <n v="49.3"/>
    <n v="32.30644931031155"/>
    <m/>
    <n v="-1"/>
    <m/>
    <m/>
  </r>
  <r>
    <n v="2025"/>
    <s v="Northeast"/>
    <x v="4"/>
    <n v="3"/>
    <n v="5"/>
    <n v="11"/>
    <n v="35"/>
    <x v="30"/>
    <n v="52.8"/>
    <n v="35.92409858203915"/>
    <m/>
    <n v="0"/>
    <m/>
    <m/>
  </r>
  <r>
    <n v="2025"/>
    <s v="Northeast"/>
    <x v="4"/>
    <n v="3"/>
    <n v="6"/>
    <n v="11"/>
    <n v="39"/>
    <x v="46"/>
    <n v="51.5"/>
    <n v="44.392719205170238"/>
    <m/>
    <n v="0"/>
    <m/>
    <m/>
  </r>
  <r>
    <n v="2025"/>
    <s v="Northeast"/>
    <x v="4"/>
    <n v="3"/>
    <n v="7"/>
    <n v="11"/>
    <n v="15"/>
    <x v="7"/>
    <n v="51.4"/>
    <n v="40.912201215394994"/>
    <m/>
    <n v="-1"/>
    <m/>
    <m/>
  </r>
  <r>
    <n v="2025"/>
    <s v="Northeast"/>
    <x v="4"/>
    <n v="3"/>
    <n v="8"/>
    <n v="11"/>
    <n v="46"/>
    <x v="25"/>
    <n v="52"/>
    <n v="42.017941545287925"/>
    <m/>
    <n v="0"/>
    <m/>
    <m/>
  </r>
  <r>
    <n v="2025"/>
    <s v="Northeast"/>
    <x v="4"/>
    <n v="3"/>
    <n v="9"/>
    <n v="11"/>
    <n v="5"/>
    <x v="28"/>
    <n v="52.2"/>
    <n v="40.270615896594947"/>
    <m/>
    <n v="1"/>
    <m/>
    <m/>
  </r>
  <r>
    <n v="2025"/>
    <s v="Northeast"/>
    <x v="4"/>
    <n v="3"/>
    <n v="10"/>
    <n v="11"/>
    <n v="1"/>
    <x v="12"/>
    <n v="53.1"/>
    <n v="47.942662293816916"/>
    <m/>
    <n v="-3"/>
    <m/>
    <m/>
  </r>
  <r>
    <n v="2025"/>
    <s v="Northeast"/>
    <x v="4"/>
    <n v="3"/>
    <n v="11"/>
    <n v="11"/>
    <n v="2"/>
    <x v="23"/>
    <n v="53.4"/>
    <n v="40.98897945403683"/>
    <m/>
    <n v="-1"/>
    <m/>
    <m/>
  </r>
  <r>
    <n v="2025"/>
    <s v="Northeast"/>
    <x v="4"/>
    <n v="3"/>
    <n v="12"/>
    <n v="11"/>
    <n v="24"/>
    <x v="29"/>
    <n v="51.7"/>
    <n v="44.817339153081896"/>
    <m/>
    <n v="-2"/>
    <m/>
    <m/>
  </r>
  <r>
    <n v="2025"/>
    <s v="Northeast"/>
    <x v="4"/>
    <n v="3"/>
    <n v="13"/>
    <n v="11"/>
    <n v="57"/>
    <x v="45"/>
    <n v="51.8"/>
    <n v="34.220557538342817"/>
    <m/>
    <n v="1"/>
    <m/>
    <m/>
  </r>
  <r>
    <n v="2025"/>
    <s v="Northeast"/>
    <x v="4"/>
    <n v="3"/>
    <n v="13"/>
    <n v="12"/>
    <n v="44"/>
    <x v="17"/>
    <n v="50"/>
    <n v="29.639939332659246"/>
    <m/>
    <n v="-3"/>
    <m/>
    <m/>
  </r>
  <r>
    <n v="2025"/>
    <s v="Northeast"/>
    <x v="4"/>
    <n v="3"/>
    <n v="12"/>
    <n v="12"/>
    <n v="25"/>
    <x v="34"/>
    <n v="50.7"/>
    <n v="39.553095478838642"/>
    <m/>
    <n v="0"/>
    <m/>
    <m/>
  </r>
  <r>
    <n v="2025"/>
    <s v="Northeast"/>
    <x v="4"/>
    <n v="3"/>
    <n v="11"/>
    <n v="12"/>
    <n v="27"/>
    <x v="39"/>
    <n v="52.4"/>
    <n v="49.356998411093443"/>
    <m/>
    <n v="0"/>
    <m/>
    <m/>
  </r>
  <r>
    <n v="2025"/>
    <s v="Northeast"/>
    <x v="4"/>
    <n v="3"/>
    <n v="10"/>
    <n v="12"/>
    <n v="6"/>
    <x v="10"/>
    <n v="49"/>
    <n v="32.178789542106017"/>
    <m/>
    <n v="4"/>
    <m/>
    <m/>
  </r>
  <r>
    <n v="2025"/>
    <s v="Northeast"/>
    <x v="4"/>
    <n v="3"/>
    <n v="9"/>
    <n v="12"/>
    <n v="12"/>
    <x v="41"/>
    <n v="48.8"/>
    <n v="34.960313447927199"/>
    <m/>
    <n v="-3"/>
    <m/>
    <m/>
  </r>
  <r>
    <n v="2025"/>
    <s v="Northeast"/>
    <x v="4"/>
    <n v="3"/>
    <n v="8"/>
    <n v="12"/>
    <n v="7"/>
    <x v="44"/>
    <n v="48.7"/>
    <n v="29.45441860465116"/>
    <m/>
    <n v="3"/>
    <m/>
    <m/>
  </r>
  <r>
    <n v="2025"/>
    <s v="Northeast"/>
    <x v="4"/>
    <n v="3"/>
    <n v="7"/>
    <n v="12"/>
    <n v="43"/>
    <x v="22"/>
    <s v="."/>
    <n v="15.933427704752273"/>
    <m/>
    <n v="-2"/>
    <m/>
    <m/>
  </r>
  <r>
    <n v="2025"/>
    <s v="Northeast"/>
    <x v="4"/>
    <n v="3"/>
    <n v="6"/>
    <n v="12"/>
    <n v="40"/>
    <x v="13"/>
    <n v="52.9"/>
    <n v="40.508346092734357"/>
    <m/>
    <n v="-1"/>
    <m/>
    <m/>
  </r>
  <r>
    <n v="2025"/>
    <s v="Northeast"/>
    <x v="4"/>
    <n v="3"/>
    <n v="5"/>
    <n v="12"/>
    <n v="8"/>
    <x v="9"/>
    <n v="52.3"/>
    <n v="40.212046800520007"/>
    <m/>
    <n v="-2"/>
    <m/>
    <m/>
  </r>
  <r>
    <n v="2025"/>
    <s v="Northeast"/>
    <x v="4"/>
    <n v="3"/>
    <n v="4"/>
    <n v="12"/>
    <n v="29"/>
    <x v="27"/>
    <n v="49.5"/>
    <n v="37.581913910154555"/>
    <m/>
    <n v="1"/>
    <m/>
    <m/>
  </r>
  <r>
    <n v="2025"/>
    <s v="Northeast"/>
    <x v="4"/>
    <n v="3"/>
    <n v="3"/>
    <n v="12"/>
    <n v="11"/>
    <x v="2"/>
    <n v="52.3"/>
    <n v="43.442166690741004"/>
    <m/>
    <n v="1"/>
    <m/>
    <m/>
  </r>
  <r>
    <n v="2025"/>
    <s v="Northeast"/>
    <x v="4"/>
    <n v="3"/>
    <n v="2"/>
    <n v="12"/>
    <n v="47"/>
    <x v="50"/>
    <n v="52.8"/>
    <n v="47.760242669362981"/>
    <m/>
    <n v="-2"/>
    <m/>
    <m/>
  </r>
  <r>
    <n v="2025"/>
    <s v="Northeast"/>
    <x v="4"/>
    <n v="3"/>
    <n v="1"/>
    <n v="12"/>
    <n v="41"/>
    <x v="20"/>
    <n v="49.6"/>
    <n v="28.695842842698251"/>
    <m/>
    <n v="-2"/>
    <m/>
    <m/>
  </r>
  <r>
    <n v="2025"/>
    <s v="Northeast"/>
    <x v="5"/>
    <n v="1"/>
    <n v="23"/>
    <n v="1"/>
    <n v="30"/>
    <x v="14"/>
    <n v="58.5"/>
    <n v="54.077684393230797"/>
    <n v="14.6"/>
    <m/>
    <n v="1"/>
    <m/>
  </r>
  <r>
    <n v="2025"/>
    <s v="Northeast"/>
    <x v="5"/>
    <n v="2"/>
    <n v="24"/>
    <n v="3"/>
    <n v="30"/>
    <x v="14"/>
    <n v="58.3"/>
    <n v="50.038325924497371"/>
    <m/>
    <m/>
    <m/>
    <m/>
  </r>
  <r>
    <n v="2025"/>
    <s v="Northeast"/>
    <x v="5"/>
    <n v="3"/>
    <n v="15"/>
    <n v="6"/>
    <n v="30"/>
    <x v="14"/>
    <n v="57.5"/>
    <n v="51.807318363225463"/>
    <m/>
    <m/>
    <m/>
    <m/>
  </r>
  <r>
    <n v="2025"/>
    <s v="Northeast"/>
    <x v="5"/>
    <n v="1"/>
    <n v="2"/>
    <n v="2"/>
    <n v="39"/>
    <x v="46"/>
    <n v="53.6"/>
    <n v="47.441730728310269"/>
    <n v="14.9"/>
    <m/>
    <n v="3"/>
    <m/>
  </r>
  <r>
    <n v="2025"/>
    <s v="Northeast"/>
    <x v="5"/>
    <n v="2"/>
    <n v="17"/>
    <n v="4"/>
    <n v="39"/>
    <x v="46"/>
    <n v="57.3"/>
    <n v="49.883291225674284"/>
    <m/>
    <m/>
    <m/>
    <m/>
  </r>
  <r>
    <n v="2025"/>
    <s v="Northeast"/>
    <x v="5"/>
    <n v="3"/>
    <n v="16"/>
    <n v="5"/>
    <n v="39"/>
    <x v="46"/>
    <n v="54.5"/>
    <n v="44.945559531869613"/>
    <m/>
    <m/>
    <m/>
    <m/>
  </r>
  <r>
    <n v="2025"/>
    <s v="Northeast"/>
    <x v="5"/>
    <n v="1"/>
    <n v="21"/>
    <n v="1"/>
    <n v="38"/>
    <x v="43"/>
    <n v="60.1"/>
    <n v="55.440572778554561"/>
    <n v="14.1"/>
    <m/>
    <n v="1"/>
    <m/>
  </r>
  <r>
    <n v="2025"/>
    <s v="Northeast"/>
    <x v="5"/>
    <n v="2"/>
    <n v="11"/>
    <n v="3"/>
    <n v="38"/>
    <x v="43"/>
    <n v="57.6"/>
    <n v="50.593911576105292"/>
    <m/>
    <m/>
    <m/>
    <m/>
  </r>
  <r>
    <n v="2025"/>
    <s v="Northeast"/>
    <x v="5"/>
    <n v="3"/>
    <n v="8"/>
    <n v="5"/>
    <n v="38"/>
    <x v="43"/>
    <n v="58.2"/>
    <n v="42.721674243156983"/>
    <m/>
    <m/>
    <m/>
    <m/>
  </r>
  <r>
    <n v="2025"/>
    <s v="Northeast"/>
    <x v="5"/>
    <n v="1"/>
    <n v="10"/>
    <n v="1"/>
    <n v="37"/>
    <x v="31"/>
    <n v="53.3"/>
    <n v="43.633296562364393"/>
    <n v="16"/>
    <m/>
    <n v="4"/>
    <m/>
  </r>
  <r>
    <n v="2025"/>
    <s v="Northeast"/>
    <x v="5"/>
    <n v="2"/>
    <n v="16"/>
    <n v="3"/>
    <n v="37"/>
    <x v="31"/>
    <n v="60.5"/>
    <n v="58.805264934188308"/>
    <m/>
    <m/>
    <m/>
    <m/>
  </r>
  <r>
    <n v="2025"/>
    <s v="Northeast"/>
    <x v="5"/>
    <n v="3"/>
    <n v="3"/>
    <n v="6"/>
    <n v="37"/>
    <x v="31"/>
    <n v="58.5"/>
    <n v="56.834530461124196"/>
    <m/>
    <m/>
    <m/>
    <m/>
  </r>
  <r>
    <n v="2025"/>
    <s v="Northeast"/>
    <x v="5"/>
    <n v="1"/>
    <n v="26"/>
    <n v="1"/>
    <n v="40"/>
    <x v="13"/>
    <n v="58.1"/>
    <n v="58.575055686803907"/>
    <n v="13.5"/>
    <m/>
    <n v="2"/>
    <m/>
  </r>
  <r>
    <n v="2025"/>
    <s v="Northeast"/>
    <x v="5"/>
    <n v="2"/>
    <n v="7"/>
    <n v="4"/>
    <n v="40"/>
    <x v="13"/>
    <n v="57.5"/>
    <n v="42.320218504609073"/>
    <m/>
    <m/>
    <m/>
    <m/>
  </r>
  <r>
    <n v="2025"/>
    <s v="Northeast"/>
    <x v="5"/>
    <n v="3"/>
    <n v="6"/>
    <n v="6"/>
    <n v="40"/>
    <x v="13"/>
    <n v="53.8"/>
    <n v="32.192446506707689"/>
    <m/>
    <m/>
    <m/>
    <m/>
  </r>
  <r>
    <n v="2025"/>
    <s v="Northeast"/>
    <x v="5"/>
    <n v="1"/>
    <n v="24"/>
    <n v="2"/>
    <n v="41"/>
    <x v="20"/>
    <n v="58.8"/>
    <n v="44.935218106199819"/>
    <n v="15.1"/>
    <m/>
    <n v="3"/>
    <m/>
  </r>
  <r>
    <n v="2025"/>
    <s v="Northeast"/>
    <x v="5"/>
    <n v="2"/>
    <n v="12"/>
    <n v="3"/>
    <n v="41"/>
    <x v="20"/>
    <n v="58.9"/>
    <n v="44.802810134516172"/>
    <m/>
    <m/>
    <m/>
    <m/>
  </r>
  <r>
    <n v="2025"/>
    <s v="Northeast"/>
    <x v="5"/>
    <n v="3"/>
    <n v="15"/>
    <n v="5"/>
    <n v="41"/>
    <x v="20"/>
    <n v="59.7"/>
    <n v="48.176144307960151"/>
    <m/>
    <m/>
    <m/>
    <m/>
  </r>
  <r>
    <n v="2025"/>
    <s v="Northeast"/>
    <x v="5"/>
    <n v="1"/>
    <n v="9"/>
    <n v="2"/>
    <n v="20"/>
    <x v="18"/>
    <n v="59"/>
    <n v="57.732904729664376"/>
    <n v="13.9"/>
    <m/>
    <n v="3"/>
    <m/>
  </r>
  <r>
    <n v="2025"/>
    <s v="Northeast"/>
    <x v="5"/>
    <n v="2"/>
    <n v="19"/>
    <n v="3"/>
    <n v="20"/>
    <x v="18"/>
    <n v="57.3"/>
    <n v="39.00120775276023"/>
    <m/>
    <m/>
    <m/>
    <m/>
  </r>
  <r>
    <n v="2025"/>
    <s v="Northeast"/>
    <x v="5"/>
    <n v="3"/>
    <n v="1"/>
    <n v="6"/>
    <n v="20"/>
    <x v="18"/>
    <n v="56.1"/>
    <n v="40.584002019522039"/>
    <m/>
    <m/>
    <m/>
    <m/>
  </r>
  <r>
    <n v="2025"/>
    <s v="Northeast"/>
    <x v="5"/>
    <n v="1"/>
    <n v="13"/>
    <n v="2"/>
    <n v="32"/>
    <x v="24"/>
    <n v="61.4"/>
    <n v="58.020032498307373"/>
    <n v="14.4"/>
    <m/>
    <n v="3"/>
    <m/>
  </r>
  <r>
    <n v="2025"/>
    <s v="Northeast"/>
    <x v="5"/>
    <n v="2"/>
    <n v="6"/>
    <n v="4"/>
    <n v="32"/>
    <x v="24"/>
    <n v="55.7"/>
    <n v="34.649758571916301"/>
    <m/>
    <m/>
    <m/>
    <m/>
  </r>
  <r>
    <n v="2025"/>
    <s v="Northeast"/>
    <x v="5"/>
    <n v="3"/>
    <n v="23"/>
    <n v="6"/>
    <n v="32"/>
    <x v="24"/>
    <n v="60.2"/>
    <n v="50.116183007164487"/>
    <m/>
    <m/>
    <m/>
    <m/>
  </r>
  <r>
    <n v="2025"/>
    <s v="Northeast"/>
    <x v="5"/>
    <n v="1"/>
    <n v="17"/>
    <n v="1"/>
    <n v="21"/>
    <x v="26"/>
    <n v="57.7"/>
    <n v="53.921564051877922"/>
    <n v="14.5"/>
    <m/>
    <n v="2"/>
    <m/>
  </r>
  <r>
    <n v="2025"/>
    <s v="Northeast"/>
    <x v="5"/>
    <n v="2"/>
    <n v="11"/>
    <n v="4"/>
    <n v="21"/>
    <x v="26"/>
    <n v="55.3"/>
    <n v="52.868501194947072"/>
    <m/>
    <m/>
    <m/>
    <m/>
  </r>
  <r>
    <n v="2025"/>
    <s v="Northeast"/>
    <x v="5"/>
    <n v="3"/>
    <n v="23"/>
    <n v="5"/>
    <n v="21"/>
    <x v="26"/>
    <n v="55.9"/>
    <n v="45.507328755198763"/>
    <m/>
    <m/>
    <m/>
    <m/>
  </r>
  <r>
    <n v="2025"/>
    <s v="Northeast"/>
    <x v="5"/>
    <n v="1"/>
    <n v="1"/>
    <n v="1"/>
    <n v="29"/>
    <x v="27"/>
    <n v="55.2"/>
    <n v="33.919468685212863"/>
    <n v="16"/>
    <m/>
    <n v="2"/>
    <m/>
  </r>
  <r>
    <n v="2025"/>
    <s v="Northeast"/>
    <x v="5"/>
    <n v="2"/>
    <n v="10"/>
    <n v="4"/>
    <n v="29"/>
    <x v="27"/>
    <n v="56.6"/>
    <n v="48.658429985855733"/>
    <m/>
    <m/>
    <m/>
    <m/>
  </r>
  <r>
    <n v="2025"/>
    <s v="Northeast"/>
    <x v="5"/>
    <n v="3"/>
    <n v="4"/>
    <n v="6"/>
    <n v="29"/>
    <x v="27"/>
    <n v="56.8"/>
    <n v="46.727695340674124"/>
    <m/>
    <m/>
    <m/>
    <m/>
  </r>
  <r>
    <n v="2025"/>
    <s v="Northeast"/>
    <x v="5"/>
    <n v="1"/>
    <n v="11"/>
    <n v="2"/>
    <n v="22"/>
    <x v="33"/>
    <n v="58.3"/>
    <n v="51.411880646097302"/>
    <n v="14.6"/>
    <m/>
    <n v="5"/>
    <m/>
  </r>
  <r>
    <n v="2025"/>
    <s v="Northeast"/>
    <x v="5"/>
    <n v="2"/>
    <n v="3"/>
    <n v="3"/>
    <n v="22"/>
    <x v="33"/>
    <n v="55.4"/>
    <n v="44.556682416469791"/>
    <m/>
    <m/>
    <m/>
    <m/>
  </r>
  <r>
    <n v="2025"/>
    <s v="Northeast"/>
    <x v="5"/>
    <n v="3"/>
    <n v="7"/>
    <n v="5"/>
    <n v="22"/>
    <x v="33"/>
    <n v="59.3"/>
    <n v="37.49450488441822"/>
    <m/>
    <m/>
    <m/>
    <m/>
  </r>
  <r>
    <n v="2025"/>
    <s v="Northeast"/>
    <x v="5"/>
    <n v="1"/>
    <n v="11"/>
    <n v="1"/>
    <n v="18"/>
    <x v="8"/>
    <n v="53.9"/>
    <n v="45.02039438792729"/>
    <n v="15.6"/>
    <m/>
    <n v="2"/>
    <m/>
  </r>
  <r>
    <n v="2025"/>
    <s v="Northeast"/>
    <x v="5"/>
    <n v="2"/>
    <n v="25"/>
    <n v="3"/>
    <n v="18"/>
    <x v="8"/>
    <n v="53.3"/>
    <n v="32.918729087314979"/>
    <m/>
    <m/>
    <m/>
    <m/>
  </r>
  <r>
    <n v="2025"/>
    <s v="Northeast"/>
    <x v="5"/>
    <n v="3"/>
    <n v="2"/>
    <n v="6"/>
    <n v="18"/>
    <x v="8"/>
    <n v="54.8"/>
    <n v="40.929790354378028"/>
    <m/>
    <m/>
    <m/>
    <m/>
  </r>
  <r>
    <n v="2025"/>
    <s v="Northeast"/>
    <x v="5"/>
    <n v="1"/>
    <n v="15"/>
    <n v="1"/>
    <n v="14"/>
    <x v="5"/>
    <n v="58"/>
    <n v="48.031118943156066"/>
    <n v="16.100000000000001"/>
    <m/>
    <n v="4"/>
    <m/>
  </r>
  <r>
    <n v="2025"/>
    <s v="Northeast"/>
    <x v="5"/>
    <n v="2"/>
    <n v="14"/>
    <n v="4"/>
    <n v="14"/>
    <x v="5"/>
    <n v="60.1"/>
    <n v="51.018582646441985"/>
    <m/>
    <m/>
    <m/>
    <m/>
  </r>
  <r>
    <n v="2025"/>
    <s v="Northeast"/>
    <x v="5"/>
    <n v="3"/>
    <n v="20"/>
    <n v="5"/>
    <n v="14"/>
    <x v="5"/>
    <n v="58.9"/>
    <n v="45.217768836444527"/>
    <m/>
    <m/>
    <m/>
    <m/>
  </r>
  <r>
    <n v="2025"/>
    <s v="Northeast"/>
    <x v="5"/>
    <n v="1"/>
    <n v="8"/>
    <n v="1"/>
    <n v="15"/>
    <x v="7"/>
    <n v="54.8"/>
    <n v="44.978123330601221"/>
    <n v="14.8"/>
    <m/>
    <n v="5"/>
    <m/>
  </r>
  <r>
    <n v="2025"/>
    <s v="Northeast"/>
    <x v="5"/>
    <n v="2"/>
    <n v="15"/>
    <n v="4"/>
    <n v="15"/>
    <x v="7"/>
    <n v="55.1"/>
    <n v="51.844701263229773"/>
    <m/>
    <m/>
    <m/>
    <m/>
  </r>
  <r>
    <n v="2025"/>
    <s v="Northeast"/>
    <x v="5"/>
    <n v="3"/>
    <n v="13"/>
    <n v="6"/>
    <n v="15"/>
    <x v="7"/>
    <n v="56.9"/>
    <n v="45.637967014473219"/>
    <m/>
    <m/>
    <m/>
    <m/>
  </r>
  <r>
    <n v="2025"/>
    <s v="Northeast"/>
    <x v="5"/>
    <n v="1"/>
    <n v="4"/>
    <n v="1"/>
    <n v="16"/>
    <x v="40"/>
    <n v="51.1"/>
    <n v="30.391105057615349"/>
    <n v="16"/>
    <m/>
    <n v="4"/>
    <m/>
  </r>
  <r>
    <n v="2025"/>
    <s v="Northeast"/>
    <x v="5"/>
    <n v="2"/>
    <n v="26"/>
    <n v="4"/>
    <n v="16"/>
    <x v="40"/>
    <n v="59.8"/>
    <n v="52.659443788713844"/>
    <m/>
    <m/>
    <m/>
    <m/>
  </r>
  <r>
    <n v="2025"/>
    <s v="Northeast"/>
    <x v="5"/>
    <n v="3"/>
    <n v="7"/>
    <n v="6"/>
    <n v="16"/>
    <x v="40"/>
    <n v="54.4"/>
    <n v="33.412369091695915"/>
    <m/>
    <m/>
    <m/>
    <m/>
  </r>
  <r>
    <n v="2025"/>
    <s v="Northeast"/>
    <x v="5"/>
    <n v="1"/>
    <n v="18"/>
    <n v="1"/>
    <n v="11"/>
    <x v="2"/>
    <n v="58.8"/>
    <n v="46.60985487681404"/>
    <n v="15.1"/>
    <m/>
    <n v="4"/>
    <m/>
  </r>
  <r>
    <n v="2025"/>
    <s v="Northeast"/>
    <x v="5"/>
    <n v="2"/>
    <n v="4"/>
    <n v="3"/>
    <n v="11"/>
    <x v="2"/>
    <n v="57.8"/>
    <n v="40.075024347909938"/>
    <m/>
    <m/>
    <m/>
    <m/>
  </r>
  <r>
    <n v="2025"/>
    <s v="Northeast"/>
    <x v="5"/>
    <n v="3"/>
    <n v="10"/>
    <n v="5"/>
    <n v="11"/>
    <x v="2"/>
    <n v="60.1"/>
    <n v="45.120932875519877"/>
    <m/>
    <m/>
    <m/>
    <m/>
  </r>
  <r>
    <n v="2025"/>
    <s v="Northeast"/>
    <x v="5"/>
    <n v="1"/>
    <n v="16"/>
    <n v="2"/>
    <n v="1"/>
    <x v="12"/>
    <n v="61.7"/>
    <n v="70.601545023696659"/>
    <n v="13.1"/>
    <m/>
    <n v="2"/>
    <m/>
  </r>
  <r>
    <n v="2025"/>
    <s v="Northeast"/>
    <x v="5"/>
    <n v="2"/>
    <n v="26"/>
    <n v="3"/>
    <n v="1"/>
    <x v="12"/>
    <n v="58.3"/>
    <n v="50.922662600646063"/>
    <m/>
    <m/>
    <m/>
    <m/>
  </r>
  <r>
    <n v="2025"/>
    <s v="Northeast"/>
    <x v="5"/>
    <n v="3"/>
    <n v="21"/>
    <n v="5"/>
    <n v="1"/>
    <x v="12"/>
    <n v="56.6"/>
    <n v="54.297751233194688"/>
    <m/>
    <m/>
    <m/>
    <m/>
  </r>
  <r>
    <n v="2025"/>
    <s v="Northeast"/>
    <x v="5"/>
    <n v="1"/>
    <n v="6"/>
    <n v="1"/>
    <n v="17"/>
    <x v="32"/>
    <n v="45.8"/>
    <n v="17.659574273178727"/>
    <n v="17.600000000000001"/>
    <m/>
    <n v="4"/>
    <m/>
  </r>
  <r>
    <n v="2025"/>
    <s v="Northeast"/>
    <x v="5"/>
    <n v="2"/>
    <n v="3"/>
    <n v="4"/>
    <n v="17"/>
    <x v="32"/>
    <n v="50.3"/>
    <n v="37.902808857240402"/>
    <m/>
    <m/>
    <m/>
    <m/>
  </r>
  <r>
    <n v="2025"/>
    <s v="Northeast"/>
    <x v="5"/>
    <n v="3"/>
    <n v="5"/>
    <n v="6"/>
    <n v="17"/>
    <x v="32"/>
    <n v="45.8"/>
    <n v="20.423932778766162"/>
    <m/>
    <m/>
    <m/>
    <m/>
  </r>
  <r>
    <n v="2025"/>
    <s v="Northeast"/>
    <x v="5"/>
    <n v="1"/>
    <n v="18"/>
    <n v="2"/>
    <n v="12"/>
    <x v="41"/>
    <n v="59.7"/>
    <n v="57.330149289099523"/>
    <n v="14.1"/>
    <m/>
    <n v="1"/>
    <m/>
  </r>
  <r>
    <n v="2025"/>
    <s v="Northeast"/>
    <x v="5"/>
    <n v="2"/>
    <n v="2"/>
    <n v="4"/>
    <n v="12"/>
    <x v="41"/>
    <n v="56.9"/>
    <n v="47.697729698092957"/>
    <m/>
    <m/>
    <m/>
    <m/>
  </r>
  <r>
    <n v="2025"/>
    <s v="Northeast"/>
    <x v="5"/>
    <n v="3"/>
    <n v="1"/>
    <n v="5"/>
    <n v="12"/>
    <x v="41"/>
    <n v="56.9"/>
    <n v="39.9839733049618"/>
    <m/>
    <m/>
    <m/>
    <m/>
  </r>
  <r>
    <n v="2025"/>
    <s v="Northeast"/>
    <x v="5"/>
    <n v="1"/>
    <n v="3"/>
    <n v="1"/>
    <n v="13"/>
    <x v="38"/>
    <n v="54.2"/>
    <n v="45.718468251289707"/>
    <n v="15.3"/>
    <m/>
    <n v="1"/>
    <m/>
  </r>
  <r>
    <n v="2025"/>
    <s v="Northeast"/>
    <x v="5"/>
    <n v="2"/>
    <n v="5"/>
    <n v="3"/>
    <n v="13"/>
    <x v="38"/>
    <n v="52.8"/>
    <n v="34.598879514006072"/>
    <m/>
    <m/>
    <m/>
    <m/>
  </r>
  <r>
    <n v="2025"/>
    <s v="Northeast"/>
    <x v="5"/>
    <n v="3"/>
    <n v="13"/>
    <n v="5"/>
    <n v="13"/>
    <x v="38"/>
    <n v="58.5"/>
    <n v="47.672622207176715"/>
    <m/>
    <m/>
    <m/>
    <m/>
  </r>
  <r>
    <n v="2025"/>
    <s v="Northeast"/>
    <x v="5"/>
    <n v="1"/>
    <n v="9"/>
    <n v="1"/>
    <n v="2"/>
    <x v="23"/>
    <n v="57.8"/>
    <n v="45.461815727303403"/>
    <n v="14.6"/>
    <m/>
    <n v="3"/>
    <m/>
  </r>
  <r>
    <n v="2025"/>
    <s v="Northeast"/>
    <x v="5"/>
    <n v="2"/>
    <n v="6"/>
    <n v="3"/>
    <n v="2"/>
    <x v="23"/>
    <n v="55.5"/>
    <n v="33.641957475531562"/>
    <m/>
    <m/>
    <m/>
    <m/>
  </r>
  <r>
    <n v="2025"/>
    <s v="Northeast"/>
    <x v="5"/>
    <n v="3"/>
    <n v="19"/>
    <n v="5"/>
    <n v="2"/>
    <x v="23"/>
    <n v="60.2"/>
    <n v="48.178911596866229"/>
    <m/>
    <m/>
    <m/>
    <m/>
  </r>
  <r>
    <n v="2025"/>
    <s v="Northeast"/>
    <x v="5"/>
    <n v="1"/>
    <n v="5"/>
    <n v="1"/>
    <n v="9"/>
    <x v="1"/>
    <s v="."/>
    <s v="."/>
    <n v="19"/>
    <m/>
    <n v="1"/>
    <m/>
  </r>
  <r>
    <n v="2025"/>
    <s v="Northeast"/>
    <x v="5"/>
    <n v="2"/>
    <n v="21"/>
    <n v="3"/>
    <n v="9"/>
    <x v="1"/>
    <n v="55.2"/>
    <n v="41.146311171110362"/>
    <m/>
    <m/>
    <m/>
    <m/>
  </r>
  <r>
    <n v="2025"/>
    <s v="Northeast"/>
    <x v="5"/>
    <n v="3"/>
    <n v="22"/>
    <n v="5"/>
    <n v="9"/>
    <x v="1"/>
    <n v="52.9"/>
    <n v="41.801239481574619"/>
    <m/>
    <m/>
    <m/>
    <m/>
  </r>
  <r>
    <n v="2025"/>
    <s v="Northeast"/>
    <x v="5"/>
    <n v="1"/>
    <n v="4"/>
    <n v="2"/>
    <n v="3"/>
    <x v="16"/>
    <n v="55.3"/>
    <n v="42.897765741367635"/>
    <n v="16.2"/>
    <m/>
    <n v="1"/>
    <m/>
  </r>
  <r>
    <n v="2025"/>
    <s v="Northeast"/>
    <x v="5"/>
    <n v="2"/>
    <n v="24"/>
    <n v="4"/>
    <n v="3"/>
    <x v="16"/>
    <n v="58.1"/>
    <n v="51.570390674535432"/>
    <m/>
    <m/>
    <m/>
    <m/>
  </r>
  <r>
    <n v="2025"/>
    <s v="Northeast"/>
    <x v="5"/>
    <n v="3"/>
    <n v="17"/>
    <n v="6"/>
    <n v="3"/>
    <x v="16"/>
    <n v="61.1"/>
    <n v="57.067928066548056"/>
    <m/>
    <m/>
    <m/>
    <m/>
  </r>
  <r>
    <n v="2025"/>
    <s v="Northeast"/>
    <x v="5"/>
    <n v="1"/>
    <n v="20"/>
    <n v="2"/>
    <n v="10"/>
    <x v="15"/>
    <n v="57.5"/>
    <n v="49.524541735177479"/>
    <n v="15.8"/>
    <m/>
    <n v="2"/>
    <m/>
  </r>
  <r>
    <n v="2025"/>
    <s v="Northeast"/>
    <x v="5"/>
    <n v="2"/>
    <n v="2"/>
    <n v="3"/>
    <n v="10"/>
    <x v="15"/>
    <n v="49.9"/>
    <n v="35.708074731208711"/>
    <m/>
    <m/>
    <m/>
    <m/>
  </r>
  <r>
    <n v="2025"/>
    <s v="Northeast"/>
    <x v="5"/>
    <n v="3"/>
    <n v="25"/>
    <n v="6"/>
    <n v="10"/>
    <x v="15"/>
    <n v="51.1"/>
    <n v="31.504916093667351"/>
    <m/>
    <m/>
    <m/>
    <m/>
  </r>
  <r>
    <n v="2025"/>
    <s v="Northeast"/>
    <x v="5"/>
    <n v="1"/>
    <n v="20"/>
    <n v="1"/>
    <n v="4"/>
    <x v="4"/>
    <n v="54.1"/>
    <n v="46.872975025312179"/>
    <n v="15.1"/>
    <m/>
    <n v="0"/>
    <m/>
  </r>
  <r>
    <n v="2025"/>
    <s v="Northeast"/>
    <x v="5"/>
    <n v="2"/>
    <n v="18"/>
    <n v="4"/>
    <n v="4"/>
    <x v="4"/>
    <n v="53.5"/>
    <n v="39.410816953616539"/>
    <m/>
    <m/>
    <m/>
    <m/>
  </r>
  <r>
    <n v="2025"/>
    <s v="Northeast"/>
    <x v="5"/>
    <n v="3"/>
    <n v="14"/>
    <n v="6"/>
    <n v="4"/>
    <x v="4"/>
    <n v="52.7"/>
    <n v="42.360937058229531"/>
    <m/>
    <m/>
    <m/>
    <m/>
  </r>
  <r>
    <n v="2025"/>
    <s v="Northeast"/>
    <x v="5"/>
    <n v="1"/>
    <n v="15"/>
    <n v="2"/>
    <n v="5"/>
    <x v="28"/>
    <n v="54.3"/>
    <n v="44.928228068478568"/>
    <n v="15.8"/>
    <m/>
    <n v="1"/>
    <m/>
  </r>
  <r>
    <n v="2025"/>
    <s v="Northeast"/>
    <x v="5"/>
    <n v="2"/>
    <n v="14"/>
    <n v="3"/>
    <n v="5"/>
    <x v="28"/>
    <n v="54.8"/>
    <n v="47.063495492020635"/>
    <m/>
    <m/>
    <m/>
    <m/>
  </r>
  <r>
    <n v="2025"/>
    <s v="Northeast"/>
    <x v="5"/>
    <n v="3"/>
    <n v="8"/>
    <n v="6"/>
    <n v="5"/>
    <x v="28"/>
    <n v="53"/>
    <n v="46.689136894744422"/>
    <m/>
    <m/>
    <m/>
    <m/>
  </r>
  <r>
    <n v="2025"/>
    <s v="Northeast"/>
    <x v="5"/>
    <n v="1"/>
    <n v="8"/>
    <n v="2"/>
    <n v="19"/>
    <x v="49"/>
    <n v="54.5"/>
    <n v="53.879545894187061"/>
    <n v="14.5"/>
    <m/>
    <n v="1"/>
    <m/>
  </r>
  <r>
    <n v="2025"/>
    <s v="Northeast"/>
    <x v="5"/>
    <n v="2"/>
    <n v="10"/>
    <n v="3"/>
    <n v="19"/>
    <x v="49"/>
    <n v="54.4"/>
    <n v="47.034426980377035"/>
    <m/>
    <m/>
    <m/>
    <m/>
  </r>
  <r>
    <n v="2025"/>
    <s v="Northeast"/>
    <x v="5"/>
    <n v="3"/>
    <n v="22"/>
    <n v="6"/>
    <n v="19"/>
    <x v="49"/>
    <n v="55.6"/>
    <n v="45.52609991825743"/>
    <m/>
    <m/>
    <m/>
    <m/>
  </r>
  <r>
    <n v="2025"/>
    <s v="Northeast"/>
    <x v="5"/>
    <n v="1"/>
    <n v="7"/>
    <n v="1"/>
    <n v="6"/>
    <x v="10"/>
    <n v="50"/>
    <n v="24.670145123185957"/>
    <n v="18.2"/>
    <m/>
    <n v="1"/>
    <m/>
  </r>
  <r>
    <n v="2025"/>
    <s v="Northeast"/>
    <x v="5"/>
    <n v="2"/>
    <n v="9"/>
    <n v="4"/>
    <n v="6"/>
    <x v="10"/>
    <n v="51.1"/>
    <n v="34.34497975905964"/>
    <m/>
    <m/>
    <m/>
    <m/>
  </r>
  <r>
    <n v="2025"/>
    <s v="Northeast"/>
    <x v="5"/>
    <n v="3"/>
    <n v="11"/>
    <n v="5"/>
    <n v="6"/>
    <x v="10"/>
    <n v="55.2"/>
    <n v="41.220807815069158"/>
    <m/>
    <m/>
    <m/>
    <m/>
  </r>
  <r>
    <n v="2025"/>
    <s v="Northeast"/>
    <x v="5"/>
    <n v="1"/>
    <n v="19"/>
    <n v="2"/>
    <n v="8"/>
    <x v="9"/>
    <n v="58"/>
    <n v="55.307131830931411"/>
    <n v="14.1"/>
    <m/>
    <n v="1"/>
    <m/>
  </r>
  <r>
    <n v="2025"/>
    <s v="Northeast"/>
    <x v="5"/>
    <n v="2"/>
    <n v="13"/>
    <n v="4"/>
    <n v="8"/>
    <x v="9"/>
    <n v="55.1"/>
    <n v="50.562283568258302"/>
    <m/>
    <m/>
    <m/>
    <m/>
  </r>
  <r>
    <n v="2025"/>
    <s v="Northeast"/>
    <x v="5"/>
    <n v="3"/>
    <n v="18"/>
    <n v="5"/>
    <n v="8"/>
    <x v="9"/>
    <n v="58.4"/>
    <n v="56.125981236096329"/>
    <m/>
    <m/>
    <m/>
    <m/>
  </r>
  <r>
    <n v="2025"/>
    <s v="Northeast"/>
    <x v="5"/>
    <n v="1"/>
    <n v="25"/>
    <n v="2"/>
    <n v="7"/>
    <x v="44"/>
    <n v="56.4"/>
    <n v="41.614327787987222"/>
    <n v="15.1"/>
    <m/>
    <n v="1"/>
    <m/>
  </r>
  <r>
    <n v="2025"/>
    <s v="Northeast"/>
    <x v="5"/>
    <n v="2"/>
    <n v="20"/>
    <n v="4"/>
    <n v="7"/>
    <x v="44"/>
    <n v="57"/>
    <n v="41.108104667609631"/>
    <m/>
    <m/>
    <m/>
    <m/>
  </r>
  <r>
    <n v="2025"/>
    <s v="Northeast"/>
    <x v="5"/>
    <n v="3"/>
    <n v="6"/>
    <n v="5"/>
    <n v="7"/>
    <x v="44"/>
    <n v="53.2"/>
    <n v="27.362646290743783"/>
    <m/>
    <m/>
    <m/>
    <m/>
  </r>
  <r>
    <n v="2025"/>
    <s v="Northeast"/>
    <x v="5"/>
    <n v="1"/>
    <n v="6"/>
    <n v="2"/>
    <n v="42"/>
    <x v="42"/>
    <n v="54.5"/>
    <n v="37.986957829577328"/>
    <n v="14.9"/>
    <m/>
    <n v="2"/>
    <m/>
  </r>
  <r>
    <n v="2025"/>
    <s v="Northeast"/>
    <x v="5"/>
    <n v="2"/>
    <n v="22"/>
    <n v="3"/>
    <n v="42"/>
    <x v="42"/>
    <n v="59.2"/>
    <n v="49.012398389662984"/>
    <m/>
    <m/>
    <m/>
    <m/>
  </r>
  <r>
    <n v="2025"/>
    <s v="Northeast"/>
    <x v="5"/>
    <n v="3"/>
    <n v="24"/>
    <n v="6"/>
    <n v="42"/>
    <x v="42"/>
    <n v="58.7"/>
    <n v="41.554056354281869"/>
    <m/>
    <m/>
    <m/>
    <m/>
  </r>
  <r>
    <n v="2025"/>
    <s v="Northeast"/>
    <x v="5"/>
    <n v="1"/>
    <n v="16"/>
    <n v="1"/>
    <n v="44"/>
    <x v="17"/>
    <n v="58.3"/>
    <n v="50.964461115664626"/>
    <n v="15"/>
    <m/>
    <n v="3"/>
    <m/>
  </r>
  <r>
    <n v="2025"/>
    <s v="Northeast"/>
    <x v="5"/>
    <n v="2"/>
    <n v="7"/>
    <n v="3"/>
    <n v="44"/>
    <x v="17"/>
    <n v="56.8"/>
    <n v="38.788850103659414"/>
    <m/>
    <m/>
    <m/>
    <m/>
  </r>
  <r>
    <n v="2025"/>
    <s v="Northeast"/>
    <x v="5"/>
    <n v="3"/>
    <n v="25"/>
    <n v="5"/>
    <n v="44"/>
    <x v="17"/>
    <n v="58.4"/>
    <n v="42.587364977270525"/>
    <m/>
    <m/>
    <m/>
    <m/>
  </r>
  <r>
    <n v="2025"/>
    <s v="Northeast"/>
    <x v="5"/>
    <n v="1"/>
    <n v="19"/>
    <n v="1"/>
    <n v="43"/>
    <x v="22"/>
    <n v="58.3"/>
    <n v="44.314349356347336"/>
    <n v="15"/>
    <m/>
    <n v="2"/>
    <m/>
  </r>
  <r>
    <n v="2025"/>
    <s v="Northeast"/>
    <x v="5"/>
    <n v="2"/>
    <n v="12"/>
    <n v="4"/>
    <n v="43"/>
    <x v="22"/>
    <n v="56.4"/>
    <n v="51.658033897478411"/>
    <m/>
    <m/>
    <m/>
    <m/>
  </r>
  <r>
    <n v="2025"/>
    <s v="Northeast"/>
    <x v="5"/>
    <n v="3"/>
    <n v="9"/>
    <n v="5"/>
    <n v="43"/>
    <x v="22"/>
    <n v="56.2"/>
    <n v="38.902241029113064"/>
    <m/>
    <m/>
    <m/>
    <m/>
  </r>
  <r>
    <n v="2025"/>
    <s v="Northeast"/>
    <x v="5"/>
    <n v="1"/>
    <n v="23"/>
    <n v="2"/>
    <n v="27"/>
    <x v="39"/>
    <n v="58.8"/>
    <n v="53.485671631685847"/>
    <n v="14.1"/>
    <m/>
    <n v="2"/>
    <m/>
  </r>
  <r>
    <n v="2025"/>
    <s v="Northeast"/>
    <x v="5"/>
    <n v="2"/>
    <n v="1"/>
    <n v="4"/>
    <n v="27"/>
    <x v="39"/>
    <n v="55.6"/>
    <n v="38.203097107740327"/>
    <m/>
    <m/>
    <m/>
    <m/>
  </r>
  <r>
    <n v="2025"/>
    <s v="Northeast"/>
    <x v="5"/>
    <n v="3"/>
    <n v="12"/>
    <n v="6"/>
    <n v="27"/>
    <x v="39"/>
    <n v="57.9"/>
    <n v="51.382509015723407"/>
    <m/>
    <m/>
    <m/>
    <m/>
  </r>
  <r>
    <n v="2025"/>
    <s v="Northeast"/>
    <x v="5"/>
    <n v="1"/>
    <n v="13"/>
    <n v="1"/>
    <n v="31"/>
    <x v="6"/>
    <n v="56.4"/>
    <n v="44.860016392652241"/>
    <n v="14.7"/>
    <m/>
    <n v="1"/>
    <m/>
  </r>
  <r>
    <n v="2025"/>
    <s v="Northeast"/>
    <x v="5"/>
    <n v="2"/>
    <n v="23"/>
    <n v="3"/>
    <n v="31"/>
    <x v="6"/>
    <n v="58.6"/>
    <n v="44.320268068077723"/>
    <m/>
    <m/>
    <m/>
    <m/>
  </r>
  <r>
    <n v="2025"/>
    <s v="Northeast"/>
    <x v="5"/>
    <n v="3"/>
    <n v="5"/>
    <n v="5"/>
    <n v="31"/>
    <x v="6"/>
    <n v="50"/>
    <n v="27.89025050778605"/>
    <m/>
    <m/>
    <m/>
    <m/>
  </r>
  <r>
    <n v="2025"/>
    <s v="Northeast"/>
    <x v="5"/>
    <n v="1"/>
    <n v="5"/>
    <n v="2"/>
    <n v="23"/>
    <x v="35"/>
    <n v="50.2"/>
    <n v="29.808967985298384"/>
    <n v="17.5"/>
    <m/>
    <n v="3"/>
    <m/>
  </r>
  <r>
    <n v="2025"/>
    <s v="Northeast"/>
    <x v="5"/>
    <n v="2"/>
    <n v="20"/>
    <n v="3"/>
    <n v="23"/>
    <x v="35"/>
    <n v="56.2"/>
    <n v="34.622974398534296"/>
    <m/>
    <m/>
    <m/>
    <m/>
  </r>
  <r>
    <n v="2025"/>
    <s v="Northeast"/>
    <x v="5"/>
    <n v="3"/>
    <n v="9"/>
    <n v="6"/>
    <n v="23"/>
    <x v="35"/>
    <n v="58.5"/>
    <n v="39.406303312977819"/>
    <m/>
    <m/>
    <m/>
    <m/>
  </r>
  <r>
    <n v="2025"/>
    <s v="Northeast"/>
    <x v="5"/>
    <n v="1"/>
    <n v="25"/>
    <n v="1"/>
    <n v="28"/>
    <x v="37"/>
    <n v="55.2"/>
    <n v="45.142014367677554"/>
    <n v="14.3"/>
    <m/>
    <n v="2"/>
    <m/>
  </r>
  <r>
    <n v="2025"/>
    <s v="Northeast"/>
    <x v="5"/>
    <n v="2"/>
    <n v="4"/>
    <n v="4"/>
    <n v="28"/>
    <x v="37"/>
    <n v="52.8"/>
    <n v="30.528291469541038"/>
    <m/>
    <m/>
    <m/>
    <m/>
  </r>
  <r>
    <n v="2025"/>
    <s v="Northeast"/>
    <x v="5"/>
    <n v="3"/>
    <n v="21"/>
    <n v="6"/>
    <n v="28"/>
    <x v="37"/>
    <n v="55.4"/>
    <n v="49.735292205606576"/>
    <m/>
    <m/>
    <m/>
    <m/>
  </r>
  <r>
    <n v="2025"/>
    <s v="Northeast"/>
    <x v="5"/>
    <n v="1"/>
    <n v="22"/>
    <n v="1"/>
    <n v="46"/>
    <x v="25"/>
    <n v="58.7"/>
    <n v="54.638229352490235"/>
    <n v="14.3"/>
    <m/>
    <n v="2"/>
    <m/>
  </r>
  <r>
    <n v="2025"/>
    <s v="Northeast"/>
    <x v="5"/>
    <n v="2"/>
    <n v="9"/>
    <n v="3"/>
    <n v="46"/>
    <x v="25"/>
    <n v="57.2"/>
    <n v="49.231032737090779"/>
    <m/>
    <m/>
    <m/>
    <m/>
  </r>
  <r>
    <n v="2025"/>
    <s v="Northeast"/>
    <x v="5"/>
    <n v="3"/>
    <n v="3"/>
    <n v="5"/>
    <n v="46"/>
    <x v="25"/>
    <n v="55.8"/>
    <n v="44.913960731211908"/>
    <m/>
    <m/>
    <m/>
    <m/>
  </r>
  <r>
    <n v="2025"/>
    <s v="Northeast"/>
    <x v="5"/>
    <n v="1"/>
    <n v="12"/>
    <n v="2"/>
    <n v="47"/>
    <x v="50"/>
    <n v="58.1"/>
    <n v="52.83391285424122"/>
    <n v="14.4"/>
    <m/>
    <n v="4"/>
    <m/>
  </r>
  <r>
    <n v="2025"/>
    <s v="Northeast"/>
    <x v="5"/>
    <n v="2"/>
    <n v="8"/>
    <n v="4"/>
    <n v="47"/>
    <x v="50"/>
    <n v="59.1"/>
    <n v="45.974546407842759"/>
    <m/>
    <m/>
    <m/>
    <m/>
  </r>
  <r>
    <n v="2025"/>
    <s v="Northeast"/>
    <x v="5"/>
    <n v="3"/>
    <n v="16"/>
    <n v="6"/>
    <n v="47"/>
    <x v="50"/>
    <n v="59.1"/>
    <n v="46.030501514641514"/>
    <m/>
    <m/>
    <m/>
    <m/>
  </r>
  <r>
    <n v="2025"/>
    <s v="Northeast"/>
    <x v="5"/>
    <n v="1"/>
    <n v="24"/>
    <n v="1"/>
    <n v="45"/>
    <x v="21"/>
    <n v="56.3"/>
    <n v="47.093423171496063"/>
    <n v="15.6"/>
    <m/>
    <n v="4"/>
    <m/>
  </r>
  <r>
    <n v="2025"/>
    <s v="Northeast"/>
    <x v="5"/>
    <n v="2"/>
    <n v="25"/>
    <n v="4"/>
    <n v="45"/>
    <x v="21"/>
    <n v="56"/>
    <n v="51.974637857874463"/>
    <m/>
    <m/>
    <m/>
    <m/>
  </r>
  <r>
    <n v="2025"/>
    <s v="Northeast"/>
    <x v="5"/>
    <n v="3"/>
    <n v="19"/>
    <n v="6"/>
    <n v="45"/>
    <x v="21"/>
    <n v="54.1"/>
    <n v="44.351495407991536"/>
    <m/>
    <m/>
    <m/>
    <m/>
  </r>
  <r>
    <n v="2025"/>
    <s v="Northeast"/>
    <x v="5"/>
    <n v="1"/>
    <n v="7"/>
    <n v="2"/>
    <n v="24"/>
    <x v="29"/>
    <n v="53.9"/>
    <n v="44.41872134635846"/>
    <n v="14.2"/>
    <m/>
    <n v="3"/>
    <m/>
  </r>
  <r>
    <n v="2025"/>
    <s v="Northeast"/>
    <x v="5"/>
    <n v="2"/>
    <n v="19"/>
    <n v="4"/>
    <n v="24"/>
    <x v="29"/>
    <n v="55.5"/>
    <n v="38.332599131834371"/>
    <m/>
    <m/>
    <m/>
    <m/>
  </r>
  <r>
    <n v="2025"/>
    <s v="Northeast"/>
    <x v="5"/>
    <n v="3"/>
    <n v="24"/>
    <n v="5"/>
    <n v="24"/>
    <x v="29"/>
    <n v="57.8"/>
    <n v="40.975409614082601"/>
    <m/>
    <m/>
    <m/>
    <m/>
  </r>
  <r>
    <n v="2025"/>
    <s v="Northeast"/>
    <x v="5"/>
    <n v="1"/>
    <n v="22"/>
    <n v="2"/>
    <n v="33"/>
    <x v="3"/>
    <n v="57.9"/>
    <n v="49.758889931327978"/>
    <n v="13.9"/>
    <m/>
    <n v="3"/>
    <m/>
  </r>
  <r>
    <n v="2025"/>
    <s v="Northeast"/>
    <x v="5"/>
    <n v="2"/>
    <n v="17"/>
    <n v="3"/>
    <n v="33"/>
    <x v="3"/>
    <n v="56.6"/>
    <n v="46.026336724362366"/>
    <m/>
    <m/>
    <m/>
    <m/>
  </r>
  <r>
    <n v="2025"/>
    <s v="Northeast"/>
    <x v="5"/>
    <n v="3"/>
    <n v="10"/>
    <n v="6"/>
    <n v="33"/>
    <x v="3"/>
    <n v="55.2"/>
    <n v="39.920606337452504"/>
    <m/>
    <m/>
    <m/>
    <m/>
  </r>
  <r>
    <n v="2025"/>
    <s v="Northeast"/>
    <x v="5"/>
    <n v="1"/>
    <n v="14"/>
    <n v="1"/>
    <n v="60"/>
    <x v="52"/>
    <n v="51.2"/>
    <n v="31.547115375343523"/>
    <n v="18.3"/>
    <m/>
    <n v="1"/>
    <m/>
  </r>
  <r>
    <n v="2025"/>
    <s v="Northeast"/>
    <x v="5"/>
    <n v="2"/>
    <n v="22"/>
    <n v="4"/>
    <n v="60"/>
    <x v="52"/>
    <n v="53.2"/>
    <n v="42.744069648344144"/>
    <m/>
    <m/>
    <m/>
    <m/>
  </r>
  <r>
    <n v="2025"/>
    <s v="Northeast"/>
    <x v="5"/>
    <n v="3"/>
    <n v="20"/>
    <n v="6"/>
    <n v="60"/>
    <x v="52"/>
    <n v="51.3"/>
    <n v="31.159460979949024"/>
    <m/>
    <m/>
    <m/>
    <m/>
  </r>
  <r>
    <n v="2025"/>
    <s v="Northeast"/>
    <x v="5"/>
    <n v="1"/>
    <n v="17"/>
    <n v="2"/>
    <n v="58"/>
    <x v="51"/>
    <n v="59"/>
    <n v="52.537496953283679"/>
    <n v="14.6"/>
    <m/>
    <n v="3"/>
    <m/>
  </r>
  <r>
    <n v="2025"/>
    <s v="Northeast"/>
    <x v="5"/>
    <n v="2"/>
    <n v="16"/>
    <n v="4"/>
    <n v="58"/>
    <x v="51"/>
    <n v="56.4"/>
    <n v="47.470169243525334"/>
    <m/>
    <m/>
    <m/>
    <m/>
  </r>
  <r>
    <n v="2025"/>
    <s v="Northeast"/>
    <x v="5"/>
    <n v="3"/>
    <n v="4"/>
    <n v="5"/>
    <n v="58"/>
    <x v="51"/>
    <n v="53.5"/>
    <n v="35.548650739916816"/>
    <m/>
    <m/>
    <m/>
    <m/>
  </r>
  <r>
    <n v="2025"/>
    <s v="Northeast"/>
    <x v="5"/>
    <n v="1"/>
    <n v="21"/>
    <n v="2"/>
    <n v="25"/>
    <x v="34"/>
    <n v="58"/>
    <n v="50.678156494825416"/>
    <n v="13.4"/>
    <m/>
    <n v="2"/>
    <m/>
  </r>
  <r>
    <n v="2025"/>
    <s v="Northeast"/>
    <x v="5"/>
    <n v="2"/>
    <n v="23"/>
    <n v="4"/>
    <n v="25"/>
    <x v="34"/>
    <n v="56.9"/>
    <n v="53.48433595083646"/>
    <m/>
    <m/>
    <m/>
    <m/>
  </r>
  <r>
    <n v="2025"/>
    <s v="Northeast"/>
    <x v="5"/>
    <n v="3"/>
    <n v="14"/>
    <n v="5"/>
    <n v="25"/>
    <x v="34"/>
    <n v="55.4"/>
    <n v="47.656736628300607"/>
    <m/>
    <m/>
    <m/>
    <m/>
  </r>
  <r>
    <n v="2025"/>
    <s v="Northeast"/>
    <x v="5"/>
    <n v="1"/>
    <n v="12"/>
    <n v="1"/>
    <n v="34"/>
    <x v="0"/>
    <n v="57.2"/>
    <n v="47.89574273178728"/>
    <n v="15"/>
    <m/>
    <n v="4"/>
    <m/>
  </r>
  <r>
    <n v="2025"/>
    <s v="Northeast"/>
    <x v="5"/>
    <n v="2"/>
    <n v="1"/>
    <n v="3"/>
    <n v="34"/>
    <x v="0"/>
    <n v="55.2"/>
    <n v="33.866820789740125"/>
    <m/>
    <m/>
    <m/>
    <m/>
  </r>
  <r>
    <n v="2025"/>
    <s v="Northeast"/>
    <x v="5"/>
    <n v="3"/>
    <n v="2"/>
    <n v="5"/>
    <n v="34"/>
    <x v="0"/>
    <n v="58.6"/>
    <n v="34.859222361930549"/>
    <m/>
    <m/>
    <m/>
    <m/>
  </r>
  <r>
    <n v="2025"/>
    <s v="Northeast"/>
    <x v="5"/>
    <n v="1"/>
    <n v="14"/>
    <n v="2"/>
    <n v="35"/>
    <x v="30"/>
    <n v="51.6"/>
    <n v="47.520430892736236"/>
    <n v="15"/>
    <m/>
    <n v="5"/>
    <m/>
  </r>
  <r>
    <n v="2025"/>
    <s v="Northeast"/>
    <x v="5"/>
    <n v="2"/>
    <n v="15"/>
    <n v="3"/>
    <n v="35"/>
    <x v="30"/>
    <n v="55.9"/>
    <n v="50.929149317776371"/>
    <m/>
    <m/>
    <m/>
    <m/>
  </r>
  <r>
    <n v="2025"/>
    <s v="Northeast"/>
    <x v="5"/>
    <n v="3"/>
    <n v="18"/>
    <n v="6"/>
    <n v="35"/>
    <x v="30"/>
    <n v="57.9"/>
    <n v="46.902403183151414"/>
    <m/>
    <m/>
    <m/>
    <m/>
  </r>
  <r>
    <n v="2025"/>
    <s v="Northeast"/>
    <x v="5"/>
    <n v="1"/>
    <n v="3"/>
    <n v="2"/>
    <n v="57"/>
    <x v="45"/>
    <n v="51"/>
    <n v="43.343395009188498"/>
    <n v="15.3"/>
    <m/>
    <n v="3"/>
    <m/>
  </r>
  <r>
    <n v="2025"/>
    <s v="Northeast"/>
    <x v="5"/>
    <n v="2"/>
    <n v="21"/>
    <n v="4"/>
    <n v="57"/>
    <x v="45"/>
    <n v="55.9"/>
    <n v="45.600163878456797"/>
    <m/>
    <m/>
    <m/>
    <m/>
  </r>
  <r>
    <n v="2025"/>
    <s v="Northeast"/>
    <x v="5"/>
    <n v="3"/>
    <n v="26"/>
    <n v="5"/>
    <n v="57"/>
    <x v="45"/>
    <n v="55.9"/>
    <n v="48.723512138504681"/>
    <m/>
    <m/>
    <m/>
    <m/>
  </r>
  <r>
    <n v="2025"/>
    <s v="Northeast"/>
    <x v="5"/>
    <n v="1"/>
    <n v="26"/>
    <n v="2"/>
    <n v="49"/>
    <x v="47"/>
    <n v="60.9"/>
    <n v="57.184330399458368"/>
    <n v="15.2"/>
    <m/>
    <n v="1"/>
    <m/>
  </r>
  <r>
    <n v="2025"/>
    <s v="Northeast"/>
    <x v="5"/>
    <n v="2"/>
    <n v="13"/>
    <n v="3"/>
    <n v="49"/>
    <x v="47"/>
    <n v="57.3"/>
    <n v="47.567683814666601"/>
    <m/>
    <m/>
    <m/>
    <m/>
  </r>
  <r>
    <n v="2025"/>
    <s v="Northeast"/>
    <x v="5"/>
    <n v="3"/>
    <n v="12"/>
    <n v="5"/>
    <n v="49"/>
    <x v="47"/>
    <n v="57"/>
    <n v="46.654192861978906"/>
    <m/>
    <m/>
    <m/>
    <m/>
  </r>
  <r>
    <n v="2025"/>
    <s v="Northeast"/>
    <x v="5"/>
    <n v="1"/>
    <n v="2"/>
    <n v="1"/>
    <n v="48"/>
    <x v="48"/>
    <n v="52.2"/>
    <n v="37.506112530736225"/>
    <n v="17"/>
    <m/>
    <n v="0"/>
    <m/>
  </r>
  <r>
    <n v="2025"/>
    <s v="Northeast"/>
    <x v="5"/>
    <n v="2"/>
    <n v="18"/>
    <n v="3"/>
    <n v="48"/>
    <x v="48"/>
    <n v="49.3"/>
    <n v="36.63109782556289"/>
    <m/>
    <m/>
    <m/>
    <m/>
  </r>
  <r>
    <n v="2025"/>
    <s v="Northeast"/>
    <x v="5"/>
    <n v="3"/>
    <n v="11"/>
    <n v="6"/>
    <n v="48"/>
    <x v="48"/>
    <n v="53.6"/>
    <n v="40.141817569841798"/>
    <m/>
    <m/>
    <m/>
    <m/>
  </r>
  <r>
    <n v="2025"/>
    <s v="Northeast"/>
    <x v="5"/>
    <n v="1"/>
    <n v="10"/>
    <n v="2"/>
    <n v="26"/>
    <x v="11"/>
    <n v="58.7"/>
    <n v="58.362324112583416"/>
    <n v="13.7"/>
    <m/>
    <n v="2"/>
    <m/>
  </r>
  <r>
    <n v="2025"/>
    <s v="Northeast"/>
    <x v="5"/>
    <n v="2"/>
    <n v="5"/>
    <n v="4"/>
    <n v="26"/>
    <x v="11"/>
    <s v="."/>
    <s v="."/>
    <m/>
    <m/>
    <m/>
    <m/>
  </r>
  <r>
    <n v="2025"/>
    <s v="Northeast"/>
    <x v="5"/>
    <n v="3"/>
    <n v="17"/>
    <n v="5"/>
    <n v="26"/>
    <x v="11"/>
    <n v="56.4"/>
    <n v="49.210009188509517"/>
    <m/>
    <m/>
    <m/>
    <m/>
  </r>
  <r>
    <n v="2025"/>
    <s v="Northeast"/>
    <x v="5"/>
    <n v="1"/>
    <n v="1"/>
    <n v="2"/>
    <n v="36"/>
    <x v="36"/>
    <n v="59"/>
    <n v="53.397951445981235"/>
    <n v="15.7"/>
    <m/>
    <n v="1"/>
    <m/>
  </r>
  <r>
    <n v="2025"/>
    <s v="Northeast"/>
    <x v="5"/>
    <n v="2"/>
    <n v="8"/>
    <n v="3"/>
    <n v="36"/>
    <x v="36"/>
    <n v="58"/>
    <n v="49.678134130466226"/>
    <m/>
    <m/>
    <m/>
    <m/>
  </r>
  <r>
    <n v="2025"/>
    <s v="Northeast"/>
    <x v="5"/>
    <n v="3"/>
    <n v="26"/>
    <n v="6"/>
    <n v="36"/>
    <x v="36"/>
    <n v="58.4"/>
    <n v="51.074674568447357"/>
    <m/>
    <m/>
    <m/>
    <m/>
  </r>
  <r>
    <n v="2025"/>
    <s v="Northeast"/>
    <x v="6"/>
    <n v="1"/>
    <n v="1"/>
    <n v="1"/>
    <n v="34"/>
    <x v="0"/>
    <n v="56.2"/>
    <n v="53.905276691729306"/>
    <n v="14.8"/>
    <m/>
    <m/>
    <m/>
  </r>
  <r>
    <n v="2025"/>
    <s v="Northeast"/>
    <x v="6"/>
    <n v="1"/>
    <n v="2"/>
    <n v="1"/>
    <n v="23"/>
    <x v="35"/>
    <n v="53.6"/>
    <n v="44.768842105263154"/>
    <n v="15.5"/>
    <m/>
    <m/>
    <m/>
  </r>
  <r>
    <n v="2025"/>
    <s v="Northeast"/>
    <x v="6"/>
    <n v="1"/>
    <n v="3"/>
    <n v="1"/>
    <n v="18"/>
    <x v="8"/>
    <n v="57.2"/>
    <n v="57.949190977443607"/>
    <n v="13.4"/>
    <m/>
    <m/>
    <m/>
  </r>
  <r>
    <n v="2025"/>
    <s v="Northeast"/>
    <x v="6"/>
    <n v="1"/>
    <n v="4"/>
    <n v="1"/>
    <n v="46"/>
    <x v="25"/>
    <n v="58.2"/>
    <n v="72.608336842105231"/>
    <n v="14.1"/>
    <m/>
    <m/>
    <m/>
  </r>
  <r>
    <n v="2025"/>
    <s v="Northeast"/>
    <x v="6"/>
    <n v="1"/>
    <n v="5"/>
    <n v="1"/>
    <n v="43"/>
    <x v="22"/>
    <n v="58.5"/>
    <n v="54.405953684210516"/>
    <n v="14"/>
    <m/>
    <m/>
    <m/>
  </r>
  <r>
    <n v="2025"/>
    <s v="Northeast"/>
    <x v="6"/>
    <n v="1"/>
    <n v="6"/>
    <n v="1"/>
    <n v="37"/>
    <x v="31"/>
    <n v="58.6"/>
    <n v="60.811526616541336"/>
    <n v="13.2"/>
    <m/>
    <m/>
    <m/>
  </r>
  <r>
    <n v="2025"/>
    <s v="Northeast"/>
    <x v="6"/>
    <n v="1"/>
    <n v="7"/>
    <n v="1"/>
    <n v="28"/>
    <x v="37"/>
    <n v="56.6"/>
    <n v="53.842105263157876"/>
    <n v="12.3"/>
    <m/>
    <m/>
    <m/>
  </r>
  <r>
    <n v="2025"/>
    <s v="Northeast"/>
    <x v="6"/>
    <n v="1"/>
    <n v="8"/>
    <n v="1"/>
    <n v="35"/>
    <x v="30"/>
    <n v="55.8"/>
    <n v="53.23669172932329"/>
    <n v="14"/>
    <m/>
    <m/>
    <m/>
  </r>
  <r>
    <n v="2025"/>
    <s v="Northeast"/>
    <x v="6"/>
    <n v="1"/>
    <n v="9"/>
    <n v="1"/>
    <n v="49"/>
    <x v="47"/>
    <n v="55.2"/>
    <n v="50.831314285714285"/>
    <n v="15.2"/>
    <m/>
    <m/>
    <m/>
  </r>
  <r>
    <n v="2025"/>
    <s v="Northeast"/>
    <x v="6"/>
    <n v="1"/>
    <n v="10"/>
    <n v="1"/>
    <n v="7"/>
    <x v="44"/>
    <n v="56.4"/>
    <n v="42.335675187969919"/>
    <n v="14.6"/>
    <m/>
    <m/>
    <m/>
  </r>
  <r>
    <n v="2025"/>
    <s v="Northeast"/>
    <x v="6"/>
    <n v="1"/>
    <n v="11"/>
    <n v="1"/>
    <n v="20"/>
    <x v="18"/>
    <n v="58.2"/>
    <n v="61.188153383458641"/>
    <n v="13.1"/>
    <m/>
    <m/>
    <m/>
  </r>
  <r>
    <n v="2025"/>
    <s v="Northeast"/>
    <x v="6"/>
    <n v="1"/>
    <n v="12"/>
    <n v="1"/>
    <n v="21"/>
    <x v="26"/>
    <n v="57.6"/>
    <n v="57.165428571428563"/>
    <n v="13.5"/>
    <m/>
    <m/>
    <m/>
  </r>
  <r>
    <n v="2025"/>
    <s v="Northeast"/>
    <x v="6"/>
    <n v="1"/>
    <n v="13"/>
    <n v="1"/>
    <n v="40"/>
    <x v="13"/>
    <n v="59.2"/>
    <n v="60.799199999999985"/>
    <n v="14"/>
    <m/>
    <m/>
    <m/>
  </r>
  <r>
    <n v="2025"/>
    <s v="Northeast"/>
    <x v="6"/>
    <n v="1"/>
    <n v="13"/>
    <n v="2"/>
    <n v="9"/>
    <x v="1"/>
    <n v="54.6"/>
    <n v="57.360368337425967"/>
    <n v="14.5"/>
    <m/>
    <m/>
    <m/>
  </r>
  <r>
    <n v="2025"/>
    <s v="Northeast"/>
    <x v="6"/>
    <n v="1"/>
    <n v="12"/>
    <n v="2"/>
    <n v="32"/>
    <x v="24"/>
    <n v="57.6"/>
    <n v="55.242657807308966"/>
    <n v="13.6"/>
    <m/>
    <m/>
    <m/>
  </r>
  <r>
    <n v="2025"/>
    <s v="Northeast"/>
    <x v="6"/>
    <n v="1"/>
    <n v="11"/>
    <n v="2"/>
    <n v="17"/>
    <x v="32"/>
    <n v="56.7"/>
    <n v="60.487069478549756"/>
    <n v="13.7"/>
    <m/>
    <m/>
    <m/>
  </r>
  <r>
    <n v="2025"/>
    <s v="Northeast"/>
    <x v="6"/>
    <n v="1"/>
    <n v="10"/>
    <n v="2"/>
    <n v="36"/>
    <x v="36"/>
    <n v="59.6"/>
    <n v="58.27320468005199"/>
    <n v="14"/>
    <m/>
    <m/>
    <m/>
  </r>
  <r>
    <n v="2025"/>
    <s v="Northeast"/>
    <x v="6"/>
    <n v="1"/>
    <n v="9"/>
    <n v="2"/>
    <n v="13"/>
    <x v="38"/>
    <n v="58.1"/>
    <n v="57.670219413549027"/>
    <n v="13.2"/>
    <m/>
    <m/>
    <m/>
  </r>
  <r>
    <n v="2025"/>
    <s v="Northeast"/>
    <x v="6"/>
    <n v="1"/>
    <n v="8"/>
    <n v="2"/>
    <n v="2"/>
    <x v="23"/>
    <n v="56.2"/>
    <n v="71.660956232847028"/>
    <n v="12.8"/>
    <m/>
    <m/>
    <m/>
  </r>
  <r>
    <n v="2025"/>
    <s v="Northeast"/>
    <x v="6"/>
    <n v="1"/>
    <n v="7"/>
    <n v="2"/>
    <n v="11"/>
    <x v="2"/>
    <n v="58.2"/>
    <n v="63.282493138812647"/>
    <n v="13.3"/>
    <m/>
    <m/>
    <m/>
  </r>
  <r>
    <n v="2025"/>
    <s v="Northeast"/>
    <x v="6"/>
    <n v="1"/>
    <n v="6"/>
    <n v="2"/>
    <n v="41"/>
    <x v="20"/>
    <n v="58.3"/>
    <n v="59.090830564784042"/>
    <n v="14.3"/>
    <m/>
    <m/>
    <m/>
  </r>
  <r>
    <n v="2025"/>
    <s v="Northeast"/>
    <x v="6"/>
    <n v="1"/>
    <n v="5"/>
    <n v="2"/>
    <n v="12"/>
    <x v="41"/>
    <n v="59.6"/>
    <n v="61.797564639607103"/>
    <n v="14.3"/>
    <m/>
    <m/>
    <m/>
  </r>
  <r>
    <n v="2025"/>
    <s v="Northeast"/>
    <x v="6"/>
    <n v="1"/>
    <n v="4"/>
    <n v="2"/>
    <n v="1"/>
    <x v="12"/>
    <n v="58.7"/>
    <n v="66.133944821609134"/>
    <n v="14"/>
    <m/>
    <m/>
    <m/>
  </r>
  <r>
    <n v="2025"/>
    <s v="Northeast"/>
    <x v="6"/>
    <n v="1"/>
    <n v="3"/>
    <n v="2"/>
    <n v="4"/>
    <x v="4"/>
    <n v="56.8"/>
    <n v="62.849198324425821"/>
    <n v="13.2"/>
    <m/>
    <m/>
    <m/>
  </r>
  <r>
    <n v="2025"/>
    <s v="Northeast"/>
    <x v="6"/>
    <n v="1"/>
    <n v="2"/>
    <n v="2"/>
    <n v="48"/>
    <x v="48"/>
    <n v="53.5"/>
    <n v="48.690182002022233"/>
    <n v="15.6"/>
    <m/>
    <m/>
    <m/>
  </r>
  <r>
    <n v="2025"/>
    <s v="Northeast"/>
    <x v="6"/>
    <n v="1"/>
    <n v="1"/>
    <n v="2"/>
    <n v="6"/>
    <x v="10"/>
    <n v="57.3"/>
    <n v="53.325292503250026"/>
    <n v="15.8"/>
    <m/>
    <m/>
    <m/>
  </r>
  <r>
    <n v="2025"/>
    <s v="Northeast"/>
    <x v="6"/>
    <n v="1"/>
    <n v="1"/>
    <n v="3"/>
    <n v="16"/>
    <x v="40"/>
    <n v="57.4"/>
    <n v="64.883083939482106"/>
    <n v="13.6"/>
    <m/>
    <m/>
    <m/>
  </r>
  <r>
    <n v="2025"/>
    <s v="Northeast"/>
    <x v="6"/>
    <n v="1"/>
    <n v="2"/>
    <n v="3"/>
    <n v="8"/>
    <x v="9"/>
    <n v="58.1"/>
    <n v="63.889421006691883"/>
    <n v="13.4"/>
    <m/>
    <m/>
    <m/>
  </r>
  <r>
    <n v="2025"/>
    <s v="Northeast"/>
    <x v="6"/>
    <n v="1"/>
    <n v="3"/>
    <n v="3"/>
    <n v="33"/>
    <x v="3"/>
    <n v="58"/>
    <n v="62.900069100960131"/>
    <n v="13"/>
    <m/>
    <m/>
    <m/>
  </r>
  <r>
    <n v="2025"/>
    <s v="Northeast"/>
    <x v="6"/>
    <n v="1"/>
    <n v="4"/>
    <n v="3"/>
    <n v="5"/>
    <x v="28"/>
    <n v="55.5"/>
    <n v="61.098487052662207"/>
    <n v="13.3"/>
    <m/>
    <m/>
    <m/>
  </r>
  <r>
    <n v="2025"/>
    <s v="Northeast"/>
    <x v="6"/>
    <n v="1"/>
    <n v="5"/>
    <n v="3"/>
    <n v="42"/>
    <x v="42"/>
    <n v="58"/>
    <n v="62.585743380855391"/>
    <n v="13.5"/>
    <m/>
    <m/>
    <m/>
  </r>
  <r>
    <n v="2025"/>
    <s v="Northeast"/>
    <x v="6"/>
    <n v="1"/>
    <n v="6"/>
    <n v="3"/>
    <n v="3"/>
    <x v="16"/>
    <n v="60.1"/>
    <n v="68.674661041606043"/>
    <n v="13.3"/>
    <m/>
    <m/>
    <m/>
  </r>
  <r>
    <n v="2025"/>
    <s v="Northeast"/>
    <x v="6"/>
    <n v="1"/>
    <n v="7"/>
    <n v="3"/>
    <n v="15"/>
    <x v="7"/>
    <n v="56.3"/>
    <n v="60.970841286005232"/>
    <n v="13.4"/>
    <m/>
    <m/>
    <m/>
  </r>
  <r>
    <n v="2025"/>
    <s v="Northeast"/>
    <x v="6"/>
    <n v="1"/>
    <n v="8"/>
    <n v="3"/>
    <n v="47"/>
    <x v="50"/>
    <n v="55.3"/>
    <n v="59.548341576956638"/>
    <n v="14.9"/>
    <m/>
    <m/>
    <m/>
  </r>
  <r>
    <n v="2025"/>
    <s v="Northeast"/>
    <x v="6"/>
    <n v="1"/>
    <n v="9"/>
    <n v="3"/>
    <n v="30"/>
    <x v="14"/>
    <n v="57.7"/>
    <n v="55.526182135583355"/>
    <n v="13.7"/>
    <m/>
    <m/>
    <m/>
  </r>
  <r>
    <n v="2025"/>
    <s v="Northeast"/>
    <x v="6"/>
    <n v="1"/>
    <n v="10"/>
    <n v="3"/>
    <n v="57"/>
    <x v="45"/>
    <n v="52.4"/>
    <n v="56.255878673261549"/>
    <n v="14.3"/>
    <m/>
    <m/>
    <m/>
  </r>
  <r>
    <n v="2025"/>
    <s v="Northeast"/>
    <x v="6"/>
    <n v="1"/>
    <n v="11"/>
    <n v="3"/>
    <n v="22"/>
    <x v="33"/>
    <n v="58"/>
    <n v="71.476828629618836"/>
    <n v="13.5"/>
    <m/>
    <m/>
    <m/>
  </r>
  <r>
    <n v="2025"/>
    <s v="Northeast"/>
    <x v="6"/>
    <n v="1"/>
    <n v="12"/>
    <n v="3"/>
    <n v="31"/>
    <x v="6"/>
    <n v="54.8"/>
    <n v="44.50852196683153"/>
    <n v="13.5"/>
    <m/>
    <m/>
    <m/>
  </r>
  <r>
    <n v="2025"/>
    <s v="Northeast"/>
    <x v="6"/>
    <n v="1"/>
    <n v="13"/>
    <n v="3"/>
    <n v="26"/>
    <x v="11"/>
    <n v="56.4"/>
    <n v="71.642740762292703"/>
    <n v="13.2"/>
    <m/>
    <m/>
    <m/>
  </r>
  <r>
    <n v="2025"/>
    <s v="Northeast"/>
    <x v="6"/>
    <n v="1"/>
    <n v="13"/>
    <n v="4"/>
    <n v="29"/>
    <x v="27"/>
    <n v="58.5"/>
    <n v="69.681861909576767"/>
    <n v="12.8"/>
    <m/>
    <m/>
    <m/>
  </r>
  <r>
    <n v="2025"/>
    <s v="Northeast"/>
    <x v="6"/>
    <n v="1"/>
    <n v="12"/>
    <n v="4"/>
    <n v="39"/>
    <x v="46"/>
    <n v="58.1"/>
    <n v="68.895119601328901"/>
    <n v="13.3"/>
    <m/>
    <m/>
    <m/>
  </r>
  <r>
    <n v="2025"/>
    <s v="Northeast"/>
    <x v="6"/>
    <n v="1"/>
    <n v="11"/>
    <n v="4"/>
    <n v="24"/>
    <x v="29"/>
    <n v="59"/>
    <n v="74.132023689152092"/>
    <n v="13.1"/>
    <m/>
    <m/>
    <m/>
  </r>
  <r>
    <n v="2025"/>
    <s v="Northeast"/>
    <x v="6"/>
    <n v="1"/>
    <n v="10"/>
    <n v="4"/>
    <n v="38"/>
    <x v="43"/>
    <n v="58.4"/>
    <n v="62.87259338437093"/>
    <n v="13.8"/>
    <m/>
    <m/>
    <m/>
  </r>
  <r>
    <n v="2025"/>
    <s v="Northeast"/>
    <x v="6"/>
    <n v="1"/>
    <n v="9"/>
    <n v="4"/>
    <n v="19"/>
    <x v="49"/>
    <n v="56.6"/>
    <n v="64.887571573017468"/>
    <n v="13.7"/>
    <m/>
    <m/>
    <m/>
  </r>
  <r>
    <n v="2025"/>
    <s v="Northeast"/>
    <x v="6"/>
    <n v="1"/>
    <n v="8"/>
    <n v="4"/>
    <n v="25"/>
    <x v="34"/>
    <n v="58"/>
    <n v="69.112667918532424"/>
    <n v="13.3"/>
    <m/>
    <m/>
    <m/>
  </r>
  <r>
    <n v="2025"/>
    <s v="Northeast"/>
    <x v="6"/>
    <n v="1"/>
    <n v="7"/>
    <n v="4"/>
    <n v="14"/>
    <x v="5"/>
    <n v="59.2"/>
    <n v="59.556348403871155"/>
    <n v="13.9"/>
    <m/>
    <m/>
    <m/>
  </r>
  <r>
    <n v="2025"/>
    <s v="Northeast"/>
    <x v="6"/>
    <n v="1"/>
    <n v="6"/>
    <n v="4"/>
    <n v="10"/>
    <x v="15"/>
    <n v="53.5"/>
    <n v="55.913144590495449"/>
    <n v="15.2"/>
    <m/>
    <m/>
    <m/>
  </r>
  <r>
    <n v="2025"/>
    <s v="Northeast"/>
    <x v="6"/>
    <n v="1"/>
    <n v="5"/>
    <n v="4"/>
    <n v="27"/>
    <x v="39"/>
    <n v="58.8"/>
    <n v="67.605788675429707"/>
    <n v="13.3"/>
    <m/>
    <m/>
    <m/>
  </r>
  <r>
    <n v="2025"/>
    <s v="Northeast"/>
    <x v="6"/>
    <n v="1"/>
    <n v="4"/>
    <n v="4"/>
    <n v="58"/>
    <x v="51"/>
    <n v="57.3"/>
    <n v="58.621585150946125"/>
    <n v="14.7"/>
    <m/>
    <m/>
    <m/>
  </r>
  <r>
    <n v="2025"/>
    <s v="Northeast"/>
    <x v="6"/>
    <n v="1"/>
    <n v="3"/>
    <n v="4"/>
    <n v="60"/>
    <x v="52"/>
    <n v="54.8"/>
    <n v="50.9950339448216"/>
    <n v="15.4"/>
    <m/>
    <m/>
    <m/>
  </r>
  <r>
    <n v="2025"/>
    <s v="Northeast"/>
    <x v="6"/>
    <n v="1"/>
    <n v="2"/>
    <n v="4"/>
    <n v="45"/>
    <x v="21"/>
    <n v="55.3"/>
    <n v="47.238668207424524"/>
    <n v="14.2"/>
    <m/>
    <m/>
    <m/>
  </r>
  <r>
    <n v="2025"/>
    <s v="Northeast"/>
    <x v="6"/>
    <n v="1"/>
    <n v="1"/>
    <n v="4"/>
    <n v="44"/>
    <x v="17"/>
    <n v="57.4"/>
    <n v="45.716101382488482"/>
    <n v="14.5"/>
    <m/>
    <m/>
    <m/>
  </r>
  <r>
    <n v="2025"/>
    <s v="Northeast"/>
    <x v="6"/>
    <n v="2"/>
    <n v="1"/>
    <n v="5"/>
    <n v="35"/>
    <x v="30"/>
    <n v="56.2"/>
    <n v="49.21618479262672"/>
    <m/>
    <m/>
    <m/>
    <m/>
  </r>
  <r>
    <n v="2025"/>
    <s v="Northeast"/>
    <x v="6"/>
    <n v="2"/>
    <n v="2"/>
    <n v="5"/>
    <n v="19"/>
    <x v="49"/>
    <n v="55.8"/>
    <n v="43.526695852534559"/>
    <m/>
    <m/>
    <m/>
    <m/>
  </r>
  <r>
    <n v="2025"/>
    <s v="Northeast"/>
    <x v="6"/>
    <n v="2"/>
    <n v="3"/>
    <n v="5"/>
    <n v="45"/>
    <x v="21"/>
    <n v="59.4"/>
    <n v="60.445111520737321"/>
    <m/>
    <m/>
    <m/>
    <m/>
  </r>
  <r>
    <n v="2025"/>
    <s v="Northeast"/>
    <x v="6"/>
    <n v="2"/>
    <n v="4"/>
    <n v="5"/>
    <n v="20"/>
    <x v="18"/>
    <n v="59"/>
    <n v="55.288790046082951"/>
    <m/>
    <m/>
    <m/>
    <m/>
  </r>
  <r>
    <n v="2025"/>
    <s v="Northeast"/>
    <x v="6"/>
    <n v="2"/>
    <n v="5"/>
    <n v="5"/>
    <n v="29"/>
    <x v="27"/>
    <n v="59.4"/>
    <n v="59.808025990783413"/>
    <m/>
    <m/>
    <m/>
    <m/>
  </r>
  <r>
    <n v="2025"/>
    <s v="Northeast"/>
    <x v="6"/>
    <n v="2"/>
    <n v="6"/>
    <n v="5"/>
    <n v="8"/>
    <x v="9"/>
    <n v="58.6"/>
    <n v="63.907853225806448"/>
    <m/>
    <m/>
    <m/>
    <m/>
  </r>
  <r>
    <n v="2025"/>
    <s v="Northeast"/>
    <x v="6"/>
    <n v="2"/>
    <n v="7"/>
    <n v="5"/>
    <n v="37"/>
    <x v="31"/>
    <n v="58"/>
    <n v="48.603251612903222"/>
    <m/>
    <m/>
    <m/>
    <m/>
  </r>
  <r>
    <n v="2025"/>
    <s v="Northeast"/>
    <x v="6"/>
    <n v="2"/>
    <n v="8"/>
    <n v="5"/>
    <n v="39"/>
    <x v="46"/>
    <n v="58"/>
    <n v="58.170780414746545"/>
    <m/>
    <m/>
    <m/>
    <m/>
  </r>
  <r>
    <n v="2025"/>
    <s v="Northeast"/>
    <x v="6"/>
    <n v="2"/>
    <n v="9"/>
    <n v="5"/>
    <n v="22"/>
    <x v="33"/>
    <n v="57"/>
    <n v="57.048179723502308"/>
    <m/>
    <m/>
    <m/>
    <m/>
  </r>
  <r>
    <n v="2025"/>
    <s v="Northeast"/>
    <x v="6"/>
    <n v="2"/>
    <n v="10"/>
    <n v="5"/>
    <n v="13"/>
    <x v="38"/>
    <n v="57.3"/>
    <n v="55.153639078341016"/>
    <m/>
    <m/>
    <m/>
    <m/>
  </r>
  <r>
    <n v="2025"/>
    <s v="Northeast"/>
    <x v="6"/>
    <n v="2"/>
    <n v="11"/>
    <n v="5"/>
    <n v="58"/>
    <x v="51"/>
    <n v="58.8"/>
    <n v="50.967252995391696"/>
    <m/>
    <m/>
    <m/>
    <m/>
  </r>
  <r>
    <n v="2025"/>
    <s v="Northeast"/>
    <x v="6"/>
    <n v="2"/>
    <n v="12"/>
    <n v="5"/>
    <n v="17"/>
    <x v="32"/>
    <n v="55.9"/>
    <n v="47.978297004608294"/>
    <m/>
    <m/>
    <m/>
    <m/>
  </r>
  <r>
    <n v="2025"/>
    <s v="Northeast"/>
    <x v="6"/>
    <n v="2"/>
    <n v="13"/>
    <n v="5"/>
    <n v="12"/>
    <x v="41"/>
    <n v="59.7"/>
    <n v="56.333700829493075"/>
    <m/>
    <m/>
    <m/>
    <m/>
  </r>
  <r>
    <n v="2025"/>
    <s v="Northeast"/>
    <x v="6"/>
    <n v="2"/>
    <n v="13"/>
    <n v="6"/>
    <n v="6"/>
    <x v="10"/>
    <n v="58.6"/>
    <n v="48.025135951661618"/>
    <m/>
    <m/>
    <m/>
    <m/>
  </r>
  <r>
    <n v="2025"/>
    <s v="Northeast"/>
    <x v="6"/>
    <n v="2"/>
    <n v="12"/>
    <n v="6"/>
    <n v="14"/>
    <x v="5"/>
    <n v="57.4"/>
    <n v="50.191903323262835"/>
    <m/>
    <m/>
    <m/>
    <m/>
  </r>
  <r>
    <n v="2025"/>
    <s v="Northeast"/>
    <x v="6"/>
    <n v="2"/>
    <n v="11"/>
    <n v="6"/>
    <n v="1"/>
    <x v="12"/>
    <n v="59.1"/>
    <n v="68.463534743202416"/>
    <m/>
    <m/>
    <m/>
    <m/>
  </r>
  <r>
    <n v="2025"/>
    <s v="Northeast"/>
    <x v="6"/>
    <n v="2"/>
    <n v="10"/>
    <n v="6"/>
    <n v="42"/>
    <x v="42"/>
    <n v="57.8"/>
    <n v="53.842792403970641"/>
    <m/>
    <m/>
    <m/>
    <m/>
  </r>
  <r>
    <n v="2025"/>
    <s v="Northeast"/>
    <x v="6"/>
    <n v="2"/>
    <n v="9"/>
    <n v="6"/>
    <n v="7"/>
    <x v="44"/>
    <n v="58"/>
    <n v="51.121965904186439"/>
    <m/>
    <m/>
    <m/>
    <m/>
  </r>
  <r>
    <n v="2025"/>
    <s v="Northeast"/>
    <x v="6"/>
    <n v="2"/>
    <n v="8"/>
    <n v="6"/>
    <n v="23"/>
    <x v="35"/>
    <n v="56.4"/>
    <n v="53.002054380664653"/>
    <m/>
    <m/>
    <m/>
    <m/>
  </r>
  <r>
    <n v="2025"/>
    <s v="Northeast"/>
    <x v="6"/>
    <n v="2"/>
    <n v="7"/>
    <n v="6"/>
    <n v="57"/>
    <x v="45"/>
    <n v="53.1"/>
    <n v="41.908243418213203"/>
    <m/>
    <m/>
    <m/>
    <m/>
  </r>
  <r>
    <n v="2025"/>
    <s v="Northeast"/>
    <x v="6"/>
    <n v="2"/>
    <n v="6"/>
    <n v="6"/>
    <n v="43"/>
    <x v="22"/>
    <n v="58.5"/>
    <n v="59.545402244281391"/>
    <m/>
    <m/>
    <m/>
    <m/>
  </r>
  <r>
    <n v="2025"/>
    <s v="Northeast"/>
    <x v="6"/>
    <n v="2"/>
    <n v="5"/>
    <n v="6"/>
    <n v="28"/>
    <x v="37"/>
    <n v="58.7"/>
    <n v="59.252447129909349"/>
    <m/>
    <m/>
    <m/>
    <m/>
  </r>
  <r>
    <n v="2025"/>
    <s v="Northeast"/>
    <x v="6"/>
    <n v="2"/>
    <n v="4"/>
    <n v="6"/>
    <n v="60"/>
    <x v="52"/>
    <n v="54.6"/>
    <n v="50.050807078118254"/>
    <m/>
    <m/>
    <m/>
    <m/>
  </r>
  <r>
    <n v="2025"/>
    <s v="Northeast"/>
    <x v="6"/>
    <n v="2"/>
    <n v="3"/>
    <n v="6"/>
    <n v="16"/>
    <x v="40"/>
    <n v="58.7"/>
    <n v="56.29963314630988"/>
    <m/>
    <m/>
    <m/>
    <m/>
  </r>
  <r>
    <n v="2025"/>
    <s v="Northeast"/>
    <x v="6"/>
    <n v="2"/>
    <n v="2"/>
    <n v="6"/>
    <n v="3"/>
    <x v="16"/>
    <n v="58"/>
    <n v="48.784738886491148"/>
    <m/>
    <m/>
    <m/>
    <m/>
  </r>
  <r>
    <n v="2025"/>
    <s v="Northeast"/>
    <x v="6"/>
    <n v="2"/>
    <n v="1"/>
    <n v="6"/>
    <n v="26"/>
    <x v="11"/>
    <n v="55.2"/>
    <n v="49.667112645662492"/>
    <m/>
    <m/>
    <m/>
    <m/>
  </r>
  <r>
    <n v="2025"/>
    <s v="Northeast"/>
    <x v="6"/>
    <n v="2"/>
    <n v="1"/>
    <n v="7"/>
    <n v="2"/>
    <x v="23"/>
    <n v="59.3"/>
    <n v="56.645465004793863"/>
    <m/>
    <m/>
    <m/>
    <m/>
  </r>
  <r>
    <n v="2025"/>
    <s v="Northeast"/>
    <x v="6"/>
    <n v="2"/>
    <n v="2"/>
    <n v="7"/>
    <n v="46"/>
    <x v="25"/>
    <n v="56.5"/>
    <n v="43.945843720038361"/>
    <m/>
    <m/>
    <m/>
    <m/>
  </r>
  <r>
    <n v="2025"/>
    <s v="Northeast"/>
    <x v="6"/>
    <n v="2"/>
    <n v="3"/>
    <n v="7"/>
    <n v="48"/>
    <x v="48"/>
    <n v="55.9"/>
    <n v="47.509407094918494"/>
    <m/>
    <m/>
    <m/>
    <m/>
  </r>
  <r>
    <n v="2025"/>
    <s v="Northeast"/>
    <x v="6"/>
    <n v="2"/>
    <n v="4"/>
    <n v="7"/>
    <n v="32"/>
    <x v="24"/>
    <n v="59.5"/>
    <n v="60.150805369127511"/>
    <m/>
    <m/>
    <m/>
    <m/>
  </r>
  <r>
    <n v="2025"/>
    <s v="Northeast"/>
    <x v="6"/>
    <n v="2"/>
    <n v="5"/>
    <n v="7"/>
    <n v="44"/>
    <x v="17"/>
    <n v="59.7"/>
    <n v="55.00238772770853"/>
    <m/>
    <m/>
    <m/>
    <m/>
  </r>
  <r>
    <n v="2025"/>
    <s v="Northeast"/>
    <x v="6"/>
    <n v="2"/>
    <n v="6"/>
    <n v="7"/>
    <n v="15"/>
    <x v="7"/>
    <n v="57.1"/>
    <n v="55.927558389261726"/>
    <m/>
    <m/>
    <m/>
    <m/>
  </r>
  <r>
    <n v="2025"/>
    <s v="Northeast"/>
    <x v="6"/>
    <n v="2"/>
    <n v="7"/>
    <n v="7"/>
    <n v="9"/>
    <x v="1"/>
    <n v="54.5"/>
    <n v="46.977208533077665"/>
    <m/>
    <m/>
    <m/>
    <m/>
  </r>
  <r>
    <n v="2025"/>
    <s v="Northeast"/>
    <x v="6"/>
    <n v="2"/>
    <n v="8"/>
    <n v="7"/>
    <n v="18"/>
    <x v="8"/>
    <n v="54.6"/>
    <n v="45.093503355704691"/>
    <m/>
    <m/>
    <m/>
    <m/>
  </r>
  <r>
    <n v="2025"/>
    <s v="Northeast"/>
    <x v="6"/>
    <n v="2"/>
    <n v="9"/>
    <n v="7"/>
    <n v="41"/>
    <x v="20"/>
    <n v="57.5"/>
    <n v="47.604762224352832"/>
    <m/>
    <m/>
    <m/>
    <m/>
  </r>
  <r>
    <n v="2025"/>
    <s v="Northeast"/>
    <x v="6"/>
    <n v="2"/>
    <n v="10"/>
    <n v="7"/>
    <n v="10"/>
    <x v="15"/>
    <n v="52"/>
    <n v="40.917943432406517"/>
    <m/>
    <m/>
    <m/>
    <m/>
  </r>
  <r>
    <n v="2025"/>
    <s v="Northeast"/>
    <x v="6"/>
    <n v="2"/>
    <n v="11"/>
    <n v="7"/>
    <n v="49"/>
    <x v="47"/>
    <n v="55"/>
    <n v="53.161671140939603"/>
    <m/>
    <m/>
    <m/>
    <m/>
  </r>
  <r>
    <n v="2025"/>
    <s v="Northeast"/>
    <x v="6"/>
    <n v="2"/>
    <n v="12"/>
    <n v="7"/>
    <n v="33"/>
    <x v="3"/>
    <n v="56.5"/>
    <n v="56.406507670182165"/>
    <m/>
    <m/>
    <m/>
    <m/>
  </r>
  <r>
    <n v="2025"/>
    <s v="Northeast"/>
    <x v="6"/>
    <n v="2"/>
    <n v="13"/>
    <n v="7"/>
    <n v="31"/>
    <x v="6"/>
    <n v="57.8"/>
    <n v="59.100057526366243"/>
    <m/>
    <m/>
    <m/>
    <m/>
  </r>
  <r>
    <n v="2025"/>
    <s v="Northeast"/>
    <x v="6"/>
    <n v="2"/>
    <n v="13"/>
    <n v="8"/>
    <n v="24"/>
    <x v="29"/>
    <n v="58"/>
    <n v="57.233892093654561"/>
    <m/>
    <m/>
    <m/>
    <m/>
  </r>
  <r>
    <n v="2025"/>
    <s v="Northeast"/>
    <x v="6"/>
    <n v="2"/>
    <n v="12"/>
    <n v="8"/>
    <n v="25"/>
    <x v="34"/>
    <n v="55.2"/>
    <n v="54.715532502787333"/>
    <m/>
    <m/>
    <m/>
    <m/>
  </r>
  <r>
    <n v="2025"/>
    <s v="Northeast"/>
    <x v="6"/>
    <n v="2"/>
    <n v="11"/>
    <n v="8"/>
    <n v="47"/>
    <x v="50"/>
    <n v="58"/>
    <n v="59.444343400067865"/>
    <m/>
    <m/>
    <m/>
    <m/>
  </r>
  <r>
    <n v="2025"/>
    <s v="Northeast"/>
    <x v="6"/>
    <n v="2"/>
    <n v="10"/>
    <n v="8"/>
    <n v="5"/>
    <x v="28"/>
    <n v="55.5"/>
    <n v="52.076428329051332"/>
    <m/>
    <m/>
    <m/>
    <m/>
  </r>
  <r>
    <n v="2025"/>
    <s v="Northeast"/>
    <x v="6"/>
    <n v="2"/>
    <n v="9"/>
    <n v="8"/>
    <n v="11"/>
    <x v="2"/>
    <n v="56.9"/>
    <n v="56.271438751272477"/>
    <m/>
    <m/>
    <m/>
    <m/>
  </r>
  <r>
    <n v="2025"/>
    <s v="Northeast"/>
    <x v="6"/>
    <n v="2"/>
    <n v="8"/>
    <n v="8"/>
    <n v="38"/>
    <x v="43"/>
    <n v="56.8"/>
    <n v="54.732425226622709"/>
    <m/>
    <m/>
    <m/>
    <m/>
  </r>
  <r>
    <n v="2025"/>
    <s v="Northeast"/>
    <x v="6"/>
    <n v="2"/>
    <n v="7"/>
    <n v="8"/>
    <n v="4"/>
    <x v="4"/>
    <n v="53"/>
    <n v="36.382320034902321"/>
    <m/>
    <m/>
    <m/>
    <m/>
  </r>
  <r>
    <n v="2025"/>
    <s v="Northeast"/>
    <x v="6"/>
    <n v="2"/>
    <n v="6"/>
    <n v="8"/>
    <n v="21"/>
    <x v="26"/>
    <n v="59.2"/>
    <n v="53.910882156187888"/>
    <m/>
    <m/>
    <m/>
    <m/>
  </r>
  <r>
    <n v="2025"/>
    <s v="Northeast"/>
    <x v="6"/>
    <n v="2"/>
    <n v="5"/>
    <n v="8"/>
    <n v="36"/>
    <x v="36"/>
    <n v="61"/>
    <n v="56.983380677686753"/>
    <m/>
    <m/>
    <m/>
    <m/>
  </r>
  <r>
    <n v="2025"/>
    <s v="Northeast"/>
    <x v="6"/>
    <n v="2"/>
    <n v="4"/>
    <n v="8"/>
    <n v="34"/>
    <x v="0"/>
    <n v="57"/>
    <n v="53.766415773910502"/>
    <m/>
    <m/>
    <m/>
    <m/>
  </r>
  <r>
    <n v="2025"/>
    <s v="Northeast"/>
    <x v="6"/>
    <n v="2"/>
    <n v="3"/>
    <n v="8"/>
    <n v="27"/>
    <x v="39"/>
    <n v="60"/>
    <n v="51.484923845072473"/>
    <m/>
    <m/>
    <m/>
    <m/>
  </r>
  <r>
    <n v="2025"/>
    <s v="Northeast"/>
    <x v="6"/>
    <n v="2"/>
    <n v="2"/>
    <n v="8"/>
    <n v="30"/>
    <x v="14"/>
    <n v="57.3"/>
    <n v="43.3689682485821"/>
    <m/>
    <m/>
    <m/>
    <m/>
  </r>
  <r>
    <n v="2025"/>
    <s v="Northeast"/>
    <x v="6"/>
    <n v="2"/>
    <n v="1"/>
    <n v="8"/>
    <n v="40"/>
    <x v="13"/>
    <n v="60.2"/>
    <n v="46.988167143341897"/>
    <m/>
    <m/>
    <m/>
    <m/>
  </r>
  <r>
    <n v="2025"/>
    <s v="Northeast"/>
    <x v="6"/>
    <n v="3"/>
    <n v="1"/>
    <n v="9"/>
    <n v="57"/>
    <x v="45"/>
    <n v="54.8"/>
    <n v="34.660834866828083"/>
    <m/>
    <m/>
    <m/>
    <m/>
  </r>
  <r>
    <n v="2025"/>
    <s v="Northeast"/>
    <x v="6"/>
    <n v="3"/>
    <n v="2"/>
    <n v="9"/>
    <n v="34"/>
    <x v="0"/>
    <n v="54.5"/>
    <n v="38.574427118644067"/>
    <m/>
    <m/>
    <m/>
    <m/>
  </r>
  <r>
    <n v="2025"/>
    <s v="Northeast"/>
    <x v="6"/>
    <n v="3"/>
    <n v="3"/>
    <n v="9"/>
    <n v="17"/>
    <x v="32"/>
    <n v="55.8"/>
    <n v="53.62204358353511"/>
    <m/>
    <m/>
    <m/>
    <m/>
  </r>
  <r>
    <n v="2025"/>
    <s v="Northeast"/>
    <x v="6"/>
    <n v="3"/>
    <n v="4"/>
    <n v="9"/>
    <n v="47"/>
    <x v="50"/>
    <n v="58"/>
    <n v="54.328563196125899"/>
    <m/>
    <m/>
    <m/>
    <m/>
  </r>
  <r>
    <n v="2025"/>
    <s v="Northeast"/>
    <x v="6"/>
    <n v="3"/>
    <n v="5"/>
    <n v="9"/>
    <n v="38"/>
    <x v="43"/>
    <n v="60.4"/>
    <n v="58.74881491525425"/>
    <m/>
    <m/>
    <m/>
    <m/>
  </r>
  <r>
    <n v="2025"/>
    <s v="Northeast"/>
    <x v="6"/>
    <n v="3"/>
    <n v="6"/>
    <n v="9"/>
    <n v="30"/>
    <x v="14"/>
    <n v="59.5"/>
    <n v="58.613992736077478"/>
    <m/>
    <m/>
    <m/>
    <m/>
  </r>
  <r>
    <n v="2025"/>
    <s v="Northeast"/>
    <x v="6"/>
    <n v="3"/>
    <n v="7"/>
    <n v="9"/>
    <n v="24"/>
    <x v="29"/>
    <n v="58.5"/>
    <n v="54.517981598062953"/>
    <m/>
    <m/>
    <m/>
    <m/>
  </r>
  <r>
    <n v="2025"/>
    <s v="Northeast"/>
    <x v="6"/>
    <n v="3"/>
    <n v="8"/>
    <n v="9"/>
    <n v="8"/>
    <x v="9"/>
    <n v="59"/>
    <n v="62.375666731234865"/>
    <m/>
    <m/>
    <m/>
    <m/>
  </r>
  <r>
    <n v="2025"/>
    <s v="Northeast"/>
    <x v="6"/>
    <n v="3"/>
    <n v="9"/>
    <n v="9"/>
    <n v="6"/>
    <x v="10"/>
    <n v="57.8"/>
    <n v="51.017648426150117"/>
    <m/>
    <m/>
    <m/>
    <m/>
  </r>
  <r>
    <n v="2025"/>
    <s v="Northeast"/>
    <x v="6"/>
    <n v="3"/>
    <n v="10"/>
    <n v="9"/>
    <n v="15"/>
    <x v="7"/>
    <n v="56.9"/>
    <n v="61.069312590799036"/>
    <m/>
    <m/>
    <m/>
    <m/>
  </r>
  <r>
    <n v="2025"/>
    <s v="Northeast"/>
    <x v="6"/>
    <n v="3"/>
    <n v="11"/>
    <n v="9"/>
    <n v="44"/>
    <x v="17"/>
    <n v="58.3"/>
    <n v="61.590944309927359"/>
    <m/>
    <m/>
    <m/>
    <m/>
  </r>
  <r>
    <n v="2025"/>
    <s v="Northeast"/>
    <x v="6"/>
    <n v="3"/>
    <n v="12"/>
    <n v="9"/>
    <n v="40"/>
    <x v="13"/>
    <n v="56.8"/>
    <n v="58.532635351089581"/>
    <m/>
    <m/>
    <m/>
    <m/>
  </r>
  <r>
    <n v="2025"/>
    <s v="Northeast"/>
    <x v="6"/>
    <n v="3"/>
    <n v="13"/>
    <n v="9"/>
    <n v="39"/>
    <x v="46"/>
    <n v="57.2"/>
    <n v="62.751713317191282"/>
    <m/>
    <m/>
    <m/>
    <m/>
  </r>
  <r>
    <n v="2025"/>
    <s v="Northeast"/>
    <x v="6"/>
    <n v="3"/>
    <n v="13"/>
    <n v="10"/>
    <n v="4"/>
    <x v="4"/>
    <n v="54.7"/>
    <n v="54.805398174225495"/>
    <m/>
    <m/>
    <m/>
    <m/>
  </r>
  <r>
    <n v="2025"/>
    <s v="Northeast"/>
    <x v="6"/>
    <n v="3"/>
    <n v="12"/>
    <n v="10"/>
    <n v="9"/>
    <x v="1"/>
    <n v="54.1"/>
    <n v="62.577383703991437"/>
    <m/>
    <m/>
    <m/>
    <m/>
  </r>
  <r>
    <n v="2025"/>
    <s v="Northeast"/>
    <x v="6"/>
    <n v="3"/>
    <n v="11"/>
    <n v="10"/>
    <n v="60"/>
    <x v="52"/>
    <n v="53.7"/>
    <n v="52.241849082256948"/>
    <m/>
    <m/>
    <m/>
    <m/>
  </r>
  <r>
    <n v="2025"/>
    <s v="Northeast"/>
    <x v="6"/>
    <n v="3"/>
    <n v="10"/>
    <n v="10"/>
    <n v="23"/>
    <x v="35"/>
    <n v="59.4"/>
    <n v="59.532679421190622"/>
    <m/>
    <m/>
    <m/>
    <m/>
  </r>
  <r>
    <n v="2025"/>
    <s v="Northeast"/>
    <x v="6"/>
    <n v="3"/>
    <n v="9"/>
    <n v="10"/>
    <n v="10"/>
    <x v="15"/>
    <n v="54.6"/>
    <n v="54.607196270758472"/>
    <m/>
    <m/>
    <m/>
    <m/>
  </r>
  <r>
    <n v="2025"/>
    <s v="Northeast"/>
    <x v="6"/>
    <n v="3"/>
    <n v="8"/>
    <n v="10"/>
    <n v="21"/>
    <x v="26"/>
    <n v="58"/>
    <n v="62.465375352044276"/>
    <m/>
    <m/>
    <m/>
    <m/>
  </r>
  <r>
    <n v="2025"/>
    <s v="Northeast"/>
    <x v="6"/>
    <n v="3"/>
    <n v="7"/>
    <n v="10"/>
    <n v="49"/>
    <x v="47"/>
    <n v="54.5"/>
    <n v="48.249208021753894"/>
    <m/>
    <m/>
    <m/>
    <m/>
  </r>
  <r>
    <n v="2025"/>
    <s v="Northeast"/>
    <x v="6"/>
    <n v="3"/>
    <n v="6"/>
    <n v="10"/>
    <n v="12"/>
    <x v="41"/>
    <n v="57.9"/>
    <n v="52.284936243566065"/>
    <m/>
    <m/>
    <m/>
    <m/>
  </r>
  <r>
    <n v="2025"/>
    <s v="Northeast"/>
    <x v="6"/>
    <n v="3"/>
    <n v="5"/>
    <n v="10"/>
    <n v="37"/>
    <x v="31"/>
    <n v="59.4"/>
    <n v="58.676849082256958"/>
    <m/>
    <m/>
    <m/>
    <m/>
  </r>
  <r>
    <n v="2025"/>
    <s v="Northeast"/>
    <x v="6"/>
    <n v="3"/>
    <n v="4"/>
    <n v="10"/>
    <n v="45"/>
    <x v="21"/>
    <n v="56.5"/>
    <n v="60.545619500825474"/>
    <m/>
    <m/>
    <m/>
    <m/>
  </r>
  <r>
    <n v="2025"/>
    <s v="Northeast"/>
    <x v="6"/>
    <n v="3"/>
    <n v="3"/>
    <n v="10"/>
    <n v="58"/>
    <x v="51"/>
    <n v="57.4"/>
    <n v="47.991579197824599"/>
    <m/>
    <m/>
    <m/>
    <m/>
  </r>
  <r>
    <n v="2025"/>
    <s v="Northeast"/>
    <x v="6"/>
    <n v="3"/>
    <n v="2"/>
    <n v="10"/>
    <n v="36"/>
    <x v="36"/>
    <n v="57.9"/>
    <n v="39.279598426726217"/>
    <m/>
    <m/>
    <m/>
    <m/>
  </r>
  <r>
    <n v="2025"/>
    <s v="Northeast"/>
    <x v="6"/>
    <n v="3"/>
    <n v="1"/>
    <n v="10"/>
    <n v="42"/>
    <x v="42"/>
    <n v="57.3"/>
    <n v="36.657016606778662"/>
    <m/>
    <m/>
    <m/>
    <m/>
  </r>
  <r>
    <n v="2025"/>
    <s v="Northeast"/>
    <x v="6"/>
    <n v="3"/>
    <n v="1"/>
    <n v="11"/>
    <n v="13"/>
    <x v="38"/>
    <n v="58.2"/>
    <n v="55.299826854606636"/>
    <m/>
    <m/>
    <m/>
    <m/>
  </r>
  <r>
    <n v="2025"/>
    <s v="Northeast"/>
    <x v="6"/>
    <n v="3"/>
    <n v="2"/>
    <n v="11"/>
    <n v="32"/>
    <x v="24"/>
    <n v="60.1"/>
    <n v="53.234332341608543"/>
    <m/>
    <m/>
    <m/>
    <m/>
  </r>
  <r>
    <n v="2025"/>
    <s v="Northeast"/>
    <x v="6"/>
    <n v="3"/>
    <n v="3"/>
    <n v="11"/>
    <n v="11"/>
    <x v="2"/>
    <n v="60.9"/>
    <n v="69.842991074476913"/>
    <m/>
    <m/>
    <m/>
    <m/>
  </r>
  <r>
    <n v="2025"/>
    <s v="Northeast"/>
    <x v="6"/>
    <n v="3"/>
    <n v="4"/>
    <n v="11"/>
    <n v="33"/>
    <x v="3"/>
    <n v="57.4"/>
    <n v="69.974260352143588"/>
    <m/>
    <m/>
    <m/>
    <m/>
  </r>
  <r>
    <n v="2025"/>
    <s v="Northeast"/>
    <x v="6"/>
    <n v="3"/>
    <n v="5"/>
    <n v="11"/>
    <n v="31"/>
    <x v="6"/>
    <n v="59"/>
    <n v="69.187803540945225"/>
    <m/>
    <m/>
    <m/>
    <m/>
  </r>
  <r>
    <n v="2025"/>
    <s v="Northeast"/>
    <x v="6"/>
    <n v="3"/>
    <n v="6"/>
    <n v="11"/>
    <n v="22"/>
    <x v="33"/>
    <n v="54.8"/>
    <n v="53.314225723064915"/>
    <m/>
    <m/>
    <m/>
    <m/>
  </r>
  <r>
    <n v="2025"/>
    <s v="Northeast"/>
    <x v="6"/>
    <n v="3"/>
    <n v="7"/>
    <n v="11"/>
    <n v="27"/>
    <x v="39"/>
    <n v="57.4"/>
    <n v="53.657391601229079"/>
    <m/>
    <m/>
    <m/>
    <m/>
  </r>
  <r>
    <n v="2025"/>
    <s v="Northeast"/>
    <x v="6"/>
    <n v="3"/>
    <n v="8"/>
    <n v="11"/>
    <n v="7"/>
    <x v="44"/>
    <n v="56.6"/>
    <n v="48.907535482612296"/>
    <m/>
    <m/>
    <m/>
    <m/>
  </r>
  <r>
    <n v="2025"/>
    <s v="Northeast"/>
    <x v="6"/>
    <n v="3"/>
    <n v="9"/>
    <n v="11"/>
    <n v="20"/>
    <x v="18"/>
    <n v="57"/>
    <n v="58.731340779398131"/>
    <m/>
    <m/>
    <m/>
    <m/>
  </r>
  <r>
    <n v="2025"/>
    <s v="Northeast"/>
    <x v="6"/>
    <n v="3"/>
    <n v="10"/>
    <n v="11"/>
    <n v="26"/>
    <x v="11"/>
    <n v="57.8"/>
    <n v="68.128108081744116"/>
    <m/>
    <m/>
    <m/>
    <m/>
  </r>
  <r>
    <n v="2025"/>
    <s v="Northeast"/>
    <x v="6"/>
    <n v="3"/>
    <n v="11"/>
    <n v="11"/>
    <n v="46"/>
    <x v="25"/>
    <n v="56.8"/>
    <n v="61.372660586255677"/>
    <m/>
    <m/>
    <m/>
    <m/>
  </r>
  <r>
    <n v="2025"/>
    <s v="Northeast"/>
    <x v="6"/>
    <n v="3"/>
    <n v="12"/>
    <n v="11"/>
    <n v="19"/>
    <x v="49"/>
    <n v="53.8"/>
    <n v="62.79076086426376"/>
    <m/>
    <m/>
    <m/>
    <m/>
  </r>
  <r>
    <n v="2025"/>
    <s v="Northeast"/>
    <x v="6"/>
    <n v="3"/>
    <n v="13"/>
    <n v="11"/>
    <n v="35"/>
    <x v="30"/>
    <n v="55.7"/>
    <n v="50.298161244695898"/>
    <m/>
    <m/>
    <m/>
    <m/>
  </r>
  <r>
    <n v="2025"/>
    <s v="Northeast"/>
    <x v="6"/>
    <n v="3"/>
    <n v="13"/>
    <n v="12"/>
    <n v="28"/>
    <x v="37"/>
    <n v="54.6"/>
    <n v="55.801428571428552"/>
    <m/>
    <m/>
    <m/>
    <m/>
  </r>
  <r>
    <n v="2025"/>
    <s v="Northeast"/>
    <x v="6"/>
    <n v="3"/>
    <n v="12"/>
    <n v="12"/>
    <n v="16"/>
    <x v="40"/>
    <n v="54.8"/>
    <n v="79.159384615384596"/>
    <m/>
    <m/>
    <m/>
    <m/>
  </r>
  <r>
    <n v="2025"/>
    <s v="Northeast"/>
    <x v="6"/>
    <n v="3"/>
    <n v="11"/>
    <n v="12"/>
    <n v="41"/>
    <x v="20"/>
    <n v="57.3"/>
    <n v="64.358074725274705"/>
    <m/>
    <m/>
    <m/>
    <m/>
  </r>
  <r>
    <n v="2025"/>
    <s v="Northeast"/>
    <x v="6"/>
    <n v="3"/>
    <n v="10"/>
    <n v="12"/>
    <n v="18"/>
    <x v="8"/>
    <n v="57.6"/>
    <n v="67.562821978021972"/>
    <m/>
    <m/>
    <m/>
    <m/>
  </r>
  <r>
    <n v="2025"/>
    <s v="Northeast"/>
    <x v="6"/>
    <n v="3"/>
    <n v="9"/>
    <n v="12"/>
    <n v="5"/>
    <x v="28"/>
    <n v="58"/>
    <n v="73.417674725274722"/>
    <m/>
    <m/>
    <m/>
    <m/>
  </r>
  <r>
    <n v="2025"/>
    <s v="Northeast"/>
    <x v="6"/>
    <n v="3"/>
    <n v="8"/>
    <n v="12"/>
    <n v="43"/>
    <x v="22"/>
    <n v="57.6"/>
    <n v="57.185185054945052"/>
    <m/>
    <m/>
    <m/>
    <m/>
  </r>
  <r>
    <n v="2025"/>
    <s v="Northeast"/>
    <x v="6"/>
    <n v="3"/>
    <n v="7"/>
    <n v="12"/>
    <n v="48"/>
    <x v="48"/>
    <n v="54"/>
    <n v="49.290830769230759"/>
    <m/>
    <m/>
    <m/>
    <m/>
  </r>
  <r>
    <n v="2025"/>
    <s v="Northeast"/>
    <x v="6"/>
    <n v="3"/>
    <n v="6"/>
    <n v="12"/>
    <n v="29"/>
    <x v="27"/>
    <n v="57.4"/>
    <n v="71.929846153846128"/>
    <m/>
    <m/>
    <m/>
    <m/>
  </r>
  <r>
    <n v="2025"/>
    <s v="Northeast"/>
    <x v="6"/>
    <n v="3"/>
    <n v="5"/>
    <n v="12"/>
    <n v="1"/>
    <x v="12"/>
    <n v="57.8"/>
    <n v="74.19608791208789"/>
    <m/>
    <m/>
    <m/>
    <m/>
  </r>
  <r>
    <n v="2025"/>
    <s v="Northeast"/>
    <x v="6"/>
    <n v="3"/>
    <n v="4"/>
    <n v="12"/>
    <n v="3"/>
    <x v="16"/>
    <n v="60.8"/>
    <n v="73.387609670329653"/>
    <m/>
    <m/>
    <m/>
    <m/>
  </r>
  <r>
    <n v="2025"/>
    <s v="Northeast"/>
    <x v="6"/>
    <n v="3"/>
    <n v="3"/>
    <n v="12"/>
    <n v="25"/>
    <x v="34"/>
    <n v="57.6"/>
    <n v="67.499868131868112"/>
    <m/>
    <m/>
    <m/>
    <m/>
  </r>
  <r>
    <n v="2025"/>
    <s v="Northeast"/>
    <x v="6"/>
    <n v="3"/>
    <n v="2"/>
    <n v="12"/>
    <n v="2"/>
    <x v="23"/>
    <n v="58"/>
    <n v="58.051472527472527"/>
    <m/>
    <m/>
    <m/>
    <m/>
  </r>
  <r>
    <n v="2025"/>
    <s v="Northeast"/>
    <x v="6"/>
    <n v="3"/>
    <n v="1"/>
    <n v="12"/>
    <n v="14"/>
    <x v="5"/>
    <n v="58.5"/>
    <n v="50.76840879120877"/>
    <m/>
    <m/>
    <m/>
    <m/>
  </r>
  <r>
    <n v="2025"/>
    <s v="Northeast"/>
    <x v="7"/>
    <n v="1"/>
    <n v="1"/>
    <n v="1"/>
    <n v="38"/>
    <x v="43"/>
    <n v="58.7"/>
    <n v="21.044288152953232"/>
    <n v="14.862500000000001"/>
    <n v="0"/>
    <n v="1"/>
    <m/>
  </r>
  <r>
    <n v="2025"/>
    <s v="Northeast"/>
    <x v="7"/>
    <n v="1"/>
    <n v="2"/>
    <n v="1"/>
    <n v="22"/>
    <x v="33"/>
    <n v="59.4"/>
    <n v="41.329328439740543"/>
    <n v="14.262499999999999"/>
    <n v="0"/>
    <n v="2"/>
    <m/>
  </r>
  <r>
    <n v="2025"/>
    <s v="Northeast"/>
    <x v="7"/>
    <n v="1"/>
    <n v="3"/>
    <n v="1"/>
    <n v="49"/>
    <x v="47"/>
    <n v="57.6"/>
    <n v="39.016838511437356"/>
    <n v="15.5625"/>
    <n v="1"/>
    <n v="2"/>
    <m/>
  </r>
  <r>
    <n v="2025"/>
    <s v="Northeast"/>
    <x v="7"/>
    <n v="1"/>
    <n v="4"/>
    <n v="1"/>
    <n v="21"/>
    <x v="26"/>
    <n v="57.2"/>
    <n v="48.553111812905435"/>
    <n v="14.862500000000001"/>
    <n v="-1"/>
    <n v="3"/>
    <m/>
  </r>
  <r>
    <n v="2025"/>
    <s v="Northeast"/>
    <x v="7"/>
    <n v="1"/>
    <n v="5"/>
    <n v="1"/>
    <n v="57"/>
    <x v="45"/>
    <n v="56.7"/>
    <n v="46.306312051894857"/>
    <n v="15.1625"/>
    <n v="0"/>
    <n v="4"/>
    <m/>
  </r>
  <r>
    <n v="2025"/>
    <s v="Northeast"/>
    <x v="7"/>
    <n v="1"/>
    <n v="6"/>
    <n v="1"/>
    <n v="6"/>
    <x v="10"/>
    <n v="60.1"/>
    <n v="40.651820075110969"/>
    <n v="15.9625"/>
    <n v="2"/>
    <n v="1"/>
    <m/>
  </r>
  <r>
    <n v="2025"/>
    <s v="Northeast"/>
    <x v="7"/>
    <n v="1"/>
    <n v="7"/>
    <n v="1"/>
    <n v="17"/>
    <x v="32"/>
    <n v="57.6"/>
    <n v="50.366945715261188"/>
    <n v="14.862500000000001"/>
    <n v="1"/>
    <n v="4"/>
    <m/>
  </r>
  <r>
    <n v="2025"/>
    <s v="Northeast"/>
    <x v="7"/>
    <n v="1"/>
    <n v="8"/>
    <n v="1"/>
    <n v="4"/>
    <x v="4"/>
    <n v="58.4"/>
    <n v="42.896727039945382"/>
    <n v="14.1625"/>
    <n v="1"/>
    <n v="1"/>
    <m/>
  </r>
  <r>
    <n v="2025"/>
    <s v="Northeast"/>
    <x v="7"/>
    <n v="1"/>
    <n v="9"/>
    <n v="1"/>
    <n v="15"/>
    <x v="7"/>
    <n v="55.5"/>
    <n v="57.15405650392627"/>
    <n v="15.0625"/>
    <n v="-2"/>
    <n v="2"/>
    <m/>
  </r>
  <r>
    <n v="2025"/>
    <s v="Northeast"/>
    <x v="7"/>
    <n v="1"/>
    <n v="10"/>
    <n v="1"/>
    <n v="28"/>
    <x v="37"/>
    <n v="58.7"/>
    <n v="44.9309590303858"/>
    <n v="14.262499999999999"/>
    <n v="-1"/>
    <n v="4"/>
    <m/>
  </r>
  <r>
    <n v="2025"/>
    <s v="Northeast"/>
    <x v="7"/>
    <n v="1"/>
    <n v="11"/>
    <n v="1"/>
    <n v="23"/>
    <x v="35"/>
    <n v="58.4"/>
    <n v="37.20716763400479"/>
    <n v="15.5625"/>
    <n v="0"/>
    <n v="4"/>
    <m/>
  </r>
  <r>
    <n v="2025"/>
    <s v="Northeast"/>
    <x v="7"/>
    <n v="1"/>
    <n v="12"/>
    <n v="1"/>
    <n v="25"/>
    <x v="34"/>
    <n v="58.8"/>
    <n v="32.513168316831695"/>
    <n v="14.862500000000001"/>
    <n v="0"/>
    <n v="5"/>
    <m/>
  </r>
  <r>
    <n v="2025"/>
    <s v="Northeast"/>
    <x v="7"/>
    <n v="1"/>
    <n v="13"/>
    <n v="1"/>
    <n v="58"/>
    <x v="51"/>
    <n v="56.9"/>
    <n v="32.486021338340741"/>
    <n v="15.4625"/>
    <n v="1"/>
    <n v="3"/>
    <m/>
  </r>
  <r>
    <n v="2025"/>
    <s v="Northeast"/>
    <x v="7"/>
    <n v="1"/>
    <n v="14"/>
    <n v="1"/>
    <n v="20"/>
    <x v="18"/>
    <n v="59.5"/>
    <n v="40.57343803345853"/>
    <n v="14.0625"/>
    <n v="-2"/>
    <n v="4"/>
    <m/>
  </r>
  <r>
    <n v="2025"/>
    <s v="Northeast"/>
    <x v="7"/>
    <n v="1"/>
    <n v="15"/>
    <n v="1"/>
    <n v="18"/>
    <x v="8"/>
    <n v="56.2"/>
    <n v="25.532564185728923"/>
    <n v="15.0625"/>
    <n v="0"/>
    <n v="3"/>
    <m/>
  </r>
  <r>
    <n v="2025"/>
    <s v="Northeast"/>
    <x v="7"/>
    <n v="1"/>
    <n v="16"/>
    <n v="1"/>
    <n v="19"/>
    <x v="49"/>
    <n v="58"/>
    <n v="34.615152270399456"/>
    <n v="15.762499999999999"/>
    <n v="1"/>
    <n v="3"/>
    <m/>
  </r>
  <r>
    <n v="2025"/>
    <s v="Northeast"/>
    <x v="7"/>
    <n v="1"/>
    <n v="17"/>
    <n v="1"/>
    <n v="16"/>
    <x v="40"/>
    <n v="58.8"/>
    <n v="23.788189143052239"/>
    <n v="14.762499999999999"/>
    <n v="0"/>
    <n v="5"/>
    <m/>
  </r>
  <r>
    <n v="2025"/>
    <s v="Northeast"/>
    <x v="7"/>
    <n v="1"/>
    <n v="18"/>
    <n v="1"/>
    <n v="1"/>
    <x v="12"/>
    <n v="57.6"/>
    <n v="39.480151075452383"/>
    <n v="14.762499999999999"/>
    <n v="-2"/>
    <n v="3"/>
    <m/>
  </r>
  <r>
    <n v="2025"/>
    <s v="Northeast"/>
    <x v="7"/>
    <n v="1"/>
    <n v="19"/>
    <n v="1"/>
    <n v="10"/>
    <x v="15"/>
    <n v="57.2"/>
    <n v="38.87674906111301"/>
    <n v="15.762499999999999"/>
    <n v="3"/>
    <n v="4"/>
    <m/>
  </r>
  <r>
    <n v="2025"/>
    <s v="Northeast"/>
    <x v="7"/>
    <n v="1"/>
    <n v="20"/>
    <n v="1"/>
    <n v="36"/>
    <x v="36"/>
    <n v="59.1"/>
    <n v="50.08890747695461"/>
    <n v="15.6625"/>
    <n v="-1"/>
    <n v="1"/>
    <m/>
  </r>
  <r>
    <n v="2025"/>
    <s v="Northeast"/>
    <x v="7"/>
    <n v="1"/>
    <n v="21"/>
    <n v="1"/>
    <n v="24"/>
    <x v="29"/>
    <n v="56.3"/>
    <n v="55.670200068282711"/>
    <n v="15.262499999999999"/>
    <n v="-3"/>
    <n v="2"/>
    <m/>
  </r>
  <r>
    <n v="2025"/>
    <s v="Northeast"/>
    <x v="7"/>
    <n v="1"/>
    <n v="22"/>
    <n v="1"/>
    <n v="48"/>
    <x v="48"/>
    <n v="58.7"/>
    <n v="33.199999829293283"/>
    <n v="16.162500000000001"/>
    <n v="3"/>
    <n v="1"/>
    <m/>
  </r>
  <r>
    <n v="2025"/>
    <s v="Northeast"/>
    <x v="7"/>
    <n v="1"/>
    <n v="23"/>
    <n v="1"/>
    <n v="43"/>
    <x v="22"/>
    <n v="55.2"/>
    <n v="40.466799248890425"/>
    <n v="15.9625"/>
    <n v="-1"/>
    <n v="2"/>
    <m/>
  </r>
  <r>
    <n v="2025"/>
    <s v="Northeast"/>
    <x v="7"/>
    <n v="1"/>
    <n v="24"/>
    <n v="1"/>
    <n v="30"/>
    <x v="14"/>
    <n v="59.5"/>
    <n v="42.750976101058384"/>
    <n v="14.9625"/>
    <n v="0"/>
    <n v="2"/>
    <m/>
  </r>
  <r>
    <n v="2025"/>
    <s v="Northeast"/>
    <x v="7"/>
    <n v="1"/>
    <n v="25"/>
    <n v="1"/>
    <n v="44"/>
    <x v="17"/>
    <n v="56.6"/>
    <n v="43.086682656196665"/>
    <n v="15.0625"/>
    <n v="0"/>
    <n v="3"/>
    <m/>
  </r>
  <r>
    <n v="2025"/>
    <s v="Northeast"/>
    <x v="7"/>
    <n v="1"/>
    <n v="26"/>
    <n v="1"/>
    <n v="13"/>
    <x v="38"/>
    <n v="60.1"/>
    <n v="57.78125930351657"/>
    <n v="14.362500000000001"/>
    <n v="0"/>
    <n v="3"/>
    <m/>
  </r>
  <r>
    <n v="2025"/>
    <s v="Northeast"/>
    <x v="7"/>
    <n v="1"/>
    <n v="26"/>
    <n v="2"/>
    <n v="37"/>
    <x v="31"/>
    <n v="59.8"/>
    <n v="59.660567431850779"/>
    <n v="15.362500000000001"/>
    <n v="-1"/>
    <n v="4"/>
    <m/>
  </r>
  <r>
    <n v="2025"/>
    <s v="Northeast"/>
    <x v="7"/>
    <n v="1"/>
    <n v="25"/>
    <n v="2"/>
    <n v="31"/>
    <x v="6"/>
    <n v="57.7"/>
    <n v="50.686810437589664"/>
    <n v="15.4625"/>
    <n v="0"/>
    <n v="2"/>
    <m/>
  </r>
  <r>
    <n v="2025"/>
    <s v="Northeast"/>
    <x v="7"/>
    <n v="1"/>
    <n v="24"/>
    <n v="2"/>
    <n v="34"/>
    <x v="0"/>
    <n v="59.2"/>
    <n v="56.104130918220939"/>
    <n v="15.362500000000001"/>
    <n v="0"/>
    <n v="5"/>
    <m/>
  </r>
  <r>
    <n v="2025"/>
    <s v="Northeast"/>
    <x v="7"/>
    <n v="1"/>
    <n v="23"/>
    <n v="2"/>
    <n v="27"/>
    <x v="39"/>
    <n v="56.6"/>
    <n v="64.739661585365837"/>
    <n v="14.9625"/>
    <n v="-3"/>
    <n v="3"/>
    <m/>
  </r>
  <r>
    <n v="2025"/>
    <s v="Northeast"/>
    <x v="7"/>
    <n v="1"/>
    <n v="22"/>
    <n v="2"/>
    <n v="45"/>
    <x v="21"/>
    <n v="56.6"/>
    <n v="57.284141319942592"/>
    <n v="15.5625"/>
    <n v="0"/>
    <n v="2"/>
    <m/>
  </r>
  <r>
    <n v="2025"/>
    <s v="Northeast"/>
    <x v="7"/>
    <n v="1"/>
    <n v="21"/>
    <n v="2"/>
    <n v="5"/>
    <x v="28"/>
    <n v="58"/>
    <n v="72.517346126255376"/>
    <n v="14.862500000000001"/>
    <n v="1"/>
    <n v="2"/>
    <m/>
  </r>
  <r>
    <n v="2025"/>
    <s v="Northeast"/>
    <x v="7"/>
    <n v="1"/>
    <n v="20"/>
    <n v="2"/>
    <n v="29"/>
    <x v="27"/>
    <n v="58.3"/>
    <n v="62.203656563845044"/>
    <n v="15.5625"/>
    <n v="0"/>
    <n v="4"/>
    <m/>
  </r>
  <r>
    <n v="2025"/>
    <s v="Northeast"/>
    <x v="7"/>
    <n v="1"/>
    <n v="19"/>
    <n v="2"/>
    <n v="46"/>
    <x v="25"/>
    <n v="57.5"/>
    <n v="56.211404591104724"/>
    <n v="15.262499999999999"/>
    <n v="0"/>
    <n v="2"/>
    <m/>
  </r>
  <r>
    <n v="2025"/>
    <s v="Northeast"/>
    <x v="7"/>
    <n v="1"/>
    <n v="18"/>
    <n v="2"/>
    <n v="9"/>
    <x v="1"/>
    <n v="58.2"/>
    <n v="35.643302367288371"/>
    <n v="15.9625"/>
    <n v="3"/>
    <n v="5"/>
    <m/>
  </r>
  <r>
    <n v="2025"/>
    <s v="Northeast"/>
    <x v="7"/>
    <n v="1"/>
    <n v="17"/>
    <n v="2"/>
    <n v="11"/>
    <x v="2"/>
    <n v="59.7"/>
    <n v="42.779422166427537"/>
    <n v="14.5625"/>
    <n v="0"/>
    <n v="5"/>
    <m/>
  </r>
  <r>
    <n v="2025"/>
    <s v="Northeast"/>
    <x v="7"/>
    <n v="1"/>
    <n v="16"/>
    <n v="2"/>
    <n v="40"/>
    <x v="13"/>
    <n v="59"/>
    <n v="46.564893830703006"/>
    <n v="14.4625"/>
    <n v="1"/>
    <n v="3"/>
    <m/>
  </r>
  <r>
    <n v="2025"/>
    <s v="Northeast"/>
    <x v="7"/>
    <n v="1"/>
    <n v="15"/>
    <n v="2"/>
    <n v="47"/>
    <x v="50"/>
    <n v="59.7"/>
    <n v="31.976088593974175"/>
    <n v="15.6625"/>
    <n v="1"/>
    <n v="6"/>
    <m/>
  </r>
  <r>
    <n v="2025"/>
    <s v="Northeast"/>
    <x v="7"/>
    <n v="1"/>
    <n v="14"/>
    <n v="2"/>
    <n v="41"/>
    <x v="20"/>
    <n v="57.5"/>
    <n v="37.837559720229557"/>
    <n v="15.362500000000001"/>
    <n v="1"/>
    <n v="6"/>
    <m/>
  </r>
  <r>
    <n v="2025"/>
    <s v="Northeast"/>
    <x v="7"/>
    <n v="1"/>
    <n v="13"/>
    <n v="2"/>
    <n v="32"/>
    <x v="24"/>
    <n v="58.9"/>
    <n v="58.721109038737445"/>
    <n v="15.862500000000001"/>
    <n v="-1"/>
    <n v="6"/>
    <m/>
  </r>
  <r>
    <n v="2025"/>
    <s v="Northeast"/>
    <x v="7"/>
    <n v="1"/>
    <n v="12"/>
    <n v="2"/>
    <n v="35"/>
    <x v="30"/>
    <n v="58.8"/>
    <n v="56.497313845050208"/>
    <n v="14.9625"/>
    <n v="0"/>
    <n v="5"/>
    <m/>
  </r>
  <r>
    <n v="2025"/>
    <s v="Northeast"/>
    <x v="7"/>
    <n v="1"/>
    <n v="11"/>
    <n v="2"/>
    <n v="60"/>
    <x v="52"/>
    <n v="59"/>
    <n v="42.162589670014349"/>
    <n v="15.6625"/>
    <n v="4"/>
    <n v="3"/>
    <m/>
  </r>
  <r>
    <n v="2025"/>
    <s v="Northeast"/>
    <x v="7"/>
    <n v="1"/>
    <n v="10"/>
    <n v="2"/>
    <n v="12"/>
    <x v="41"/>
    <n v="58.9"/>
    <n v="65.061482604017201"/>
    <n v="15.0625"/>
    <n v="-2"/>
    <n v="2"/>
    <m/>
  </r>
  <r>
    <n v="2025"/>
    <s v="Northeast"/>
    <x v="7"/>
    <n v="1"/>
    <n v="9"/>
    <n v="2"/>
    <n v="7"/>
    <x v="44"/>
    <n v="57.1"/>
    <n v="64.818545552367283"/>
    <n v="14.762499999999999"/>
    <n v="1"/>
    <n v="2"/>
    <m/>
  </r>
  <r>
    <n v="2025"/>
    <s v="Northeast"/>
    <x v="7"/>
    <n v="1"/>
    <n v="8"/>
    <n v="2"/>
    <n v="33"/>
    <x v="3"/>
    <n v="57.3"/>
    <n v="67.818136657101846"/>
    <n v="14.9625"/>
    <n v="1"/>
    <n v="3"/>
    <m/>
  </r>
  <r>
    <n v="2025"/>
    <s v="Northeast"/>
    <x v="7"/>
    <n v="1"/>
    <n v="7"/>
    <n v="2"/>
    <n v="39"/>
    <x v="46"/>
    <n v="56.3"/>
    <n v="65.701467180774728"/>
    <n v="15.362500000000001"/>
    <n v="0"/>
    <n v="6"/>
    <m/>
  </r>
  <r>
    <n v="2025"/>
    <s v="Northeast"/>
    <x v="7"/>
    <n v="1"/>
    <n v="6"/>
    <n v="2"/>
    <n v="8"/>
    <x v="9"/>
    <n v="58"/>
    <n v="76.126028694404582"/>
    <n v="14.262499999999999"/>
    <n v="0"/>
    <n v="1"/>
    <m/>
  </r>
  <r>
    <n v="2025"/>
    <s v="Northeast"/>
    <x v="7"/>
    <n v="1"/>
    <n v="5"/>
    <n v="2"/>
    <n v="2"/>
    <x v="23"/>
    <n v="57.6"/>
    <n v="63.135421269727388"/>
    <n v="14.9625"/>
    <n v="0"/>
    <n v="4"/>
    <m/>
  </r>
  <r>
    <n v="2025"/>
    <s v="Northeast"/>
    <x v="7"/>
    <n v="1"/>
    <n v="4"/>
    <n v="2"/>
    <n v="26"/>
    <x v="11"/>
    <n v="57.8"/>
    <n v="64.987930954088952"/>
    <n v="14.6625"/>
    <n v="2"/>
    <n v="5"/>
    <m/>
  </r>
  <r>
    <n v="2025"/>
    <s v="Northeast"/>
    <x v="7"/>
    <n v="1"/>
    <n v="3"/>
    <n v="2"/>
    <n v="42"/>
    <x v="42"/>
    <n v="57"/>
    <n v="65.842332675753227"/>
    <n v="14.362500000000001"/>
    <n v="-1"/>
    <n v="2"/>
    <m/>
  </r>
  <r>
    <n v="2025"/>
    <s v="Northeast"/>
    <x v="7"/>
    <n v="1"/>
    <n v="2"/>
    <n v="2"/>
    <n v="14"/>
    <x v="5"/>
    <n v="58.8"/>
    <n v="56.239172883787639"/>
    <n v="14.262499999999999"/>
    <n v="0"/>
    <n v="2"/>
    <m/>
  </r>
  <r>
    <n v="2025"/>
    <s v="Northeast"/>
    <x v="7"/>
    <n v="1"/>
    <n v="1"/>
    <n v="2"/>
    <n v="3"/>
    <x v="16"/>
    <n v="59.6"/>
    <n v="48.096789813486374"/>
    <n v="14.5625"/>
    <n v="1"/>
    <n v="1"/>
    <m/>
  </r>
  <r>
    <n v="2025"/>
    <s v="Northeast"/>
    <x v="7"/>
    <n v="2"/>
    <n v="1"/>
    <n v="3"/>
    <n v="58"/>
    <x v="51"/>
    <n v="56.2"/>
    <n v="39.686402982516277"/>
    <n v="14.4625"/>
    <m/>
    <n v="4"/>
    <m/>
  </r>
  <r>
    <n v="2025"/>
    <s v="Northeast"/>
    <x v="7"/>
    <n v="2"/>
    <n v="2"/>
    <n v="3"/>
    <n v="19"/>
    <x v="49"/>
    <n v="57.1"/>
    <n v="55.212218546451815"/>
    <n v="15.0625"/>
    <m/>
    <n v="1"/>
    <m/>
  </r>
  <r>
    <n v="2025"/>
    <s v="Northeast"/>
    <x v="7"/>
    <n v="2"/>
    <n v="3"/>
    <n v="3"/>
    <n v="27"/>
    <x v="39"/>
    <n v="57.3"/>
    <n v="64.911503428179614"/>
    <n v="13.6625"/>
    <m/>
    <n v="2"/>
    <m/>
  </r>
  <r>
    <n v="2025"/>
    <s v="Northeast"/>
    <x v="7"/>
    <n v="2"/>
    <n v="4"/>
    <n v="3"/>
    <n v="47"/>
    <x v="50"/>
    <n v="58.4"/>
    <n v="49.401559993143628"/>
    <n v="15.9625"/>
    <m/>
    <n v="2"/>
    <m/>
  </r>
  <r>
    <n v="2025"/>
    <s v="Northeast"/>
    <x v="7"/>
    <n v="2"/>
    <n v="5"/>
    <n v="3"/>
    <n v="45"/>
    <x v="21"/>
    <n v="56.3"/>
    <n v="49.006306650668492"/>
    <n v="15.5625"/>
    <m/>
    <n v="3"/>
    <m/>
  </r>
  <r>
    <n v="2025"/>
    <s v="Northeast"/>
    <x v="7"/>
    <n v="2"/>
    <n v="6"/>
    <n v="3"/>
    <n v="39"/>
    <x v="46"/>
    <n v="56.6"/>
    <n v="55.714588961261562"/>
    <n v="15.762499999999999"/>
    <m/>
    <n v="5"/>
    <m/>
  </r>
  <r>
    <n v="2025"/>
    <s v="Northeast"/>
    <x v="7"/>
    <n v="2"/>
    <n v="7"/>
    <n v="3"/>
    <n v="20"/>
    <x v="18"/>
    <n v="55.2"/>
    <n v="66.701812821391826"/>
    <n v="15.5625"/>
    <m/>
    <n v="2"/>
    <m/>
  </r>
  <r>
    <n v="2025"/>
    <s v="Northeast"/>
    <x v="7"/>
    <n v="2"/>
    <n v="8"/>
    <n v="3"/>
    <n v="10"/>
    <x v="15"/>
    <n v="54.6"/>
    <n v="54.639215461090146"/>
    <n v="16.762499999999999"/>
    <m/>
    <n v="4"/>
    <m/>
  </r>
  <r>
    <n v="2025"/>
    <s v="Northeast"/>
    <x v="7"/>
    <n v="2"/>
    <n v="9"/>
    <n v="3"/>
    <n v="22"/>
    <x v="33"/>
    <n v="57.6"/>
    <n v="69.106219746314679"/>
    <n v="15.762499999999999"/>
    <m/>
    <n v="3"/>
    <m/>
  </r>
  <r>
    <n v="2025"/>
    <s v="Northeast"/>
    <x v="7"/>
    <n v="2"/>
    <n v="10"/>
    <n v="3"/>
    <n v="57"/>
    <x v="45"/>
    <n v="57.8"/>
    <n v="69.514375557079177"/>
    <n v="13.262499999999999"/>
    <m/>
    <n v="5"/>
    <m/>
  </r>
  <r>
    <n v="2025"/>
    <s v="Northeast"/>
    <x v="7"/>
    <n v="2"/>
    <n v="11"/>
    <n v="3"/>
    <n v="1"/>
    <x v="12"/>
    <n v="55"/>
    <n v="59.657625128556731"/>
    <n v="15.362500000000001"/>
    <m/>
    <n v="2"/>
    <m/>
  </r>
  <r>
    <n v="2025"/>
    <s v="Northeast"/>
    <x v="7"/>
    <n v="2"/>
    <n v="12"/>
    <n v="3"/>
    <n v="9"/>
    <x v="1"/>
    <n v="58.3"/>
    <n v="42.157856359273211"/>
    <n v="15.1625"/>
    <m/>
    <n v="5"/>
    <m/>
  </r>
  <r>
    <n v="2025"/>
    <s v="Northeast"/>
    <x v="7"/>
    <n v="2"/>
    <n v="13"/>
    <n v="3"/>
    <n v="5"/>
    <x v="28"/>
    <n v="57"/>
    <n v="38.856108501885494"/>
    <n v="14.6625"/>
    <m/>
    <n v="1"/>
    <m/>
  </r>
  <r>
    <n v="2025"/>
    <s v="Northeast"/>
    <x v="7"/>
    <n v="2"/>
    <n v="14"/>
    <n v="3"/>
    <n v="32"/>
    <x v="24"/>
    <n v="58.5"/>
    <n v="41.657007541995192"/>
    <n v="14.4625"/>
    <m/>
    <n v="3"/>
    <m/>
  </r>
  <r>
    <n v="2025"/>
    <s v="Northeast"/>
    <x v="7"/>
    <n v="2"/>
    <n v="15"/>
    <n v="3"/>
    <n v="14"/>
    <x v="5"/>
    <n v="58.2"/>
    <n v="29.536753513884122"/>
    <n v="14.762499999999999"/>
    <m/>
    <n v="2"/>
    <m/>
  </r>
  <r>
    <n v="2025"/>
    <s v="Northeast"/>
    <x v="7"/>
    <n v="2"/>
    <n v="16"/>
    <n v="3"/>
    <n v="42"/>
    <x v="42"/>
    <n v="59.3"/>
    <n v="34.693594617757959"/>
    <n v="14.762499999999999"/>
    <m/>
    <n v="2"/>
    <m/>
  </r>
  <r>
    <n v="2025"/>
    <s v="Northeast"/>
    <x v="7"/>
    <n v="2"/>
    <n v="17"/>
    <n v="3"/>
    <n v="8"/>
    <x v="9"/>
    <n v="56.9"/>
    <n v="41.086046451834072"/>
    <n v="14.6625"/>
    <m/>
    <n v="1"/>
    <m/>
  </r>
  <r>
    <n v="2025"/>
    <s v="Northeast"/>
    <x v="7"/>
    <n v="2"/>
    <n v="18"/>
    <n v="3"/>
    <n v="6"/>
    <x v="10"/>
    <n v="60.6"/>
    <n v="33.978262769969135"/>
    <n v="15.862500000000001"/>
    <m/>
    <n v="1"/>
    <m/>
  </r>
  <r>
    <n v="2025"/>
    <s v="Northeast"/>
    <x v="7"/>
    <n v="2"/>
    <n v="19"/>
    <n v="3"/>
    <n v="40"/>
    <x v="13"/>
    <n v="57.7"/>
    <n v="49.000231573534442"/>
    <n v="14.6625"/>
    <m/>
    <n v="2"/>
    <m/>
  </r>
  <r>
    <n v="2025"/>
    <s v="Northeast"/>
    <x v="7"/>
    <n v="2"/>
    <n v="20"/>
    <n v="3"/>
    <n v="15"/>
    <x v="7"/>
    <n v="56.7"/>
    <n v="59.327528968117925"/>
    <n v="13.1625"/>
    <m/>
    <n v="1"/>
    <m/>
  </r>
  <r>
    <n v="2025"/>
    <s v="Northeast"/>
    <x v="7"/>
    <n v="2"/>
    <n v="21"/>
    <n v="3"/>
    <n v="37"/>
    <x v="31"/>
    <n v="58.7"/>
    <n v="60.703121014741164"/>
    <n v="15.5625"/>
    <m/>
    <n v="5"/>
    <m/>
  </r>
  <r>
    <n v="2025"/>
    <s v="Northeast"/>
    <x v="7"/>
    <n v="2"/>
    <n v="22"/>
    <n v="3"/>
    <n v="4"/>
    <x v="4"/>
    <n v="57.7"/>
    <n v="53.547698320191955"/>
    <n v="13.762499999999999"/>
    <m/>
    <n v="1"/>
    <m/>
  </r>
  <r>
    <n v="2025"/>
    <s v="Northeast"/>
    <x v="7"/>
    <n v="2"/>
    <n v="23"/>
    <n v="3"/>
    <n v="24"/>
    <x v="29"/>
    <n v="56.3"/>
    <n v="68.052165581076437"/>
    <n v="14.0625"/>
    <m/>
    <n v="4"/>
    <m/>
  </r>
  <r>
    <n v="2025"/>
    <s v="Northeast"/>
    <x v="7"/>
    <n v="2"/>
    <n v="24"/>
    <n v="3"/>
    <n v="31"/>
    <x v="6"/>
    <n v="58.1"/>
    <n v="55.282681522111744"/>
    <n v="14.262499999999999"/>
    <m/>
    <n v="1"/>
    <m/>
  </r>
  <r>
    <n v="2025"/>
    <s v="Northeast"/>
    <x v="7"/>
    <n v="2"/>
    <n v="25"/>
    <n v="3"/>
    <n v="13"/>
    <x v="38"/>
    <n v="57.9"/>
    <n v="49.770601131299266"/>
    <n v="14.6625"/>
    <m/>
    <n v="2"/>
    <m/>
  </r>
  <r>
    <n v="2025"/>
    <s v="Northeast"/>
    <x v="7"/>
    <n v="2"/>
    <n v="26"/>
    <n v="3"/>
    <n v="30"/>
    <x v="14"/>
    <n v="59.8"/>
    <n v="57.864572334590314"/>
    <n v="14.1625"/>
    <m/>
    <n v="2"/>
    <m/>
  </r>
  <r>
    <n v="2025"/>
    <s v="Northeast"/>
    <x v="7"/>
    <n v="2"/>
    <n v="26"/>
    <n v="4"/>
    <n v="46"/>
    <x v="25"/>
    <n v="58.6"/>
    <n v="51.695344771241835"/>
    <n v="14.362500000000001"/>
    <m/>
    <n v="4"/>
    <m/>
  </r>
  <r>
    <n v="2025"/>
    <s v="Northeast"/>
    <x v="7"/>
    <n v="2"/>
    <n v="25"/>
    <n v="4"/>
    <n v="16"/>
    <x v="40"/>
    <n v="59.9"/>
    <n v="55.133443899782137"/>
    <n v="13.9625"/>
    <m/>
    <n v="5"/>
    <m/>
  </r>
  <r>
    <n v="2025"/>
    <s v="Northeast"/>
    <x v="7"/>
    <n v="2"/>
    <n v="24"/>
    <n v="4"/>
    <n v="12"/>
    <x v="41"/>
    <n v="57.7"/>
    <n v="55.119957516339873"/>
    <n v="13.9625"/>
    <m/>
    <n v="1"/>
    <m/>
  </r>
  <r>
    <n v="2025"/>
    <s v="Northeast"/>
    <x v="7"/>
    <n v="2"/>
    <n v="23"/>
    <n v="4"/>
    <n v="48"/>
    <x v="48"/>
    <n v="58"/>
    <n v="44.476067538126358"/>
    <n v="15.5625"/>
    <m/>
    <n v="1"/>
    <m/>
  </r>
  <r>
    <n v="2025"/>
    <s v="Northeast"/>
    <x v="7"/>
    <n v="2"/>
    <n v="22"/>
    <n v="4"/>
    <n v="43"/>
    <x v="22"/>
    <n v="56.5"/>
    <n v="65.411452069716773"/>
    <n v="14.362500000000001"/>
    <m/>
    <n v="2"/>
    <m/>
  </r>
  <r>
    <n v="2025"/>
    <s v="Northeast"/>
    <x v="7"/>
    <n v="2"/>
    <n v="21"/>
    <n v="4"/>
    <n v="38"/>
    <x v="43"/>
    <n v="59.3"/>
    <n v="64.526263616557756"/>
    <n v="13.9625"/>
    <m/>
    <n v="2"/>
    <m/>
  </r>
  <r>
    <n v="2025"/>
    <s v="Northeast"/>
    <x v="7"/>
    <n v="2"/>
    <n v="20"/>
    <n v="4"/>
    <n v="26"/>
    <x v="11"/>
    <n v="59"/>
    <n v="64.492826252723304"/>
    <n v="13.9625"/>
    <m/>
    <n v="5"/>
    <m/>
  </r>
  <r>
    <n v="2025"/>
    <s v="Northeast"/>
    <x v="7"/>
    <n v="2"/>
    <n v="19"/>
    <n v="4"/>
    <n v="44"/>
    <x v="17"/>
    <n v="56.3"/>
    <n v="50.440829520697179"/>
    <n v="13.4625"/>
    <m/>
    <n v="3"/>
    <m/>
  </r>
  <r>
    <n v="2025"/>
    <s v="Northeast"/>
    <x v="7"/>
    <n v="2"/>
    <n v="18"/>
    <n v="4"/>
    <n v="2"/>
    <x v="23"/>
    <n v="59.4"/>
    <n v="37.234065359477121"/>
    <n v="13.9625"/>
    <m/>
    <n v="4"/>
    <m/>
  </r>
  <r>
    <n v="2025"/>
    <s v="Northeast"/>
    <x v="7"/>
    <n v="2"/>
    <n v="17"/>
    <n v="4"/>
    <n v="35"/>
    <x v="30"/>
    <n v="56.9"/>
    <n v="36.137522331154685"/>
    <n v="14.5625"/>
    <m/>
    <n v="3"/>
    <m/>
  </r>
  <r>
    <n v="2025"/>
    <s v="Northeast"/>
    <x v="7"/>
    <n v="2"/>
    <n v="16"/>
    <n v="4"/>
    <n v="29"/>
    <x v="27"/>
    <n v="59.6"/>
    <n v="41.022415032679739"/>
    <n v="14.262499999999999"/>
    <m/>
    <n v="5"/>
    <m/>
  </r>
  <r>
    <n v="2025"/>
    <s v="Northeast"/>
    <x v="7"/>
    <n v="2"/>
    <n v="15"/>
    <n v="4"/>
    <n v="25"/>
    <x v="34"/>
    <n v="58"/>
    <n v="35.656416122004359"/>
    <n v="13.5625"/>
    <m/>
    <n v="4"/>
    <m/>
  </r>
  <r>
    <n v="2025"/>
    <s v="Northeast"/>
    <x v="7"/>
    <n v="2"/>
    <n v="14"/>
    <n v="4"/>
    <n v="3"/>
    <x v="16"/>
    <n v="60"/>
    <n v="46.061535403050108"/>
    <n v="13.862500000000001"/>
    <m/>
    <n v="1"/>
    <m/>
  </r>
  <r>
    <n v="2025"/>
    <s v="Northeast"/>
    <x v="7"/>
    <n v="2"/>
    <n v="13"/>
    <n v="4"/>
    <n v="49"/>
    <x v="47"/>
    <n v="56.5"/>
    <n v="42.012091503267982"/>
    <n v="15.0625"/>
    <m/>
    <n v="1"/>
    <m/>
  </r>
  <r>
    <n v="2025"/>
    <s v="Northeast"/>
    <x v="7"/>
    <n v="2"/>
    <n v="12"/>
    <n v="4"/>
    <n v="34"/>
    <x v="0"/>
    <n v="58.7"/>
    <n v="60.530843137254912"/>
    <n v="13.262499999999999"/>
    <m/>
    <n v="4"/>
    <m/>
  </r>
  <r>
    <n v="2025"/>
    <s v="Northeast"/>
    <x v="7"/>
    <n v="2"/>
    <n v="11"/>
    <n v="4"/>
    <n v="28"/>
    <x v="37"/>
    <n v="57.6"/>
    <n v="80.926874183006547"/>
    <n v="12.4625"/>
    <m/>
    <n v="5"/>
    <m/>
  </r>
  <r>
    <n v="2025"/>
    <s v="Northeast"/>
    <x v="7"/>
    <n v="2"/>
    <n v="10"/>
    <n v="4"/>
    <n v="23"/>
    <x v="35"/>
    <n v="59.7"/>
    <n v="77.942638888888908"/>
    <n v="12.4625"/>
    <m/>
    <n v="5"/>
    <m/>
  </r>
  <r>
    <n v="2025"/>
    <s v="Northeast"/>
    <x v="7"/>
    <n v="2"/>
    <n v="9"/>
    <n v="4"/>
    <n v="11"/>
    <x v="2"/>
    <n v="60.4"/>
    <n v="86.70678104575164"/>
    <n v="11.862500000000001"/>
    <m/>
    <n v="6"/>
    <m/>
  </r>
  <r>
    <n v="2025"/>
    <s v="Northeast"/>
    <x v="7"/>
    <n v="2"/>
    <n v="8"/>
    <n v="4"/>
    <n v="60"/>
    <x v="52"/>
    <n v="59.4"/>
    <n v="54.938888888888897"/>
    <n v="15.5625"/>
    <m/>
    <n v="2"/>
    <m/>
  </r>
  <r>
    <n v="2025"/>
    <s v="Northeast"/>
    <x v="7"/>
    <n v="2"/>
    <n v="7"/>
    <n v="4"/>
    <n v="33"/>
    <x v="3"/>
    <n v="57.5"/>
    <n v="81.186830065359487"/>
    <n v="14.0625"/>
    <m/>
    <n v="4"/>
    <m/>
  </r>
  <r>
    <n v="2025"/>
    <s v="Northeast"/>
    <x v="7"/>
    <n v="2"/>
    <n v="6"/>
    <n v="4"/>
    <n v="36"/>
    <x v="36"/>
    <n v="59.1"/>
    <n v="63.724467864923753"/>
    <n v="15.4625"/>
    <m/>
    <n v="1"/>
    <m/>
  </r>
  <r>
    <n v="2025"/>
    <s v="Northeast"/>
    <x v="7"/>
    <n v="2"/>
    <n v="5"/>
    <n v="4"/>
    <n v="7"/>
    <x v="44"/>
    <n v="57"/>
    <n v="57.815424836601302"/>
    <n v="14.362500000000001"/>
    <m/>
    <n v="1"/>
    <m/>
  </r>
  <r>
    <n v="2025"/>
    <s v="Northeast"/>
    <x v="7"/>
    <n v="2"/>
    <n v="4"/>
    <n v="4"/>
    <n v="18"/>
    <x v="8"/>
    <n v="55.7"/>
    <n v="58.500258714596953"/>
    <n v="14.262499999999999"/>
    <m/>
    <n v="2"/>
    <m/>
  </r>
  <r>
    <n v="2025"/>
    <s v="Northeast"/>
    <x v="7"/>
    <n v="2"/>
    <n v="3"/>
    <n v="4"/>
    <n v="41"/>
    <x v="20"/>
    <n v="56.6"/>
    <n v="61.276668300653597"/>
    <n v="14.762499999999999"/>
    <m/>
    <n v="4"/>
    <m/>
  </r>
  <r>
    <n v="2025"/>
    <s v="Northeast"/>
    <x v="7"/>
    <n v="2"/>
    <n v="2"/>
    <n v="4"/>
    <n v="17"/>
    <x v="32"/>
    <n v="57.8"/>
    <n v="69.241009803921571"/>
    <n v="13.6625"/>
    <m/>
    <n v="2"/>
    <m/>
  </r>
  <r>
    <n v="2025"/>
    <s v="Northeast"/>
    <x v="7"/>
    <n v="2"/>
    <n v="1"/>
    <n v="4"/>
    <n v="21"/>
    <x v="26"/>
    <n v="56.3"/>
    <n v="66.768340413943363"/>
    <n v="14.5625"/>
    <m/>
    <n v="2"/>
    <m/>
  </r>
  <r>
    <n v="2025"/>
    <s v="Northeast"/>
    <x v="7"/>
    <n v="3"/>
    <n v="1"/>
    <n v="5"/>
    <n v="15"/>
    <x v="7"/>
    <n v="55.8"/>
    <n v="49.71492063222297"/>
    <n v="14.1625"/>
    <m/>
    <n v="2"/>
    <m/>
  </r>
  <r>
    <n v="2025"/>
    <s v="Northeast"/>
    <x v="7"/>
    <n v="3"/>
    <n v="2"/>
    <n v="5"/>
    <n v="40"/>
    <x v="13"/>
    <n v="58.6"/>
    <n v="50.209858939496932"/>
    <n v="13.9625"/>
    <m/>
    <n v="1"/>
    <m/>
  </r>
  <r>
    <n v="2025"/>
    <s v="Northeast"/>
    <x v="7"/>
    <n v="3"/>
    <n v="3"/>
    <n v="5"/>
    <n v="19"/>
    <x v="49"/>
    <n v="55.6"/>
    <n v="49.202663494221603"/>
    <n v="13.0625"/>
    <m/>
    <n v="1"/>
    <m/>
  </r>
  <r>
    <n v="2025"/>
    <s v="Northeast"/>
    <x v="7"/>
    <n v="3"/>
    <n v="4"/>
    <n v="5"/>
    <n v="1"/>
    <x v="12"/>
    <n v="55.9"/>
    <n v="53.100729605710391"/>
    <n v="13.762499999999999"/>
    <m/>
    <n v="2"/>
    <m/>
  </r>
  <r>
    <n v="2025"/>
    <s v="Northeast"/>
    <x v="7"/>
    <n v="3"/>
    <n v="5"/>
    <n v="5"/>
    <n v="3"/>
    <x v="16"/>
    <n v="58.3"/>
    <n v="53.646648538409238"/>
    <n v="14.5625"/>
    <m/>
    <n v="1"/>
    <m/>
  </r>
  <r>
    <n v="2025"/>
    <s v="Northeast"/>
    <x v="7"/>
    <n v="3"/>
    <n v="6"/>
    <n v="5"/>
    <n v="22"/>
    <x v="33"/>
    <n v="58.8"/>
    <n v="48.634507138001347"/>
    <n v="14.862500000000001"/>
    <m/>
    <n v="3"/>
    <m/>
  </r>
  <r>
    <n v="2025"/>
    <s v="Northeast"/>
    <x v="7"/>
    <n v="3"/>
    <n v="7"/>
    <n v="5"/>
    <n v="44"/>
    <x v="17"/>
    <n v="56.2"/>
    <n v="56.865887151597541"/>
    <n v="15.4625"/>
    <m/>
    <n v="4"/>
    <m/>
  </r>
  <r>
    <n v="2025"/>
    <s v="Northeast"/>
    <x v="7"/>
    <n v="3"/>
    <n v="8"/>
    <n v="5"/>
    <n v="42"/>
    <x v="42"/>
    <n v="58.7"/>
    <n v="65.387587525492847"/>
    <n v="15.1625"/>
    <m/>
    <n v="2"/>
    <m/>
  </r>
  <r>
    <n v="2025"/>
    <s v="Northeast"/>
    <x v="7"/>
    <n v="3"/>
    <n v="9"/>
    <n v="5"/>
    <n v="8"/>
    <x v="9"/>
    <n v="56.9"/>
    <n v="68.721574609109439"/>
    <n v="14.262499999999999"/>
    <m/>
    <n v="1"/>
    <m/>
  </r>
  <r>
    <n v="2025"/>
    <s v="Northeast"/>
    <x v="7"/>
    <n v="3"/>
    <n v="10"/>
    <n v="5"/>
    <n v="10"/>
    <x v="15"/>
    <n v="57.3"/>
    <n v="53.607899898028542"/>
    <n v="15.4625"/>
    <m/>
    <n v="4"/>
    <m/>
  </r>
  <r>
    <n v="2025"/>
    <s v="Northeast"/>
    <x v="7"/>
    <n v="3"/>
    <n v="11"/>
    <n v="5"/>
    <n v="27"/>
    <x v="39"/>
    <n v="56.6"/>
    <n v="52.079451393609766"/>
    <n v="12.9625"/>
    <m/>
    <n v="3"/>
    <m/>
  </r>
  <r>
    <n v="2025"/>
    <s v="Northeast"/>
    <x v="7"/>
    <n v="3"/>
    <n v="12"/>
    <n v="5"/>
    <n v="11"/>
    <x v="2"/>
    <n v="59.7"/>
    <n v="40.242675560842962"/>
    <n v="14.362500000000001"/>
    <m/>
    <n v="5"/>
    <m/>
  </r>
  <r>
    <n v="2025"/>
    <s v="Northeast"/>
    <x v="7"/>
    <n v="3"/>
    <n v="13"/>
    <n v="5"/>
    <n v="17"/>
    <x v="32"/>
    <n v="57"/>
    <n v="50.066843983684564"/>
    <n v="12.762499999999999"/>
    <m/>
    <n v="4"/>
    <m/>
  </r>
  <r>
    <n v="2025"/>
    <s v="Northeast"/>
    <x v="7"/>
    <n v="3"/>
    <n v="14"/>
    <n v="5"/>
    <n v="39"/>
    <x v="46"/>
    <n v="57.6"/>
    <n v="40.765016655336495"/>
    <n v="15.0625"/>
    <m/>
    <n v="5"/>
    <m/>
  </r>
  <r>
    <n v="2025"/>
    <s v="Northeast"/>
    <x v="7"/>
    <n v="3"/>
    <n v="15"/>
    <n v="5"/>
    <n v="37"/>
    <x v="31"/>
    <n v="59"/>
    <n v="33.831674031271241"/>
    <n v="13.762499999999999"/>
    <m/>
    <n v="4"/>
    <m/>
  </r>
  <r>
    <n v="2025"/>
    <s v="Northeast"/>
    <x v="7"/>
    <n v="3"/>
    <n v="16"/>
    <n v="5"/>
    <n v="58"/>
    <x v="51"/>
    <n v="58.5"/>
    <n v="30.109892080217534"/>
    <n v="14.262499999999999"/>
    <m/>
    <n v="6"/>
    <m/>
  </r>
  <r>
    <n v="2025"/>
    <s v="Northeast"/>
    <x v="7"/>
    <n v="3"/>
    <n v="17"/>
    <n v="5"/>
    <n v="33"/>
    <x v="3"/>
    <n v="57.9"/>
    <n v="34.045859959211413"/>
    <n v="13.6625"/>
    <m/>
    <n v="3"/>
    <m/>
  </r>
  <r>
    <n v="2025"/>
    <s v="Northeast"/>
    <x v="7"/>
    <n v="3"/>
    <n v="18"/>
    <n v="5"/>
    <n v="35"/>
    <x v="30"/>
    <n v="58.1"/>
    <n v="44.984978585995904"/>
    <n v="13.0625"/>
    <m/>
    <n v="2"/>
    <m/>
  </r>
  <r>
    <n v="2025"/>
    <s v="Northeast"/>
    <x v="7"/>
    <n v="3"/>
    <n v="19"/>
    <n v="5"/>
    <n v="25"/>
    <x v="34"/>
    <n v="57.7"/>
    <n v="53.344129843643778"/>
    <n v="12.762499999999999"/>
    <m/>
    <n v="3"/>
    <m/>
  </r>
  <r>
    <n v="2025"/>
    <s v="Northeast"/>
    <x v="7"/>
    <n v="3"/>
    <n v="20"/>
    <n v="5"/>
    <n v="28"/>
    <x v="37"/>
    <n v="59.4"/>
    <n v="53.995386301835481"/>
    <n v="12.362500000000001"/>
    <m/>
    <n v="5"/>
    <m/>
  </r>
  <r>
    <n v="2025"/>
    <s v="Northeast"/>
    <x v="7"/>
    <n v="3"/>
    <n v="21"/>
    <n v="5"/>
    <n v="21"/>
    <x v="26"/>
    <n v="56.9"/>
    <n v="65.909889360978909"/>
    <n v="12.1625"/>
    <m/>
    <n v="3"/>
    <m/>
  </r>
  <r>
    <n v="2025"/>
    <s v="Northeast"/>
    <x v="7"/>
    <n v="3"/>
    <n v="22"/>
    <n v="5"/>
    <n v="30"/>
    <x v="14"/>
    <n v="59.6"/>
    <n v="63.185970428280065"/>
    <n v="13.5625"/>
    <m/>
    <n v="2"/>
    <m/>
  </r>
  <r>
    <n v="2025"/>
    <s v="Northeast"/>
    <x v="7"/>
    <n v="3"/>
    <n v="23"/>
    <n v="5"/>
    <n v="13"/>
    <x v="38"/>
    <n v="59.7"/>
    <n v="59.592509347382723"/>
    <n v="12.762499999999999"/>
    <m/>
    <n v="2"/>
    <m/>
  </r>
  <r>
    <n v="2025"/>
    <s v="Northeast"/>
    <x v="7"/>
    <n v="3"/>
    <n v="24"/>
    <n v="5"/>
    <n v="4"/>
    <x v="4"/>
    <n v="58.3"/>
    <n v="44.733614377974149"/>
    <n v="13.1625"/>
    <m/>
    <n v="1"/>
    <m/>
  </r>
  <r>
    <n v="2025"/>
    <s v="Northeast"/>
    <x v="7"/>
    <n v="3"/>
    <n v="25"/>
    <n v="5"/>
    <n v="6"/>
    <x v="10"/>
    <n v="61.1"/>
    <n v="48.47945649218218"/>
    <n v="15.1625"/>
    <m/>
    <n v="1"/>
    <m/>
  </r>
  <r>
    <n v="2025"/>
    <s v="Northeast"/>
    <x v="7"/>
    <n v="3"/>
    <n v="26"/>
    <n v="5"/>
    <n v="36"/>
    <x v="36"/>
    <n v="60"/>
    <n v="56.155063562202578"/>
    <n v="13.5625"/>
    <m/>
    <n v="1"/>
    <m/>
  </r>
  <r>
    <n v="2025"/>
    <s v="Northeast"/>
    <x v="7"/>
    <n v="3"/>
    <n v="26"/>
    <n v="6"/>
    <n v="48"/>
    <x v="48"/>
    <n v="59.4"/>
    <n v="47.237535861809974"/>
    <n v="14.862500000000001"/>
    <m/>
    <n v="1"/>
    <m/>
  </r>
  <r>
    <n v="2025"/>
    <s v="Northeast"/>
    <x v="7"/>
    <n v="3"/>
    <n v="25"/>
    <n v="6"/>
    <n v="18"/>
    <x v="8"/>
    <n v="58.4"/>
    <n v="43.647840968832142"/>
    <n v="14.262499999999999"/>
    <m/>
    <n v="5"/>
    <m/>
  </r>
  <r>
    <n v="2025"/>
    <s v="Northeast"/>
    <x v="7"/>
    <n v="3"/>
    <n v="24"/>
    <n v="6"/>
    <n v="26"/>
    <x v="11"/>
    <n v="58.4"/>
    <n v="57.296686819376639"/>
    <n v="13.0625"/>
    <m/>
    <n v="6"/>
    <m/>
  </r>
  <r>
    <n v="2025"/>
    <s v="Northeast"/>
    <x v="7"/>
    <n v="3"/>
    <n v="23"/>
    <n v="6"/>
    <n v="32"/>
    <x v="24"/>
    <n v="60.1"/>
    <n v="64.419909688321425"/>
    <n v="14.5625"/>
    <m/>
    <n v="6"/>
    <m/>
  </r>
  <r>
    <n v="2025"/>
    <s v="Northeast"/>
    <x v="7"/>
    <n v="3"/>
    <n v="22"/>
    <n v="6"/>
    <n v="20"/>
    <x v="18"/>
    <n v="58.7"/>
    <n v="87.158520653398426"/>
    <n v="11.6625"/>
    <m/>
    <n v="5"/>
    <m/>
  </r>
  <r>
    <n v="2025"/>
    <s v="Northeast"/>
    <x v="7"/>
    <n v="3"/>
    <n v="21"/>
    <n v="6"/>
    <n v="57"/>
    <x v="45"/>
    <n v="57.2"/>
    <n v="79.234034735260977"/>
    <n v="13.362500000000001"/>
    <m/>
    <n v="5"/>
    <m/>
  </r>
  <r>
    <n v="2025"/>
    <s v="Northeast"/>
    <x v="7"/>
    <n v="3"/>
    <n v="20"/>
    <n v="6"/>
    <n v="41"/>
    <x v="20"/>
    <n v="55.6"/>
    <n v="65.235652835148343"/>
    <n v="14.5625"/>
    <m/>
    <n v="4"/>
    <m/>
  </r>
  <r>
    <n v="2025"/>
    <s v="Northeast"/>
    <x v="7"/>
    <n v="3"/>
    <n v="19"/>
    <n v="6"/>
    <n v="38"/>
    <x v="43"/>
    <n v="59.7"/>
    <n v="61.024968081111524"/>
    <n v="13.362500000000001"/>
    <m/>
    <n v="2"/>
    <m/>
  </r>
  <r>
    <n v="2025"/>
    <s v="Northeast"/>
    <x v="7"/>
    <n v="3"/>
    <n v="18"/>
    <n v="6"/>
    <n v="7"/>
    <x v="44"/>
    <n v="58.4"/>
    <n v="34.958747653022904"/>
    <n v="14.762499999999999"/>
    <m/>
    <n v="2"/>
    <m/>
  </r>
  <r>
    <n v="2025"/>
    <s v="Northeast"/>
    <x v="7"/>
    <n v="3"/>
    <n v="17"/>
    <n v="6"/>
    <n v="12"/>
    <x v="41"/>
    <n v="58.1"/>
    <n v="35.899241457003384"/>
    <n v="13.6625"/>
    <m/>
    <n v="1"/>
    <m/>
  </r>
  <r>
    <n v="2025"/>
    <s v="Northeast"/>
    <x v="7"/>
    <n v="3"/>
    <n v="16"/>
    <n v="6"/>
    <n v="47"/>
    <x v="50"/>
    <n v="59.4"/>
    <n v="34.920010138941045"/>
    <n v="14.4625"/>
    <m/>
    <n v="6"/>
    <m/>
  </r>
  <r>
    <n v="2025"/>
    <s v="Northeast"/>
    <x v="7"/>
    <n v="3"/>
    <n v="15"/>
    <n v="6"/>
    <n v="34"/>
    <x v="0"/>
    <n v="57.6"/>
    <n v="33.206798347728125"/>
    <n v="14.262499999999999"/>
    <m/>
    <n v="5"/>
    <m/>
  </r>
  <r>
    <n v="2025"/>
    <s v="Northeast"/>
    <x v="7"/>
    <n v="3"/>
    <n v="14"/>
    <n v="6"/>
    <n v="49"/>
    <x v="47"/>
    <n v="57.8"/>
    <n v="38.266975966954568"/>
    <n v="15.5625"/>
    <m/>
    <n v="1"/>
    <m/>
  </r>
  <r>
    <n v="2025"/>
    <s v="Northeast"/>
    <x v="7"/>
    <n v="3"/>
    <n v="13"/>
    <n v="6"/>
    <n v="14"/>
    <x v="5"/>
    <n v="58.3"/>
    <n v="58.739250281637254"/>
    <n v="13.1625"/>
    <m/>
    <n v="3"/>
    <m/>
  </r>
  <r>
    <n v="2025"/>
    <s v="Northeast"/>
    <x v="7"/>
    <n v="3"/>
    <n v="12"/>
    <n v="6"/>
    <n v="2"/>
    <x v="23"/>
    <n v="58.7"/>
    <n v="53.282149455501305"/>
    <n v="14.0625"/>
    <m/>
    <n v="3"/>
    <m/>
  </r>
  <r>
    <n v="2025"/>
    <s v="Northeast"/>
    <x v="7"/>
    <n v="3"/>
    <n v="11"/>
    <n v="6"/>
    <n v="16"/>
    <x v="40"/>
    <n v="58.8"/>
    <n v="67.367554449868564"/>
    <n v="14.1625"/>
    <m/>
    <n v="3"/>
    <m/>
  </r>
  <r>
    <n v="2025"/>
    <s v="Northeast"/>
    <x v="7"/>
    <n v="3"/>
    <n v="10"/>
    <n v="6"/>
    <n v="60"/>
    <x v="52"/>
    <n v="59.2"/>
    <n v="49.297947803229434"/>
    <n v="14.4625"/>
    <m/>
    <n v="2"/>
    <m/>
  </r>
  <r>
    <n v="2025"/>
    <s v="Northeast"/>
    <x v="7"/>
    <n v="3"/>
    <n v="9"/>
    <n v="6"/>
    <n v="46"/>
    <x v="25"/>
    <n v="58"/>
    <n v="64.97078539241457"/>
    <n v="15.4625"/>
    <m/>
    <n v="2"/>
    <m/>
  </r>
  <r>
    <n v="2025"/>
    <s v="Northeast"/>
    <x v="7"/>
    <n v="3"/>
    <n v="8"/>
    <n v="6"/>
    <n v="45"/>
    <x v="21"/>
    <n v="56.2"/>
    <n v="59.355332895230937"/>
    <n v="14.9625"/>
    <m/>
    <n v="3"/>
    <m/>
  </r>
  <r>
    <n v="2025"/>
    <s v="Northeast"/>
    <x v="7"/>
    <n v="3"/>
    <n v="7"/>
    <n v="6"/>
    <n v="29"/>
    <x v="27"/>
    <n v="57.4"/>
    <n v="70.632429215170859"/>
    <n v="15.362500000000001"/>
    <m/>
    <n v="4"/>
    <m/>
  </r>
  <r>
    <n v="2025"/>
    <s v="Northeast"/>
    <x v="7"/>
    <n v="3"/>
    <n v="6"/>
    <n v="6"/>
    <n v="24"/>
    <x v="29"/>
    <n v="56.2"/>
    <n v="63.187329327825758"/>
    <n v="13.762499999999999"/>
    <m/>
    <n v="2"/>
    <m/>
  </r>
  <r>
    <n v="2025"/>
    <s v="Northeast"/>
    <x v="7"/>
    <n v="3"/>
    <n v="5"/>
    <n v="6"/>
    <n v="23"/>
    <x v="35"/>
    <n v="58"/>
    <n v="70.476041682313181"/>
    <n v="14.362500000000001"/>
    <m/>
    <n v="4"/>
    <m/>
  </r>
  <r>
    <n v="2025"/>
    <s v="Northeast"/>
    <x v="7"/>
    <n v="3"/>
    <n v="4"/>
    <n v="6"/>
    <n v="5"/>
    <x v="28"/>
    <n v="57.7"/>
    <n v="56.068102891475775"/>
    <n v="12.862500000000001"/>
    <m/>
    <n v="1"/>
    <m/>
  </r>
  <r>
    <n v="2025"/>
    <s v="Northeast"/>
    <x v="7"/>
    <n v="3"/>
    <n v="3"/>
    <n v="6"/>
    <n v="31"/>
    <x v="6"/>
    <n v="57"/>
    <n v="54.802435786706724"/>
    <n v="13.4625"/>
    <m/>
    <n v="2"/>
    <m/>
  </r>
  <r>
    <n v="2025"/>
    <s v="Northeast"/>
    <x v="7"/>
    <n v="3"/>
    <n v="2"/>
    <n v="6"/>
    <n v="9"/>
    <x v="1"/>
    <n v="58.5"/>
    <n v="46.29527619226436"/>
    <n v="13.4625"/>
    <m/>
    <n v="2"/>
    <m/>
  </r>
  <r>
    <n v="2025"/>
    <s v="Northeast"/>
    <x v="7"/>
    <n v="3"/>
    <n v="1"/>
    <n v="6"/>
    <n v="43"/>
    <x v="22"/>
    <n v="55"/>
    <n v="44.009744273375901"/>
    <n v="14.362500000000001"/>
    <m/>
    <n v="2"/>
    <m/>
  </r>
  <r>
    <n v="2025"/>
    <s v="Northeast"/>
    <x v="8"/>
    <n v="1"/>
    <n v="5"/>
    <n v="3"/>
    <n v="30"/>
    <x v="14"/>
    <n v="58.7"/>
    <n v="33.919317101008183"/>
    <n v="15.4"/>
    <m/>
    <n v="1"/>
    <m/>
  </r>
  <r>
    <n v="2025"/>
    <s v="Northeast"/>
    <x v="8"/>
    <n v="2"/>
    <n v="4"/>
    <n v="5"/>
    <n v="30"/>
    <x v="14"/>
    <n v="60.6"/>
    <n v="27.661778650447772"/>
    <m/>
    <m/>
    <n v="1"/>
    <m/>
  </r>
  <r>
    <n v="2025"/>
    <s v="Northeast"/>
    <x v="8"/>
    <n v="3"/>
    <n v="3"/>
    <n v="9"/>
    <n v="30"/>
    <x v="14"/>
    <n v="59.2"/>
    <n v="41.210701264264394"/>
    <m/>
    <m/>
    <n v="1"/>
    <m/>
  </r>
  <r>
    <n v="2025"/>
    <s v="Northeast"/>
    <x v="8"/>
    <n v="1"/>
    <n v="2"/>
    <n v="1"/>
    <n v="39"/>
    <x v="46"/>
    <n v="58.7"/>
    <n v="29.392416536582903"/>
    <n v="15.6"/>
    <m/>
    <n v="5"/>
    <m/>
  </r>
  <r>
    <n v="2025"/>
    <s v="Northeast"/>
    <x v="8"/>
    <n v="2"/>
    <n v="8"/>
    <n v="6"/>
    <n v="39"/>
    <x v="46"/>
    <n v="56.9"/>
    <n v="19.372246010120666"/>
    <m/>
    <m/>
    <n v="3"/>
    <m/>
  </r>
  <r>
    <n v="2025"/>
    <s v="Northeast"/>
    <x v="8"/>
    <n v="3"/>
    <n v="15"/>
    <n v="9"/>
    <n v="39"/>
    <x v="46"/>
    <n v="57.5"/>
    <n v="29.851600928074237"/>
    <m/>
    <m/>
    <n v="4"/>
    <m/>
  </r>
  <r>
    <n v="2025"/>
    <s v="Northeast"/>
    <x v="8"/>
    <n v="1"/>
    <n v="3"/>
    <n v="2"/>
    <n v="38"/>
    <x v="43"/>
    <n v="57.7"/>
    <n v="32.581871185431446"/>
    <n v="15.3"/>
    <m/>
    <n v="1"/>
    <m/>
  </r>
  <r>
    <n v="2025"/>
    <s v="Northeast"/>
    <x v="8"/>
    <n v="2"/>
    <n v="13"/>
    <n v="6"/>
    <n v="38"/>
    <x v="43"/>
    <n v="57.8"/>
    <n v="40.104104223433232"/>
    <m/>
    <m/>
    <n v="1"/>
    <m/>
  </r>
  <r>
    <n v="2025"/>
    <s v="Northeast"/>
    <x v="8"/>
    <n v="3"/>
    <n v="12"/>
    <n v="8"/>
    <n v="38"/>
    <x v="43"/>
    <n v="56.7"/>
    <n v="40.440340909090907"/>
    <m/>
    <m/>
    <n v="1"/>
    <m/>
  </r>
  <r>
    <n v="2025"/>
    <s v="Northeast"/>
    <x v="8"/>
    <n v="1"/>
    <n v="1"/>
    <n v="2"/>
    <n v="37"/>
    <x v="31"/>
    <n v="60.1"/>
    <n v="23.317292710762665"/>
    <n v="15.9"/>
    <m/>
    <n v="4"/>
    <m/>
  </r>
  <r>
    <n v="2025"/>
    <s v="Northeast"/>
    <x v="8"/>
    <n v="2"/>
    <n v="16"/>
    <n v="4"/>
    <n v="37"/>
    <x v="31"/>
    <n v="59.1"/>
    <n v="19.166686487290022"/>
    <m/>
    <m/>
    <n v="3"/>
    <m/>
  </r>
  <r>
    <n v="2025"/>
    <s v="Northeast"/>
    <x v="8"/>
    <n v="3"/>
    <n v="17"/>
    <n v="7"/>
    <n v="37"/>
    <x v="31"/>
    <n v="58.6"/>
    <n v="23.381978607083429"/>
    <m/>
    <m/>
    <n v="3"/>
    <m/>
  </r>
  <r>
    <n v="2025"/>
    <s v="Northeast"/>
    <x v="8"/>
    <n v="1"/>
    <n v="8"/>
    <n v="3"/>
    <n v="40"/>
    <x v="13"/>
    <n v="58.7"/>
    <n v="17.38102529960053"/>
    <n v="14"/>
    <m/>
    <n v="4"/>
    <m/>
  </r>
  <r>
    <n v="2025"/>
    <s v="Northeast"/>
    <x v="8"/>
    <n v="2"/>
    <n v="10"/>
    <n v="6"/>
    <n v="40"/>
    <x v="13"/>
    <n v="57.9"/>
    <n v="19.624274036590108"/>
    <m/>
    <m/>
    <n v="3"/>
    <m/>
  </r>
  <r>
    <n v="2025"/>
    <s v="Northeast"/>
    <x v="8"/>
    <n v="3"/>
    <n v="18"/>
    <n v="7"/>
    <n v="40"/>
    <x v="13"/>
    <n v="62.3"/>
    <n v="28.960712146422626"/>
    <m/>
    <m/>
    <n v="3"/>
    <m/>
  </r>
  <r>
    <n v="2025"/>
    <s v="Northeast"/>
    <x v="8"/>
    <n v="1"/>
    <n v="3"/>
    <n v="3"/>
    <n v="41"/>
    <x v="20"/>
    <n v="58.3"/>
    <n v="27.281966901274487"/>
    <n v="15.1"/>
    <m/>
    <n v="3"/>
    <m/>
  </r>
  <r>
    <n v="2025"/>
    <s v="Northeast"/>
    <x v="8"/>
    <n v="2"/>
    <n v="17"/>
    <n v="6"/>
    <n v="41"/>
    <x v="20"/>
    <s v="."/>
    <n v="16.952064032697546"/>
    <m/>
    <m/>
    <n v="3"/>
    <m/>
  </r>
  <r>
    <n v="2025"/>
    <s v="Northeast"/>
    <x v="8"/>
    <n v="3"/>
    <n v="18"/>
    <n v="9"/>
    <n v="41"/>
    <x v="20"/>
    <n v="58"/>
    <n v="24.310994838770771"/>
    <m/>
    <m/>
    <n v="4"/>
    <m/>
  </r>
  <r>
    <n v="2025"/>
    <s v="Northeast"/>
    <x v="8"/>
    <n v="1"/>
    <n v="13"/>
    <n v="3"/>
    <n v="20"/>
    <x v="18"/>
    <n v="60.9"/>
    <n v="24.14737492866654"/>
    <n v="15"/>
    <m/>
    <n v="4"/>
    <m/>
  </r>
  <r>
    <n v="2025"/>
    <s v="Northeast"/>
    <x v="8"/>
    <n v="2"/>
    <n v="5"/>
    <n v="6"/>
    <n v="20"/>
    <x v="18"/>
    <n v="60.4"/>
    <n v="26.747245036979368"/>
    <m/>
    <m/>
    <n v="4"/>
    <m/>
  </r>
  <r>
    <n v="2025"/>
    <s v="Northeast"/>
    <x v="8"/>
    <n v="3"/>
    <n v="2"/>
    <n v="9"/>
    <n v="20"/>
    <x v="18"/>
    <n v="61.8"/>
    <n v="40.822557886263539"/>
    <m/>
    <m/>
    <n v="3"/>
    <m/>
  </r>
  <r>
    <n v="2025"/>
    <s v="Northeast"/>
    <x v="8"/>
    <n v="1"/>
    <n v="1"/>
    <n v="3"/>
    <n v="32"/>
    <x v="24"/>
    <n v="60.6"/>
    <n v="34.959786950732358"/>
    <n v="15.6"/>
    <m/>
    <n v="4"/>
    <m/>
  </r>
  <r>
    <n v="2025"/>
    <s v="Northeast"/>
    <x v="8"/>
    <n v="2"/>
    <n v="9"/>
    <n v="6"/>
    <n v="32"/>
    <x v="24"/>
    <n v="59"/>
    <n v="25.235751265083689"/>
    <m/>
    <m/>
    <n v="3"/>
    <m/>
  </r>
  <r>
    <n v="2025"/>
    <s v="Northeast"/>
    <x v="8"/>
    <n v="3"/>
    <n v="4"/>
    <n v="9"/>
    <n v="32"/>
    <x v="24"/>
    <n v="62.1"/>
    <n v="39.391537004593005"/>
    <m/>
    <m/>
    <n v="4"/>
    <m/>
  </r>
  <r>
    <n v="2025"/>
    <s v="Northeast"/>
    <x v="8"/>
    <n v="1"/>
    <n v="3"/>
    <n v="1"/>
    <n v="21"/>
    <x v="26"/>
    <n v="56.4"/>
    <n v="18.067911274485116"/>
    <n v="15.9"/>
    <m/>
    <n v="4"/>
    <m/>
  </r>
  <r>
    <n v="2025"/>
    <s v="Northeast"/>
    <x v="8"/>
    <n v="2"/>
    <n v="8"/>
    <n v="5"/>
    <n v="21"/>
    <x v="26"/>
    <n v="59.5"/>
    <n v="20.174693261816955"/>
    <m/>
    <m/>
    <n v="2"/>
    <m/>
  </r>
  <r>
    <n v="2025"/>
    <s v="Northeast"/>
    <x v="8"/>
    <n v="3"/>
    <n v="7"/>
    <n v="8"/>
    <n v="21"/>
    <x v="26"/>
    <n v="60.4"/>
    <n v="30.989366883116876"/>
    <m/>
    <m/>
    <n v="3"/>
    <m/>
  </r>
  <r>
    <n v="2025"/>
    <s v="Northeast"/>
    <x v="8"/>
    <n v="1"/>
    <n v="12"/>
    <n v="2"/>
    <n v="29"/>
    <x v="27"/>
    <n v="57.5"/>
    <n v="23.538941100580551"/>
    <n v="14.3"/>
    <m/>
    <n v="4"/>
    <m/>
  </r>
  <r>
    <n v="2025"/>
    <s v="Northeast"/>
    <x v="8"/>
    <n v="2"/>
    <n v="7"/>
    <n v="4"/>
    <n v="29"/>
    <x v="27"/>
    <n v="58.7"/>
    <n v="21.265990783410135"/>
    <m/>
    <m/>
    <n v="4"/>
    <m/>
  </r>
  <r>
    <n v="2025"/>
    <s v="Northeast"/>
    <x v="8"/>
    <n v="3"/>
    <n v="10"/>
    <n v="9"/>
    <n v="29"/>
    <x v="27"/>
    <n v="63.5"/>
    <n v="29.770597092665366"/>
    <m/>
    <m/>
    <n v="3"/>
    <m/>
  </r>
  <r>
    <n v="2025"/>
    <s v="Northeast"/>
    <x v="8"/>
    <n v="1"/>
    <n v="9"/>
    <n v="2"/>
    <n v="22"/>
    <x v="33"/>
    <n v="63.1"/>
    <n v="29.15059494864288"/>
    <n v="12.7"/>
    <m/>
    <n v="3"/>
    <m/>
  </r>
  <r>
    <n v="2025"/>
    <s v="Northeast"/>
    <x v="8"/>
    <n v="2"/>
    <n v="11"/>
    <n v="4"/>
    <n v="22"/>
    <x v="33"/>
    <n v="62.5"/>
    <n v="27.736482830385011"/>
    <m/>
    <m/>
    <n v="3"/>
    <m/>
  </r>
  <r>
    <n v="2025"/>
    <s v="Northeast"/>
    <x v="8"/>
    <n v="3"/>
    <n v="1"/>
    <n v="9"/>
    <n v="22"/>
    <x v="33"/>
    <n v="62.6"/>
    <n v="35.596497940243374"/>
    <m/>
    <m/>
    <n v="4"/>
    <m/>
  </r>
  <r>
    <n v="2025"/>
    <s v="Northeast"/>
    <x v="8"/>
    <n v="1"/>
    <n v="8"/>
    <n v="2"/>
    <n v="18"/>
    <x v="8"/>
    <s v="."/>
    <n v="17.356292115317814"/>
    <n v="15"/>
    <m/>
    <n v="2"/>
    <m/>
  </r>
  <r>
    <n v="2025"/>
    <s v="Northeast"/>
    <x v="8"/>
    <n v="2"/>
    <n v="17"/>
    <n v="4"/>
    <n v="18"/>
    <x v="8"/>
    <n v="58.2"/>
    <n v="19.5376482830385"/>
    <m/>
    <m/>
    <n v="3"/>
    <m/>
  </r>
  <r>
    <n v="2025"/>
    <s v="Northeast"/>
    <x v="8"/>
    <n v="3"/>
    <n v="7"/>
    <n v="7"/>
    <n v="18"/>
    <x v="8"/>
    <n v="58.6"/>
    <n v="30.385916805324456"/>
    <m/>
    <m/>
    <n v="2"/>
    <m/>
  </r>
  <r>
    <n v="2025"/>
    <s v="Northeast"/>
    <x v="8"/>
    <n v="1"/>
    <n v="12"/>
    <n v="1"/>
    <n v="14"/>
    <x v="5"/>
    <s v="."/>
    <n v="18.332572637091495"/>
    <n v="15.7"/>
    <m/>
    <n v="4"/>
    <m/>
  </r>
  <r>
    <n v="2025"/>
    <s v="Northeast"/>
    <x v="8"/>
    <n v="2"/>
    <n v="14"/>
    <n v="5"/>
    <n v="14"/>
    <x v="5"/>
    <n v="61"/>
    <n v="25.792057851635452"/>
    <m/>
    <m/>
    <n v="3"/>
    <m/>
  </r>
  <r>
    <n v="2025"/>
    <s v="Northeast"/>
    <x v="8"/>
    <n v="3"/>
    <n v="17"/>
    <n v="9"/>
    <n v="14"/>
    <x v="5"/>
    <n v="58.9"/>
    <n v="27.867006960556839"/>
    <m/>
    <m/>
    <n v="3"/>
    <m/>
  </r>
  <r>
    <n v="2025"/>
    <s v="Northeast"/>
    <x v="8"/>
    <n v="1"/>
    <n v="7"/>
    <n v="3"/>
    <n v="15"/>
    <x v="7"/>
    <n v="59.8"/>
    <n v="21.023328894806927"/>
    <n v="14.1"/>
    <m/>
    <n v="3"/>
    <m/>
  </r>
  <r>
    <n v="2025"/>
    <s v="Northeast"/>
    <x v="8"/>
    <n v="2"/>
    <n v="15"/>
    <n v="5"/>
    <n v="15"/>
    <x v="7"/>
    <n v="59.1"/>
    <n v="20.476088309946839"/>
    <m/>
    <m/>
    <n v="3"/>
    <m/>
  </r>
  <r>
    <n v="2025"/>
    <s v="Northeast"/>
    <x v="8"/>
    <n v="3"/>
    <n v="8"/>
    <n v="8"/>
    <n v="15"/>
    <x v="7"/>
    <n v="56.8"/>
    <n v="18.088831168831167"/>
    <m/>
    <m/>
    <n v="3"/>
    <m/>
  </r>
  <r>
    <n v="2025"/>
    <s v="Northeast"/>
    <x v="8"/>
    <n v="1"/>
    <n v="17"/>
    <n v="2"/>
    <n v="16"/>
    <x v="40"/>
    <n v="60.5"/>
    <n v="23.774147769562841"/>
    <n v="15"/>
    <m/>
    <n v="3"/>
    <m/>
  </r>
  <r>
    <n v="2025"/>
    <s v="Northeast"/>
    <x v="8"/>
    <n v="2"/>
    <n v="1"/>
    <n v="5"/>
    <n v="16"/>
    <x v="40"/>
    <n v="58.3"/>
    <n v="30.353330779177234"/>
    <m/>
    <m/>
    <n v="3"/>
    <m/>
  </r>
  <r>
    <n v="2025"/>
    <s v="Northeast"/>
    <x v="8"/>
    <n v="3"/>
    <n v="2"/>
    <n v="8"/>
    <n v="16"/>
    <x v="40"/>
    <n v="58.7"/>
    <n v="33.456038961038963"/>
    <m/>
    <m/>
    <n v="3"/>
    <m/>
  </r>
  <r>
    <n v="2025"/>
    <s v="Northeast"/>
    <x v="8"/>
    <n v="1"/>
    <n v="17"/>
    <n v="1"/>
    <n v="11"/>
    <x v="2"/>
    <n v="61.2"/>
    <n v="27.122580190341903"/>
    <n v="15.1"/>
    <m/>
    <n v="5"/>
    <m/>
  </r>
  <r>
    <n v="2025"/>
    <s v="Northeast"/>
    <x v="8"/>
    <n v="2"/>
    <n v="9"/>
    <n v="4"/>
    <n v="11"/>
    <x v="2"/>
    <n v="61.5"/>
    <n v="27.887379218076401"/>
    <m/>
    <m/>
    <n v="4"/>
    <m/>
  </r>
  <r>
    <n v="2025"/>
    <s v="Northeast"/>
    <x v="8"/>
    <n v="3"/>
    <n v="12"/>
    <n v="7"/>
    <n v="11"/>
    <x v="2"/>
    <n v="59"/>
    <n v="30.787658664131211"/>
    <m/>
    <m/>
    <n v="4"/>
    <m/>
  </r>
  <r>
    <n v="2025"/>
    <s v="Northeast"/>
    <x v="8"/>
    <n v="1"/>
    <n v="18"/>
    <n v="1"/>
    <n v="1"/>
    <x v="12"/>
    <n v="57.3"/>
    <n v="25.266810010574545"/>
    <n v="15.7"/>
    <m/>
    <n v="4"/>
    <m/>
  </r>
  <r>
    <n v="2025"/>
    <s v="Northeast"/>
    <x v="8"/>
    <n v="2"/>
    <n v="12"/>
    <n v="5"/>
    <n v="1"/>
    <x v="12"/>
    <n v="57.6"/>
    <n v="21.039716488673911"/>
    <m/>
    <m/>
    <n v="2"/>
    <m/>
  </r>
  <r>
    <n v="2025"/>
    <s v="Northeast"/>
    <x v="8"/>
    <n v="3"/>
    <n v="14"/>
    <n v="8"/>
    <n v="1"/>
    <x v="12"/>
    <n v="56.4"/>
    <n v="21.68571428571428"/>
    <m/>
    <m/>
    <n v="2"/>
    <m/>
  </r>
  <r>
    <n v="2025"/>
    <s v="Northeast"/>
    <x v="8"/>
    <n v="1"/>
    <n v="10"/>
    <n v="1"/>
    <n v="17"/>
    <x v="32"/>
    <n v="60.7"/>
    <n v="23.779890729643981"/>
    <n v="14.3"/>
    <m/>
    <n v="3"/>
    <m/>
  </r>
  <r>
    <n v="2025"/>
    <s v="Northeast"/>
    <x v="8"/>
    <n v="2"/>
    <n v="13"/>
    <n v="4"/>
    <n v="17"/>
    <x v="32"/>
    <n v="59.5"/>
    <n v="25.383460680838411"/>
    <m/>
    <m/>
    <n v="3"/>
    <m/>
  </r>
  <r>
    <n v="2025"/>
    <s v="Northeast"/>
    <x v="8"/>
    <n v="3"/>
    <n v="11"/>
    <n v="9"/>
    <n v="17"/>
    <x v="32"/>
    <n v="59.2"/>
    <n v="30.608949287371555"/>
    <m/>
    <m/>
    <n v="3"/>
    <m/>
  </r>
  <r>
    <n v="2025"/>
    <s v="Northeast"/>
    <x v="8"/>
    <n v="1"/>
    <n v="14"/>
    <n v="1"/>
    <n v="12"/>
    <x v="41"/>
    <n v="48.7"/>
    <n v="13.182468905785784"/>
    <n v="16.7"/>
    <m/>
    <n v="2"/>
    <m/>
  </r>
  <r>
    <n v="2025"/>
    <s v="Northeast"/>
    <x v="8"/>
    <n v="2"/>
    <n v="2"/>
    <n v="4"/>
    <n v="12"/>
    <x v="41"/>
    <s v="."/>
    <n v="10.207581388434663"/>
    <m/>
    <m/>
    <n v="1"/>
    <m/>
  </r>
  <r>
    <n v="2025"/>
    <s v="Northeast"/>
    <x v="8"/>
    <n v="3"/>
    <n v="12"/>
    <n v="9"/>
    <n v="12"/>
    <x v="41"/>
    <s v="."/>
    <n v="16.257019745253086"/>
    <m/>
    <m/>
    <n v="1"/>
    <m/>
  </r>
  <r>
    <n v="2025"/>
    <s v="Northeast"/>
    <x v="8"/>
    <n v="1"/>
    <n v="15"/>
    <n v="1"/>
    <n v="13"/>
    <x v="38"/>
    <n v="60.1"/>
    <n v="28.13207210836396"/>
    <n v="14.6"/>
    <m/>
    <n v="1"/>
    <m/>
  </r>
  <r>
    <n v="2025"/>
    <s v="Northeast"/>
    <x v="8"/>
    <n v="2"/>
    <n v="11"/>
    <n v="6"/>
    <n v="13"/>
    <x v="38"/>
    <n v="61.4"/>
    <n v="22.927613857532112"/>
    <m/>
    <m/>
    <n v="1"/>
    <m/>
  </r>
  <r>
    <n v="2025"/>
    <s v="Northeast"/>
    <x v="8"/>
    <n v="3"/>
    <n v="17"/>
    <n v="8"/>
    <n v="13"/>
    <x v="38"/>
    <n v="62.5"/>
    <n v="27.403636363636359"/>
    <m/>
    <m/>
    <n v="1"/>
    <m/>
  </r>
  <r>
    <n v="2025"/>
    <s v="Northeast"/>
    <x v="8"/>
    <n v="1"/>
    <n v="17"/>
    <n v="3"/>
    <n v="2"/>
    <x v="23"/>
    <s v="."/>
    <n v="10.007436750998666"/>
    <m/>
    <m/>
    <n v="2"/>
    <m/>
  </r>
  <r>
    <n v="2025"/>
    <s v="Northeast"/>
    <x v="8"/>
    <n v="2"/>
    <n v="14"/>
    <n v="6"/>
    <n v="2"/>
    <x v="23"/>
    <s v="."/>
    <n v="15.167636239782013"/>
    <m/>
    <m/>
    <n v="1"/>
    <m/>
  </r>
  <r>
    <n v="2025"/>
    <s v="Northeast"/>
    <x v="8"/>
    <n v="3"/>
    <n v="13"/>
    <n v="9"/>
    <n v="2"/>
    <x v="23"/>
    <n v="60.4"/>
    <n v="23.070904872389782"/>
    <m/>
    <m/>
    <n v="1"/>
    <m/>
  </r>
  <r>
    <n v="2025"/>
    <s v="Northeast"/>
    <x v="8"/>
    <n v="1"/>
    <n v="6"/>
    <n v="2"/>
    <n v="9"/>
    <x v="1"/>
    <n v="58.7"/>
    <n v="40.433834168610126"/>
    <n v="14.9"/>
    <m/>
    <n v="2"/>
    <m/>
  </r>
  <r>
    <n v="2025"/>
    <s v="Northeast"/>
    <x v="8"/>
    <n v="2"/>
    <n v="5"/>
    <n v="4"/>
    <n v="9"/>
    <x v="1"/>
    <n v="57.6"/>
    <n v="30.764025568604126"/>
    <m/>
    <m/>
    <n v="3"/>
    <m/>
  </r>
  <r>
    <n v="2025"/>
    <s v="Northeast"/>
    <x v="8"/>
    <n v="3"/>
    <n v="4"/>
    <n v="7"/>
    <n v="9"/>
    <x v="1"/>
    <n v="58.2"/>
    <n v="35.62188019966721"/>
    <m/>
    <m/>
    <n v="2"/>
    <m/>
  </r>
  <r>
    <n v="2025"/>
    <s v="Northeast"/>
    <x v="8"/>
    <n v="1"/>
    <n v="14"/>
    <n v="3"/>
    <n v="3"/>
    <x v="16"/>
    <n v="59.9"/>
    <n v="24.525804641430472"/>
    <n v="14.5"/>
    <m/>
    <n v="1"/>
    <m/>
  </r>
  <r>
    <n v="2025"/>
    <s v="Northeast"/>
    <x v="8"/>
    <n v="2"/>
    <n v="9"/>
    <n v="5"/>
    <n v="3"/>
    <x v="16"/>
    <n v="62.2"/>
    <n v="30.8522896413007"/>
    <m/>
    <m/>
    <n v="1"/>
    <m/>
  </r>
  <r>
    <n v="2025"/>
    <s v="Northeast"/>
    <x v="8"/>
    <n v="3"/>
    <n v="8"/>
    <n v="7"/>
    <n v="3"/>
    <x v="16"/>
    <n v="60.7"/>
    <n v="35.404207273591631"/>
    <m/>
    <m/>
    <n v="1"/>
    <m/>
  </r>
  <r>
    <n v="2025"/>
    <s v="Northeast"/>
    <x v="8"/>
    <n v="1"/>
    <n v="18"/>
    <n v="2"/>
    <n v="10"/>
    <x v="15"/>
    <n v="59"/>
    <n v="38.736396566268049"/>
    <n v="14.9"/>
    <m/>
    <n v="1"/>
    <m/>
  </r>
  <r>
    <n v="2025"/>
    <s v="Northeast"/>
    <x v="8"/>
    <n v="2"/>
    <n v="13"/>
    <n v="5"/>
    <n v="10"/>
    <x v="15"/>
    <n v="59"/>
    <n v="30.993007039892717"/>
    <m/>
    <m/>
    <n v="2"/>
    <m/>
  </r>
  <r>
    <n v="2025"/>
    <s v="Northeast"/>
    <x v="8"/>
    <n v="3"/>
    <n v="6"/>
    <n v="8"/>
    <n v="10"/>
    <x v="15"/>
    <n v="61"/>
    <n v="38.706331168831163"/>
    <m/>
    <m/>
    <n v="2"/>
    <m/>
  </r>
  <r>
    <n v="2025"/>
    <s v="Northeast"/>
    <x v="8"/>
    <n v="1"/>
    <n v="5"/>
    <n v="1"/>
    <n v="4"/>
    <x v="4"/>
    <n v="59.4"/>
    <n v="36.883095825570258"/>
    <n v="14.9"/>
    <m/>
    <n v="1"/>
    <m/>
  </r>
  <r>
    <n v="2025"/>
    <s v="Northeast"/>
    <x v="8"/>
    <n v="2"/>
    <n v="2"/>
    <n v="6"/>
    <n v="4"/>
    <x v="4"/>
    <n v="58.9"/>
    <n v="45.214222946671853"/>
    <m/>
    <m/>
    <n v="1"/>
    <m/>
  </r>
  <r>
    <n v="2025"/>
    <s v="Northeast"/>
    <x v="8"/>
    <n v="3"/>
    <n v="1"/>
    <n v="7"/>
    <n v="4"/>
    <x v="4"/>
    <n v="57.3"/>
    <n v="39.808871880199661"/>
    <m/>
    <m/>
    <n v="1"/>
    <m/>
  </r>
  <r>
    <n v="2025"/>
    <s v="Northeast"/>
    <x v="8"/>
    <n v="1"/>
    <n v="10"/>
    <n v="2"/>
    <n v="5"/>
    <x v="28"/>
    <n v="57.6"/>
    <n v="44.34603632213566"/>
    <n v="14.1"/>
    <m/>
    <n v="1"/>
    <m/>
  </r>
  <r>
    <n v="2025"/>
    <s v="Northeast"/>
    <x v="8"/>
    <n v="2"/>
    <n v="12"/>
    <n v="4"/>
    <n v="5"/>
    <x v="28"/>
    <n v="59.1"/>
    <n v="44.955742530102562"/>
    <m/>
    <m/>
    <n v="2"/>
    <m/>
  </r>
  <r>
    <n v="2025"/>
    <s v="Northeast"/>
    <x v="8"/>
    <n v="3"/>
    <n v="2"/>
    <n v="7"/>
    <n v="5"/>
    <x v="28"/>
    <n v="58.6"/>
    <n v="39.41437794152602"/>
    <m/>
    <m/>
    <n v="2"/>
    <m/>
  </r>
  <r>
    <n v="2025"/>
    <s v="Northeast"/>
    <x v="8"/>
    <n v="1"/>
    <n v="4"/>
    <n v="1"/>
    <n v="19"/>
    <x v="49"/>
    <n v="56.6"/>
    <n v="19.937839266831155"/>
    <n v="14.8"/>
    <m/>
    <n v="4"/>
    <m/>
  </r>
  <r>
    <n v="2025"/>
    <s v="Northeast"/>
    <x v="8"/>
    <n v="2"/>
    <n v="5"/>
    <n v="5"/>
    <n v="19"/>
    <x v="49"/>
    <n v="60.8"/>
    <n v="28.787660073751255"/>
    <m/>
    <m/>
    <n v="3"/>
    <m/>
  </r>
  <r>
    <n v="2025"/>
    <s v="Northeast"/>
    <x v="8"/>
    <n v="3"/>
    <n v="3"/>
    <n v="8"/>
    <n v="19"/>
    <x v="49"/>
    <n v="59.9"/>
    <n v="32.43068181818181"/>
    <m/>
    <m/>
    <n v="3"/>
    <m/>
  </r>
  <r>
    <n v="2025"/>
    <s v="Northeast"/>
    <x v="8"/>
    <n v="1"/>
    <n v="4"/>
    <n v="2"/>
    <n v="6"/>
    <x v="10"/>
    <n v="59.4"/>
    <n v="32.998542648737164"/>
    <n v="15.7"/>
    <m/>
    <n v="1"/>
    <m/>
  </r>
  <r>
    <n v="2025"/>
    <s v="Northeast"/>
    <x v="8"/>
    <n v="2"/>
    <n v="2"/>
    <n v="5"/>
    <n v="6"/>
    <x v="10"/>
    <n v="60.1"/>
    <n v="42.66098271155596"/>
    <m/>
    <m/>
    <n v="1"/>
    <m/>
  </r>
  <r>
    <n v="2025"/>
    <s v="Northeast"/>
    <x v="8"/>
    <n v="3"/>
    <n v="11"/>
    <n v="8"/>
    <n v="6"/>
    <x v="10"/>
    <n v="60"/>
    <n v="50.071120129870124"/>
    <m/>
    <m/>
    <n v="1"/>
    <m/>
  </r>
  <r>
    <n v="2025"/>
    <s v="Northeast"/>
    <x v="8"/>
    <n v="1"/>
    <n v="16"/>
    <n v="3"/>
    <n v="8"/>
    <x v="9"/>
    <n v="58.8"/>
    <n v="20.969940079893469"/>
    <n v="13.2"/>
    <m/>
    <n v="2"/>
    <m/>
  </r>
  <r>
    <n v="2025"/>
    <s v="Northeast"/>
    <x v="8"/>
    <n v="2"/>
    <n v="10"/>
    <n v="5"/>
    <n v="8"/>
    <x v="9"/>
    <n v="59.9"/>
    <n v="32.182704372395953"/>
    <m/>
    <m/>
    <n v="1"/>
    <m/>
  </r>
  <r>
    <n v="2025"/>
    <s v="Northeast"/>
    <x v="8"/>
    <n v="3"/>
    <n v="6"/>
    <n v="7"/>
    <n v="8"/>
    <x v="9"/>
    <n v="61"/>
    <n v="39.413530782029945"/>
    <m/>
    <m/>
    <n v="1"/>
    <m/>
  </r>
  <r>
    <n v="2025"/>
    <s v="Northeast"/>
    <x v="8"/>
    <n v="1"/>
    <n v="9"/>
    <n v="1"/>
    <n v="7"/>
    <x v="44"/>
    <n v="59"/>
    <n v="20.715671483961927"/>
    <n v="15"/>
    <m/>
    <n v="2"/>
    <m/>
  </r>
  <r>
    <n v="2025"/>
    <s v="Northeast"/>
    <x v="8"/>
    <n v="2"/>
    <n v="18"/>
    <n v="4"/>
    <n v="7"/>
    <x v="44"/>
    <n v="58.2"/>
    <n v="36.258106139438084"/>
    <m/>
    <m/>
    <n v="1"/>
    <m/>
  </r>
  <r>
    <n v="2025"/>
    <s v="Northeast"/>
    <x v="8"/>
    <n v="3"/>
    <n v="16"/>
    <n v="7"/>
    <n v="7"/>
    <x v="44"/>
    <n v="59.3"/>
    <n v="20.018614214404558"/>
    <m/>
    <m/>
    <n v="1"/>
    <m/>
  </r>
  <r>
    <n v="2025"/>
    <s v="Northeast"/>
    <x v="8"/>
    <n v="1"/>
    <n v="4"/>
    <n v="3"/>
    <n v="42"/>
    <x v="42"/>
    <n v="59.6"/>
    <n v="23.822522351150845"/>
    <n v="14.9"/>
    <m/>
    <n v="3"/>
    <m/>
  </r>
  <r>
    <n v="2025"/>
    <s v="Northeast"/>
    <x v="8"/>
    <n v="2"/>
    <n v="6"/>
    <n v="5"/>
    <n v="42"/>
    <x v="42"/>
    <n v="59.9"/>
    <n v="20.6941813131555"/>
    <m/>
    <m/>
    <n v="3"/>
    <m/>
  </r>
  <r>
    <n v="2025"/>
    <s v="Northeast"/>
    <x v="8"/>
    <n v="3"/>
    <n v="5"/>
    <n v="7"/>
    <n v="42"/>
    <x v="42"/>
    <n v="59.9"/>
    <n v="25.724327549322552"/>
    <m/>
    <m/>
    <n v="3"/>
    <m/>
  </r>
  <r>
    <n v="2025"/>
    <s v="Northeast"/>
    <x v="8"/>
    <n v="1"/>
    <n v="14"/>
    <n v="2"/>
    <n v="44"/>
    <x v="17"/>
    <n v="59"/>
    <n v="27.556662035428964"/>
    <n v="15.3"/>
    <m/>
    <n v="3"/>
    <m/>
  </r>
  <r>
    <n v="2025"/>
    <s v="Northeast"/>
    <x v="8"/>
    <n v="2"/>
    <n v="7"/>
    <n v="6"/>
    <n v="44"/>
    <x v="17"/>
    <n v="59.1"/>
    <n v="31.10542234332425"/>
    <m/>
    <m/>
    <n v="4"/>
    <m/>
  </r>
  <r>
    <n v="2025"/>
    <s v="Northeast"/>
    <x v="8"/>
    <n v="3"/>
    <n v="5"/>
    <n v="9"/>
    <n v="44"/>
    <x v="17"/>
    <n v="60.1"/>
    <n v="38.345003077797237"/>
    <m/>
    <m/>
    <n v="4"/>
    <m/>
  </r>
  <r>
    <n v="2025"/>
    <s v="Northeast"/>
    <x v="8"/>
    <n v="1"/>
    <n v="11"/>
    <n v="3"/>
    <n v="43"/>
    <x v="22"/>
    <n v="59.4"/>
    <n v="19.12463619935324"/>
    <n v="14.8"/>
    <m/>
    <n v="4"/>
    <m/>
  </r>
  <r>
    <n v="2025"/>
    <s v="Northeast"/>
    <x v="8"/>
    <n v="2"/>
    <n v="6"/>
    <n v="6"/>
    <n v="43"/>
    <x v="22"/>
    <n v="58.8"/>
    <n v="19.097192487349162"/>
    <m/>
    <m/>
    <n v="3"/>
    <m/>
  </r>
  <r>
    <n v="2025"/>
    <s v="Northeast"/>
    <x v="8"/>
    <n v="3"/>
    <n v="9"/>
    <n v="9"/>
    <n v="43"/>
    <x v="22"/>
    <n v="57.5"/>
    <n v="19.906036270656745"/>
    <m/>
    <m/>
    <n v="2"/>
    <m/>
  </r>
  <r>
    <n v="2025"/>
    <s v="Northeast"/>
    <x v="8"/>
    <n v="1"/>
    <n v="13"/>
    <n v="1"/>
    <n v="27"/>
    <x v="39"/>
    <n v="57.7"/>
    <n v="22.662271010624899"/>
    <n v="15.3"/>
    <m/>
    <n v="5"/>
    <m/>
  </r>
  <r>
    <n v="2025"/>
    <s v="Northeast"/>
    <x v="8"/>
    <n v="2"/>
    <n v="14"/>
    <n v="4"/>
    <n v="27"/>
    <x v="39"/>
    <n v="56.6"/>
    <n v="18.756774193548381"/>
    <m/>
    <m/>
    <n v="3"/>
    <m/>
  </r>
  <r>
    <n v="2025"/>
    <s v="Northeast"/>
    <x v="8"/>
    <n v="3"/>
    <n v="1"/>
    <n v="8"/>
    <n v="27"/>
    <x v="39"/>
    <n v="58.1"/>
    <n v="27.634042207792202"/>
    <m/>
    <m/>
    <n v="4"/>
    <m/>
  </r>
  <r>
    <n v="2025"/>
    <s v="Northeast"/>
    <x v="8"/>
    <n v="1"/>
    <n v="7"/>
    <n v="2"/>
    <n v="31"/>
    <x v="6"/>
    <n v="59.5"/>
    <n v="26.008021634496099"/>
    <n v="14.9"/>
    <m/>
    <n v="1"/>
    <m/>
  </r>
  <r>
    <n v="2025"/>
    <s v="Northeast"/>
    <x v="8"/>
    <n v="2"/>
    <n v="6"/>
    <n v="4"/>
    <n v="31"/>
    <x v="6"/>
    <n v="60.2"/>
    <n v="26.276771220454876"/>
    <m/>
    <m/>
    <n v="2"/>
    <m/>
  </r>
  <r>
    <n v="2025"/>
    <s v="Northeast"/>
    <x v="8"/>
    <n v="3"/>
    <n v="16"/>
    <n v="9"/>
    <n v="31"/>
    <x v="6"/>
    <n v="58.6"/>
    <n v="24.337902362801263"/>
    <m/>
    <m/>
    <n v="1"/>
    <m/>
  </r>
  <r>
    <n v="2025"/>
    <s v="Northeast"/>
    <x v="8"/>
    <n v="1"/>
    <n v="6"/>
    <n v="1"/>
    <n v="23"/>
    <x v="35"/>
    <s v="."/>
    <n v="18.10205951961327"/>
    <n v="15.2"/>
    <m/>
    <n v="6"/>
    <m/>
  </r>
  <r>
    <n v="2025"/>
    <s v="Northeast"/>
    <x v="8"/>
    <n v="2"/>
    <n v="18"/>
    <n v="6"/>
    <n v="23"/>
    <x v="35"/>
    <n v="59.8"/>
    <n v="26.734624367458149"/>
    <m/>
    <m/>
    <n v="5"/>
    <m/>
  </r>
  <r>
    <n v="2025"/>
    <s v="Northeast"/>
    <x v="8"/>
    <n v="3"/>
    <n v="13"/>
    <n v="8"/>
    <n v="23"/>
    <x v="35"/>
    <n v="61.1"/>
    <n v="30.539415584415583"/>
    <m/>
    <m/>
    <n v="3"/>
    <m/>
  </r>
  <r>
    <n v="2025"/>
    <s v="Northeast"/>
    <x v="8"/>
    <n v="1"/>
    <n v="16"/>
    <n v="2"/>
    <n v="28"/>
    <x v="37"/>
    <n v="60.4"/>
    <n v="32.236871929737504"/>
    <n v="13.8"/>
    <m/>
    <n v="3"/>
    <m/>
  </r>
  <r>
    <n v="2025"/>
    <s v="Northeast"/>
    <x v="8"/>
    <n v="2"/>
    <n v="17"/>
    <n v="5"/>
    <n v="28"/>
    <x v="37"/>
    <n v="61.7"/>
    <n v="26.77542023849432"/>
    <m/>
    <m/>
    <n v="2"/>
    <m/>
  </r>
  <r>
    <n v="2025"/>
    <s v="Northeast"/>
    <x v="8"/>
    <n v="3"/>
    <n v="10"/>
    <n v="8"/>
    <n v="28"/>
    <x v="37"/>
    <n v="60.2"/>
    <n v="44.774512987012983"/>
    <m/>
    <m/>
    <n v="2"/>
    <m/>
  </r>
  <r>
    <n v="2025"/>
    <s v="Northeast"/>
    <x v="8"/>
    <n v="1"/>
    <n v="16"/>
    <n v="1"/>
    <n v="46"/>
    <x v="25"/>
    <s v="."/>
    <n v="14.001378719975827"/>
    <n v="15.6"/>
    <m/>
    <n v="3"/>
    <m/>
  </r>
  <r>
    <n v="2025"/>
    <s v="Northeast"/>
    <x v="8"/>
    <n v="2"/>
    <n v="7"/>
    <n v="5"/>
    <n v="46"/>
    <x v="25"/>
    <n v="58.5"/>
    <n v="20.323043915521286"/>
    <m/>
    <m/>
    <n v="3"/>
    <m/>
  </r>
  <r>
    <n v="2025"/>
    <s v="Northeast"/>
    <x v="8"/>
    <n v="3"/>
    <n v="11"/>
    <n v="7"/>
    <n v="46"/>
    <x v="25"/>
    <n v="60.1"/>
    <n v="22.577271214642259"/>
    <m/>
    <m/>
    <n v="3"/>
    <m/>
  </r>
  <r>
    <n v="2025"/>
    <s v="Northeast"/>
    <x v="8"/>
    <n v="1"/>
    <n v="12"/>
    <n v="3"/>
    <n v="47"/>
    <x v="50"/>
    <n v="59.1"/>
    <n v="28.687401559824991"/>
    <n v="15.9"/>
    <m/>
    <n v="4"/>
    <m/>
  </r>
  <r>
    <n v="2025"/>
    <s v="Northeast"/>
    <x v="8"/>
    <n v="2"/>
    <n v="16"/>
    <n v="6"/>
    <n v="47"/>
    <x v="50"/>
    <s v="."/>
    <n v="16.890405799922142"/>
    <m/>
    <m/>
    <n v="3"/>
    <m/>
  </r>
  <r>
    <n v="2025"/>
    <s v="Northeast"/>
    <x v="8"/>
    <n v="3"/>
    <n v="9"/>
    <n v="8"/>
    <n v="47"/>
    <x v="50"/>
    <n v="60.4"/>
    <n v="39.263376623376615"/>
    <m/>
    <m/>
    <n v="4"/>
    <m/>
  </r>
  <r>
    <n v="2025"/>
    <s v="Northeast"/>
    <x v="8"/>
    <n v="1"/>
    <n v="11"/>
    <n v="2"/>
    <n v="45"/>
    <x v="21"/>
    <n v="57.4"/>
    <n v="22.386192626407976"/>
    <n v="14.5"/>
    <m/>
    <n v="4"/>
    <m/>
  </r>
  <r>
    <n v="2025"/>
    <s v="Northeast"/>
    <x v="8"/>
    <n v="2"/>
    <n v="4"/>
    <n v="6"/>
    <n v="45"/>
    <x v="21"/>
    <s v="."/>
    <s v="."/>
    <m/>
    <m/>
    <n v="5"/>
    <m/>
  </r>
  <r>
    <n v="2025"/>
    <s v="Northeast"/>
    <x v="8"/>
    <n v="3"/>
    <n v="7"/>
    <n v="9"/>
    <n v="45"/>
    <x v="21"/>
    <n v="60.2"/>
    <n v="32.4470988209669"/>
    <m/>
    <m/>
    <n v="3"/>
    <m/>
  </r>
  <r>
    <n v="2025"/>
    <s v="Northeast"/>
    <x v="8"/>
    <n v="1"/>
    <n v="1"/>
    <n v="1"/>
    <n v="24"/>
    <x v="29"/>
    <n v="59"/>
    <n v="24.510962284102916"/>
    <n v="15.7"/>
    <m/>
    <n v="4"/>
    <m/>
  </r>
  <r>
    <n v="2025"/>
    <s v="Northeast"/>
    <x v="8"/>
    <n v="2"/>
    <n v="8"/>
    <n v="4"/>
    <n v="24"/>
    <x v="29"/>
    <s v="."/>
    <n v="13.825856994202464"/>
    <m/>
    <m/>
    <n v="3"/>
    <m/>
  </r>
  <r>
    <n v="2025"/>
    <s v="Northeast"/>
    <x v="8"/>
    <n v="3"/>
    <n v="4"/>
    <n v="8"/>
    <n v="24"/>
    <x v="29"/>
    <s v="."/>
    <n v="11.673409090909088"/>
    <m/>
    <m/>
    <n v="3"/>
    <m/>
  </r>
  <r>
    <n v="2025"/>
    <s v="Northeast"/>
    <x v="8"/>
    <n v="1"/>
    <n v="15"/>
    <n v="3"/>
    <n v="33"/>
    <x v="3"/>
    <n v="59.2"/>
    <n v="21.029119745101767"/>
    <n v="13.2"/>
    <m/>
    <n v="2"/>
    <m/>
  </r>
  <r>
    <n v="2025"/>
    <s v="Northeast"/>
    <x v="8"/>
    <n v="2"/>
    <n v="10"/>
    <n v="4"/>
    <n v="33"/>
    <x v="3"/>
    <n v="58.6"/>
    <n v="25.110561914672211"/>
    <m/>
    <m/>
    <n v="3"/>
    <m/>
  </r>
  <r>
    <n v="2025"/>
    <s v="Northeast"/>
    <x v="8"/>
    <n v="3"/>
    <n v="18"/>
    <n v="8"/>
    <n v="33"/>
    <x v="3"/>
    <n v="56.8"/>
    <n v="31.514025974025976"/>
    <m/>
    <m/>
    <n v="4"/>
    <m/>
  </r>
  <r>
    <n v="2025"/>
    <s v="Northeast"/>
    <x v="8"/>
    <n v="1"/>
    <n v="15"/>
    <n v="2"/>
    <n v="60"/>
    <x v="52"/>
    <n v="60.3"/>
    <n v="25.95034982384756"/>
    <n v="15.3"/>
    <m/>
    <n v="1"/>
    <m/>
  </r>
  <r>
    <n v="2025"/>
    <s v="Northeast"/>
    <x v="8"/>
    <n v="2"/>
    <n v="16"/>
    <n v="5"/>
    <n v="60"/>
    <x v="52"/>
    <n v="56.1"/>
    <n v="19.45768880800728"/>
    <m/>
    <m/>
    <n v="1"/>
    <m/>
  </r>
  <r>
    <n v="2025"/>
    <s v="Northeast"/>
    <x v="8"/>
    <n v="3"/>
    <n v="9"/>
    <n v="7"/>
    <n v="60"/>
    <x v="52"/>
    <n v="59.5"/>
    <n v="29.365466127882101"/>
    <m/>
    <m/>
    <n v="1"/>
    <m/>
  </r>
  <r>
    <n v="2025"/>
    <s v="Northeast"/>
    <x v="8"/>
    <n v="1"/>
    <n v="2"/>
    <n v="3"/>
    <n v="58"/>
    <x v="51"/>
    <n v="58.7"/>
    <n v="20.909771732927524"/>
    <n v="15.5"/>
    <m/>
    <n v="5"/>
    <m/>
  </r>
  <r>
    <n v="2025"/>
    <s v="Northeast"/>
    <x v="8"/>
    <n v="2"/>
    <n v="1"/>
    <n v="6"/>
    <n v="58"/>
    <x v="51"/>
    <s v="."/>
    <s v="."/>
    <m/>
    <m/>
    <n v="4"/>
    <m/>
  </r>
  <r>
    <n v="2025"/>
    <s v="Northeast"/>
    <x v="8"/>
    <n v="3"/>
    <n v="15"/>
    <n v="7"/>
    <n v="58"/>
    <x v="51"/>
    <n v="59.7"/>
    <n v="22.066810553838835"/>
    <m/>
    <m/>
    <n v="3"/>
    <m/>
  </r>
  <r>
    <n v="2025"/>
    <s v="Northeast"/>
    <x v="8"/>
    <n v="1"/>
    <n v="13"/>
    <n v="2"/>
    <n v="25"/>
    <x v="34"/>
    <n v="58.9"/>
    <n v="25.030597429663072"/>
    <n v="16"/>
    <m/>
    <n v="2"/>
    <m/>
  </r>
  <r>
    <n v="2025"/>
    <s v="Northeast"/>
    <x v="8"/>
    <n v="2"/>
    <n v="3"/>
    <n v="6"/>
    <n v="25"/>
    <x v="34"/>
    <s v="."/>
    <s v="."/>
    <m/>
    <m/>
    <n v="4"/>
    <m/>
  </r>
  <r>
    <n v="2025"/>
    <s v="Northeast"/>
    <x v="8"/>
    <n v="3"/>
    <n v="8"/>
    <n v="9"/>
    <n v="25"/>
    <x v="34"/>
    <n v="57.8"/>
    <n v="26.958713954259196"/>
    <m/>
    <m/>
    <n v="2"/>
    <m/>
  </r>
  <r>
    <n v="2025"/>
    <s v="Northeast"/>
    <x v="8"/>
    <n v="1"/>
    <n v="2"/>
    <n v="2"/>
    <n v="34"/>
    <x v="0"/>
    <n v="58.8"/>
    <n v="25.619842207115564"/>
    <n v="14.9"/>
    <m/>
    <n v="4"/>
    <m/>
  </r>
  <r>
    <n v="2025"/>
    <s v="Northeast"/>
    <x v="8"/>
    <n v="2"/>
    <n v="3"/>
    <n v="4"/>
    <n v="34"/>
    <x v="0"/>
    <s v="."/>
    <n v="17.234344432882409"/>
    <m/>
    <m/>
    <n v="4"/>
    <m/>
  </r>
  <r>
    <n v="2025"/>
    <s v="Northeast"/>
    <x v="8"/>
    <n v="3"/>
    <n v="10"/>
    <n v="7"/>
    <n v="34"/>
    <x v="0"/>
    <n v="57.6"/>
    <n v="21.942560494414071"/>
    <m/>
    <m/>
    <n v="4"/>
    <m/>
  </r>
  <r>
    <n v="2025"/>
    <s v="Northeast"/>
    <x v="8"/>
    <n v="1"/>
    <n v="9"/>
    <n v="3"/>
    <n v="35"/>
    <x v="30"/>
    <s v="."/>
    <n v="15.654786950732355"/>
    <n v="13.1"/>
    <m/>
    <n v="3"/>
    <m/>
  </r>
  <r>
    <n v="2025"/>
    <s v="Northeast"/>
    <x v="8"/>
    <n v="2"/>
    <n v="11"/>
    <n v="5"/>
    <n v="35"/>
    <x v="30"/>
    <n v="59.4"/>
    <n v="23.413232124898226"/>
    <m/>
    <m/>
    <n v="4"/>
    <m/>
  </r>
  <r>
    <n v="2025"/>
    <s v="Northeast"/>
    <x v="8"/>
    <n v="3"/>
    <n v="14"/>
    <n v="9"/>
    <n v="35"/>
    <x v="30"/>
    <n v="57.7"/>
    <n v="20.726153226952032"/>
    <m/>
    <m/>
    <n v="2"/>
    <m/>
  </r>
  <r>
    <n v="2025"/>
    <s v="Northeast"/>
    <x v="8"/>
    <n v="1"/>
    <n v="18"/>
    <n v="3"/>
    <n v="57"/>
    <x v="45"/>
    <n v="58.8"/>
    <n v="22.199295225413728"/>
    <n v="15.2"/>
    <m/>
    <n v="5"/>
    <m/>
  </r>
  <r>
    <n v="2025"/>
    <s v="Northeast"/>
    <x v="8"/>
    <n v="2"/>
    <n v="4"/>
    <n v="4"/>
    <n v="57"/>
    <x v="45"/>
    <n v="58.7"/>
    <n v="22.620722461721417"/>
    <m/>
    <m/>
    <n v="3"/>
    <m/>
  </r>
  <r>
    <n v="2025"/>
    <s v="Northeast"/>
    <x v="8"/>
    <n v="3"/>
    <n v="3"/>
    <n v="7"/>
    <n v="57"/>
    <x v="45"/>
    <n v="59.4"/>
    <n v="31.713651057760867"/>
    <m/>
    <m/>
    <n v="4"/>
    <m/>
  </r>
  <r>
    <n v="2025"/>
    <s v="Northeast"/>
    <x v="8"/>
    <n v="1"/>
    <n v="11"/>
    <n v="1"/>
    <n v="49"/>
    <x v="47"/>
    <n v="58.4"/>
    <n v="29.270180774459931"/>
    <n v="16.3"/>
    <m/>
    <n v="1"/>
    <m/>
  </r>
  <r>
    <n v="2025"/>
    <s v="Northeast"/>
    <x v="8"/>
    <n v="2"/>
    <n v="3"/>
    <n v="5"/>
    <n v="49"/>
    <x v="47"/>
    <n v="58.3"/>
    <s v="."/>
    <m/>
    <m/>
    <n v="1"/>
    <m/>
  </r>
  <r>
    <n v="2025"/>
    <s v="Northeast"/>
    <x v="8"/>
    <n v="3"/>
    <n v="5"/>
    <n v="8"/>
    <n v="49"/>
    <x v="47"/>
    <n v="60.1"/>
    <n v="40.167467532467533"/>
    <m/>
    <m/>
    <n v="1"/>
    <m/>
  </r>
  <r>
    <n v="2025"/>
    <s v="Northeast"/>
    <x v="8"/>
    <n v="1"/>
    <n v="6"/>
    <n v="3"/>
    <n v="48"/>
    <x v="48"/>
    <n v="58.7"/>
    <n v="36.458628495339539"/>
    <n v="16.2"/>
    <m/>
    <n v="1"/>
    <m/>
  </r>
  <r>
    <n v="2025"/>
    <s v="Northeast"/>
    <x v="8"/>
    <n v="2"/>
    <n v="15"/>
    <n v="6"/>
    <n v="48"/>
    <x v="48"/>
    <n v="60.1"/>
    <n v="40.982155994550411"/>
    <m/>
    <m/>
    <n v="1"/>
    <m/>
  </r>
  <r>
    <n v="2025"/>
    <s v="Northeast"/>
    <x v="8"/>
    <n v="3"/>
    <n v="14"/>
    <n v="7"/>
    <n v="48"/>
    <x v="48"/>
    <n v="58.5"/>
    <n v="33.630349417637262"/>
    <m/>
    <m/>
    <n v="1"/>
    <m/>
  </r>
  <r>
    <n v="2025"/>
    <s v="Northeast"/>
    <x v="8"/>
    <n v="1"/>
    <n v="5"/>
    <n v="2"/>
    <n v="26"/>
    <x v="11"/>
    <n v="59.4"/>
    <n v="34.906280950726931"/>
    <n v="14.1"/>
    <m/>
    <n v="4"/>
    <m/>
  </r>
  <r>
    <n v="2025"/>
    <s v="Northeast"/>
    <x v="8"/>
    <n v="2"/>
    <n v="12"/>
    <n v="6"/>
    <n v="26"/>
    <x v="11"/>
    <n v="58.7"/>
    <n v="29.339492020241334"/>
    <m/>
    <m/>
    <n v="3"/>
    <m/>
  </r>
  <r>
    <n v="2025"/>
    <s v="Northeast"/>
    <x v="8"/>
    <n v="3"/>
    <n v="6"/>
    <n v="9"/>
    <n v="26"/>
    <x v="11"/>
    <n v="59.4"/>
    <n v="49.203079691273246"/>
    <m/>
    <m/>
    <n v="3"/>
    <m/>
  </r>
  <r>
    <n v="2025"/>
    <s v="Northeast"/>
    <x v="8"/>
    <n v="1"/>
    <n v="7"/>
    <n v="1"/>
    <n v="36"/>
    <x v="36"/>
    <n v="61.3"/>
    <n v="35.90520972858652"/>
    <n v="14.3"/>
    <m/>
    <n v="1"/>
    <m/>
  </r>
  <r>
    <n v="2025"/>
    <s v="Northeast"/>
    <x v="8"/>
    <n v="2"/>
    <n v="1"/>
    <n v="4"/>
    <n v="36"/>
    <x v="36"/>
    <n v="56.9"/>
    <n v="31.227114612754566"/>
    <m/>
    <m/>
    <n v="2"/>
    <m/>
  </r>
  <r>
    <n v="2025"/>
    <s v="Northeast"/>
    <x v="8"/>
    <n v="3"/>
    <n v="15"/>
    <n v="8"/>
    <n v="36"/>
    <x v="36"/>
    <n v="60.3"/>
    <n v="47.96975649350648"/>
    <m/>
    <m/>
    <n v="1"/>
    <m/>
  </r>
  <r>
    <n v="2025"/>
    <s v="Northeast"/>
    <x v="9"/>
    <n v="1"/>
    <n v="14"/>
    <n v="1"/>
    <n v="30"/>
    <x v="14"/>
    <n v="61.3"/>
    <n v="81.49012048192769"/>
    <n v="11.4"/>
    <m/>
    <m/>
    <m/>
  </r>
  <r>
    <n v="2025"/>
    <s v="Northeast"/>
    <x v="9"/>
    <n v="2"/>
    <n v="19"/>
    <n v="4"/>
    <n v="30"/>
    <x v="14"/>
    <n v="61.1"/>
    <n v="82.735084853523745"/>
    <m/>
    <m/>
    <m/>
    <m/>
  </r>
  <r>
    <n v="2025"/>
    <s v="Northeast"/>
    <x v="9"/>
    <n v="3"/>
    <n v="24"/>
    <n v="6"/>
    <n v="30"/>
    <x v="14"/>
    <n v="61"/>
    <n v="74.991267713519704"/>
    <m/>
    <m/>
    <m/>
    <m/>
  </r>
  <r>
    <n v="2025"/>
    <s v="Northeast"/>
    <x v="9"/>
    <n v="1"/>
    <n v="18"/>
    <n v="2"/>
    <n v="39"/>
    <x v="46"/>
    <n v="60.1"/>
    <n v="83.753999999999991"/>
    <n v="10.6"/>
    <m/>
    <m/>
    <m/>
  </r>
  <r>
    <n v="2025"/>
    <s v="Northeast"/>
    <x v="9"/>
    <n v="2"/>
    <n v="7"/>
    <n v="3"/>
    <n v="39"/>
    <x v="46"/>
    <n v="60.2"/>
    <n v="79.233991416308996"/>
    <m/>
    <m/>
    <m/>
    <m/>
  </r>
  <r>
    <n v="2025"/>
    <s v="Northeast"/>
    <x v="9"/>
    <n v="3"/>
    <n v="26"/>
    <n v="6"/>
    <n v="39"/>
    <x v="46"/>
    <n v="61.2"/>
    <n v="76.848986978169279"/>
    <m/>
    <m/>
    <m/>
    <m/>
  </r>
  <r>
    <n v="2025"/>
    <s v="Northeast"/>
    <x v="9"/>
    <n v="1"/>
    <n v="12"/>
    <n v="1"/>
    <n v="38"/>
    <x v="43"/>
    <n v="60.1"/>
    <n v="83.459518072289143"/>
    <n v="11.6"/>
    <m/>
    <m/>
    <m/>
  </r>
  <r>
    <n v="2025"/>
    <s v="Northeast"/>
    <x v="9"/>
    <n v="2"/>
    <n v="10"/>
    <n v="4"/>
    <n v="38"/>
    <x v="43"/>
    <n v="59.5"/>
    <n v="78.057822663471399"/>
    <m/>
    <m/>
    <m/>
    <m/>
  </r>
  <r>
    <n v="2025"/>
    <s v="Northeast"/>
    <x v="9"/>
    <n v="3"/>
    <n v="9"/>
    <n v="6"/>
    <n v="38"/>
    <x v="43"/>
    <n v="59.5"/>
    <n v="76.706563098429697"/>
    <m/>
    <m/>
    <m/>
    <m/>
  </r>
  <r>
    <n v="2025"/>
    <s v="Northeast"/>
    <x v="9"/>
    <n v="1"/>
    <n v="25"/>
    <n v="2"/>
    <n v="37"/>
    <x v="31"/>
    <n v="60.5"/>
    <n v="92.174033898305083"/>
    <n v="9.1999999999999993"/>
    <m/>
    <m/>
    <m/>
  </r>
  <r>
    <n v="2025"/>
    <s v="Northeast"/>
    <x v="9"/>
    <n v="2"/>
    <n v="14"/>
    <n v="3"/>
    <n v="37"/>
    <x v="31"/>
    <n v="60.8"/>
    <n v="83.228636513700877"/>
    <m/>
    <m/>
    <m/>
    <m/>
  </r>
  <r>
    <n v="2025"/>
    <s v="Northeast"/>
    <x v="9"/>
    <n v="3"/>
    <n v="5"/>
    <n v="5"/>
    <n v="37"/>
    <x v="31"/>
    <n v="60.1"/>
    <n v="88.091040719605374"/>
    <m/>
    <m/>
    <m/>
    <m/>
  </r>
  <r>
    <n v="2025"/>
    <s v="Northeast"/>
    <x v="9"/>
    <n v="1"/>
    <n v="5"/>
    <n v="1"/>
    <n v="40"/>
    <x v="13"/>
    <n v="59.5"/>
    <n v="91.764754733218567"/>
    <n v="10.5"/>
    <m/>
    <m/>
    <m/>
  </r>
  <r>
    <n v="2025"/>
    <s v="Northeast"/>
    <x v="9"/>
    <n v="2"/>
    <n v="1"/>
    <n v="4"/>
    <n v="40"/>
    <x v="13"/>
    <n v="60.4"/>
    <n v="84.693635741184522"/>
    <m/>
    <m/>
    <m/>
    <m/>
  </r>
  <r>
    <n v="2025"/>
    <s v="Northeast"/>
    <x v="9"/>
    <n v="3"/>
    <n v="19"/>
    <n v="6"/>
    <n v="40"/>
    <x v="13"/>
    <n v="60.8"/>
    <n v="89.318114707008789"/>
    <m/>
    <m/>
    <m/>
    <m/>
  </r>
  <r>
    <n v="2025"/>
    <s v="Northeast"/>
    <x v="9"/>
    <n v="1"/>
    <n v="9"/>
    <n v="2"/>
    <n v="41"/>
    <x v="20"/>
    <n v="59.9"/>
    <n v="87.81266440677966"/>
    <n v="10.5"/>
    <m/>
    <m/>
    <m/>
  </r>
  <r>
    <n v="2025"/>
    <s v="Northeast"/>
    <x v="9"/>
    <n v="2"/>
    <n v="26"/>
    <n v="3"/>
    <n v="41"/>
    <x v="20"/>
    <n v="59.6"/>
    <n v="67.897854077253214"/>
    <m/>
    <m/>
    <m/>
    <m/>
  </r>
  <r>
    <n v="2025"/>
    <s v="Northeast"/>
    <x v="9"/>
    <n v="3"/>
    <n v="17"/>
    <n v="5"/>
    <n v="41"/>
    <x v="20"/>
    <n v="60.2"/>
    <n v="75.59007640971079"/>
    <m/>
    <m/>
    <m/>
    <m/>
  </r>
  <r>
    <n v="2025"/>
    <s v="Northeast"/>
    <x v="9"/>
    <n v="1"/>
    <n v="14"/>
    <n v="2"/>
    <n v="20"/>
    <x v="18"/>
    <n v="60.3"/>
    <n v="85.838033898305085"/>
    <n v="9.8000000000000007"/>
    <m/>
    <m/>
    <m/>
  </r>
  <r>
    <n v="2025"/>
    <s v="Northeast"/>
    <x v="9"/>
    <n v="2"/>
    <n v="16"/>
    <n v="4"/>
    <n v="20"/>
    <x v="18"/>
    <n v="59.8"/>
    <n v="91.862238959260523"/>
    <m/>
    <m/>
    <m/>
    <m/>
  </r>
  <r>
    <n v="2025"/>
    <s v="Northeast"/>
    <x v="9"/>
    <n v="3"/>
    <n v="12"/>
    <n v="6"/>
    <n v="20"/>
    <x v="18"/>
    <n v="60.1"/>
    <n v="90.257117004978909"/>
    <m/>
    <m/>
    <m/>
    <m/>
  </r>
  <r>
    <n v="2025"/>
    <s v="Northeast"/>
    <x v="9"/>
    <n v="1"/>
    <n v="15"/>
    <n v="2"/>
    <n v="32"/>
    <x v="24"/>
    <s v="."/>
    <s v="."/>
    <s v="."/>
    <m/>
    <m/>
    <m/>
  </r>
  <r>
    <n v="2025"/>
    <s v="Northeast"/>
    <x v="9"/>
    <n v="2"/>
    <n v="12"/>
    <n v="4"/>
    <n v="32"/>
    <x v="24"/>
    <n v="62.3"/>
    <n v="93.241179635154296"/>
    <m/>
    <m/>
    <m/>
    <m/>
  </r>
  <r>
    <n v="2025"/>
    <s v="Northeast"/>
    <x v="9"/>
    <n v="3"/>
    <n v="25"/>
    <n v="5"/>
    <n v="32"/>
    <x v="24"/>
    <n v="63.4"/>
    <n v="78.22713995550825"/>
    <n v="9.8000000000000007"/>
    <m/>
    <m/>
    <m/>
  </r>
  <r>
    <n v="2025"/>
    <s v="Northeast"/>
    <x v="9"/>
    <n v="1"/>
    <n v="1"/>
    <n v="2"/>
    <n v="21"/>
    <x v="26"/>
    <n v="58.7"/>
    <n v="93.104490072639223"/>
    <n v="8.6"/>
    <m/>
    <m/>
    <m/>
  </r>
  <r>
    <n v="2025"/>
    <s v="Northeast"/>
    <x v="9"/>
    <n v="2"/>
    <n v="17"/>
    <n v="3"/>
    <n v="21"/>
    <x v="26"/>
    <n v="59"/>
    <n v="90.579233599018991"/>
    <m/>
    <m/>
    <m/>
    <m/>
  </r>
  <r>
    <n v="2025"/>
    <s v="Northeast"/>
    <x v="9"/>
    <n v="3"/>
    <n v="22"/>
    <n v="6"/>
    <n v="21"/>
    <x v="26"/>
    <n v="58.3"/>
    <n v="82.738273649942542"/>
    <m/>
    <m/>
    <m/>
    <m/>
  </r>
  <r>
    <n v="2025"/>
    <s v="Northeast"/>
    <x v="9"/>
    <n v="1"/>
    <n v="22"/>
    <n v="2"/>
    <n v="29"/>
    <x v="27"/>
    <n v="60.1"/>
    <n v="91.588759322033894"/>
    <n v="9.1"/>
    <m/>
    <m/>
    <m/>
  </r>
  <r>
    <n v="2025"/>
    <s v="Northeast"/>
    <x v="9"/>
    <n v="2"/>
    <n v="18"/>
    <n v="3"/>
    <n v="29"/>
    <x v="27"/>
    <n v="59.6"/>
    <n v="88.064289015705327"/>
    <m/>
    <m/>
    <m/>
    <m/>
  </r>
  <r>
    <n v="2025"/>
    <s v="Northeast"/>
    <x v="9"/>
    <n v="3"/>
    <n v="4"/>
    <n v="6"/>
    <n v="29"/>
    <x v="27"/>
    <n v="59.4"/>
    <n v="82.248487169666774"/>
    <m/>
    <m/>
    <m/>
    <m/>
  </r>
  <r>
    <n v="2025"/>
    <s v="Northeast"/>
    <x v="9"/>
    <n v="1"/>
    <n v="6"/>
    <n v="1"/>
    <n v="22"/>
    <x v="33"/>
    <n v="60.8"/>
    <n v="93.410021514629946"/>
    <n v="11.5"/>
    <m/>
    <m/>
    <m/>
  </r>
  <r>
    <n v="2025"/>
    <s v="Northeast"/>
    <x v="9"/>
    <n v="2"/>
    <n v="23"/>
    <n v="4"/>
    <n v="22"/>
    <x v="33"/>
    <n v="60.7"/>
    <n v="85.215435027143343"/>
    <m/>
    <m/>
    <m/>
    <m/>
  </r>
  <r>
    <n v="2025"/>
    <s v="Northeast"/>
    <x v="9"/>
    <n v="3"/>
    <n v="18"/>
    <n v="6"/>
    <n v="22"/>
    <x v="33"/>
    <n v="59.3"/>
    <n v="78.754670624281857"/>
    <m/>
    <m/>
    <m/>
    <m/>
  </r>
  <r>
    <n v="2025"/>
    <s v="Northeast"/>
    <x v="9"/>
    <n v="1"/>
    <n v="8"/>
    <n v="1"/>
    <n v="18"/>
    <x v="8"/>
    <n v="58"/>
    <n v="93.25538726333906"/>
    <n v="10.1"/>
    <m/>
    <m/>
    <m/>
  </r>
  <r>
    <n v="2025"/>
    <s v="Northeast"/>
    <x v="9"/>
    <n v="2"/>
    <n v="10"/>
    <n v="3"/>
    <n v="18"/>
    <x v="8"/>
    <n v="57.9"/>
    <n v="84.888893081167751"/>
    <m/>
    <m/>
    <m/>
    <m/>
  </r>
  <r>
    <n v="2025"/>
    <s v="Northeast"/>
    <x v="9"/>
    <n v="3"/>
    <n v="2"/>
    <n v="5"/>
    <n v="18"/>
    <x v="8"/>
    <n v="58.1"/>
    <n v="85.111656833349443"/>
    <m/>
    <m/>
    <m/>
    <m/>
  </r>
  <r>
    <n v="2025"/>
    <s v="Northeast"/>
    <x v="9"/>
    <n v="1"/>
    <n v="26"/>
    <n v="1"/>
    <n v="14"/>
    <x v="5"/>
    <n v="62.2"/>
    <n v="89.173270223752141"/>
    <n v="9"/>
    <m/>
    <m/>
    <m/>
  </r>
  <r>
    <n v="2025"/>
    <s v="Northeast"/>
    <x v="9"/>
    <n v="2"/>
    <n v="3"/>
    <n v="3"/>
    <n v="14"/>
    <x v="5"/>
    <n v="61.5"/>
    <n v="89.778427581002688"/>
    <m/>
    <m/>
    <m/>
    <m/>
  </r>
  <r>
    <n v="2025"/>
    <s v="Northeast"/>
    <x v="9"/>
    <n v="3"/>
    <n v="14"/>
    <n v="5"/>
    <n v="14"/>
    <x v="5"/>
    <n v="58.8"/>
    <n v="81.62314924073894"/>
    <m/>
    <m/>
    <m/>
    <m/>
  </r>
  <r>
    <n v="2025"/>
    <s v="Northeast"/>
    <x v="9"/>
    <n v="1"/>
    <n v="9"/>
    <n v="1"/>
    <n v="15"/>
    <x v="7"/>
    <n v="58.5"/>
    <n v="106.11577882960412"/>
    <n v="10"/>
    <m/>
    <m/>
    <m/>
  </r>
  <r>
    <n v="2025"/>
    <s v="Northeast"/>
    <x v="9"/>
    <n v="2"/>
    <n v="13"/>
    <n v="3"/>
    <n v="15"/>
    <x v="7"/>
    <n v="58"/>
    <n v="94.734264019242545"/>
    <m/>
    <m/>
    <m/>
    <m/>
  </r>
  <r>
    <n v="2025"/>
    <s v="Northeast"/>
    <x v="9"/>
    <n v="3"/>
    <n v="19"/>
    <n v="5"/>
    <n v="15"/>
    <x v="7"/>
    <n v="58.2"/>
    <n v="87.53873198568526"/>
    <m/>
    <m/>
    <m/>
    <m/>
  </r>
  <r>
    <n v="2025"/>
    <s v="Northeast"/>
    <x v="9"/>
    <n v="1"/>
    <n v="5"/>
    <n v="2"/>
    <n v="16"/>
    <x v="40"/>
    <n v="61.1"/>
    <n v="86.373305084745766"/>
    <n v="10.6"/>
    <m/>
    <m/>
    <m/>
  </r>
  <r>
    <n v="2025"/>
    <s v="Northeast"/>
    <x v="9"/>
    <n v="2"/>
    <n v="15"/>
    <n v="3"/>
    <n v="16"/>
    <x v="40"/>
    <s v="."/>
    <s v="."/>
    <m/>
    <m/>
    <m/>
    <m/>
  </r>
  <r>
    <n v="2025"/>
    <s v="Northeast"/>
    <x v="9"/>
    <n v="3"/>
    <n v="16"/>
    <n v="6"/>
    <n v="16"/>
    <x v="40"/>
    <n v="57.5"/>
    <n v="76.931739754883182"/>
    <m/>
    <m/>
    <m/>
    <m/>
  </r>
  <r>
    <n v="2025"/>
    <s v="Northeast"/>
    <x v="9"/>
    <n v="1"/>
    <n v="3"/>
    <n v="2"/>
    <n v="11"/>
    <x v="2"/>
    <n v="60.5"/>
    <n v="89.513882324455196"/>
    <n v="9.9"/>
    <m/>
    <m/>
    <m/>
  </r>
  <r>
    <n v="2025"/>
    <s v="Northeast"/>
    <x v="9"/>
    <n v="2"/>
    <n v="2"/>
    <n v="3"/>
    <n v="11"/>
    <x v="2"/>
    <n v="60.7"/>
    <n v="83.712033674479997"/>
    <m/>
    <m/>
    <m/>
    <m/>
  </r>
  <r>
    <n v="2025"/>
    <s v="Northeast"/>
    <x v="9"/>
    <n v="3"/>
    <n v="21"/>
    <n v="5"/>
    <n v="11"/>
    <x v="2"/>
    <n v="61.1"/>
    <n v="83.08358835477317"/>
    <m/>
    <m/>
    <m/>
    <m/>
  </r>
  <r>
    <n v="2025"/>
    <s v="Northeast"/>
    <x v="9"/>
    <n v="1"/>
    <n v="4"/>
    <n v="2"/>
    <n v="1"/>
    <x v="12"/>
    <n v="58.7"/>
    <n v="97.245326876513317"/>
    <n v="9.3000000000000007"/>
    <m/>
    <m/>
    <m/>
  </r>
  <r>
    <n v="2025"/>
    <s v="Northeast"/>
    <x v="9"/>
    <n v="2"/>
    <n v="23"/>
    <n v="3"/>
    <n v="1"/>
    <x v="12"/>
    <n v="59"/>
    <n v="90.784396076026951"/>
    <m/>
    <m/>
    <m/>
    <m/>
  </r>
  <r>
    <n v="2025"/>
    <s v="Northeast"/>
    <x v="9"/>
    <n v="3"/>
    <n v="3"/>
    <n v="5"/>
    <n v="1"/>
    <x v="12"/>
    <n v="58.3"/>
    <n v="88.392378373150208"/>
    <m/>
    <m/>
    <m/>
    <m/>
  </r>
  <r>
    <n v="2025"/>
    <s v="Northeast"/>
    <x v="9"/>
    <n v="1"/>
    <n v="22"/>
    <n v="1"/>
    <n v="17"/>
    <x v="32"/>
    <n v="57.7"/>
    <n v="94.823644578313235"/>
    <n v="9.5"/>
    <m/>
    <m/>
    <m/>
  </r>
  <r>
    <n v="2025"/>
    <s v="Northeast"/>
    <x v="9"/>
    <n v="2"/>
    <n v="18"/>
    <n v="4"/>
    <n v="17"/>
    <x v="32"/>
    <n v="60.1"/>
    <n v="90.820092923167195"/>
    <m/>
    <m/>
    <m/>
    <m/>
  </r>
  <r>
    <n v="2025"/>
    <s v="Northeast"/>
    <x v="9"/>
    <n v="3"/>
    <n v="2"/>
    <n v="6"/>
    <n v="17"/>
    <x v="32"/>
    <n v="59.8"/>
    <n v="87.552437763309058"/>
    <m/>
    <m/>
    <m/>
    <m/>
  </r>
  <r>
    <n v="2025"/>
    <s v="Northeast"/>
    <x v="9"/>
    <n v="1"/>
    <n v="25"/>
    <n v="1"/>
    <n v="12"/>
    <x v="41"/>
    <n v="60.4"/>
    <n v="82.852198795180726"/>
    <n v="9.6"/>
    <m/>
    <m/>
    <m/>
  </r>
  <r>
    <n v="2025"/>
    <s v="Northeast"/>
    <x v="9"/>
    <n v="2"/>
    <n v="21"/>
    <n v="3"/>
    <n v="12"/>
    <x v="41"/>
    <n v="59.6"/>
    <n v="82.933219355751532"/>
    <m/>
    <m/>
    <m/>
    <m/>
  </r>
  <r>
    <n v="2025"/>
    <s v="Northeast"/>
    <x v="9"/>
    <n v="3"/>
    <n v="1"/>
    <n v="5"/>
    <n v="12"/>
    <x v="41"/>
    <n v="60.1"/>
    <n v="82.756397137053852"/>
    <m/>
    <m/>
    <m/>
    <m/>
  </r>
  <r>
    <n v="2025"/>
    <s v="Northeast"/>
    <x v="9"/>
    <n v="1"/>
    <n v="19"/>
    <n v="1"/>
    <n v="13"/>
    <x v="38"/>
    <n v="60.8"/>
    <n v="90.037271944922537"/>
    <n v="10.5"/>
    <m/>
    <m/>
    <m/>
  </r>
  <r>
    <n v="2025"/>
    <s v="Northeast"/>
    <x v="9"/>
    <n v="2"/>
    <n v="7"/>
    <n v="4"/>
    <n v="13"/>
    <x v="38"/>
    <n v="60.9"/>
    <n v="88.01408421773364"/>
    <m/>
    <m/>
    <m/>
    <m/>
  </r>
  <r>
    <n v="2025"/>
    <s v="Northeast"/>
    <x v="9"/>
    <n v="3"/>
    <n v="9"/>
    <n v="5"/>
    <n v="13"/>
    <x v="38"/>
    <n v="61"/>
    <n v="88.190816326530609"/>
    <m/>
    <m/>
    <m/>
    <m/>
  </r>
  <r>
    <n v="2025"/>
    <s v="Northeast"/>
    <x v="9"/>
    <n v="1"/>
    <n v="24"/>
    <n v="1"/>
    <n v="2"/>
    <x v="23"/>
    <n v="61.4"/>
    <n v="92.573235800344207"/>
    <n v="9.4"/>
    <m/>
    <m/>
    <m/>
  </r>
  <r>
    <n v="2025"/>
    <s v="Northeast"/>
    <x v="9"/>
    <n v="2"/>
    <n v="14"/>
    <n v="4"/>
    <n v="2"/>
    <x v="23"/>
    <n v="60.5"/>
    <n v="92.568171369883117"/>
    <m/>
    <m/>
    <m/>
    <m/>
  </r>
  <r>
    <n v="2025"/>
    <s v="Northeast"/>
    <x v="9"/>
    <n v="3"/>
    <n v="12"/>
    <n v="5"/>
    <n v="2"/>
    <x v="23"/>
    <n v="57.9"/>
    <n v="79.459397427217326"/>
    <m/>
    <m/>
    <m/>
    <m/>
  </r>
  <r>
    <n v="2025"/>
    <s v="Northeast"/>
    <x v="9"/>
    <n v="1"/>
    <n v="6"/>
    <n v="2"/>
    <n v="9"/>
    <x v="1"/>
    <n v="59"/>
    <n v="83.201421791767544"/>
    <n v="10.5"/>
    <m/>
    <m/>
    <m/>
  </r>
  <r>
    <n v="2025"/>
    <s v="Northeast"/>
    <x v="9"/>
    <n v="2"/>
    <n v="3"/>
    <n v="4"/>
    <n v="9"/>
    <x v="1"/>
    <n v="59.4"/>
    <n v="73.673827456350566"/>
    <m/>
    <m/>
    <m/>
    <m/>
  </r>
  <r>
    <n v="2025"/>
    <s v="Northeast"/>
    <x v="9"/>
    <n v="3"/>
    <n v="5"/>
    <n v="6"/>
    <n v="9"/>
    <x v="1"/>
    <n v="59.1"/>
    <n v="77.746091535810038"/>
    <m/>
    <m/>
    <m/>
    <m/>
  </r>
  <r>
    <n v="2025"/>
    <s v="Northeast"/>
    <x v="9"/>
    <n v="1"/>
    <n v="10"/>
    <n v="2"/>
    <n v="3"/>
    <x v="16"/>
    <n v="61.4"/>
    <n v="88.662290556900714"/>
    <n v="10.7"/>
    <m/>
    <m/>
    <m/>
  </r>
  <r>
    <n v="2025"/>
    <s v="Northeast"/>
    <x v="9"/>
    <n v="2"/>
    <n v="4"/>
    <n v="3"/>
    <n v="3"/>
    <x v="16"/>
    <n v="61"/>
    <n v="80.443628260151854"/>
    <m/>
    <m/>
    <m/>
    <m/>
  </r>
  <r>
    <n v="2025"/>
    <s v="Northeast"/>
    <x v="9"/>
    <n v="3"/>
    <n v="11"/>
    <n v="6"/>
    <n v="3"/>
    <x v="16"/>
    <n v="60.7"/>
    <n v="84.015064630409782"/>
    <m/>
    <m/>
    <m/>
    <m/>
  </r>
  <r>
    <n v="2025"/>
    <s v="Northeast"/>
    <x v="9"/>
    <n v="1"/>
    <n v="4"/>
    <n v="1"/>
    <n v="10"/>
    <x v="15"/>
    <n v="57.6"/>
    <n v="82.391135972461271"/>
    <n v="11.4"/>
    <m/>
    <m/>
    <m/>
  </r>
  <r>
    <n v="2025"/>
    <s v="Northeast"/>
    <x v="9"/>
    <n v="2"/>
    <n v="6"/>
    <n v="4"/>
    <n v="10"/>
    <x v="15"/>
    <n v="57.6"/>
    <n v="73.578928449161225"/>
    <m/>
    <m/>
    <m/>
    <m/>
  </r>
  <r>
    <n v="2025"/>
    <s v="Northeast"/>
    <x v="9"/>
    <n v="3"/>
    <n v="23"/>
    <n v="6"/>
    <n v="10"/>
    <x v="15"/>
    <n v="56.9"/>
    <n v="66.801112600536172"/>
    <m/>
    <m/>
    <m/>
    <m/>
  </r>
  <r>
    <n v="2025"/>
    <s v="Northeast"/>
    <x v="9"/>
    <n v="1"/>
    <n v="16"/>
    <n v="1"/>
    <n v="4"/>
    <x v="4"/>
    <n v="60.1"/>
    <n v="85.214595524956962"/>
    <n v="11.1"/>
    <m/>
    <m/>
    <m/>
  </r>
  <r>
    <n v="2025"/>
    <s v="Northeast"/>
    <x v="9"/>
    <n v="2"/>
    <n v="2"/>
    <n v="4"/>
    <n v="4"/>
    <x v="4"/>
    <n v="58.3"/>
    <n v="77.0748916711498"/>
    <m/>
    <m/>
    <m/>
    <m/>
  </r>
  <r>
    <n v="2025"/>
    <s v="Northeast"/>
    <x v="9"/>
    <n v="3"/>
    <n v="26"/>
    <n v="5"/>
    <n v="4"/>
    <x v="4"/>
    <n v="58.7"/>
    <n v="71.225037237643889"/>
    <m/>
    <m/>
    <m/>
    <m/>
  </r>
  <r>
    <n v="2025"/>
    <s v="Northeast"/>
    <x v="9"/>
    <n v="1"/>
    <n v="8"/>
    <n v="2"/>
    <n v="5"/>
    <x v="28"/>
    <n v="60.4"/>
    <n v="92.140762227602906"/>
    <n v="9.9"/>
    <m/>
    <m/>
    <m/>
  </r>
  <r>
    <n v="2025"/>
    <s v="Northeast"/>
    <x v="9"/>
    <n v="2"/>
    <n v="13"/>
    <n v="4"/>
    <n v="5"/>
    <x v="28"/>
    <n v="61"/>
    <n v="90.250602044309673"/>
    <m/>
    <m/>
    <m/>
    <m/>
  </r>
  <r>
    <n v="2025"/>
    <s v="Northeast"/>
    <x v="9"/>
    <n v="3"/>
    <n v="7"/>
    <n v="5"/>
    <n v="5"/>
    <x v="28"/>
    <n v="60.5"/>
    <n v="83.75463197601313"/>
    <m/>
    <m/>
    <m/>
    <m/>
  </r>
  <r>
    <n v="2025"/>
    <s v="Northeast"/>
    <x v="9"/>
    <n v="1"/>
    <n v="21"/>
    <n v="1"/>
    <n v="19"/>
    <x v="49"/>
    <n v="58.3"/>
    <n v="84.45813253012048"/>
    <n v="9.9"/>
    <m/>
    <m/>
    <m/>
  </r>
  <r>
    <n v="2025"/>
    <s v="Northeast"/>
    <x v="9"/>
    <n v="2"/>
    <n v="8"/>
    <n v="4"/>
    <n v="19"/>
    <x v="49"/>
    <n v="57.3"/>
    <n v="82.171404117963519"/>
    <m/>
    <m/>
    <m/>
    <m/>
  </r>
  <r>
    <n v="2025"/>
    <s v="Northeast"/>
    <x v="9"/>
    <n v="3"/>
    <n v="10"/>
    <n v="5"/>
    <n v="19"/>
    <x v="49"/>
    <n v="58.5"/>
    <n v="78.000203114421126"/>
    <m/>
    <m/>
    <m/>
    <m/>
  </r>
  <r>
    <n v="2025"/>
    <s v="Northeast"/>
    <x v="9"/>
    <n v="1"/>
    <n v="15"/>
    <n v="1"/>
    <n v="6"/>
    <x v="10"/>
    <n v="60.1"/>
    <n v="74.346652323580017"/>
    <n v="12.3"/>
    <m/>
    <m/>
    <m/>
  </r>
  <r>
    <n v="2025"/>
    <s v="Northeast"/>
    <x v="9"/>
    <n v="2"/>
    <n v="9"/>
    <n v="4"/>
    <n v="6"/>
    <x v="10"/>
    <n v="60.4"/>
    <n v="70.49640534063677"/>
    <m/>
    <m/>
    <m/>
    <m/>
  </r>
  <r>
    <n v="2025"/>
    <s v="Northeast"/>
    <x v="9"/>
    <n v="3"/>
    <n v="7"/>
    <n v="6"/>
    <n v="6"/>
    <x v="10"/>
    <n v="60.3"/>
    <n v="74.412282650325537"/>
    <m/>
    <m/>
    <m/>
    <m/>
  </r>
  <r>
    <n v="2025"/>
    <s v="Northeast"/>
    <x v="9"/>
    <n v="1"/>
    <n v="3"/>
    <n v="1"/>
    <n v="8"/>
    <x v="9"/>
    <n v="59.2"/>
    <n v="99.62047762478484"/>
    <n v="10.1"/>
    <m/>
    <m/>
    <m/>
  </r>
  <r>
    <n v="2025"/>
    <s v="Northeast"/>
    <x v="9"/>
    <n v="2"/>
    <n v="24"/>
    <n v="3"/>
    <n v="8"/>
    <x v="9"/>
    <n v="60.4"/>
    <n v="81.807627222562843"/>
    <m/>
    <m/>
    <m/>
    <m/>
  </r>
  <r>
    <n v="2025"/>
    <s v="Northeast"/>
    <x v="9"/>
    <n v="3"/>
    <n v="20"/>
    <n v="5"/>
    <n v="8"/>
    <x v="9"/>
    <n v="60.4"/>
    <n v="81.786266079891661"/>
    <m/>
    <m/>
    <m/>
    <m/>
  </r>
  <r>
    <n v="2025"/>
    <s v="Northeast"/>
    <x v="9"/>
    <n v="1"/>
    <n v="7"/>
    <n v="2"/>
    <n v="7"/>
    <x v="44"/>
    <n v="58.7"/>
    <n v="78.749346246973374"/>
    <n v="10.3"/>
    <m/>
    <m/>
    <m/>
  </r>
  <r>
    <n v="2025"/>
    <s v="Northeast"/>
    <x v="9"/>
    <n v="2"/>
    <n v="24"/>
    <n v="4"/>
    <n v="7"/>
    <x v="44"/>
    <n v="59.7"/>
    <n v="74.341655010514984"/>
    <m/>
    <m/>
    <m/>
    <m/>
  </r>
  <r>
    <n v="2025"/>
    <s v="Northeast"/>
    <x v="9"/>
    <n v="3"/>
    <n v="11"/>
    <n v="5"/>
    <n v="7"/>
    <x v="44"/>
    <n v="58.2"/>
    <n v="75.635176516104067"/>
    <m/>
    <m/>
    <m/>
    <m/>
  </r>
  <r>
    <n v="2025"/>
    <s v="Northeast"/>
    <x v="9"/>
    <n v="1"/>
    <n v="21"/>
    <n v="2"/>
    <n v="42"/>
    <x v="42"/>
    <n v="60.4"/>
    <n v="88.548428571428573"/>
    <n v="10"/>
    <m/>
    <m/>
    <m/>
  </r>
  <r>
    <n v="2025"/>
    <s v="Northeast"/>
    <x v="9"/>
    <n v="2"/>
    <n v="20"/>
    <n v="4"/>
    <n v="42"/>
    <x v="42"/>
    <n v="61.4"/>
    <n v="87.254988995940721"/>
    <m/>
    <m/>
    <m/>
    <m/>
  </r>
  <r>
    <n v="2025"/>
    <s v="Northeast"/>
    <x v="9"/>
    <n v="3"/>
    <n v="18"/>
    <n v="5"/>
    <n v="42"/>
    <x v="42"/>
    <n v="60.8"/>
    <n v="80.483294322468325"/>
    <m/>
    <m/>
    <m/>
    <m/>
  </r>
  <r>
    <n v="2025"/>
    <s v="Northeast"/>
    <x v="9"/>
    <n v="1"/>
    <n v="23"/>
    <n v="1"/>
    <n v="44"/>
    <x v="17"/>
    <n v="58.8"/>
    <n v="82.513253012048182"/>
    <n v="10.1"/>
    <m/>
    <m/>
    <m/>
  </r>
  <r>
    <n v="2025"/>
    <s v="Northeast"/>
    <x v="9"/>
    <n v="2"/>
    <n v="25"/>
    <n v="3"/>
    <n v="44"/>
    <x v="17"/>
    <n v="60.4"/>
    <n v="72.892164316370327"/>
    <m/>
    <m/>
    <m/>
    <m/>
  </r>
  <r>
    <n v="2025"/>
    <s v="Northeast"/>
    <x v="9"/>
    <n v="3"/>
    <n v="8"/>
    <n v="6"/>
    <n v="44"/>
    <x v="17"/>
    <n v="60.1"/>
    <n v="78.792729318268854"/>
    <m/>
    <m/>
    <m/>
    <m/>
  </r>
  <r>
    <n v="2025"/>
    <s v="Northeast"/>
    <x v="9"/>
    <n v="1"/>
    <n v="11"/>
    <n v="2"/>
    <n v="43"/>
    <x v="22"/>
    <n v="58"/>
    <n v="78.241737530266349"/>
    <n v="10.9"/>
    <m/>
    <m/>
    <m/>
  </r>
  <r>
    <n v="2025"/>
    <s v="Northeast"/>
    <x v="9"/>
    <n v="2"/>
    <n v="1"/>
    <n v="3"/>
    <n v="43"/>
    <x v="22"/>
    <n v="57.9"/>
    <n v="69.028722350610749"/>
    <m/>
    <m/>
    <m/>
    <m/>
  </r>
  <r>
    <n v="2025"/>
    <s v="Northeast"/>
    <x v="9"/>
    <n v="3"/>
    <n v="22"/>
    <n v="5"/>
    <n v="43"/>
    <x v="22"/>
    <n v="58.2"/>
    <n v="68.999715639810404"/>
    <m/>
    <m/>
    <m/>
    <m/>
  </r>
  <r>
    <n v="2025"/>
    <s v="Northeast"/>
    <x v="9"/>
    <n v="1"/>
    <n v="20"/>
    <n v="1"/>
    <n v="27"/>
    <x v="39"/>
    <n v="59.5"/>
    <n v="96.98222891566266"/>
    <n v="9.6"/>
    <m/>
    <m/>
    <m/>
  </r>
  <r>
    <n v="2025"/>
    <s v="Northeast"/>
    <x v="9"/>
    <n v="2"/>
    <n v="21"/>
    <n v="4"/>
    <n v="27"/>
    <x v="39"/>
    <n v="59"/>
    <n v="89.77034528292657"/>
    <m/>
    <m/>
    <m/>
    <m/>
  </r>
  <r>
    <n v="2025"/>
    <s v="Northeast"/>
    <x v="9"/>
    <n v="3"/>
    <n v="6"/>
    <n v="5"/>
    <n v="27"/>
    <x v="39"/>
    <n v="58.6"/>
    <n v="89.326458071380202"/>
    <m/>
    <m/>
    <m/>
    <m/>
  </r>
  <r>
    <n v="2025"/>
    <s v="Northeast"/>
    <x v="9"/>
    <n v="1"/>
    <n v="12"/>
    <n v="2"/>
    <n v="31"/>
    <x v="6"/>
    <n v="59.9"/>
    <n v="86.486639709443097"/>
    <n v="10.4"/>
    <m/>
    <m/>
    <m/>
  </r>
  <r>
    <n v="2025"/>
    <s v="Northeast"/>
    <x v="9"/>
    <n v="2"/>
    <n v="25"/>
    <n v="4"/>
    <n v="31"/>
    <x v="6"/>
    <n v="60.3"/>
    <n v="78.500846089890942"/>
    <m/>
    <m/>
    <m/>
    <m/>
  </r>
  <r>
    <n v="2025"/>
    <s v="Northeast"/>
    <x v="9"/>
    <n v="3"/>
    <n v="24"/>
    <n v="5"/>
    <n v="31"/>
    <x v="6"/>
    <n v="60.1"/>
    <n v="73.604426927168959"/>
    <m/>
    <m/>
    <m/>
    <m/>
  </r>
  <r>
    <n v="2025"/>
    <s v="Northeast"/>
    <x v="9"/>
    <n v="1"/>
    <n v="18"/>
    <n v="1"/>
    <n v="23"/>
    <x v="35"/>
    <n v="61"/>
    <n v="87.418192771084335"/>
    <n v="11"/>
    <m/>
    <m/>
    <m/>
  </r>
  <r>
    <n v="2025"/>
    <s v="Northeast"/>
    <x v="9"/>
    <n v="2"/>
    <n v="22"/>
    <n v="4"/>
    <n v="23"/>
    <x v="35"/>
    <n v="60.6"/>
    <n v="84.477062649777466"/>
    <m/>
    <m/>
    <m/>
    <m/>
  </r>
  <r>
    <n v="2025"/>
    <s v="Northeast"/>
    <x v="9"/>
    <n v="3"/>
    <n v="4"/>
    <n v="5"/>
    <n v="23"/>
    <x v="35"/>
    <n v="60.2"/>
    <n v="81.858751813521607"/>
    <m/>
    <m/>
    <m/>
    <m/>
  </r>
  <r>
    <n v="2025"/>
    <s v="Northeast"/>
    <x v="9"/>
    <n v="1"/>
    <n v="2"/>
    <n v="2"/>
    <n v="28"/>
    <x v="37"/>
    <n v="58.3"/>
    <n v="95.417398547215484"/>
    <n v="9"/>
    <m/>
    <m/>
    <m/>
  </r>
  <r>
    <n v="2025"/>
    <s v="Northeast"/>
    <x v="9"/>
    <n v="2"/>
    <n v="19"/>
    <n v="3"/>
    <n v="28"/>
    <x v="37"/>
    <n v="58.7"/>
    <n v="84.881422440220732"/>
    <m/>
    <m/>
    <m/>
    <m/>
  </r>
  <r>
    <n v="2025"/>
    <s v="Northeast"/>
    <x v="9"/>
    <n v="3"/>
    <n v="6"/>
    <n v="6"/>
    <n v="28"/>
    <x v="37"/>
    <n v="56.6"/>
    <n v="81.881407985446174"/>
    <m/>
    <m/>
    <m/>
    <m/>
  </r>
  <r>
    <n v="2025"/>
    <s v="Northeast"/>
    <x v="9"/>
    <n v="1"/>
    <n v="17"/>
    <n v="2"/>
    <n v="46"/>
    <x v="25"/>
    <n v="60"/>
    <n v="85.756772397094437"/>
    <n v="10.5"/>
    <m/>
    <m/>
    <m/>
  </r>
  <r>
    <n v="2025"/>
    <s v="Northeast"/>
    <x v="9"/>
    <n v="2"/>
    <n v="11"/>
    <n v="4"/>
    <n v="46"/>
    <x v="25"/>
    <n v="60.7"/>
    <n v="83.624811463784411"/>
    <m/>
    <m/>
    <m/>
    <m/>
  </r>
  <r>
    <n v="2025"/>
    <s v="Northeast"/>
    <x v="9"/>
    <n v="3"/>
    <n v="8"/>
    <n v="5"/>
    <n v="46"/>
    <x v="25"/>
    <n v="59.8"/>
    <n v="82.704211238997956"/>
    <m/>
    <m/>
    <m/>
    <m/>
  </r>
  <r>
    <n v="2025"/>
    <s v="Northeast"/>
    <x v="9"/>
    <n v="1"/>
    <n v="19"/>
    <n v="2"/>
    <n v="47"/>
    <x v="50"/>
    <n v="61.5"/>
    <n v="77.172489588377715"/>
    <n v="12.2"/>
    <m/>
    <m/>
    <m/>
  </r>
  <r>
    <n v="2025"/>
    <s v="Northeast"/>
    <x v="9"/>
    <n v="2"/>
    <n v="9"/>
    <n v="3"/>
    <n v="47"/>
    <x v="50"/>
    <n v="61.6"/>
    <n v="74.812819412347295"/>
    <m/>
    <m/>
    <m/>
    <m/>
  </r>
  <r>
    <n v="2025"/>
    <s v="Northeast"/>
    <x v="9"/>
    <n v="3"/>
    <n v="13"/>
    <n v="6"/>
    <n v="47"/>
    <x v="50"/>
    <n v="61.7"/>
    <n v="75.136108770585963"/>
    <m/>
    <m/>
    <m/>
    <m/>
  </r>
  <r>
    <n v="2025"/>
    <s v="Northeast"/>
    <x v="9"/>
    <n v="1"/>
    <n v="13"/>
    <n v="1"/>
    <n v="45"/>
    <x v="21"/>
    <n v="57.3"/>
    <n v="79.592667814113582"/>
    <n v="11.3"/>
    <m/>
    <m/>
    <m/>
  </r>
  <r>
    <n v="2025"/>
    <s v="Northeast"/>
    <x v="9"/>
    <n v="2"/>
    <n v="15"/>
    <n v="4"/>
    <n v="45"/>
    <x v="21"/>
    <n v="56.2"/>
    <n v="86.307354624150236"/>
    <m/>
    <m/>
    <m/>
    <m/>
  </r>
  <r>
    <n v="2025"/>
    <s v="Northeast"/>
    <x v="9"/>
    <n v="3"/>
    <n v="17"/>
    <n v="6"/>
    <n v="45"/>
    <x v="21"/>
    <n v="60.6"/>
    <n v="86.266973381846014"/>
    <m/>
    <m/>
    <m/>
    <m/>
  </r>
  <r>
    <n v="2025"/>
    <s v="Northeast"/>
    <x v="9"/>
    <n v="1"/>
    <n v="13"/>
    <n v="2"/>
    <n v="24"/>
    <x v="29"/>
    <n v="58.4"/>
    <n v="90.888280387409196"/>
    <n v="9.6999999999999993"/>
    <m/>
    <m/>
    <m/>
  </r>
  <r>
    <n v="2025"/>
    <s v="Northeast"/>
    <x v="9"/>
    <n v="2"/>
    <n v="22"/>
    <n v="3"/>
    <n v="24"/>
    <x v="29"/>
    <n v="57.7"/>
    <n v="86.992345422817522"/>
    <m/>
    <m/>
    <m/>
    <m/>
  </r>
  <r>
    <n v="2025"/>
    <s v="Northeast"/>
    <x v="9"/>
    <n v="3"/>
    <n v="15"/>
    <n v="5"/>
    <n v="24"/>
    <x v="29"/>
    <n v="58.2"/>
    <n v="88.174298771641347"/>
    <m/>
    <m/>
    <m/>
    <m/>
  </r>
  <r>
    <n v="2025"/>
    <s v="Northeast"/>
    <x v="9"/>
    <n v="1"/>
    <n v="20"/>
    <n v="2"/>
    <n v="33"/>
    <x v="3"/>
    <n v="60.1"/>
    <n v="92.372944794188868"/>
    <n v="9.6"/>
    <m/>
    <m/>
    <m/>
  </r>
  <r>
    <n v="2025"/>
    <s v="Northeast"/>
    <x v="9"/>
    <n v="2"/>
    <n v="11"/>
    <n v="3"/>
    <n v="33"/>
    <x v="3"/>
    <n v="60.4"/>
    <n v="90.189312833089645"/>
    <m/>
    <m/>
    <m/>
    <m/>
  </r>
  <r>
    <n v="2025"/>
    <s v="Northeast"/>
    <x v="9"/>
    <n v="3"/>
    <n v="13"/>
    <n v="5"/>
    <n v="33"/>
    <x v="3"/>
    <n v="59.7"/>
    <n v="84.512715929973879"/>
    <m/>
    <m/>
    <m/>
    <m/>
  </r>
  <r>
    <n v="2025"/>
    <s v="Northeast"/>
    <x v="9"/>
    <n v="1"/>
    <n v="11"/>
    <n v="1"/>
    <n v="60"/>
    <x v="52"/>
    <s v="."/>
    <n v="71.438468158347675"/>
    <n v="11.9"/>
    <m/>
    <m/>
    <m/>
  </r>
  <r>
    <n v="2025"/>
    <s v="Northeast"/>
    <x v="9"/>
    <n v="2"/>
    <n v="16"/>
    <n v="3"/>
    <n v="60"/>
    <x v="52"/>
    <n v="55.6"/>
    <n v="63.057719190680558"/>
    <m/>
    <m/>
    <m/>
    <m/>
  </r>
  <r>
    <n v="2025"/>
    <s v="Northeast"/>
    <x v="9"/>
    <n v="3"/>
    <n v="23"/>
    <n v="5"/>
    <n v="60"/>
    <x v="52"/>
    <n v="54"/>
    <n v="58.849606344907613"/>
    <m/>
    <m/>
    <m/>
    <m/>
  </r>
  <r>
    <n v="2025"/>
    <s v="Northeast"/>
    <x v="9"/>
    <n v="1"/>
    <n v="23"/>
    <n v="2"/>
    <n v="58"/>
    <x v="51"/>
    <n v="60.3"/>
    <n v="84.145972881355931"/>
    <n v="10.5"/>
    <m/>
    <m/>
    <m/>
  </r>
  <r>
    <n v="2025"/>
    <s v="Northeast"/>
    <x v="9"/>
    <n v="2"/>
    <n v="8"/>
    <n v="3"/>
    <n v="58"/>
    <x v="51"/>
    <n v="59.5"/>
    <n v="82.55058246474556"/>
    <m/>
    <m/>
    <m/>
    <m/>
  </r>
  <r>
    <n v="2025"/>
    <s v="Northeast"/>
    <x v="9"/>
    <n v="3"/>
    <n v="14"/>
    <n v="6"/>
    <n v="58"/>
    <x v="51"/>
    <n v="60.1"/>
    <n v="80.74699348908463"/>
    <m/>
    <m/>
    <m/>
    <m/>
  </r>
  <r>
    <n v="2025"/>
    <s v="Northeast"/>
    <x v="9"/>
    <n v="1"/>
    <n v="1"/>
    <n v="1"/>
    <n v="25"/>
    <x v="34"/>
    <n v="60"/>
    <n v="93.013567125645437"/>
    <n v="9.8000000000000007"/>
    <m/>
    <m/>
    <m/>
  </r>
  <r>
    <n v="2025"/>
    <s v="Northeast"/>
    <x v="9"/>
    <n v="2"/>
    <n v="4"/>
    <n v="4"/>
    <n v="25"/>
    <x v="34"/>
    <n v="59.1"/>
    <n v="82.091514647625573"/>
    <m/>
    <m/>
    <m/>
    <m/>
  </r>
  <r>
    <n v="2025"/>
    <s v="Northeast"/>
    <x v="9"/>
    <n v="3"/>
    <n v="16"/>
    <n v="5"/>
    <n v="25"/>
    <x v="34"/>
    <n v="56.1"/>
    <n v="74.093681690685742"/>
    <m/>
    <m/>
    <m/>
    <m/>
  </r>
  <r>
    <n v="2025"/>
    <s v="Northeast"/>
    <x v="9"/>
    <n v="1"/>
    <n v="2"/>
    <n v="1"/>
    <n v="34"/>
    <x v="0"/>
    <n v="60.8"/>
    <n v="98.020223752151452"/>
    <n v="9.6999999999999993"/>
    <m/>
    <m/>
    <m/>
  </r>
  <r>
    <n v="2025"/>
    <s v="Northeast"/>
    <x v="9"/>
    <n v="2"/>
    <n v="6"/>
    <n v="3"/>
    <n v="34"/>
    <x v="0"/>
    <n v="60"/>
    <n v="92.415377069282641"/>
    <m/>
    <m/>
    <m/>
    <m/>
  </r>
  <r>
    <n v="2025"/>
    <s v="Northeast"/>
    <x v="9"/>
    <n v="3"/>
    <n v="10"/>
    <n v="6"/>
    <n v="34"/>
    <x v="0"/>
    <n v="60"/>
    <n v="88.104217732669468"/>
    <m/>
    <m/>
    <m/>
    <m/>
  </r>
  <r>
    <n v="2025"/>
    <s v="Northeast"/>
    <x v="9"/>
    <n v="1"/>
    <n v="16"/>
    <n v="2"/>
    <n v="35"/>
    <x v="30"/>
    <n v="60.5"/>
    <n v="92.16923970944309"/>
    <n v="9.8000000000000007"/>
    <m/>
    <m/>
    <m/>
  </r>
  <r>
    <n v="2025"/>
    <s v="Northeast"/>
    <x v="9"/>
    <n v="2"/>
    <n v="20"/>
    <n v="3"/>
    <n v="35"/>
    <x v="30"/>
    <n v="60.6"/>
    <n v="90.142341178135169"/>
    <m/>
    <m/>
    <m/>
    <m/>
  </r>
  <r>
    <n v="2025"/>
    <s v="Northeast"/>
    <x v="9"/>
    <n v="3"/>
    <n v="15"/>
    <n v="6"/>
    <n v="35"/>
    <x v="30"/>
    <n v="61.2"/>
    <n v="88.069050172347758"/>
    <m/>
    <m/>
    <m/>
    <m/>
  </r>
  <r>
    <n v="2025"/>
    <s v="Northeast"/>
    <x v="9"/>
    <n v="1"/>
    <n v="17"/>
    <n v="1"/>
    <n v="57"/>
    <x v="45"/>
    <n v="58.1"/>
    <n v="83.263941480206526"/>
    <n v="10.9"/>
    <m/>
    <m/>
    <m/>
  </r>
  <r>
    <n v="2025"/>
    <s v="Northeast"/>
    <x v="9"/>
    <n v="2"/>
    <n v="5"/>
    <n v="3"/>
    <n v="57"/>
    <x v="45"/>
    <n v="59.7"/>
    <n v="83.228636513700877"/>
    <m/>
    <m/>
    <m/>
    <m/>
  </r>
  <r>
    <n v="2025"/>
    <s v="Northeast"/>
    <x v="9"/>
    <n v="3"/>
    <n v="21"/>
    <n v="6"/>
    <n v="57"/>
    <x v="45"/>
    <n v="60.1"/>
    <n v="77.910838759096123"/>
    <m/>
    <m/>
    <m/>
    <m/>
  </r>
  <r>
    <n v="2025"/>
    <s v="Northeast"/>
    <x v="9"/>
    <n v="1"/>
    <n v="24"/>
    <n v="2"/>
    <n v="49"/>
    <x v="47"/>
    <n v="58.3"/>
    <n v="73.02939951573849"/>
    <n v="11.4"/>
    <m/>
    <m/>
    <m/>
  </r>
  <r>
    <n v="2025"/>
    <s v="Northeast"/>
    <x v="9"/>
    <n v="2"/>
    <n v="26"/>
    <n v="4"/>
    <n v="49"/>
    <x v="47"/>
    <n v="59.1"/>
    <n v="67.325761725436493"/>
    <m/>
    <m/>
    <m/>
    <m/>
  </r>
  <r>
    <n v="2025"/>
    <s v="Northeast"/>
    <x v="9"/>
    <n v="3"/>
    <n v="25"/>
    <n v="6"/>
    <n v="49"/>
    <x v="47"/>
    <n v="56.6"/>
    <n v="67.437920337035592"/>
    <m/>
    <m/>
    <m/>
    <m/>
  </r>
  <r>
    <n v="2025"/>
    <s v="Northeast"/>
    <x v="9"/>
    <n v="1"/>
    <n v="10"/>
    <n v="1"/>
    <n v="48"/>
    <x v="48"/>
    <n v="60.4"/>
    <n v="77.302074010327019"/>
    <n v="11.5"/>
    <m/>
    <m/>
    <m/>
  </r>
  <r>
    <n v="2025"/>
    <s v="Northeast"/>
    <x v="9"/>
    <n v="2"/>
    <n v="17"/>
    <n v="4"/>
    <n v="48"/>
    <x v="48"/>
    <n v="60.1"/>
    <n v="72.124262238959261"/>
    <m/>
    <m/>
    <m/>
    <m/>
  </r>
  <r>
    <n v="2025"/>
    <s v="Northeast"/>
    <x v="9"/>
    <n v="3"/>
    <n v="20"/>
    <n v="6"/>
    <n v="48"/>
    <x v="48"/>
    <n v="57.1"/>
    <n v="60.970501723477589"/>
    <m/>
    <m/>
    <m/>
    <m/>
  </r>
  <r>
    <n v="2025"/>
    <s v="Northeast"/>
    <x v="9"/>
    <n v="1"/>
    <n v="7"/>
    <n v="1"/>
    <n v="26"/>
    <x v="11"/>
    <n v="57.6"/>
    <n v="101.91149741824439"/>
    <n v="10.3"/>
    <m/>
    <m/>
    <m/>
  </r>
  <r>
    <n v="2025"/>
    <s v="Northeast"/>
    <x v="9"/>
    <n v="2"/>
    <n v="12"/>
    <n v="3"/>
    <n v="26"/>
    <x v="11"/>
    <n v="60.6"/>
    <n v="93.10659812290713"/>
    <m/>
    <m/>
    <m/>
    <m/>
  </r>
  <r>
    <n v="2025"/>
    <s v="Northeast"/>
    <x v="9"/>
    <n v="3"/>
    <n v="3"/>
    <n v="6"/>
    <n v="26"/>
    <x v="11"/>
    <n v="59.2"/>
    <n v="85.56096801991572"/>
    <m/>
    <m/>
    <m/>
    <m/>
  </r>
  <r>
    <n v="2025"/>
    <s v="Northeast"/>
    <x v="9"/>
    <n v="1"/>
    <n v="26"/>
    <n v="2"/>
    <n v="36"/>
    <x v="36"/>
    <n v="62.8"/>
    <n v="84.644999999999996"/>
    <n v="9.6999999999999993"/>
    <m/>
    <m/>
    <m/>
  </r>
  <r>
    <n v="2025"/>
    <s v="Northeast"/>
    <x v="9"/>
    <n v="2"/>
    <n v="5"/>
    <n v="4"/>
    <n v="36"/>
    <x v="36"/>
    <n v="61.1"/>
    <n v="82.547901403628885"/>
    <m/>
    <m/>
    <m/>
    <m/>
  </r>
  <r>
    <n v="2025"/>
    <s v="Northeast"/>
    <x v="9"/>
    <n v="3"/>
    <n v="1"/>
    <n v="6"/>
    <n v="36"/>
    <x v="36"/>
    <n v="62.3"/>
    <n v="78.338726541554934"/>
    <m/>
    <m/>
    <m/>
    <m/>
  </r>
  <r>
    <n v="2025"/>
    <s v="Northeast"/>
    <x v="10"/>
    <n v="1"/>
    <n v="1"/>
    <n v="1"/>
    <n v="46"/>
    <x v="25"/>
    <m/>
    <m/>
    <m/>
    <m/>
    <n v="4"/>
    <m/>
  </r>
  <r>
    <n v="2025"/>
    <s v="Northeast"/>
    <x v="10"/>
    <n v="1"/>
    <n v="2"/>
    <n v="1"/>
    <n v="11"/>
    <x v="2"/>
    <m/>
    <m/>
    <m/>
    <m/>
    <n v="6"/>
    <m/>
  </r>
  <r>
    <n v="2025"/>
    <s v="Northeast"/>
    <x v="10"/>
    <n v="1"/>
    <n v="3"/>
    <n v="1"/>
    <n v="30"/>
    <x v="14"/>
    <m/>
    <m/>
    <m/>
    <m/>
    <n v="2"/>
    <m/>
  </r>
  <r>
    <n v="2025"/>
    <s v="Northeast"/>
    <x v="10"/>
    <n v="1"/>
    <n v="4"/>
    <n v="1"/>
    <n v="32"/>
    <x v="24"/>
    <m/>
    <m/>
    <m/>
    <m/>
    <n v="5"/>
    <m/>
  </r>
  <r>
    <n v="2025"/>
    <s v="Northeast"/>
    <x v="10"/>
    <n v="1"/>
    <n v="5"/>
    <n v="1"/>
    <n v="7"/>
    <x v="44"/>
    <m/>
    <m/>
    <m/>
    <m/>
    <n v="2"/>
    <m/>
  </r>
  <r>
    <n v="2025"/>
    <s v="Northeast"/>
    <x v="10"/>
    <n v="1"/>
    <n v="6"/>
    <n v="1"/>
    <n v="42"/>
    <x v="42"/>
    <m/>
    <m/>
    <m/>
    <m/>
    <n v="6"/>
    <m/>
  </r>
  <r>
    <n v="2025"/>
    <s v="Northeast"/>
    <x v="10"/>
    <n v="1"/>
    <n v="7"/>
    <n v="1"/>
    <n v="47"/>
    <x v="50"/>
    <m/>
    <m/>
    <m/>
    <m/>
    <n v="5"/>
    <m/>
  </r>
  <r>
    <n v="2025"/>
    <s v="Northeast"/>
    <x v="10"/>
    <n v="1"/>
    <n v="8"/>
    <n v="1"/>
    <n v="12"/>
    <x v="41"/>
    <m/>
    <m/>
    <m/>
    <m/>
    <n v="2"/>
    <m/>
  </r>
  <r>
    <n v="2025"/>
    <s v="Northeast"/>
    <x v="10"/>
    <n v="1"/>
    <n v="9"/>
    <n v="1"/>
    <n v="41"/>
    <x v="20"/>
    <m/>
    <m/>
    <m/>
    <m/>
    <n v="6"/>
    <m/>
  </r>
  <r>
    <n v="2025"/>
    <s v="Northeast"/>
    <x v="10"/>
    <n v="1"/>
    <n v="10"/>
    <n v="1"/>
    <n v="20"/>
    <x v="18"/>
    <m/>
    <m/>
    <m/>
    <m/>
    <n v="5"/>
    <m/>
  </r>
  <r>
    <n v="2025"/>
    <s v="Northeast"/>
    <x v="10"/>
    <n v="1"/>
    <n v="11"/>
    <n v="1"/>
    <n v="21"/>
    <x v="26"/>
    <m/>
    <m/>
    <m/>
    <m/>
    <n v="4"/>
    <m/>
  </r>
  <r>
    <n v="2025"/>
    <s v="Northeast"/>
    <x v="10"/>
    <n v="1"/>
    <n v="12"/>
    <n v="1"/>
    <n v="35"/>
    <x v="30"/>
    <m/>
    <m/>
    <m/>
    <m/>
    <n v="3"/>
    <m/>
  </r>
  <r>
    <n v="2025"/>
    <s v="Northeast"/>
    <x v="10"/>
    <n v="1"/>
    <n v="13"/>
    <n v="1"/>
    <n v="4"/>
    <x v="4"/>
    <m/>
    <m/>
    <m/>
    <m/>
    <n v="1"/>
    <m/>
  </r>
  <r>
    <n v="2025"/>
    <s v="Northeast"/>
    <x v="10"/>
    <n v="1"/>
    <n v="14"/>
    <n v="1"/>
    <n v="24"/>
    <x v="29"/>
    <m/>
    <m/>
    <m/>
    <m/>
    <n v="3"/>
    <m/>
  </r>
  <r>
    <n v="2025"/>
    <s v="Northeast"/>
    <x v="10"/>
    <n v="1"/>
    <n v="15"/>
    <n v="1"/>
    <n v="37"/>
    <x v="31"/>
    <m/>
    <m/>
    <m/>
    <m/>
    <n v="4"/>
    <m/>
  </r>
  <r>
    <n v="2025"/>
    <s v="Northeast"/>
    <x v="10"/>
    <n v="1"/>
    <n v="16"/>
    <n v="1"/>
    <n v="49"/>
    <x v="47"/>
    <m/>
    <m/>
    <m/>
    <m/>
    <n v="2"/>
    <m/>
  </r>
  <r>
    <n v="2025"/>
    <s v="Northeast"/>
    <x v="10"/>
    <n v="1"/>
    <n v="17"/>
    <n v="1"/>
    <n v="1"/>
    <x v="12"/>
    <m/>
    <m/>
    <m/>
    <m/>
    <n v="4"/>
    <m/>
  </r>
  <r>
    <n v="2025"/>
    <s v="Northeast"/>
    <x v="10"/>
    <n v="1"/>
    <n v="18"/>
    <n v="1"/>
    <n v="25"/>
    <x v="34"/>
    <m/>
    <m/>
    <m/>
    <m/>
    <n v="5"/>
    <m/>
  </r>
  <r>
    <n v="2025"/>
    <s v="Northeast"/>
    <x v="10"/>
    <n v="1"/>
    <n v="19"/>
    <n v="1"/>
    <n v="57"/>
    <x v="45"/>
    <m/>
    <m/>
    <m/>
    <m/>
    <n v="5"/>
    <m/>
  </r>
  <r>
    <n v="2025"/>
    <s v="Northeast"/>
    <x v="10"/>
    <n v="1"/>
    <n v="20"/>
    <n v="1"/>
    <n v="29"/>
    <x v="27"/>
    <m/>
    <m/>
    <m/>
    <m/>
    <n v="5"/>
    <m/>
  </r>
  <r>
    <n v="2025"/>
    <s v="Northeast"/>
    <x v="10"/>
    <n v="1"/>
    <n v="21"/>
    <n v="1"/>
    <n v="13"/>
    <x v="38"/>
    <m/>
    <m/>
    <m/>
    <m/>
    <n v="2"/>
    <m/>
  </r>
  <r>
    <n v="2025"/>
    <s v="Northeast"/>
    <x v="10"/>
    <n v="1"/>
    <n v="22"/>
    <n v="1"/>
    <n v="34"/>
    <x v="0"/>
    <m/>
    <m/>
    <m/>
    <m/>
    <n v="5"/>
    <m/>
  </r>
  <r>
    <n v="2025"/>
    <s v="Northeast"/>
    <x v="10"/>
    <n v="1"/>
    <n v="23"/>
    <n v="1"/>
    <n v="22"/>
    <x v="33"/>
    <m/>
    <m/>
    <m/>
    <m/>
    <n v="5"/>
    <m/>
  </r>
  <r>
    <n v="2025"/>
    <s v="Northeast"/>
    <x v="10"/>
    <n v="1"/>
    <n v="24"/>
    <n v="1"/>
    <n v="5"/>
    <x v="28"/>
    <m/>
    <m/>
    <m/>
    <m/>
    <n v="2"/>
    <m/>
  </r>
  <r>
    <n v="2025"/>
    <s v="Northeast"/>
    <x v="10"/>
    <n v="1"/>
    <n v="25"/>
    <n v="1"/>
    <n v="38"/>
    <x v="43"/>
    <m/>
    <m/>
    <m/>
    <m/>
    <n v="1"/>
    <m/>
  </r>
  <r>
    <n v="2025"/>
    <s v="Northeast"/>
    <x v="10"/>
    <n v="1"/>
    <n v="26"/>
    <n v="1"/>
    <n v="15"/>
    <x v="7"/>
    <m/>
    <m/>
    <m/>
    <m/>
    <n v="5"/>
    <m/>
  </r>
  <r>
    <n v="2025"/>
    <s v="Northeast"/>
    <x v="10"/>
    <n v="1"/>
    <n v="26"/>
    <n v="2"/>
    <n v="26"/>
    <x v="11"/>
    <m/>
    <m/>
    <m/>
    <m/>
    <n v="5"/>
    <m/>
  </r>
  <r>
    <n v="2025"/>
    <s v="Northeast"/>
    <x v="10"/>
    <n v="1"/>
    <n v="25"/>
    <n v="2"/>
    <n v="17"/>
    <x v="32"/>
    <m/>
    <m/>
    <m/>
    <m/>
    <n v="5"/>
    <m/>
  </r>
  <r>
    <n v="2025"/>
    <s v="Northeast"/>
    <x v="10"/>
    <n v="1"/>
    <n v="24"/>
    <n v="2"/>
    <n v="45"/>
    <x v="21"/>
    <m/>
    <m/>
    <m/>
    <m/>
    <n v="5"/>
    <m/>
  </r>
  <r>
    <n v="2025"/>
    <s v="Northeast"/>
    <x v="10"/>
    <n v="1"/>
    <n v="23"/>
    <n v="2"/>
    <n v="2"/>
    <x v="23"/>
    <m/>
    <m/>
    <m/>
    <m/>
    <n v="5"/>
    <m/>
  </r>
  <r>
    <n v="2025"/>
    <s v="Northeast"/>
    <x v="10"/>
    <n v="1"/>
    <n v="22"/>
    <n v="2"/>
    <n v="6"/>
    <x v="10"/>
    <m/>
    <m/>
    <m/>
    <m/>
    <n v="1"/>
    <m/>
  </r>
  <r>
    <n v="2025"/>
    <s v="Northeast"/>
    <x v="10"/>
    <n v="1"/>
    <n v="21"/>
    <n v="2"/>
    <n v="19"/>
    <x v="49"/>
    <m/>
    <m/>
    <m/>
    <m/>
    <n v="4"/>
    <m/>
  </r>
  <r>
    <n v="2025"/>
    <s v="Northeast"/>
    <x v="10"/>
    <n v="1"/>
    <n v="20"/>
    <n v="2"/>
    <n v="48"/>
    <x v="48"/>
    <m/>
    <m/>
    <m/>
    <m/>
    <n v="1"/>
    <m/>
  </r>
  <r>
    <n v="2025"/>
    <s v="Northeast"/>
    <x v="10"/>
    <n v="1"/>
    <n v="19"/>
    <n v="2"/>
    <n v="58"/>
    <x v="51"/>
    <m/>
    <m/>
    <m/>
    <m/>
    <n v="6"/>
    <m/>
  </r>
  <r>
    <n v="2025"/>
    <s v="Northeast"/>
    <x v="10"/>
    <n v="1"/>
    <n v="18"/>
    <n v="2"/>
    <n v="31"/>
    <x v="6"/>
    <m/>
    <m/>
    <m/>
    <m/>
    <n v="2"/>
    <m/>
  </r>
  <r>
    <n v="2025"/>
    <s v="Northeast"/>
    <x v="10"/>
    <n v="1"/>
    <n v="17"/>
    <n v="2"/>
    <n v="40"/>
    <x v="13"/>
    <m/>
    <m/>
    <m/>
    <m/>
    <n v="5"/>
    <m/>
  </r>
  <r>
    <n v="2025"/>
    <s v="Northeast"/>
    <x v="10"/>
    <n v="1"/>
    <n v="16"/>
    <n v="2"/>
    <n v="8"/>
    <x v="9"/>
    <m/>
    <m/>
    <m/>
    <m/>
    <n v="1"/>
    <m/>
  </r>
  <r>
    <n v="2025"/>
    <s v="Northeast"/>
    <x v="10"/>
    <n v="1"/>
    <n v="15"/>
    <n v="2"/>
    <n v="18"/>
    <x v="8"/>
    <m/>
    <m/>
    <m/>
    <m/>
    <n v="4"/>
    <m/>
  </r>
  <r>
    <n v="2025"/>
    <s v="Northeast"/>
    <x v="10"/>
    <n v="1"/>
    <n v="14"/>
    <n v="2"/>
    <n v="28"/>
    <x v="37"/>
    <m/>
    <m/>
    <m/>
    <m/>
    <n v="4"/>
    <m/>
  </r>
  <r>
    <n v="2025"/>
    <s v="Northeast"/>
    <x v="10"/>
    <n v="1"/>
    <n v="13"/>
    <n v="2"/>
    <n v="43"/>
    <x v="22"/>
    <m/>
    <m/>
    <m/>
    <m/>
    <n v="4"/>
    <m/>
  </r>
  <r>
    <n v="2025"/>
    <s v="Northeast"/>
    <x v="10"/>
    <n v="1"/>
    <n v="12"/>
    <n v="2"/>
    <n v="36"/>
    <x v="36"/>
    <m/>
    <m/>
    <m/>
    <m/>
    <n v="2"/>
    <m/>
  </r>
  <r>
    <n v="2025"/>
    <s v="Northeast"/>
    <x v="10"/>
    <n v="1"/>
    <n v="11"/>
    <n v="2"/>
    <n v="23"/>
    <x v="35"/>
    <m/>
    <m/>
    <m/>
    <m/>
    <n v="3"/>
    <m/>
  </r>
  <r>
    <n v="2025"/>
    <s v="Northeast"/>
    <x v="10"/>
    <n v="1"/>
    <n v="10"/>
    <n v="2"/>
    <n v="44"/>
    <x v="17"/>
    <m/>
    <m/>
    <m/>
    <m/>
    <n v="6"/>
    <m/>
  </r>
  <r>
    <n v="2025"/>
    <s v="Northeast"/>
    <x v="10"/>
    <n v="1"/>
    <n v="9"/>
    <n v="2"/>
    <n v="16"/>
    <x v="40"/>
    <m/>
    <m/>
    <m/>
    <m/>
    <n v="5"/>
    <m/>
  </r>
  <r>
    <n v="2025"/>
    <s v="Northeast"/>
    <x v="10"/>
    <n v="1"/>
    <n v="8"/>
    <n v="2"/>
    <n v="39"/>
    <x v="46"/>
    <m/>
    <m/>
    <m/>
    <m/>
    <n v="7"/>
    <m/>
  </r>
  <r>
    <n v="2025"/>
    <s v="Northeast"/>
    <x v="10"/>
    <n v="1"/>
    <n v="7"/>
    <n v="2"/>
    <n v="14"/>
    <x v="5"/>
    <m/>
    <m/>
    <m/>
    <m/>
    <n v="4"/>
    <m/>
  </r>
  <r>
    <n v="2025"/>
    <s v="Northeast"/>
    <x v="10"/>
    <n v="1"/>
    <n v="6"/>
    <n v="2"/>
    <n v="9"/>
    <x v="1"/>
    <m/>
    <m/>
    <m/>
    <m/>
    <n v="4"/>
    <m/>
  </r>
  <r>
    <n v="2025"/>
    <s v="Northeast"/>
    <x v="10"/>
    <n v="1"/>
    <n v="5"/>
    <n v="2"/>
    <n v="33"/>
    <x v="3"/>
    <m/>
    <m/>
    <m/>
    <m/>
    <n v="3"/>
    <m/>
  </r>
  <r>
    <n v="2025"/>
    <s v="Northeast"/>
    <x v="10"/>
    <n v="1"/>
    <n v="4"/>
    <n v="2"/>
    <n v="60"/>
    <x v="52"/>
    <m/>
    <m/>
    <m/>
    <m/>
    <n v="2"/>
    <m/>
  </r>
  <r>
    <n v="2025"/>
    <s v="Northeast"/>
    <x v="10"/>
    <n v="1"/>
    <n v="3"/>
    <n v="2"/>
    <n v="3"/>
    <x v="16"/>
    <m/>
    <m/>
    <m/>
    <m/>
    <s v="."/>
    <m/>
  </r>
  <r>
    <n v="2025"/>
    <s v="Northeast"/>
    <x v="10"/>
    <n v="1"/>
    <n v="2"/>
    <n v="2"/>
    <n v="10"/>
    <x v="15"/>
    <m/>
    <m/>
    <m/>
    <m/>
    <n v="4"/>
    <m/>
  </r>
  <r>
    <n v="2025"/>
    <s v="Northeast"/>
    <x v="10"/>
    <n v="1"/>
    <n v="1"/>
    <n v="2"/>
    <n v="27"/>
    <x v="39"/>
    <m/>
    <m/>
    <m/>
    <m/>
    <n v="6"/>
    <m/>
  </r>
  <r>
    <n v="2025"/>
    <s v="Northeast"/>
    <x v="10"/>
    <n v="2"/>
    <n v="1"/>
    <n v="3"/>
    <n v="17"/>
    <x v="32"/>
    <m/>
    <m/>
    <m/>
    <m/>
    <n v="6"/>
    <m/>
  </r>
  <r>
    <n v="2025"/>
    <s v="Northeast"/>
    <x v="10"/>
    <n v="2"/>
    <n v="2"/>
    <n v="3"/>
    <n v="15"/>
    <x v="7"/>
    <m/>
    <m/>
    <m/>
    <m/>
    <n v="5"/>
    <m/>
  </r>
  <r>
    <n v="2025"/>
    <s v="Northeast"/>
    <x v="10"/>
    <n v="2"/>
    <n v="3"/>
    <n v="3"/>
    <n v="16"/>
    <x v="40"/>
    <m/>
    <m/>
    <m/>
    <m/>
    <n v="4"/>
    <m/>
  </r>
  <r>
    <n v="2025"/>
    <s v="Northeast"/>
    <x v="10"/>
    <n v="2"/>
    <n v="4"/>
    <n v="3"/>
    <n v="39"/>
    <x v="46"/>
    <m/>
    <m/>
    <m/>
    <m/>
    <n v="6"/>
    <m/>
  </r>
  <r>
    <n v="2025"/>
    <s v="Northeast"/>
    <x v="10"/>
    <n v="2"/>
    <n v="5"/>
    <n v="3"/>
    <n v="3"/>
    <x v="16"/>
    <m/>
    <m/>
    <m/>
    <m/>
    <n v="1"/>
    <m/>
  </r>
  <r>
    <n v="2025"/>
    <s v="Northeast"/>
    <x v="10"/>
    <n v="2"/>
    <n v="6"/>
    <n v="3"/>
    <n v="24"/>
    <x v="29"/>
    <m/>
    <m/>
    <m/>
    <m/>
    <n v="4"/>
    <m/>
  </r>
  <r>
    <n v="2025"/>
    <s v="Northeast"/>
    <x v="10"/>
    <n v="2"/>
    <n v="7"/>
    <n v="3"/>
    <n v="34"/>
    <x v="0"/>
    <m/>
    <m/>
    <m/>
    <m/>
    <n v="4"/>
    <m/>
  </r>
  <r>
    <n v="2025"/>
    <s v="Northeast"/>
    <x v="10"/>
    <n v="2"/>
    <n v="8"/>
    <n v="3"/>
    <n v="4"/>
    <x v="4"/>
    <m/>
    <m/>
    <m/>
    <m/>
    <n v="1"/>
    <m/>
  </r>
  <r>
    <n v="2025"/>
    <s v="Northeast"/>
    <x v="10"/>
    <n v="2"/>
    <n v="9"/>
    <n v="3"/>
    <n v="25"/>
    <x v="34"/>
    <m/>
    <m/>
    <m/>
    <m/>
    <n v="4"/>
    <m/>
  </r>
  <r>
    <n v="2025"/>
    <s v="Northeast"/>
    <x v="10"/>
    <n v="2"/>
    <n v="10"/>
    <n v="3"/>
    <n v="18"/>
    <x v="8"/>
    <m/>
    <m/>
    <m/>
    <m/>
    <n v="4"/>
    <m/>
  </r>
  <r>
    <n v="2025"/>
    <s v="Northeast"/>
    <x v="10"/>
    <n v="2"/>
    <n v="11"/>
    <n v="3"/>
    <n v="49"/>
    <x v="47"/>
    <m/>
    <m/>
    <m/>
    <m/>
    <n v="1"/>
    <m/>
  </r>
  <r>
    <n v="2025"/>
    <s v="Northeast"/>
    <x v="10"/>
    <n v="2"/>
    <n v="12"/>
    <n v="3"/>
    <n v="38"/>
    <x v="43"/>
    <m/>
    <m/>
    <m/>
    <m/>
    <n v="2"/>
    <m/>
  </r>
  <r>
    <n v="2025"/>
    <s v="Northeast"/>
    <x v="10"/>
    <n v="2"/>
    <n v="13"/>
    <n v="3"/>
    <n v="11"/>
    <x v="2"/>
    <m/>
    <m/>
    <m/>
    <m/>
    <n v="4"/>
    <m/>
  </r>
  <r>
    <n v="2025"/>
    <s v="Northeast"/>
    <x v="10"/>
    <n v="2"/>
    <n v="14"/>
    <n v="3"/>
    <n v="13"/>
    <x v="38"/>
    <m/>
    <m/>
    <m/>
    <m/>
    <n v="1"/>
    <m/>
  </r>
  <r>
    <n v="2025"/>
    <s v="Northeast"/>
    <x v="10"/>
    <n v="2"/>
    <n v="15"/>
    <n v="3"/>
    <n v="19"/>
    <x v="49"/>
    <m/>
    <m/>
    <m/>
    <m/>
    <n v="3"/>
    <m/>
  </r>
  <r>
    <n v="2025"/>
    <s v="Northeast"/>
    <x v="10"/>
    <n v="2"/>
    <n v="16"/>
    <n v="3"/>
    <n v="37"/>
    <x v="31"/>
    <m/>
    <m/>
    <m/>
    <m/>
    <n v="4"/>
    <m/>
  </r>
  <r>
    <n v="2025"/>
    <s v="Northeast"/>
    <x v="10"/>
    <n v="2"/>
    <n v="17"/>
    <n v="3"/>
    <n v="14"/>
    <x v="5"/>
    <m/>
    <m/>
    <m/>
    <m/>
    <n v="5"/>
    <m/>
  </r>
  <r>
    <n v="2025"/>
    <s v="Northeast"/>
    <x v="10"/>
    <n v="2"/>
    <n v="18"/>
    <n v="3"/>
    <n v="35"/>
    <x v="30"/>
    <m/>
    <m/>
    <m/>
    <m/>
    <n v="5"/>
    <m/>
  </r>
  <r>
    <n v="2025"/>
    <s v="Northeast"/>
    <x v="10"/>
    <n v="2"/>
    <n v="19"/>
    <n v="3"/>
    <n v="42"/>
    <x v="42"/>
    <m/>
    <m/>
    <m/>
    <m/>
    <n v="5"/>
    <m/>
  </r>
  <r>
    <n v="2025"/>
    <s v="Northeast"/>
    <x v="10"/>
    <n v="2"/>
    <n v="20"/>
    <n v="3"/>
    <n v="41"/>
    <x v="20"/>
    <m/>
    <m/>
    <m/>
    <m/>
    <n v="6"/>
    <m/>
  </r>
  <r>
    <n v="2025"/>
    <s v="Northeast"/>
    <x v="10"/>
    <n v="2"/>
    <n v="21"/>
    <n v="3"/>
    <n v="23"/>
    <x v="35"/>
    <m/>
    <m/>
    <m/>
    <m/>
    <n v="4"/>
    <m/>
  </r>
  <r>
    <n v="2025"/>
    <s v="Northeast"/>
    <x v="10"/>
    <n v="2"/>
    <n v="22"/>
    <n v="3"/>
    <n v="30"/>
    <x v="14"/>
    <m/>
    <m/>
    <m/>
    <m/>
    <n v="2"/>
    <m/>
  </r>
  <r>
    <n v="2025"/>
    <s v="Northeast"/>
    <x v="10"/>
    <n v="2"/>
    <n v="23"/>
    <n v="3"/>
    <n v="8"/>
    <x v="9"/>
    <m/>
    <m/>
    <m/>
    <m/>
    <n v="2"/>
    <m/>
  </r>
  <r>
    <n v="2025"/>
    <s v="Northeast"/>
    <x v="10"/>
    <n v="2"/>
    <n v="24"/>
    <n v="3"/>
    <n v="6"/>
    <x v="10"/>
    <m/>
    <m/>
    <m/>
    <m/>
    <n v="1"/>
    <m/>
  </r>
  <r>
    <n v="2025"/>
    <s v="Northeast"/>
    <x v="10"/>
    <n v="2"/>
    <n v="25"/>
    <n v="3"/>
    <n v="21"/>
    <x v="26"/>
    <m/>
    <m/>
    <m/>
    <m/>
    <n v="4"/>
    <m/>
  </r>
  <r>
    <n v="2025"/>
    <s v="Northeast"/>
    <x v="10"/>
    <n v="2"/>
    <n v="26"/>
    <n v="3"/>
    <n v="20"/>
    <x v="18"/>
    <m/>
    <m/>
    <m/>
    <m/>
    <n v="6"/>
    <m/>
  </r>
  <r>
    <n v="2025"/>
    <s v="Northeast"/>
    <x v="10"/>
    <n v="2"/>
    <n v="26"/>
    <n v="4"/>
    <n v="36"/>
    <x v="36"/>
    <m/>
    <m/>
    <m/>
    <m/>
    <n v="2"/>
    <m/>
  </r>
  <r>
    <n v="2025"/>
    <s v="Northeast"/>
    <x v="10"/>
    <n v="2"/>
    <n v="25"/>
    <n v="4"/>
    <n v="46"/>
    <x v="25"/>
    <m/>
    <m/>
    <m/>
    <m/>
    <n v="4"/>
    <m/>
  </r>
  <r>
    <n v="2025"/>
    <s v="Northeast"/>
    <x v="10"/>
    <n v="2"/>
    <n v="24"/>
    <n v="4"/>
    <n v="12"/>
    <x v="41"/>
    <m/>
    <m/>
    <m/>
    <m/>
    <n v="2"/>
    <m/>
  </r>
  <r>
    <n v="2025"/>
    <s v="Northeast"/>
    <x v="10"/>
    <n v="2"/>
    <n v="23"/>
    <n v="4"/>
    <n v="7"/>
    <x v="44"/>
    <m/>
    <m/>
    <m/>
    <m/>
    <n v="2"/>
    <m/>
  </r>
  <r>
    <n v="2025"/>
    <s v="Northeast"/>
    <x v="10"/>
    <n v="2"/>
    <n v="22"/>
    <n v="4"/>
    <n v="10"/>
    <x v="15"/>
    <m/>
    <m/>
    <m/>
    <m/>
    <n v="3"/>
    <m/>
  </r>
  <r>
    <n v="2025"/>
    <s v="Northeast"/>
    <x v="10"/>
    <n v="2"/>
    <n v="21"/>
    <n v="4"/>
    <n v="44"/>
    <x v="17"/>
    <m/>
    <m/>
    <m/>
    <m/>
    <n v="5"/>
    <m/>
  </r>
  <r>
    <n v="2025"/>
    <s v="Northeast"/>
    <x v="10"/>
    <n v="2"/>
    <n v="20"/>
    <n v="4"/>
    <n v="5"/>
    <x v="28"/>
    <m/>
    <m/>
    <m/>
    <m/>
    <n v="2"/>
    <m/>
  </r>
  <r>
    <n v="2025"/>
    <s v="Northeast"/>
    <x v="10"/>
    <n v="2"/>
    <n v="19"/>
    <n v="4"/>
    <n v="26"/>
    <x v="11"/>
    <m/>
    <m/>
    <m/>
    <m/>
    <n v="4"/>
    <m/>
  </r>
  <r>
    <n v="2025"/>
    <s v="Northeast"/>
    <x v="10"/>
    <n v="2"/>
    <n v="18"/>
    <n v="4"/>
    <n v="33"/>
    <x v="3"/>
    <m/>
    <m/>
    <m/>
    <m/>
    <n v="4"/>
    <m/>
  </r>
  <r>
    <n v="2025"/>
    <s v="Northeast"/>
    <x v="10"/>
    <n v="2"/>
    <n v="17"/>
    <n v="4"/>
    <n v="43"/>
    <x v="22"/>
    <m/>
    <m/>
    <m/>
    <m/>
    <n v="3"/>
    <m/>
  </r>
  <r>
    <n v="2025"/>
    <s v="Northeast"/>
    <x v="10"/>
    <n v="2"/>
    <n v="16"/>
    <n v="4"/>
    <n v="29"/>
    <x v="27"/>
    <m/>
    <m/>
    <m/>
    <m/>
    <n v="3"/>
    <m/>
  </r>
  <r>
    <n v="2025"/>
    <s v="Northeast"/>
    <x v="10"/>
    <n v="2"/>
    <n v="15"/>
    <n v="4"/>
    <n v="1"/>
    <x v="12"/>
    <m/>
    <m/>
    <m/>
    <m/>
    <n v="3"/>
    <m/>
  </r>
  <r>
    <n v="2025"/>
    <s v="Northeast"/>
    <x v="10"/>
    <n v="2"/>
    <n v="14"/>
    <n v="4"/>
    <n v="47"/>
    <x v="50"/>
    <m/>
    <m/>
    <m/>
    <m/>
    <n v="3"/>
    <m/>
  </r>
  <r>
    <n v="2025"/>
    <s v="Northeast"/>
    <x v="10"/>
    <n v="2"/>
    <n v="13"/>
    <n v="4"/>
    <n v="22"/>
    <x v="33"/>
    <m/>
    <m/>
    <m/>
    <m/>
    <n v="4"/>
    <m/>
  </r>
  <r>
    <n v="2025"/>
    <s v="Northeast"/>
    <x v="10"/>
    <n v="2"/>
    <n v="12"/>
    <n v="4"/>
    <n v="28"/>
    <x v="37"/>
    <m/>
    <m/>
    <m/>
    <m/>
    <n v="3"/>
    <m/>
  </r>
  <r>
    <n v="2025"/>
    <s v="Northeast"/>
    <x v="10"/>
    <n v="2"/>
    <n v="11"/>
    <n v="4"/>
    <n v="9"/>
    <x v="1"/>
    <m/>
    <m/>
    <m/>
    <m/>
    <n v="3"/>
    <m/>
  </r>
  <r>
    <n v="2025"/>
    <s v="Northeast"/>
    <x v="10"/>
    <n v="2"/>
    <n v="10"/>
    <n v="4"/>
    <n v="27"/>
    <x v="39"/>
    <m/>
    <m/>
    <m/>
    <m/>
    <n v="2"/>
    <m/>
  </r>
  <r>
    <n v="2025"/>
    <s v="Northeast"/>
    <x v="10"/>
    <n v="2"/>
    <n v="9"/>
    <n v="4"/>
    <n v="2"/>
    <x v="23"/>
    <m/>
    <m/>
    <m/>
    <m/>
    <n v="4"/>
    <m/>
  </r>
  <r>
    <n v="2025"/>
    <s v="Northeast"/>
    <x v="10"/>
    <n v="2"/>
    <n v="8"/>
    <n v="4"/>
    <n v="60"/>
    <x v="52"/>
    <m/>
    <m/>
    <m/>
    <m/>
    <n v="2"/>
    <m/>
  </r>
  <r>
    <n v="2025"/>
    <s v="Northeast"/>
    <x v="10"/>
    <n v="2"/>
    <n v="7"/>
    <n v="4"/>
    <n v="32"/>
    <x v="24"/>
    <m/>
    <m/>
    <m/>
    <m/>
    <n v="5"/>
    <m/>
  </r>
  <r>
    <n v="2025"/>
    <s v="Northeast"/>
    <x v="10"/>
    <n v="2"/>
    <n v="6"/>
    <n v="4"/>
    <n v="58"/>
    <x v="51"/>
    <m/>
    <m/>
    <m/>
    <m/>
    <n v="6"/>
    <m/>
  </r>
  <r>
    <n v="2025"/>
    <s v="Northeast"/>
    <x v="10"/>
    <n v="2"/>
    <n v="5"/>
    <n v="4"/>
    <n v="31"/>
    <x v="6"/>
    <m/>
    <m/>
    <m/>
    <m/>
    <n v="2"/>
    <m/>
  </r>
  <r>
    <n v="2025"/>
    <s v="Northeast"/>
    <x v="10"/>
    <n v="2"/>
    <n v="4"/>
    <n v="4"/>
    <n v="40"/>
    <x v="13"/>
    <m/>
    <m/>
    <m/>
    <m/>
    <n v="3"/>
    <m/>
  </r>
  <r>
    <n v="2025"/>
    <s v="Northeast"/>
    <x v="10"/>
    <n v="2"/>
    <n v="3"/>
    <n v="4"/>
    <n v="45"/>
    <x v="21"/>
    <m/>
    <m/>
    <m/>
    <m/>
    <n v="4"/>
    <m/>
  </r>
  <r>
    <n v="2025"/>
    <s v="Northeast"/>
    <x v="10"/>
    <n v="2"/>
    <n v="2"/>
    <n v="4"/>
    <n v="48"/>
    <x v="48"/>
    <m/>
    <m/>
    <m/>
    <m/>
    <n v="1"/>
    <m/>
  </r>
  <r>
    <n v="2025"/>
    <s v="Northeast"/>
    <x v="10"/>
    <n v="2"/>
    <n v="1"/>
    <n v="4"/>
    <n v="57"/>
    <x v="45"/>
    <m/>
    <m/>
    <m/>
    <m/>
    <n v="4"/>
    <m/>
  </r>
  <r>
    <n v="2025"/>
    <s v="Northeast"/>
    <x v="10"/>
    <n v="3"/>
    <n v="1"/>
    <n v="5"/>
    <n v="23"/>
    <x v="35"/>
    <m/>
    <m/>
    <m/>
    <m/>
    <n v="5"/>
    <m/>
  </r>
  <r>
    <n v="2025"/>
    <s v="Northeast"/>
    <x v="10"/>
    <n v="3"/>
    <n v="2"/>
    <n v="5"/>
    <n v="17"/>
    <x v="32"/>
    <m/>
    <m/>
    <m/>
    <m/>
    <n v="6"/>
    <m/>
  </r>
  <r>
    <n v="2025"/>
    <s v="Northeast"/>
    <x v="10"/>
    <n v="3"/>
    <n v="3"/>
    <n v="5"/>
    <n v="20"/>
    <x v="18"/>
    <m/>
    <m/>
    <m/>
    <m/>
    <n v="5"/>
    <m/>
  </r>
  <r>
    <n v="2025"/>
    <s v="Northeast"/>
    <x v="10"/>
    <n v="3"/>
    <n v="4"/>
    <n v="5"/>
    <n v="3"/>
    <x v="16"/>
    <m/>
    <m/>
    <m/>
    <m/>
    <n v="2"/>
    <m/>
  </r>
  <r>
    <n v="2025"/>
    <s v="Northeast"/>
    <x v="10"/>
    <n v="3"/>
    <n v="5"/>
    <n v="5"/>
    <n v="21"/>
    <x v="26"/>
    <m/>
    <m/>
    <m/>
    <m/>
    <n v="3"/>
    <m/>
  </r>
  <r>
    <n v="2025"/>
    <s v="Northeast"/>
    <x v="10"/>
    <n v="3"/>
    <n v="6"/>
    <n v="5"/>
    <n v="30"/>
    <x v="14"/>
    <m/>
    <m/>
    <m/>
    <m/>
    <n v="2"/>
    <m/>
  </r>
  <r>
    <n v="2025"/>
    <s v="Northeast"/>
    <x v="10"/>
    <n v="3"/>
    <n v="7"/>
    <n v="5"/>
    <n v="28"/>
    <x v="37"/>
    <m/>
    <m/>
    <m/>
    <m/>
    <n v="5"/>
    <m/>
  </r>
  <r>
    <n v="2025"/>
    <s v="Northeast"/>
    <x v="10"/>
    <n v="3"/>
    <n v="8"/>
    <n v="5"/>
    <n v="15"/>
    <x v="7"/>
    <m/>
    <m/>
    <m/>
    <m/>
    <n v="4"/>
    <m/>
  </r>
  <r>
    <n v="2025"/>
    <s v="Northeast"/>
    <x v="10"/>
    <n v="3"/>
    <n v="9"/>
    <n v="5"/>
    <n v="45"/>
    <x v="21"/>
    <m/>
    <m/>
    <m/>
    <m/>
    <n v="5"/>
    <m/>
  </r>
  <r>
    <n v="2025"/>
    <s v="Northeast"/>
    <x v="10"/>
    <n v="3"/>
    <n v="10"/>
    <n v="5"/>
    <n v="11"/>
    <x v="2"/>
    <m/>
    <m/>
    <m/>
    <m/>
    <n v="6"/>
    <m/>
  </r>
  <r>
    <n v="2025"/>
    <s v="Northeast"/>
    <x v="10"/>
    <n v="3"/>
    <n v="11"/>
    <n v="5"/>
    <n v="37"/>
    <x v="31"/>
    <m/>
    <m/>
    <m/>
    <m/>
    <n v="5"/>
    <m/>
  </r>
  <r>
    <n v="2025"/>
    <s v="Northeast"/>
    <x v="10"/>
    <n v="3"/>
    <n v="12"/>
    <n v="5"/>
    <n v="58"/>
    <x v="51"/>
    <m/>
    <m/>
    <m/>
    <m/>
    <n v="6"/>
    <m/>
  </r>
  <r>
    <n v="2025"/>
    <s v="Northeast"/>
    <x v="10"/>
    <n v="3"/>
    <n v="13"/>
    <n v="5"/>
    <n v="13"/>
    <x v="38"/>
    <m/>
    <m/>
    <m/>
    <m/>
    <n v="3"/>
    <m/>
  </r>
  <r>
    <n v="2025"/>
    <s v="Northeast"/>
    <x v="10"/>
    <n v="3"/>
    <n v="14"/>
    <n v="5"/>
    <n v="1"/>
    <x v="12"/>
    <m/>
    <m/>
    <m/>
    <m/>
    <n v="4"/>
    <m/>
  </r>
  <r>
    <n v="2025"/>
    <s v="Northeast"/>
    <x v="10"/>
    <n v="3"/>
    <n v="15"/>
    <n v="5"/>
    <n v="48"/>
    <x v="48"/>
    <m/>
    <m/>
    <m/>
    <m/>
    <n v="2"/>
    <m/>
  </r>
  <r>
    <n v="2025"/>
    <s v="Northeast"/>
    <x v="10"/>
    <n v="3"/>
    <n v="16"/>
    <n v="5"/>
    <n v="4"/>
    <x v="4"/>
    <m/>
    <m/>
    <m/>
    <m/>
    <n v="2"/>
    <m/>
  </r>
  <r>
    <n v="2025"/>
    <s v="Northeast"/>
    <x v="10"/>
    <n v="3"/>
    <n v="17"/>
    <n v="5"/>
    <n v="18"/>
    <x v="8"/>
    <m/>
    <m/>
    <m/>
    <m/>
    <n v="6"/>
    <m/>
  </r>
  <r>
    <n v="2025"/>
    <s v="Northeast"/>
    <x v="10"/>
    <n v="3"/>
    <n v="18"/>
    <n v="5"/>
    <n v="6"/>
    <x v="10"/>
    <m/>
    <m/>
    <m/>
    <m/>
    <n v="1"/>
    <m/>
  </r>
  <r>
    <n v="2025"/>
    <s v="Northeast"/>
    <x v="10"/>
    <n v="3"/>
    <n v="19"/>
    <n v="5"/>
    <n v="35"/>
    <x v="30"/>
    <m/>
    <m/>
    <m/>
    <m/>
    <n v="3"/>
    <m/>
  </r>
  <r>
    <n v="2025"/>
    <s v="Northeast"/>
    <x v="10"/>
    <n v="3"/>
    <n v="20"/>
    <n v="5"/>
    <n v="14"/>
    <x v="5"/>
    <m/>
    <m/>
    <m/>
    <m/>
    <n v="6"/>
    <m/>
  </r>
  <r>
    <n v="2025"/>
    <s v="Northeast"/>
    <x v="10"/>
    <n v="3"/>
    <n v="21"/>
    <n v="5"/>
    <n v="26"/>
    <x v="11"/>
    <m/>
    <m/>
    <m/>
    <m/>
    <n v="7"/>
    <m/>
  </r>
  <r>
    <n v="2025"/>
    <s v="Northeast"/>
    <x v="10"/>
    <n v="3"/>
    <n v="22"/>
    <n v="5"/>
    <n v="2"/>
    <x v="23"/>
    <m/>
    <m/>
    <m/>
    <m/>
    <n v="5"/>
    <m/>
  </r>
  <r>
    <n v="2025"/>
    <s v="Northeast"/>
    <x v="10"/>
    <n v="3"/>
    <n v="23"/>
    <n v="5"/>
    <n v="10"/>
    <x v="15"/>
    <m/>
    <m/>
    <m/>
    <m/>
    <n v="4"/>
    <m/>
  </r>
  <r>
    <n v="2025"/>
    <s v="Northeast"/>
    <x v="10"/>
    <n v="3"/>
    <n v="24"/>
    <n v="5"/>
    <n v="22"/>
    <x v="33"/>
    <m/>
    <m/>
    <m/>
    <m/>
    <n v="5"/>
    <m/>
  </r>
  <r>
    <n v="2025"/>
    <s v="Northeast"/>
    <x v="10"/>
    <n v="3"/>
    <n v="25"/>
    <n v="5"/>
    <n v="29"/>
    <x v="27"/>
    <m/>
    <m/>
    <m/>
    <m/>
    <n v="5"/>
    <m/>
  </r>
  <r>
    <n v="2025"/>
    <s v="Northeast"/>
    <x v="10"/>
    <n v="3"/>
    <n v="26"/>
    <n v="5"/>
    <n v="57"/>
    <x v="45"/>
    <m/>
    <m/>
    <m/>
    <m/>
    <n v="6"/>
    <m/>
  </r>
  <r>
    <n v="2025"/>
    <s v="Northeast"/>
    <x v="10"/>
    <n v="3"/>
    <n v="26"/>
    <n v="6"/>
    <n v="41"/>
    <x v="20"/>
    <m/>
    <m/>
    <m/>
    <m/>
    <n v="5"/>
    <m/>
  </r>
  <r>
    <n v="2025"/>
    <s v="Northeast"/>
    <x v="10"/>
    <n v="3"/>
    <n v="25"/>
    <n v="6"/>
    <n v="33"/>
    <x v="3"/>
    <m/>
    <m/>
    <m/>
    <m/>
    <n v="2"/>
    <m/>
  </r>
  <r>
    <n v="2025"/>
    <s v="Northeast"/>
    <x v="10"/>
    <n v="3"/>
    <n v="24"/>
    <n v="6"/>
    <n v="43"/>
    <x v="22"/>
    <m/>
    <m/>
    <m/>
    <m/>
    <n v="4"/>
    <m/>
  </r>
  <r>
    <n v="2025"/>
    <s v="Northeast"/>
    <x v="10"/>
    <n v="3"/>
    <n v="23"/>
    <n v="6"/>
    <n v="5"/>
    <x v="28"/>
    <m/>
    <m/>
    <m/>
    <m/>
    <n v="2"/>
    <m/>
  </r>
  <r>
    <n v="2025"/>
    <s v="Northeast"/>
    <x v="10"/>
    <n v="3"/>
    <n v="22"/>
    <n v="6"/>
    <n v="40"/>
    <x v="13"/>
    <m/>
    <m/>
    <m/>
    <m/>
    <n v="3"/>
    <m/>
  </r>
  <r>
    <n v="2025"/>
    <s v="Northeast"/>
    <x v="10"/>
    <n v="3"/>
    <n v="21"/>
    <n v="6"/>
    <n v="32"/>
    <x v="24"/>
    <m/>
    <m/>
    <m/>
    <m/>
    <n v="5"/>
    <m/>
  </r>
  <r>
    <n v="2025"/>
    <s v="Northeast"/>
    <x v="10"/>
    <n v="3"/>
    <n v="20"/>
    <n v="6"/>
    <n v="9"/>
    <x v="1"/>
    <m/>
    <m/>
    <m/>
    <m/>
    <n v="2"/>
    <m/>
  </r>
  <r>
    <n v="2025"/>
    <s v="Northeast"/>
    <x v="10"/>
    <n v="3"/>
    <n v="19"/>
    <n v="6"/>
    <n v="38"/>
    <x v="43"/>
    <m/>
    <m/>
    <m/>
    <m/>
    <n v="1"/>
    <m/>
  </r>
  <r>
    <n v="2025"/>
    <s v="Northeast"/>
    <x v="10"/>
    <n v="3"/>
    <n v="18"/>
    <n v="6"/>
    <n v="60"/>
    <x v="52"/>
    <m/>
    <m/>
    <m/>
    <m/>
    <n v="1"/>
    <m/>
  </r>
  <r>
    <n v="2025"/>
    <s v="Northeast"/>
    <x v="10"/>
    <n v="3"/>
    <n v="17"/>
    <n v="6"/>
    <n v="19"/>
    <x v="49"/>
    <m/>
    <m/>
    <m/>
    <m/>
    <n v="2"/>
    <m/>
  </r>
  <r>
    <n v="2025"/>
    <s v="Northeast"/>
    <x v="10"/>
    <n v="3"/>
    <n v="16"/>
    <n v="6"/>
    <n v="27"/>
    <x v="39"/>
    <m/>
    <m/>
    <m/>
    <m/>
    <n v="5"/>
    <m/>
  </r>
  <r>
    <n v="2025"/>
    <s v="Northeast"/>
    <x v="10"/>
    <n v="3"/>
    <n v="15"/>
    <n v="6"/>
    <n v="49"/>
    <x v="47"/>
    <m/>
    <m/>
    <m/>
    <m/>
    <n v="2"/>
    <m/>
  </r>
  <r>
    <n v="2025"/>
    <s v="Northeast"/>
    <x v="10"/>
    <n v="3"/>
    <n v="14"/>
    <n v="6"/>
    <n v="42"/>
    <x v="42"/>
    <m/>
    <m/>
    <m/>
    <m/>
    <n v="5"/>
    <m/>
  </r>
  <r>
    <n v="2025"/>
    <s v="Northeast"/>
    <x v="10"/>
    <n v="3"/>
    <n v="13"/>
    <n v="6"/>
    <n v="47"/>
    <x v="50"/>
    <m/>
    <m/>
    <m/>
    <m/>
    <n v="6"/>
    <m/>
  </r>
  <r>
    <n v="2025"/>
    <s v="Northeast"/>
    <x v="10"/>
    <n v="3"/>
    <n v="12"/>
    <n v="6"/>
    <n v="12"/>
    <x v="41"/>
    <m/>
    <m/>
    <m/>
    <m/>
    <n v="2"/>
    <m/>
  </r>
  <r>
    <n v="2025"/>
    <s v="Northeast"/>
    <x v="10"/>
    <n v="3"/>
    <n v="11"/>
    <n v="6"/>
    <n v="39"/>
    <x v="46"/>
    <m/>
    <m/>
    <m/>
    <m/>
    <n v="7"/>
    <m/>
  </r>
  <r>
    <n v="2025"/>
    <s v="Northeast"/>
    <x v="10"/>
    <n v="3"/>
    <n v="10"/>
    <n v="6"/>
    <n v="7"/>
    <x v="44"/>
    <m/>
    <m/>
    <m/>
    <m/>
    <n v="1"/>
    <m/>
  </r>
  <r>
    <n v="2025"/>
    <s v="Northeast"/>
    <x v="10"/>
    <n v="3"/>
    <n v="9"/>
    <n v="6"/>
    <n v="46"/>
    <x v="25"/>
    <m/>
    <m/>
    <m/>
    <m/>
    <n v="3"/>
    <m/>
  </r>
  <r>
    <n v="2025"/>
    <s v="Northeast"/>
    <x v="10"/>
    <n v="3"/>
    <n v="8"/>
    <n v="6"/>
    <n v="36"/>
    <x v="36"/>
    <m/>
    <m/>
    <m/>
    <m/>
    <n v="2"/>
    <m/>
  </r>
  <r>
    <n v="2025"/>
    <s v="Northeast"/>
    <x v="10"/>
    <n v="3"/>
    <n v="7"/>
    <n v="6"/>
    <n v="31"/>
    <x v="6"/>
    <m/>
    <m/>
    <m/>
    <m/>
    <n v="1"/>
    <m/>
  </r>
  <r>
    <n v="2025"/>
    <s v="Northeast"/>
    <x v="10"/>
    <n v="3"/>
    <n v="6"/>
    <n v="6"/>
    <n v="8"/>
    <x v="9"/>
    <m/>
    <m/>
    <m/>
    <m/>
    <n v="2"/>
    <m/>
  </r>
  <r>
    <n v="2025"/>
    <s v="Northeast"/>
    <x v="10"/>
    <n v="3"/>
    <n v="5"/>
    <n v="6"/>
    <n v="34"/>
    <x v="0"/>
    <m/>
    <m/>
    <m/>
    <m/>
    <n v="1"/>
    <m/>
  </r>
  <r>
    <n v="2025"/>
    <s v="Northeast"/>
    <x v="10"/>
    <n v="3"/>
    <n v="4"/>
    <n v="6"/>
    <n v="24"/>
    <x v="29"/>
    <m/>
    <m/>
    <m/>
    <m/>
    <n v="4"/>
    <m/>
  </r>
  <r>
    <n v="2025"/>
    <s v="Northeast"/>
    <x v="10"/>
    <n v="3"/>
    <n v="3"/>
    <n v="6"/>
    <n v="44"/>
    <x v="17"/>
    <m/>
    <m/>
    <m/>
    <m/>
    <n v="4"/>
    <m/>
  </r>
  <r>
    <n v="2025"/>
    <s v="Northeast"/>
    <x v="10"/>
    <n v="3"/>
    <n v="2"/>
    <n v="6"/>
    <n v="16"/>
    <x v="40"/>
    <m/>
    <m/>
    <m/>
    <m/>
    <n v="5"/>
    <m/>
  </r>
  <r>
    <n v="2025"/>
    <s v="Northeast"/>
    <x v="10"/>
    <n v="3"/>
    <n v="1"/>
    <n v="6"/>
    <n v="25"/>
    <x v="34"/>
    <m/>
    <m/>
    <m/>
    <m/>
    <n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99DEE0-3E10-4704-BB07-E4AD2725EC69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57" firstHeaderRow="0" firstDataRow="1" firstDataCol="1" rowPageCount="1" colPageCount="1"/>
  <pivotFields count="14">
    <pivotField showAll="0"/>
    <pivotField showAll="0"/>
    <pivotField axis="axisPage" showAll="0">
      <items count="12">
        <item x="4"/>
        <item x="0"/>
        <item x="5"/>
        <item x="6"/>
        <item x="1"/>
        <item x="7"/>
        <item x="8"/>
        <item x="10"/>
        <item x="2"/>
        <item x="3"/>
        <item x="9"/>
        <item t="default"/>
      </items>
    </pivotField>
    <pivotField showAll="0"/>
    <pivotField showAll="0"/>
    <pivotField showAll="0"/>
    <pivotField dataField="1" showAll="0"/>
    <pivotField axis="axisRow" showAll="0" sortType="descending">
      <items count="54">
        <item x="14"/>
        <item x="46"/>
        <item x="43"/>
        <item x="31"/>
        <item x="13"/>
        <item x="20"/>
        <item x="18"/>
        <item x="24"/>
        <item x="26"/>
        <item x="27"/>
        <item x="33"/>
        <item x="8"/>
        <item x="5"/>
        <item x="7"/>
        <item x="40"/>
        <item x="2"/>
        <item x="12"/>
        <item x="32"/>
        <item x="41"/>
        <item x="38"/>
        <item x="23"/>
        <item x="1"/>
        <item x="16"/>
        <item x="15"/>
        <item x="4"/>
        <item x="28"/>
        <item x="49"/>
        <item x="10"/>
        <item x="9"/>
        <item x="44"/>
        <item x="42"/>
        <item x="17"/>
        <item x="22"/>
        <item x="39"/>
        <item x="19"/>
        <item x="6"/>
        <item x="35"/>
        <item x="37"/>
        <item x="25"/>
        <item x="50"/>
        <item x="21"/>
        <item x="29"/>
        <item x="3"/>
        <item x="52"/>
        <item x="51"/>
        <item x="34"/>
        <item x="0"/>
        <item x="30"/>
        <item x="45"/>
        <item x="47"/>
        <item x="48"/>
        <item x="11"/>
        <item x="3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dataField="1" showAll="0"/>
    <pivotField showAll="0"/>
    <pivotField showAll="0"/>
    <pivotField showAll="0"/>
  </pivotFields>
  <rowFields count="1">
    <field x="7"/>
  </rowFields>
  <rowItems count="54">
    <i>
      <x v="35"/>
    </i>
    <i>
      <x v="52"/>
    </i>
    <i>
      <x v="46"/>
    </i>
    <i>
      <x v="3"/>
    </i>
    <i>
      <x v="30"/>
    </i>
    <i>
      <x v="4"/>
    </i>
    <i>
      <x v="40"/>
    </i>
    <i>
      <x v="5"/>
    </i>
    <i>
      <x v="23"/>
    </i>
    <i>
      <x v="6"/>
    </i>
    <i>
      <x v="27"/>
    </i>
    <i>
      <x v="7"/>
    </i>
    <i>
      <x v="32"/>
    </i>
    <i>
      <x v="8"/>
    </i>
    <i>
      <x v="37"/>
    </i>
    <i>
      <x v="9"/>
    </i>
    <i>
      <x v="42"/>
    </i>
    <i>
      <x v="10"/>
    </i>
    <i>
      <x v="51"/>
    </i>
    <i>
      <x v="11"/>
    </i>
    <i>
      <x v="24"/>
    </i>
    <i>
      <x v="12"/>
    </i>
    <i>
      <x/>
    </i>
    <i>
      <x v="13"/>
    </i>
    <i>
      <x v="28"/>
    </i>
    <i>
      <x v="14"/>
    </i>
    <i>
      <x v="31"/>
    </i>
    <i>
      <x v="15"/>
    </i>
    <i>
      <x v="33"/>
    </i>
    <i>
      <x v="16"/>
    </i>
    <i>
      <x v="36"/>
    </i>
    <i>
      <x v="17"/>
    </i>
    <i>
      <x v="38"/>
    </i>
    <i>
      <x v="18"/>
    </i>
    <i>
      <x v="41"/>
    </i>
    <i>
      <x v="19"/>
    </i>
    <i>
      <x v="45"/>
    </i>
    <i>
      <x v="20"/>
    </i>
    <i>
      <x v="47"/>
    </i>
    <i>
      <x v="21"/>
    </i>
    <i>
      <x v="22"/>
    </i>
    <i>
      <x v="25"/>
    </i>
    <i>
      <x v="50"/>
    </i>
    <i>
      <x v="48"/>
    </i>
    <i>
      <x v="43"/>
    </i>
    <i>
      <x v="44"/>
    </i>
    <i>
      <x v="49"/>
    </i>
    <i>
      <x v="39"/>
    </i>
    <i>
      <x v="2"/>
    </i>
    <i>
      <x v="29"/>
    </i>
    <i>
      <x v="1"/>
    </i>
    <i>
      <x v="26"/>
    </i>
    <i>
      <x v="3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Average of Protein" fld="10" subtotal="average" baseField="7" baseItem="4"/>
    <dataField name="Count of YIELD" fld="9" subtotal="count" baseField="0" baseItem="0"/>
    <dataField name="Max of ENTRY" fld="6" subtotal="max" baseField="7" baseItem="4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1C6255-1904-45C1-8386-8536BD1FA717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56" firstHeaderRow="0" firstDataRow="1" firstDataCol="1" rowPageCount="1" colPageCount="1"/>
  <pivotFields count="13">
    <pivotField showAll="0"/>
    <pivotField axis="axisPage" multipleItemSelectionAllowed="1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55">
        <item x="14"/>
        <item x="46"/>
        <item x="43"/>
        <item x="31"/>
        <item x="13"/>
        <item x="20"/>
        <item x="18"/>
        <item x="24"/>
        <item x="26"/>
        <item x="27"/>
        <item m="1" x="53"/>
        <item x="33"/>
        <item x="8"/>
        <item x="5"/>
        <item x="7"/>
        <item x="40"/>
        <item x="2"/>
        <item x="12"/>
        <item x="32"/>
        <item x="41"/>
        <item x="38"/>
        <item x="23"/>
        <item x="1"/>
        <item x="16"/>
        <item x="15"/>
        <item x="4"/>
        <item x="28"/>
        <item x="49"/>
        <item x="10"/>
        <item x="9"/>
        <item x="44"/>
        <item x="42"/>
        <item x="17"/>
        <item x="22"/>
        <item x="39"/>
        <item x="19"/>
        <item x="6"/>
        <item x="35"/>
        <item x="37"/>
        <item x="25"/>
        <item x="50"/>
        <item x="21"/>
        <item x="29"/>
        <item x="3"/>
        <item x="52"/>
        <item x="51"/>
        <item x="34"/>
        <item x="0"/>
        <item x="30"/>
        <item x="45"/>
        <item x="47"/>
        <item x="48"/>
        <item x="11"/>
        <item x="36"/>
        <item t="default"/>
      </items>
    </pivotField>
    <pivotField showAll="0"/>
    <pivotField showAll="0"/>
    <pivotField dataField="1" showAll="0"/>
    <pivotField dataField="1" showAll="0"/>
    <pivotField dataField="1" showAll="0"/>
  </pivotFields>
  <rowFields count="1">
    <field x="7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Max of ENTRY" fld="6" subtotal="max" baseField="7" baseItem="0"/>
    <dataField name="Average of Protein" fld="10" subtotal="average" baseField="7" baseItem="0"/>
    <dataField name="Count of Heading" fld="11" subtotal="count" baseField="7" baseItem="42"/>
    <dataField name="Average of WSS" fld="12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E71823-EF4C-4777-87BD-51503EFE5D4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7" firstHeaderRow="0" firstDataRow="1" firstDataCol="1"/>
  <pivotFields count="12"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44">
        <item x="14"/>
        <item x="31"/>
        <item x="13"/>
        <item x="20"/>
        <item x="18"/>
        <item x="24"/>
        <item x="26"/>
        <item x="27"/>
        <item x="33"/>
        <item x="8"/>
        <item x="5"/>
        <item x="7"/>
        <item x="40"/>
        <item x="2"/>
        <item x="12"/>
        <item x="32"/>
        <item x="41"/>
        <item x="38"/>
        <item x="23"/>
        <item x="1"/>
        <item x="16"/>
        <item x="15"/>
        <item x="4"/>
        <item x="28"/>
        <item x="10"/>
        <item x="9"/>
        <item x="42"/>
        <item x="17"/>
        <item x="22"/>
        <item x="39"/>
        <item x="19"/>
        <item x="6"/>
        <item x="35"/>
        <item x="37"/>
        <item x="25"/>
        <item x="21"/>
        <item x="29"/>
        <item x="3"/>
        <item x="34"/>
        <item x="0"/>
        <item x="30"/>
        <item x="11"/>
        <item x="36"/>
        <item t="default"/>
      </items>
    </pivotField>
    <pivotField showAll="0"/>
    <pivotField showAll="0"/>
    <pivotField dataField="1" showAll="0"/>
    <pivotField showAll="0"/>
  </pivotFields>
  <rowFields count="1">
    <field x="7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NTRY" fld="6" subtotal="average" baseField="7" baseItem="0"/>
    <dataField name="Average of Protein" fld="10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22-08-29T22:32:51.06" personId="{F5FB25C9-D1C5-48EB-BF4E-A636A007044A}" id="{EEE3746A-EB1D-41BB-BA91-937FD6378AB2}">
    <text>Variety code number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" dT="2022-08-29T22:32:51.06" personId="{F5FB25C9-D1C5-48EB-BF4E-A636A007044A}" id="{2C043CFE-CD68-4FDD-8459-9243C816AA8A}">
    <text>Variety code number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1" dT="2022-08-29T22:32:51.06" personId="{F5FB25C9-D1C5-48EB-BF4E-A636A007044A}" id="{762BA129-5092-4A9F-95E5-5CACFA6A915C}">
    <text>Variety code number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1" dT="2022-08-29T22:32:51.06" personId="{F5FB25C9-D1C5-48EB-BF4E-A636A007044A}" id="{CD64D17C-C0DB-47A6-A78B-CB5FBF3C6655}">
    <text>Variety code number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5" dT="2022-08-29T22:19:39.06" personId="{F5FB25C9-D1C5-48EB-BF4E-A636A007044A}" id="{22B8AB8A-C82D-4560-9739-5941C6E9D284}">
    <text>To determine LSD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0592A-9B0D-451D-B7D3-13829A772FAB}">
  <dimension ref="A1:BI1430"/>
  <sheetViews>
    <sheetView workbookViewId="0">
      <selection activeCell="A3" sqref="A3:G1136"/>
    </sheetView>
  </sheetViews>
  <sheetFormatPr defaultRowHeight="15.75" x14ac:dyDescent="0.25"/>
  <cols>
    <col min="29" max="29" width="5.875" bestFit="1" customWidth="1"/>
    <col min="31" max="31" width="13" customWidth="1"/>
    <col min="32" max="32" width="7.625" customWidth="1"/>
    <col min="35" max="35" width="9.625" customWidth="1"/>
    <col min="55" max="55" width="9.875" bestFit="1" customWidth="1"/>
  </cols>
  <sheetData>
    <row r="1" spans="1:61" ht="16.5" thickBot="1" x14ac:dyDescent="0.3">
      <c r="AC1" t="s">
        <v>114</v>
      </c>
    </row>
    <row r="2" spans="1:61" ht="42.75" customHeight="1" thickBot="1" x14ac:dyDescent="0.3">
      <c r="A2" s="3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Q2" s="16" t="s">
        <v>56</v>
      </c>
      <c r="R2" s="7" t="s">
        <v>57</v>
      </c>
      <c r="S2" s="7" t="s">
        <v>48</v>
      </c>
      <c r="T2" s="7" t="s">
        <v>58</v>
      </c>
      <c r="U2" s="7" t="s">
        <v>50</v>
      </c>
      <c r="W2" s="16" t="s">
        <v>56</v>
      </c>
      <c r="X2" s="7" t="s">
        <v>57</v>
      </c>
      <c r="Y2" s="7" t="s">
        <v>48</v>
      </c>
      <c r="Z2" s="7" t="s">
        <v>58</v>
      </c>
      <c r="AA2" s="7" t="s">
        <v>50</v>
      </c>
      <c r="AC2" s="63" t="s">
        <v>46</v>
      </c>
      <c r="AD2" s="65" t="s">
        <v>47</v>
      </c>
      <c r="AE2" s="65" t="s">
        <v>48</v>
      </c>
      <c r="AF2" s="7" t="s">
        <v>49</v>
      </c>
      <c r="AG2" s="65" t="s">
        <v>50</v>
      </c>
      <c r="AH2" s="65" t="s">
        <v>51</v>
      </c>
      <c r="AI2" s="65" t="s">
        <v>52</v>
      </c>
      <c r="AJ2" s="65" t="s">
        <v>53</v>
      </c>
      <c r="AK2" s="65" t="s">
        <v>54</v>
      </c>
      <c r="AL2" s="65" t="s">
        <v>55</v>
      </c>
      <c r="AM2" s="28"/>
      <c r="AO2" t="s">
        <v>5</v>
      </c>
      <c r="AU2" t="s">
        <v>113</v>
      </c>
      <c r="BB2" t="s">
        <v>5</v>
      </c>
    </row>
    <row r="3" spans="1:61" ht="32.25" thickBot="1" x14ac:dyDescent="0.3">
      <c r="A3" s="31" t="s">
        <v>116</v>
      </c>
      <c r="B3" s="32">
        <v>1</v>
      </c>
      <c r="C3" s="32">
        <v>10</v>
      </c>
      <c r="D3" s="32">
        <v>2</v>
      </c>
      <c r="E3" s="32">
        <v>1</v>
      </c>
      <c r="F3" s="12">
        <v>56.1</v>
      </c>
      <c r="G3">
        <v>64.18601357142856</v>
      </c>
      <c r="I3" t="s">
        <v>8</v>
      </c>
      <c r="Q3" s="16">
        <v>1</v>
      </c>
      <c r="R3" s="56">
        <v>2.3823599999999998</v>
      </c>
      <c r="S3" s="56">
        <v>1.7124999999999999</v>
      </c>
      <c r="T3" s="56">
        <v>2.2949999999999999</v>
      </c>
      <c r="U3" s="56">
        <v>328</v>
      </c>
      <c r="W3" s="16">
        <v>1</v>
      </c>
      <c r="X3" s="56">
        <v>4.5147399999999998</v>
      </c>
      <c r="Y3" s="56">
        <v>1.7124999999999999</v>
      </c>
      <c r="Z3" s="56">
        <v>2.2949999999999999</v>
      </c>
      <c r="AA3" s="56">
        <v>328</v>
      </c>
      <c r="AC3" s="64"/>
      <c r="AD3" s="66"/>
      <c r="AE3" s="66"/>
      <c r="AF3" s="5" t="s">
        <v>59</v>
      </c>
      <c r="AG3" s="66"/>
      <c r="AH3" s="66"/>
      <c r="AI3" s="66"/>
      <c r="AJ3" s="66"/>
      <c r="AK3" s="66"/>
      <c r="AL3" s="66"/>
      <c r="AM3" s="28"/>
      <c r="AN3" s="16" t="s">
        <v>56</v>
      </c>
      <c r="AO3" s="7" t="s">
        <v>57</v>
      </c>
      <c r="AP3" s="7" t="s">
        <v>48</v>
      </c>
      <c r="AQ3" s="7" t="s">
        <v>58</v>
      </c>
      <c r="AR3" s="7" t="s">
        <v>50</v>
      </c>
      <c r="AT3" s="16" t="s">
        <v>56</v>
      </c>
      <c r="AU3" s="7" t="s">
        <v>57</v>
      </c>
      <c r="AV3" s="7" t="s">
        <v>48</v>
      </c>
      <c r="AW3" s="7" t="s">
        <v>58</v>
      </c>
      <c r="AX3" s="7" t="s">
        <v>50</v>
      </c>
      <c r="AZ3" s="63" t="s">
        <v>46</v>
      </c>
      <c r="BA3" s="65" t="s">
        <v>47</v>
      </c>
      <c r="BB3" s="65" t="s">
        <v>48</v>
      </c>
      <c r="BC3" s="7" t="s">
        <v>49</v>
      </c>
      <c r="BD3" s="65" t="s">
        <v>50</v>
      </c>
      <c r="BE3" s="65" t="s">
        <v>51</v>
      </c>
      <c r="BF3" s="65" t="s">
        <v>52</v>
      </c>
      <c r="BG3" s="65" t="s">
        <v>53</v>
      </c>
      <c r="BH3" s="65" t="s">
        <v>54</v>
      </c>
      <c r="BI3" s="65" t="s">
        <v>55</v>
      </c>
    </row>
    <row r="4" spans="1:61" ht="16.5" customHeight="1" thickBot="1" x14ac:dyDescent="0.3">
      <c r="A4" s="31" t="s">
        <v>116</v>
      </c>
      <c r="B4" s="32">
        <v>2</v>
      </c>
      <c r="C4" s="32">
        <v>4</v>
      </c>
      <c r="D4" s="32">
        <v>5</v>
      </c>
      <c r="E4" s="32">
        <v>1</v>
      </c>
      <c r="F4" s="12">
        <v>56.8</v>
      </c>
      <c r="G4">
        <v>68.136537005163504</v>
      </c>
      <c r="I4" t="s">
        <v>98</v>
      </c>
      <c r="Q4" s="17">
        <v>2</v>
      </c>
      <c r="R4" s="6">
        <v>2.3711799999999998</v>
      </c>
      <c r="S4" s="6">
        <v>4.1086</v>
      </c>
      <c r="T4" s="6">
        <v>2.2841999999999998</v>
      </c>
      <c r="U4" s="6">
        <v>328</v>
      </c>
      <c r="W4" s="17">
        <v>2</v>
      </c>
      <c r="X4" s="6">
        <v>4.4935600000000004</v>
      </c>
      <c r="Y4" s="6">
        <v>4.1086</v>
      </c>
      <c r="Z4" s="6">
        <v>2.2841999999999998</v>
      </c>
      <c r="AA4" s="6">
        <v>328</v>
      </c>
      <c r="AC4" s="16" t="s">
        <v>47</v>
      </c>
      <c r="AD4" s="7">
        <v>1</v>
      </c>
      <c r="AE4" s="56">
        <v>63.060299999999998</v>
      </c>
      <c r="AF4" s="56">
        <v>6.0336999999999996</v>
      </c>
      <c r="AG4" s="56">
        <v>328</v>
      </c>
      <c r="AH4" s="56">
        <v>10.45</v>
      </c>
      <c r="AI4" s="56" t="s">
        <v>65</v>
      </c>
      <c r="AJ4" s="56">
        <v>0.3</v>
      </c>
      <c r="AK4" s="56">
        <v>56.796900000000001</v>
      </c>
      <c r="AL4" s="56">
        <v>69.323700000000002</v>
      </c>
      <c r="AM4" s="29"/>
      <c r="AN4" s="17">
        <v>1</v>
      </c>
      <c r="AO4" s="6">
        <v>1.08016</v>
      </c>
      <c r="AP4" s="19">
        <v>-0.65859999999999996</v>
      </c>
      <c r="AQ4" s="6">
        <v>0.54910000000000003</v>
      </c>
      <c r="AR4" s="6">
        <v>328</v>
      </c>
      <c r="AT4" s="16">
        <v>1</v>
      </c>
      <c r="AU4" s="56">
        <v>0.56998000000000004</v>
      </c>
      <c r="AV4" s="57">
        <v>-0.65859999999999996</v>
      </c>
      <c r="AW4" s="56">
        <v>0.54910000000000003</v>
      </c>
      <c r="AX4" s="56">
        <v>328</v>
      </c>
      <c r="AZ4" s="64"/>
      <c r="BA4" s="66"/>
      <c r="BB4" s="66"/>
      <c r="BC4" s="5" t="s">
        <v>59</v>
      </c>
      <c r="BD4" s="66"/>
      <c r="BE4" s="66"/>
      <c r="BF4" s="66"/>
      <c r="BG4" s="66"/>
      <c r="BH4" s="66"/>
      <c r="BI4" s="66"/>
    </row>
    <row r="5" spans="1:61" ht="16.5" customHeight="1" x14ac:dyDescent="0.25">
      <c r="A5" s="31" t="s">
        <v>116</v>
      </c>
      <c r="B5" s="32">
        <v>3</v>
      </c>
      <c r="C5" s="32">
        <v>1</v>
      </c>
      <c r="D5" s="32">
        <v>10</v>
      </c>
      <c r="E5" s="32">
        <v>1</v>
      </c>
      <c r="F5" s="12">
        <v>57.4</v>
      </c>
      <c r="G5">
        <v>72.197407923169251</v>
      </c>
      <c r="I5" t="s">
        <v>9</v>
      </c>
      <c r="Q5" s="17">
        <v>3</v>
      </c>
      <c r="R5" s="6">
        <v>2.3827799999999999</v>
      </c>
      <c r="S5" s="6">
        <v>4.3765000000000001</v>
      </c>
      <c r="T5" s="6">
        <v>2.2953999999999999</v>
      </c>
      <c r="U5" s="6">
        <v>328</v>
      </c>
      <c r="W5" s="17">
        <v>3</v>
      </c>
      <c r="X5" s="6">
        <v>4.5155399999999997</v>
      </c>
      <c r="Y5" s="6">
        <v>4.3765000000000001</v>
      </c>
      <c r="Z5" s="6">
        <v>2.2953999999999999</v>
      </c>
      <c r="AA5" s="6">
        <v>328</v>
      </c>
      <c r="AC5" s="17" t="s">
        <v>47</v>
      </c>
      <c r="AD5" s="5">
        <v>2</v>
      </c>
      <c r="AE5" s="6">
        <v>61.347799999999999</v>
      </c>
      <c r="AF5" s="6">
        <v>6.0343999999999998</v>
      </c>
      <c r="AG5" s="6">
        <v>328</v>
      </c>
      <c r="AH5" s="6">
        <v>10.17</v>
      </c>
      <c r="AI5" s="6" t="s">
        <v>65</v>
      </c>
      <c r="AJ5" s="6">
        <v>0.3</v>
      </c>
      <c r="AK5" s="6">
        <v>55.083599999999997</v>
      </c>
      <c r="AL5" s="6">
        <v>67.611999999999995</v>
      </c>
      <c r="AM5" s="29"/>
      <c r="AN5" s="17">
        <v>2</v>
      </c>
      <c r="AO5" s="6">
        <v>1.06046</v>
      </c>
      <c r="AP5" s="19">
        <v>-1.4214</v>
      </c>
      <c r="AQ5" s="6">
        <v>0.53910000000000002</v>
      </c>
      <c r="AR5" s="6">
        <v>328</v>
      </c>
      <c r="AT5" s="17">
        <v>2</v>
      </c>
      <c r="AU5" s="6">
        <v>0.55959000000000003</v>
      </c>
      <c r="AV5" s="19">
        <v>-1.4214</v>
      </c>
      <c r="AW5" s="6">
        <v>0.53910000000000002</v>
      </c>
      <c r="AX5" s="6">
        <v>328</v>
      </c>
      <c r="AZ5" s="16" t="s">
        <v>47</v>
      </c>
      <c r="BA5" s="7">
        <v>1</v>
      </c>
      <c r="BB5" s="56">
        <v>57.9512</v>
      </c>
      <c r="BC5" s="56">
        <v>0.8226</v>
      </c>
      <c r="BD5" s="56">
        <v>328</v>
      </c>
      <c r="BE5" s="56">
        <v>70.45</v>
      </c>
      <c r="BF5" s="56" t="s">
        <v>65</v>
      </c>
      <c r="BG5" s="56">
        <v>0.05</v>
      </c>
      <c r="BH5" s="56">
        <v>56.332999999999998</v>
      </c>
      <c r="BI5" s="56">
        <v>59.569299999999998</v>
      </c>
    </row>
    <row r="6" spans="1:61" ht="16.5" customHeight="1" x14ac:dyDescent="0.25">
      <c r="A6" s="34" t="s">
        <v>97</v>
      </c>
      <c r="B6" s="35">
        <v>1</v>
      </c>
      <c r="C6" s="35">
        <v>12</v>
      </c>
      <c r="D6" s="35">
        <v>1</v>
      </c>
      <c r="E6" s="35">
        <v>1</v>
      </c>
      <c r="F6" s="2">
        <v>60.2</v>
      </c>
      <c r="G6">
        <v>84.050057142857142</v>
      </c>
      <c r="I6" s="27" t="s">
        <v>109</v>
      </c>
      <c r="J6" s="27"/>
      <c r="K6" s="27"/>
      <c r="L6" s="27"/>
      <c r="M6" s="27"/>
      <c r="Q6" s="17">
        <v>4</v>
      </c>
      <c r="R6" s="6">
        <v>2.3706200000000002</v>
      </c>
      <c r="S6" s="6">
        <v>2.8197999999999999</v>
      </c>
      <c r="T6" s="6">
        <v>2.2837000000000001</v>
      </c>
      <c r="U6" s="6">
        <v>328</v>
      </c>
      <c r="W6" s="17">
        <v>4</v>
      </c>
      <c r="X6" s="6">
        <v>4.4924900000000001</v>
      </c>
      <c r="Y6" s="6">
        <v>2.8197999999999999</v>
      </c>
      <c r="Z6" s="6">
        <v>2.2837000000000001</v>
      </c>
      <c r="AA6" s="6">
        <v>328</v>
      </c>
      <c r="AC6" s="17" t="s">
        <v>47</v>
      </c>
      <c r="AD6" s="5">
        <v>3</v>
      </c>
      <c r="AE6" s="6">
        <v>58.951700000000002</v>
      </c>
      <c r="AF6" s="6">
        <v>6.0350000000000001</v>
      </c>
      <c r="AG6" s="6">
        <v>328</v>
      </c>
      <c r="AH6" s="6">
        <v>9.77</v>
      </c>
      <c r="AI6" s="6" t="s">
        <v>65</v>
      </c>
      <c r="AJ6" s="6">
        <v>0.3</v>
      </c>
      <c r="AK6" s="6">
        <v>52.686900000000001</v>
      </c>
      <c r="AL6" s="6">
        <v>65.216499999999996</v>
      </c>
      <c r="AM6" s="29"/>
      <c r="AN6" s="17">
        <v>3</v>
      </c>
      <c r="AO6" s="6">
        <v>1.0683</v>
      </c>
      <c r="AP6" s="6">
        <v>2.4577</v>
      </c>
      <c r="AQ6" s="6">
        <v>0.54300000000000004</v>
      </c>
      <c r="AR6" s="6">
        <v>328</v>
      </c>
      <c r="AT6" s="17">
        <v>3</v>
      </c>
      <c r="AU6" s="6">
        <v>0.56372999999999995</v>
      </c>
      <c r="AV6" s="6">
        <v>2.4577</v>
      </c>
      <c r="AW6" s="6">
        <v>0.54300000000000004</v>
      </c>
      <c r="AX6" s="6">
        <v>328</v>
      </c>
      <c r="AZ6" s="17" t="s">
        <v>47</v>
      </c>
      <c r="BA6" s="5">
        <v>2</v>
      </c>
      <c r="BB6" s="6">
        <v>58.609699999999997</v>
      </c>
      <c r="BC6" s="6">
        <v>0.82709999999999995</v>
      </c>
      <c r="BD6" s="6">
        <v>328</v>
      </c>
      <c r="BE6" s="6">
        <v>70.86</v>
      </c>
      <c r="BF6" s="6" t="s">
        <v>65</v>
      </c>
      <c r="BG6" s="6">
        <v>0.05</v>
      </c>
      <c r="BH6" s="6">
        <v>56.982700000000001</v>
      </c>
      <c r="BI6" s="6">
        <v>60.236800000000002</v>
      </c>
    </row>
    <row r="7" spans="1:61" ht="16.5" customHeight="1" x14ac:dyDescent="0.25">
      <c r="A7" s="34" t="s">
        <v>97</v>
      </c>
      <c r="B7" s="35">
        <v>2</v>
      </c>
      <c r="C7" s="35">
        <v>14</v>
      </c>
      <c r="D7" s="35">
        <v>3</v>
      </c>
      <c r="E7" s="35">
        <v>1</v>
      </c>
      <c r="F7" s="2">
        <v>60.4</v>
      </c>
      <c r="G7">
        <v>75.911964949548576</v>
      </c>
      <c r="Q7" s="17">
        <v>5</v>
      </c>
      <c r="R7" s="6">
        <v>2.3801299999999999</v>
      </c>
      <c r="S7" s="6">
        <v>12.368499999999999</v>
      </c>
      <c r="T7" s="6">
        <v>2.2928000000000002</v>
      </c>
      <c r="U7" s="6">
        <v>328</v>
      </c>
      <c r="W7" s="17">
        <v>5</v>
      </c>
      <c r="X7" s="6">
        <v>4.5105199999999996</v>
      </c>
      <c r="Y7" s="6">
        <v>12.368499999999999</v>
      </c>
      <c r="Z7" s="6">
        <v>2.2928000000000002</v>
      </c>
      <c r="AA7" s="6">
        <v>328</v>
      </c>
      <c r="AC7" s="17" t="s">
        <v>47</v>
      </c>
      <c r="AD7" s="5">
        <v>4</v>
      </c>
      <c r="AE7" s="6">
        <v>58.683700000000002</v>
      </c>
      <c r="AF7" s="6">
        <v>6.0358000000000001</v>
      </c>
      <c r="AG7" s="6">
        <v>328</v>
      </c>
      <c r="AH7" s="6">
        <v>9.7200000000000006</v>
      </c>
      <c r="AI7" s="6" t="s">
        <v>65</v>
      </c>
      <c r="AJ7" s="6">
        <v>0.3</v>
      </c>
      <c r="AK7" s="6">
        <v>52.418199999999999</v>
      </c>
      <c r="AL7" s="6">
        <v>64.949299999999994</v>
      </c>
      <c r="AM7" s="29"/>
      <c r="AN7" s="17">
        <v>4</v>
      </c>
      <c r="AO7" s="6">
        <v>1.0599700000000001</v>
      </c>
      <c r="AP7" s="6">
        <v>0.65239999999999998</v>
      </c>
      <c r="AQ7" s="6">
        <v>0.53879999999999995</v>
      </c>
      <c r="AR7" s="6">
        <v>328</v>
      </c>
      <c r="AT7" s="17">
        <v>4</v>
      </c>
      <c r="AU7" s="6">
        <v>0.55932999999999999</v>
      </c>
      <c r="AV7" s="6">
        <v>0.65239999999999998</v>
      </c>
      <c r="AW7" s="6">
        <v>0.53879999999999995</v>
      </c>
      <c r="AX7" s="6">
        <v>328</v>
      </c>
      <c r="AZ7" s="17" t="s">
        <v>47</v>
      </c>
      <c r="BA7" s="5">
        <v>3</v>
      </c>
      <c r="BB7" s="6">
        <v>59.372500000000002</v>
      </c>
      <c r="BC7" s="6">
        <v>0.82279999999999998</v>
      </c>
      <c r="BD7" s="6">
        <v>328</v>
      </c>
      <c r="BE7" s="6">
        <v>72.16</v>
      </c>
      <c r="BF7" s="6" t="s">
        <v>65</v>
      </c>
      <c r="BG7" s="6">
        <v>0.05</v>
      </c>
      <c r="BH7" s="6">
        <v>57.753900000000002</v>
      </c>
      <c r="BI7" s="6">
        <v>60.991199999999999</v>
      </c>
    </row>
    <row r="8" spans="1:61" ht="16.5" customHeight="1" x14ac:dyDescent="0.25">
      <c r="A8" s="34" t="s">
        <v>97</v>
      </c>
      <c r="B8" s="35">
        <v>3</v>
      </c>
      <c r="C8" s="35">
        <v>16</v>
      </c>
      <c r="D8" s="35">
        <v>5</v>
      </c>
      <c r="E8" s="35">
        <v>1</v>
      </c>
      <c r="F8" s="2">
        <v>59.9</v>
      </c>
      <c r="G8">
        <v>81.859025010597705</v>
      </c>
      <c r="I8" s="15" t="s">
        <v>110</v>
      </c>
      <c r="Q8" s="17">
        <v>6</v>
      </c>
      <c r="R8" s="6">
        <v>2.3739400000000002</v>
      </c>
      <c r="S8" s="19">
        <v>-0.51119999999999999</v>
      </c>
      <c r="T8" s="6">
        <v>2.2869000000000002</v>
      </c>
      <c r="U8" s="6">
        <v>328</v>
      </c>
      <c r="W8" s="17">
        <v>6</v>
      </c>
      <c r="X8" s="6">
        <v>4.4987899999999996</v>
      </c>
      <c r="Y8" s="19">
        <v>-0.51119999999999999</v>
      </c>
      <c r="Z8" s="6">
        <v>2.2869000000000002</v>
      </c>
      <c r="AA8" s="6">
        <v>328</v>
      </c>
      <c r="AC8" s="17" t="s">
        <v>47</v>
      </c>
      <c r="AD8" s="5">
        <v>5</v>
      </c>
      <c r="AE8" s="6">
        <v>60.240499999999997</v>
      </c>
      <c r="AF8" s="6">
        <v>6.0340999999999996</v>
      </c>
      <c r="AG8" s="6">
        <v>328</v>
      </c>
      <c r="AH8" s="6">
        <v>9.98</v>
      </c>
      <c r="AI8" s="6" t="s">
        <v>65</v>
      </c>
      <c r="AJ8" s="6">
        <v>0.3</v>
      </c>
      <c r="AK8" s="6">
        <v>53.976700000000001</v>
      </c>
      <c r="AL8" s="6">
        <v>66.504300000000001</v>
      </c>
      <c r="AM8" s="29"/>
      <c r="AN8" s="17">
        <v>5</v>
      </c>
      <c r="AO8" s="6">
        <v>1.06413</v>
      </c>
      <c r="AP8" s="6">
        <v>0.37890000000000001</v>
      </c>
      <c r="AQ8" s="6">
        <v>0.54090000000000005</v>
      </c>
      <c r="AR8" s="6">
        <v>328</v>
      </c>
      <c r="AT8" s="17">
        <v>5</v>
      </c>
      <c r="AU8" s="6">
        <v>0.56152999999999997</v>
      </c>
      <c r="AV8" s="6">
        <v>0.37890000000000001</v>
      </c>
      <c r="AW8" s="6">
        <v>0.54090000000000005</v>
      </c>
      <c r="AX8" s="6">
        <v>328</v>
      </c>
      <c r="AZ8" s="17" t="s">
        <v>47</v>
      </c>
      <c r="BA8" s="5">
        <v>4</v>
      </c>
      <c r="BB8" s="6">
        <v>55.493400000000001</v>
      </c>
      <c r="BC8" s="6">
        <v>0.82330000000000003</v>
      </c>
      <c r="BD8" s="6">
        <v>328</v>
      </c>
      <c r="BE8" s="6">
        <v>67.400000000000006</v>
      </c>
      <c r="BF8" s="6" t="s">
        <v>65</v>
      </c>
      <c r="BG8" s="6">
        <v>0.05</v>
      </c>
      <c r="BH8" s="6">
        <v>53.873800000000003</v>
      </c>
      <c r="BI8" s="6">
        <v>57.113100000000003</v>
      </c>
    </row>
    <row r="9" spans="1:61" ht="16.5" customHeight="1" x14ac:dyDescent="0.25">
      <c r="A9" s="31" t="s">
        <v>132</v>
      </c>
      <c r="B9" s="32">
        <v>1</v>
      </c>
      <c r="C9" s="32">
        <v>16</v>
      </c>
      <c r="D9" s="32">
        <v>2</v>
      </c>
      <c r="E9" s="32">
        <v>1</v>
      </c>
      <c r="F9" s="2">
        <v>61.9</v>
      </c>
      <c r="G9">
        <v>69.084826189672626</v>
      </c>
      <c r="I9" s="15" t="s">
        <v>98</v>
      </c>
      <c r="Q9" s="17">
        <v>7</v>
      </c>
      <c r="R9" s="6">
        <v>2.3750200000000001</v>
      </c>
      <c r="S9" s="6">
        <v>6.8688000000000002</v>
      </c>
      <c r="T9" s="6">
        <v>2.2879</v>
      </c>
      <c r="U9" s="6">
        <v>328</v>
      </c>
      <c r="W9" s="17">
        <v>7</v>
      </c>
      <c r="X9" s="6">
        <v>4.50082</v>
      </c>
      <c r="Y9" s="6">
        <v>6.8688000000000002</v>
      </c>
      <c r="Z9" s="6">
        <v>2.2879</v>
      </c>
      <c r="AA9" s="6">
        <v>328</v>
      </c>
      <c r="AC9" s="17" t="s">
        <v>47</v>
      </c>
      <c r="AD9" s="5">
        <v>6</v>
      </c>
      <c r="AE9" s="6">
        <v>50.691800000000001</v>
      </c>
      <c r="AF9" s="6">
        <v>6.0349000000000004</v>
      </c>
      <c r="AG9" s="6">
        <v>328</v>
      </c>
      <c r="AH9" s="6">
        <v>8.4</v>
      </c>
      <c r="AI9" s="6" t="s">
        <v>65</v>
      </c>
      <c r="AJ9" s="6">
        <v>0.3</v>
      </c>
      <c r="AK9" s="6">
        <v>44.427100000000003</v>
      </c>
      <c r="AL9" s="6">
        <v>56.956499999999998</v>
      </c>
      <c r="AM9" s="29"/>
      <c r="AN9" s="17">
        <v>6</v>
      </c>
      <c r="AO9" s="6">
        <v>1.06257</v>
      </c>
      <c r="AP9" s="19">
        <v>-0.53310000000000002</v>
      </c>
      <c r="AQ9" s="6">
        <v>0.54010000000000002</v>
      </c>
      <c r="AR9" s="6">
        <v>328</v>
      </c>
      <c r="AT9" s="17">
        <v>6</v>
      </c>
      <c r="AU9" s="6">
        <v>0.56069999999999998</v>
      </c>
      <c r="AV9" s="19">
        <v>-0.53310000000000002</v>
      </c>
      <c r="AW9" s="6">
        <v>0.54010000000000002</v>
      </c>
      <c r="AX9" s="6">
        <v>328</v>
      </c>
      <c r="AZ9" s="17" t="s">
        <v>47</v>
      </c>
      <c r="BA9" s="5">
        <v>5</v>
      </c>
      <c r="BB9" s="6">
        <v>57.2988</v>
      </c>
      <c r="BC9" s="6">
        <v>0.82269999999999999</v>
      </c>
      <c r="BD9" s="6">
        <v>328</v>
      </c>
      <c r="BE9" s="6">
        <v>69.64</v>
      </c>
      <c r="BF9" s="6" t="s">
        <v>65</v>
      </c>
      <c r="BG9" s="6">
        <v>0.05</v>
      </c>
      <c r="BH9" s="6">
        <v>55.680300000000003</v>
      </c>
      <c r="BI9" s="6">
        <v>58.917299999999997</v>
      </c>
    </row>
    <row r="10" spans="1:61" ht="16.5" customHeight="1" x14ac:dyDescent="0.25">
      <c r="A10" s="31" t="s">
        <v>132</v>
      </c>
      <c r="B10" s="32">
        <v>2</v>
      </c>
      <c r="C10" s="32">
        <v>20</v>
      </c>
      <c r="D10" s="32">
        <v>4</v>
      </c>
      <c r="E10" s="32">
        <v>1</v>
      </c>
      <c r="F10" s="2">
        <v>61.4</v>
      </c>
      <c r="G10">
        <v>63.577760459792508</v>
      </c>
      <c r="I10" s="15" t="s">
        <v>9</v>
      </c>
      <c r="Q10" s="17">
        <v>8</v>
      </c>
      <c r="R10" s="6">
        <v>2.3664800000000001</v>
      </c>
      <c r="S10" s="6">
        <v>11.9956</v>
      </c>
      <c r="T10" s="6">
        <v>2.2797000000000001</v>
      </c>
      <c r="U10" s="6">
        <v>328</v>
      </c>
      <c r="W10" s="17">
        <v>8</v>
      </c>
      <c r="X10" s="6">
        <v>4.4846300000000001</v>
      </c>
      <c r="Y10" s="6">
        <v>11.9956</v>
      </c>
      <c r="Z10" s="6">
        <v>2.2797000000000001</v>
      </c>
      <c r="AA10" s="6">
        <v>328</v>
      </c>
      <c r="AC10" s="17" t="s">
        <v>47</v>
      </c>
      <c r="AD10" s="5">
        <v>8</v>
      </c>
      <c r="AE10" s="6">
        <v>63.571399999999997</v>
      </c>
      <c r="AF10" s="6">
        <v>6.0335999999999999</v>
      </c>
      <c r="AG10" s="6">
        <v>328</v>
      </c>
      <c r="AH10" s="6">
        <v>10.54</v>
      </c>
      <c r="AI10" s="6" t="s">
        <v>65</v>
      </c>
      <c r="AJ10" s="6">
        <v>0.3</v>
      </c>
      <c r="AK10" s="6">
        <v>57.308100000000003</v>
      </c>
      <c r="AL10" s="6">
        <v>69.834800000000001</v>
      </c>
      <c r="AM10" s="29"/>
      <c r="AN10" s="17">
        <v>7</v>
      </c>
      <c r="AO10" s="6">
        <v>1.0711599999999999</v>
      </c>
      <c r="AP10" s="6">
        <v>2.1214</v>
      </c>
      <c r="AQ10" s="6">
        <v>0.54449999999999998</v>
      </c>
      <c r="AR10" s="6">
        <v>328</v>
      </c>
      <c r="AT10" s="17">
        <v>7</v>
      </c>
      <c r="AU10" s="6">
        <v>0.56523999999999996</v>
      </c>
      <c r="AV10" s="6">
        <v>2.1214</v>
      </c>
      <c r="AW10" s="6">
        <v>0.54449999999999998</v>
      </c>
      <c r="AX10" s="6">
        <v>328</v>
      </c>
      <c r="AZ10" s="17" t="s">
        <v>47</v>
      </c>
      <c r="BA10" s="5">
        <v>6</v>
      </c>
      <c r="BB10" s="6">
        <v>57.572299999999998</v>
      </c>
      <c r="BC10" s="6">
        <v>0.82299999999999995</v>
      </c>
      <c r="BD10" s="6">
        <v>328</v>
      </c>
      <c r="BE10" s="6">
        <v>69.95</v>
      </c>
      <c r="BF10" s="6" t="s">
        <v>65</v>
      </c>
      <c r="BG10" s="6">
        <v>0.05</v>
      </c>
      <c r="BH10" s="6">
        <v>55.953200000000002</v>
      </c>
      <c r="BI10" s="6">
        <v>59.191400000000002</v>
      </c>
    </row>
    <row r="11" spans="1:61" ht="16.5" customHeight="1" x14ac:dyDescent="0.25">
      <c r="A11" s="31" t="s">
        <v>132</v>
      </c>
      <c r="B11" s="32">
        <v>3</v>
      </c>
      <c r="C11" s="32">
        <v>19</v>
      </c>
      <c r="D11" s="32">
        <v>5</v>
      </c>
      <c r="E11" s="32">
        <v>1</v>
      </c>
      <c r="F11" s="12">
        <v>59.9</v>
      </c>
      <c r="G11">
        <v>67.374097844745378</v>
      </c>
      <c r="I11" s="15"/>
      <c r="Q11" s="17">
        <v>9</v>
      </c>
      <c r="R11" s="6">
        <v>2.3786700000000001</v>
      </c>
      <c r="S11" s="6">
        <v>1.2524</v>
      </c>
      <c r="T11" s="6">
        <v>2.2913999999999999</v>
      </c>
      <c r="U11" s="6">
        <v>328</v>
      </c>
      <c r="W11" s="17">
        <v>9</v>
      </c>
      <c r="X11" s="6">
        <v>4.5077400000000001</v>
      </c>
      <c r="Y11" s="6">
        <v>1.2524</v>
      </c>
      <c r="Z11" s="6">
        <v>2.2913999999999999</v>
      </c>
      <c r="AA11" s="6">
        <v>328</v>
      </c>
      <c r="AC11" s="17" t="s">
        <v>47</v>
      </c>
      <c r="AD11" s="5">
        <v>9</v>
      </c>
      <c r="AE11" s="6">
        <v>56.191499999999998</v>
      </c>
      <c r="AF11" s="6">
        <v>6.0355999999999996</v>
      </c>
      <c r="AG11" s="6">
        <v>328</v>
      </c>
      <c r="AH11" s="6">
        <v>9.31</v>
      </c>
      <c r="AI11" s="6" t="s">
        <v>65</v>
      </c>
      <c r="AJ11" s="6">
        <v>0.3</v>
      </c>
      <c r="AK11" s="6">
        <v>49.926099999999998</v>
      </c>
      <c r="AL11" s="6">
        <v>62.457000000000001</v>
      </c>
      <c r="AM11" s="29"/>
      <c r="AN11" s="17">
        <v>8</v>
      </c>
      <c r="AO11" s="6">
        <v>1.05487</v>
      </c>
      <c r="AP11" s="6">
        <v>3.1221000000000001</v>
      </c>
      <c r="AQ11" s="6">
        <v>0.53620000000000001</v>
      </c>
      <c r="AR11" s="6">
        <v>328</v>
      </c>
      <c r="AT11" s="17">
        <v>8</v>
      </c>
      <c r="AU11" s="6">
        <v>0.55664000000000002</v>
      </c>
      <c r="AV11" s="6">
        <v>3.1221000000000001</v>
      </c>
      <c r="AW11" s="6">
        <v>0.53620000000000001</v>
      </c>
      <c r="AX11" s="6">
        <v>328</v>
      </c>
      <c r="AZ11" s="17" t="s">
        <v>47</v>
      </c>
      <c r="BA11" s="5">
        <v>8</v>
      </c>
      <c r="BB11" s="6">
        <v>58.484200000000001</v>
      </c>
      <c r="BC11" s="6">
        <v>0.8226</v>
      </c>
      <c r="BD11" s="6">
        <v>328</v>
      </c>
      <c r="BE11" s="6">
        <v>71.099999999999994</v>
      </c>
      <c r="BF11" s="6" t="s">
        <v>65</v>
      </c>
      <c r="BG11" s="6">
        <v>0.05</v>
      </c>
      <c r="BH11" s="6">
        <v>56.866</v>
      </c>
      <c r="BI11" s="6">
        <v>60.102499999999999</v>
      </c>
    </row>
    <row r="12" spans="1:61" ht="16.5" customHeight="1" x14ac:dyDescent="0.25">
      <c r="A12" s="31" t="s">
        <v>13</v>
      </c>
      <c r="B12" s="32">
        <v>1</v>
      </c>
      <c r="C12" s="36">
        <v>4</v>
      </c>
      <c r="D12" s="36">
        <v>2</v>
      </c>
      <c r="E12" s="32">
        <v>1</v>
      </c>
      <c r="F12" s="12">
        <v>57.9</v>
      </c>
      <c r="G12">
        <v>70.231754999999993</v>
      </c>
      <c r="I12" t="s">
        <v>162</v>
      </c>
      <c r="Q12" s="17">
        <v>10</v>
      </c>
      <c r="R12" s="6">
        <v>2.3744200000000002</v>
      </c>
      <c r="S12" s="6">
        <v>8.6214999999999993</v>
      </c>
      <c r="T12" s="6">
        <v>2.2873000000000001</v>
      </c>
      <c r="U12" s="6">
        <v>328</v>
      </c>
      <c r="W12" s="17">
        <v>10</v>
      </c>
      <c r="X12" s="6">
        <v>4.4996900000000002</v>
      </c>
      <c r="Y12" s="6">
        <v>8.6214999999999993</v>
      </c>
      <c r="Z12" s="6">
        <v>2.2873000000000001</v>
      </c>
      <c r="AA12" s="6">
        <v>328</v>
      </c>
      <c r="AC12" s="17" t="s">
        <v>47</v>
      </c>
      <c r="AD12" s="5">
        <v>10</v>
      </c>
      <c r="AE12" s="6">
        <v>51.064700000000002</v>
      </c>
      <c r="AF12" s="6">
        <v>6.0335000000000001</v>
      </c>
      <c r="AG12" s="6">
        <v>328</v>
      </c>
      <c r="AH12" s="6">
        <v>8.4600000000000009</v>
      </c>
      <c r="AI12" s="6" t="s">
        <v>65</v>
      </c>
      <c r="AJ12" s="6">
        <v>0.3</v>
      </c>
      <c r="AK12" s="6">
        <v>44.801400000000001</v>
      </c>
      <c r="AL12" s="6">
        <v>57.3279</v>
      </c>
      <c r="AM12" s="29"/>
      <c r="AN12" s="17">
        <v>9</v>
      </c>
      <c r="AO12" s="6">
        <v>1.06487</v>
      </c>
      <c r="AP12" s="19">
        <v>-1.4613</v>
      </c>
      <c r="AQ12" s="6">
        <v>0.5413</v>
      </c>
      <c r="AR12" s="6">
        <v>328</v>
      </c>
      <c r="AT12" s="17">
        <v>9</v>
      </c>
      <c r="AU12" s="6">
        <v>0.56191999999999998</v>
      </c>
      <c r="AV12" s="19">
        <v>-1.4613</v>
      </c>
      <c r="AW12" s="6">
        <v>0.5413</v>
      </c>
      <c r="AX12" s="6">
        <v>328</v>
      </c>
      <c r="AZ12" s="17" t="s">
        <v>47</v>
      </c>
      <c r="BA12" s="5">
        <v>9</v>
      </c>
      <c r="BB12" s="6">
        <v>55.829700000000003</v>
      </c>
      <c r="BC12" s="6">
        <v>0.82579999999999998</v>
      </c>
      <c r="BD12" s="6">
        <v>328</v>
      </c>
      <c r="BE12" s="6">
        <v>67.61</v>
      </c>
      <c r="BF12" s="6" t="s">
        <v>65</v>
      </c>
      <c r="BG12" s="6">
        <v>0.05</v>
      </c>
      <c r="BH12" s="6">
        <v>54.205199999999998</v>
      </c>
      <c r="BI12" s="6">
        <v>57.454300000000003</v>
      </c>
    </row>
    <row r="13" spans="1:61" ht="16.5" customHeight="1" x14ac:dyDescent="0.25">
      <c r="A13" s="31" t="s">
        <v>13</v>
      </c>
      <c r="B13" s="32">
        <v>2</v>
      </c>
      <c r="C13" s="36">
        <v>10</v>
      </c>
      <c r="D13" s="36">
        <v>4</v>
      </c>
      <c r="E13" s="32">
        <v>1</v>
      </c>
      <c r="F13" s="12">
        <v>57.1</v>
      </c>
      <c r="G13">
        <v>68.552494999999993</v>
      </c>
      <c r="I13" t="s">
        <v>163</v>
      </c>
      <c r="Q13" s="17">
        <v>11</v>
      </c>
      <c r="R13" s="6">
        <v>2.3832300000000002</v>
      </c>
      <c r="S13" s="6">
        <v>3.7128000000000001</v>
      </c>
      <c r="T13" s="6">
        <v>2.2957999999999998</v>
      </c>
      <c r="U13" s="6">
        <v>328</v>
      </c>
      <c r="W13" s="17">
        <v>11</v>
      </c>
      <c r="X13" s="6">
        <v>4.5163900000000003</v>
      </c>
      <c r="Y13" s="6">
        <v>3.7128000000000001</v>
      </c>
      <c r="Z13" s="6">
        <v>2.2957999999999998</v>
      </c>
      <c r="AA13" s="6">
        <v>328</v>
      </c>
      <c r="AC13" s="17" t="s">
        <v>47</v>
      </c>
      <c r="AD13" s="5">
        <v>11</v>
      </c>
      <c r="AE13" s="6">
        <v>61.807899999999997</v>
      </c>
      <c r="AF13" s="6">
        <v>6.0347999999999997</v>
      </c>
      <c r="AG13" s="6">
        <v>328</v>
      </c>
      <c r="AH13" s="6">
        <v>10.24</v>
      </c>
      <c r="AI13" s="6" t="s">
        <v>65</v>
      </c>
      <c r="AJ13" s="6">
        <v>0.3</v>
      </c>
      <c r="AK13" s="6">
        <v>55.543300000000002</v>
      </c>
      <c r="AL13" s="6">
        <v>68.072400000000002</v>
      </c>
      <c r="AM13" s="29"/>
      <c r="AN13" s="17">
        <v>10</v>
      </c>
      <c r="AO13" s="6">
        <v>1.0757399999999999</v>
      </c>
      <c r="AP13" s="6">
        <v>0.60880000000000001</v>
      </c>
      <c r="AQ13" s="6">
        <v>0.54679999999999995</v>
      </c>
      <c r="AR13" s="6">
        <v>328</v>
      </c>
      <c r="AT13" s="17">
        <v>10</v>
      </c>
      <c r="AU13" s="6">
        <v>0.56764999999999999</v>
      </c>
      <c r="AV13" s="6">
        <v>0.60880000000000001</v>
      </c>
      <c r="AW13" s="6">
        <v>0.54679999999999995</v>
      </c>
      <c r="AX13" s="6">
        <v>328</v>
      </c>
      <c r="AZ13" s="17" t="s">
        <v>47</v>
      </c>
      <c r="BA13" s="5">
        <v>10</v>
      </c>
      <c r="BB13" s="6">
        <v>54.829000000000001</v>
      </c>
      <c r="BC13" s="6">
        <v>0.8226</v>
      </c>
      <c r="BD13" s="6">
        <v>328</v>
      </c>
      <c r="BE13" s="6">
        <v>66.650000000000006</v>
      </c>
      <c r="BF13" s="6" t="s">
        <v>65</v>
      </c>
      <c r="BG13" s="6">
        <v>0.05</v>
      </c>
      <c r="BH13" s="6">
        <v>53.210799999999999</v>
      </c>
      <c r="BI13" s="6">
        <v>56.447299999999998</v>
      </c>
    </row>
    <row r="14" spans="1:61" ht="16.5" customHeight="1" x14ac:dyDescent="0.25">
      <c r="A14" s="31" t="s">
        <v>13</v>
      </c>
      <c r="B14" s="32">
        <v>3</v>
      </c>
      <c r="C14" s="36">
        <v>5</v>
      </c>
      <c r="D14" s="36">
        <v>5</v>
      </c>
      <c r="E14" s="32">
        <v>1</v>
      </c>
      <c r="F14" s="12">
        <v>57.6</v>
      </c>
      <c r="G14">
        <v>61.182274999999997</v>
      </c>
      <c r="I14" t="s">
        <v>164</v>
      </c>
      <c r="Q14" s="17">
        <v>12</v>
      </c>
      <c r="R14" s="6">
        <v>2.3732799999999998</v>
      </c>
      <c r="S14" s="19">
        <v>-0.53639999999999999</v>
      </c>
      <c r="T14" s="6">
        <v>2.2862</v>
      </c>
      <c r="U14" s="6">
        <v>328</v>
      </c>
      <c r="W14" s="17">
        <v>12</v>
      </c>
      <c r="X14" s="6">
        <v>4.4975300000000002</v>
      </c>
      <c r="Y14" s="19">
        <v>-0.53639999999999999</v>
      </c>
      <c r="Z14" s="6">
        <v>2.2862</v>
      </c>
      <c r="AA14" s="6">
        <v>328</v>
      </c>
      <c r="AC14" s="17" t="s">
        <v>47</v>
      </c>
      <c r="AD14" s="5">
        <v>12</v>
      </c>
      <c r="AE14" s="6">
        <v>54.438800000000001</v>
      </c>
      <c r="AF14" s="6">
        <v>6.0339999999999998</v>
      </c>
      <c r="AG14" s="6">
        <v>328</v>
      </c>
      <c r="AH14" s="6">
        <v>9.02</v>
      </c>
      <c r="AI14" s="6" t="s">
        <v>65</v>
      </c>
      <c r="AJ14" s="6">
        <v>0.3</v>
      </c>
      <c r="AK14" s="6">
        <v>48.174999999999997</v>
      </c>
      <c r="AL14" s="6">
        <v>60.702599999999997</v>
      </c>
      <c r="AM14" s="29"/>
      <c r="AN14" s="17">
        <v>11</v>
      </c>
      <c r="AO14" s="6">
        <v>1.06549</v>
      </c>
      <c r="AP14" s="19">
        <v>-0.71060000000000001</v>
      </c>
      <c r="AQ14" s="6">
        <v>0.54159999999999997</v>
      </c>
      <c r="AR14" s="6">
        <v>328</v>
      </c>
      <c r="AT14" s="17">
        <v>11</v>
      </c>
      <c r="AU14" s="6">
        <v>0.56225000000000003</v>
      </c>
      <c r="AV14" s="19">
        <v>-0.71060000000000001</v>
      </c>
      <c r="AW14" s="6">
        <v>0.54159999999999997</v>
      </c>
      <c r="AX14" s="6">
        <v>328</v>
      </c>
      <c r="AZ14" s="17" t="s">
        <v>47</v>
      </c>
      <c r="BA14" s="5">
        <v>11</v>
      </c>
      <c r="BB14" s="6">
        <v>59.412500000000001</v>
      </c>
      <c r="BC14" s="6">
        <v>0.82269999999999999</v>
      </c>
      <c r="BD14" s="6">
        <v>328</v>
      </c>
      <c r="BE14" s="6">
        <v>72.209999999999994</v>
      </c>
      <c r="BF14" s="6" t="s">
        <v>65</v>
      </c>
      <c r="BG14" s="6">
        <v>0.05</v>
      </c>
      <c r="BH14" s="6">
        <v>57.793999999999997</v>
      </c>
      <c r="BI14" s="6">
        <v>61.030999999999999</v>
      </c>
    </row>
    <row r="15" spans="1:61" ht="16.5" customHeight="1" x14ac:dyDescent="0.25">
      <c r="A15" t="s">
        <v>7</v>
      </c>
      <c r="B15" s="11">
        <v>1</v>
      </c>
      <c r="C15" s="11">
        <v>1</v>
      </c>
      <c r="D15" s="11">
        <v>2</v>
      </c>
      <c r="E15" s="11">
        <v>1</v>
      </c>
      <c r="F15" s="12">
        <v>57.4</v>
      </c>
      <c r="G15">
        <v>44.912725309336338</v>
      </c>
      <c r="I15" t="s">
        <v>61</v>
      </c>
      <c r="Q15" s="17">
        <v>13</v>
      </c>
      <c r="R15" s="6">
        <v>2.3826800000000001</v>
      </c>
      <c r="S15" s="6">
        <v>1.6976</v>
      </c>
      <c r="T15" s="6">
        <v>2.2953000000000001</v>
      </c>
      <c r="U15" s="6">
        <v>328</v>
      </c>
      <c r="W15" s="17">
        <v>13</v>
      </c>
      <c r="X15" s="6">
        <v>4.5153400000000001</v>
      </c>
      <c r="Y15" s="6">
        <v>1.6976</v>
      </c>
      <c r="Z15" s="6">
        <v>2.2953000000000001</v>
      </c>
      <c r="AA15" s="6">
        <v>328</v>
      </c>
      <c r="AC15" s="17" t="s">
        <v>47</v>
      </c>
      <c r="AD15" s="5">
        <v>13</v>
      </c>
      <c r="AE15" s="6">
        <v>59.347499999999997</v>
      </c>
      <c r="AF15" s="6">
        <v>6.0347</v>
      </c>
      <c r="AG15" s="6">
        <v>328</v>
      </c>
      <c r="AH15" s="6">
        <v>9.83</v>
      </c>
      <c r="AI15" s="6" t="s">
        <v>65</v>
      </c>
      <c r="AJ15" s="6">
        <v>0.3</v>
      </c>
      <c r="AK15" s="6">
        <v>53.083100000000002</v>
      </c>
      <c r="AL15" s="6">
        <v>65.611999999999995</v>
      </c>
      <c r="AM15" s="29"/>
      <c r="AN15" s="17">
        <v>12</v>
      </c>
      <c r="AO15" s="6">
        <v>1.0669299999999999</v>
      </c>
      <c r="AP15" s="19">
        <v>-1.2125999999999999</v>
      </c>
      <c r="AQ15" s="6">
        <v>0.54239999999999999</v>
      </c>
      <c r="AR15" s="6">
        <v>328</v>
      </c>
      <c r="AT15" s="17">
        <v>12</v>
      </c>
      <c r="AU15" s="6">
        <v>0.56299999999999994</v>
      </c>
      <c r="AV15" s="19">
        <v>-1.2125999999999999</v>
      </c>
      <c r="AW15" s="6">
        <v>0.54239999999999999</v>
      </c>
      <c r="AX15" s="6">
        <v>328</v>
      </c>
      <c r="AZ15" s="17" t="s">
        <v>47</v>
      </c>
      <c r="BA15" s="5">
        <v>12</v>
      </c>
      <c r="BB15" s="6">
        <v>57.342399999999998</v>
      </c>
      <c r="BC15" s="6">
        <v>0.82650000000000001</v>
      </c>
      <c r="BD15" s="6">
        <v>328</v>
      </c>
      <c r="BE15" s="6">
        <v>69.38</v>
      </c>
      <c r="BF15" s="6" t="s">
        <v>65</v>
      </c>
      <c r="BG15" s="6">
        <v>0.05</v>
      </c>
      <c r="BH15" s="6">
        <v>55.716500000000003</v>
      </c>
      <c r="BI15" s="6">
        <v>58.968400000000003</v>
      </c>
    </row>
    <row r="16" spans="1:61" ht="16.5" customHeight="1" x14ac:dyDescent="0.25">
      <c r="A16" t="s">
        <v>7</v>
      </c>
      <c r="B16" s="11">
        <v>2</v>
      </c>
      <c r="C16" s="11">
        <v>7</v>
      </c>
      <c r="D16" s="11">
        <v>5</v>
      </c>
      <c r="E16" s="11">
        <v>1</v>
      </c>
      <c r="F16" s="12">
        <v>56.2</v>
      </c>
      <c r="G16">
        <v>47.429500988380497</v>
      </c>
      <c r="I16" t="s">
        <v>62</v>
      </c>
      <c r="Q16" s="17">
        <v>14</v>
      </c>
      <c r="R16" s="6">
        <v>2.38307</v>
      </c>
      <c r="S16" s="6">
        <v>1.7283999999999999</v>
      </c>
      <c r="T16" s="6">
        <v>2.2957000000000001</v>
      </c>
      <c r="U16" s="6">
        <v>328</v>
      </c>
      <c r="W16" s="17">
        <v>14</v>
      </c>
      <c r="X16" s="6">
        <v>4.5160799999999997</v>
      </c>
      <c r="Y16" s="6">
        <v>1.7283999999999999</v>
      </c>
      <c r="Z16" s="6">
        <v>2.2957000000000001</v>
      </c>
      <c r="AA16" s="6">
        <v>328</v>
      </c>
      <c r="AC16" s="17" t="s">
        <v>47</v>
      </c>
      <c r="AD16" s="5">
        <v>14</v>
      </c>
      <c r="AE16" s="6">
        <v>63.596699999999998</v>
      </c>
      <c r="AF16" s="6">
        <v>6.0342000000000002</v>
      </c>
      <c r="AG16" s="6">
        <v>328</v>
      </c>
      <c r="AH16" s="6">
        <v>10.54</v>
      </c>
      <c r="AI16" s="6" t="s">
        <v>65</v>
      </c>
      <c r="AJ16" s="6">
        <v>0.3</v>
      </c>
      <c r="AK16" s="6">
        <v>57.332799999999999</v>
      </c>
      <c r="AL16" s="6">
        <v>69.860699999999994</v>
      </c>
      <c r="AM16" s="29"/>
      <c r="AN16" s="17">
        <v>13</v>
      </c>
      <c r="AO16" s="6">
        <v>1.06646</v>
      </c>
      <c r="AP16" s="6">
        <v>0.93130000000000002</v>
      </c>
      <c r="AQ16" s="6">
        <v>0.54210000000000003</v>
      </c>
      <c r="AR16" s="6">
        <v>328</v>
      </c>
      <c r="AT16" s="17">
        <v>13</v>
      </c>
      <c r="AU16" s="6">
        <v>0.56274999999999997</v>
      </c>
      <c r="AV16" s="6">
        <v>0.93130000000000002</v>
      </c>
      <c r="AW16" s="6">
        <v>0.54210000000000003</v>
      </c>
      <c r="AX16" s="6">
        <v>328</v>
      </c>
      <c r="AZ16" s="17" t="s">
        <v>47</v>
      </c>
      <c r="BA16" s="5">
        <v>13</v>
      </c>
      <c r="BB16" s="6">
        <v>58.661799999999999</v>
      </c>
      <c r="BC16" s="6">
        <v>0.82299999999999995</v>
      </c>
      <c r="BD16" s="6">
        <v>328</v>
      </c>
      <c r="BE16" s="6">
        <v>71.28</v>
      </c>
      <c r="BF16" s="6" t="s">
        <v>65</v>
      </c>
      <c r="BG16" s="6">
        <v>0.05</v>
      </c>
      <c r="BH16" s="6">
        <v>57.0428</v>
      </c>
      <c r="BI16" s="6">
        <v>60.280799999999999</v>
      </c>
    </row>
    <row r="17" spans="1:61" ht="16.5" customHeight="1" x14ac:dyDescent="0.25">
      <c r="A17" t="s">
        <v>7</v>
      </c>
      <c r="B17" s="11">
        <v>3</v>
      </c>
      <c r="C17" s="11">
        <v>10</v>
      </c>
      <c r="D17" s="11">
        <v>11</v>
      </c>
      <c r="E17" s="11">
        <v>1</v>
      </c>
      <c r="F17" s="2">
        <v>53.1</v>
      </c>
      <c r="G17">
        <v>47.942662293816916</v>
      </c>
      <c r="I17" t="s">
        <v>63</v>
      </c>
      <c r="Q17" s="17">
        <v>15</v>
      </c>
      <c r="R17" s="6">
        <v>2.38686</v>
      </c>
      <c r="S17" s="6">
        <v>3.1002999999999998</v>
      </c>
      <c r="T17" s="6">
        <v>2.2993000000000001</v>
      </c>
      <c r="U17" s="6">
        <v>328</v>
      </c>
      <c r="W17" s="17">
        <v>15</v>
      </c>
      <c r="X17" s="6">
        <v>4.5232599999999996</v>
      </c>
      <c r="Y17" s="6">
        <v>3.1002999999999998</v>
      </c>
      <c r="Z17" s="6">
        <v>2.2993000000000001</v>
      </c>
      <c r="AA17" s="6">
        <v>328</v>
      </c>
      <c r="AC17" s="17" t="s">
        <v>47</v>
      </c>
      <c r="AD17" s="5">
        <v>15</v>
      </c>
      <c r="AE17" s="6">
        <v>61.362699999999997</v>
      </c>
      <c r="AF17" s="6">
        <v>6.0339999999999998</v>
      </c>
      <c r="AG17" s="6">
        <v>328</v>
      </c>
      <c r="AH17" s="6">
        <v>10.17</v>
      </c>
      <c r="AI17" s="6" t="s">
        <v>65</v>
      </c>
      <c r="AJ17" s="6">
        <v>0.3</v>
      </c>
      <c r="AK17" s="6">
        <v>55.098999999999997</v>
      </c>
      <c r="AL17" s="6">
        <v>67.626400000000004</v>
      </c>
      <c r="AM17" s="29"/>
      <c r="AN17" s="17">
        <v>14</v>
      </c>
      <c r="AO17" s="6">
        <v>1.06599</v>
      </c>
      <c r="AP17" s="19">
        <v>-1.0321</v>
      </c>
      <c r="AQ17" s="6">
        <v>0.54190000000000005</v>
      </c>
      <c r="AR17" s="6">
        <v>328</v>
      </c>
      <c r="AT17" s="17">
        <v>14</v>
      </c>
      <c r="AU17" s="6">
        <v>0.56250999999999995</v>
      </c>
      <c r="AV17" s="19">
        <v>-1.0321</v>
      </c>
      <c r="AW17" s="6">
        <v>0.54190000000000005</v>
      </c>
      <c r="AX17" s="6">
        <v>328</v>
      </c>
      <c r="AZ17" s="17" t="s">
        <v>47</v>
      </c>
      <c r="BA17" s="5">
        <v>14</v>
      </c>
      <c r="BB17" s="6">
        <v>59.163800000000002</v>
      </c>
      <c r="BC17" s="6">
        <v>0.82430000000000003</v>
      </c>
      <c r="BD17" s="6">
        <v>328</v>
      </c>
      <c r="BE17" s="6">
        <v>71.77</v>
      </c>
      <c r="BF17" s="6" t="s">
        <v>65</v>
      </c>
      <c r="BG17" s="6">
        <v>0.05</v>
      </c>
      <c r="BH17" s="6">
        <v>57.542200000000001</v>
      </c>
      <c r="BI17" s="6">
        <v>60.785400000000003</v>
      </c>
    </row>
    <row r="18" spans="1:61" ht="16.5" customHeight="1" x14ac:dyDescent="0.25">
      <c r="A18" s="31" t="s">
        <v>156</v>
      </c>
      <c r="B18" s="32">
        <v>1</v>
      </c>
      <c r="C18" s="32">
        <v>16</v>
      </c>
      <c r="D18" s="32">
        <v>2</v>
      </c>
      <c r="E18" s="32">
        <v>1</v>
      </c>
      <c r="F18" s="2">
        <v>61.7</v>
      </c>
      <c r="G18">
        <v>70.601545023696659</v>
      </c>
      <c r="I18" t="s">
        <v>166</v>
      </c>
      <c r="Q18" s="17">
        <v>16</v>
      </c>
      <c r="R18" s="6">
        <v>2.3864899999999998</v>
      </c>
      <c r="S18" s="6">
        <v>8.4631000000000007</v>
      </c>
      <c r="T18" s="6">
        <v>2.2989999999999999</v>
      </c>
      <c r="U18" s="6">
        <v>328</v>
      </c>
      <c r="W18" s="17">
        <v>16</v>
      </c>
      <c r="X18" s="6">
        <v>4.52257</v>
      </c>
      <c r="Y18" s="6">
        <v>8.4631000000000007</v>
      </c>
      <c r="Z18" s="6">
        <v>2.2989999999999999</v>
      </c>
      <c r="AA18" s="6">
        <v>328</v>
      </c>
      <c r="AC18" s="17" t="s">
        <v>47</v>
      </c>
      <c r="AD18" s="5">
        <v>16</v>
      </c>
      <c r="AE18" s="6">
        <v>61.331899999999997</v>
      </c>
      <c r="AF18" s="6">
        <v>6.0369999999999999</v>
      </c>
      <c r="AG18" s="6">
        <v>328</v>
      </c>
      <c r="AH18" s="6">
        <v>10.16</v>
      </c>
      <c r="AI18" s="6" t="s">
        <v>65</v>
      </c>
      <c r="AJ18" s="6">
        <v>0.3</v>
      </c>
      <c r="AK18" s="6">
        <v>55.064999999999998</v>
      </c>
      <c r="AL18" s="6">
        <v>67.598699999999994</v>
      </c>
      <c r="AM18" s="29"/>
      <c r="AN18" s="17">
        <v>15</v>
      </c>
      <c r="AO18" s="6">
        <v>1.0687199999999999</v>
      </c>
      <c r="AP18" s="6">
        <v>0.68379999999999996</v>
      </c>
      <c r="AQ18" s="6">
        <v>0.54330000000000001</v>
      </c>
      <c r="AR18" s="6">
        <v>328</v>
      </c>
      <c r="AT18" s="17">
        <v>15</v>
      </c>
      <c r="AU18" s="6">
        <v>0.56394999999999995</v>
      </c>
      <c r="AV18" s="6">
        <v>0.68379999999999996</v>
      </c>
      <c r="AW18" s="6">
        <v>0.54330000000000001</v>
      </c>
      <c r="AX18" s="6">
        <v>328</v>
      </c>
      <c r="AZ18" s="17" t="s">
        <v>47</v>
      </c>
      <c r="BA18" s="5">
        <v>15</v>
      </c>
      <c r="BB18" s="6">
        <v>57.019799999999996</v>
      </c>
      <c r="BC18" s="6">
        <v>0.82269999999999999</v>
      </c>
      <c r="BD18" s="6">
        <v>328</v>
      </c>
      <c r="BE18" s="6">
        <v>69.31</v>
      </c>
      <c r="BF18" s="6" t="s">
        <v>65</v>
      </c>
      <c r="BG18" s="6">
        <v>0.05</v>
      </c>
      <c r="BH18" s="6">
        <v>55.401400000000002</v>
      </c>
      <c r="BI18" s="6">
        <v>58.638199999999998</v>
      </c>
    </row>
    <row r="19" spans="1:61" ht="16.5" customHeight="1" x14ac:dyDescent="0.25">
      <c r="A19" s="31" t="s">
        <v>156</v>
      </c>
      <c r="B19" s="32">
        <v>2</v>
      </c>
      <c r="C19" s="32">
        <v>26</v>
      </c>
      <c r="D19" s="32">
        <v>3</v>
      </c>
      <c r="E19" s="32">
        <v>1</v>
      </c>
      <c r="F19" s="2">
        <v>58.3</v>
      </c>
      <c r="G19">
        <v>50.922662600646063</v>
      </c>
      <c r="I19" t="s">
        <v>81</v>
      </c>
      <c r="Q19" s="17">
        <v>17</v>
      </c>
      <c r="R19" s="6">
        <v>2.3823599999999998</v>
      </c>
      <c r="S19" s="6">
        <v>0.4713</v>
      </c>
      <c r="T19" s="6">
        <v>2.2949999999999999</v>
      </c>
      <c r="U19" s="6">
        <v>328</v>
      </c>
      <c r="W19" s="17">
        <v>17</v>
      </c>
      <c r="X19" s="6">
        <v>4.5147399999999998</v>
      </c>
      <c r="Y19" s="6">
        <v>0.4713</v>
      </c>
      <c r="Z19" s="6">
        <v>2.2949999999999999</v>
      </c>
      <c r="AA19" s="6">
        <v>328</v>
      </c>
      <c r="AC19" s="17" t="s">
        <v>47</v>
      </c>
      <c r="AD19" s="5">
        <v>17</v>
      </c>
      <c r="AE19" s="6">
        <v>59.96</v>
      </c>
      <c r="AF19" s="6">
        <v>6.0351999999999997</v>
      </c>
      <c r="AG19" s="6">
        <v>328</v>
      </c>
      <c r="AH19" s="6">
        <v>9.93</v>
      </c>
      <c r="AI19" s="6" t="s">
        <v>65</v>
      </c>
      <c r="AJ19" s="6">
        <v>0.3</v>
      </c>
      <c r="AK19" s="6">
        <v>53.695</v>
      </c>
      <c r="AL19" s="6">
        <v>66.224999999999994</v>
      </c>
      <c r="AM19" s="29"/>
      <c r="AN19" s="17">
        <v>16</v>
      </c>
      <c r="AO19" s="6">
        <v>1.07657</v>
      </c>
      <c r="AP19" s="6">
        <v>1.0806</v>
      </c>
      <c r="AQ19" s="6">
        <v>0.54730000000000001</v>
      </c>
      <c r="AR19" s="6">
        <v>328</v>
      </c>
      <c r="AT19" s="17">
        <v>16</v>
      </c>
      <c r="AU19" s="6">
        <v>0.56808999999999998</v>
      </c>
      <c r="AV19" s="6">
        <v>1.0806</v>
      </c>
      <c r="AW19" s="6">
        <v>0.54730000000000001</v>
      </c>
      <c r="AX19" s="6">
        <v>328</v>
      </c>
      <c r="AZ19" s="17" t="s">
        <v>47</v>
      </c>
      <c r="BA19" s="5">
        <v>16</v>
      </c>
      <c r="BB19" s="6">
        <v>58.983199999999997</v>
      </c>
      <c r="BC19" s="6">
        <v>0.82430000000000003</v>
      </c>
      <c r="BD19" s="6">
        <v>328</v>
      </c>
      <c r="BE19" s="6">
        <v>71.55</v>
      </c>
      <c r="BF19" s="6" t="s">
        <v>65</v>
      </c>
      <c r="BG19" s="6">
        <v>0.05</v>
      </c>
      <c r="BH19" s="6">
        <v>57.361600000000003</v>
      </c>
      <c r="BI19" s="6">
        <v>60.604900000000001</v>
      </c>
    </row>
    <row r="20" spans="1:61" ht="16.5" customHeight="1" x14ac:dyDescent="0.25">
      <c r="A20" s="31" t="s">
        <v>156</v>
      </c>
      <c r="B20" s="32">
        <v>3</v>
      </c>
      <c r="C20" s="32">
        <v>21</v>
      </c>
      <c r="D20" s="32">
        <v>5</v>
      </c>
      <c r="E20" s="32">
        <v>1</v>
      </c>
      <c r="F20" s="2">
        <v>56.6</v>
      </c>
      <c r="G20">
        <v>54.297751233194688</v>
      </c>
      <c r="I20" t="s">
        <v>82</v>
      </c>
      <c r="Q20" s="17">
        <v>18</v>
      </c>
      <c r="R20" s="6">
        <v>2.3801999999999999</v>
      </c>
      <c r="S20" s="6">
        <v>1.9154</v>
      </c>
      <c r="T20" s="6">
        <v>2.2928999999999999</v>
      </c>
      <c r="U20" s="6">
        <v>328</v>
      </c>
      <c r="W20" s="17">
        <v>18</v>
      </c>
      <c r="X20" s="6">
        <v>4.5106400000000004</v>
      </c>
      <c r="Y20" s="6">
        <v>1.9154</v>
      </c>
      <c r="Z20" s="6">
        <v>2.2928999999999999</v>
      </c>
      <c r="AA20" s="6">
        <v>328</v>
      </c>
      <c r="AC20" s="17" t="s">
        <v>47</v>
      </c>
      <c r="AD20" s="5">
        <v>18</v>
      </c>
      <c r="AE20" s="6">
        <v>54.597200000000001</v>
      </c>
      <c r="AF20" s="6">
        <v>6.0370999999999997</v>
      </c>
      <c r="AG20" s="6">
        <v>328</v>
      </c>
      <c r="AH20" s="6">
        <v>9.0399999999999991</v>
      </c>
      <c r="AI20" s="6" t="s">
        <v>65</v>
      </c>
      <c r="AJ20" s="6">
        <v>0.3</v>
      </c>
      <c r="AK20" s="6">
        <v>48.330300000000001</v>
      </c>
      <c r="AL20" s="6">
        <v>60.864100000000001</v>
      </c>
      <c r="AM20" s="29"/>
      <c r="AN20" s="17">
        <v>17</v>
      </c>
      <c r="AO20" s="6">
        <v>1.06802</v>
      </c>
      <c r="AP20" s="19">
        <v>-0.32879999999999998</v>
      </c>
      <c r="AQ20" s="6">
        <v>0.54290000000000005</v>
      </c>
      <c r="AR20" s="6">
        <v>328</v>
      </c>
      <c r="AT20" s="17">
        <v>17</v>
      </c>
      <c r="AU20" s="6">
        <v>0.56357999999999997</v>
      </c>
      <c r="AV20" s="19">
        <v>-0.32879999999999998</v>
      </c>
      <c r="AW20" s="6">
        <v>0.54290000000000005</v>
      </c>
      <c r="AX20" s="6">
        <v>328</v>
      </c>
      <c r="AZ20" s="17" t="s">
        <v>47</v>
      </c>
      <c r="BA20" s="5">
        <v>17</v>
      </c>
      <c r="BB20" s="6">
        <v>57.267299999999999</v>
      </c>
      <c r="BC20" s="6">
        <v>0.82320000000000004</v>
      </c>
      <c r="BD20" s="6">
        <v>328</v>
      </c>
      <c r="BE20" s="6">
        <v>69.569999999999993</v>
      </c>
      <c r="BF20" s="6" t="s">
        <v>65</v>
      </c>
      <c r="BG20" s="6">
        <v>0.05</v>
      </c>
      <c r="BH20" s="6">
        <v>55.648000000000003</v>
      </c>
      <c r="BI20" s="6">
        <v>58.886699999999998</v>
      </c>
    </row>
    <row r="21" spans="1:61" ht="16.5" customHeight="1" x14ac:dyDescent="0.25">
      <c r="A21" s="31" t="s">
        <v>10</v>
      </c>
      <c r="B21" s="32">
        <v>1</v>
      </c>
      <c r="C21" s="32">
        <v>4</v>
      </c>
      <c r="D21" s="32">
        <v>2</v>
      </c>
      <c r="E21" s="32">
        <v>1</v>
      </c>
      <c r="F21" s="2">
        <v>58.7</v>
      </c>
      <c r="G21">
        <v>66.133944821609134</v>
      </c>
      <c r="I21" t="s">
        <v>85</v>
      </c>
      <c r="Q21" s="17">
        <v>19</v>
      </c>
      <c r="R21" s="6">
        <v>2.3823300000000001</v>
      </c>
      <c r="S21" s="6">
        <v>4.2186000000000003</v>
      </c>
      <c r="T21" s="6">
        <v>2.2949999999999999</v>
      </c>
      <c r="U21" s="6">
        <v>328</v>
      </c>
      <c r="W21" s="17">
        <v>19</v>
      </c>
      <c r="X21" s="6">
        <v>4.5146800000000002</v>
      </c>
      <c r="Y21" s="6">
        <v>4.2186000000000003</v>
      </c>
      <c r="Z21" s="6">
        <v>2.2949999999999999</v>
      </c>
      <c r="AA21" s="6">
        <v>328</v>
      </c>
      <c r="AC21" s="17" t="s">
        <v>47</v>
      </c>
      <c r="AD21" s="5">
        <v>20</v>
      </c>
      <c r="AE21" s="6">
        <v>62.588999999999999</v>
      </c>
      <c r="AF21" s="6">
        <v>6.0359999999999996</v>
      </c>
      <c r="AG21" s="6">
        <v>328</v>
      </c>
      <c r="AH21" s="6">
        <v>10.37</v>
      </c>
      <c r="AI21" s="6" t="s">
        <v>65</v>
      </c>
      <c r="AJ21" s="6">
        <v>0.3</v>
      </c>
      <c r="AK21" s="6">
        <v>56.3232</v>
      </c>
      <c r="AL21" s="6">
        <v>68.854799999999997</v>
      </c>
      <c r="AM21" s="29"/>
      <c r="AN21" s="17">
        <v>18</v>
      </c>
      <c r="AO21" s="6">
        <v>1.0655699999999999</v>
      </c>
      <c r="AP21" s="6">
        <v>1.6920000000000001E-2</v>
      </c>
      <c r="AQ21" s="6">
        <v>0.54169999999999996</v>
      </c>
      <c r="AR21" s="6">
        <v>328</v>
      </c>
      <c r="AT21" s="17">
        <v>18</v>
      </c>
      <c r="AU21" s="6">
        <v>0.56228</v>
      </c>
      <c r="AV21" s="6">
        <v>1.6920000000000001E-2</v>
      </c>
      <c r="AW21" s="6">
        <v>0.54169999999999996</v>
      </c>
      <c r="AX21" s="6">
        <v>328</v>
      </c>
      <c r="AZ21" s="17" t="s">
        <v>47</v>
      </c>
      <c r="BA21" s="5">
        <v>18</v>
      </c>
      <c r="BB21" s="6">
        <v>56.8705</v>
      </c>
      <c r="BC21" s="6">
        <v>0.82599999999999996</v>
      </c>
      <c r="BD21" s="6">
        <v>328</v>
      </c>
      <c r="BE21" s="6">
        <v>68.849999999999994</v>
      </c>
      <c r="BF21" s="6" t="s">
        <v>65</v>
      </c>
      <c r="BG21" s="6">
        <v>0.05</v>
      </c>
      <c r="BH21" s="6">
        <v>55.2455</v>
      </c>
      <c r="BI21" s="6">
        <v>58.4955</v>
      </c>
    </row>
    <row r="22" spans="1:61" ht="16.5" customHeight="1" x14ac:dyDescent="0.25">
      <c r="A22" s="31" t="s">
        <v>10</v>
      </c>
      <c r="B22" s="32">
        <v>2</v>
      </c>
      <c r="C22" s="32">
        <v>11</v>
      </c>
      <c r="D22" s="32">
        <v>6</v>
      </c>
      <c r="E22" s="32">
        <v>1</v>
      </c>
      <c r="F22" s="2">
        <v>59.1</v>
      </c>
      <c r="G22">
        <v>68.463534743202416</v>
      </c>
      <c r="Q22" s="17">
        <v>20</v>
      </c>
      <c r="R22" s="6">
        <v>2.3814700000000002</v>
      </c>
      <c r="S22" s="6">
        <v>6.2454000000000001</v>
      </c>
      <c r="T22" s="6">
        <v>2.2940999999999998</v>
      </c>
      <c r="U22" s="6">
        <v>328</v>
      </c>
      <c r="W22" s="17">
        <v>20</v>
      </c>
      <c r="X22" s="6">
        <v>4.5130499999999998</v>
      </c>
      <c r="Y22" s="6">
        <v>6.2454000000000001</v>
      </c>
      <c r="Z22" s="6">
        <v>2.2940999999999998</v>
      </c>
      <c r="AA22" s="6">
        <v>328</v>
      </c>
      <c r="AC22" s="17" t="s">
        <v>47</v>
      </c>
      <c r="AD22" s="5">
        <v>21</v>
      </c>
      <c r="AE22" s="6">
        <v>61.1449</v>
      </c>
      <c r="AF22" s="6">
        <v>6.0342000000000002</v>
      </c>
      <c r="AG22" s="6">
        <v>328</v>
      </c>
      <c r="AH22" s="6">
        <v>10.130000000000001</v>
      </c>
      <c r="AI22" s="6" t="s">
        <v>65</v>
      </c>
      <c r="AJ22" s="6">
        <v>0.3</v>
      </c>
      <c r="AK22" s="6">
        <v>54.881</v>
      </c>
      <c r="AL22" s="6">
        <v>67.408799999999999</v>
      </c>
      <c r="AM22" s="29"/>
      <c r="AN22" s="17">
        <v>19</v>
      </c>
      <c r="AO22" s="6">
        <v>1.0640799999999999</v>
      </c>
      <c r="AP22" s="19">
        <v>-1.0542</v>
      </c>
      <c r="AQ22" s="6">
        <v>0.54090000000000005</v>
      </c>
      <c r="AR22" s="6">
        <v>328</v>
      </c>
      <c r="AT22" s="17">
        <v>19</v>
      </c>
      <c r="AU22" s="6">
        <v>0.5615</v>
      </c>
      <c r="AV22" s="19">
        <v>-1.0542</v>
      </c>
      <c r="AW22" s="6">
        <v>0.54090000000000005</v>
      </c>
      <c r="AX22" s="6">
        <v>328</v>
      </c>
      <c r="AZ22" s="17" t="s">
        <v>47</v>
      </c>
      <c r="BA22" s="5">
        <v>20</v>
      </c>
      <c r="BB22" s="6">
        <v>58.28</v>
      </c>
      <c r="BC22" s="6">
        <v>0.82430000000000003</v>
      </c>
      <c r="BD22" s="6">
        <v>328</v>
      </c>
      <c r="BE22" s="6">
        <v>70.7</v>
      </c>
      <c r="BF22" s="6" t="s">
        <v>65</v>
      </c>
      <c r="BG22" s="6">
        <v>0.05</v>
      </c>
      <c r="BH22" s="6">
        <v>56.6584</v>
      </c>
      <c r="BI22" s="6">
        <v>59.901499999999999</v>
      </c>
    </row>
    <row r="23" spans="1:61" ht="16.5" customHeight="1" x14ac:dyDescent="0.25">
      <c r="A23" s="31" t="s">
        <v>10</v>
      </c>
      <c r="B23" s="32">
        <v>3</v>
      </c>
      <c r="C23" s="32">
        <v>5</v>
      </c>
      <c r="D23" s="32">
        <v>12</v>
      </c>
      <c r="E23" s="32">
        <v>1</v>
      </c>
      <c r="F23" s="2">
        <v>57.8</v>
      </c>
      <c r="G23">
        <v>74.19608791208789</v>
      </c>
      <c r="I23" t="s">
        <v>171</v>
      </c>
      <c r="Q23" s="17">
        <v>21</v>
      </c>
      <c r="R23" s="6">
        <v>2.3831500000000001</v>
      </c>
      <c r="S23" s="6">
        <v>2.2450000000000001</v>
      </c>
      <c r="T23" s="6">
        <v>2.2957000000000001</v>
      </c>
      <c r="U23" s="6">
        <v>328</v>
      </c>
      <c r="W23" s="17">
        <v>21</v>
      </c>
      <c r="X23" s="6">
        <v>4.5162399999999998</v>
      </c>
      <c r="Y23" s="6">
        <v>2.2450000000000001</v>
      </c>
      <c r="Z23" s="6">
        <v>2.2957000000000001</v>
      </c>
      <c r="AA23" s="6">
        <v>328</v>
      </c>
      <c r="AC23" s="17" t="s">
        <v>47</v>
      </c>
      <c r="AD23" s="5">
        <v>22</v>
      </c>
      <c r="AE23" s="6">
        <v>58.841700000000003</v>
      </c>
      <c r="AF23" s="6">
        <v>6.0353000000000003</v>
      </c>
      <c r="AG23" s="6">
        <v>328</v>
      </c>
      <c r="AH23" s="6">
        <v>9.75</v>
      </c>
      <c r="AI23" s="6" t="s">
        <v>65</v>
      </c>
      <c r="AJ23" s="6">
        <v>0.3</v>
      </c>
      <c r="AK23" s="6">
        <v>52.576599999999999</v>
      </c>
      <c r="AL23" s="6">
        <v>65.106800000000007</v>
      </c>
      <c r="AM23" s="29"/>
      <c r="AN23" s="17">
        <v>20</v>
      </c>
      <c r="AO23" s="6">
        <v>1.0695300000000001</v>
      </c>
      <c r="AP23" s="19">
        <v>-0.74229999999999996</v>
      </c>
      <c r="AQ23" s="6">
        <v>0.54369999999999996</v>
      </c>
      <c r="AR23" s="6">
        <v>328</v>
      </c>
      <c r="AT23" s="17">
        <v>20</v>
      </c>
      <c r="AU23" s="6">
        <v>0.56437999999999999</v>
      </c>
      <c r="AV23" s="19">
        <v>-0.74229999999999996</v>
      </c>
      <c r="AW23" s="6">
        <v>0.54369999999999996</v>
      </c>
      <c r="AX23" s="6">
        <v>328</v>
      </c>
      <c r="AZ23" s="17" t="s">
        <v>47</v>
      </c>
      <c r="BA23" s="5">
        <v>21</v>
      </c>
      <c r="BB23" s="6">
        <v>57.9343</v>
      </c>
      <c r="BC23" s="6">
        <v>0.82289999999999996</v>
      </c>
      <c r="BD23" s="6">
        <v>328</v>
      </c>
      <c r="BE23" s="6">
        <v>70.400000000000006</v>
      </c>
      <c r="BF23" s="6" t="s">
        <v>65</v>
      </c>
      <c r="BG23" s="6">
        <v>0.05</v>
      </c>
      <c r="BH23" s="6">
        <v>56.315300000000001</v>
      </c>
      <c r="BI23" s="6">
        <v>59.553199999999997</v>
      </c>
    </row>
    <row r="24" spans="1:61" ht="16.5" customHeight="1" x14ac:dyDescent="0.25">
      <c r="A24" s="31" t="s">
        <v>11</v>
      </c>
      <c r="B24" s="32">
        <v>1</v>
      </c>
      <c r="C24" s="32">
        <v>18</v>
      </c>
      <c r="D24" s="32">
        <v>1</v>
      </c>
      <c r="E24" s="11">
        <v>1</v>
      </c>
      <c r="F24" s="2">
        <v>57.3</v>
      </c>
      <c r="G24">
        <v>25.266810010574545</v>
      </c>
      <c r="I24" t="s">
        <v>83</v>
      </c>
      <c r="Q24" s="17">
        <v>22</v>
      </c>
      <c r="R24" s="6">
        <v>2.3854700000000002</v>
      </c>
      <c r="S24" s="6">
        <v>4.4645999999999999</v>
      </c>
      <c r="T24" s="6">
        <v>2.298</v>
      </c>
      <c r="U24" s="6">
        <v>328</v>
      </c>
      <c r="W24" s="17">
        <v>22</v>
      </c>
      <c r="X24" s="6">
        <v>4.5206200000000001</v>
      </c>
      <c r="Y24" s="6">
        <v>4.4645999999999999</v>
      </c>
      <c r="Z24" s="6">
        <v>2.298</v>
      </c>
      <c r="AA24" s="6">
        <v>328</v>
      </c>
      <c r="AC24" s="17" t="s">
        <v>47</v>
      </c>
      <c r="AD24" s="5">
        <v>23</v>
      </c>
      <c r="AE24" s="6">
        <v>56.814900000000002</v>
      </c>
      <c r="AF24" s="6">
        <v>6.0373999999999999</v>
      </c>
      <c r="AG24" s="6">
        <v>328</v>
      </c>
      <c r="AH24" s="6">
        <v>9.41</v>
      </c>
      <c r="AI24" s="6" t="s">
        <v>65</v>
      </c>
      <c r="AJ24" s="6">
        <v>0.3</v>
      </c>
      <c r="AK24" s="6">
        <v>50.547600000000003</v>
      </c>
      <c r="AL24" s="6">
        <v>63.082099999999997</v>
      </c>
      <c r="AM24" s="29"/>
      <c r="AN24" s="17">
        <v>21</v>
      </c>
      <c r="AO24" s="6">
        <v>1.0790599999999999</v>
      </c>
      <c r="AP24" s="6">
        <v>0.312</v>
      </c>
      <c r="AQ24" s="6">
        <v>0.54849999999999999</v>
      </c>
      <c r="AR24" s="6">
        <v>328</v>
      </c>
      <c r="AT24" s="17">
        <v>21</v>
      </c>
      <c r="AU24" s="6">
        <v>0.56940000000000002</v>
      </c>
      <c r="AV24" s="6">
        <v>0.312</v>
      </c>
      <c r="AW24" s="6">
        <v>0.54849999999999999</v>
      </c>
      <c r="AX24" s="6">
        <v>328</v>
      </c>
      <c r="AZ24" s="17" t="s">
        <v>47</v>
      </c>
      <c r="BA24" s="5">
        <v>22</v>
      </c>
      <c r="BB24" s="6">
        <v>59.005400000000002</v>
      </c>
      <c r="BC24" s="6">
        <v>0.82289999999999996</v>
      </c>
      <c r="BD24" s="6">
        <v>328</v>
      </c>
      <c r="BE24" s="6">
        <v>71.7</v>
      </c>
      <c r="BF24" s="6" t="s">
        <v>65</v>
      </c>
      <c r="BG24" s="6">
        <v>0.05</v>
      </c>
      <c r="BH24" s="6">
        <v>57.386499999999998</v>
      </c>
      <c r="BI24" s="6">
        <v>60.624200000000002</v>
      </c>
    </row>
    <row r="25" spans="1:61" ht="16.5" customHeight="1" x14ac:dyDescent="0.25">
      <c r="A25" s="31" t="s">
        <v>11</v>
      </c>
      <c r="B25" s="32">
        <v>2</v>
      </c>
      <c r="C25" s="32">
        <v>12</v>
      </c>
      <c r="D25" s="32">
        <v>5</v>
      </c>
      <c r="E25" s="11">
        <v>1</v>
      </c>
      <c r="F25" s="2">
        <v>57.6</v>
      </c>
      <c r="G25">
        <v>21.039716488673911</v>
      </c>
      <c r="I25" t="s">
        <v>84</v>
      </c>
      <c r="Q25" s="17">
        <v>23</v>
      </c>
      <c r="R25" s="6">
        <v>2.3903799999999999</v>
      </c>
      <c r="S25" s="19">
        <v>-4.1680999999999999</v>
      </c>
      <c r="T25" s="6">
        <v>2.3027000000000002</v>
      </c>
      <c r="U25" s="6">
        <v>328</v>
      </c>
      <c r="W25" s="17">
        <v>23</v>
      </c>
      <c r="X25" s="6">
        <v>4.5299300000000002</v>
      </c>
      <c r="Y25" s="19">
        <v>-4.1680999999999999</v>
      </c>
      <c r="Z25" s="6">
        <v>2.3027000000000002</v>
      </c>
      <c r="AA25" s="6">
        <v>328</v>
      </c>
      <c r="AC25" s="17" t="s">
        <v>47</v>
      </c>
      <c r="AD25" s="5">
        <v>24</v>
      </c>
      <c r="AE25" s="6">
        <v>60.815300000000001</v>
      </c>
      <c r="AF25" s="6">
        <v>6.0372000000000003</v>
      </c>
      <c r="AG25" s="6">
        <v>328</v>
      </c>
      <c r="AH25" s="6">
        <v>10.07</v>
      </c>
      <c r="AI25" s="6" t="s">
        <v>65</v>
      </c>
      <c r="AJ25" s="6">
        <v>0.3</v>
      </c>
      <c r="AK25" s="6">
        <v>54.548200000000001</v>
      </c>
      <c r="AL25" s="6">
        <v>67.082400000000007</v>
      </c>
      <c r="AM25" s="29"/>
      <c r="AN25" s="17">
        <v>22</v>
      </c>
      <c r="AO25" s="6">
        <v>1.0695399999999999</v>
      </c>
      <c r="AP25" s="6">
        <v>0.22159999999999999</v>
      </c>
      <c r="AQ25" s="6">
        <v>0.54369999999999996</v>
      </c>
      <c r="AR25" s="6">
        <v>328</v>
      </c>
      <c r="AT25" s="17">
        <v>22</v>
      </c>
      <c r="AU25" s="6">
        <v>0.56437999999999999</v>
      </c>
      <c r="AV25" s="6">
        <v>0.22159999999999999</v>
      </c>
      <c r="AW25" s="6">
        <v>0.54369999999999996</v>
      </c>
      <c r="AX25" s="6">
        <v>328</v>
      </c>
      <c r="AZ25" s="17" t="s">
        <v>47</v>
      </c>
      <c r="BA25" s="5">
        <v>23</v>
      </c>
      <c r="BB25" s="6">
        <v>58.6935</v>
      </c>
      <c r="BC25" s="6">
        <v>0.82469999999999999</v>
      </c>
      <c r="BD25" s="6">
        <v>328</v>
      </c>
      <c r="BE25" s="6">
        <v>71.17</v>
      </c>
      <c r="BF25" s="6" t="s">
        <v>65</v>
      </c>
      <c r="BG25" s="6">
        <v>0.05</v>
      </c>
      <c r="BH25" s="6">
        <v>57.071199999999997</v>
      </c>
      <c r="BI25" s="6">
        <v>60.315899999999999</v>
      </c>
    </row>
    <row r="26" spans="1:61" ht="16.5" customHeight="1" x14ac:dyDescent="0.25">
      <c r="A26" s="31" t="s">
        <v>11</v>
      </c>
      <c r="B26" s="32">
        <v>3</v>
      </c>
      <c r="C26" s="32">
        <v>14</v>
      </c>
      <c r="D26" s="32">
        <v>8</v>
      </c>
      <c r="E26" s="11">
        <v>1</v>
      </c>
      <c r="F26" s="2">
        <v>56.4</v>
      </c>
      <c r="G26">
        <v>21.68571428571428</v>
      </c>
      <c r="I26" t="s">
        <v>85</v>
      </c>
      <c r="Q26" s="17">
        <v>24</v>
      </c>
      <c r="R26" s="6">
        <v>2.3919800000000002</v>
      </c>
      <c r="S26" s="6">
        <v>2.7536</v>
      </c>
      <c r="T26" s="6">
        <v>2.3041999999999998</v>
      </c>
      <c r="U26" s="6">
        <v>328</v>
      </c>
      <c r="W26" s="17">
        <v>24</v>
      </c>
      <c r="X26" s="6">
        <v>4.5329600000000001</v>
      </c>
      <c r="Y26" s="6">
        <v>2.7536</v>
      </c>
      <c r="Z26" s="6">
        <v>2.3041999999999998</v>
      </c>
      <c r="AA26" s="6">
        <v>328</v>
      </c>
      <c r="AC26" s="17" t="s">
        <v>47</v>
      </c>
      <c r="AD26" s="5">
        <v>25</v>
      </c>
      <c r="AE26" s="6">
        <v>58.595700000000001</v>
      </c>
      <c r="AF26" s="6">
        <v>6.0385</v>
      </c>
      <c r="AG26" s="6">
        <v>328</v>
      </c>
      <c r="AH26" s="6">
        <v>9.6999999999999993</v>
      </c>
      <c r="AI26" s="6" t="s">
        <v>65</v>
      </c>
      <c r="AJ26" s="6">
        <v>0.3</v>
      </c>
      <c r="AK26" s="6">
        <v>52.327300000000001</v>
      </c>
      <c r="AL26" s="6">
        <v>64.864199999999997</v>
      </c>
      <c r="AM26" s="29"/>
      <c r="AN26" s="17">
        <v>23</v>
      </c>
      <c r="AO26" s="6">
        <v>1.0728200000000001</v>
      </c>
      <c r="AP26" s="19">
        <v>-7.1690000000000004E-2</v>
      </c>
      <c r="AQ26" s="6">
        <v>0.54530000000000001</v>
      </c>
      <c r="AR26" s="6">
        <v>328</v>
      </c>
      <c r="AT26" s="17">
        <v>23</v>
      </c>
      <c r="AU26" s="6">
        <v>0.56611</v>
      </c>
      <c r="AV26" s="19">
        <v>-7.1690000000000004E-2</v>
      </c>
      <c r="AW26" s="6">
        <v>0.54530000000000001</v>
      </c>
      <c r="AX26" s="6">
        <v>328</v>
      </c>
      <c r="AZ26" s="17" t="s">
        <v>47</v>
      </c>
      <c r="BA26" s="5">
        <v>24</v>
      </c>
      <c r="BB26" s="6">
        <v>57.639099999999999</v>
      </c>
      <c r="BC26" s="6">
        <v>0.82850000000000001</v>
      </c>
      <c r="BD26" s="6">
        <v>328</v>
      </c>
      <c r="BE26" s="6">
        <v>69.569999999999993</v>
      </c>
      <c r="BF26" s="6" t="s">
        <v>65</v>
      </c>
      <c r="BG26" s="6">
        <v>0.05</v>
      </c>
      <c r="BH26" s="6">
        <v>56.009300000000003</v>
      </c>
      <c r="BI26" s="6">
        <v>59.268900000000002</v>
      </c>
    </row>
    <row r="27" spans="1:61" ht="16.5" customHeight="1" x14ac:dyDescent="0.25">
      <c r="A27" t="s">
        <v>160</v>
      </c>
      <c r="B27">
        <v>1</v>
      </c>
      <c r="C27" s="36">
        <v>4</v>
      </c>
      <c r="D27" s="36">
        <v>2</v>
      </c>
      <c r="E27" s="32">
        <v>1</v>
      </c>
      <c r="F27" s="13">
        <v>58.7</v>
      </c>
      <c r="G27">
        <v>97.245326876513317</v>
      </c>
      <c r="I27" t="s">
        <v>172</v>
      </c>
      <c r="Q27" s="17">
        <v>25</v>
      </c>
      <c r="R27" s="6">
        <v>2.3820899999999998</v>
      </c>
      <c r="S27" s="6">
        <v>5.4542000000000002</v>
      </c>
      <c r="T27" s="6">
        <v>2.2947000000000002</v>
      </c>
      <c r="U27" s="6">
        <v>328</v>
      </c>
      <c r="W27" s="17">
        <v>25</v>
      </c>
      <c r="X27" s="6">
        <v>4.5142199999999999</v>
      </c>
      <c r="Y27" s="6">
        <v>5.4542000000000002</v>
      </c>
      <c r="Z27" s="6">
        <v>2.2947000000000002</v>
      </c>
      <c r="AA27" s="6">
        <v>328</v>
      </c>
      <c r="AC27" s="17" t="s">
        <v>47</v>
      </c>
      <c r="AD27" s="5">
        <v>26</v>
      </c>
      <c r="AE27" s="6">
        <v>67.228399999999993</v>
      </c>
      <c r="AF27" s="6">
        <v>6.0406000000000004</v>
      </c>
      <c r="AG27" s="6">
        <v>328</v>
      </c>
      <c r="AH27" s="6">
        <v>11.13</v>
      </c>
      <c r="AI27" s="6" t="s">
        <v>65</v>
      </c>
      <c r="AJ27" s="6">
        <v>0.3</v>
      </c>
      <c r="AK27" s="6">
        <v>60.957799999999999</v>
      </c>
      <c r="AL27" s="6">
        <v>73.498999999999995</v>
      </c>
      <c r="AM27" s="29"/>
      <c r="AN27" s="17">
        <v>24</v>
      </c>
      <c r="AO27" s="6">
        <v>1.06477</v>
      </c>
      <c r="AP27" s="19">
        <v>-9.8269999999999996E-2</v>
      </c>
      <c r="AQ27" s="6">
        <v>0.5413</v>
      </c>
      <c r="AR27" s="6">
        <v>328</v>
      </c>
      <c r="AT27" s="17">
        <v>24</v>
      </c>
      <c r="AU27" s="6">
        <v>0.56186000000000003</v>
      </c>
      <c r="AV27" s="19">
        <v>-9.8269999999999996E-2</v>
      </c>
      <c r="AW27" s="6">
        <v>0.5413</v>
      </c>
      <c r="AX27" s="6">
        <v>328</v>
      </c>
      <c r="AZ27" s="17" t="s">
        <v>47</v>
      </c>
      <c r="BA27" s="5">
        <v>25</v>
      </c>
      <c r="BB27" s="6">
        <v>57.729599999999998</v>
      </c>
      <c r="BC27" s="6">
        <v>0.82550000000000001</v>
      </c>
      <c r="BD27" s="6">
        <v>328</v>
      </c>
      <c r="BE27" s="6">
        <v>69.94</v>
      </c>
      <c r="BF27" s="6" t="s">
        <v>65</v>
      </c>
      <c r="BG27" s="6">
        <v>0.05</v>
      </c>
      <c r="BH27" s="6">
        <v>56.105699999999999</v>
      </c>
      <c r="BI27" s="6">
        <v>59.353499999999997</v>
      </c>
    </row>
    <row r="28" spans="1:61" ht="16.5" customHeight="1" x14ac:dyDescent="0.25">
      <c r="A28" t="s">
        <v>160</v>
      </c>
      <c r="B28">
        <v>2</v>
      </c>
      <c r="C28" s="36">
        <v>23</v>
      </c>
      <c r="D28" s="36">
        <v>3</v>
      </c>
      <c r="E28" s="32">
        <v>1</v>
      </c>
      <c r="F28" s="13">
        <v>59</v>
      </c>
      <c r="G28">
        <v>90.784396076026951</v>
      </c>
      <c r="I28" t="s">
        <v>87</v>
      </c>
      <c r="Q28" s="17">
        <v>26</v>
      </c>
      <c r="R28" s="6">
        <v>2.3794400000000002</v>
      </c>
      <c r="S28" s="6">
        <v>4.4591000000000003</v>
      </c>
      <c r="T28" s="6">
        <v>2.2921999999999998</v>
      </c>
      <c r="U28" s="6">
        <v>328</v>
      </c>
      <c r="W28" s="17">
        <v>26</v>
      </c>
      <c r="X28" s="6">
        <v>4.5092100000000004</v>
      </c>
      <c r="Y28" s="6">
        <v>4.4591000000000003</v>
      </c>
      <c r="Z28" s="6">
        <v>2.2921999999999998</v>
      </c>
      <c r="AA28" s="6">
        <v>328</v>
      </c>
      <c r="AC28" s="17" t="s">
        <v>47</v>
      </c>
      <c r="AD28" s="5">
        <v>27</v>
      </c>
      <c r="AE28" s="6">
        <v>60.306699999999999</v>
      </c>
      <c r="AF28" s="6">
        <v>6.0388999999999999</v>
      </c>
      <c r="AG28" s="6">
        <v>328</v>
      </c>
      <c r="AH28" s="6">
        <v>9.99</v>
      </c>
      <c r="AI28" s="6" t="s">
        <v>65</v>
      </c>
      <c r="AJ28" s="6">
        <v>0.3</v>
      </c>
      <c r="AK28" s="6">
        <v>54.0379</v>
      </c>
      <c r="AL28" s="6">
        <v>66.575500000000005</v>
      </c>
      <c r="AM28" s="29"/>
      <c r="AN28" s="17">
        <v>25</v>
      </c>
      <c r="AO28" s="6">
        <v>1.0644899999999999</v>
      </c>
      <c r="AP28" s="6">
        <v>1.2811999999999999</v>
      </c>
      <c r="AQ28" s="6">
        <v>0.54110000000000003</v>
      </c>
      <c r="AR28" s="6">
        <v>328</v>
      </c>
      <c r="AT28" s="17">
        <v>25</v>
      </c>
      <c r="AU28" s="6">
        <v>0.56171000000000004</v>
      </c>
      <c r="AV28" s="6">
        <v>1.2811999999999999</v>
      </c>
      <c r="AW28" s="6">
        <v>0.54110000000000003</v>
      </c>
      <c r="AX28" s="6">
        <v>328</v>
      </c>
      <c r="AZ28" s="17" t="s">
        <v>47</v>
      </c>
      <c r="BA28" s="5">
        <v>26</v>
      </c>
      <c r="BB28" s="6">
        <v>58.0229</v>
      </c>
      <c r="BC28" s="6">
        <v>0.82709999999999995</v>
      </c>
      <c r="BD28" s="6">
        <v>328</v>
      </c>
      <c r="BE28" s="6">
        <v>70.150000000000006</v>
      </c>
      <c r="BF28" s="6" t="s">
        <v>65</v>
      </c>
      <c r="BG28" s="6">
        <v>0.05</v>
      </c>
      <c r="BH28" s="6">
        <v>56.395800000000001</v>
      </c>
      <c r="BI28" s="6">
        <v>59.649900000000002</v>
      </c>
    </row>
    <row r="29" spans="1:61" ht="16.5" customHeight="1" x14ac:dyDescent="0.25">
      <c r="A29" t="s">
        <v>160</v>
      </c>
      <c r="B29">
        <v>3</v>
      </c>
      <c r="C29" s="36">
        <v>3</v>
      </c>
      <c r="D29" s="36">
        <v>5</v>
      </c>
      <c r="E29" s="32">
        <v>1</v>
      </c>
      <c r="F29" s="13">
        <v>58.3</v>
      </c>
      <c r="G29">
        <v>88.392378373150208</v>
      </c>
      <c r="I29" t="s">
        <v>88</v>
      </c>
      <c r="Q29" s="17">
        <v>27</v>
      </c>
      <c r="R29" s="6">
        <v>2.3802099999999999</v>
      </c>
      <c r="S29" s="6">
        <v>7.5279999999999996</v>
      </c>
      <c r="T29" s="6">
        <v>2.2928999999999999</v>
      </c>
      <c r="U29" s="6">
        <v>328</v>
      </c>
      <c r="W29" s="17">
        <v>27</v>
      </c>
      <c r="X29" s="6">
        <v>4.5106599999999997</v>
      </c>
      <c r="Y29" s="6">
        <v>7.5279999999999996</v>
      </c>
      <c r="Z29" s="6">
        <v>2.2928999999999999</v>
      </c>
      <c r="AA29" s="6">
        <v>328</v>
      </c>
      <c r="AC29" s="17" t="s">
        <v>47</v>
      </c>
      <c r="AD29" s="5">
        <v>28</v>
      </c>
      <c r="AE29" s="6">
        <v>57.606099999999998</v>
      </c>
      <c r="AF29" s="6">
        <v>6.0357000000000003</v>
      </c>
      <c r="AG29" s="6">
        <v>328</v>
      </c>
      <c r="AH29" s="6">
        <v>9.5399999999999991</v>
      </c>
      <c r="AI29" s="6" t="s">
        <v>65</v>
      </c>
      <c r="AJ29" s="6">
        <v>0.3</v>
      </c>
      <c r="AK29" s="6">
        <v>51.340600000000002</v>
      </c>
      <c r="AL29" s="6">
        <v>63.871600000000001</v>
      </c>
      <c r="AM29" s="29"/>
      <c r="AN29" s="17">
        <v>26</v>
      </c>
      <c r="AO29" s="6">
        <v>1.06809</v>
      </c>
      <c r="AP29" s="19">
        <v>-0.19450000000000001</v>
      </c>
      <c r="AQ29" s="6">
        <v>0.54290000000000005</v>
      </c>
      <c r="AR29" s="6">
        <v>328</v>
      </c>
      <c r="AT29" s="17">
        <v>26</v>
      </c>
      <c r="AU29" s="6">
        <v>0.56361000000000006</v>
      </c>
      <c r="AV29" s="19">
        <v>-0.19450000000000001</v>
      </c>
      <c r="AW29" s="6">
        <v>0.54290000000000005</v>
      </c>
      <c r="AX29" s="6">
        <v>328</v>
      </c>
      <c r="AZ29" s="17" t="s">
        <v>47</v>
      </c>
      <c r="BA29" s="5">
        <v>27</v>
      </c>
      <c r="BB29" s="6">
        <v>58.049399999999999</v>
      </c>
      <c r="BC29" s="6">
        <v>0.82279999999999998</v>
      </c>
      <c r="BD29" s="6">
        <v>328</v>
      </c>
      <c r="BE29" s="6">
        <v>70.55</v>
      </c>
      <c r="BF29" s="6" t="s">
        <v>65</v>
      </c>
      <c r="BG29" s="6">
        <v>0.05</v>
      </c>
      <c r="BH29" s="6">
        <v>56.430900000000001</v>
      </c>
      <c r="BI29" s="6">
        <v>59.667999999999999</v>
      </c>
    </row>
    <row r="30" spans="1:61" ht="16.5" customHeight="1" x14ac:dyDescent="0.25">
      <c r="A30" s="31" t="s">
        <v>116</v>
      </c>
      <c r="B30" s="32">
        <v>1</v>
      </c>
      <c r="C30" s="32">
        <v>2</v>
      </c>
      <c r="D30" s="32">
        <v>3</v>
      </c>
      <c r="E30" s="32">
        <v>2</v>
      </c>
      <c r="F30" s="12">
        <v>57.8</v>
      </c>
      <c r="G30">
        <v>67.386351573849879</v>
      </c>
      <c r="Q30" s="17">
        <v>28</v>
      </c>
      <c r="R30" s="6">
        <v>2.3792200000000001</v>
      </c>
      <c r="S30" s="6">
        <v>7.6458000000000004</v>
      </c>
      <c r="T30" s="6">
        <v>2.2919999999999998</v>
      </c>
      <c r="U30" s="6">
        <v>328</v>
      </c>
      <c r="W30" s="17">
        <v>28</v>
      </c>
      <c r="X30" s="6">
        <v>4.5087900000000003</v>
      </c>
      <c r="Y30" s="6">
        <v>7.6458000000000004</v>
      </c>
      <c r="Z30" s="6">
        <v>2.2919999999999998</v>
      </c>
      <c r="AA30" s="6">
        <v>328</v>
      </c>
      <c r="AC30" s="17" t="s">
        <v>47</v>
      </c>
      <c r="AD30" s="5">
        <v>29</v>
      </c>
      <c r="AE30" s="6">
        <v>58.601199999999999</v>
      </c>
      <c r="AF30" s="6">
        <v>6.0350000000000001</v>
      </c>
      <c r="AG30" s="6">
        <v>328</v>
      </c>
      <c r="AH30" s="6">
        <v>9.7100000000000009</v>
      </c>
      <c r="AI30" s="6" t="s">
        <v>65</v>
      </c>
      <c r="AJ30" s="6">
        <v>0.3</v>
      </c>
      <c r="AK30" s="6">
        <v>52.336399999999998</v>
      </c>
      <c r="AL30" s="6">
        <v>64.866</v>
      </c>
      <c r="AM30" s="29"/>
      <c r="AN30" s="17">
        <v>27</v>
      </c>
      <c r="AO30" s="6">
        <v>1.06704</v>
      </c>
      <c r="AP30" s="19">
        <v>-0.18759999999999999</v>
      </c>
      <c r="AQ30" s="6">
        <v>0.54239999999999999</v>
      </c>
      <c r="AR30" s="6">
        <v>328</v>
      </c>
      <c r="AT30" s="17">
        <v>27</v>
      </c>
      <c r="AU30" s="6">
        <v>0.56306</v>
      </c>
      <c r="AV30" s="19">
        <v>-0.18759999999999999</v>
      </c>
      <c r="AW30" s="6">
        <v>0.54239999999999999</v>
      </c>
      <c r="AX30" s="6">
        <v>328</v>
      </c>
      <c r="AZ30" s="17" t="s">
        <v>47</v>
      </c>
      <c r="BA30" s="5">
        <v>28</v>
      </c>
      <c r="BB30" s="6">
        <v>56.67</v>
      </c>
      <c r="BC30" s="6">
        <v>0.82320000000000004</v>
      </c>
      <c r="BD30" s="6">
        <v>328</v>
      </c>
      <c r="BE30" s="6">
        <v>68.84</v>
      </c>
      <c r="BF30" s="6" t="s">
        <v>65</v>
      </c>
      <c r="BG30" s="6">
        <v>0.05</v>
      </c>
      <c r="BH30" s="6">
        <v>55.050600000000003</v>
      </c>
      <c r="BI30" s="6">
        <v>58.289299999999997</v>
      </c>
    </row>
    <row r="31" spans="1:61" ht="16.5" customHeight="1" x14ac:dyDescent="0.25">
      <c r="A31" s="31" t="s">
        <v>116</v>
      </c>
      <c r="B31" s="32">
        <v>2</v>
      </c>
      <c r="C31" s="32">
        <v>6</v>
      </c>
      <c r="D31" s="32">
        <v>6</v>
      </c>
      <c r="E31" s="32">
        <v>2</v>
      </c>
      <c r="F31" s="12">
        <v>57.1</v>
      </c>
      <c r="G31">
        <v>61.840057180475874</v>
      </c>
      <c r="Q31" s="17">
        <v>29</v>
      </c>
      <c r="R31" s="6">
        <v>2.3940899999999998</v>
      </c>
      <c r="S31" s="19">
        <v>-0.97789999999999999</v>
      </c>
      <c r="T31" s="6">
        <v>2.3062999999999998</v>
      </c>
      <c r="U31" s="6">
        <v>328</v>
      </c>
      <c r="W31" s="17">
        <v>29</v>
      </c>
      <c r="X31" s="6">
        <v>4.5369700000000002</v>
      </c>
      <c r="Y31" s="19">
        <v>-0.97789999999999999</v>
      </c>
      <c r="Z31" s="6">
        <v>2.3062999999999998</v>
      </c>
      <c r="AA31" s="6">
        <v>328</v>
      </c>
      <c r="AC31" s="17" t="s">
        <v>47</v>
      </c>
      <c r="AD31" s="5">
        <v>30</v>
      </c>
      <c r="AE31" s="6">
        <v>55.532299999999999</v>
      </c>
      <c r="AF31" s="6">
        <v>6.0346000000000002</v>
      </c>
      <c r="AG31" s="6">
        <v>328</v>
      </c>
      <c r="AH31" s="6">
        <v>9.1999999999999993</v>
      </c>
      <c r="AI31" s="6" t="s">
        <v>65</v>
      </c>
      <c r="AJ31" s="6">
        <v>0.3</v>
      </c>
      <c r="AK31" s="6">
        <v>49.267899999999997</v>
      </c>
      <c r="AL31" s="6">
        <v>61.796700000000001</v>
      </c>
      <c r="AM31" s="29"/>
      <c r="AN31" s="17">
        <v>28</v>
      </c>
      <c r="AO31" s="6">
        <v>1.06324</v>
      </c>
      <c r="AP31" s="6">
        <v>0.37890000000000001</v>
      </c>
      <c r="AQ31" s="6">
        <v>0.54049999999999998</v>
      </c>
      <c r="AR31" s="6">
        <v>328</v>
      </c>
      <c r="AT31" s="17">
        <v>28</v>
      </c>
      <c r="AU31" s="6">
        <v>0.56106</v>
      </c>
      <c r="AV31" s="6">
        <v>0.37890000000000001</v>
      </c>
      <c r="AW31" s="6">
        <v>0.54049999999999998</v>
      </c>
      <c r="AX31" s="6">
        <v>328</v>
      </c>
      <c r="AZ31" s="17" t="s">
        <v>47</v>
      </c>
      <c r="BA31" s="5">
        <v>29</v>
      </c>
      <c r="BB31" s="6">
        <v>58.145600000000002</v>
      </c>
      <c r="BC31" s="6">
        <v>0.82350000000000001</v>
      </c>
      <c r="BD31" s="6">
        <v>328</v>
      </c>
      <c r="BE31" s="6">
        <v>70.61</v>
      </c>
      <c r="BF31" s="6" t="s">
        <v>65</v>
      </c>
      <c r="BG31" s="6">
        <v>0.05</v>
      </c>
      <c r="BH31" s="6">
        <v>56.525599999999997</v>
      </c>
      <c r="BI31" s="6">
        <v>59.765700000000002</v>
      </c>
    </row>
    <row r="32" spans="1:61" ht="16.5" customHeight="1" x14ac:dyDescent="0.25">
      <c r="A32" s="31" t="s">
        <v>116</v>
      </c>
      <c r="B32" s="32">
        <v>3</v>
      </c>
      <c r="C32" s="32">
        <v>9</v>
      </c>
      <c r="D32" s="32">
        <v>11</v>
      </c>
      <c r="E32" s="32">
        <v>2</v>
      </c>
      <c r="F32" s="12">
        <v>56.3</v>
      </c>
      <c r="G32">
        <v>66.217328571428567</v>
      </c>
      <c r="I32" s="37"/>
      <c r="J32" s="38" t="s">
        <v>112</v>
      </c>
      <c r="K32" s="38" t="s">
        <v>5</v>
      </c>
      <c r="L32" s="24"/>
      <c r="M32" s="24"/>
      <c r="Q32" s="17">
        <v>30</v>
      </c>
      <c r="R32" s="6">
        <v>2.3753899999999999</v>
      </c>
      <c r="S32" s="6">
        <v>2.6878000000000002</v>
      </c>
      <c r="T32" s="6">
        <v>2.2883</v>
      </c>
      <c r="U32" s="6">
        <v>328</v>
      </c>
      <c r="W32" s="17">
        <v>30</v>
      </c>
      <c r="X32" s="6">
        <v>4.5015299999999998</v>
      </c>
      <c r="Y32" s="6">
        <v>2.6878000000000002</v>
      </c>
      <c r="Z32" s="6">
        <v>2.2883</v>
      </c>
      <c r="AA32" s="6">
        <v>328</v>
      </c>
      <c r="AC32" s="17" t="s">
        <v>47</v>
      </c>
      <c r="AD32" s="5">
        <v>31</v>
      </c>
      <c r="AE32" s="6">
        <v>55.414400000000001</v>
      </c>
      <c r="AF32" s="6">
        <v>6.0355999999999996</v>
      </c>
      <c r="AG32" s="6">
        <v>328</v>
      </c>
      <c r="AH32" s="6">
        <v>9.18</v>
      </c>
      <c r="AI32" s="6" t="s">
        <v>65</v>
      </c>
      <c r="AJ32" s="6">
        <v>0.3</v>
      </c>
      <c r="AK32" s="6">
        <v>49.149000000000001</v>
      </c>
      <c r="AL32" s="6">
        <v>61.679900000000004</v>
      </c>
      <c r="AM32" s="29"/>
      <c r="AN32" s="17">
        <v>29</v>
      </c>
      <c r="AO32" s="6">
        <v>1.07253</v>
      </c>
      <c r="AP32" s="19">
        <v>-2.0106000000000002</v>
      </c>
      <c r="AQ32" s="6">
        <v>0.54520000000000002</v>
      </c>
      <c r="AR32" s="6">
        <v>328</v>
      </c>
      <c r="AT32" s="17">
        <v>29</v>
      </c>
      <c r="AU32" s="6">
        <v>0.56596000000000002</v>
      </c>
      <c r="AV32" s="19">
        <v>-2.0106000000000002</v>
      </c>
      <c r="AW32" s="6">
        <v>0.54520000000000002</v>
      </c>
      <c r="AX32" s="6">
        <v>328</v>
      </c>
      <c r="AZ32" s="17" t="s">
        <v>47</v>
      </c>
      <c r="BA32" s="5">
        <v>30</v>
      </c>
      <c r="BB32" s="6">
        <v>58.138800000000003</v>
      </c>
      <c r="BC32" s="6">
        <v>0.82310000000000005</v>
      </c>
      <c r="BD32" s="6">
        <v>328</v>
      </c>
      <c r="BE32" s="6">
        <v>70.64</v>
      </c>
      <c r="BF32" s="6" t="s">
        <v>65</v>
      </c>
      <c r="BG32" s="6">
        <v>0.05</v>
      </c>
      <c r="BH32" s="6">
        <v>56.519599999999997</v>
      </c>
      <c r="BI32" s="6">
        <v>59.757899999999999</v>
      </c>
    </row>
    <row r="33" spans="1:61" ht="16.5" customHeight="1" x14ac:dyDescent="0.25">
      <c r="A33" s="34" t="s">
        <v>97</v>
      </c>
      <c r="B33" s="35">
        <v>1</v>
      </c>
      <c r="C33" s="35">
        <v>3</v>
      </c>
      <c r="D33" s="35">
        <v>2</v>
      </c>
      <c r="E33" s="35">
        <v>2</v>
      </c>
      <c r="F33" s="2">
        <v>59.8</v>
      </c>
      <c r="G33">
        <v>82.267813086812055</v>
      </c>
      <c r="I33" s="38" t="s">
        <v>133</v>
      </c>
      <c r="J33" s="39">
        <f>AVERAGE(R3:R863)</f>
        <v>2.3873775493612062</v>
      </c>
      <c r="K33" s="39">
        <f>AVERAGE(AU4:AU1048576)</f>
        <v>0.56599967479674773</v>
      </c>
      <c r="L33" s="24"/>
      <c r="M33" s="24"/>
      <c r="Q33" s="17">
        <v>31</v>
      </c>
      <c r="R33" s="6">
        <v>2.3849100000000001</v>
      </c>
      <c r="S33" s="6">
        <v>4.3840000000000003</v>
      </c>
      <c r="T33" s="6">
        <v>2.2974000000000001</v>
      </c>
      <c r="U33" s="6">
        <v>328</v>
      </c>
      <c r="W33" s="17">
        <v>31</v>
      </c>
      <c r="X33" s="6">
        <v>4.5195600000000002</v>
      </c>
      <c r="Y33" s="6">
        <v>4.3840000000000003</v>
      </c>
      <c r="Z33" s="6">
        <v>2.2974000000000001</v>
      </c>
      <c r="AA33" s="6">
        <v>328</v>
      </c>
      <c r="AC33" s="17" t="s">
        <v>47</v>
      </c>
      <c r="AD33" s="5">
        <v>32</v>
      </c>
      <c r="AE33" s="6">
        <v>64.038200000000003</v>
      </c>
      <c r="AF33" s="6">
        <v>6.0385</v>
      </c>
      <c r="AG33" s="6">
        <v>328</v>
      </c>
      <c r="AH33" s="6">
        <v>10.61</v>
      </c>
      <c r="AI33" s="6" t="s">
        <v>65</v>
      </c>
      <c r="AJ33" s="6">
        <v>0.3</v>
      </c>
      <c r="AK33" s="6">
        <v>57.769799999999996</v>
      </c>
      <c r="AL33" s="6">
        <v>70.306600000000003</v>
      </c>
      <c r="AM33" s="29"/>
      <c r="AN33" s="17">
        <v>30</v>
      </c>
      <c r="AO33" s="6">
        <v>1.0613900000000001</v>
      </c>
      <c r="AP33" s="6">
        <v>6.055E-2</v>
      </c>
      <c r="AQ33" s="6">
        <v>0.53949999999999998</v>
      </c>
      <c r="AR33" s="6">
        <v>328</v>
      </c>
      <c r="AT33" s="17">
        <v>30</v>
      </c>
      <c r="AU33" s="6">
        <v>0.56008000000000002</v>
      </c>
      <c r="AV33" s="6">
        <v>6.055E-2</v>
      </c>
      <c r="AW33" s="6">
        <v>0.53949999999999998</v>
      </c>
      <c r="AX33" s="6">
        <v>328</v>
      </c>
      <c r="AZ33" s="17" t="s">
        <v>47</v>
      </c>
      <c r="BA33" s="5">
        <v>31</v>
      </c>
      <c r="BB33" s="6">
        <v>57.572299999999998</v>
      </c>
      <c r="BC33" s="6">
        <v>0.82320000000000004</v>
      </c>
      <c r="BD33" s="6">
        <v>328</v>
      </c>
      <c r="BE33" s="6">
        <v>69.94</v>
      </c>
      <c r="BF33" s="6" t="s">
        <v>65</v>
      </c>
      <c r="BG33" s="6">
        <v>0.05</v>
      </c>
      <c r="BH33" s="6">
        <v>55.952800000000003</v>
      </c>
      <c r="BI33" s="6">
        <v>59.191699999999997</v>
      </c>
    </row>
    <row r="34" spans="1:61" ht="16.5" customHeight="1" x14ac:dyDescent="0.25">
      <c r="A34" s="34" t="s">
        <v>97</v>
      </c>
      <c r="B34" s="35">
        <v>2</v>
      </c>
      <c r="C34" s="35">
        <v>1</v>
      </c>
      <c r="D34" s="35">
        <v>3</v>
      </c>
      <c r="E34" s="35">
        <v>2</v>
      </c>
      <c r="F34" s="2">
        <v>61.1</v>
      </c>
      <c r="G34">
        <v>78.331784386617088</v>
      </c>
      <c r="I34" s="38" t="s">
        <v>134</v>
      </c>
      <c r="J34" s="39">
        <f>AVERAGE(X3:X1048576)</f>
        <v>4.5242452380952365</v>
      </c>
      <c r="K34" s="39">
        <f>AVERAGE(AO4:AO864)</f>
        <v>1.0726084436701508</v>
      </c>
      <c r="L34" s="24"/>
      <c r="M34" s="24"/>
      <c r="Q34" s="17">
        <v>32</v>
      </c>
      <c r="R34" s="6">
        <v>2.38612</v>
      </c>
      <c r="S34" s="6">
        <v>2.9901</v>
      </c>
      <c r="T34" s="6">
        <v>2.2986</v>
      </c>
      <c r="U34" s="6">
        <v>328</v>
      </c>
      <c r="W34" s="17">
        <v>32</v>
      </c>
      <c r="X34" s="6">
        <v>4.5218600000000002</v>
      </c>
      <c r="Y34" s="6">
        <v>2.9901</v>
      </c>
      <c r="Z34" s="6">
        <v>2.2986</v>
      </c>
      <c r="AA34" s="6">
        <v>328</v>
      </c>
      <c r="AC34" s="17" t="s">
        <v>47</v>
      </c>
      <c r="AD34" s="5">
        <v>33</v>
      </c>
      <c r="AE34" s="6">
        <v>60.372500000000002</v>
      </c>
      <c r="AF34" s="6">
        <v>6.0350000000000001</v>
      </c>
      <c r="AG34" s="6">
        <v>328</v>
      </c>
      <c r="AH34" s="6">
        <v>10</v>
      </c>
      <c r="AI34" s="6" t="s">
        <v>65</v>
      </c>
      <c r="AJ34" s="6">
        <v>0.3</v>
      </c>
      <c r="AK34" s="6">
        <v>54.107700000000001</v>
      </c>
      <c r="AL34" s="6">
        <v>66.637299999999996</v>
      </c>
      <c r="AM34" s="29"/>
      <c r="AN34" s="17">
        <v>31</v>
      </c>
      <c r="AO34" s="6">
        <v>1.07037</v>
      </c>
      <c r="AP34" s="6">
        <v>0.27389999999999998</v>
      </c>
      <c r="AQ34" s="6">
        <v>0.54410000000000003</v>
      </c>
      <c r="AR34" s="6">
        <v>328</v>
      </c>
      <c r="AT34" s="17">
        <v>31</v>
      </c>
      <c r="AU34" s="6">
        <v>0.56481999999999999</v>
      </c>
      <c r="AV34" s="6">
        <v>0.27389999999999998</v>
      </c>
      <c r="AW34" s="6">
        <v>0.54410000000000003</v>
      </c>
      <c r="AX34" s="6">
        <v>328</v>
      </c>
      <c r="AZ34" s="17" t="s">
        <v>47</v>
      </c>
      <c r="BA34" s="5">
        <v>32</v>
      </c>
      <c r="BB34" s="6">
        <v>59.9617</v>
      </c>
      <c r="BC34" s="6">
        <v>0.82469999999999999</v>
      </c>
      <c r="BD34" s="6">
        <v>328</v>
      </c>
      <c r="BE34" s="6">
        <v>72.709999999999994</v>
      </c>
      <c r="BF34" s="6" t="s">
        <v>65</v>
      </c>
      <c r="BG34" s="6">
        <v>0.05</v>
      </c>
      <c r="BH34" s="6">
        <v>58.339399999999998</v>
      </c>
      <c r="BI34" s="6">
        <v>61.584000000000003</v>
      </c>
    </row>
    <row r="35" spans="1:61" ht="16.5" customHeight="1" x14ac:dyDescent="0.25">
      <c r="A35" s="34" t="s">
        <v>97</v>
      </c>
      <c r="B35" s="35">
        <v>3</v>
      </c>
      <c r="C35" s="35">
        <v>21</v>
      </c>
      <c r="D35" s="35">
        <v>6</v>
      </c>
      <c r="E35" s="35">
        <v>2</v>
      </c>
      <c r="F35" s="2">
        <v>60.1</v>
      </c>
      <c r="G35">
        <v>82.979485027655912</v>
      </c>
      <c r="I35" s="38" t="s">
        <v>135</v>
      </c>
      <c r="J35" s="40">
        <v>10.279858988814276</v>
      </c>
      <c r="K35" s="40">
        <v>1.4225341334792447</v>
      </c>
      <c r="L35" s="24"/>
      <c r="M35" s="24"/>
      <c r="Q35" s="17">
        <v>33</v>
      </c>
      <c r="R35" s="6">
        <v>2.3837100000000002</v>
      </c>
      <c r="S35" s="6">
        <v>4.0568</v>
      </c>
      <c r="T35" s="6">
        <v>2.2963</v>
      </c>
      <c r="U35" s="6">
        <v>328</v>
      </c>
      <c r="W35" s="17">
        <v>33</v>
      </c>
      <c r="X35" s="6">
        <v>4.5172999999999996</v>
      </c>
      <c r="Y35" s="6">
        <v>4.0568</v>
      </c>
      <c r="Z35" s="6">
        <v>2.2963</v>
      </c>
      <c r="AA35" s="6">
        <v>328</v>
      </c>
      <c r="AC35" s="17" t="s">
        <v>47</v>
      </c>
      <c r="AD35" s="5">
        <v>34</v>
      </c>
      <c r="AE35" s="6">
        <v>58.676299999999998</v>
      </c>
      <c r="AF35" s="6">
        <v>6.0359999999999996</v>
      </c>
      <c r="AG35" s="6">
        <v>328</v>
      </c>
      <c r="AH35" s="6">
        <v>9.7200000000000006</v>
      </c>
      <c r="AI35" s="6" t="s">
        <v>65</v>
      </c>
      <c r="AJ35" s="6">
        <v>0.3</v>
      </c>
      <c r="AK35" s="6">
        <v>52.410499999999999</v>
      </c>
      <c r="AL35" s="6">
        <v>64.942099999999996</v>
      </c>
      <c r="AM35" s="29"/>
      <c r="AN35" s="17">
        <v>32</v>
      </c>
      <c r="AO35" s="6">
        <v>1.0703400000000001</v>
      </c>
      <c r="AP35" s="19">
        <v>-1.523E-2</v>
      </c>
      <c r="AQ35" s="6">
        <v>0.54410000000000003</v>
      </c>
      <c r="AR35" s="6">
        <v>328</v>
      </c>
      <c r="AT35" s="17">
        <v>32</v>
      </c>
      <c r="AU35" s="6">
        <v>0.56479999999999997</v>
      </c>
      <c r="AV35" s="19">
        <v>-1.523E-2</v>
      </c>
      <c r="AW35" s="6">
        <v>0.54410000000000003</v>
      </c>
      <c r="AX35" s="6">
        <v>328</v>
      </c>
      <c r="AZ35" s="17" t="s">
        <v>47</v>
      </c>
      <c r="BA35" s="5">
        <v>33</v>
      </c>
      <c r="BB35" s="6">
        <v>57.890599999999999</v>
      </c>
      <c r="BC35" s="6">
        <v>0.82310000000000005</v>
      </c>
      <c r="BD35" s="6">
        <v>328</v>
      </c>
      <c r="BE35" s="6">
        <v>70.34</v>
      </c>
      <c r="BF35" s="6" t="s">
        <v>65</v>
      </c>
      <c r="BG35" s="6">
        <v>0.05</v>
      </c>
      <c r="BH35" s="6">
        <v>56.271500000000003</v>
      </c>
      <c r="BI35" s="6">
        <v>59.509700000000002</v>
      </c>
    </row>
    <row r="36" spans="1:61" ht="16.5" customHeight="1" x14ac:dyDescent="0.25">
      <c r="A36" s="31" t="s">
        <v>132</v>
      </c>
      <c r="B36" s="32">
        <v>1</v>
      </c>
      <c r="C36" s="32">
        <v>21</v>
      </c>
      <c r="D36" s="32">
        <v>1</v>
      </c>
      <c r="E36" s="32">
        <v>2</v>
      </c>
      <c r="F36" s="2">
        <v>62.8</v>
      </c>
      <c r="G36">
        <v>69.994684923581303</v>
      </c>
      <c r="I36" s="24"/>
      <c r="J36" s="24"/>
      <c r="K36" s="24"/>
      <c r="L36" s="24"/>
      <c r="M36" s="24"/>
      <c r="Q36" s="17">
        <v>34</v>
      </c>
      <c r="R36" s="6">
        <v>2.3730500000000001</v>
      </c>
      <c r="S36" s="6">
        <v>2.4882</v>
      </c>
      <c r="T36" s="6">
        <v>2.286</v>
      </c>
      <c r="U36" s="6">
        <v>328</v>
      </c>
      <c r="W36" s="17">
        <v>34</v>
      </c>
      <c r="X36" s="6">
        <v>4.49709</v>
      </c>
      <c r="Y36" s="6">
        <v>2.4882</v>
      </c>
      <c r="Z36" s="6">
        <v>2.286</v>
      </c>
      <c r="AA36" s="6">
        <v>328</v>
      </c>
      <c r="AC36" s="17" t="s">
        <v>47</v>
      </c>
      <c r="AD36" s="5">
        <v>35</v>
      </c>
      <c r="AE36" s="6">
        <v>60.0702</v>
      </c>
      <c r="AF36" s="6">
        <v>6.0387000000000004</v>
      </c>
      <c r="AG36" s="6">
        <v>328</v>
      </c>
      <c r="AH36" s="6">
        <v>9.9499999999999993</v>
      </c>
      <c r="AI36" s="6" t="s">
        <v>65</v>
      </c>
      <c r="AJ36" s="6">
        <v>0.3</v>
      </c>
      <c r="AK36" s="6">
        <v>53.801600000000001</v>
      </c>
      <c r="AL36" s="6">
        <v>66.338800000000006</v>
      </c>
      <c r="AM36" s="29"/>
      <c r="AN36" s="17">
        <v>33</v>
      </c>
      <c r="AO36" s="6">
        <v>1.0677300000000001</v>
      </c>
      <c r="AP36" s="19">
        <v>-1.0958000000000001</v>
      </c>
      <c r="AQ36" s="6">
        <v>0.54279999999999995</v>
      </c>
      <c r="AR36" s="6">
        <v>328</v>
      </c>
      <c r="AT36" s="17">
        <v>33</v>
      </c>
      <c r="AU36" s="6">
        <v>0.56342999999999999</v>
      </c>
      <c r="AV36" s="19">
        <v>-1.0958000000000001</v>
      </c>
      <c r="AW36" s="6">
        <v>0.54279999999999995</v>
      </c>
      <c r="AX36" s="6">
        <v>328</v>
      </c>
      <c r="AZ36" s="17" t="s">
        <v>47</v>
      </c>
      <c r="BA36" s="5">
        <v>34</v>
      </c>
      <c r="BB36" s="6">
        <v>57.677300000000002</v>
      </c>
      <c r="BC36" s="6">
        <v>0.82450000000000001</v>
      </c>
      <c r="BD36" s="6">
        <v>328</v>
      </c>
      <c r="BE36" s="6">
        <v>69.959999999999994</v>
      </c>
      <c r="BF36" s="6" t="s">
        <v>65</v>
      </c>
      <c r="BG36" s="6">
        <v>0.05</v>
      </c>
      <c r="BH36" s="6">
        <v>56.055399999999999</v>
      </c>
      <c r="BI36" s="6">
        <v>59.299199999999999</v>
      </c>
    </row>
    <row r="37" spans="1:61" ht="16.5" customHeight="1" x14ac:dyDescent="0.25">
      <c r="A37" s="31" t="s">
        <v>132</v>
      </c>
      <c r="B37" s="32">
        <v>2</v>
      </c>
      <c r="C37" s="32">
        <v>1</v>
      </c>
      <c r="D37" s="32">
        <v>4</v>
      </c>
      <c r="E37" s="32">
        <v>2</v>
      </c>
      <c r="F37" s="2">
        <v>58.7</v>
      </c>
      <c r="G37">
        <v>67.883399736983094</v>
      </c>
      <c r="I37" s="24"/>
      <c r="J37" s="24"/>
      <c r="K37" s="24"/>
      <c r="L37" s="24"/>
      <c r="M37" s="24"/>
      <c r="Q37" s="17">
        <v>35</v>
      </c>
      <c r="R37" s="6">
        <v>2.3816299999999999</v>
      </c>
      <c r="S37" s="6">
        <v>2.9912999999999998</v>
      </c>
      <c r="T37" s="6">
        <v>2.2942999999999998</v>
      </c>
      <c r="U37" s="6">
        <v>328</v>
      </c>
      <c r="W37" s="17">
        <v>35</v>
      </c>
      <c r="X37" s="6">
        <v>4.5133599999999996</v>
      </c>
      <c r="Y37" s="6">
        <v>2.9912999999999998</v>
      </c>
      <c r="Z37" s="6">
        <v>2.2942999999999998</v>
      </c>
      <c r="AA37" s="6">
        <v>328</v>
      </c>
      <c r="AC37" s="17" t="s">
        <v>47</v>
      </c>
      <c r="AD37" s="5">
        <v>36</v>
      </c>
      <c r="AE37" s="6">
        <v>59.003500000000003</v>
      </c>
      <c r="AF37" s="6">
        <v>6.0358000000000001</v>
      </c>
      <c r="AG37" s="6">
        <v>328</v>
      </c>
      <c r="AH37" s="6">
        <v>9.7799999999999994</v>
      </c>
      <c r="AI37" s="6" t="s">
        <v>65</v>
      </c>
      <c r="AJ37" s="6">
        <v>0.3</v>
      </c>
      <c r="AK37" s="6">
        <v>52.737900000000003</v>
      </c>
      <c r="AL37" s="6">
        <v>65.269099999999995</v>
      </c>
      <c r="AM37" s="29"/>
      <c r="AN37" s="17">
        <v>34</v>
      </c>
      <c r="AO37" s="6">
        <v>1.0564</v>
      </c>
      <c r="AP37" s="19">
        <v>-0.75619999999999998</v>
      </c>
      <c r="AQ37" s="6">
        <v>0.53700000000000003</v>
      </c>
      <c r="AR37" s="6">
        <v>328</v>
      </c>
      <c r="AT37" s="17">
        <v>34</v>
      </c>
      <c r="AU37" s="6">
        <v>0.55745</v>
      </c>
      <c r="AV37" s="19">
        <v>-0.75619999999999998</v>
      </c>
      <c r="AW37" s="6">
        <v>0.53700000000000003</v>
      </c>
      <c r="AX37" s="6">
        <v>328</v>
      </c>
      <c r="AZ37" s="17" t="s">
        <v>47</v>
      </c>
      <c r="BA37" s="5">
        <v>35</v>
      </c>
      <c r="BB37" s="6">
        <v>57.9664</v>
      </c>
      <c r="BC37" s="6">
        <v>0.82630000000000003</v>
      </c>
      <c r="BD37" s="6">
        <v>328</v>
      </c>
      <c r="BE37" s="6">
        <v>70.150000000000006</v>
      </c>
      <c r="BF37" s="6" t="s">
        <v>65</v>
      </c>
      <c r="BG37" s="6">
        <v>0.05</v>
      </c>
      <c r="BH37" s="6">
        <v>56.340800000000002</v>
      </c>
      <c r="BI37" s="6">
        <v>59.591999999999999</v>
      </c>
    </row>
    <row r="38" spans="1:61" ht="16.5" customHeight="1" x14ac:dyDescent="0.25">
      <c r="A38" s="31" t="s">
        <v>132</v>
      </c>
      <c r="B38" s="32">
        <v>3</v>
      </c>
      <c r="C38" s="32">
        <v>13</v>
      </c>
      <c r="D38" s="32">
        <v>6</v>
      </c>
      <c r="E38" s="32">
        <v>2</v>
      </c>
      <c r="F38" s="12">
        <v>61.8</v>
      </c>
      <c r="G38">
        <v>67.247355192835471</v>
      </c>
      <c r="I38" s="24" t="s">
        <v>112</v>
      </c>
      <c r="J38" s="24"/>
      <c r="K38" s="24"/>
      <c r="L38" s="24"/>
      <c r="M38" s="24"/>
      <c r="Q38" s="17">
        <v>36</v>
      </c>
      <c r="R38" s="6">
        <v>2.3910800000000001</v>
      </c>
      <c r="S38" s="6">
        <v>10.288399999999999</v>
      </c>
      <c r="T38" s="6">
        <v>2.3033999999999999</v>
      </c>
      <c r="U38" s="6">
        <v>328</v>
      </c>
      <c r="W38" s="17">
        <v>36</v>
      </c>
      <c r="X38" s="6">
        <v>4.5312599999999996</v>
      </c>
      <c r="Y38" s="6">
        <v>10.288399999999999</v>
      </c>
      <c r="Z38" s="6">
        <v>2.3033999999999999</v>
      </c>
      <c r="AA38" s="6">
        <v>328</v>
      </c>
      <c r="AC38" s="17" t="s">
        <v>47</v>
      </c>
      <c r="AD38" s="5">
        <v>37</v>
      </c>
      <c r="AE38" s="6">
        <v>60.572099999999999</v>
      </c>
      <c r="AF38" s="6">
        <v>6.0346000000000002</v>
      </c>
      <c r="AG38" s="6">
        <v>328</v>
      </c>
      <c r="AH38" s="6">
        <v>10.039999999999999</v>
      </c>
      <c r="AI38" s="6" t="s">
        <v>65</v>
      </c>
      <c r="AJ38" s="6">
        <v>0.3</v>
      </c>
      <c r="AK38" s="6">
        <v>54.3078</v>
      </c>
      <c r="AL38" s="6">
        <v>66.836500000000001</v>
      </c>
      <c r="AM38" s="29"/>
      <c r="AN38" s="17">
        <v>35</v>
      </c>
      <c r="AO38" s="6">
        <v>1.0668500000000001</v>
      </c>
      <c r="AP38" s="19">
        <v>-1.2830999999999999</v>
      </c>
      <c r="AQ38" s="6">
        <v>0.5423</v>
      </c>
      <c r="AR38" s="6">
        <v>328</v>
      </c>
      <c r="AT38" s="17">
        <v>35</v>
      </c>
      <c r="AU38" s="6">
        <v>0.56296000000000002</v>
      </c>
      <c r="AV38" s="19">
        <v>-1.2830999999999999</v>
      </c>
      <c r="AW38" s="6">
        <v>0.5423</v>
      </c>
      <c r="AX38" s="6">
        <v>328</v>
      </c>
      <c r="AZ38" s="17" t="s">
        <v>47</v>
      </c>
      <c r="BA38" s="5">
        <v>36</v>
      </c>
      <c r="BB38" s="6">
        <v>59.046900000000001</v>
      </c>
      <c r="BC38" s="6">
        <v>0.82350000000000001</v>
      </c>
      <c r="BD38" s="6">
        <v>328</v>
      </c>
      <c r="BE38" s="6">
        <v>71.709999999999994</v>
      </c>
      <c r="BF38" s="6" t="s">
        <v>65</v>
      </c>
      <c r="BG38" s="6">
        <v>0.05</v>
      </c>
      <c r="BH38" s="6">
        <v>57.427</v>
      </c>
      <c r="BI38" s="6">
        <v>60.666899999999998</v>
      </c>
    </row>
    <row r="39" spans="1:61" ht="16.5" customHeight="1" x14ac:dyDescent="0.25">
      <c r="A39" s="31" t="s">
        <v>13</v>
      </c>
      <c r="B39" s="32">
        <v>1</v>
      </c>
      <c r="C39" s="36">
        <v>8</v>
      </c>
      <c r="D39" s="36">
        <v>1</v>
      </c>
      <c r="E39" s="32">
        <v>2</v>
      </c>
      <c r="F39" s="12">
        <v>57.6</v>
      </c>
      <c r="G39">
        <v>73.72475</v>
      </c>
      <c r="I39" s="41" t="s">
        <v>136</v>
      </c>
      <c r="J39" s="42" t="s">
        <v>137</v>
      </c>
      <c r="K39" s="43" t="s">
        <v>138</v>
      </c>
      <c r="L39" s="42" t="s">
        <v>139</v>
      </c>
      <c r="M39" s="44" t="s">
        <v>19</v>
      </c>
      <c r="Q39" s="17">
        <v>37</v>
      </c>
      <c r="R39" s="6">
        <v>2.38768</v>
      </c>
      <c r="S39" s="6">
        <v>4.7956000000000003</v>
      </c>
      <c r="T39" s="6">
        <v>2.3001</v>
      </c>
      <c r="U39" s="6">
        <v>328</v>
      </c>
      <c r="W39" s="17">
        <v>37</v>
      </c>
      <c r="X39" s="6">
        <v>4.5248200000000001</v>
      </c>
      <c r="Y39" s="6">
        <v>4.7956000000000003</v>
      </c>
      <c r="Z39" s="6">
        <v>2.3001</v>
      </c>
      <c r="AA39" s="6">
        <v>328</v>
      </c>
      <c r="AC39" s="17" t="s">
        <v>47</v>
      </c>
      <c r="AD39" s="5">
        <v>40</v>
      </c>
      <c r="AE39" s="6">
        <v>60.069000000000003</v>
      </c>
      <c r="AF39" s="6">
        <v>6.0351999999999997</v>
      </c>
      <c r="AG39" s="6">
        <v>328</v>
      </c>
      <c r="AH39" s="6">
        <v>9.9499999999999993</v>
      </c>
      <c r="AI39" s="6" t="s">
        <v>65</v>
      </c>
      <c r="AJ39" s="6">
        <v>0.3</v>
      </c>
      <c r="AK39" s="6">
        <v>53.804099999999998</v>
      </c>
      <c r="AL39" s="6">
        <v>66.334000000000003</v>
      </c>
      <c r="AM39" s="29"/>
      <c r="AN39" s="17">
        <v>36</v>
      </c>
      <c r="AO39" s="6">
        <v>1.07711</v>
      </c>
      <c r="AP39" s="6">
        <v>0.50670000000000004</v>
      </c>
      <c r="AQ39" s="6">
        <v>0.54749999999999999</v>
      </c>
      <c r="AR39" s="6">
        <v>328</v>
      </c>
      <c r="AT39" s="17">
        <v>36</v>
      </c>
      <c r="AU39" s="6">
        <v>0.56838</v>
      </c>
      <c r="AV39" s="6">
        <v>0.50670000000000004</v>
      </c>
      <c r="AW39" s="6">
        <v>0.54749999999999999</v>
      </c>
      <c r="AX39" s="6">
        <v>328</v>
      </c>
      <c r="AZ39" s="17" t="s">
        <v>47</v>
      </c>
      <c r="BA39" s="5">
        <v>37</v>
      </c>
      <c r="BB39" s="6">
        <v>58.7074</v>
      </c>
      <c r="BC39" s="6">
        <v>0.8226</v>
      </c>
      <c r="BD39" s="6">
        <v>328</v>
      </c>
      <c r="BE39" s="6">
        <v>71.36</v>
      </c>
      <c r="BF39" s="6" t="s">
        <v>65</v>
      </c>
      <c r="BG39" s="6">
        <v>0.05</v>
      </c>
      <c r="BH39" s="6">
        <v>57.089100000000002</v>
      </c>
      <c r="BI39" s="6">
        <v>60.325699999999998</v>
      </c>
    </row>
    <row r="40" spans="1:61" ht="16.5" customHeight="1" x14ac:dyDescent="0.25">
      <c r="A40" s="31" t="s">
        <v>13</v>
      </c>
      <c r="B40" s="32">
        <v>2</v>
      </c>
      <c r="C40" s="36">
        <v>13</v>
      </c>
      <c r="D40" s="36">
        <v>3</v>
      </c>
      <c r="E40" s="32">
        <v>2</v>
      </c>
      <c r="F40" s="12">
        <v>58.9</v>
      </c>
      <c r="G40">
        <v>81.259200000000007</v>
      </c>
      <c r="I40" s="45" t="s">
        <v>140</v>
      </c>
      <c r="J40" s="46">
        <v>6993.3</v>
      </c>
      <c r="K40" s="46">
        <v>6999.8</v>
      </c>
      <c r="L40" s="46" t="s">
        <v>141</v>
      </c>
      <c r="M40" s="47">
        <v>6.1</v>
      </c>
      <c r="Q40" s="17">
        <v>38</v>
      </c>
      <c r="R40" s="6">
        <v>2.3889200000000002</v>
      </c>
      <c r="S40" s="6">
        <v>14.514099999999999</v>
      </c>
      <c r="T40" s="6">
        <v>2.3012999999999999</v>
      </c>
      <c r="U40" s="6">
        <v>328</v>
      </c>
      <c r="W40" s="17">
        <v>38</v>
      </c>
      <c r="X40" s="6">
        <v>4.5271600000000003</v>
      </c>
      <c r="Y40" s="6">
        <v>14.514099999999999</v>
      </c>
      <c r="Z40" s="6">
        <v>2.3012999999999999</v>
      </c>
      <c r="AA40" s="6">
        <v>328</v>
      </c>
      <c r="AC40" s="17" t="s">
        <v>47</v>
      </c>
      <c r="AD40" s="5">
        <v>41</v>
      </c>
      <c r="AE40" s="6">
        <v>52.771900000000002</v>
      </c>
      <c r="AF40" s="6">
        <v>6.0396999999999998</v>
      </c>
      <c r="AG40" s="6">
        <v>328</v>
      </c>
      <c r="AH40" s="6">
        <v>8.74</v>
      </c>
      <c r="AI40" s="6" t="s">
        <v>65</v>
      </c>
      <c r="AJ40" s="6">
        <v>0.3</v>
      </c>
      <c r="AK40" s="6">
        <v>46.502299999999998</v>
      </c>
      <c r="AL40" s="6">
        <v>59.041499999999999</v>
      </c>
      <c r="AN40" s="17">
        <v>37</v>
      </c>
      <c r="AO40" s="6">
        <v>1.06972</v>
      </c>
      <c r="AP40" s="19">
        <v>-1.2119</v>
      </c>
      <c r="AQ40" s="6">
        <v>0.54379999999999995</v>
      </c>
      <c r="AR40" s="6">
        <v>328</v>
      </c>
      <c r="AT40" s="17">
        <v>37</v>
      </c>
      <c r="AU40" s="6">
        <v>0.56447999999999998</v>
      </c>
      <c r="AV40" s="19">
        <v>-1.2119</v>
      </c>
      <c r="AW40" s="6">
        <v>0.54379999999999995</v>
      </c>
      <c r="AX40" s="6">
        <v>328</v>
      </c>
      <c r="AZ40" s="17" t="s">
        <v>47</v>
      </c>
      <c r="BA40" s="5">
        <v>40</v>
      </c>
      <c r="BB40" s="6">
        <v>59.234299999999998</v>
      </c>
      <c r="BC40" s="6">
        <v>0.82320000000000004</v>
      </c>
      <c r="BD40" s="6">
        <v>328</v>
      </c>
      <c r="BE40" s="6">
        <v>71.959999999999994</v>
      </c>
      <c r="BF40" s="6" t="s">
        <v>65</v>
      </c>
      <c r="BG40" s="6">
        <v>0.05</v>
      </c>
      <c r="BH40" s="6">
        <v>57.614800000000002</v>
      </c>
      <c r="BI40" s="6">
        <v>60.853700000000003</v>
      </c>
    </row>
    <row r="41" spans="1:61" ht="16.5" customHeight="1" x14ac:dyDescent="0.25">
      <c r="A41" s="31" t="s">
        <v>13</v>
      </c>
      <c r="B41" s="32">
        <v>3</v>
      </c>
      <c r="C41" s="36">
        <v>3</v>
      </c>
      <c r="D41" s="36">
        <v>6</v>
      </c>
      <c r="E41" s="32">
        <v>2</v>
      </c>
      <c r="F41" s="12">
        <v>57.6</v>
      </c>
      <c r="G41">
        <v>59.835380000000001</v>
      </c>
      <c r="I41" s="48" t="s">
        <v>142</v>
      </c>
      <c r="J41" s="49">
        <v>6859.1</v>
      </c>
      <c r="K41" s="49">
        <v>6869.1</v>
      </c>
      <c r="L41" s="49" t="s">
        <v>141</v>
      </c>
      <c r="M41" s="50">
        <v>6</v>
      </c>
      <c r="Q41" s="17">
        <v>39</v>
      </c>
      <c r="R41" s="6">
        <v>2.3737699999999999</v>
      </c>
      <c r="S41" s="6">
        <v>9.7373999999999992</v>
      </c>
      <c r="T41" s="6">
        <v>2.2867000000000002</v>
      </c>
      <c r="U41" s="6">
        <v>328</v>
      </c>
      <c r="W41" s="17">
        <v>39</v>
      </c>
      <c r="X41" s="6">
        <v>4.4984500000000001</v>
      </c>
      <c r="Y41" s="6">
        <v>9.7373999999999992</v>
      </c>
      <c r="Z41" s="6">
        <v>2.2867000000000002</v>
      </c>
      <c r="AA41" s="6">
        <v>328</v>
      </c>
      <c r="AC41" s="17" t="s">
        <v>47</v>
      </c>
      <c r="AD41" s="5">
        <v>42</v>
      </c>
      <c r="AE41" s="6">
        <v>58.264699999999998</v>
      </c>
      <c r="AF41" s="6">
        <v>6.0365000000000002</v>
      </c>
      <c r="AG41" s="6">
        <v>328</v>
      </c>
      <c r="AH41" s="6">
        <v>9.65</v>
      </c>
      <c r="AI41" s="6" t="s">
        <v>65</v>
      </c>
      <c r="AJ41" s="6">
        <v>0.3</v>
      </c>
      <c r="AK41" s="6">
        <v>51.998399999999997</v>
      </c>
      <c r="AL41" s="6">
        <v>64.531099999999995</v>
      </c>
      <c r="AN41" s="17">
        <v>38</v>
      </c>
      <c r="AO41" s="6">
        <v>1.0750200000000001</v>
      </c>
      <c r="AP41" s="6">
        <v>1.2990999999999999</v>
      </c>
      <c r="AQ41" s="6">
        <v>0.54649999999999999</v>
      </c>
      <c r="AR41" s="6">
        <v>328</v>
      </c>
      <c r="AT41" s="17">
        <v>38</v>
      </c>
      <c r="AU41" s="6">
        <v>0.56727000000000005</v>
      </c>
      <c r="AV41" s="6">
        <v>1.2990999999999999</v>
      </c>
      <c r="AW41" s="6">
        <v>0.54649999999999999</v>
      </c>
      <c r="AX41" s="6">
        <v>328</v>
      </c>
      <c r="AZ41" s="17" t="s">
        <v>47</v>
      </c>
      <c r="BA41" s="5">
        <v>41</v>
      </c>
      <c r="BB41" s="6">
        <v>57.444499999999998</v>
      </c>
      <c r="BC41" s="6">
        <v>0.82730000000000004</v>
      </c>
      <c r="BD41" s="6">
        <v>328</v>
      </c>
      <c r="BE41" s="6">
        <v>69.430000000000007</v>
      </c>
      <c r="BF41" s="6" t="s">
        <v>65</v>
      </c>
      <c r="BG41" s="6">
        <v>0.05</v>
      </c>
      <c r="BH41" s="6">
        <v>55.817</v>
      </c>
      <c r="BI41" s="6">
        <v>59.072000000000003</v>
      </c>
    </row>
    <row r="42" spans="1:61" ht="16.5" customHeight="1" x14ac:dyDescent="0.25">
      <c r="A42" t="s">
        <v>7</v>
      </c>
      <c r="B42" s="11">
        <v>1</v>
      </c>
      <c r="C42" s="11">
        <v>8</v>
      </c>
      <c r="D42" s="11">
        <v>2</v>
      </c>
      <c r="E42" s="11">
        <v>2</v>
      </c>
      <c r="F42" s="12">
        <v>55.8</v>
      </c>
      <c r="G42">
        <v>43.136738807649046</v>
      </c>
      <c r="I42" s="51" t="s">
        <v>143</v>
      </c>
      <c r="J42" s="52"/>
      <c r="K42" s="52"/>
      <c r="L42" s="52"/>
      <c r="M42" s="47"/>
      <c r="Q42" s="17">
        <v>40</v>
      </c>
      <c r="R42" s="6">
        <v>2.3868200000000002</v>
      </c>
      <c r="S42" s="6">
        <v>3.7587999999999999</v>
      </c>
      <c r="T42" s="6">
        <v>2.2993000000000001</v>
      </c>
      <c r="U42" s="6">
        <v>328</v>
      </c>
      <c r="W42" s="17">
        <v>40</v>
      </c>
      <c r="X42" s="6">
        <v>4.5231899999999996</v>
      </c>
      <c r="Y42" s="6">
        <v>3.7587999999999999</v>
      </c>
      <c r="Z42" s="6">
        <v>2.2993000000000001</v>
      </c>
      <c r="AA42" s="6">
        <v>328</v>
      </c>
      <c r="AC42" s="17" t="s">
        <v>47</v>
      </c>
      <c r="AD42" s="5">
        <v>43</v>
      </c>
      <c r="AE42" s="6">
        <v>48.546199999999999</v>
      </c>
      <c r="AF42" s="6">
        <v>6.0380000000000003</v>
      </c>
      <c r="AG42" s="6">
        <v>328</v>
      </c>
      <c r="AH42" s="6">
        <v>8.0399999999999991</v>
      </c>
      <c r="AI42" s="6" t="s">
        <v>65</v>
      </c>
      <c r="AJ42" s="6">
        <v>0.3</v>
      </c>
      <c r="AK42" s="6">
        <v>42.278300000000002</v>
      </c>
      <c r="AL42" s="6">
        <v>54.814</v>
      </c>
      <c r="AN42" s="17">
        <v>39</v>
      </c>
      <c r="AO42" s="6">
        <v>1.0612699999999999</v>
      </c>
      <c r="AP42" s="6">
        <v>0.42749999999999999</v>
      </c>
      <c r="AQ42" s="6">
        <v>0.53949999999999998</v>
      </c>
      <c r="AR42" s="6">
        <v>328</v>
      </c>
      <c r="AT42" s="17">
        <v>39</v>
      </c>
      <c r="AU42" s="6">
        <v>0.56001999999999996</v>
      </c>
      <c r="AV42" s="6">
        <v>0.42749999999999999</v>
      </c>
      <c r="AW42" s="6">
        <v>0.53949999999999998</v>
      </c>
      <c r="AX42" s="6">
        <v>328</v>
      </c>
      <c r="AZ42" s="17" t="s">
        <v>47</v>
      </c>
      <c r="BA42" s="5">
        <v>42</v>
      </c>
      <c r="BB42" s="6">
        <v>59.1631</v>
      </c>
      <c r="BC42" s="6">
        <v>0.82369999999999999</v>
      </c>
      <c r="BD42" s="6">
        <v>328</v>
      </c>
      <c r="BE42" s="6">
        <v>71.819999999999993</v>
      </c>
      <c r="BF42" s="6" t="s">
        <v>65</v>
      </c>
      <c r="BG42" s="6">
        <v>0.05</v>
      </c>
      <c r="BH42" s="6">
        <v>57.5426</v>
      </c>
      <c r="BI42" s="6">
        <v>60.783499999999997</v>
      </c>
    </row>
    <row r="43" spans="1:61" ht="16.5" customHeight="1" x14ac:dyDescent="0.25">
      <c r="A43" t="s">
        <v>7</v>
      </c>
      <c r="B43" s="11">
        <v>2</v>
      </c>
      <c r="C43" s="11">
        <v>9</v>
      </c>
      <c r="D43" s="11">
        <v>6</v>
      </c>
      <c r="E43" s="11">
        <v>2</v>
      </c>
      <c r="F43" s="12">
        <v>55.9</v>
      </c>
      <c r="G43">
        <v>48.780262212294836</v>
      </c>
      <c r="I43" s="45" t="s">
        <v>144</v>
      </c>
      <c r="J43" s="46">
        <v>6926.4</v>
      </c>
      <c r="K43" s="46">
        <v>6934.1</v>
      </c>
      <c r="L43" s="46" t="s">
        <v>141</v>
      </c>
      <c r="M43" s="47"/>
      <c r="Q43" s="17">
        <v>41</v>
      </c>
      <c r="R43" s="6">
        <v>2.3725999999999998</v>
      </c>
      <c r="S43" s="6">
        <v>5.7603999999999997</v>
      </c>
      <c r="T43" s="6">
        <v>2.2856000000000001</v>
      </c>
      <c r="U43" s="6">
        <v>328</v>
      </c>
      <c r="W43" s="17">
        <v>41</v>
      </c>
      <c r="X43" s="6">
        <v>4.4962499999999999</v>
      </c>
      <c r="Y43" s="6">
        <v>5.7603999999999997</v>
      </c>
      <c r="Z43" s="6">
        <v>2.2856000000000001</v>
      </c>
      <c r="AA43" s="6">
        <v>328</v>
      </c>
      <c r="AC43" s="17" t="s">
        <v>47</v>
      </c>
      <c r="AD43" s="5">
        <v>44</v>
      </c>
      <c r="AE43" s="6">
        <v>53.322899999999997</v>
      </c>
      <c r="AF43" s="6">
        <v>6.0349000000000004</v>
      </c>
      <c r="AG43" s="6">
        <v>328</v>
      </c>
      <c r="AH43" s="6">
        <v>8.84</v>
      </c>
      <c r="AI43" s="6" t="s">
        <v>65</v>
      </c>
      <c r="AJ43" s="6">
        <v>0.3</v>
      </c>
      <c r="AK43" s="6">
        <v>47.058300000000003</v>
      </c>
      <c r="AL43" s="6">
        <v>59.587600000000002</v>
      </c>
      <c r="AN43" s="17">
        <v>40</v>
      </c>
      <c r="AO43" s="6">
        <v>1.07176</v>
      </c>
      <c r="AP43" s="19">
        <v>-2.0369999999999999E-2</v>
      </c>
      <c r="AQ43" s="6">
        <v>0.54479999999999995</v>
      </c>
      <c r="AR43" s="6">
        <v>328</v>
      </c>
      <c r="AT43" s="17">
        <v>40</v>
      </c>
      <c r="AU43" s="6">
        <v>0.56555</v>
      </c>
      <c r="AV43" s="19">
        <v>-2.0369999999999999E-2</v>
      </c>
      <c r="AW43" s="6">
        <v>0.54479999999999995</v>
      </c>
      <c r="AX43" s="6">
        <v>328</v>
      </c>
      <c r="AZ43" s="17" t="s">
        <v>47</v>
      </c>
      <c r="BA43" s="5">
        <v>43</v>
      </c>
      <c r="BB43" s="6">
        <v>56.652099999999997</v>
      </c>
      <c r="BC43" s="6">
        <v>0.82589999999999997</v>
      </c>
      <c r="BD43" s="6">
        <v>328</v>
      </c>
      <c r="BE43" s="6">
        <v>68.59</v>
      </c>
      <c r="BF43" s="6" t="s">
        <v>65</v>
      </c>
      <c r="BG43" s="6">
        <v>0.05</v>
      </c>
      <c r="BH43" s="6">
        <v>55.027299999999997</v>
      </c>
      <c r="BI43" s="6">
        <v>58.276800000000001</v>
      </c>
    </row>
    <row r="44" spans="1:61" ht="16.5" customHeight="1" x14ac:dyDescent="0.25">
      <c r="A44" t="s">
        <v>7</v>
      </c>
      <c r="B44" s="11">
        <v>3</v>
      </c>
      <c r="C44" s="11">
        <v>11</v>
      </c>
      <c r="D44" s="11">
        <v>11</v>
      </c>
      <c r="E44" s="11">
        <v>2</v>
      </c>
      <c r="F44" s="2">
        <v>53.4</v>
      </c>
      <c r="G44">
        <v>40.98897945403683</v>
      </c>
      <c r="I44" s="53" t="s">
        <v>145</v>
      </c>
      <c r="J44" s="54"/>
      <c r="K44" s="46"/>
      <c r="L44" s="46"/>
      <c r="M44" s="55"/>
      <c r="Q44" s="17">
        <v>42</v>
      </c>
      <c r="R44" s="6">
        <v>2.3773300000000002</v>
      </c>
      <c r="S44" s="6">
        <v>2.3961000000000001</v>
      </c>
      <c r="T44" s="6">
        <v>2.2900999999999998</v>
      </c>
      <c r="U44" s="6">
        <v>328</v>
      </c>
      <c r="W44" s="17">
        <v>42</v>
      </c>
      <c r="X44" s="6">
        <v>4.5052000000000003</v>
      </c>
      <c r="Y44" s="6">
        <v>2.3961000000000001</v>
      </c>
      <c r="Z44" s="6">
        <v>2.2900999999999998</v>
      </c>
      <c r="AA44" s="6">
        <v>328</v>
      </c>
      <c r="AC44" s="17" t="s">
        <v>47</v>
      </c>
      <c r="AD44" s="5">
        <v>45</v>
      </c>
      <c r="AE44" s="6">
        <v>59.301499999999997</v>
      </c>
      <c r="AF44" s="6">
        <v>6.0372000000000003</v>
      </c>
      <c r="AG44" s="6">
        <v>328</v>
      </c>
      <c r="AH44" s="6">
        <v>9.82</v>
      </c>
      <c r="AI44" s="6" t="s">
        <v>65</v>
      </c>
      <c r="AJ44" s="6">
        <v>0.3</v>
      </c>
      <c r="AK44" s="6">
        <v>53.034500000000001</v>
      </c>
      <c r="AL44" s="6">
        <v>65.5685</v>
      </c>
      <c r="AN44" s="17">
        <v>41</v>
      </c>
      <c r="AO44" s="6">
        <v>1.06314</v>
      </c>
      <c r="AP44" s="19">
        <v>-2.2509999999999999E-2</v>
      </c>
      <c r="AQ44" s="6">
        <v>0.54039999999999999</v>
      </c>
      <c r="AR44" s="6">
        <v>328</v>
      </c>
      <c r="AT44" s="17">
        <v>41</v>
      </c>
      <c r="AU44" s="6">
        <v>0.56101000000000001</v>
      </c>
      <c r="AV44" s="19">
        <v>-2.2509999999999999E-2</v>
      </c>
      <c r="AW44" s="6">
        <v>0.54039999999999999</v>
      </c>
      <c r="AX44" s="6">
        <v>328</v>
      </c>
      <c r="AZ44" s="17" t="s">
        <v>47</v>
      </c>
      <c r="BA44" s="5">
        <v>44</v>
      </c>
      <c r="BB44" s="6">
        <v>57.523699999999998</v>
      </c>
      <c r="BC44" s="6">
        <v>0.82320000000000004</v>
      </c>
      <c r="BD44" s="6">
        <v>328</v>
      </c>
      <c r="BE44" s="6">
        <v>69.88</v>
      </c>
      <c r="BF44" s="6" t="s">
        <v>65</v>
      </c>
      <c r="BG44" s="6">
        <v>0.05</v>
      </c>
      <c r="BH44" s="6">
        <v>55.904299999999999</v>
      </c>
      <c r="BI44" s="6">
        <v>59.143000000000001</v>
      </c>
    </row>
    <row r="45" spans="1:61" ht="16.5" customHeight="1" x14ac:dyDescent="0.25">
      <c r="A45" s="31" t="s">
        <v>156</v>
      </c>
      <c r="B45" s="32">
        <v>1</v>
      </c>
      <c r="C45" s="32">
        <v>9</v>
      </c>
      <c r="D45" s="32">
        <v>1</v>
      </c>
      <c r="E45" s="32">
        <v>2</v>
      </c>
      <c r="F45" s="2">
        <v>57.8</v>
      </c>
      <c r="G45">
        <v>45.461815727303403</v>
      </c>
      <c r="J45" s="5"/>
      <c r="K45" s="6"/>
      <c r="L45" s="6"/>
      <c r="Q45" s="17">
        <v>43</v>
      </c>
      <c r="R45" s="6">
        <v>2.38429</v>
      </c>
      <c r="S45" s="6">
        <v>2.6640999999999999</v>
      </c>
      <c r="T45" s="6">
        <v>2.2968000000000002</v>
      </c>
      <c r="U45" s="6">
        <v>328</v>
      </c>
      <c r="W45" s="17">
        <v>43</v>
      </c>
      <c r="X45" s="6">
        <v>4.5183999999999997</v>
      </c>
      <c r="Y45" s="6">
        <v>2.6640999999999999</v>
      </c>
      <c r="Z45" s="6">
        <v>2.2968000000000002</v>
      </c>
      <c r="AA45" s="6">
        <v>328</v>
      </c>
      <c r="AC45" s="17" t="s">
        <v>47</v>
      </c>
      <c r="AD45" s="5">
        <v>46</v>
      </c>
      <c r="AE45" s="6">
        <v>57.299799999999998</v>
      </c>
      <c r="AF45" s="6">
        <v>6.0353000000000003</v>
      </c>
      <c r="AG45" s="6">
        <v>328</v>
      </c>
      <c r="AH45" s="6">
        <v>9.49</v>
      </c>
      <c r="AI45" s="6" t="s">
        <v>65</v>
      </c>
      <c r="AJ45" s="6">
        <v>0.3</v>
      </c>
      <c r="AK45" s="6">
        <v>51.034799999999997</v>
      </c>
      <c r="AL45" s="6">
        <v>63.564900000000002</v>
      </c>
      <c r="AN45" s="17">
        <v>42</v>
      </c>
      <c r="AO45" s="6">
        <v>1.07887</v>
      </c>
      <c r="AP45" s="19">
        <v>-0.76280000000000003</v>
      </c>
      <c r="AQ45" s="6">
        <v>0.5484</v>
      </c>
      <c r="AR45" s="6">
        <v>328</v>
      </c>
      <c r="AT45" s="17">
        <v>42</v>
      </c>
      <c r="AU45" s="6">
        <v>0.56930000000000003</v>
      </c>
      <c r="AV45" s="19">
        <v>-0.76280000000000003</v>
      </c>
      <c r="AW45" s="6">
        <v>0.5484</v>
      </c>
      <c r="AX45" s="6">
        <v>328</v>
      </c>
      <c r="AZ45" s="17" t="s">
        <v>47</v>
      </c>
      <c r="BA45" s="5">
        <v>45</v>
      </c>
      <c r="BB45" s="6">
        <v>57.971499999999999</v>
      </c>
      <c r="BC45" s="6">
        <v>0.82469999999999999</v>
      </c>
      <c r="BD45" s="6">
        <v>328</v>
      </c>
      <c r="BE45" s="6">
        <v>70.3</v>
      </c>
      <c r="BF45" s="6" t="s">
        <v>65</v>
      </c>
      <c r="BG45" s="6">
        <v>0.05</v>
      </c>
      <c r="BH45" s="6">
        <v>56.349200000000003</v>
      </c>
      <c r="BI45" s="6">
        <v>59.593800000000002</v>
      </c>
    </row>
    <row r="46" spans="1:61" x14ac:dyDescent="0.25">
      <c r="A46" s="31" t="s">
        <v>156</v>
      </c>
      <c r="B46" s="32">
        <v>2</v>
      </c>
      <c r="C46" s="32">
        <v>6</v>
      </c>
      <c r="D46" s="32">
        <v>3</v>
      </c>
      <c r="E46" s="32">
        <v>2</v>
      </c>
      <c r="F46" s="2">
        <v>55.5</v>
      </c>
      <c r="G46">
        <v>33.641957475531562</v>
      </c>
      <c r="Q46" s="17">
        <v>44</v>
      </c>
      <c r="R46" s="6">
        <v>2.3776199999999998</v>
      </c>
      <c r="S46" s="6">
        <v>1.1073</v>
      </c>
      <c r="T46" s="6">
        <v>2.2904</v>
      </c>
      <c r="U46" s="6">
        <v>328</v>
      </c>
      <c r="W46" s="17">
        <v>44</v>
      </c>
      <c r="X46" s="6">
        <v>4.5057600000000004</v>
      </c>
      <c r="Y46" s="6">
        <v>1.1073</v>
      </c>
      <c r="Z46" s="6">
        <v>2.2904</v>
      </c>
      <c r="AA46" s="6">
        <v>328</v>
      </c>
      <c r="AE46">
        <f>AVERAGE(AE4:AE45)</f>
        <v>58.715369047619063</v>
      </c>
      <c r="AF46">
        <f>AVERAGE(AF4:AF45)</f>
        <v>6.0358571428571439</v>
      </c>
      <c r="AN46" s="17">
        <v>43</v>
      </c>
      <c r="AO46" s="6">
        <v>1.07961</v>
      </c>
      <c r="AP46" s="6">
        <v>3.1162999999999998</v>
      </c>
      <c r="AQ46" s="6">
        <v>0.54879999999999995</v>
      </c>
      <c r="AR46" s="6">
        <v>328</v>
      </c>
      <c r="AT46" s="17">
        <v>43</v>
      </c>
      <c r="AU46" s="6">
        <v>0.56969999999999998</v>
      </c>
      <c r="AV46" s="6">
        <v>3.1162999999999998</v>
      </c>
      <c r="AW46" s="6">
        <v>0.54879999999999995</v>
      </c>
      <c r="AX46" s="6">
        <v>328</v>
      </c>
      <c r="AZ46" s="17" t="s">
        <v>47</v>
      </c>
      <c r="BA46" s="5">
        <v>46</v>
      </c>
      <c r="BB46" s="6">
        <v>57.973700000000001</v>
      </c>
      <c r="BC46" s="6">
        <v>0.82430000000000003</v>
      </c>
      <c r="BD46" s="6">
        <v>328</v>
      </c>
      <c r="BE46" s="6">
        <v>70.33</v>
      </c>
      <c r="BF46" s="6" t="s">
        <v>65</v>
      </c>
      <c r="BG46" s="6">
        <v>0.05</v>
      </c>
      <c r="BH46" s="6">
        <v>56.3521</v>
      </c>
      <c r="BI46" s="6">
        <v>59.595199999999998</v>
      </c>
    </row>
    <row r="47" spans="1:61" x14ac:dyDescent="0.25">
      <c r="A47" s="31" t="s">
        <v>156</v>
      </c>
      <c r="B47" s="32">
        <v>3</v>
      </c>
      <c r="C47" s="32">
        <v>19</v>
      </c>
      <c r="D47" s="32">
        <v>5</v>
      </c>
      <c r="E47" s="32">
        <v>2</v>
      </c>
      <c r="F47" s="2">
        <v>60.2</v>
      </c>
      <c r="G47">
        <v>48.178911596866229</v>
      </c>
      <c r="Q47" s="17">
        <v>45</v>
      </c>
      <c r="R47" s="6">
        <v>2.38185</v>
      </c>
      <c r="S47" s="6">
        <v>10.656000000000001</v>
      </c>
      <c r="T47" s="6">
        <v>2.2945000000000002</v>
      </c>
      <c r="U47" s="6">
        <v>328</v>
      </c>
      <c r="W47" s="17">
        <v>45</v>
      </c>
      <c r="X47" s="6">
        <v>4.5137799999999997</v>
      </c>
      <c r="Y47" s="6">
        <v>10.656000000000001</v>
      </c>
      <c r="Z47" s="6">
        <v>2.2945000000000002</v>
      </c>
      <c r="AA47" s="6">
        <v>328</v>
      </c>
      <c r="AN47" s="17">
        <v>44</v>
      </c>
      <c r="AO47" s="6">
        <v>1.0772299999999999</v>
      </c>
      <c r="AP47" s="6">
        <v>1.3109</v>
      </c>
      <c r="AQ47" s="6">
        <v>0.54759999999999998</v>
      </c>
      <c r="AR47" s="6">
        <v>328</v>
      </c>
      <c r="AT47" s="17">
        <v>44</v>
      </c>
      <c r="AU47" s="6">
        <v>0.56843999999999995</v>
      </c>
      <c r="AV47" s="6">
        <v>1.3109</v>
      </c>
      <c r="AW47" s="6">
        <v>0.54759999999999998</v>
      </c>
      <c r="AX47" s="6">
        <v>328</v>
      </c>
      <c r="BB47">
        <f>AVERAGE(BB5:BB46)</f>
        <v>57.934671428571448</v>
      </c>
      <c r="BC47">
        <f>AVERAGE(BC5:BC46)</f>
        <v>0.82414047619047637</v>
      </c>
    </row>
    <row r="48" spans="1:61" x14ac:dyDescent="0.25">
      <c r="A48" s="31" t="s">
        <v>10</v>
      </c>
      <c r="B48" s="32">
        <v>1</v>
      </c>
      <c r="C48" s="32">
        <v>8</v>
      </c>
      <c r="D48" s="32">
        <v>2</v>
      </c>
      <c r="E48" s="32">
        <v>2</v>
      </c>
      <c r="F48" s="2">
        <v>56.2</v>
      </c>
      <c r="G48">
        <v>71.660956232847028</v>
      </c>
      <c r="Q48" s="17">
        <v>46</v>
      </c>
      <c r="R48" s="6">
        <v>2.3729900000000002</v>
      </c>
      <c r="S48" s="19">
        <v>-2.2235999999999998</v>
      </c>
      <c r="T48" s="6">
        <v>2.286</v>
      </c>
      <c r="U48" s="6">
        <v>328</v>
      </c>
      <c r="W48" s="17">
        <v>46</v>
      </c>
      <c r="X48" s="6">
        <v>4.4969799999999998</v>
      </c>
      <c r="Y48" s="19">
        <v>-2.2235999999999998</v>
      </c>
      <c r="Z48" s="6">
        <v>2.286</v>
      </c>
      <c r="AA48" s="6">
        <v>328</v>
      </c>
      <c r="AN48" s="17">
        <v>45</v>
      </c>
      <c r="AO48" s="6">
        <v>1.07677</v>
      </c>
      <c r="AP48" s="6">
        <v>1.0374000000000001</v>
      </c>
      <c r="AQ48" s="6">
        <v>0.5474</v>
      </c>
      <c r="AR48" s="6">
        <v>328</v>
      </c>
      <c r="AT48" s="17">
        <v>45</v>
      </c>
      <c r="AU48" s="6">
        <v>0.56820000000000004</v>
      </c>
      <c r="AV48" s="6">
        <v>1.0374000000000001</v>
      </c>
      <c r="AW48" s="6">
        <v>0.5474</v>
      </c>
      <c r="AX48" s="6">
        <v>328</v>
      </c>
    </row>
    <row r="49" spans="1:54" x14ac:dyDescent="0.25">
      <c r="A49" s="31" t="s">
        <v>10</v>
      </c>
      <c r="B49" s="32">
        <v>2</v>
      </c>
      <c r="C49" s="32">
        <v>1</v>
      </c>
      <c r="D49" s="32">
        <v>7</v>
      </c>
      <c r="E49" s="32">
        <v>2</v>
      </c>
      <c r="F49" s="2">
        <v>59.3</v>
      </c>
      <c r="G49">
        <v>56.645465004793863</v>
      </c>
      <c r="Q49" s="17">
        <v>47</v>
      </c>
      <c r="R49" s="6">
        <v>2.3829699999999998</v>
      </c>
      <c r="S49" s="6">
        <v>5.1562999999999999</v>
      </c>
      <c r="T49" s="6">
        <v>2.2955999999999999</v>
      </c>
      <c r="U49" s="6">
        <v>328</v>
      </c>
      <c r="W49" s="17">
        <v>47</v>
      </c>
      <c r="X49" s="6">
        <v>4.5159000000000002</v>
      </c>
      <c r="Y49" s="6">
        <v>5.1562999999999999</v>
      </c>
      <c r="Z49" s="6">
        <v>2.2955999999999999</v>
      </c>
      <c r="AA49" s="6">
        <v>328</v>
      </c>
      <c r="AE49">
        <f>AF46/AE46*100</f>
        <v>10.279858988814276</v>
      </c>
      <c r="AN49" s="17">
        <v>46</v>
      </c>
      <c r="AO49" s="6">
        <v>1.0783100000000001</v>
      </c>
      <c r="AP49" s="6">
        <v>0.1255</v>
      </c>
      <c r="AQ49" s="6">
        <v>0.54810000000000003</v>
      </c>
      <c r="AR49" s="6">
        <v>328</v>
      </c>
      <c r="AT49" s="17">
        <v>46</v>
      </c>
      <c r="AU49" s="6">
        <v>0.56901000000000002</v>
      </c>
      <c r="AV49" s="6">
        <v>0.1255</v>
      </c>
      <c r="AW49" s="6">
        <v>0.54810000000000003</v>
      </c>
      <c r="AX49" s="6">
        <v>328</v>
      </c>
    </row>
    <row r="50" spans="1:54" x14ac:dyDescent="0.25">
      <c r="A50" s="31" t="s">
        <v>10</v>
      </c>
      <c r="B50" s="32">
        <v>3</v>
      </c>
      <c r="C50" s="32">
        <v>2</v>
      </c>
      <c r="D50" s="32">
        <v>12</v>
      </c>
      <c r="E50" s="32">
        <v>2</v>
      </c>
      <c r="F50" s="2">
        <v>58</v>
      </c>
      <c r="G50">
        <v>58.051472527472527</v>
      </c>
      <c r="Q50" s="17">
        <v>48</v>
      </c>
      <c r="R50" s="6">
        <v>2.3830900000000002</v>
      </c>
      <c r="S50" s="6">
        <v>10.283099999999999</v>
      </c>
      <c r="T50" s="6">
        <v>2.2957000000000001</v>
      </c>
      <c r="U50" s="6">
        <v>328</v>
      </c>
      <c r="W50" s="17">
        <v>48</v>
      </c>
      <c r="X50" s="6">
        <v>4.5161300000000004</v>
      </c>
      <c r="Y50" s="6">
        <v>10.283099999999999</v>
      </c>
      <c r="Z50" s="6">
        <v>2.2957000000000001</v>
      </c>
      <c r="AA50" s="6">
        <v>328</v>
      </c>
      <c r="AN50" s="17">
        <v>47</v>
      </c>
      <c r="AO50" s="6">
        <v>1.08304</v>
      </c>
      <c r="AP50" s="6">
        <v>2.78</v>
      </c>
      <c r="AQ50" s="6">
        <v>0.55049999999999999</v>
      </c>
      <c r="AR50" s="6">
        <v>328</v>
      </c>
      <c r="AT50" s="17">
        <v>47</v>
      </c>
      <c r="AU50" s="6">
        <v>0.57150000000000001</v>
      </c>
      <c r="AV50" s="6">
        <v>2.78</v>
      </c>
      <c r="AW50" s="6">
        <v>0.55049999999999999</v>
      </c>
      <c r="AX50" s="6">
        <v>328</v>
      </c>
      <c r="BB50">
        <f>BC47/BB47*100</f>
        <v>1.4225341334792447</v>
      </c>
    </row>
    <row r="51" spans="1:54" x14ac:dyDescent="0.25">
      <c r="A51" s="31" t="s">
        <v>11</v>
      </c>
      <c r="B51" s="32">
        <v>1</v>
      </c>
      <c r="C51" s="32">
        <v>17</v>
      </c>
      <c r="D51" s="32">
        <v>3</v>
      </c>
      <c r="E51" s="11">
        <v>2</v>
      </c>
      <c r="F51" s="2" t="s">
        <v>12</v>
      </c>
      <c r="G51">
        <v>10.007436750998666</v>
      </c>
      <c r="Q51" s="17">
        <v>49</v>
      </c>
      <c r="R51" s="6">
        <v>2.3810699999999998</v>
      </c>
      <c r="S51" s="19">
        <v>-0.46</v>
      </c>
      <c r="T51" s="6">
        <v>2.2936999999999999</v>
      </c>
      <c r="U51" s="6">
        <v>328</v>
      </c>
      <c r="W51" s="17">
        <v>49</v>
      </c>
      <c r="X51" s="6">
        <v>4.5122900000000001</v>
      </c>
      <c r="Y51" s="19">
        <v>-0.46</v>
      </c>
      <c r="Z51" s="6">
        <v>2.2936999999999999</v>
      </c>
      <c r="AA51" s="6">
        <v>328</v>
      </c>
      <c r="AN51" s="17">
        <v>48</v>
      </c>
      <c r="AO51" s="6">
        <v>1.0790900000000001</v>
      </c>
      <c r="AP51" s="6">
        <v>3.7806999999999999</v>
      </c>
      <c r="AQ51" s="6">
        <v>0.54849999999999999</v>
      </c>
      <c r="AR51" s="6">
        <v>328</v>
      </c>
      <c r="AT51" s="17">
        <v>48</v>
      </c>
      <c r="AU51" s="6">
        <v>0.56942000000000004</v>
      </c>
      <c r="AV51" s="6">
        <v>3.7806999999999999</v>
      </c>
      <c r="AW51" s="6">
        <v>0.54849999999999999</v>
      </c>
      <c r="AX51" s="6">
        <v>328</v>
      </c>
    </row>
    <row r="52" spans="1:54" x14ac:dyDescent="0.25">
      <c r="A52" s="31" t="s">
        <v>11</v>
      </c>
      <c r="B52" s="32">
        <v>2</v>
      </c>
      <c r="C52" s="32">
        <v>14</v>
      </c>
      <c r="D52" s="32">
        <v>6</v>
      </c>
      <c r="E52" s="11">
        <v>2</v>
      </c>
      <c r="F52" s="2" t="s">
        <v>12</v>
      </c>
      <c r="G52">
        <v>15.167636239782013</v>
      </c>
      <c r="Q52" s="17">
        <v>50</v>
      </c>
      <c r="R52" s="6">
        <v>2.3782000000000001</v>
      </c>
      <c r="S52" s="6">
        <v>6.9089999999999998</v>
      </c>
      <c r="T52" s="6">
        <v>2.2909999999999999</v>
      </c>
      <c r="U52" s="6">
        <v>328</v>
      </c>
      <c r="W52" s="17">
        <v>50</v>
      </c>
      <c r="X52" s="6">
        <v>4.50685</v>
      </c>
      <c r="Y52" s="6">
        <v>6.9089999999999998</v>
      </c>
      <c r="Z52" s="6">
        <v>2.2909999999999999</v>
      </c>
      <c r="AA52" s="6">
        <v>328</v>
      </c>
      <c r="AN52" s="17">
        <v>49</v>
      </c>
      <c r="AO52" s="6">
        <v>1.07789</v>
      </c>
      <c r="AP52" s="19">
        <v>-0.80269999999999997</v>
      </c>
      <c r="AQ52" s="6">
        <v>0.54790000000000005</v>
      </c>
      <c r="AR52" s="6">
        <v>328</v>
      </c>
      <c r="AT52" s="17">
        <v>49</v>
      </c>
      <c r="AU52" s="6">
        <v>0.56877999999999995</v>
      </c>
      <c r="AV52" s="19">
        <v>-0.80269999999999997</v>
      </c>
      <c r="AW52" s="6">
        <v>0.54790000000000005</v>
      </c>
      <c r="AX52" s="6">
        <v>328</v>
      </c>
    </row>
    <row r="53" spans="1:54" x14ac:dyDescent="0.25">
      <c r="A53" s="31" t="s">
        <v>11</v>
      </c>
      <c r="B53" s="32">
        <v>3</v>
      </c>
      <c r="C53" s="32">
        <v>13</v>
      </c>
      <c r="D53" s="32">
        <v>9</v>
      </c>
      <c r="E53" s="11">
        <v>2</v>
      </c>
      <c r="F53" s="2">
        <v>60.4</v>
      </c>
      <c r="G53">
        <v>23.070904872389782</v>
      </c>
      <c r="Q53" s="17">
        <v>51</v>
      </c>
      <c r="R53" s="6">
        <v>2.3792200000000001</v>
      </c>
      <c r="S53" s="6">
        <v>2.0003000000000002</v>
      </c>
      <c r="T53" s="6">
        <v>2.2919999999999998</v>
      </c>
      <c r="U53" s="6">
        <v>328</v>
      </c>
      <c r="W53" s="17">
        <v>51</v>
      </c>
      <c r="X53" s="6">
        <v>4.5087900000000003</v>
      </c>
      <c r="Y53" s="6">
        <v>2.0003000000000002</v>
      </c>
      <c r="Z53" s="6">
        <v>2.2919999999999998</v>
      </c>
      <c r="AA53" s="6">
        <v>328</v>
      </c>
      <c r="AN53" s="17">
        <v>50</v>
      </c>
      <c r="AO53" s="6">
        <v>1.0893600000000001</v>
      </c>
      <c r="AP53" s="6">
        <v>1.2673000000000001</v>
      </c>
      <c r="AQ53" s="6">
        <v>0.55379999999999996</v>
      </c>
      <c r="AR53" s="6">
        <v>328</v>
      </c>
      <c r="AT53" s="17">
        <v>50</v>
      </c>
      <c r="AU53" s="6">
        <v>0.57484000000000002</v>
      </c>
      <c r="AV53" s="6">
        <v>1.2673000000000001</v>
      </c>
      <c r="AW53" s="6">
        <v>0.55379999999999996</v>
      </c>
      <c r="AX53" s="6">
        <v>328</v>
      </c>
    </row>
    <row r="54" spans="1:54" x14ac:dyDescent="0.25">
      <c r="A54" t="s">
        <v>160</v>
      </c>
      <c r="B54">
        <v>1</v>
      </c>
      <c r="C54" s="36">
        <v>24</v>
      </c>
      <c r="D54" s="36">
        <v>1</v>
      </c>
      <c r="E54" s="32">
        <v>2</v>
      </c>
      <c r="F54" s="13">
        <v>61.4</v>
      </c>
      <c r="G54">
        <v>92.573235800344207</v>
      </c>
      <c r="Q54" s="17">
        <v>52</v>
      </c>
      <c r="R54" s="6">
        <v>2.3682699999999999</v>
      </c>
      <c r="S54" s="19">
        <v>-2.2488999999999999</v>
      </c>
      <c r="T54" s="6">
        <v>2.2814000000000001</v>
      </c>
      <c r="U54" s="6">
        <v>328</v>
      </c>
      <c r="W54" s="17">
        <v>52</v>
      </c>
      <c r="X54" s="6">
        <v>4.4880300000000002</v>
      </c>
      <c r="Y54" s="19">
        <v>-2.2488999999999999</v>
      </c>
      <c r="Z54" s="6">
        <v>2.2814000000000001</v>
      </c>
      <c r="AA54" s="6">
        <v>328</v>
      </c>
      <c r="AN54" s="17">
        <v>51</v>
      </c>
      <c r="AO54" s="6">
        <v>1.0784100000000001</v>
      </c>
      <c r="AP54" s="19">
        <v>-5.2040000000000003E-2</v>
      </c>
      <c r="AQ54" s="6">
        <v>0.54820000000000002</v>
      </c>
      <c r="AR54" s="6">
        <v>328</v>
      </c>
      <c r="AT54" s="17">
        <v>51</v>
      </c>
      <c r="AU54" s="6">
        <v>0.56906000000000001</v>
      </c>
      <c r="AV54" s="19">
        <v>-5.2040000000000003E-2</v>
      </c>
      <c r="AW54" s="6">
        <v>0.54820000000000002</v>
      </c>
      <c r="AX54" s="6">
        <v>328</v>
      </c>
    </row>
    <row r="55" spans="1:54" x14ac:dyDescent="0.25">
      <c r="A55" t="s">
        <v>160</v>
      </c>
      <c r="B55">
        <v>2</v>
      </c>
      <c r="C55" s="36">
        <v>14</v>
      </c>
      <c r="D55" s="36">
        <v>4</v>
      </c>
      <c r="E55" s="32">
        <v>2</v>
      </c>
      <c r="F55" s="13">
        <v>60.5</v>
      </c>
      <c r="G55">
        <v>92.568171369883117</v>
      </c>
      <c r="Q55" s="17">
        <v>53</v>
      </c>
      <c r="R55" s="6">
        <v>2.37995</v>
      </c>
      <c r="S55" s="19">
        <v>-1.4880000000000001E-2</v>
      </c>
      <c r="T55" s="6">
        <v>2.2927</v>
      </c>
      <c r="U55" s="6">
        <v>328</v>
      </c>
      <c r="W55" s="17">
        <v>53</v>
      </c>
      <c r="X55" s="6">
        <v>4.5101800000000001</v>
      </c>
      <c r="Y55" s="19">
        <v>-1.4880000000000001E-2</v>
      </c>
      <c r="Z55" s="6">
        <v>2.2927</v>
      </c>
      <c r="AA55" s="6">
        <v>328</v>
      </c>
      <c r="AN55" s="17">
        <v>52</v>
      </c>
      <c r="AO55" s="6">
        <v>1.0772699999999999</v>
      </c>
      <c r="AP55" s="19">
        <v>-0.55400000000000005</v>
      </c>
      <c r="AQ55" s="6">
        <v>0.54759999999999998</v>
      </c>
      <c r="AR55" s="6">
        <v>328</v>
      </c>
      <c r="AT55" s="17">
        <v>52</v>
      </c>
      <c r="AU55" s="6">
        <v>0.56845999999999997</v>
      </c>
      <c r="AV55" s="19">
        <v>-0.55400000000000005</v>
      </c>
      <c r="AW55" s="6">
        <v>0.54759999999999998</v>
      </c>
      <c r="AX55" s="6">
        <v>328</v>
      </c>
    </row>
    <row r="56" spans="1:54" x14ac:dyDescent="0.25">
      <c r="A56" t="s">
        <v>160</v>
      </c>
      <c r="B56">
        <v>3</v>
      </c>
      <c r="C56" s="36">
        <v>12</v>
      </c>
      <c r="D56" s="36">
        <v>5</v>
      </c>
      <c r="E56" s="32">
        <v>2</v>
      </c>
      <c r="F56" s="13">
        <v>57.9</v>
      </c>
      <c r="G56">
        <v>79.459397427217326</v>
      </c>
      <c r="Q56" s="17">
        <v>54</v>
      </c>
      <c r="R56" s="6">
        <v>2.3943099999999999</v>
      </c>
      <c r="S56" s="6">
        <v>1.5949999999999999E-2</v>
      </c>
      <c r="T56" s="6">
        <v>2.3065000000000002</v>
      </c>
      <c r="U56" s="6">
        <v>328</v>
      </c>
      <c r="W56" s="17">
        <v>54</v>
      </c>
      <c r="X56" s="6">
        <v>4.5373900000000003</v>
      </c>
      <c r="Y56" s="6">
        <v>1.5949999999999999E-2</v>
      </c>
      <c r="Z56" s="6">
        <v>2.3065000000000002</v>
      </c>
      <c r="AA56" s="6">
        <v>328</v>
      </c>
      <c r="AN56" s="17">
        <v>53</v>
      </c>
      <c r="AO56" s="6">
        <v>1.0781700000000001</v>
      </c>
      <c r="AP56" s="6">
        <v>1.5899000000000001</v>
      </c>
      <c r="AQ56" s="6">
        <v>0.54810000000000003</v>
      </c>
      <c r="AR56" s="6">
        <v>328</v>
      </c>
      <c r="AT56" s="17">
        <v>53</v>
      </c>
      <c r="AU56" s="6">
        <v>0.56893000000000005</v>
      </c>
      <c r="AV56" s="6">
        <v>1.5899000000000001</v>
      </c>
      <c r="AW56" s="6">
        <v>0.54810000000000003</v>
      </c>
      <c r="AX56" s="6">
        <v>328</v>
      </c>
    </row>
    <row r="57" spans="1:54" x14ac:dyDescent="0.25">
      <c r="A57" s="31" t="s">
        <v>116</v>
      </c>
      <c r="B57" s="32">
        <v>1</v>
      </c>
      <c r="C57" s="32">
        <v>6</v>
      </c>
      <c r="D57" s="32">
        <v>2</v>
      </c>
      <c r="E57" s="32">
        <v>3</v>
      </c>
      <c r="F57" s="12">
        <v>59.4</v>
      </c>
      <c r="G57">
        <v>52.902035999999974</v>
      </c>
      <c r="Q57" s="17">
        <v>55</v>
      </c>
      <c r="R57" s="6">
        <v>2.3736199999999998</v>
      </c>
      <c r="S57" s="6">
        <v>1.3877999999999999</v>
      </c>
      <c r="T57" s="6">
        <v>2.2866</v>
      </c>
      <c r="U57" s="6">
        <v>328</v>
      </c>
      <c r="W57" s="17">
        <v>55</v>
      </c>
      <c r="X57" s="6">
        <v>4.49817</v>
      </c>
      <c r="Y57" s="6">
        <v>1.3877999999999999</v>
      </c>
      <c r="Z57" s="6">
        <v>2.2866</v>
      </c>
      <c r="AA57" s="6">
        <v>328</v>
      </c>
      <c r="AN57" s="17">
        <v>54</v>
      </c>
      <c r="AO57" s="6">
        <v>1.0871299999999999</v>
      </c>
      <c r="AP57" s="19">
        <v>-0.3735</v>
      </c>
      <c r="AQ57" s="6">
        <v>0.55259999999999998</v>
      </c>
      <c r="AR57" s="6">
        <v>328</v>
      </c>
      <c r="AT57" s="17">
        <v>54</v>
      </c>
      <c r="AU57" s="6">
        <v>0.57365999999999995</v>
      </c>
      <c r="AV57" s="19">
        <v>-0.3735</v>
      </c>
      <c r="AW57" s="6">
        <v>0.55259999999999998</v>
      </c>
      <c r="AX57" s="6">
        <v>328</v>
      </c>
    </row>
    <row r="58" spans="1:54" x14ac:dyDescent="0.25">
      <c r="A58" s="31" t="s">
        <v>116</v>
      </c>
      <c r="B58" s="32">
        <v>2</v>
      </c>
      <c r="C58" s="32">
        <v>11</v>
      </c>
      <c r="D58" s="32">
        <v>5</v>
      </c>
      <c r="E58" s="32">
        <v>3</v>
      </c>
      <c r="F58" s="12">
        <v>56.9</v>
      </c>
      <c r="G58">
        <v>58.005219879518073</v>
      </c>
      <c r="Q58" s="17">
        <v>56</v>
      </c>
      <c r="R58" s="6">
        <v>2.3938999999999999</v>
      </c>
      <c r="S58" s="6">
        <v>6.7506000000000004</v>
      </c>
      <c r="T58" s="6">
        <v>2.3060999999999998</v>
      </c>
      <c r="U58" s="6">
        <v>328</v>
      </c>
      <c r="W58" s="17">
        <v>56</v>
      </c>
      <c r="X58" s="6">
        <v>4.5366099999999996</v>
      </c>
      <c r="Y58" s="6">
        <v>6.7506000000000004</v>
      </c>
      <c r="Z58" s="6">
        <v>2.3060999999999998</v>
      </c>
      <c r="AA58" s="6">
        <v>328</v>
      </c>
      <c r="AN58" s="17">
        <v>55</v>
      </c>
      <c r="AO58" s="6">
        <v>1.07247</v>
      </c>
      <c r="AP58" s="6">
        <v>1.3424</v>
      </c>
      <c r="AQ58" s="6">
        <v>0.54520000000000002</v>
      </c>
      <c r="AR58" s="6">
        <v>328</v>
      </c>
      <c r="AT58" s="17">
        <v>55</v>
      </c>
      <c r="AU58" s="6">
        <v>0.56591999999999998</v>
      </c>
      <c r="AV58" s="6">
        <v>1.3424</v>
      </c>
      <c r="AW58" s="6">
        <v>0.54520000000000002</v>
      </c>
      <c r="AX58" s="6">
        <v>328</v>
      </c>
    </row>
    <row r="59" spans="1:54" x14ac:dyDescent="0.25">
      <c r="A59" s="31" t="s">
        <v>116</v>
      </c>
      <c r="B59" s="32">
        <v>3</v>
      </c>
      <c r="C59" s="32">
        <v>10</v>
      </c>
      <c r="D59" s="32">
        <v>11</v>
      </c>
      <c r="E59" s="32">
        <v>3</v>
      </c>
      <c r="F59" s="12">
        <v>57.2</v>
      </c>
      <c r="G59">
        <v>65.072063571428558</v>
      </c>
      <c r="Q59" s="17">
        <v>57</v>
      </c>
      <c r="R59" s="6">
        <v>2.3849900000000002</v>
      </c>
      <c r="S59" s="19">
        <v>-1.2412000000000001</v>
      </c>
      <c r="T59" s="6">
        <v>2.2974999999999999</v>
      </c>
      <c r="U59" s="6">
        <v>328</v>
      </c>
      <c r="W59" s="17">
        <v>57</v>
      </c>
      <c r="X59" s="6">
        <v>4.51973</v>
      </c>
      <c r="Y59" s="19">
        <v>-1.2412000000000001</v>
      </c>
      <c r="Z59" s="6">
        <v>2.2974999999999999</v>
      </c>
      <c r="AA59" s="6">
        <v>328</v>
      </c>
      <c r="AN59" s="17">
        <v>56</v>
      </c>
      <c r="AO59" s="6">
        <v>1.0918000000000001</v>
      </c>
      <c r="AP59" s="6">
        <v>1.7392000000000001</v>
      </c>
      <c r="AQ59" s="6">
        <v>0.55500000000000005</v>
      </c>
      <c r="AR59" s="6">
        <v>328</v>
      </c>
      <c r="AT59" s="17">
        <v>56</v>
      </c>
      <c r="AU59" s="6">
        <v>0.57611999999999997</v>
      </c>
      <c r="AV59" s="6">
        <v>1.7392000000000001</v>
      </c>
      <c r="AW59" s="6">
        <v>0.55500000000000005</v>
      </c>
      <c r="AX59" s="6">
        <v>328</v>
      </c>
    </row>
    <row r="60" spans="1:54" x14ac:dyDescent="0.25">
      <c r="A60" s="34" t="s">
        <v>97</v>
      </c>
      <c r="B60" s="35">
        <v>1</v>
      </c>
      <c r="C60" s="35">
        <v>4</v>
      </c>
      <c r="D60" s="35">
        <v>2</v>
      </c>
      <c r="E60" s="35">
        <v>3</v>
      </c>
      <c r="F60" s="2">
        <v>60.4</v>
      </c>
      <c r="G60">
        <v>67.804203380037563</v>
      </c>
      <c r="Q60" s="17">
        <v>58</v>
      </c>
      <c r="R60" s="6">
        <v>2.3811</v>
      </c>
      <c r="S60" s="6">
        <v>0.2029</v>
      </c>
      <c r="T60" s="6">
        <v>2.2938000000000001</v>
      </c>
      <c r="U60" s="6">
        <v>328</v>
      </c>
      <c r="W60" s="17">
        <v>58</v>
      </c>
      <c r="X60" s="6">
        <v>4.5123499999999996</v>
      </c>
      <c r="Y60" s="6">
        <v>0.2029</v>
      </c>
      <c r="Z60" s="6">
        <v>2.2938000000000001</v>
      </c>
      <c r="AA60" s="6">
        <v>328</v>
      </c>
      <c r="AN60" s="17">
        <v>57</v>
      </c>
      <c r="AO60" s="6">
        <v>1.0808800000000001</v>
      </c>
      <c r="AP60" s="6">
        <v>0.32979999999999998</v>
      </c>
      <c r="AQ60" s="6">
        <v>0.5494</v>
      </c>
      <c r="AR60" s="6">
        <v>328</v>
      </c>
      <c r="AT60" s="17">
        <v>57</v>
      </c>
      <c r="AU60" s="6">
        <v>0.57037000000000004</v>
      </c>
      <c r="AV60" s="6">
        <v>0.32979999999999998</v>
      </c>
      <c r="AW60" s="6">
        <v>0.5494</v>
      </c>
      <c r="AX60" s="6">
        <v>328</v>
      </c>
    </row>
    <row r="61" spans="1:54" x14ac:dyDescent="0.25">
      <c r="A61" s="34" t="s">
        <v>97</v>
      </c>
      <c r="B61" s="35">
        <v>2</v>
      </c>
      <c r="C61" s="35">
        <v>15</v>
      </c>
      <c r="D61" s="35">
        <v>3</v>
      </c>
      <c r="E61" s="35">
        <v>3</v>
      </c>
      <c r="F61" s="2">
        <v>60.9</v>
      </c>
      <c r="G61">
        <v>68.853106744556555</v>
      </c>
      <c r="Q61" s="17">
        <v>59</v>
      </c>
      <c r="R61" s="6">
        <v>2.3864100000000001</v>
      </c>
      <c r="S61" s="6">
        <v>2.5061</v>
      </c>
      <c r="T61" s="6">
        <v>2.2989000000000002</v>
      </c>
      <c r="U61" s="6">
        <v>328</v>
      </c>
      <c r="W61" s="17">
        <v>59</v>
      </c>
      <c r="X61" s="6">
        <v>4.5224099999999998</v>
      </c>
      <c r="Y61" s="6">
        <v>2.5061</v>
      </c>
      <c r="Z61" s="6">
        <v>2.2989000000000002</v>
      </c>
      <c r="AA61" s="6">
        <v>328</v>
      </c>
      <c r="AN61" s="17">
        <v>58</v>
      </c>
      <c r="AO61" s="6">
        <v>1.0799799999999999</v>
      </c>
      <c r="AP61" s="6">
        <v>0.67549999999999999</v>
      </c>
      <c r="AQ61" s="6">
        <v>0.54900000000000004</v>
      </c>
      <c r="AR61" s="6">
        <v>328</v>
      </c>
      <c r="AT61" s="17">
        <v>58</v>
      </c>
      <c r="AU61" s="6">
        <v>0.56989000000000001</v>
      </c>
      <c r="AV61" s="6">
        <v>0.67549999999999999</v>
      </c>
      <c r="AW61" s="6">
        <v>0.54900000000000004</v>
      </c>
      <c r="AX61" s="6">
        <v>328</v>
      </c>
    </row>
    <row r="62" spans="1:54" x14ac:dyDescent="0.25">
      <c r="A62" s="34" t="s">
        <v>97</v>
      </c>
      <c r="B62" s="35">
        <v>3</v>
      </c>
      <c r="C62" s="35">
        <v>12</v>
      </c>
      <c r="D62" s="35">
        <v>6</v>
      </c>
      <c r="E62" s="35">
        <v>3</v>
      </c>
      <c r="F62" s="2">
        <v>58.6</v>
      </c>
      <c r="G62">
        <v>70.020974156017544</v>
      </c>
      <c r="Q62" s="17">
        <v>60</v>
      </c>
      <c r="R62" s="6">
        <v>2.3952200000000001</v>
      </c>
      <c r="S62" s="6">
        <v>4.5328999999999997</v>
      </c>
      <c r="T62" s="6">
        <v>2.3073999999999999</v>
      </c>
      <c r="U62" s="6">
        <v>328</v>
      </c>
      <c r="W62" s="17">
        <v>60</v>
      </c>
      <c r="X62" s="6">
        <v>4.53911</v>
      </c>
      <c r="Y62" s="6">
        <v>4.5328999999999997</v>
      </c>
      <c r="Z62" s="6">
        <v>2.3073999999999999</v>
      </c>
      <c r="AA62" s="6">
        <v>328</v>
      </c>
      <c r="AN62" s="17">
        <v>59</v>
      </c>
      <c r="AO62" s="6">
        <v>1.0796699999999999</v>
      </c>
      <c r="AP62" s="19">
        <v>-0.39560000000000001</v>
      </c>
      <c r="AQ62" s="6">
        <v>0.54879999999999995</v>
      </c>
      <c r="AR62" s="6">
        <v>328</v>
      </c>
      <c r="AT62" s="17">
        <v>59</v>
      </c>
      <c r="AU62" s="6">
        <v>0.56972999999999996</v>
      </c>
      <c r="AV62" s="19">
        <v>-0.39560000000000001</v>
      </c>
      <c r="AW62" s="6">
        <v>0.54879999999999995</v>
      </c>
      <c r="AX62" s="6">
        <v>328</v>
      </c>
    </row>
    <row r="63" spans="1:54" x14ac:dyDescent="0.25">
      <c r="A63" s="31" t="s">
        <v>132</v>
      </c>
      <c r="B63" s="32">
        <v>1</v>
      </c>
      <c r="C63" s="32">
        <v>1</v>
      </c>
      <c r="D63" s="32">
        <v>1</v>
      </c>
      <c r="E63" s="32">
        <v>3</v>
      </c>
      <c r="F63" s="2">
        <v>61</v>
      </c>
      <c r="G63">
        <v>71.551067450942568</v>
      </c>
      <c r="Q63" s="17">
        <v>61</v>
      </c>
      <c r="R63" s="6">
        <v>2.3901599999999998</v>
      </c>
      <c r="S63" s="6">
        <v>0.53249999999999997</v>
      </c>
      <c r="T63" s="6">
        <v>2.3025000000000002</v>
      </c>
      <c r="U63" s="6">
        <v>328</v>
      </c>
      <c r="W63" s="17">
        <v>61</v>
      </c>
      <c r="X63" s="6">
        <v>4.5295199999999998</v>
      </c>
      <c r="Y63" s="6">
        <v>0.53249999999999997</v>
      </c>
      <c r="Z63" s="6">
        <v>2.3025000000000002</v>
      </c>
      <c r="AA63" s="6">
        <v>328</v>
      </c>
      <c r="AN63" s="17">
        <v>60</v>
      </c>
      <c r="AO63" s="6">
        <v>1.08205</v>
      </c>
      <c r="AP63" s="19">
        <v>-8.3760000000000001E-2</v>
      </c>
      <c r="AQ63" s="6">
        <v>0.55000000000000004</v>
      </c>
      <c r="AR63" s="6">
        <v>328</v>
      </c>
      <c r="AT63" s="17">
        <v>60</v>
      </c>
      <c r="AU63" s="6">
        <v>0.57098000000000004</v>
      </c>
      <c r="AV63" s="19">
        <v>-8.3760000000000001E-2</v>
      </c>
      <c r="AW63" s="6">
        <v>0.55000000000000004</v>
      </c>
      <c r="AX63" s="6">
        <v>328</v>
      </c>
    </row>
    <row r="64" spans="1:54" x14ac:dyDescent="0.25">
      <c r="A64" s="31" t="s">
        <v>132</v>
      </c>
      <c r="B64" s="32">
        <v>2</v>
      </c>
      <c r="C64" s="32">
        <v>16</v>
      </c>
      <c r="D64" s="32">
        <v>4</v>
      </c>
      <c r="E64" s="32">
        <v>3</v>
      </c>
      <c r="F64" s="2">
        <v>61.8</v>
      </c>
      <c r="G64">
        <v>66.534596463883872</v>
      </c>
      <c r="Q64" s="17">
        <v>62</v>
      </c>
      <c r="R64" s="6">
        <v>2.3913199999999999</v>
      </c>
      <c r="S64" s="6">
        <v>2.7521</v>
      </c>
      <c r="T64" s="6">
        <v>2.3035999999999999</v>
      </c>
      <c r="U64" s="6">
        <v>328</v>
      </c>
      <c r="W64" s="17">
        <v>62</v>
      </c>
      <c r="X64" s="6">
        <v>4.53172</v>
      </c>
      <c r="Y64" s="6">
        <v>2.7521</v>
      </c>
      <c r="Z64" s="6">
        <v>2.3035999999999999</v>
      </c>
      <c r="AA64" s="6">
        <v>328</v>
      </c>
      <c r="AN64" s="17">
        <v>61</v>
      </c>
      <c r="AO64" s="6">
        <v>1.0954200000000001</v>
      </c>
      <c r="AP64" s="6">
        <v>0.97060000000000002</v>
      </c>
      <c r="AQ64" s="6">
        <v>0.55679999999999996</v>
      </c>
      <c r="AR64" s="6">
        <v>328</v>
      </c>
      <c r="AT64" s="17">
        <v>61</v>
      </c>
      <c r="AU64" s="6">
        <v>0.57804</v>
      </c>
      <c r="AV64" s="6">
        <v>0.97060000000000002</v>
      </c>
      <c r="AW64" s="6">
        <v>0.55679999999999996</v>
      </c>
      <c r="AX64" s="6">
        <v>328</v>
      </c>
    </row>
    <row r="65" spans="1:50" x14ac:dyDescent="0.25">
      <c r="A65" s="31" t="s">
        <v>132</v>
      </c>
      <c r="B65" s="32">
        <v>3</v>
      </c>
      <c r="C65" s="32">
        <v>9</v>
      </c>
      <c r="D65" s="32">
        <v>5</v>
      </c>
      <c r="E65" s="32">
        <v>3</v>
      </c>
      <c r="F65" s="2">
        <v>63.4</v>
      </c>
      <c r="G65">
        <v>65.452585828724011</v>
      </c>
      <c r="Q65" s="17">
        <v>63</v>
      </c>
      <c r="R65" s="6">
        <v>2.3940399999999999</v>
      </c>
      <c r="S65" s="19">
        <v>-5.8806000000000003</v>
      </c>
      <c r="T65" s="6">
        <v>2.3062</v>
      </c>
      <c r="U65" s="6">
        <v>328</v>
      </c>
      <c r="W65" s="17">
        <v>63</v>
      </c>
      <c r="X65" s="6">
        <v>4.5368599999999999</v>
      </c>
      <c r="Y65" s="19">
        <v>-5.8806000000000003</v>
      </c>
      <c r="Z65" s="6">
        <v>2.3062</v>
      </c>
      <c r="AA65" s="6">
        <v>328</v>
      </c>
      <c r="AN65" s="17">
        <v>62</v>
      </c>
      <c r="AO65" s="6">
        <v>1.0854299999999999</v>
      </c>
      <c r="AP65" s="6">
        <v>0.88009999999999999</v>
      </c>
      <c r="AQ65" s="6">
        <v>0.55179999999999996</v>
      </c>
      <c r="AR65" s="6">
        <v>328</v>
      </c>
      <c r="AT65" s="17">
        <v>62</v>
      </c>
      <c r="AU65" s="6">
        <v>0.57276000000000005</v>
      </c>
      <c r="AV65" s="6">
        <v>0.88009999999999999</v>
      </c>
      <c r="AW65" s="6">
        <v>0.55179999999999996</v>
      </c>
      <c r="AX65" s="6">
        <v>328</v>
      </c>
    </row>
    <row r="66" spans="1:50" x14ac:dyDescent="0.25">
      <c r="A66" s="31" t="s">
        <v>13</v>
      </c>
      <c r="B66" s="32">
        <v>1</v>
      </c>
      <c r="C66" s="36">
        <v>5</v>
      </c>
      <c r="D66" s="36">
        <v>2</v>
      </c>
      <c r="E66" s="32">
        <v>3</v>
      </c>
      <c r="F66" s="12">
        <v>58.7</v>
      </c>
      <c r="G66">
        <v>64.719269999999995</v>
      </c>
      <c r="Q66" s="17">
        <v>64</v>
      </c>
      <c r="R66" s="6">
        <v>2.3927499999999999</v>
      </c>
      <c r="S66" s="6">
        <v>1.0410999999999999</v>
      </c>
      <c r="T66" s="6">
        <v>2.3050000000000002</v>
      </c>
      <c r="U66" s="6">
        <v>328</v>
      </c>
      <c r="W66" s="17">
        <v>64</v>
      </c>
      <c r="X66" s="6">
        <v>4.5344199999999999</v>
      </c>
      <c r="Y66" s="6">
        <v>1.0410999999999999</v>
      </c>
      <c r="Z66" s="6">
        <v>2.3050000000000002</v>
      </c>
      <c r="AA66" s="6">
        <v>328</v>
      </c>
      <c r="AN66" s="17">
        <v>63</v>
      </c>
      <c r="AO66" s="6">
        <v>1.08988</v>
      </c>
      <c r="AP66" s="6">
        <v>0.58689999999999998</v>
      </c>
      <c r="AQ66" s="6">
        <v>0.55400000000000005</v>
      </c>
      <c r="AR66" s="6">
        <v>328</v>
      </c>
      <c r="AT66" s="17">
        <v>63</v>
      </c>
      <c r="AU66" s="6">
        <v>0.57511999999999996</v>
      </c>
      <c r="AV66" s="6">
        <v>0.58689999999999998</v>
      </c>
      <c r="AW66" s="6">
        <v>0.55400000000000005</v>
      </c>
      <c r="AX66" s="6">
        <v>328</v>
      </c>
    </row>
    <row r="67" spans="1:50" x14ac:dyDescent="0.25">
      <c r="A67" s="31" t="s">
        <v>13</v>
      </c>
      <c r="B67" s="32">
        <v>2</v>
      </c>
      <c r="C67" s="36">
        <v>15</v>
      </c>
      <c r="D67" s="36">
        <v>3</v>
      </c>
      <c r="E67" s="32">
        <v>3</v>
      </c>
      <c r="F67" s="12">
        <v>58.5</v>
      </c>
      <c r="G67">
        <v>69.90120499999999</v>
      </c>
      <c r="Q67" s="17">
        <v>65</v>
      </c>
      <c r="R67" s="6">
        <v>2.3914200000000001</v>
      </c>
      <c r="S67" s="6">
        <v>3.7416999999999998</v>
      </c>
      <c r="T67" s="6">
        <v>2.3037000000000001</v>
      </c>
      <c r="U67" s="6">
        <v>328</v>
      </c>
      <c r="W67" s="17">
        <v>65</v>
      </c>
      <c r="X67" s="6">
        <v>4.5319099999999999</v>
      </c>
      <c r="Y67" s="6">
        <v>3.7416999999999998</v>
      </c>
      <c r="Z67" s="6">
        <v>2.3037000000000001</v>
      </c>
      <c r="AA67" s="6">
        <v>328</v>
      </c>
      <c r="AN67" s="17">
        <v>64</v>
      </c>
      <c r="AO67" s="6">
        <v>1.07657</v>
      </c>
      <c r="AP67" s="6">
        <v>0.56030000000000002</v>
      </c>
      <c r="AQ67" s="6">
        <v>0.54730000000000001</v>
      </c>
      <c r="AR67" s="6">
        <v>328</v>
      </c>
      <c r="AT67" s="17">
        <v>64</v>
      </c>
      <c r="AU67" s="6">
        <v>0.56808999999999998</v>
      </c>
      <c r="AV67" s="6">
        <v>0.56030000000000002</v>
      </c>
      <c r="AW67" s="6">
        <v>0.54730000000000001</v>
      </c>
      <c r="AX67" s="6">
        <v>328</v>
      </c>
    </row>
    <row r="68" spans="1:50" x14ac:dyDescent="0.25">
      <c r="A68" s="31" t="s">
        <v>13</v>
      </c>
      <c r="B68" s="32">
        <v>3</v>
      </c>
      <c r="C68" s="36">
        <v>20</v>
      </c>
      <c r="D68" s="36">
        <v>6</v>
      </c>
      <c r="E68" s="32">
        <v>3</v>
      </c>
      <c r="F68" s="12">
        <v>58.5</v>
      </c>
      <c r="G68">
        <v>68.595559999999992</v>
      </c>
      <c r="Q68" s="17">
        <v>66</v>
      </c>
      <c r="R68" s="6">
        <v>2.3849900000000002</v>
      </c>
      <c r="S68" s="6">
        <v>2.7465999999999999</v>
      </c>
      <c r="T68" s="6">
        <v>2.2974999999999999</v>
      </c>
      <c r="U68" s="6">
        <v>328</v>
      </c>
      <c r="W68" s="17">
        <v>66</v>
      </c>
      <c r="X68" s="6">
        <v>4.5197200000000004</v>
      </c>
      <c r="Y68" s="6">
        <v>2.7465999999999999</v>
      </c>
      <c r="Z68" s="6">
        <v>2.2974999999999999</v>
      </c>
      <c r="AA68" s="6">
        <v>328</v>
      </c>
      <c r="AN68" s="17">
        <v>65</v>
      </c>
      <c r="AO68" s="6">
        <v>1.0813699999999999</v>
      </c>
      <c r="AP68" s="6">
        <v>1.9398</v>
      </c>
      <c r="AQ68" s="6">
        <v>0.54969999999999997</v>
      </c>
      <c r="AR68" s="6">
        <v>328</v>
      </c>
      <c r="AT68" s="17">
        <v>65</v>
      </c>
      <c r="AU68" s="6">
        <v>0.57062000000000002</v>
      </c>
      <c r="AV68" s="6">
        <v>1.9398</v>
      </c>
      <c r="AW68" s="6">
        <v>0.54969999999999997</v>
      </c>
      <c r="AX68" s="6">
        <v>328</v>
      </c>
    </row>
    <row r="69" spans="1:50" x14ac:dyDescent="0.25">
      <c r="A69" t="s">
        <v>7</v>
      </c>
      <c r="B69" s="11">
        <v>1</v>
      </c>
      <c r="C69" s="11">
        <v>7</v>
      </c>
      <c r="D69" s="11">
        <v>1</v>
      </c>
      <c r="E69" s="11">
        <v>3</v>
      </c>
      <c r="F69" s="12">
        <v>55.5</v>
      </c>
      <c r="G69">
        <v>46.724464285714269</v>
      </c>
      <c r="Q69" s="17">
        <v>67</v>
      </c>
      <c r="R69" s="6">
        <v>2.3775200000000001</v>
      </c>
      <c r="S69" s="6">
        <v>5.8155000000000001</v>
      </c>
      <c r="T69" s="6">
        <v>2.2902999999999998</v>
      </c>
      <c r="U69" s="6">
        <v>328</v>
      </c>
      <c r="W69" s="17">
        <v>67</v>
      </c>
      <c r="X69" s="6">
        <v>4.5055699999999996</v>
      </c>
      <c r="Y69" s="6">
        <v>5.8155000000000001</v>
      </c>
      <c r="Z69" s="6">
        <v>2.2902999999999998</v>
      </c>
      <c r="AA69" s="6">
        <v>328</v>
      </c>
      <c r="AN69" s="17">
        <v>66</v>
      </c>
      <c r="AO69" s="6">
        <v>1.0816399999999999</v>
      </c>
      <c r="AP69" s="6">
        <v>0.46410000000000001</v>
      </c>
      <c r="AQ69" s="6">
        <v>0.54979999999999996</v>
      </c>
      <c r="AR69" s="6">
        <v>328</v>
      </c>
      <c r="AT69" s="17">
        <v>66</v>
      </c>
      <c r="AU69" s="6">
        <v>0.57076000000000005</v>
      </c>
      <c r="AV69" s="6">
        <v>0.46410000000000001</v>
      </c>
      <c r="AW69" s="6">
        <v>0.54979999999999996</v>
      </c>
      <c r="AX69" s="6">
        <v>328</v>
      </c>
    </row>
    <row r="70" spans="1:50" x14ac:dyDescent="0.25">
      <c r="A70" t="s">
        <v>7</v>
      </c>
      <c r="B70" s="11">
        <v>2</v>
      </c>
      <c r="C70" s="11">
        <v>11</v>
      </c>
      <c r="D70" s="11">
        <v>5</v>
      </c>
      <c r="E70" s="11">
        <v>3</v>
      </c>
      <c r="F70" s="12">
        <v>56.7</v>
      </c>
      <c r="G70">
        <v>42.843835880622919</v>
      </c>
      <c r="Q70" s="17">
        <v>68</v>
      </c>
      <c r="R70" s="6">
        <v>2.3843999999999999</v>
      </c>
      <c r="S70" s="6">
        <v>5.9333999999999998</v>
      </c>
      <c r="T70" s="6">
        <v>2.2968999999999999</v>
      </c>
      <c r="U70" s="6">
        <v>328</v>
      </c>
      <c r="W70" s="17">
        <v>68</v>
      </c>
      <c r="X70" s="6">
        <v>4.5186000000000002</v>
      </c>
      <c r="Y70" s="6">
        <v>5.9333999999999998</v>
      </c>
      <c r="Z70" s="6">
        <v>2.2968999999999999</v>
      </c>
      <c r="AA70" s="6">
        <v>328</v>
      </c>
      <c r="AN70" s="17">
        <v>67</v>
      </c>
      <c r="AO70" s="6">
        <v>1.07602</v>
      </c>
      <c r="AP70" s="6">
        <v>0.47099999999999997</v>
      </c>
      <c r="AQ70" s="6">
        <v>0.54700000000000004</v>
      </c>
      <c r="AR70" s="6">
        <v>328</v>
      </c>
      <c r="AT70" s="17">
        <v>67</v>
      </c>
      <c r="AU70" s="6">
        <v>0.56779999999999997</v>
      </c>
      <c r="AV70" s="6">
        <v>0.47099999999999997</v>
      </c>
      <c r="AW70" s="6">
        <v>0.54700000000000004</v>
      </c>
      <c r="AX70" s="6">
        <v>328</v>
      </c>
    </row>
    <row r="71" spans="1:50" x14ac:dyDescent="0.25">
      <c r="A71" t="s">
        <v>7</v>
      </c>
      <c r="B71" s="11">
        <v>3</v>
      </c>
      <c r="C71" s="11">
        <v>13</v>
      </c>
      <c r="D71" s="11">
        <v>10</v>
      </c>
      <c r="E71" s="11">
        <v>3</v>
      </c>
      <c r="F71" s="12">
        <v>54.8</v>
      </c>
      <c r="G71">
        <v>36.492861476238616</v>
      </c>
      <c r="Q71" s="17">
        <v>69</v>
      </c>
      <c r="R71" s="6">
        <v>2.3847900000000002</v>
      </c>
      <c r="S71" s="19">
        <v>-2.6903999999999999</v>
      </c>
      <c r="T71" s="6">
        <v>2.2972999999999999</v>
      </c>
      <c r="U71" s="6">
        <v>328</v>
      </c>
      <c r="W71" s="17">
        <v>69</v>
      </c>
      <c r="X71" s="6">
        <v>4.5193399999999997</v>
      </c>
      <c r="Y71" s="19">
        <v>-2.6903999999999999</v>
      </c>
      <c r="Z71" s="6">
        <v>2.2972999999999999</v>
      </c>
      <c r="AA71" s="6">
        <v>328</v>
      </c>
      <c r="AN71" s="17">
        <v>68</v>
      </c>
      <c r="AO71" s="6">
        <v>1.07904</v>
      </c>
      <c r="AP71" s="6">
        <v>1.0375000000000001</v>
      </c>
      <c r="AQ71" s="6">
        <v>0.54849999999999999</v>
      </c>
      <c r="AR71" s="6">
        <v>328</v>
      </c>
      <c r="AT71" s="17">
        <v>68</v>
      </c>
      <c r="AU71" s="6">
        <v>0.56938999999999995</v>
      </c>
      <c r="AV71" s="6">
        <v>1.0375000000000001</v>
      </c>
      <c r="AW71" s="6">
        <v>0.54849999999999999</v>
      </c>
      <c r="AX71" s="6">
        <v>328</v>
      </c>
    </row>
    <row r="72" spans="1:50" x14ac:dyDescent="0.25">
      <c r="A72" s="31" t="s">
        <v>156</v>
      </c>
      <c r="B72" s="32">
        <v>1</v>
      </c>
      <c r="C72" s="32">
        <v>4</v>
      </c>
      <c r="D72" s="32">
        <v>2</v>
      </c>
      <c r="E72" s="32">
        <v>3</v>
      </c>
      <c r="F72" s="2">
        <v>55.3</v>
      </c>
      <c r="G72">
        <v>42.897765741367635</v>
      </c>
      <c r="Q72" s="17">
        <v>70</v>
      </c>
      <c r="R72" s="6">
        <v>2.3807900000000002</v>
      </c>
      <c r="S72" s="6">
        <v>0.97529999999999994</v>
      </c>
      <c r="T72" s="6">
        <v>2.2934999999999999</v>
      </c>
      <c r="U72" s="6">
        <v>328</v>
      </c>
      <c r="W72" s="17">
        <v>70</v>
      </c>
      <c r="X72" s="6">
        <v>4.5117599999999998</v>
      </c>
      <c r="Y72" s="6">
        <v>0.97529999999999994</v>
      </c>
      <c r="Z72" s="6">
        <v>2.2934999999999999</v>
      </c>
      <c r="AA72" s="6">
        <v>328</v>
      </c>
      <c r="AN72" s="17">
        <v>69</v>
      </c>
      <c r="AO72" s="6">
        <v>1.07741</v>
      </c>
      <c r="AP72" s="19">
        <v>-1.3520000000000001</v>
      </c>
      <c r="AQ72" s="6">
        <v>0.54769999999999996</v>
      </c>
      <c r="AR72" s="6">
        <v>328</v>
      </c>
      <c r="AT72" s="17">
        <v>69</v>
      </c>
      <c r="AU72" s="6">
        <v>0.56854000000000005</v>
      </c>
      <c r="AV72" s="19">
        <v>-1.3520000000000001</v>
      </c>
      <c r="AW72" s="6">
        <v>0.54769999999999996</v>
      </c>
      <c r="AX72" s="6">
        <v>328</v>
      </c>
    </row>
    <row r="73" spans="1:50" x14ac:dyDescent="0.25">
      <c r="A73" s="31" t="s">
        <v>156</v>
      </c>
      <c r="B73" s="32">
        <v>2</v>
      </c>
      <c r="C73" s="32">
        <v>24</v>
      </c>
      <c r="D73" s="32">
        <v>4</v>
      </c>
      <c r="E73" s="32">
        <v>3</v>
      </c>
      <c r="F73" s="2">
        <v>58.1</v>
      </c>
      <c r="G73">
        <v>51.570390674535432</v>
      </c>
      <c r="Q73" s="17">
        <v>71</v>
      </c>
      <c r="R73" s="6">
        <v>2.3917700000000002</v>
      </c>
      <c r="S73" s="6">
        <v>2.6715</v>
      </c>
      <c r="T73" s="6">
        <v>2.3039999999999998</v>
      </c>
      <c r="U73" s="6">
        <v>328</v>
      </c>
      <c r="W73" s="17">
        <v>71</v>
      </c>
      <c r="X73" s="6">
        <v>4.5325699999999998</v>
      </c>
      <c r="Y73" s="6">
        <v>2.6715</v>
      </c>
      <c r="Z73" s="6">
        <v>2.3039999999999998</v>
      </c>
      <c r="AA73" s="6">
        <v>328</v>
      </c>
      <c r="AN73" s="17">
        <v>70</v>
      </c>
      <c r="AO73" s="6">
        <v>1.0783</v>
      </c>
      <c r="AP73" s="6">
        <v>0.71909999999999996</v>
      </c>
      <c r="AQ73" s="6">
        <v>0.54810000000000003</v>
      </c>
      <c r="AR73" s="6">
        <v>328</v>
      </c>
      <c r="AT73" s="17">
        <v>70</v>
      </c>
      <c r="AU73" s="6">
        <v>0.56899999999999995</v>
      </c>
      <c r="AV73" s="6">
        <v>0.71909999999999996</v>
      </c>
      <c r="AW73" s="6">
        <v>0.54810000000000003</v>
      </c>
      <c r="AX73" s="6">
        <v>328</v>
      </c>
    </row>
    <row r="74" spans="1:50" x14ac:dyDescent="0.25">
      <c r="A74" s="31" t="s">
        <v>156</v>
      </c>
      <c r="B74" s="32">
        <v>3</v>
      </c>
      <c r="C74" s="32">
        <v>17</v>
      </c>
      <c r="D74" s="32">
        <v>6</v>
      </c>
      <c r="E74" s="32">
        <v>3</v>
      </c>
      <c r="F74" s="2">
        <v>61.1</v>
      </c>
      <c r="G74">
        <v>57.067928066548056</v>
      </c>
      <c r="Q74" s="17">
        <v>72</v>
      </c>
      <c r="R74" s="6">
        <v>2.3960499999999998</v>
      </c>
      <c r="S74" s="6">
        <v>1.2776000000000001</v>
      </c>
      <c r="T74" s="6">
        <v>2.3081999999999998</v>
      </c>
      <c r="U74" s="6">
        <v>328</v>
      </c>
      <c r="W74" s="17">
        <v>72</v>
      </c>
      <c r="X74" s="6">
        <v>4.5406700000000004</v>
      </c>
      <c r="Y74" s="6">
        <v>1.2776000000000001</v>
      </c>
      <c r="Z74" s="6">
        <v>2.3081999999999998</v>
      </c>
      <c r="AA74" s="6">
        <v>328</v>
      </c>
      <c r="AN74" s="17">
        <v>71</v>
      </c>
      <c r="AO74" s="6">
        <v>1.0845800000000001</v>
      </c>
      <c r="AP74" s="6">
        <v>0.9325</v>
      </c>
      <c r="AQ74" s="6">
        <v>0.55130000000000001</v>
      </c>
      <c r="AR74" s="6">
        <v>328</v>
      </c>
      <c r="AT74" s="17">
        <v>71</v>
      </c>
      <c r="AU74" s="6">
        <v>0.57232000000000005</v>
      </c>
      <c r="AV74" s="6">
        <v>0.9325</v>
      </c>
      <c r="AW74" s="6">
        <v>0.55130000000000001</v>
      </c>
      <c r="AX74" s="6">
        <v>328</v>
      </c>
    </row>
    <row r="75" spans="1:50" x14ac:dyDescent="0.25">
      <c r="A75" s="31" t="s">
        <v>10</v>
      </c>
      <c r="B75" s="32">
        <v>1</v>
      </c>
      <c r="C75" s="32">
        <v>6</v>
      </c>
      <c r="D75" s="32">
        <v>3</v>
      </c>
      <c r="E75" s="32">
        <v>3</v>
      </c>
      <c r="F75" s="2">
        <v>60.1</v>
      </c>
      <c r="G75">
        <v>68.674661041606043</v>
      </c>
      <c r="Q75" s="17">
        <v>73</v>
      </c>
      <c r="R75" s="6">
        <v>2.39114</v>
      </c>
      <c r="S75" s="6">
        <v>2.3443000000000001</v>
      </c>
      <c r="T75" s="6">
        <v>2.3033999999999999</v>
      </c>
      <c r="U75" s="6">
        <v>328</v>
      </c>
      <c r="W75" s="17">
        <v>73</v>
      </c>
      <c r="X75" s="6">
        <v>4.5313800000000004</v>
      </c>
      <c r="Y75" s="6">
        <v>2.3443000000000001</v>
      </c>
      <c r="Z75" s="6">
        <v>2.3033999999999999</v>
      </c>
      <c r="AA75" s="6">
        <v>328</v>
      </c>
      <c r="AN75" s="17">
        <v>72</v>
      </c>
      <c r="AO75" s="6">
        <v>1.0889599999999999</v>
      </c>
      <c r="AP75" s="6">
        <v>0.64329999999999998</v>
      </c>
      <c r="AQ75" s="6">
        <v>0.55359999999999998</v>
      </c>
      <c r="AR75" s="6">
        <v>328</v>
      </c>
      <c r="AT75" s="17">
        <v>72</v>
      </c>
      <c r="AU75" s="6">
        <v>0.57462999999999997</v>
      </c>
      <c r="AV75" s="6">
        <v>0.64329999999999998</v>
      </c>
      <c r="AW75" s="6">
        <v>0.55359999999999998</v>
      </c>
      <c r="AX75" s="6">
        <v>328</v>
      </c>
    </row>
    <row r="76" spans="1:50" x14ac:dyDescent="0.25">
      <c r="A76" s="31" t="s">
        <v>10</v>
      </c>
      <c r="B76" s="32">
        <v>2</v>
      </c>
      <c r="C76" s="32">
        <v>2</v>
      </c>
      <c r="D76" s="32">
        <v>6</v>
      </c>
      <c r="E76" s="32">
        <v>3</v>
      </c>
      <c r="F76" s="2">
        <v>58</v>
      </c>
      <c r="G76">
        <v>48.784738886491148</v>
      </c>
      <c r="Q76" s="17">
        <v>74</v>
      </c>
      <c r="R76" s="6">
        <v>2.3800699999999999</v>
      </c>
      <c r="S76" s="6">
        <v>0.77569999999999995</v>
      </c>
      <c r="T76" s="6">
        <v>2.2928000000000002</v>
      </c>
      <c r="U76" s="6">
        <v>328</v>
      </c>
      <c r="W76" s="17">
        <v>74</v>
      </c>
      <c r="X76" s="6">
        <v>4.5103999999999997</v>
      </c>
      <c r="Y76" s="6">
        <v>0.77569999999999995</v>
      </c>
      <c r="Z76" s="6">
        <v>2.2928000000000002</v>
      </c>
      <c r="AA76" s="6">
        <v>328</v>
      </c>
      <c r="AN76" s="17">
        <v>73</v>
      </c>
      <c r="AO76" s="6">
        <v>1.0834999999999999</v>
      </c>
      <c r="AP76" s="19">
        <v>-0.43719999999999998</v>
      </c>
      <c r="AQ76" s="6">
        <v>0.55079999999999996</v>
      </c>
      <c r="AR76" s="6">
        <v>328</v>
      </c>
      <c r="AT76" s="17">
        <v>73</v>
      </c>
      <c r="AU76" s="6">
        <v>0.57174999999999998</v>
      </c>
      <c r="AV76" s="19">
        <v>-0.43719999999999998</v>
      </c>
      <c r="AW76" s="6">
        <v>0.55079999999999996</v>
      </c>
      <c r="AX76" s="6">
        <v>328</v>
      </c>
    </row>
    <row r="77" spans="1:50" x14ac:dyDescent="0.25">
      <c r="A77" s="31" t="s">
        <v>10</v>
      </c>
      <c r="B77" s="32">
        <v>3</v>
      </c>
      <c r="C77" s="32">
        <v>4</v>
      </c>
      <c r="D77" s="32">
        <v>12</v>
      </c>
      <c r="E77" s="32">
        <v>3</v>
      </c>
      <c r="F77" s="2">
        <v>60.8</v>
      </c>
      <c r="G77">
        <v>73.387609670329653</v>
      </c>
      <c r="Q77" s="17">
        <v>75</v>
      </c>
      <c r="R77" s="6">
        <v>2.3850799999999999</v>
      </c>
      <c r="S77" s="6">
        <v>1.2787999999999999</v>
      </c>
      <c r="T77" s="6">
        <v>2.2976000000000001</v>
      </c>
      <c r="U77" s="6">
        <v>328</v>
      </c>
      <c r="W77" s="17">
        <v>75</v>
      </c>
      <c r="X77" s="6">
        <v>4.5198999999999998</v>
      </c>
      <c r="Y77" s="6">
        <v>1.2787999999999999</v>
      </c>
      <c r="Z77" s="6">
        <v>2.2976000000000001</v>
      </c>
      <c r="AA77" s="6">
        <v>328</v>
      </c>
      <c r="AN77" s="17">
        <v>74</v>
      </c>
      <c r="AO77" s="6">
        <v>1.07663</v>
      </c>
      <c r="AP77" s="19">
        <v>-9.7659999999999997E-2</v>
      </c>
      <c r="AQ77" s="6">
        <v>0.54730000000000001</v>
      </c>
      <c r="AR77" s="6">
        <v>328</v>
      </c>
      <c r="AT77" s="17">
        <v>74</v>
      </c>
      <c r="AU77" s="6">
        <v>0.56811999999999996</v>
      </c>
      <c r="AV77" s="19">
        <v>-9.7659999999999997E-2</v>
      </c>
      <c r="AW77" s="6">
        <v>0.54730000000000001</v>
      </c>
      <c r="AX77" s="6">
        <v>328</v>
      </c>
    </row>
    <row r="78" spans="1:50" x14ac:dyDescent="0.25">
      <c r="A78" s="31" t="s">
        <v>11</v>
      </c>
      <c r="B78" s="32">
        <v>1</v>
      </c>
      <c r="C78" s="32">
        <v>14</v>
      </c>
      <c r="D78" s="32">
        <v>3</v>
      </c>
      <c r="E78" s="11">
        <v>3</v>
      </c>
      <c r="F78" s="2">
        <v>59.9</v>
      </c>
      <c r="G78">
        <v>24.525804641430472</v>
      </c>
      <c r="Q78" s="17">
        <v>76</v>
      </c>
      <c r="R78" s="6">
        <v>2.3942600000000001</v>
      </c>
      <c r="S78" s="6">
        <v>8.5759000000000007</v>
      </c>
      <c r="T78" s="6">
        <v>2.3064</v>
      </c>
      <c r="U78" s="6">
        <v>328</v>
      </c>
      <c r="W78" s="17">
        <v>76</v>
      </c>
      <c r="X78" s="6">
        <v>4.53728</v>
      </c>
      <c r="Y78" s="6">
        <v>8.5759000000000007</v>
      </c>
      <c r="Z78" s="6">
        <v>2.3064</v>
      </c>
      <c r="AA78" s="6">
        <v>328</v>
      </c>
      <c r="AN78" s="17">
        <v>75</v>
      </c>
      <c r="AO78" s="6">
        <v>1.0789299999999999</v>
      </c>
      <c r="AP78" s="19">
        <v>-0.62450000000000006</v>
      </c>
      <c r="AQ78" s="6">
        <v>0.54849999999999999</v>
      </c>
      <c r="AR78" s="6">
        <v>328</v>
      </c>
      <c r="AT78" s="17">
        <v>75</v>
      </c>
      <c r="AU78" s="6">
        <v>0.56933999999999996</v>
      </c>
      <c r="AV78" s="19">
        <v>-0.62450000000000006</v>
      </c>
      <c r="AW78" s="6">
        <v>0.54849999999999999</v>
      </c>
      <c r="AX78" s="6">
        <v>328</v>
      </c>
    </row>
    <row r="79" spans="1:50" x14ac:dyDescent="0.25">
      <c r="A79" s="31" t="s">
        <v>11</v>
      </c>
      <c r="B79" s="32">
        <v>2</v>
      </c>
      <c r="C79" s="32">
        <v>9</v>
      </c>
      <c r="D79" s="32">
        <v>5</v>
      </c>
      <c r="E79" s="11">
        <v>3</v>
      </c>
      <c r="F79" s="2">
        <v>62.2</v>
      </c>
      <c r="G79">
        <v>30.8522896413007</v>
      </c>
      <c r="Q79" s="17">
        <v>77</v>
      </c>
      <c r="R79" s="6">
        <v>2.3839299999999999</v>
      </c>
      <c r="S79" s="6">
        <v>3.0831</v>
      </c>
      <c r="T79" s="6">
        <v>2.2965</v>
      </c>
      <c r="U79" s="6">
        <v>328</v>
      </c>
      <c r="W79" s="17">
        <v>77</v>
      </c>
      <c r="X79" s="6">
        <v>4.5177100000000001</v>
      </c>
      <c r="Y79" s="6">
        <v>3.0831</v>
      </c>
      <c r="Z79" s="6">
        <v>2.2965</v>
      </c>
      <c r="AA79" s="6">
        <v>328</v>
      </c>
      <c r="AN79" s="17">
        <v>76</v>
      </c>
      <c r="AO79" s="6">
        <v>1.0902799999999999</v>
      </c>
      <c r="AP79" s="6">
        <v>1.1652</v>
      </c>
      <c r="AQ79" s="6">
        <v>0.55420000000000003</v>
      </c>
      <c r="AR79" s="6">
        <v>328</v>
      </c>
      <c r="AT79" s="17">
        <v>76</v>
      </c>
      <c r="AU79" s="6">
        <v>0.57532000000000005</v>
      </c>
      <c r="AV79" s="6">
        <v>1.1652</v>
      </c>
      <c r="AW79" s="6">
        <v>0.55420000000000003</v>
      </c>
      <c r="AX79" s="6">
        <v>328</v>
      </c>
    </row>
    <row r="80" spans="1:50" x14ac:dyDescent="0.25">
      <c r="A80" s="31" t="s">
        <v>11</v>
      </c>
      <c r="B80" s="32">
        <v>3</v>
      </c>
      <c r="C80" s="32">
        <v>8</v>
      </c>
      <c r="D80" s="32">
        <v>7</v>
      </c>
      <c r="E80" s="11">
        <v>3</v>
      </c>
      <c r="F80" s="2">
        <v>60.7</v>
      </c>
      <c r="G80">
        <v>35.404207273591631</v>
      </c>
      <c r="Q80" s="17">
        <v>78</v>
      </c>
      <c r="R80" s="6">
        <v>2.3807200000000002</v>
      </c>
      <c r="S80" s="6">
        <v>12.801600000000001</v>
      </c>
      <c r="T80" s="6">
        <v>2.2934000000000001</v>
      </c>
      <c r="U80" s="6">
        <v>328</v>
      </c>
      <c r="W80" s="17">
        <v>78</v>
      </c>
      <c r="X80" s="6">
        <v>4.5116399999999999</v>
      </c>
      <c r="Y80" s="6">
        <v>12.801600000000001</v>
      </c>
      <c r="Z80" s="6">
        <v>2.2934000000000001</v>
      </c>
      <c r="AA80" s="6">
        <v>328</v>
      </c>
      <c r="AN80" s="17">
        <v>77</v>
      </c>
      <c r="AO80" s="6">
        <v>1.0783199999999999</v>
      </c>
      <c r="AP80" s="19">
        <v>-0.55330000000000001</v>
      </c>
      <c r="AQ80" s="6">
        <v>0.54810000000000003</v>
      </c>
      <c r="AR80" s="6">
        <v>328</v>
      </c>
      <c r="AT80" s="17">
        <v>77</v>
      </c>
      <c r="AU80" s="6">
        <v>0.56901000000000002</v>
      </c>
      <c r="AV80" s="19">
        <v>-0.55330000000000001</v>
      </c>
      <c r="AW80" s="6">
        <v>0.54810000000000003</v>
      </c>
      <c r="AX80" s="6">
        <v>328</v>
      </c>
    </row>
    <row r="81" spans="1:50" x14ac:dyDescent="0.25">
      <c r="A81" t="s">
        <v>160</v>
      </c>
      <c r="B81">
        <v>1</v>
      </c>
      <c r="C81" s="36">
        <v>10</v>
      </c>
      <c r="D81" s="36">
        <v>2</v>
      </c>
      <c r="E81" s="32">
        <v>3</v>
      </c>
      <c r="F81" s="13">
        <v>61.4</v>
      </c>
      <c r="G81">
        <v>88.662290556900714</v>
      </c>
      <c r="Q81" s="17">
        <v>79</v>
      </c>
      <c r="R81" s="6">
        <v>2.3787699999999998</v>
      </c>
      <c r="S81" s="6">
        <v>8.0249000000000006</v>
      </c>
      <c r="T81" s="6">
        <v>2.2915000000000001</v>
      </c>
      <c r="U81" s="6">
        <v>328</v>
      </c>
      <c r="W81" s="17">
        <v>79</v>
      </c>
      <c r="X81" s="6">
        <v>4.5079399999999996</v>
      </c>
      <c r="Y81" s="6">
        <v>8.0249000000000006</v>
      </c>
      <c r="Z81" s="6">
        <v>2.2915000000000001</v>
      </c>
      <c r="AA81" s="6">
        <v>328</v>
      </c>
      <c r="AN81" s="17">
        <v>78</v>
      </c>
      <c r="AO81" s="6">
        <v>1.0854600000000001</v>
      </c>
      <c r="AP81" s="6">
        <v>1.9577</v>
      </c>
      <c r="AQ81" s="6">
        <v>0.55179999999999996</v>
      </c>
      <c r="AR81" s="6">
        <v>328</v>
      </c>
      <c r="AT81" s="17">
        <v>78</v>
      </c>
      <c r="AU81" s="6">
        <v>0.57277999999999996</v>
      </c>
      <c r="AV81" s="6">
        <v>1.9577</v>
      </c>
      <c r="AW81" s="6">
        <v>0.55179999999999996</v>
      </c>
      <c r="AX81" s="6">
        <v>328</v>
      </c>
    </row>
    <row r="82" spans="1:50" x14ac:dyDescent="0.25">
      <c r="A82" t="s">
        <v>160</v>
      </c>
      <c r="B82">
        <v>2</v>
      </c>
      <c r="C82" s="36">
        <v>4</v>
      </c>
      <c r="D82" s="36">
        <v>3</v>
      </c>
      <c r="E82" s="32">
        <v>3</v>
      </c>
      <c r="F82" s="13">
        <v>61</v>
      </c>
      <c r="G82">
        <v>80.443628260151854</v>
      </c>
      <c r="Q82" s="17">
        <v>80</v>
      </c>
      <c r="R82" s="6">
        <v>2.39011</v>
      </c>
      <c r="S82" s="6">
        <v>2.0463</v>
      </c>
      <c r="T82" s="6">
        <v>2.3024</v>
      </c>
      <c r="U82" s="6">
        <v>328</v>
      </c>
      <c r="W82" s="17">
        <v>80</v>
      </c>
      <c r="X82" s="6">
        <v>4.5294299999999996</v>
      </c>
      <c r="Y82" s="6">
        <v>2.0463</v>
      </c>
      <c r="Z82" s="6">
        <v>2.3024</v>
      </c>
      <c r="AA82" s="6">
        <v>328</v>
      </c>
      <c r="AN82" s="17">
        <v>79</v>
      </c>
      <c r="AO82" s="6">
        <v>1.0777300000000001</v>
      </c>
      <c r="AP82" s="6">
        <v>1.0861000000000001</v>
      </c>
      <c r="AQ82" s="6">
        <v>0.54779999999999995</v>
      </c>
      <c r="AR82" s="6">
        <v>328</v>
      </c>
      <c r="AT82" s="17">
        <v>79</v>
      </c>
      <c r="AU82" s="6">
        <v>0.56869999999999998</v>
      </c>
      <c r="AV82" s="6">
        <v>1.0861000000000001</v>
      </c>
      <c r="AW82" s="6">
        <v>0.54779999999999995</v>
      </c>
      <c r="AX82" s="6">
        <v>328</v>
      </c>
    </row>
    <row r="83" spans="1:50" x14ac:dyDescent="0.25">
      <c r="A83" t="s">
        <v>160</v>
      </c>
      <c r="B83">
        <v>3</v>
      </c>
      <c r="C83" s="36">
        <v>11</v>
      </c>
      <c r="D83" s="36">
        <v>6</v>
      </c>
      <c r="E83" s="32">
        <v>3</v>
      </c>
      <c r="F83" s="13">
        <v>60.7</v>
      </c>
      <c r="G83">
        <v>84.015064630409782</v>
      </c>
      <c r="Q83" s="17">
        <v>81</v>
      </c>
      <c r="R83" s="6">
        <v>2.37907</v>
      </c>
      <c r="S83" s="6">
        <v>4.048</v>
      </c>
      <c r="T83" s="6">
        <v>2.2917999999999998</v>
      </c>
      <c r="U83" s="6">
        <v>328</v>
      </c>
      <c r="W83" s="17">
        <v>81</v>
      </c>
      <c r="X83" s="6">
        <v>4.5084999999999997</v>
      </c>
      <c r="Y83" s="6">
        <v>4.048</v>
      </c>
      <c r="Z83" s="6">
        <v>2.2917999999999998</v>
      </c>
      <c r="AA83" s="6">
        <v>328</v>
      </c>
      <c r="AN83" s="17">
        <v>80</v>
      </c>
      <c r="AO83" s="6">
        <v>1.08246</v>
      </c>
      <c r="AP83" s="6">
        <v>0.63819999999999999</v>
      </c>
      <c r="AQ83" s="6">
        <v>0.55020000000000002</v>
      </c>
      <c r="AR83" s="6">
        <v>328</v>
      </c>
      <c r="AT83" s="17">
        <v>80</v>
      </c>
      <c r="AU83" s="6">
        <v>0.57120000000000004</v>
      </c>
      <c r="AV83" s="6">
        <v>0.63819999999999999</v>
      </c>
      <c r="AW83" s="6">
        <v>0.55020000000000002</v>
      </c>
      <c r="AX83" s="6">
        <v>328</v>
      </c>
    </row>
    <row r="84" spans="1:50" x14ac:dyDescent="0.25">
      <c r="A84" s="31" t="s">
        <v>116</v>
      </c>
      <c r="B84" s="32">
        <v>1</v>
      </c>
      <c r="C84" s="32">
        <v>5</v>
      </c>
      <c r="D84" s="32">
        <v>1</v>
      </c>
      <c r="E84" s="32">
        <v>4</v>
      </c>
      <c r="F84" s="12">
        <v>54.1</v>
      </c>
      <c r="G84">
        <v>49.276667506053265</v>
      </c>
      <c r="Q84" s="17">
        <v>82</v>
      </c>
      <c r="R84" s="6">
        <v>2.3952300000000002</v>
      </c>
      <c r="S84" s="6">
        <v>0.26800000000000002</v>
      </c>
      <c r="T84" s="6">
        <v>2.3073999999999999</v>
      </c>
      <c r="U84" s="6">
        <v>328</v>
      </c>
      <c r="W84" s="17">
        <v>82</v>
      </c>
      <c r="X84" s="6">
        <v>4.5391300000000001</v>
      </c>
      <c r="Y84" s="6">
        <v>0.26800000000000002</v>
      </c>
      <c r="Z84" s="6">
        <v>2.3073999999999999</v>
      </c>
      <c r="AA84" s="6">
        <v>328</v>
      </c>
      <c r="AN84" s="17">
        <v>81</v>
      </c>
      <c r="AO84" s="6">
        <v>1.0797399999999999</v>
      </c>
      <c r="AP84" s="6">
        <v>0.6361</v>
      </c>
      <c r="AQ84" s="6">
        <v>0.54890000000000005</v>
      </c>
      <c r="AR84" s="6">
        <v>328</v>
      </c>
      <c r="AT84" s="17">
        <v>81</v>
      </c>
      <c r="AU84" s="6">
        <v>0.56976000000000004</v>
      </c>
      <c r="AV84" s="6">
        <v>0.6361</v>
      </c>
      <c r="AW84" s="6">
        <v>0.54890000000000005</v>
      </c>
      <c r="AX84" s="6">
        <v>328</v>
      </c>
    </row>
    <row r="85" spans="1:50" x14ac:dyDescent="0.25">
      <c r="A85" s="31" t="s">
        <v>116</v>
      </c>
      <c r="B85" s="32">
        <v>2</v>
      </c>
      <c r="C85" s="32">
        <v>10</v>
      </c>
      <c r="D85" s="32">
        <v>6</v>
      </c>
      <c r="E85" s="32">
        <v>4</v>
      </c>
      <c r="F85" s="12">
        <v>54.3</v>
      </c>
      <c r="G85">
        <v>54.581103075331519</v>
      </c>
      <c r="Q85" s="17">
        <v>83</v>
      </c>
      <c r="R85" s="6">
        <v>2.3729499999999999</v>
      </c>
      <c r="S85" s="19">
        <v>-1.2887999999999999</v>
      </c>
      <c r="T85" s="6">
        <v>2.2858999999999998</v>
      </c>
      <c r="U85" s="6">
        <v>328</v>
      </c>
      <c r="W85" s="17">
        <v>83</v>
      </c>
      <c r="X85" s="6">
        <v>4.4969000000000001</v>
      </c>
      <c r="Y85" s="19">
        <v>-1.2887999999999999</v>
      </c>
      <c r="Z85" s="6">
        <v>2.2858999999999998</v>
      </c>
      <c r="AA85" s="6">
        <v>328</v>
      </c>
      <c r="AN85" s="17">
        <v>82</v>
      </c>
      <c r="AO85" s="6">
        <v>1.0722</v>
      </c>
      <c r="AP85" s="6">
        <v>3.8791000000000002</v>
      </c>
      <c r="AQ85" s="6">
        <v>0.54500000000000004</v>
      </c>
      <c r="AR85" s="6">
        <v>328</v>
      </c>
      <c r="AT85" s="17">
        <v>82</v>
      </c>
      <c r="AU85" s="6">
        <v>0.56577999999999995</v>
      </c>
      <c r="AV85" s="6">
        <v>3.8791000000000002</v>
      </c>
      <c r="AW85" s="6">
        <v>0.54500000000000004</v>
      </c>
      <c r="AX85" s="6">
        <v>328</v>
      </c>
    </row>
    <row r="86" spans="1:50" x14ac:dyDescent="0.25">
      <c r="A86" s="31" t="s">
        <v>116</v>
      </c>
      <c r="B86" s="32">
        <v>3</v>
      </c>
      <c r="C86" s="32">
        <v>4</v>
      </c>
      <c r="D86" s="32">
        <v>12</v>
      </c>
      <c r="E86" s="32">
        <v>4</v>
      </c>
      <c r="F86" s="2">
        <v>56.1</v>
      </c>
      <c r="G86">
        <v>62.331152687651333</v>
      </c>
      <c r="Q86" s="17">
        <v>84</v>
      </c>
      <c r="R86" s="6">
        <v>2.3861599999999998</v>
      </c>
      <c r="S86" s="6">
        <v>8.2599</v>
      </c>
      <c r="T86" s="6">
        <v>2.2986</v>
      </c>
      <c r="U86" s="6">
        <v>328</v>
      </c>
      <c r="W86" s="17">
        <v>84</v>
      </c>
      <c r="X86" s="6">
        <v>4.5219300000000002</v>
      </c>
      <c r="Y86" s="6">
        <v>8.2599</v>
      </c>
      <c r="Z86" s="6">
        <v>2.2986</v>
      </c>
      <c r="AA86" s="6">
        <v>328</v>
      </c>
      <c r="AN86" s="17">
        <v>83</v>
      </c>
      <c r="AO86" s="6">
        <v>1.0618099999999999</v>
      </c>
      <c r="AP86" s="6">
        <v>2.0737000000000001</v>
      </c>
      <c r="AQ86" s="6">
        <v>0.53969999999999996</v>
      </c>
      <c r="AR86" s="6">
        <v>328</v>
      </c>
      <c r="AT86" s="17">
        <v>83</v>
      </c>
      <c r="AU86" s="6">
        <v>0.56030000000000002</v>
      </c>
      <c r="AV86" s="6">
        <v>2.0737000000000001</v>
      </c>
      <c r="AW86" s="6">
        <v>0.53969999999999996</v>
      </c>
      <c r="AX86" s="6">
        <v>328</v>
      </c>
    </row>
    <row r="87" spans="1:50" x14ac:dyDescent="0.25">
      <c r="A87" s="34" t="s">
        <v>97</v>
      </c>
      <c r="B87" s="35">
        <v>1</v>
      </c>
      <c r="C87" s="35">
        <v>10</v>
      </c>
      <c r="D87" s="35">
        <v>1</v>
      </c>
      <c r="E87" s="35">
        <v>4</v>
      </c>
      <c r="F87" s="2">
        <v>57.4</v>
      </c>
      <c r="G87">
        <v>84.207137142857135</v>
      </c>
      <c r="Q87" s="17">
        <v>85</v>
      </c>
      <c r="R87" s="6">
        <v>2.3788900000000002</v>
      </c>
      <c r="S87" s="19">
        <v>-4.6196999999999999</v>
      </c>
      <c r="T87" s="6">
        <v>2.2915999999999999</v>
      </c>
      <c r="U87" s="6">
        <v>328</v>
      </c>
      <c r="W87" s="17">
        <v>85</v>
      </c>
      <c r="X87" s="6">
        <v>4.5081499999999997</v>
      </c>
      <c r="Y87" s="19">
        <v>-4.6196999999999999</v>
      </c>
      <c r="Z87" s="6">
        <v>2.2915999999999999</v>
      </c>
      <c r="AA87" s="6">
        <v>328</v>
      </c>
      <c r="AN87" s="17">
        <v>84</v>
      </c>
      <c r="AO87" s="6">
        <v>1.06785</v>
      </c>
      <c r="AP87" s="6">
        <v>1.8002</v>
      </c>
      <c r="AQ87" s="6">
        <v>0.54279999999999995</v>
      </c>
      <c r="AR87" s="6">
        <v>328</v>
      </c>
      <c r="AT87" s="17">
        <v>84</v>
      </c>
      <c r="AU87" s="6">
        <v>0.56349000000000005</v>
      </c>
      <c r="AV87" s="6">
        <v>1.8002</v>
      </c>
      <c r="AW87" s="6">
        <v>0.54279999999999995</v>
      </c>
      <c r="AX87" s="6">
        <v>328</v>
      </c>
    </row>
    <row r="88" spans="1:50" x14ac:dyDescent="0.25">
      <c r="A88" s="34" t="s">
        <v>97</v>
      </c>
      <c r="B88" s="35">
        <v>2</v>
      </c>
      <c r="C88" s="35">
        <v>7</v>
      </c>
      <c r="D88" s="35">
        <v>3</v>
      </c>
      <c r="E88" s="35">
        <v>4</v>
      </c>
      <c r="F88" s="2">
        <v>56.4</v>
      </c>
      <c r="G88">
        <v>76.858231545406269</v>
      </c>
      <c r="Q88" s="17">
        <v>86</v>
      </c>
      <c r="R88" s="6">
        <v>2.3842099999999999</v>
      </c>
      <c r="S88" s="6">
        <v>2.7602000000000002</v>
      </c>
      <c r="T88" s="6">
        <v>2.2968000000000002</v>
      </c>
      <c r="U88" s="6">
        <v>328</v>
      </c>
      <c r="W88" s="17">
        <v>86</v>
      </c>
      <c r="X88" s="6">
        <v>4.5182399999999996</v>
      </c>
      <c r="Y88" s="6">
        <v>2.7602000000000002</v>
      </c>
      <c r="Z88" s="6">
        <v>2.2968000000000002</v>
      </c>
      <c r="AA88" s="6">
        <v>328</v>
      </c>
      <c r="AN88" s="17">
        <v>85</v>
      </c>
      <c r="AO88" s="6">
        <v>1.0634600000000001</v>
      </c>
      <c r="AP88" s="6">
        <v>0.88829999999999998</v>
      </c>
      <c r="AQ88" s="6">
        <v>0.54059999999999997</v>
      </c>
      <c r="AR88" s="6">
        <v>328</v>
      </c>
      <c r="AT88" s="17">
        <v>85</v>
      </c>
      <c r="AU88" s="6">
        <v>0.56116999999999995</v>
      </c>
      <c r="AV88" s="6">
        <v>0.88829999999999998</v>
      </c>
      <c r="AW88" s="6">
        <v>0.54059999999999997</v>
      </c>
      <c r="AX88" s="6">
        <v>328</v>
      </c>
    </row>
    <row r="89" spans="1:50" x14ac:dyDescent="0.25">
      <c r="A89" s="34" t="s">
        <v>97</v>
      </c>
      <c r="B89" s="35">
        <v>3</v>
      </c>
      <c r="C89" s="35">
        <v>3</v>
      </c>
      <c r="D89" s="35">
        <v>5</v>
      </c>
      <c r="E89" s="35">
        <v>4</v>
      </c>
      <c r="F89" s="2">
        <v>56.9</v>
      </c>
      <c r="G89">
        <v>80.092123781263226</v>
      </c>
      <c r="Q89" s="17">
        <v>87</v>
      </c>
      <c r="R89" s="6">
        <v>2.38096</v>
      </c>
      <c r="S89" s="6">
        <v>7.8869999999999996</v>
      </c>
      <c r="T89" s="6">
        <v>2.2936000000000001</v>
      </c>
      <c r="U89" s="6">
        <v>328</v>
      </c>
      <c r="W89" s="17">
        <v>87</v>
      </c>
      <c r="X89" s="6">
        <v>4.5120800000000001</v>
      </c>
      <c r="Y89" s="6">
        <v>7.8869999999999996</v>
      </c>
      <c r="Z89" s="6">
        <v>2.2936000000000001</v>
      </c>
      <c r="AA89" s="6">
        <v>328</v>
      </c>
      <c r="AN89" s="17">
        <v>86</v>
      </c>
      <c r="AO89" s="6">
        <v>1.07457</v>
      </c>
      <c r="AP89" s="6">
        <v>3.5428000000000002</v>
      </c>
      <c r="AQ89" s="6">
        <v>0.54620000000000002</v>
      </c>
      <c r="AR89" s="6">
        <v>328</v>
      </c>
      <c r="AT89" s="17">
        <v>86</v>
      </c>
      <c r="AU89" s="6">
        <v>0.56703999999999999</v>
      </c>
      <c r="AV89" s="6">
        <v>3.5428000000000002</v>
      </c>
      <c r="AW89" s="6">
        <v>0.54620000000000002</v>
      </c>
      <c r="AX89" s="6">
        <v>328</v>
      </c>
    </row>
    <row r="90" spans="1:50" x14ac:dyDescent="0.25">
      <c r="A90" s="31" t="s">
        <v>132</v>
      </c>
      <c r="B90" s="32">
        <v>1</v>
      </c>
      <c r="C90" s="32">
        <v>3</v>
      </c>
      <c r="D90" s="32">
        <v>2</v>
      </c>
      <c r="E90" s="32">
        <v>4</v>
      </c>
      <c r="F90" s="2">
        <v>54.5</v>
      </c>
      <c r="G90">
        <v>65.799654790029408</v>
      </c>
      <c r="Q90" s="17">
        <v>88</v>
      </c>
      <c r="R90" s="6">
        <v>2.3837299999999999</v>
      </c>
      <c r="S90" s="19">
        <v>-2.8561000000000001</v>
      </c>
      <c r="T90" s="6">
        <v>2.2963</v>
      </c>
      <c r="U90" s="6">
        <v>328</v>
      </c>
      <c r="W90" s="17">
        <v>88</v>
      </c>
      <c r="X90" s="6">
        <v>4.5173300000000003</v>
      </c>
      <c r="Y90" s="19">
        <v>-2.8561000000000001</v>
      </c>
      <c r="Z90" s="6">
        <v>2.2963</v>
      </c>
      <c r="AA90" s="6">
        <v>328</v>
      </c>
      <c r="AN90" s="17">
        <v>87</v>
      </c>
      <c r="AO90" s="6">
        <v>1.0648</v>
      </c>
      <c r="AP90" s="6">
        <v>4.5434999999999999</v>
      </c>
      <c r="AQ90" s="6">
        <v>0.5413</v>
      </c>
      <c r="AR90" s="6">
        <v>328</v>
      </c>
      <c r="AT90" s="17">
        <v>87</v>
      </c>
      <c r="AU90" s="6">
        <v>0.56188000000000005</v>
      </c>
      <c r="AV90" s="6">
        <v>4.5434999999999999</v>
      </c>
      <c r="AW90" s="6">
        <v>0.5413</v>
      </c>
      <c r="AX90" s="6">
        <v>328</v>
      </c>
    </row>
    <row r="91" spans="1:50" x14ac:dyDescent="0.25">
      <c r="A91" s="31" t="s">
        <v>132</v>
      </c>
      <c r="B91" s="32">
        <v>2</v>
      </c>
      <c r="C91" s="32">
        <v>8</v>
      </c>
      <c r="D91" s="32">
        <v>3</v>
      </c>
      <c r="E91" s="32">
        <v>4</v>
      </c>
      <c r="F91" s="2">
        <v>58.9</v>
      </c>
      <c r="G91">
        <v>69.882706540447487</v>
      </c>
      <c r="Q91" s="17">
        <v>89</v>
      </c>
      <c r="R91" s="6">
        <v>2.3885100000000001</v>
      </c>
      <c r="S91" s="6">
        <v>4.5129000000000001</v>
      </c>
      <c r="T91" s="6">
        <v>2.3008999999999999</v>
      </c>
      <c r="U91" s="6">
        <v>328</v>
      </c>
      <c r="W91" s="17">
        <v>89</v>
      </c>
      <c r="X91" s="6">
        <v>4.5263900000000001</v>
      </c>
      <c r="Y91" s="6">
        <v>4.5129000000000001</v>
      </c>
      <c r="Z91" s="6">
        <v>2.3008999999999999</v>
      </c>
      <c r="AA91" s="6">
        <v>328</v>
      </c>
      <c r="AN91" s="17">
        <v>88</v>
      </c>
      <c r="AO91" s="6">
        <v>1.06473</v>
      </c>
      <c r="AP91" s="19">
        <v>-3.9949999999999999E-2</v>
      </c>
      <c r="AQ91" s="6">
        <v>0.54120000000000001</v>
      </c>
      <c r="AR91" s="6">
        <v>328</v>
      </c>
      <c r="AT91" s="17">
        <v>88</v>
      </c>
      <c r="AU91" s="6">
        <v>0.56184000000000001</v>
      </c>
      <c r="AV91" s="19">
        <v>-3.9949999999999999E-2</v>
      </c>
      <c r="AW91" s="6">
        <v>0.54120000000000001</v>
      </c>
      <c r="AX91" s="6">
        <v>328</v>
      </c>
    </row>
    <row r="92" spans="1:50" x14ac:dyDescent="0.25">
      <c r="A92" s="31" t="s">
        <v>132</v>
      </c>
      <c r="B92" s="32">
        <v>3</v>
      </c>
      <c r="C92" s="32">
        <v>13</v>
      </c>
      <c r="D92" s="32">
        <v>5</v>
      </c>
      <c r="E92" s="32">
        <v>4</v>
      </c>
      <c r="F92" s="2">
        <v>58.7</v>
      </c>
      <c r="G92">
        <v>64.97859240892619</v>
      </c>
      <c r="Q92" s="17">
        <v>90</v>
      </c>
      <c r="R92" s="6">
        <v>2.38558</v>
      </c>
      <c r="S92" s="19">
        <v>-0.39579999999999999</v>
      </c>
      <c r="T92" s="6">
        <v>2.2980999999999998</v>
      </c>
      <c r="U92" s="6">
        <v>328</v>
      </c>
      <c r="W92" s="17">
        <v>90</v>
      </c>
      <c r="X92" s="6">
        <v>4.5208399999999997</v>
      </c>
      <c r="Y92" s="19">
        <v>-0.39579999999999999</v>
      </c>
      <c r="Z92" s="6">
        <v>2.2980999999999998</v>
      </c>
      <c r="AA92" s="6">
        <v>328</v>
      </c>
      <c r="AN92" s="17">
        <v>89</v>
      </c>
      <c r="AO92" s="6">
        <v>1.07907</v>
      </c>
      <c r="AP92" s="6">
        <v>2.0301</v>
      </c>
      <c r="AQ92" s="6">
        <v>0.54849999999999999</v>
      </c>
      <c r="AR92" s="6">
        <v>328</v>
      </c>
      <c r="AT92" s="17">
        <v>89</v>
      </c>
      <c r="AU92" s="6">
        <v>0.56940999999999997</v>
      </c>
      <c r="AV92" s="6">
        <v>2.0301</v>
      </c>
      <c r="AW92" s="6">
        <v>0.54849999999999999</v>
      </c>
      <c r="AX92" s="6">
        <v>328</v>
      </c>
    </row>
    <row r="93" spans="1:50" x14ac:dyDescent="0.25">
      <c r="A93" s="31" t="s">
        <v>13</v>
      </c>
      <c r="B93" s="32">
        <v>1</v>
      </c>
      <c r="C93" s="36">
        <v>9</v>
      </c>
      <c r="D93" s="36">
        <v>1</v>
      </c>
      <c r="E93" s="32">
        <v>4</v>
      </c>
      <c r="F93" s="12">
        <v>57</v>
      </c>
      <c r="G93">
        <v>74.826729999999998</v>
      </c>
      <c r="Q93" s="17">
        <v>91</v>
      </c>
      <c r="R93" s="6">
        <v>2.3819699999999999</v>
      </c>
      <c r="S93" s="19">
        <v>-4.6449999999999996</v>
      </c>
      <c r="T93" s="6">
        <v>2.2946</v>
      </c>
      <c r="U93" s="6">
        <v>328</v>
      </c>
      <c r="W93" s="17">
        <v>91</v>
      </c>
      <c r="X93" s="6">
        <v>4.5140000000000002</v>
      </c>
      <c r="Y93" s="19">
        <v>-4.6449999999999996</v>
      </c>
      <c r="Z93" s="6">
        <v>2.2946</v>
      </c>
      <c r="AA93" s="6">
        <v>328</v>
      </c>
      <c r="AN93" s="17">
        <v>90</v>
      </c>
      <c r="AO93" s="6">
        <v>1.06914</v>
      </c>
      <c r="AP93" s="6">
        <v>0.7107</v>
      </c>
      <c r="AQ93" s="6">
        <v>0.54349999999999998</v>
      </c>
      <c r="AR93" s="6">
        <v>328</v>
      </c>
      <c r="AT93" s="17">
        <v>90</v>
      </c>
      <c r="AU93" s="6">
        <v>0.56416999999999995</v>
      </c>
      <c r="AV93" s="6">
        <v>0.7107</v>
      </c>
      <c r="AW93" s="6">
        <v>0.54349999999999998</v>
      </c>
      <c r="AX93" s="6">
        <v>328</v>
      </c>
    </row>
    <row r="94" spans="1:50" x14ac:dyDescent="0.25">
      <c r="A94" s="31" t="s">
        <v>13</v>
      </c>
      <c r="B94" s="32">
        <v>2</v>
      </c>
      <c r="C94" s="36">
        <v>7</v>
      </c>
      <c r="D94" s="36">
        <v>3</v>
      </c>
      <c r="E94" s="32">
        <v>4</v>
      </c>
      <c r="F94" s="12">
        <v>56.1</v>
      </c>
      <c r="G94">
        <v>67.366199999999992</v>
      </c>
      <c r="Q94" s="17">
        <v>92</v>
      </c>
      <c r="R94" s="6">
        <v>2.38</v>
      </c>
      <c r="S94" s="19">
        <v>-2.411</v>
      </c>
      <c r="T94" s="6">
        <v>2.2927</v>
      </c>
      <c r="U94" s="6">
        <v>328</v>
      </c>
      <c r="W94" s="17">
        <v>92</v>
      </c>
      <c r="X94" s="6">
        <v>4.5102700000000002</v>
      </c>
      <c r="Y94" s="19">
        <v>-2.411</v>
      </c>
      <c r="Z94" s="6">
        <v>2.2927</v>
      </c>
      <c r="AA94" s="6">
        <v>328</v>
      </c>
      <c r="AN94" s="17">
        <v>91</v>
      </c>
      <c r="AO94" s="6">
        <v>1.0688800000000001</v>
      </c>
      <c r="AP94" s="6">
        <v>0.2087</v>
      </c>
      <c r="AQ94" s="6">
        <v>0.54330000000000001</v>
      </c>
      <c r="AR94" s="6">
        <v>328</v>
      </c>
      <c r="AT94" s="17">
        <v>91</v>
      </c>
      <c r="AU94" s="6">
        <v>0.56403000000000003</v>
      </c>
      <c r="AV94" s="6">
        <v>0.2087</v>
      </c>
      <c r="AW94" s="6">
        <v>0.54330000000000001</v>
      </c>
      <c r="AX94" s="6">
        <v>328</v>
      </c>
    </row>
    <row r="95" spans="1:50" x14ac:dyDescent="0.25">
      <c r="A95" s="31" t="s">
        <v>13</v>
      </c>
      <c r="B95" s="32">
        <v>3</v>
      </c>
      <c r="C95" s="36">
        <v>2</v>
      </c>
      <c r="D95" s="36">
        <v>6</v>
      </c>
      <c r="E95" s="32">
        <v>4</v>
      </c>
      <c r="F95" s="12">
        <v>55.1</v>
      </c>
      <c r="G95">
        <v>58.226300000000009</v>
      </c>
      <c r="Q95" s="17">
        <v>93</v>
      </c>
      <c r="R95" s="6">
        <v>2.3892099999999998</v>
      </c>
      <c r="S95" s="19">
        <v>-2.3801000000000001</v>
      </c>
      <c r="T95" s="6">
        <v>2.3016000000000001</v>
      </c>
      <c r="U95" s="6">
        <v>328</v>
      </c>
      <c r="W95" s="17">
        <v>93</v>
      </c>
      <c r="X95" s="6">
        <v>4.5277200000000004</v>
      </c>
      <c r="Y95" s="19">
        <v>-2.3801000000000001</v>
      </c>
      <c r="Z95" s="6">
        <v>2.3016000000000001</v>
      </c>
      <c r="AA95" s="6">
        <v>328</v>
      </c>
      <c r="AN95" s="17">
        <v>92</v>
      </c>
      <c r="AO95" s="6">
        <v>1.06202</v>
      </c>
      <c r="AP95" s="6">
        <v>2.3527</v>
      </c>
      <c r="AQ95" s="6">
        <v>0.53990000000000005</v>
      </c>
      <c r="AR95" s="6">
        <v>328</v>
      </c>
      <c r="AT95" s="17">
        <v>92</v>
      </c>
      <c r="AU95" s="6">
        <v>0.56040999999999996</v>
      </c>
      <c r="AV95" s="6">
        <v>2.3527</v>
      </c>
      <c r="AW95" s="6">
        <v>0.53990000000000005</v>
      </c>
      <c r="AX95" s="6">
        <v>328</v>
      </c>
    </row>
    <row r="96" spans="1:50" x14ac:dyDescent="0.25">
      <c r="A96" t="s">
        <v>7</v>
      </c>
      <c r="B96" s="11">
        <v>1</v>
      </c>
      <c r="C96" s="11">
        <v>2</v>
      </c>
      <c r="D96" s="11">
        <v>2</v>
      </c>
      <c r="E96" s="11">
        <v>4</v>
      </c>
      <c r="F96" s="12">
        <v>50.5</v>
      </c>
      <c r="G96">
        <v>45.954307761529805</v>
      </c>
      <c r="Q96" s="17">
        <v>94</v>
      </c>
      <c r="R96" s="6">
        <v>2.38402</v>
      </c>
      <c r="S96" s="19">
        <v>-1.0083</v>
      </c>
      <c r="T96" s="6">
        <v>2.2966000000000002</v>
      </c>
      <c r="U96" s="6">
        <v>328</v>
      </c>
      <c r="W96" s="17">
        <v>94</v>
      </c>
      <c r="X96" s="6">
        <v>4.5178799999999999</v>
      </c>
      <c r="Y96" s="19">
        <v>-1.0083</v>
      </c>
      <c r="Z96" s="6">
        <v>2.2966000000000002</v>
      </c>
      <c r="AA96" s="6">
        <v>328</v>
      </c>
      <c r="AN96" s="17">
        <v>93</v>
      </c>
      <c r="AO96" s="6">
        <v>1.0667199999999999</v>
      </c>
      <c r="AP96" s="6">
        <v>0.38929999999999998</v>
      </c>
      <c r="AQ96" s="6">
        <v>0.54220000000000002</v>
      </c>
      <c r="AR96" s="6">
        <v>328</v>
      </c>
      <c r="AT96" s="17">
        <v>93</v>
      </c>
      <c r="AU96" s="6">
        <v>0.56289</v>
      </c>
      <c r="AV96" s="6">
        <v>0.38929999999999998</v>
      </c>
      <c r="AW96" s="6">
        <v>0.54220000000000002</v>
      </c>
      <c r="AX96" s="6">
        <v>328</v>
      </c>
    </row>
    <row r="97" spans="1:50" x14ac:dyDescent="0.25">
      <c r="A97" t="s">
        <v>7</v>
      </c>
      <c r="B97" s="11">
        <v>2</v>
      </c>
      <c r="C97" s="11">
        <v>4</v>
      </c>
      <c r="D97" s="11">
        <v>5</v>
      </c>
      <c r="E97" s="11">
        <v>4</v>
      </c>
      <c r="F97" s="12">
        <v>49.8</v>
      </c>
      <c r="G97">
        <v>48.350433441010566</v>
      </c>
      <c r="Q97" s="17">
        <v>95</v>
      </c>
      <c r="R97" s="6">
        <v>2.3930600000000002</v>
      </c>
      <c r="S97" s="6">
        <v>4.3544999999999998</v>
      </c>
      <c r="T97" s="6">
        <v>2.3052999999999999</v>
      </c>
      <c r="U97" s="6">
        <v>328</v>
      </c>
      <c r="W97" s="17">
        <v>95</v>
      </c>
      <c r="X97" s="6">
        <v>4.5350099999999998</v>
      </c>
      <c r="Y97" s="6">
        <v>4.3544999999999998</v>
      </c>
      <c r="Z97" s="6">
        <v>2.3052999999999999</v>
      </c>
      <c r="AA97" s="6">
        <v>328</v>
      </c>
      <c r="AN97" s="17">
        <v>94</v>
      </c>
      <c r="AO97" s="6">
        <v>1.06812</v>
      </c>
      <c r="AP97" s="6">
        <v>2.1052</v>
      </c>
      <c r="AQ97" s="6">
        <v>0.54300000000000004</v>
      </c>
      <c r="AR97" s="6">
        <v>328</v>
      </c>
      <c r="AT97" s="17">
        <v>94</v>
      </c>
      <c r="AU97" s="6">
        <v>0.56362999999999996</v>
      </c>
      <c r="AV97" s="6">
        <v>2.1052</v>
      </c>
      <c r="AW97" s="6">
        <v>0.54300000000000004</v>
      </c>
      <c r="AX97" s="6">
        <v>328</v>
      </c>
    </row>
    <row r="98" spans="1:50" x14ac:dyDescent="0.25">
      <c r="A98" t="s">
        <v>7</v>
      </c>
      <c r="B98" s="11">
        <v>3</v>
      </c>
      <c r="C98" s="11">
        <v>1</v>
      </c>
      <c r="D98" s="11">
        <v>9</v>
      </c>
      <c r="E98" s="11">
        <v>4</v>
      </c>
      <c r="F98" s="12">
        <v>47.6</v>
      </c>
      <c r="G98">
        <v>50.427986792269586</v>
      </c>
      <c r="Q98" s="17">
        <v>96</v>
      </c>
      <c r="R98" s="6">
        <v>2.3725999999999998</v>
      </c>
      <c r="S98" s="19">
        <v>-3.6373000000000002</v>
      </c>
      <c r="T98" s="6">
        <v>2.2856000000000001</v>
      </c>
      <c r="U98" s="6">
        <v>328</v>
      </c>
      <c r="W98" s="17">
        <v>96</v>
      </c>
      <c r="X98" s="6">
        <v>4.4962400000000002</v>
      </c>
      <c r="Y98" s="19">
        <v>-3.6373000000000002</v>
      </c>
      <c r="Z98" s="6">
        <v>2.2856000000000001</v>
      </c>
      <c r="AA98" s="6">
        <v>328</v>
      </c>
      <c r="AN98" s="17">
        <v>95</v>
      </c>
      <c r="AO98" s="6">
        <v>1.07576</v>
      </c>
      <c r="AP98" s="6">
        <v>2.5019999999999998</v>
      </c>
      <c r="AQ98" s="6">
        <v>0.54679999999999995</v>
      </c>
      <c r="AR98" s="6">
        <v>328</v>
      </c>
      <c r="AT98" s="17">
        <v>95</v>
      </c>
      <c r="AU98" s="6">
        <v>0.56766000000000005</v>
      </c>
      <c r="AV98" s="6">
        <v>2.5019999999999998</v>
      </c>
      <c r="AW98" s="6">
        <v>0.54679999999999995</v>
      </c>
      <c r="AX98" s="6">
        <v>328</v>
      </c>
    </row>
    <row r="99" spans="1:50" x14ac:dyDescent="0.25">
      <c r="A99" s="31" t="s">
        <v>156</v>
      </c>
      <c r="B99" s="32">
        <v>1</v>
      </c>
      <c r="C99" s="32">
        <v>20</v>
      </c>
      <c r="D99" s="32">
        <v>1</v>
      </c>
      <c r="E99" s="32">
        <v>4</v>
      </c>
      <c r="F99" s="2">
        <v>54.1</v>
      </c>
      <c r="G99">
        <v>46.872975025312179</v>
      </c>
      <c r="Q99" s="17">
        <v>97</v>
      </c>
      <c r="R99" s="6">
        <v>2.3772600000000002</v>
      </c>
      <c r="S99" s="19">
        <v>-2.1932</v>
      </c>
      <c r="T99" s="6">
        <v>2.2900999999999998</v>
      </c>
      <c r="U99" s="6">
        <v>328</v>
      </c>
      <c r="W99" s="17">
        <v>97</v>
      </c>
      <c r="X99" s="6">
        <v>4.5050800000000004</v>
      </c>
      <c r="Y99" s="19">
        <v>-2.1932</v>
      </c>
      <c r="Z99" s="6">
        <v>2.2900999999999998</v>
      </c>
      <c r="AA99" s="6">
        <v>328</v>
      </c>
      <c r="AN99" s="17">
        <v>96</v>
      </c>
      <c r="AO99" s="6">
        <v>1.0630999999999999</v>
      </c>
      <c r="AP99" s="6">
        <v>1.0926</v>
      </c>
      <c r="AQ99" s="6">
        <v>0.54039999999999999</v>
      </c>
      <c r="AR99" s="6">
        <v>328</v>
      </c>
      <c r="AT99" s="17">
        <v>96</v>
      </c>
      <c r="AU99" s="6">
        <v>0.56098000000000003</v>
      </c>
      <c r="AV99" s="6">
        <v>1.0926</v>
      </c>
      <c r="AW99" s="6">
        <v>0.54039999999999999</v>
      </c>
      <c r="AX99" s="6">
        <v>328</v>
      </c>
    </row>
    <row r="100" spans="1:50" x14ac:dyDescent="0.25">
      <c r="A100" s="31" t="s">
        <v>156</v>
      </c>
      <c r="B100" s="32">
        <v>2</v>
      </c>
      <c r="C100" s="32">
        <v>18</v>
      </c>
      <c r="D100" s="32">
        <v>4</v>
      </c>
      <c r="E100" s="32">
        <v>4</v>
      </c>
      <c r="F100" s="2">
        <v>53.5</v>
      </c>
      <c r="G100">
        <v>39.410816953616539</v>
      </c>
      <c r="Q100" s="17">
        <v>98</v>
      </c>
      <c r="R100" s="6">
        <v>2.3854099999999998</v>
      </c>
      <c r="S100" s="6">
        <v>0.11</v>
      </c>
      <c r="T100" s="6">
        <v>2.2978999999999998</v>
      </c>
      <c r="U100" s="6">
        <v>328</v>
      </c>
      <c r="W100" s="17">
        <v>98</v>
      </c>
      <c r="X100" s="6">
        <v>4.5205200000000003</v>
      </c>
      <c r="Y100" s="6">
        <v>0.11</v>
      </c>
      <c r="Z100" s="6">
        <v>2.2978999999999998</v>
      </c>
      <c r="AA100" s="6">
        <v>328</v>
      </c>
      <c r="AN100" s="17">
        <v>97</v>
      </c>
      <c r="AO100" s="6">
        <v>1.06403</v>
      </c>
      <c r="AP100" s="6">
        <v>1.4382999999999999</v>
      </c>
      <c r="AQ100" s="6">
        <v>0.54090000000000005</v>
      </c>
      <c r="AR100" s="6">
        <v>328</v>
      </c>
      <c r="AT100" s="17">
        <v>97</v>
      </c>
      <c r="AU100" s="6">
        <v>0.56147000000000002</v>
      </c>
      <c r="AV100" s="6">
        <v>1.4382999999999999</v>
      </c>
      <c r="AW100" s="6">
        <v>0.54090000000000005</v>
      </c>
      <c r="AX100" s="6">
        <v>328</v>
      </c>
    </row>
    <row r="101" spans="1:50" x14ac:dyDescent="0.25">
      <c r="A101" s="31" t="s">
        <v>156</v>
      </c>
      <c r="B101" s="32">
        <v>3</v>
      </c>
      <c r="C101" s="32">
        <v>14</v>
      </c>
      <c r="D101" s="32">
        <v>6</v>
      </c>
      <c r="E101" s="32">
        <v>4</v>
      </c>
      <c r="F101" s="2">
        <v>52.7</v>
      </c>
      <c r="G101">
        <v>42.360937058229531</v>
      </c>
      <c r="Q101" s="17">
        <v>99</v>
      </c>
      <c r="R101" s="6">
        <v>2.38788</v>
      </c>
      <c r="S101" s="6">
        <v>2.1368999999999998</v>
      </c>
      <c r="T101" s="6">
        <v>2.3003</v>
      </c>
      <c r="U101" s="6">
        <v>328</v>
      </c>
      <c r="W101" s="17">
        <v>99</v>
      </c>
      <c r="X101" s="6">
        <v>4.5251900000000003</v>
      </c>
      <c r="Y101" s="6">
        <v>2.1368999999999998</v>
      </c>
      <c r="Z101" s="6">
        <v>2.3003</v>
      </c>
      <c r="AA101" s="6">
        <v>328</v>
      </c>
      <c r="AN101" s="17">
        <v>98</v>
      </c>
      <c r="AO101" s="6">
        <v>1.0648</v>
      </c>
      <c r="AP101" s="6">
        <v>0.36720000000000003</v>
      </c>
      <c r="AQ101" s="6">
        <v>0.5413</v>
      </c>
      <c r="AR101" s="6">
        <v>328</v>
      </c>
      <c r="AT101" s="17">
        <v>98</v>
      </c>
      <c r="AU101" s="6">
        <v>0.56188000000000005</v>
      </c>
      <c r="AV101" s="6">
        <v>0.36720000000000003</v>
      </c>
      <c r="AW101" s="6">
        <v>0.5413</v>
      </c>
      <c r="AX101" s="6">
        <v>328</v>
      </c>
    </row>
    <row r="102" spans="1:50" x14ac:dyDescent="0.25">
      <c r="A102" s="31" t="s">
        <v>10</v>
      </c>
      <c r="B102" s="32">
        <v>1</v>
      </c>
      <c r="C102" s="32">
        <v>3</v>
      </c>
      <c r="D102" s="32">
        <v>2</v>
      </c>
      <c r="E102" s="32">
        <v>4</v>
      </c>
      <c r="F102" s="2">
        <v>56.8</v>
      </c>
      <c r="G102">
        <v>62.849198324425821</v>
      </c>
      <c r="Q102" s="17">
        <v>100</v>
      </c>
      <c r="R102" s="6">
        <v>2.3900100000000002</v>
      </c>
      <c r="S102" s="19">
        <v>-1.8635999999999999</v>
      </c>
      <c r="T102" s="6">
        <v>2.3022999999999998</v>
      </c>
      <c r="U102" s="6">
        <v>328</v>
      </c>
      <c r="W102" s="17">
        <v>100</v>
      </c>
      <c r="X102" s="6">
        <v>4.5292300000000001</v>
      </c>
      <c r="Y102" s="19">
        <v>-1.8635999999999999</v>
      </c>
      <c r="Z102" s="6">
        <v>2.3022999999999998</v>
      </c>
      <c r="AA102" s="6">
        <v>328</v>
      </c>
      <c r="AN102" s="17">
        <v>99</v>
      </c>
      <c r="AO102" s="6">
        <v>1.0680499999999999</v>
      </c>
      <c r="AP102" s="6">
        <v>0.67900000000000005</v>
      </c>
      <c r="AQ102" s="6">
        <v>0.54290000000000005</v>
      </c>
      <c r="AR102" s="6">
        <v>328</v>
      </c>
      <c r="AT102" s="17">
        <v>99</v>
      </c>
      <c r="AU102" s="6">
        <v>0.56359000000000004</v>
      </c>
      <c r="AV102" s="6">
        <v>0.67900000000000005</v>
      </c>
      <c r="AW102" s="6">
        <v>0.54290000000000005</v>
      </c>
      <c r="AX102" s="6">
        <v>328</v>
      </c>
    </row>
    <row r="103" spans="1:50" x14ac:dyDescent="0.25">
      <c r="A103" s="31" t="s">
        <v>10</v>
      </c>
      <c r="B103" s="32">
        <v>2</v>
      </c>
      <c r="C103" s="32">
        <v>7</v>
      </c>
      <c r="D103" s="32">
        <v>8</v>
      </c>
      <c r="E103" s="32">
        <v>4</v>
      </c>
      <c r="F103" s="2">
        <v>53</v>
      </c>
      <c r="G103">
        <v>36.382320034902321</v>
      </c>
      <c r="Q103" s="17">
        <v>101</v>
      </c>
      <c r="R103" s="6">
        <v>2.3868</v>
      </c>
      <c r="S103" s="6">
        <v>0.35599999999999998</v>
      </c>
      <c r="T103" s="6">
        <v>2.2993000000000001</v>
      </c>
      <c r="U103" s="6">
        <v>328</v>
      </c>
      <c r="W103" s="17">
        <v>101</v>
      </c>
      <c r="X103" s="6">
        <v>4.5231599999999998</v>
      </c>
      <c r="Y103" s="6">
        <v>0.35599999999999998</v>
      </c>
      <c r="Z103" s="6">
        <v>2.2993000000000001</v>
      </c>
      <c r="AA103" s="6">
        <v>328</v>
      </c>
      <c r="AN103" s="17">
        <v>100</v>
      </c>
      <c r="AO103" s="6">
        <v>1.08239</v>
      </c>
      <c r="AP103" s="6">
        <v>1.7334000000000001</v>
      </c>
      <c r="AQ103" s="6">
        <v>0.55020000000000002</v>
      </c>
      <c r="AR103" s="6">
        <v>328</v>
      </c>
      <c r="AT103" s="17">
        <v>100</v>
      </c>
      <c r="AU103" s="6">
        <v>0.57116</v>
      </c>
      <c r="AV103" s="6">
        <v>1.7334000000000001</v>
      </c>
      <c r="AW103" s="6">
        <v>0.55020000000000002</v>
      </c>
      <c r="AX103" s="6">
        <v>328</v>
      </c>
    </row>
    <row r="104" spans="1:50" x14ac:dyDescent="0.25">
      <c r="A104" s="31" t="s">
        <v>10</v>
      </c>
      <c r="B104" s="32">
        <v>3</v>
      </c>
      <c r="C104" s="32">
        <v>13</v>
      </c>
      <c r="D104" s="32">
        <v>10</v>
      </c>
      <c r="E104" s="32">
        <v>4</v>
      </c>
      <c r="F104" s="2">
        <v>54.7</v>
      </c>
      <c r="G104">
        <v>54.805398174225495</v>
      </c>
      <c r="Q104" s="17">
        <v>102</v>
      </c>
      <c r="R104" s="6">
        <v>2.3952900000000001</v>
      </c>
      <c r="S104" s="19">
        <v>-8.2766999999999999</v>
      </c>
      <c r="T104" s="6">
        <v>2.3073999999999999</v>
      </c>
      <c r="U104" s="6">
        <v>328</v>
      </c>
      <c r="W104" s="17">
        <v>102</v>
      </c>
      <c r="X104" s="6">
        <v>4.5392400000000004</v>
      </c>
      <c r="Y104" s="19">
        <v>-8.2766999999999999</v>
      </c>
      <c r="Z104" s="6">
        <v>2.3073999999999999</v>
      </c>
      <c r="AA104" s="6">
        <v>328</v>
      </c>
      <c r="AN104" s="17">
        <v>101</v>
      </c>
      <c r="AO104" s="6">
        <v>1.0697000000000001</v>
      </c>
      <c r="AP104" s="6">
        <v>1.6429</v>
      </c>
      <c r="AQ104" s="6">
        <v>0.54379999999999995</v>
      </c>
      <c r="AR104" s="6">
        <v>328</v>
      </c>
      <c r="AT104" s="17">
        <v>101</v>
      </c>
      <c r="AU104" s="6">
        <v>0.56445999999999996</v>
      </c>
      <c r="AV104" s="6">
        <v>1.6429</v>
      </c>
      <c r="AW104" s="6">
        <v>0.54379999999999995</v>
      </c>
      <c r="AX104" s="6">
        <v>328</v>
      </c>
    </row>
    <row r="105" spans="1:50" x14ac:dyDescent="0.25">
      <c r="A105" s="31" t="s">
        <v>11</v>
      </c>
      <c r="B105" s="32">
        <v>1</v>
      </c>
      <c r="C105" s="32">
        <v>5</v>
      </c>
      <c r="D105" s="32">
        <v>1</v>
      </c>
      <c r="E105" s="11">
        <v>4</v>
      </c>
      <c r="F105" s="2">
        <v>59.4</v>
      </c>
      <c r="G105">
        <v>36.883095825570258</v>
      </c>
      <c r="Q105" s="17">
        <v>103</v>
      </c>
      <c r="R105" s="6">
        <v>2.40062</v>
      </c>
      <c r="S105" s="19">
        <v>-1.355</v>
      </c>
      <c r="T105" s="6">
        <v>2.3126000000000002</v>
      </c>
      <c r="U105" s="6">
        <v>328</v>
      </c>
      <c r="W105" s="17">
        <v>103</v>
      </c>
      <c r="X105" s="6">
        <v>4.5493399999999999</v>
      </c>
      <c r="Y105" s="19">
        <v>-1.355</v>
      </c>
      <c r="Z105" s="6">
        <v>2.3126000000000002</v>
      </c>
      <c r="AA105" s="6">
        <v>328</v>
      </c>
      <c r="AN105" s="17">
        <v>102</v>
      </c>
      <c r="AO105" s="6">
        <v>1.0737699999999999</v>
      </c>
      <c r="AP105" s="6">
        <v>1.3496999999999999</v>
      </c>
      <c r="AQ105" s="6">
        <v>0.54579999999999995</v>
      </c>
      <c r="AR105" s="6">
        <v>328</v>
      </c>
      <c r="AT105" s="17">
        <v>102</v>
      </c>
      <c r="AU105" s="6">
        <v>0.56660999999999995</v>
      </c>
      <c r="AV105" s="6">
        <v>1.3496999999999999</v>
      </c>
      <c r="AW105" s="6">
        <v>0.54579999999999995</v>
      </c>
      <c r="AX105" s="6">
        <v>328</v>
      </c>
    </row>
    <row r="106" spans="1:50" x14ac:dyDescent="0.25">
      <c r="A106" s="31" t="s">
        <v>11</v>
      </c>
      <c r="B106" s="32">
        <v>2</v>
      </c>
      <c r="C106" s="32">
        <v>2</v>
      </c>
      <c r="D106" s="32">
        <v>6</v>
      </c>
      <c r="E106" s="11">
        <v>4</v>
      </c>
      <c r="F106" s="2">
        <v>58.9</v>
      </c>
      <c r="G106">
        <v>45.214222946671853</v>
      </c>
      <c r="Q106" s="17">
        <v>104</v>
      </c>
      <c r="R106" s="6">
        <v>2.3855599999999999</v>
      </c>
      <c r="S106" s="6">
        <v>1.3455999999999999</v>
      </c>
      <c r="T106" s="6">
        <v>2.2980999999999998</v>
      </c>
      <c r="U106" s="6">
        <v>328</v>
      </c>
      <c r="W106" s="17">
        <v>104</v>
      </c>
      <c r="X106" s="6">
        <v>4.5208000000000004</v>
      </c>
      <c r="Y106" s="6">
        <v>1.3455999999999999</v>
      </c>
      <c r="Z106" s="6">
        <v>2.2980999999999998</v>
      </c>
      <c r="AA106" s="6">
        <v>328</v>
      </c>
      <c r="AN106" s="17">
        <v>103</v>
      </c>
      <c r="AO106" s="6">
        <v>1.0663100000000001</v>
      </c>
      <c r="AP106" s="6">
        <v>1.3230999999999999</v>
      </c>
      <c r="AQ106" s="6">
        <v>0.54200000000000004</v>
      </c>
      <c r="AR106" s="6">
        <v>328</v>
      </c>
      <c r="AT106" s="17">
        <v>103</v>
      </c>
      <c r="AU106" s="6">
        <v>0.56267999999999996</v>
      </c>
      <c r="AV106" s="6">
        <v>1.3230999999999999</v>
      </c>
      <c r="AW106" s="6">
        <v>0.54200000000000004</v>
      </c>
      <c r="AX106" s="6">
        <v>328</v>
      </c>
    </row>
    <row r="107" spans="1:50" x14ac:dyDescent="0.25">
      <c r="A107" s="31" t="s">
        <v>11</v>
      </c>
      <c r="B107" s="32">
        <v>3</v>
      </c>
      <c r="C107" s="32">
        <v>1</v>
      </c>
      <c r="D107" s="32">
        <v>7</v>
      </c>
      <c r="E107" s="11">
        <v>4</v>
      </c>
      <c r="F107" s="2">
        <v>57.3</v>
      </c>
      <c r="G107">
        <v>39.808871880199661</v>
      </c>
      <c r="Q107" s="17">
        <v>105</v>
      </c>
      <c r="R107" s="6">
        <v>2.3818700000000002</v>
      </c>
      <c r="S107" s="6">
        <v>0.35049999999999998</v>
      </c>
      <c r="T107" s="6">
        <v>2.2945000000000002</v>
      </c>
      <c r="U107" s="6">
        <v>328</v>
      </c>
      <c r="W107" s="17">
        <v>105</v>
      </c>
      <c r="X107" s="6">
        <v>4.5137999999999998</v>
      </c>
      <c r="Y107" s="6">
        <v>0.35049999999999998</v>
      </c>
      <c r="Z107" s="6">
        <v>2.2945000000000002</v>
      </c>
      <c r="AA107" s="6">
        <v>328</v>
      </c>
      <c r="AN107" s="17">
        <v>104</v>
      </c>
      <c r="AO107" s="6">
        <v>1.0661700000000001</v>
      </c>
      <c r="AP107" s="6">
        <v>2.7025999999999999</v>
      </c>
      <c r="AQ107" s="6">
        <v>0.54200000000000004</v>
      </c>
      <c r="AR107" s="6">
        <v>328</v>
      </c>
      <c r="AT107" s="17">
        <v>104</v>
      </c>
      <c r="AU107" s="6">
        <v>0.56259999999999999</v>
      </c>
      <c r="AV107" s="6">
        <v>2.7025999999999999</v>
      </c>
      <c r="AW107" s="6">
        <v>0.54200000000000004</v>
      </c>
      <c r="AX107" s="6">
        <v>328</v>
      </c>
    </row>
    <row r="108" spans="1:50" x14ac:dyDescent="0.25">
      <c r="A108" t="s">
        <v>160</v>
      </c>
      <c r="B108">
        <v>1</v>
      </c>
      <c r="C108" s="36">
        <v>16</v>
      </c>
      <c r="D108" s="36">
        <v>1</v>
      </c>
      <c r="E108" s="32">
        <v>4</v>
      </c>
      <c r="F108" s="13">
        <v>60.1</v>
      </c>
      <c r="G108">
        <v>85.214595524956962</v>
      </c>
      <c r="Q108" s="17">
        <v>106</v>
      </c>
      <c r="R108" s="6">
        <v>2.3784700000000001</v>
      </c>
      <c r="S108" s="6">
        <v>3.4194</v>
      </c>
      <c r="T108" s="6">
        <v>2.2911999999999999</v>
      </c>
      <c r="U108" s="6">
        <v>328</v>
      </c>
      <c r="W108" s="17">
        <v>106</v>
      </c>
      <c r="X108" s="6">
        <v>4.5073699999999999</v>
      </c>
      <c r="Y108" s="6">
        <v>3.4194</v>
      </c>
      <c r="Z108" s="6">
        <v>2.2911999999999999</v>
      </c>
      <c r="AA108" s="6">
        <v>328</v>
      </c>
      <c r="AN108" s="17">
        <v>105</v>
      </c>
      <c r="AO108" s="6">
        <v>1.0667800000000001</v>
      </c>
      <c r="AP108" s="6">
        <v>1.2269000000000001</v>
      </c>
      <c r="AQ108" s="6">
        <v>0.5423</v>
      </c>
      <c r="AR108" s="6">
        <v>328</v>
      </c>
      <c r="AT108" s="17">
        <v>105</v>
      </c>
      <c r="AU108" s="6">
        <v>0.56291999999999998</v>
      </c>
      <c r="AV108" s="6">
        <v>1.2269000000000001</v>
      </c>
      <c r="AW108" s="6">
        <v>0.5423</v>
      </c>
      <c r="AX108" s="6">
        <v>328</v>
      </c>
    </row>
    <row r="109" spans="1:50" x14ac:dyDescent="0.25">
      <c r="A109" t="s">
        <v>160</v>
      </c>
      <c r="B109">
        <v>2</v>
      </c>
      <c r="C109" s="36">
        <v>2</v>
      </c>
      <c r="D109" s="36">
        <v>4</v>
      </c>
      <c r="E109" s="32">
        <v>4</v>
      </c>
      <c r="F109" s="13">
        <v>58.3</v>
      </c>
      <c r="G109">
        <v>77.0748916711498</v>
      </c>
      <c r="Q109" s="17">
        <v>107</v>
      </c>
      <c r="R109" s="6">
        <v>2.39107</v>
      </c>
      <c r="S109" s="6">
        <v>3.5373000000000001</v>
      </c>
      <c r="T109" s="6">
        <v>2.3033999999999999</v>
      </c>
      <c r="U109" s="6">
        <v>328</v>
      </c>
      <c r="W109" s="17">
        <v>107</v>
      </c>
      <c r="X109" s="6">
        <v>4.5312400000000004</v>
      </c>
      <c r="Y109" s="6">
        <v>3.5373000000000001</v>
      </c>
      <c r="Z109" s="6">
        <v>2.3033999999999999</v>
      </c>
      <c r="AA109" s="6">
        <v>328</v>
      </c>
      <c r="AN109" s="17">
        <v>106</v>
      </c>
      <c r="AO109" s="6">
        <v>1.0633999999999999</v>
      </c>
      <c r="AP109" s="6">
        <v>1.2337</v>
      </c>
      <c r="AQ109" s="6">
        <v>0.54059999999999997</v>
      </c>
      <c r="AR109" s="6">
        <v>328</v>
      </c>
      <c r="AT109" s="17">
        <v>106</v>
      </c>
      <c r="AU109" s="6">
        <v>0.56113999999999997</v>
      </c>
      <c r="AV109" s="6">
        <v>1.2337</v>
      </c>
      <c r="AW109" s="6">
        <v>0.54059999999999997</v>
      </c>
      <c r="AX109" s="6">
        <v>328</v>
      </c>
    </row>
    <row r="110" spans="1:50" x14ac:dyDescent="0.25">
      <c r="A110" t="s">
        <v>160</v>
      </c>
      <c r="B110">
        <v>3</v>
      </c>
      <c r="C110" s="36">
        <v>26</v>
      </c>
      <c r="D110" s="36">
        <v>5</v>
      </c>
      <c r="E110" s="32">
        <v>4</v>
      </c>
      <c r="F110" s="13">
        <v>58.7</v>
      </c>
      <c r="G110">
        <v>71.225037237643889</v>
      </c>
      <c r="Q110" s="17">
        <v>108</v>
      </c>
      <c r="R110" s="6">
        <v>2.4001700000000001</v>
      </c>
      <c r="S110" s="19">
        <v>-5.0865</v>
      </c>
      <c r="T110" s="6">
        <v>2.3121</v>
      </c>
      <c r="U110" s="6">
        <v>328</v>
      </c>
      <c r="W110" s="17">
        <v>108</v>
      </c>
      <c r="X110" s="6">
        <v>4.5484999999999998</v>
      </c>
      <c r="Y110" s="19">
        <v>-5.0865</v>
      </c>
      <c r="Z110" s="6">
        <v>2.3121</v>
      </c>
      <c r="AA110" s="6">
        <v>328</v>
      </c>
      <c r="AN110" s="17">
        <v>107</v>
      </c>
      <c r="AO110" s="6">
        <v>1.0686100000000001</v>
      </c>
      <c r="AP110" s="6">
        <v>1.8003</v>
      </c>
      <c r="AQ110" s="6">
        <v>0.54320000000000002</v>
      </c>
      <c r="AR110" s="6">
        <v>328</v>
      </c>
      <c r="AT110" s="17">
        <v>107</v>
      </c>
      <c r="AU110" s="6">
        <v>0.56389</v>
      </c>
      <c r="AV110" s="6">
        <v>1.8003</v>
      </c>
      <c r="AW110" s="6">
        <v>0.54320000000000002</v>
      </c>
      <c r="AX110" s="6">
        <v>328</v>
      </c>
    </row>
    <row r="111" spans="1:50" x14ac:dyDescent="0.25">
      <c r="A111" s="31" t="s">
        <v>116</v>
      </c>
      <c r="B111" s="32">
        <v>1</v>
      </c>
      <c r="C111" s="32">
        <v>7</v>
      </c>
      <c r="D111" s="32">
        <v>3</v>
      </c>
      <c r="E111" s="32">
        <v>5</v>
      </c>
      <c r="F111" s="12">
        <v>56.4</v>
      </c>
      <c r="G111">
        <v>54.414973656174332</v>
      </c>
      <c r="Q111" s="17">
        <v>109</v>
      </c>
      <c r="R111" s="6">
        <v>2.37601</v>
      </c>
      <c r="S111" s="19">
        <v>-1.4208000000000001</v>
      </c>
      <c r="T111" s="6">
        <v>2.2888999999999999</v>
      </c>
      <c r="U111" s="6">
        <v>328</v>
      </c>
      <c r="W111" s="17">
        <v>109</v>
      </c>
      <c r="X111" s="6">
        <v>4.5027100000000004</v>
      </c>
      <c r="Y111" s="19">
        <v>-1.4208000000000001</v>
      </c>
      <c r="Z111" s="6">
        <v>2.2888999999999999</v>
      </c>
      <c r="AA111" s="6">
        <v>328</v>
      </c>
      <c r="AN111" s="17">
        <v>108</v>
      </c>
      <c r="AO111" s="6">
        <v>1.0736600000000001</v>
      </c>
      <c r="AP111" s="19">
        <v>-0.58919999999999995</v>
      </c>
      <c r="AQ111" s="6">
        <v>0.54579999999999995</v>
      </c>
      <c r="AR111" s="6">
        <v>328</v>
      </c>
      <c r="AT111" s="17">
        <v>108</v>
      </c>
      <c r="AU111" s="6">
        <v>0.56655</v>
      </c>
      <c r="AV111" s="19">
        <v>-0.58919999999999995</v>
      </c>
      <c r="AW111" s="6">
        <v>0.54579999999999995</v>
      </c>
      <c r="AX111" s="6">
        <v>328</v>
      </c>
    </row>
    <row r="112" spans="1:50" x14ac:dyDescent="0.25">
      <c r="A112" s="31" t="s">
        <v>116</v>
      </c>
      <c r="B112" s="32">
        <v>2</v>
      </c>
      <c r="C112" s="32">
        <v>2</v>
      </c>
      <c r="D112" s="32">
        <v>6</v>
      </c>
      <c r="E112" s="32">
        <v>5</v>
      </c>
      <c r="F112" s="12">
        <v>56.3</v>
      </c>
      <c r="G112">
        <v>54.993648076742211</v>
      </c>
      <c r="Q112" s="17">
        <v>110</v>
      </c>
      <c r="R112" s="6">
        <v>2.38253</v>
      </c>
      <c r="S112" s="6">
        <v>0.27539999999999998</v>
      </c>
      <c r="T112" s="6">
        <v>2.2951000000000001</v>
      </c>
      <c r="U112" s="6">
        <v>328</v>
      </c>
      <c r="W112" s="17">
        <v>110</v>
      </c>
      <c r="X112" s="6">
        <v>4.5150499999999996</v>
      </c>
      <c r="Y112" s="6">
        <v>0.27539999999999998</v>
      </c>
      <c r="Z112" s="6">
        <v>2.2951000000000001</v>
      </c>
      <c r="AA112" s="6">
        <v>328</v>
      </c>
      <c r="AN112" s="17">
        <v>109</v>
      </c>
      <c r="AO112" s="6">
        <v>1.05898</v>
      </c>
      <c r="AP112" s="6">
        <v>1.4819</v>
      </c>
      <c r="AQ112" s="6">
        <v>0.5383</v>
      </c>
      <c r="AR112" s="6">
        <v>328</v>
      </c>
      <c r="AT112" s="17">
        <v>109</v>
      </c>
      <c r="AU112" s="6">
        <v>0.55881000000000003</v>
      </c>
      <c r="AV112" s="6">
        <v>1.4819</v>
      </c>
      <c r="AW112" s="6">
        <v>0.5383</v>
      </c>
      <c r="AX112" s="6">
        <v>328</v>
      </c>
    </row>
    <row r="113" spans="1:50" x14ac:dyDescent="0.25">
      <c r="A113" s="31" t="s">
        <v>116</v>
      </c>
      <c r="B113" s="32">
        <v>3</v>
      </c>
      <c r="C113" s="32">
        <v>10</v>
      </c>
      <c r="D113" s="32">
        <v>12</v>
      </c>
      <c r="E113" s="32">
        <v>5</v>
      </c>
      <c r="F113" s="2">
        <v>55.3</v>
      </c>
      <c r="G113">
        <v>64.437887070217911</v>
      </c>
      <c r="Q113" s="17">
        <v>111</v>
      </c>
      <c r="R113" s="6">
        <v>2.3906399999999999</v>
      </c>
      <c r="S113" s="19">
        <v>-1.1185</v>
      </c>
      <c r="T113" s="6">
        <v>2.3029999999999999</v>
      </c>
      <c r="U113" s="6">
        <v>328</v>
      </c>
      <c r="W113" s="17">
        <v>111</v>
      </c>
      <c r="X113" s="6">
        <v>4.53043</v>
      </c>
      <c r="Y113" s="19">
        <v>-1.1185</v>
      </c>
      <c r="Z113" s="6">
        <v>2.3029999999999999</v>
      </c>
      <c r="AA113" s="6">
        <v>328</v>
      </c>
      <c r="AN113" s="17">
        <v>110</v>
      </c>
      <c r="AO113" s="6">
        <v>1.0700799999999999</v>
      </c>
      <c r="AP113" s="6">
        <v>1.6953</v>
      </c>
      <c r="AQ113" s="6">
        <v>0.54400000000000004</v>
      </c>
      <c r="AR113" s="6">
        <v>328</v>
      </c>
      <c r="AT113" s="17">
        <v>110</v>
      </c>
      <c r="AU113" s="6">
        <v>0.56467000000000001</v>
      </c>
      <c r="AV113" s="6">
        <v>1.6953</v>
      </c>
      <c r="AW113" s="6">
        <v>0.54400000000000004</v>
      </c>
      <c r="AX113" s="6">
        <v>328</v>
      </c>
    </row>
    <row r="114" spans="1:50" x14ac:dyDescent="0.25">
      <c r="A114" s="34" t="s">
        <v>97</v>
      </c>
      <c r="B114" s="35">
        <v>1</v>
      </c>
      <c r="C114" s="35">
        <v>12</v>
      </c>
      <c r="D114" s="35">
        <v>2</v>
      </c>
      <c r="E114" s="35">
        <v>5</v>
      </c>
      <c r="F114" s="2">
        <v>59.5</v>
      </c>
      <c r="G114">
        <v>83.243226924743595</v>
      </c>
      <c r="Q114" s="17">
        <v>112</v>
      </c>
      <c r="R114" s="6">
        <v>2.39621</v>
      </c>
      <c r="S114" s="19">
        <v>-5.178E-2</v>
      </c>
      <c r="T114" s="6">
        <v>2.3083</v>
      </c>
      <c r="U114" s="6">
        <v>328</v>
      </c>
      <c r="W114" s="17">
        <v>112</v>
      </c>
      <c r="X114" s="6">
        <v>4.5409800000000002</v>
      </c>
      <c r="Y114" s="19">
        <v>-5.178E-2</v>
      </c>
      <c r="Z114" s="6">
        <v>2.3083</v>
      </c>
      <c r="AA114" s="6">
        <v>328</v>
      </c>
      <c r="AN114" s="17">
        <v>111</v>
      </c>
      <c r="AO114" s="6">
        <v>1.07507</v>
      </c>
      <c r="AP114" s="6">
        <v>1.4060999999999999</v>
      </c>
      <c r="AQ114" s="6">
        <v>0.54649999999999999</v>
      </c>
      <c r="AR114" s="6">
        <v>328</v>
      </c>
      <c r="AT114" s="17">
        <v>111</v>
      </c>
      <c r="AU114" s="6">
        <v>0.56730000000000003</v>
      </c>
      <c r="AV114" s="6">
        <v>1.4060999999999999</v>
      </c>
      <c r="AW114" s="6">
        <v>0.54649999999999999</v>
      </c>
      <c r="AX114" s="6">
        <v>328</v>
      </c>
    </row>
    <row r="115" spans="1:50" x14ac:dyDescent="0.25">
      <c r="A115" s="34" t="s">
        <v>97</v>
      </c>
      <c r="B115" s="35">
        <v>2</v>
      </c>
      <c r="C115" s="35">
        <v>5</v>
      </c>
      <c r="D115" s="35">
        <v>3</v>
      </c>
      <c r="E115" s="35">
        <v>5</v>
      </c>
      <c r="F115" s="2">
        <v>60.7</v>
      </c>
      <c r="G115">
        <v>84.341232076473702</v>
      </c>
      <c r="Q115" s="17">
        <v>113</v>
      </c>
      <c r="R115" s="6">
        <v>2.3871600000000002</v>
      </c>
      <c r="S115" s="19">
        <v>-1.6204000000000001</v>
      </c>
      <c r="T115" s="6">
        <v>2.2995999999999999</v>
      </c>
      <c r="U115" s="6">
        <v>328</v>
      </c>
      <c r="W115" s="17">
        <v>113</v>
      </c>
      <c r="X115" s="6">
        <v>4.5238199999999997</v>
      </c>
      <c r="Y115" s="19">
        <v>-1.6204000000000001</v>
      </c>
      <c r="Z115" s="6">
        <v>2.2995999999999999</v>
      </c>
      <c r="AA115" s="6">
        <v>328</v>
      </c>
      <c r="AN115" s="17">
        <v>112</v>
      </c>
      <c r="AO115" s="6">
        <v>1.07301</v>
      </c>
      <c r="AP115" s="6">
        <v>0.3256</v>
      </c>
      <c r="AQ115" s="6">
        <v>0.5454</v>
      </c>
      <c r="AR115" s="6">
        <v>328</v>
      </c>
      <c r="AT115" s="17">
        <v>112</v>
      </c>
      <c r="AU115" s="6">
        <v>0.56620999999999999</v>
      </c>
      <c r="AV115" s="6">
        <v>0.3256</v>
      </c>
      <c r="AW115" s="6">
        <v>0.5454</v>
      </c>
      <c r="AX115" s="6">
        <v>328</v>
      </c>
    </row>
    <row r="116" spans="1:50" x14ac:dyDescent="0.25">
      <c r="A116" s="34" t="s">
        <v>97</v>
      </c>
      <c r="B116" s="35">
        <v>3</v>
      </c>
      <c r="C116" s="35">
        <v>7</v>
      </c>
      <c r="D116" s="35">
        <v>5</v>
      </c>
      <c r="E116" s="35">
        <v>5</v>
      </c>
      <c r="F116" s="2">
        <v>58</v>
      </c>
      <c r="G116">
        <v>85.566850360322164</v>
      </c>
      <c r="Q116" s="17">
        <v>114</v>
      </c>
      <c r="R116" s="6">
        <v>2.3883700000000001</v>
      </c>
      <c r="S116" s="19">
        <v>-1.1173</v>
      </c>
      <c r="T116" s="6">
        <v>2.3008000000000002</v>
      </c>
      <c r="U116" s="6">
        <v>328</v>
      </c>
      <c r="W116" s="17">
        <v>114</v>
      </c>
      <c r="X116" s="6">
        <v>4.5261199999999997</v>
      </c>
      <c r="Y116" s="19">
        <v>-1.1173</v>
      </c>
      <c r="Z116" s="6">
        <v>2.3008000000000002</v>
      </c>
      <c r="AA116" s="6">
        <v>328</v>
      </c>
      <c r="AN116" s="17">
        <v>113</v>
      </c>
      <c r="AO116" s="6">
        <v>1.0666199999999999</v>
      </c>
      <c r="AP116" s="6">
        <v>0.66510000000000002</v>
      </c>
      <c r="AQ116" s="6">
        <v>0.54220000000000002</v>
      </c>
      <c r="AR116" s="6">
        <v>328</v>
      </c>
      <c r="AT116" s="17">
        <v>113</v>
      </c>
      <c r="AU116" s="6">
        <v>0.56284000000000001</v>
      </c>
      <c r="AV116" s="6">
        <v>0.66510000000000002</v>
      </c>
      <c r="AW116" s="6">
        <v>0.54220000000000002</v>
      </c>
      <c r="AX116" s="6">
        <v>328</v>
      </c>
    </row>
    <row r="117" spans="1:50" x14ac:dyDescent="0.25">
      <c r="A117" s="31" t="s">
        <v>132</v>
      </c>
      <c r="B117" s="32">
        <v>1</v>
      </c>
      <c r="C117" s="32">
        <v>14</v>
      </c>
      <c r="D117" s="32">
        <v>1</v>
      </c>
      <c r="E117" s="32">
        <v>5</v>
      </c>
      <c r="F117" s="2">
        <v>60.5</v>
      </c>
      <c r="G117">
        <v>61.341910226122167</v>
      </c>
      <c r="Q117" s="17">
        <v>115</v>
      </c>
      <c r="R117" s="6">
        <v>2.39655</v>
      </c>
      <c r="S117" s="6">
        <v>6.1798000000000002</v>
      </c>
      <c r="T117" s="6">
        <v>2.3086000000000002</v>
      </c>
      <c r="U117" s="6">
        <v>328</v>
      </c>
      <c r="W117" s="17">
        <v>115</v>
      </c>
      <c r="X117" s="6">
        <v>4.5416299999999996</v>
      </c>
      <c r="Y117" s="6">
        <v>6.1798000000000002</v>
      </c>
      <c r="Z117" s="6">
        <v>2.3086000000000002</v>
      </c>
      <c r="AA117" s="6">
        <v>328</v>
      </c>
      <c r="AN117" s="17">
        <v>114</v>
      </c>
      <c r="AO117" s="6">
        <v>1.0685500000000001</v>
      </c>
      <c r="AP117" s="6">
        <v>0.13830000000000001</v>
      </c>
      <c r="AQ117" s="6">
        <v>0.54320000000000002</v>
      </c>
      <c r="AR117" s="6">
        <v>328</v>
      </c>
      <c r="AT117" s="17">
        <v>114</v>
      </c>
      <c r="AU117" s="6">
        <v>0.56386000000000003</v>
      </c>
      <c r="AV117" s="6">
        <v>0.13830000000000001</v>
      </c>
      <c r="AW117" s="6">
        <v>0.54320000000000002</v>
      </c>
      <c r="AX117" s="6">
        <v>328</v>
      </c>
    </row>
    <row r="118" spans="1:50" x14ac:dyDescent="0.25">
      <c r="A118" s="31" t="s">
        <v>132</v>
      </c>
      <c r="B118" s="32">
        <v>2</v>
      </c>
      <c r="C118" s="32">
        <v>15</v>
      </c>
      <c r="D118" s="32">
        <v>3</v>
      </c>
      <c r="E118" s="32">
        <v>5</v>
      </c>
      <c r="F118" s="2">
        <v>60.4</v>
      </c>
      <c r="G118">
        <v>72.141824440619615</v>
      </c>
      <c r="Q118" s="17">
        <v>116</v>
      </c>
      <c r="R118" s="6">
        <v>2.3880400000000002</v>
      </c>
      <c r="S118" s="6">
        <v>0.68700000000000006</v>
      </c>
      <c r="T118" s="6">
        <v>2.3003999999999998</v>
      </c>
      <c r="U118" s="6">
        <v>328</v>
      </c>
      <c r="W118" s="17">
        <v>116</v>
      </c>
      <c r="X118" s="6">
        <v>4.5254899999999996</v>
      </c>
      <c r="Y118" s="6">
        <v>0.68700000000000006</v>
      </c>
      <c r="Z118" s="6">
        <v>2.3003999999999998</v>
      </c>
      <c r="AA118" s="6">
        <v>328</v>
      </c>
      <c r="AN118" s="17">
        <v>115</v>
      </c>
      <c r="AO118" s="6">
        <v>1.0765</v>
      </c>
      <c r="AP118" s="6">
        <v>1.9279999999999999</v>
      </c>
      <c r="AQ118" s="6">
        <v>0.54720000000000002</v>
      </c>
      <c r="AR118" s="6">
        <v>328</v>
      </c>
      <c r="AT118" s="17">
        <v>115</v>
      </c>
      <c r="AU118" s="6">
        <v>0.56805000000000005</v>
      </c>
      <c r="AV118" s="6">
        <v>1.9279999999999999</v>
      </c>
      <c r="AW118" s="6">
        <v>0.54720000000000002</v>
      </c>
      <c r="AX118" s="6">
        <v>328</v>
      </c>
    </row>
    <row r="119" spans="1:50" x14ac:dyDescent="0.25">
      <c r="A119" s="31" t="s">
        <v>132</v>
      </c>
      <c r="B119" s="32">
        <v>3</v>
      </c>
      <c r="C119" s="32">
        <v>10</v>
      </c>
      <c r="D119" s="32">
        <v>5</v>
      </c>
      <c r="E119" s="32">
        <v>5</v>
      </c>
      <c r="F119" s="2">
        <v>62.2</v>
      </c>
      <c r="G119">
        <v>65.055490654205599</v>
      </c>
      <c r="Q119" s="17">
        <v>117</v>
      </c>
      <c r="R119" s="6">
        <v>2.3883100000000002</v>
      </c>
      <c r="S119" s="6">
        <v>10.4055</v>
      </c>
      <c r="T119" s="6">
        <v>2.3007</v>
      </c>
      <c r="U119" s="6">
        <v>328</v>
      </c>
      <c r="W119" s="17">
        <v>117</v>
      </c>
      <c r="X119" s="6">
        <v>4.5260199999999999</v>
      </c>
      <c r="Y119" s="6">
        <v>10.4055</v>
      </c>
      <c r="Z119" s="6">
        <v>2.3007</v>
      </c>
      <c r="AA119" s="6">
        <v>328</v>
      </c>
      <c r="AN119" s="17">
        <v>116</v>
      </c>
      <c r="AO119" s="6">
        <v>1.0672600000000001</v>
      </c>
      <c r="AP119" s="6">
        <v>0.20949999999999999</v>
      </c>
      <c r="AQ119" s="6">
        <v>0.54249999999999998</v>
      </c>
      <c r="AR119" s="6">
        <v>328</v>
      </c>
      <c r="AT119" s="17">
        <v>116</v>
      </c>
      <c r="AU119" s="6">
        <v>0.56318000000000001</v>
      </c>
      <c r="AV119" s="6">
        <v>0.20949999999999999</v>
      </c>
      <c r="AW119" s="6">
        <v>0.54249999999999998</v>
      </c>
      <c r="AX119" s="6">
        <v>328</v>
      </c>
    </row>
    <row r="120" spans="1:50" x14ac:dyDescent="0.25">
      <c r="A120" s="31" t="s">
        <v>13</v>
      </c>
      <c r="B120" s="32">
        <v>1</v>
      </c>
      <c r="C120" s="36">
        <v>10</v>
      </c>
      <c r="D120" s="36">
        <v>1</v>
      </c>
      <c r="E120" s="32">
        <v>5</v>
      </c>
      <c r="F120" s="12">
        <v>57.4</v>
      </c>
      <c r="G120">
        <v>76.936859999999996</v>
      </c>
      <c r="Q120" s="17">
        <v>118</v>
      </c>
      <c r="R120" s="6">
        <v>2.3807299999999998</v>
      </c>
      <c r="S120" s="6">
        <v>5.6288</v>
      </c>
      <c r="T120" s="6">
        <v>2.2934000000000001</v>
      </c>
      <c r="U120" s="6">
        <v>328</v>
      </c>
      <c r="W120" s="17">
        <v>118</v>
      </c>
      <c r="X120" s="6">
        <v>4.5116399999999999</v>
      </c>
      <c r="Y120" s="6">
        <v>5.6288</v>
      </c>
      <c r="Z120" s="6">
        <v>2.2934000000000001</v>
      </c>
      <c r="AA120" s="6">
        <v>328</v>
      </c>
      <c r="AN120" s="17">
        <v>117</v>
      </c>
      <c r="AO120" s="6">
        <v>1.0722700000000001</v>
      </c>
      <c r="AP120" s="6">
        <v>2.7204999999999999</v>
      </c>
      <c r="AQ120" s="6">
        <v>0.54510000000000003</v>
      </c>
      <c r="AR120" s="6">
        <v>328</v>
      </c>
      <c r="AT120" s="17">
        <v>117</v>
      </c>
      <c r="AU120" s="6">
        <v>0.56581999999999999</v>
      </c>
      <c r="AV120" s="6">
        <v>2.7204999999999999</v>
      </c>
      <c r="AW120" s="6">
        <v>0.54510000000000003</v>
      </c>
      <c r="AX120" s="6">
        <v>328</v>
      </c>
    </row>
    <row r="121" spans="1:50" x14ac:dyDescent="0.25">
      <c r="A121" s="31" t="s">
        <v>13</v>
      </c>
      <c r="B121" s="32">
        <v>2</v>
      </c>
      <c r="C121" s="36">
        <v>20</v>
      </c>
      <c r="D121" s="36">
        <v>3</v>
      </c>
      <c r="E121" s="32">
        <v>5</v>
      </c>
      <c r="F121" s="12">
        <v>57.1</v>
      </c>
      <c r="G121">
        <v>52.842239999999997</v>
      </c>
      <c r="Q121" s="17">
        <v>119</v>
      </c>
      <c r="R121" s="6">
        <v>2.3805800000000001</v>
      </c>
      <c r="S121" s="19">
        <v>-0.3498</v>
      </c>
      <c r="T121" s="6">
        <v>2.2932999999999999</v>
      </c>
      <c r="U121" s="6">
        <v>328</v>
      </c>
      <c r="W121" s="17">
        <v>119</v>
      </c>
      <c r="X121" s="6">
        <v>4.5113700000000003</v>
      </c>
      <c r="Y121" s="19">
        <v>-0.3498</v>
      </c>
      <c r="Z121" s="6">
        <v>2.2932999999999999</v>
      </c>
      <c r="AA121" s="6">
        <v>328</v>
      </c>
      <c r="AN121" s="17">
        <v>118</v>
      </c>
      <c r="AO121" s="6">
        <v>1.06393</v>
      </c>
      <c r="AP121" s="6">
        <v>1.8489</v>
      </c>
      <c r="AQ121" s="6">
        <v>0.54079999999999995</v>
      </c>
      <c r="AR121" s="6">
        <v>328</v>
      </c>
      <c r="AT121" s="17">
        <v>118</v>
      </c>
      <c r="AU121" s="6">
        <v>0.56142000000000003</v>
      </c>
      <c r="AV121" s="6">
        <v>1.8489</v>
      </c>
      <c r="AW121" s="6">
        <v>0.54079999999999995</v>
      </c>
      <c r="AX121" s="6">
        <v>328</v>
      </c>
    </row>
    <row r="122" spans="1:50" x14ac:dyDescent="0.25">
      <c r="A122" s="31" t="s">
        <v>13</v>
      </c>
      <c r="B122" s="32">
        <v>3</v>
      </c>
      <c r="C122" s="36">
        <v>19</v>
      </c>
      <c r="D122" s="36">
        <v>6</v>
      </c>
      <c r="E122" s="32">
        <v>5</v>
      </c>
      <c r="F122" s="12">
        <v>57.3</v>
      </c>
      <c r="G122">
        <v>67.670459999999991</v>
      </c>
      <c r="Q122" s="17">
        <v>120</v>
      </c>
      <c r="R122" s="6">
        <v>2.38164</v>
      </c>
      <c r="S122" s="6">
        <v>1.6518999999999999</v>
      </c>
      <c r="T122" s="6">
        <v>2.2942999999999998</v>
      </c>
      <c r="U122" s="6">
        <v>328</v>
      </c>
      <c r="W122" s="17">
        <v>120</v>
      </c>
      <c r="X122" s="6">
        <v>4.5133700000000001</v>
      </c>
      <c r="Y122" s="6">
        <v>1.6518999999999999</v>
      </c>
      <c r="Z122" s="6">
        <v>2.2942999999999998</v>
      </c>
      <c r="AA122" s="6">
        <v>328</v>
      </c>
      <c r="AN122" s="17">
        <v>119</v>
      </c>
      <c r="AO122" s="6">
        <v>1.0669299999999999</v>
      </c>
      <c r="AP122" s="6">
        <v>1.401</v>
      </c>
      <c r="AQ122" s="6">
        <v>0.54239999999999999</v>
      </c>
      <c r="AR122" s="6">
        <v>328</v>
      </c>
      <c r="AT122" s="17">
        <v>119</v>
      </c>
      <c r="AU122" s="6">
        <v>0.56301000000000001</v>
      </c>
      <c r="AV122" s="6">
        <v>1.401</v>
      </c>
      <c r="AW122" s="6">
        <v>0.54239999999999999</v>
      </c>
      <c r="AX122" s="6">
        <v>328</v>
      </c>
    </row>
    <row r="123" spans="1:50" x14ac:dyDescent="0.25">
      <c r="A123" t="s">
        <v>7</v>
      </c>
      <c r="B123" s="11">
        <v>1</v>
      </c>
      <c r="C123" s="11">
        <v>5</v>
      </c>
      <c r="D123" s="11">
        <v>1</v>
      </c>
      <c r="E123" s="11">
        <v>5</v>
      </c>
      <c r="F123" s="12">
        <v>52.1</v>
      </c>
      <c r="G123">
        <v>49.395110294117636</v>
      </c>
      <c r="Q123" s="17">
        <v>121</v>
      </c>
      <c r="R123" s="6">
        <v>2.3756499999999998</v>
      </c>
      <c r="S123" s="19">
        <v>-1.5568</v>
      </c>
      <c r="T123" s="6">
        <v>2.2885</v>
      </c>
      <c r="U123" s="6">
        <v>328</v>
      </c>
      <c r="W123" s="17">
        <v>121</v>
      </c>
      <c r="X123" s="6">
        <v>4.5020199999999999</v>
      </c>
      <c r="Y123" s="19">
        <v>-1.5568</v>
      </c>
      <c r="Z123" s="6">
        <v>2.2885</v>
      </c>
      <c r="AA123" s="6">
        <v>328</v>
      </c>
      <c r="AN123" s="17">
        <v>120</v>
      </c>
      <c r="AO123" s="6">
        <v>1.0650299999999999</v>
      </c>
      <c r="AP123" s="6">
        <v>1.3988</v>
      </c>
      <c r="AQ123" s="6">
        <v>0.54139999999999999</v>
      </c>
      <c r="AR123" s="6">
        <v>328</v>
      </c>
      <c r="AT123" s="17">
        <v>120</v>
      </c>
      <c r="AU123" s="6">
        <v>0.56200000000000006</v>
      </c>
      <c r="AV123" s="6">
        <v>1.3988</v>
      </c>
      <c r="AW123" s="6">
        <v>0.54139999999999999</v>
      </c>
      <c r="AX123" s="6">
        <v>328</v>
      </c>
    </row>
    <row r="124" spans="1:50" x14ac:dyDescent="0.25">
      <c r="A124" t="s">
        <v>7</v>
      </c>
      <c r="B124" s="11">
        <v>2</v>
      </c>
      <c r="C124" s="11">
        <v>8</v>
      </c>
      <c r="D124" s="11">
        <v>6</v>
      </c>
      <c r="E124" s="11">
        <v>5</v>
      </c>
      <c r="F124" s="12">
        <v>52.9</v>
      </c>
      <c r="G124">
        <v>51.197623579683395</v>
      </c>
      <c r="Q124" s="17">
        <v>122</v>
      </c>
      <c r="R124" s="6">
        <v>2.3840400000000002</v>
      </c>
      <c r="S124" s="6">
        <v>7.992</v>
      </c>
      <c r="T124" s="6">
        <v>2.2966000000000002</v>
      </c>
      <c r="U124" s="6">
        <v>328</v>
      </c>
      <c r="W124" s="17">
        <v>122</v>
      </c>
      <c r="X124" s="6">
        <v>4.5179200000000002</v>
      </c>
      <c r="Y124" s="6">
        <v>7.992</v>
      </c>
      <c r="Z124" s="6">
        <v>2.2966000000000002</v>
      </c>
      <c r="AA124" s="6">
        <v>328</v>
      </c>
      <c r="AN124" s="17">
        <v>121</v>
      </c>
      <c r="AO124" s="6">
        <v>1.06351</v>
      </c>
      <c r="AP124" s="19">
        <v>-1.8053999999999999</v>
      </c>
      <c r="AQ124" s="6">
        <v>0.54059999999999997</v>
      </c>
      <c r="AR124" s="6">
        <v>328</v>
      </c>
      <c r="AT124" s="17">
        <v>121</v>
      </c>
      <c r="AU124" s="6">
        <v>0.56120000000000003</v>
      </c>
      <c r="AV124" s="19">
        <v>-1.8053999999999999</v>
      </c>
      <c r="AW124" s="6">
        <v>0.54059999999999997</v>
      </c>
      <c r="AX124" s="6">
        <v>328</v>
      </c>
    </row>
    <row r="125" spans="1:50" x14ac:dyDescent="0.25">
      <c r="A125" t="s">
        <v>7</v>
      </c>
      <c r="B125" s="11">
        <v>3</v>
      </c>
      <c r="C125" s="11">
        <v>9</v>
      </c>
      <c r="D125" s="11">
        <v>11</v>
      </c>
      <c r="E125" s="11">
        <v>5</v>
      </c>
      <c r="F125" s="2">
        <v>52.2</v>
      </c>
      <c r="G125">
        <v>40.270615896594947</v>
      </c>
      <c r="Q125" s="17">
        <v>123</v>
      </c>
      <c r="R125" s="6">
        <v>2.3853300000000002</v>
      </c>
      <c r="S125" s="19">
        <v>-4.8876999999999997</v>
      </c>
      <c r="T125" s="6">
        <v>2.2978000000000001</v>
      </c>
      <c r="U125" s="6">
        <v>328</v>
      </c>
      <c r="W125" s="17">
        <v>123</v>
      </c>
      <c r="X125" s="6">
        <v>4.5203699999999998</v>
      </c>
      <c r="Y125" s="19">
        <v>-4.8876999999999997</v>
      </c>
      <c r="Z125" s="6">
        <v>2.2978000000000001</v>
      </c>
      <c r="AA125" s="6">
        <v>328</v>
      </c>
      <c r="AN125" s="17">
        <v>122</v>
      </c>
      <c r="AO125" s="6">
        <v>1.06549</v>
      </c>
      <c r="AP125" s="19">
        <v>-2.0789</v>
      </c>
      <c r="AQ125" s="6">
        <v>0.54159999999999997</v>
      </c>
      <c r="AR125" s="6">
        <v>328</v>
      </c>
      <c r="AT125" s="17">
        <v>122</v>
      </c>
      <c r="AU125" s="6">
        <v>0.56223999999999996</v>
      </c>
      <c r="AV125" s="19">
        <v>-2.0789</v>
      </c>
      <c r="AW125" s="6">
        <v>0.54159999999999997</v>
      </c>
      <c r="AX125" s="6">
        <v>328</v>
      </c>
    </row>
    <row r="126" spans="1:50" x14ac:dyDescent="0.25">
      <c r="A126" s="31" t="s">
        <v>156</v>
      </c>
      <c r="B126" s="32">
        <v>1</v>
      </c>
      <c r="C126" s="32">
        <v>15</v>
      </c>
      <c r="D126" s="32">
        <v>2</v>
      </c>
      <c r="E126" s="32">
        <v>5</v>
      </c>
      <c r="F126" s="2">
        <v>54.3</v>
      </c>
      <c r="G126">
        <v>44.928228068478568</v>
      </c>
      <c r="Q126" s="17">
        <v>124</v>
      </c>
      <c r="R126" s="6">
        <v>2.3758699999999999</v>
      </c>
      <c r="S126" s="6">
        <v>2.4922</v>
      </c>
      <c r="T126" s="6">
        <v>2.2887</v>
      </c>
      <c r="U126" s="6">
        <v>328</v>
      </c>
      <c r="W126" s="17">
        <v>124</v>
      </c>
      <c r="X126" s="6">
        <v>4.50244</v>
      </c>
      <c r="Y126" s="6">
        <v>2.4922</v>
      </c>
      <c r="Z126" s="6">
        <v>2.2887</v>
      </c>
      <c r="AA126" s="6">
        <v>328</v>
      </c>
      <c r="AN126" s="17">
        <v>123</v>
      </c>
      <c r="AO126" s="6">
        <v>1.0684100000000001</v>
      </c>
      <c r="AP126" s="19">
        <v>-2.9908000000000001</v>
      </c>
      <c r="AQ126" s="6">
        <v>0.54310000000000003</v>
      </c>
      <c r="AR126" s="6">
        <v>328</v>
      </c>
      <c r="AT126" s="17">
        <v>123</v>
      </c>
      <c r="AU126" s="6">
        <v>0.56379000000000001</v>
      </c>
      <c r="AV126" s="19">
        <v>-2.9908000000000001</v>
      </c>
      <c r="AW126" s="6">
        <v>0.54310000000000003</v>
      </c>
      <c r="AX126" s="6">
        <v>328</v>
      </c>
    </row>
    <row r="127" spans="1:50" x14ac:dyDescent="0.25">
      <c r="A127" s="31" t="s">
        <v>156</v>
      </c>
      <c r="B127" s="32">
        <v>2</v>
      </c>
      <c r="C127" s="32">
        <v>14</v>
      </c>
      <c r="D127" s="32">
        <v>3</v>
      </c>
      <c r="E127" s="32">
        <v>5</v>
      </c>
      <c r="F127" s="2">
        <v>54.8</v>
      </c>
      <c r="G127">
        <v>47.063495492020635</v>
      </c>
      <c r="Q127" s="17">
        <v>125</v>
      </c>
      <c r="R127" s="6">
        <v>2.3826800000000001</v>
      </c>
      <c r="S127" s="6">
        <v>7.6191000000000004</v>
      </c>
      <c r="T127" s="6">
        <v>2.2953000000000001</v>
      </c>
      <c r="U127" s="6">
        <v>328</v>
      </c>
      <c r="W127" s="17">
        <v>125</v>
      </c>
      <c r="X127" s="6">
        <v>4.5153499999999998</v>
      </c>
      <c r="Y127" s="6">
        <v>7.6191000000000004</v>
      </c>
      <c r="Z127" s="6">
        <v>2.2953000000000001</v>
      </c>
      <c r="AA127" s="6">
        <v>328</v>
      </c>
      <c r="AN127" s="17">
        <v>124</v>
      </c>
      <c r="AO127" s="6">
        <v>1.0715300000000001</v>
      </c>
      <c r="AP127" s="19">
        <v>-0.33629999999999999</v>
      </c>
      <c r="AQ127" s="6">
        <v>0.54469999999999996</v>
      </c>
      <c r="AR127" s="6">
        <v>328</v>
      </c>
      <c r="AT127" s="17">
        <v>124</v>
      </c>
      <c r="AU127" s="6">
        <v>0.56542999999999999</v>
      </c>
      <c r="AV127" s="19">
        <v>-0.33629999999999999</v>
      </c>
      <c r="AW127" s="6">
        <v>0.54469999999999996</v>
      </c>
      <c r="AX127" s="6">
        <v>328</v>
      </c>
    </row>
    <row r="128" spans="1:50" x14ac:dyDescent="0.25">
      <c r="A128" s="31" t="s">
        <v>156</v>
      </c>
      <c r="B128" s="32">
        <v>3</v>
      </c>
      <c r="C128" s="32">
        <v>8</v>
      </c>
      <c r="D128" s="32">
        <v>6</v>
      </c>
      <c r="E128" s="32">
        <v>5</v>
      </c>
      <c r="F128" s="2">
        <v>53</v>
      </c>
      <c r="G128">
        <v>46.689136894744422</v>
      </c>
      <c r="Q128" s="17">
        <v>126</v>
      </c>
      <c r="R128" s="6">
        <v>2.3804699999999999</v>
      </c>
      <c r="S128" s="19">
        <v>-3.1240999999999999</v>
      </c>
      <c r="T128" s="6">
        <v>2.2932000000000001</v>
      </c>
      <c r="U128" s="6">
        <v>328</v>
      </c>
      <c r="W128" s="17">
        <v>126</v>
      </c>
      <c r="X128" s="6">
        <v>4.5111600000000003</v>
      </c>
      <c r="Y128" s="19">
        <v>-3.1240999999999999</v>
      </c>
      <c r="Z128" s="6">
        <v>2.2932000000000001</v>
      </c>
      <c r="AA128" s="6">
        <v>328</v>
      </c>
      <c r="AN128" s="17">
        <v>125</v>
      </c>
      <c r="AO128" s="6">
        <v>1.06691</v>
      </c>
      <c r="AP128" s="6">
        <v>0.66439999999999999</v>
      </c>
      <c r="AQ128" s="6">
        <v>0.5423</v>
      </c>
      <c r="AR128" s="6">
        <v>328</v>
      </c>
      <c r="AT128" s="17">
        <v>125</v>
      </c>
      <c r="AU128" s="6">
        <v>0.56298999999999999</v>
      </c>
      <c r="AV128" s="6">
        <v>0.66439999999999999</v>
      </c>
      <c r="AW128" s="6">
        <v>0.5423</v>
      </c>
      <c r="AX128" s="6">
        <v>328</v>
      </c>
    </row>
    <row r="129" spans="1:50" x14ac:dyDescent="0.25">
      <c r="A129" s="31" t="s">
        <v>10</v>
      </c>
      <c r="B129" s="32">
        <v>1</v>
      </c>
      <c r="C129" s="32">
        <v>4</v>
      </c>
      <c r="D129" s="32">
        <v>3</v>
      </c>
      <c r="E129" s="32">
        <v>5</v>
      </c>
      <c r="F129" s="2">
        <v>55.5</v>
      </c>
      <c r="G129">
        <v>61.098487052662207</v>
      </c>
      <c r="Q129" s="17">
        <v>127</v>
      </c>
      <c r="R129" s="6">
        <v>2.3781500000000002</v>
      </c>
      <c r="S129" s="6">
        <v>4.2449000000000003</v>
      </c>
      <c r="T129" s="6">
        <v>2.2909000000000002</v>
      </c>
      <c r="U129" s="6">
        <v>328</v>
      </c>
      <c r="W129" s="17">
        <v>127</v>
      </c>
      <c r="X129" s="6">
        <v>4.5067599999999999</v>
      </c>
      <c r="Y129" s="6">
        <v>4.2449000000000003</v>
      </c>
      <c r="Z129" s="6">
        <v>2.2909000000000002</v>
      </c>
      <c r="AA129" s="6">
        <v>328</v>
      </c>
      <c r="AN129" s="17">
        <v>126</v>
      </c>
      <c r="AO129" s="6">
        <v>1.0648299999999999</v>
      </c>
      <c r="AP129" s="19">
        <v>-3.919</v>
      </c>
      <c r="AQ129" s="6">
        <v>0.5413</v>
      </c>
      <c r="AR129" s="6">
        <v>328</v>
      </c>
      <c r="AT129" s="17">
        <v>126</v>
      </c>
      <c r="AU129" s="6">
        <v>0.56189</v>
      </c>
      <c r="AV129" s="19">
        <v>-3.919</v>
      </c>
      <c r="AW129" s="6">
        <v>0.5413</v>
      </c>
      <c r="AX129" s="6">
        <v>328</v>
      </c>
    </row>
    <row r="130" spans="1:50" x14ac:dyDescent="0.25">
      <c r="A130" s="31" t="s">
        <v>10</v>
      </c>
      <c r="B130" s="32">
        <v>2</v>
      </c>
      <c r="C130" s="32">
        <v>10</v>
      </c>
      <c r="D130" s="32">
        <v>8</v>
      </c>
      <c r="E130" s="32">
        <v>5</v>
      </c>
      <c r="F130" s="12">
        <v>55.5</v>
      </c>
      <c r="G130">
        <v>52.076428329051332</v>
      </c>
      <c r="Q130" s="17">
        <v>128</v>
      </c>
      <c r="R130" s="6">
        <v>2.3890799999999999</v>
      </c>
      <c r="S130" s="19">
        <v>-0.66379999999999995</v>
      </c>
      <c r="T130" s="6">
        <v>2.3014999999999999</v>
      </c>
      <c r="U130" s="6">
        <v>328</v>
      </c>
      <c r="W130" s="17">
        <v>128</v>
      </c>
      <c r="X130" s="6">
        <v>4.5274799999999997</v>
      </c>
      <c r="Y130" s="19">
        <v>-0.66379999999999995</v>
      </c>
      <c r="Z130" s="6">
        <v>2.3014999999999999</v>
      </c>
      <c r="AA130" s="6">
        <v>328</v>
      </c>
      <c r="AN130" s="17">
        <v>127</v>
      </c>
      <c r="AO130" s="6">
        <v>1.0753200000000001</v>
      </c>
      <c r="AP130" s="19">
        <v>-1.849</v>
      </c>
      <c r="AQ130" s="6">
        <v>0.54659999999999997</v>
      </c>
      <c r="AR130" s="6">
        <v>328</v>
      </c>
      <c r="AT130" s="17">
        <v>127</v>
      </c>
      <c r="AU130" s="6">
        <v>0.56742999999999999</v>
      </c>
      <c r="AV130" s="19">
        <v>-1.849</v>
      </c>
      <c r="AW130" s="6">
        <v>0.54659999999999997</v>
      </c>
      <c r="AX130" s="6">
        <v>328</v>
      </c>
    </row>
    <row r="131" spans="1:50" x14ac:dyDescent="0.25">
      <c r="A131" s="31" t="s">
        <v>10</v>
      </c>
      <c r="B131" s="32">
        <v>3</v>
      </c>
      <c r="C131" s="32">
        <v>9</v>
      </c>
      <c r="D131" s="32">
        <v>12</v>
      </c>
      <c r="E131" s="32">
        <v>5</v>
      </c>
      <c r="F131" s="2">
        <v>58</v>
      </c>
      <c r="G131">
        <v>73.417674725274722</v>
      </c>
      <c r="Q131" s="17">
        <v>129</v>
      </c>
      <c r="R131" s="6">
        <v>2.37758</v>
      </c>
      <c r="S131" s="19">
        <v>-4.9130000000000003</v>
      </c>
      <c r="T131" s="6">
        <v>2.2904</v>
      </c>
      <c r="U131" s="6">
        <v>328</v>
      </c>
      <c r="W131" s="17">
        <v>129</v>
      </c>
      <c r="X131" s="6">
        <v>4.5056900000000004</v>
      </c>
      <c r="Y131" s="19">
        <v>-4.9130000000000003</v>
      </c>
      <c r="Z131" s="6">
        <v>2.2904</v>
      </c>
      <c r="AA131" s="6">
        <v>328</v>
      </c>
      <c r="AN131" s="17">
        <v>128</v>
      </c>
      <c r="AO131" s="6">
        <v>1.06901</v>
      </c>
      <c r="AP131" s="19">
        <v>-3.1682999999999999</v>
      </c>
      <c r="AQ131" s="6">
        <v>0.54339999999999999</v>
      </c>
      <c r="AR131" s="6">
        <v>328</v>
      </c>
      <c r="AT131" s="17">
        <v>128</v>
      </c>
      <c r="AU131" s="6">
        <v>0.56410000000000005</v>
      </c>
      <c r="AV131" s="19">
        <v>-3.1682999999999999</v>
      </c>
      <c r="AW131" s="6">
        <v>0.54339999999999999</v>
      </c>
      <c r="AX131" s="6">
        <v>328</v>
      </c>
    </row>
    <row r="132" spans="1:50" x14ac:dyDescent="0.25">
      <c r="A132" s="31" t="s">
        <v>11</v>
      </c>
      <c r="B132" s="32">
        <v>1</v>
      </c>
      <c r="C132" s="32">
        <v>10</v>
      </c>
      <c r="D132" s="32">
        <v>2</v>
      </c>
      <c r="E132" s="11">
        <v>5</v>
      </c>
      <c r="F132" s="2">
        <v>57.6</v>
      </c>
      <c r="G132">
        <v>44.34603632213566</v>
      </c>
      <c r="Q132" s="17">
        <v>130</v>
      </c>
      <c r="R132" s="6">
        <v>2.37758</v>
      </c>
      <c r="S132" s="19">
        <v>-2.6789999999999998</v>
      </c>
      <c r="T132" s="6">
        <v>2.2904</v>
      </c>
      <c r="U132" s="6">
        <v>328</v>
      </c>
      <c r="W132" s="17">
        <v>130</v>
      </c>
      <c r="X132" s="6">
        <v>4.5056700000000003</v>
      </c>
      <c r="Y132" s="19">
        <v>-2.6789999999999998</v>
      </c>
      <c r="Z132" s="6">
        <v>2.2904</v>
      </c>
      <c r="AA132" s="6">
        <v>328</v>
      </c>
      <c r="AN132" s="17">
        <v>129</v>
      </c>
      <c r="AO132" s="6">
        <v>1.0688299999999999</v>
      </c>
      <c r="AP132" s="19">
        <v>-3.6703999999999999</v>
      </c>
      <c r="AQ132" s="6">
        <v>0.54330000000000001</v>
      </c>
      <c r="AR132" s="6">
        <v>328</v>
      </c>
      <c r="AT132" s="17">
        <v>129</v>
      </c>
      <c r="AU132" s="6">
        <v>0.56399999999999995</v>
      </c>
      <c r="AV132" s="19">
        <v>-3.6703999999999999</v>
      </c>
      <c r="AW132" s="6">
        <v>0.54330000000000001</v>
      </c>
      <c r="AX132" s="6">
        <v>328</v>
      </c>
    </row>
    <row r="133" spans="1:50" x14ac:dyDescent="0.25">
      <c r="A133" s="31" t="s">
        <v>11</v>
      </c>
      <c r="B133" s="32">
        <v>2</v>
      </c>
      <c r="C133" s="32">
        <v>12</v>
      </c>
      <c r="D133" s="32">
        <v>4</v>
      </c>
      <c r="E133" s="11">
        <v>5</v>
      </c>
      <c r="F133" s="2">
        <v>59.1</v>
      </c>
      <c r="G133">
        <v>44.955742530102562</v>
      </c>
      <c r="Q133" s="17">
        <v>131</v>
      </c>
      <c r="R133" s="6">
        <v>2.3952</v>
      </c>
      <c r="S133" s="19">
        <v>-2.6480999999999999</v>
      </c>
      <c r="T133" s="6">
        <v>2.3073000000000001</v>
      </c>
      <c r="U133" s="6">
        <v>328</v>
      </c>
      <c r="W133" s="17">
        <v>131</v>
      </c>
      <c r="X133" s="6">
        <v>4.5390600000000001</v>
      </c>
      <c r="Y133" s="19">
        <v>-2.6480999999999999</v>
      </c>
      <c r="Z133" s="6">
        <v>2.3073000000000001</v>
      </c>
      <c r="AA133" s="6">
        <v>328</v>
      </c>
      <c r="AN133" s="17">
        <v>130</v>
      </c>
      <c r="AO133" s="6">
        <v>1.0662100000000001</v>
      </c>
      <c r="AP133" s="19">
        <v>-1.5264</v>
      </c>
      <c r="AQ133" s="6">
        <v>0.54200000000000004</v>
      </c>
      <c r="AR133" s="6">
        <v>328</v>
      </c>
      <c r="AT133" s="17">
        <v>130</v>
      </c>
      <c r="AU133" s="6">
        <v>0.56262000000000001</v>
      </c>
      <c r="AV133" s="19">
        <v>-1.5264</v>
      </c>
      <c r="AW133" s="6">
        <v>0.54200000000000004</v>
      </c>
      <c r="AX133" s="6">
        <v>328</v>
      </c>
    </row>
    <row r="134" spans="1:50" x14ac:dyDescent="0.25">
      <c r="A134" s="31" t="s">
        <v>11</v>
      </c>
      <c r="B134" s="32">
        <v>3</v>
      </c>
      <c r="C134" s="32">
        <v>2</v>
      </c>
      <c r="D134" s="32">
        <v>7</v>
      </c>
      <c r="E134" s="11">
        <v>5</v>
      </c>
      <c r="F134" s="2">
        <v>58.6</v>
      </c>
      <c r="G134">
        <v>39.41437794152602</v>
      </c>
      <c r="Q134" s="17">
        <v>132</v>
      </c>
      <c r="R134" s="6">
        <v>2.3877299999999999</v>
      </c>
      <c r="S134" s="19">
        <v>-1.2763</v>
      </c>
      <c r="T134" s="6">
        <v>2.3001999999999998</v>
      </c>
      <c r="U134" s="6">
        <v>328</v>
      </c>
      <c r="W134" s="17">
        <v>132</v>
      </c>
      <c r="X134" s="6">
        <v>4.5249199999999998</v>
      </c>
      <c r="Y134" s="19">
        <v>-1.2763</v>
      </c>
      <c r="Z134" s="6">
        <v>2.3001999999999998</v>
      </c>
      <c r="AA134" s="6">
        <v>328</v>
      </c>
      <c r="AN134" s="17">
        <v>131</v>
      </c>
      <c r="AO134" s="6">
        <v>1.07298</v>
      </c>
      <c r="AP134" s="19">
        <v>-3.4897999999999998</v>
      </c>
      <c r="AQ134" s="6">
        <v>0.5454</v>
      </c>
      <c r="AR134" s="6">
        <v>328</v>
      </c>
      <c r="AT134" s="17">
        <v>131</v>
      </c>
      <c r="AU134" s="6">
        <v>0.56618999999999997</v>
      </c>
      <c r="AV134" s="19">
        <v>-3.4897999999999998</v>
      </c>
      <c r="AW134" s="6">
        <v>0.5454</v>
      </c>
      <c r="AX134" s="6">
        <v>328</v>
      </c>
    </row>
    <row r="135" spans="1:50" x14ac:dyDescent="0.25">
      <c r="A135" t="s">
        <v>160</v>
      </c>
      <c r="B135">
        <v>1</v>
      </c>
      <c r="C135" s="36">
        <v>8</v>
      </c>
      <c r="D135" s="36">
        <v>2</v>
      </c>
      <c r="E135" s="32">
        <v>5</v>
      </c>
      <c r="F135" s="13">
        <v>60.4</v>
      </c>
      <c r="G135">
        <v>92.140762227602906</v>
      </c>
      <c r="Q135" s="17">
        <v>133</v>
      </c>
      <c r="R135" s="6">
        <v>2.3927999999999998</v>
      </c>
      <c r="S135" s="6">
        <v>4.0865</v>
      </c>
      <c r="T135" s="6">
        <v>2.3050000000000002</v>
      </c>
      <c r="U135" s="6">
        <v>328</v>
      </c>
      <c r="W135" s="17">
        <v>133</v>
      </c>
      <c r="X135" s="6">
        <v>4.5345199999999997</v>
      </c>
      <c r="Y135" s="6">
        <v>4.0865</v>
      </c>
      <c r="Z135" s="6">
        <v>2.3050000000000002</v>
      </c>
      <c r="AA135" s="6">
        <v>328</v>
      </c>
      <c r="AN135" s="17">
        <v>132</v>
      </c>
      <c r="AO135" s="6">
        <v>1.0663</v>
      </c>
      <c r="AP135" s="19">
        <v>-1.7739</v>
      </c>
      <c r="AQ135" s="6">
        <v>0.54200000000000004</v>
      </c>
      <c r="AR135" s="6">
        <v>328</v>
      </c>
      <c r="AT135" s="17">
        <v>132</v>
      </c>
      <c r="AU135" s="6">
        <v>0.56267</v>
      </c>
      <c r="AV135" s="19">
        <v>-1.7739</v>
      </c>
      <c r="AW135" s="6">
        <v>0.54200000000000004</v>
      </c>
      <c r="AX135" s="6">
        <v>328</v>
      </c>
    </row>
    <row r="136" spans="1:50" x14ac:dyDescent="0.25">
      <c r="A136" t="s">
        <v>160</v>
      </c>
      <c r="B136">
        <v>2</v>
      </c>
      <c r="C136" s="36">
        <v>13</v>
      </c>
      <c r="D136" s="36">
        <v>4</v>
      </c>
      <c r="E136" s="32">
        <v>5</v>
      </c>
      <c r="F136" s="13">
        <v>61</v>
      </c>
      <c r="G136">
        <v>90.250602044309673</v>
      </c>
      <c r="Q136" s="17">
        <v>134</v>
      </c>
      <c r="R136" s="6">
        <v>2.3934500000000001</v>
      </c>
      <c r="S136" s="19">
        <v>-3.9053</v>
      </c>
      <c r="T136" s="6">
        <v>2.3056999999999999</v>
      </c>
      <c r="U136" s="6">
        <v>328</v>
      </c>
      <c r="W136" s="17">
        <v>134</v>
      </c>
      <c r="X136" s="6">
        <v>4.5357500000000002</v>
      </c>
      <c r="Y136" s="19">
        <v>-3.9053</v>
      </c>
      <c r="Z136" s="6">
        <v>2.3056999999999999</v>
      </c>
      <c r="AA136" s="6">
        <v>328</v>
      </c>
      <c r="AN136" s="17">
        <v>133</v>
      </c>
      <c r="AO136" s="6">
        <v>1.0748200000000001</v>
      </c>
      <c r="AP136" s="19">
        <v>-1.3771</v>
      </c>
      <c r="AQ136" s="6">
        <v>0.5464</v>
      </c>
      <c r="AR136" s="6">
        <v>328</v>
      </c>
      <c r="AT136" s="17">
        <v>133</v>
      </c>
      <c r="AU136" s="6">
        <v>0.56716999999999995</v>
      </c>
      <c r="AV136" s="19">
        <v>-1.3771</v>
      </c>
      <c r="AW136" s="6">
        <v>0.5464</v>
      </c>
      <c r="AX136" s="6">
        <v>328</v>
      </c>
    </row>
    <row r="137" spans="1:50" x14ac:dyDescent="0.25">
      <c r="A137" t="s">
        <v>160</v>
      </c>
      <c r="B137">
        <v>3</v>
      </c>
      <c r="C137" s="36">
        <v>7</v>
      </c>
      <c r="D137" s="36">
        <v>5</v>
      </c>
      <c r="E137" s="32">
        <v>5</v>
      </c>
      <c r="F137" s="13">
        <v>60.5</v>
      </c>
      <c r="G137">
        <v>83.75463197601313</v>
      </c>
      <c r="Q137" s="17">
        <v>135</v>
      </c>
      <c r="R137" s="6">
        <v>2.3795199999999999</v>
      </c>
      <c r="S137" s="19">
        <v>-2.4611000000000001</v>
      </c>
      <c r="T137" s="6">
        <v>2.2921999999999998</v>
      </c>
      <c r="U137" s="6">
        <v>328</v>
      </c>
      <c r="W137" s="17">
        <v>135</v>
      </c>
      <c r="X137" s="6">
        <v>4.50936</v>
      </c>
      <c r="Y137" s="19">
        <v>-2.4611000000000001</v>
      </c>
      <c r="Z137" s="6">
        <v>2.2921999999999998</v>
      </c>
      <c r="AA137" s="6">
        <v>328</v>
      </c>
      <c r="AN137" s="17">
        <v>134</v>
      </c>
      <c r="AO137" s="6">
        <v>1.0747599999999999</v>
      </c>
      <c r="AP137" s="19">
        <v>-2.7865000000000002</v>
      </c>
      <c r="AQ137" s="6">
        <v>0.54630000000000001</v>
      </c>
      <c r="AR137" s="6">
        <v>328</v>
      </c>
      <c r="AT137" s="17">
        <v>134</v>
      </c>
      <c r="AU137" s="6">
        <v>0.56713000000000002</v>
      </c>
      <c r="AV137" s="19">
        <v>-2.7865000000000002</v>
      </c>
      <c r="AW137" s="6">
        <v>0.54630000000000001</v>
      </c>
      <c r="AX137" s="6">
        <v>328</v>
      </c>
    </row>
    <row r="138" spans="1:50" x14ac:dyDescent="0.25">
      <c r="A138" s="31" t="s">
        <v>116</v>
      </c>
      <c r="B138" s="32">
        <v>1</v>
      </c>
      <c r="C138" s="32">
        <v>11</v>
      </c>
      <c r="D138" s="32">
        <v>1</v>
      </c>
      <c r="E138" s="32">
        <v>6</v>
      </c>
      <c r="F138" s="12">
        <v>56.6</v>
      </c>
      <c r="G138">
        <v>50.398919999999997</v>
      </c>
      <c r="Q138" s="17">
        <v>136</v>
      </c>
      <c r="R138" s="6">
        <v>2.39255</v>
      </c>
      <c r="S138" s="19">
        <v>-0.158</v>
      </c>
      <c r="T138" s="6">
        <v>2.3048000000000002</v>
      </c>
      <c r="U138" s="6">
        <v>328</v>
      </c>
      <c r="W138" s="17">
        <v>136</v>
      </c>
      <c r="X138" s="6">
        <v>4.5340499999999997</v>
      </c>
      <c r="Y138" s="19">
        <v>-0.158</v>
      </c>
      <c r="Z138" s="6">
        <v>2.3048000000000002</v>
      </c>
      <c r="AA138" s="6">
        <v>328</v>
      </c>
      <c r="AN138" s="17">
        <v>135</v>
      </c>
      <c r="AO138" s="6">
        <v>1.06477</v>
      </c>
      <c r="AP138" s="19">
        <v>-2.4407999999999999</v>
      </c>
      <c r="AQ138" s="6">
        <v>0.5413</v>
      </c>
      <c r="AR138" s="6">
        <v>328</v>
      </c>
      <c r="AT138" s="17">
        <v>135</v>
      </c>
      <c r="AU138" s="6">
        <v>0.56186000000000003</v>
      </c>
      <c r="AV138" s="19">
        <v>-2.4407999999999999</v>
      </c>
      <c r="AW138" s="6">
        <v>0.5413</v>
      </c>
      <c r="AX138" s="6">
        <v>328</v>
      </c>
    </row>
    <row r="139" spans="1:50" x14ac:dyDescent="0.25">
      <c r="A139" s="31" t="s">
        <v>116</v>
      </c>
      <c r="B139" s="32">
        <v>2</v>
      </c>
      <c r="C139" s="32">
        <v>10</v>
      </c>
      <c r="D139" s="32">
        <v>5</v>
      </c>
      <c r="E139" s="32">
        <v>6</v>
      </c>
      <c r="F139" s="12">
        <v>54.1</v>
      </c>
      <c r="G139">
        <v>46.49379087779689</v>
      </c>
      <c r="Q139" s="17">
        <v>137</v>
      </c>
      <c r="R139" s="6">
        <v>2.3927900000000002</v>
      </c>
      <c r="S139" s="6">
        <v>1.8689</v>
      </c>
      <c r="T139" s="6">
        <v>2.3050000000000002</v>
      </c>
      <c r="U139" s="6">
        <v>328</v>
      </c>
      <c r="W139" s="17">
        <v>137</v>
      </c>
      <c r="X139" s="6">
        <v>4.5345000000000004</v>
      </c>
      <c r="Y139" s="6">
        <v>1.8689</v>
      </c>
      <c r="Z139" s="6">
        <v>2.3050000000000002</v>
      </c>
      <c r="AA139" s="6">
        <v>328</v>
      </c>
      <c r="AN139" s="17">
        <v>136</v>
      </c>
      <c r="AO139" s="6">
        <v>1.0697700000000001</v>
      </c>
      <c r="AP139" s="19">
        <v>-3.5118999999999998</v>
      </c>
      <c r="AQ139" s="6">
        <v>0.54379999999999995</v>
      </c>
      <c r="AR139" s="6">
        <v>328</v>
      </c>
      <c r="AT139" s="17">
        <v>136</v>
      </c>
      <c r="AU139" s="6">
        <v>0.5645</v>
      </c>
      <c r="AV139" s="19">
        <v>-3.5118999999999998</v>
      </c>
      <c r="AW139" s="6">
        <v>0.54379999999999995</v>
      </c>
      <c r="AX139" s="6">
        <v>328</v>
      </c>
    </row>
    <row r="140" spans="1:50" x14ac:dyDescent="0.25">
      <c r="A140" s="31" t="s">
        <v>116</v>
      </c>
      <c r="B140" s="32">
        <v>3</v>
      </c>
      <c r="C140" s="32">
        <v>8</v>
      </c>
      <c r="D140" s="32">
        <v>11</v>
      </c>
      <c r="E140" s="32">
        <v>6</v>
      </c>
      <c r="F140" s="12">
        <v>57</v>
      </c>
      <c r="G140">
        <v>56.270279999999993</v>
      </c>
      <c r="Q140" s="17">
        <v>138</v>
      </c>
      <c r="R140" s="6">
        <v>2.3849999999999998</v>
      </c>
      <c r="S140" s="19">
        <v>-2.1315</v>
      </c>
      <c r="T140" s="6">
        <v>2.2974999999999999</v>
      </c>
      <c r="U140" s="6">
        <v>328</v>
      </c>
      <c r="W140" s="17">
        <v>138</v>
      </c>
      <c r="X140" s="6">
        <v>4.5197399999999996</v>
      </c>
      <c r="Y140" s="19">
        <v>-2.1315</v>
      </c>
      <c r="Z140" s="6">
        <v>2.2974999999999999</v>
      </c>
      <c r="AA140" s="6">
        <v>328</v>
      </c>
      <c r="AN140" s="17">
        <v>137</v>
      </c>
      <c r="AO140" s="6">
        <v>1.07501</v>
      </c>
      <c r="AP140" s="19">
        <v>-3.2000999999999999</v>
      </c>
      <c r="AQ140" s="6">
        <v>0.54649999999999999</v>
      </c>
      <c r="AR140" s="6">
        <v>328</v>
      </c>
      <c r="AT140" s="17">
        <v>137</v>
      </c>
      <c r="AU140" s="6">
        <v>0.56727000000000005</v>
      </c>
      <c r="AV140" s="19">
        <v>-3.2000999999999999</v>
      </c>
      <c r="AW140" s="6">
        <v>0.54649999999999999</v>
      </c>
      <c r="AX140" s="6">
        <v>328</v>
      </c>
    </row>
    <row r="141" spans="1:50" x14ac:dyDescent="0.25">
      <c r="A141" s="34" t="s">
        <v>97</v>
      </c>
      <c r="B141" s="35">
        <v>1</v>
      </c>
      <c r="C141" s="35">
        <v>1</v>
      </c>
      <c r="D141" s="35">
        <v>2</v>
      </c>
      <c r="E141" s="35">
        <v>6</v>
      </c>
      <c r="F141" s="2">
        <v>62.1</v>
      </c>
      <c r="G141">
        <v>62.140863787375409</v>
      </c>
      <c r="Q141" s="17">
        <v>139</v>
      </c>
      <c r="R141" s="6">
        <v>2.3963199999999998</v>
      </c>
      <c r="S141" s="6">
        <v>8.8010000000000005E-2</v>
      </c>
      <c r="T141" s="6">
        <v>2.3083999999999998</v>
      </c>
      <c r="U141" s="6">
        <v>328</v>
      </c>
      <c r="W141" s="17">
        <v>139</v>
      </c>
      <c r="X141" s="6">
        <v>4.5411799999999998</v>
      </c>
      <c r="Y141" s="6">
        <v>8.8010000000000005E-2</v>
      </c>
      <c r="Z141" s="6">
        <v>2.3083999999999998</v>
      </c>
      <c r="AA141" s="6">
        <v>328</v>
      </c>
      <c r="AN141" s="17">
        <v>138</v>
      </c>
      <c r="AO141" s="6">
        <v>1.0786500000000001</v>
      </c>
      <c r="AP141" s="19">
        <v>-2.1457000000000002</v>
      </c>
      <c r="AQ141" s="6">
        <v>0.54830000000000001</v>
      </c>
      <c r="AR141" s="6">
        <v>328</v>
      </c>
      <c r="AT141" s="17">
        <v>138</v>
      </c>
      <c r="AU141" s="6">
        <v>0.56918999999999997</v>
      </c>
      <c r="AV141" s="19">
        <v>-2.1457000000000002</v>
      </c>
      <c r="AW141" s="6">
        <v>0.54830000000000001</v>
      </c>
      <c r="AX141" s="6">
        <v>328</v>
      </c>
    </row>
    <row r="142" spans="1:50" x14ac:dyDescent="0.25">
      <c r="A142" s="34" t="s">
        <v>97</v>
      </c>
      <c r="B142" s="35">
        <v>2</v>
      </c>
      <c r="C142" s="35">
        <v>13</v>
      </c>
      <c r="D142" s="35">
        <v>3</v>
      </c>
      <c r="E142" s="35">
        <v>6</v>
      </c>
      <c r="F142" s="2">
        <v>62.2</v>
      </c>
      <c r="G142">
        <v>56.063069569835363</v>
      </c>
      <c r="Q142" s="17">
        <v>140</v>
      </c>
      <c r="R142" s="6">
        <v>2.40848</v>
      </c>
      <c r="S142" s="19">
        <v>-8.5446000000000009</v>
      </c>
      <c r="T142" s="6">
        <v>2.3201000000000001</v>
      </c>
      <c r="U142" s="6">
        <v>328</v>
      </c>
      <c r="W142" s="17">
        <v>140</v>
      </c>
      <c r="X142" s="6">
        <v>4.5642300000000002</v>
      </c>
      <c r="Y142" s="19">
        <v>-8.5446000000000009</v>
      </c>
      <c r="Z142" s="6">
        <v>2.3201000000000001</v>
      </c>
      <c r="AA142" s="6">
        <v>328</v>
      </c>
      <c r="AN142" s="17">
        <v>139</v>
      </c>
      <c r="AO142" s="6">
        <v>1.0742700000000001</v>
      </c>
      <c r="AP142" s="19">
        <v>-2.2362000000000002</v>
      </c>
      <c r="AQ142" s="6">
        <v>0.54610000000000003</v>
      </c>
      <c r="AR142" s="6">
        <v>328</v>
      </c>
      <c r="AT142" s="17">
        <v>139</v>
      </c>
      <c r="AU142" s="6">
        <v>0.56688000000000005</v>
      </c>
      <c r="AV142" s="19">
        <v>-2.2362000000000002</v>
      </c>
      <c r="AW142" s="6">
        <v>0.54610000000000003</v>
      </c>
      <c r="AX142" s="6">
        <v>328</v>
      </c>
    </row>
    <row r="143" spans="1:50" x14ac:dyDescent="0.25">
      <c r="A143" s="34" t="s">
        <v>97</v>
      </c>
      <c r="B143" s="35">
        <v>3</v>
      </c>
      <c r="C143" s="35">
        <v>2</v>
      </c>
      <c r="D143" s="35">
        <v>6</v>
      </c>
      <c r="E143" s="35">
        <v>6</v>
      </c>
      <c r="F143" s="2">
        <v>61.4</v>
      </c>
      <c r="G143">
        <v>57.299530802975397</v>
      </c>
      <c r="Q143" s="17">
        <v>141</v>
      </c>
      <c r="R143" s="6">
        <v>2.4005700000000001</v>
      </c>
      <c r="S143" s="19">
        <v>-1.623</v>
      </c>
      <c r="T143" s="6">
        <v>2.3125</v>
      </c>
      <c r="U143" s="6">
        <v>328</v>
      </c>
      <c r="W143" s="17">
        <v>141</v>
      </c>
      <c r="X143" s="6">
        <v>4.5492499999999998</v>
      </c>
      <c r="Y143" s="19">
        <v>-1.623</v>
      </c>
      <c r="Z143" s="6">
        <v>2.3125</v>
      </c>
      <c r="AA143" s="6">
        <v>328</v>
      </c>
      <c r="AN143" s="17">
        <v>140</v>
      </c>
      <c r="AO143" s="6">
        <v>1.08043</v>
      </c>
      <c r="AP143" s="19">
        <v>-2.5293999999999999</v>
      </c>
      <c r="AQ143" s="6">
        <v>0.54920000000000002</v>
      </c>
      <c r="AR143" s="6">
        <v>328</v>
      </c>
      <c r="AT143" s="17">
        <v>140</v>
      </c>
      <c r="AU143" s="6">
        <v>0.57013000000000003</v>
      </c>
      <c r="AV143" s="19">
        <v>-2.5293999999999999</v>
      </c>
      <c r="AW143" s="6">
        <v>0.54920000000000002</v>
      </c>
      <c r="AX143" s="6">
        <v>328</v>
      </c>
    </row>
    <row r="144" spans="1:50" x14ac:dyDescent="0.25">
      <c r="A144" s="31" t="s">
        <v>132</v>
      </c>
      <c r="B144" s="32">
        <v>1</v>
      </c>
      <c r="C144" s="32">
        <v>21</v>
      </c>
      <c r="D144" s="32">
        <v>2</v>
      </c>
      <c r="E144" s="32">
        <v>6</v>
      </c>
      <c r="F144" s="2">
        <v>60.4</v>
      </c>
      <c r="G144">
        <v>55.558660623885054</v>
      </c>
      <c r="Q144" s="17">
        <v>142</v>
      </c>
      <c r="R144" s="6">
        <v>2.3844599999999998</v>
      </c>
      <c r="S144" s="6">
        <v>1.0777000000000001</v>
      </c>
      <c r="T144" s="6">
        <v>2.2970000000000002</v>
      </c>
      <c r="U144" s="6">
        <v>328</v>
      </c>
      <c r="W144" s="17">
        <v>142</v>
      </c>
      <c r="X144" s="6">
        <v>4.5187200000000001</v>
      </c>
      <c r="Y144" s="6">
        <v>1.0777000000000001</v>
      </c>
      <c r="Z144" s="6">
        <v>2.2970000000000002</v>
      </c>
      <c r="AA144" s="6">
        <v>328</v>
      </c>
      <c r="AN144" s="17">
        <v>141</v>
      </c>
      <c r="AO144" s="6">
        <v>1.06572</v>
      </c>
      <c r="AP144" s="19">
        <v>-2.556</v>
      </c>
      <c r="AQ144" s="6">
        <v>0.54169999999999996</v>
      </c>
      <c r="AR144" s="6">
        <v>328</v>
      </c>
      <c r="AT144" s="17">
        <v>141</v>
      </c>
      <c r="AU144" s="6">
        <v>0.56237000000000004</v>
      </c>
      <c r="AV144" s="19">
        <v>-2.556</v>
      </c>
      <c r="AW144" s="6">
        <v>0.54169999999999996</v>
      </c>
      <c r="AX144" s="6">
        <v>328</v>
      </c>
    </row>
    <row r="145" spans="1:50" x14ac:dyDescent="0.25">
      <c r="A145" s="31" t="s">
        <v>132</v>
      </c>
      <c r="B145" s="32">
        <v>2</v>
      </c>
      <c r="C145" s="32">
        <v>20</v>
      </c>
      <c r="D145" s="32">
        <v>3</v>
      </c>
      <c r="E145" s="32">
        <v>6</v>
      </c>
      <c r="F145" s="2">
        <v>56.3</v>
      </c>
      <c r="G145">
        <v>62.276140275387256</v>
      </c>
      <c r="Q145" s="17">
        <v>143</v>
      </c>
      <c r="R145" s="6">
        <v>2.38889</v>
      </c>
      <c r="S145" s="6">
        <v>8.2530000000000006E-2</v>
      </c>
      <c r="T145" s="6">
        <v>2.3012999999999999</v>
      </c>
      <c r="U145" s="6">
        <v>328</v>
      </c>
      <c r="W145" s="17">
        <v>143</v>
      </c>
      <c r="X145" s="6">
        <v>4.52712</v>
      </c>
      <c r="Y145" s="6">
        <v>8.2530000000000006E-2</v>
      </c>
      <c r="Z145" s="6">
        <v>2.3012999999999999</v>
      </c>
      <c r="AA145" s="6">
        <v>328</v>
      </c>
      <c r="AN145" s="17">
        <v>142</v>
      </c>
      <c r="AO145" s="6">
        <v>1.0670500000000001</v>
      </c>
      <c r="AP145" s="19">
        <v>-1.1765000000000001</v>
      </c>
      <c r="AQ145" s="6">
        <v>0.54239999999999999</v>
      </c>
      <c r="AR145" s="6">
        <v>328</v>
      </c>
      <c r="AT145" s="17">
        <v>142</v>
      </c>
      <c r="AU145" s="6">
        <v>0.56306999999999996</v>
      </c>
      <c r="AV145" s="19">
        <v>-1.1765000000000001</v>
      </c>
      <c r="AW145" s="6">
        <v>0.54239999999999999</v>
      </c>
      <c r="AX145" s="6">
        <v>328</v>
      </c>
    </row>
    <row r="146" spans="1:50" x14ac:dyDescent="0.25">
      <c r="A146" s="31" t="s">
        <v>132</v>
      </c>
      <c r="B146" s="32">
        <v>3</v>
      </c>
      <c r="C146" s="32">
        <v>1</v>
      </c>
      <c r="D146" s="32">
        <v>6</v>
      </c>
      <c r="E146" s="32">
        <v>6</v>
      </c>
      <c r="F146" s="12">
        <v>57.3</v>
      </c>
      <c r="G146">
        <v>55.881445904954496</v>
      </c>
      <c r="Q146" s="17">
        <v>144</v>
      </c>
      <c r="R146" s="6">
        <v>2.3818100000000002</v>
      </c>
      <c r="S146" s="6">
        <v>3.1514000000000002</v>
      </c>
      <c r="T146" s="6">
        <v>2.2944</v>
      </c>
      <c r="U146" s="6">
        <v>328</v>
      </c>
      <c r="W146" s="17">
        <v>144</v>
      </c>
      <c r="X146" s="6">
        <v>4.5136900000000004</v>
      </c>
      <c r="Y146" s="6">
        <v>3.1514000000000002</v>
      </c>
      <c r="Z146" s="6">
        <v>2.2944</v>
      </c>
      <c r="AA146" s="6">
        <v>328</v>
      </c>
      <c r="AN146" s="17">
        <v>143</v>
      </c>
      <c r="AO146" s="6">
        <v>1.0717699999999999</v>
      </c>
      <c r="AP146" s="19">
        <v>-2.6522000000000001</v>
      </c>
      <c r="AQ146" s="6">
        <v>0.54479999999999995</v>
      </c>
      <c r="AR146" s="6">
        <v>328</v>
      </c>
      <c r="AT146" s="17">
        <v>143</v>
      </c>
      <c r="AU146" s="6">
        <v>0.56555999999999995</v>
      </c>
      <c r="AV146" s="19">
        <v>-2.6522000000000001</v>
      </c>
      <c r="AW146" s="6">
        <v>0.54479999999999995</v>
      </c>
      <c r="AX146" s="6">
        <v>328</v>
      </c>
    </row>
    <row r="147" spans="1:50" x14ac:dyDescent="0.25">
      <c r="A147" s="31" t="s">
        <v>13</v>
      </c>
      <c r="B147" s="32">
        <v>1</v>
      </c>
      <c r="C147" s="36">
        <v>2</v>
      </c>
      <c r="D147" s="36">
        <v>1</v>
      </c>
      <c r="E147" s="32">
        <v>6</v>
      </c>
      <c r="F147" s="12">
        <v>57.6</v>
      </c>
      <c r="G147">
        <v>61.439399999999992</v>
      </c>
      <c r="Q147" s="17">
        <v>145</v>
      </c>
      <c r="R147" s="6">
        <v>2.3894199999999999</v>
      </c>
      <c r="S147" s="6">
        <v>3.2692999999999999</v>
      </c>
      <c r="T147" s="6">
        <v>2.3018000000000001</v>
      </c>
      <c r="U147" s="6">
        <v>328</v>
      </c>
      <c r="W147" s="17">
        <v>145</v>
      </c>
      <c r="X147" s="6">
        <v>4.5281200000000004</v>
      </c>
      <c r="Y147" s="6">
        <v>3.2692999999999999</v>
      </c>
      <c r="Z147" s="6">
        <v>2.3018000000000001</v>
      </c>
      <c r="AA147" s="6">
        <v>328</v>
      </c>
      <c r="AN147" s="17">
        <v>144</v>
      </c>
      <c r="AO147" s="6">
        <v>1.06626</v>
      </c>
      <c r="AP147" s="19">
        <v>-2.6453000000000002</v>
      </c>
      <c r="AQ147" s="6">
        <v>0.54200000000000004</v>
      </c>
      <c r="AR147" s="6">
        <v>328</v>
      </c>
      <c r="AT147" s="17">
        <v>144</v>
      </c>
      <c r="AU147" s="6">
        <v>0.56264999999999998</v>
      </c>
      <c r="AV147" s="19">
        <v>-2.6453000000000002</v>
      </c>
      <c r="AW147" s="6">
        <v>0.54200000000000004</v>
      </c>
      <c r="AX147" s="6">
        <v>328</v>
      </c>
    </row>
    <row r="148" spans="1:50" x14ac:dyDescent="0.25">
      <c r="A148" s="31" t="s">
        <v>13</v>
      </c>
      <c r="B148" s="32">
        <v>2</v>
      </c>
      <c r="C148" s="36">
        <v>9</v>
      </c>
      <c r="D148" s="36">
        <v>3</v>
      </c>
      <c r="E148" s="32">
        <v>6</v>
      </c>
      <c r="F148" s="12">
        <v>58</v>
      </c>
      <c r="G148">
        <v>62.391559999999998</v>
      </c>
      <c r="Q148" s="17">
        <v>146</v>
      </c>
      <c r="R148" s="6">
        <v>2.3920599999999999</v>
      </c>
      <c r="S148" s="19">
        <v>-5.3544999999999998</v>
      </c>
      <c r="T148" s="6">
        <v>2.3043</v>
      </c>
      <c r="U148" s="6">
        <v>328</v>
      </c>
      <c r="W148" s="17">
        <v>146</v>
      </c>
      <c r="X148" s="6">
        <v>4.5331099999999998</v>
      </c>
      <c r="Y148" s="19">
        <v>-5.3544999999999998</v>
      </c>
      <c r="Z148" s="6">
        <v>2.3043</v>
      </c>
      <c r="AA148" s="6">
        <v>328</v>
      </c>
      <c r="AN148" s="17">
        <v>145</v>
      </c>
      <c r="AO148" s="6">
        <v>1.0702700000000001</v>
      </c>
      <c r="AP148" s="19">
        <v>-2.0788000000000002</v>
      </c>
      <c r="AQ148" s="6">
        <v>0.54410000000000003</v>
      </c>
      <c r="AR148" s="6">
        <v>328</v>
      </c>
      <c r="AT148" s="17">
        <v>145</v>
      </c>
      <c r="AU148" s="6">
        <v>0.56476999999999999</v>
      </c>
      <c r="AV148" s="19">
        <v>-2.0788000000000002</v>
      </c>
      <c r="AW148" s="6">
        <v>0.54410000000000003</v>
      </c>
      <c r="AX148" s="6">
        <v>328</v>
      </c>
    </row>
    <row r="149" spans="1:50" x14ac:dyDescent="0.25">
      <c r="A149" s="31" t="s">
        <v>13</v>
      </c>
      <c r="B149" s="32">
        <v>3</v>
      </c>
      <c r="C149" s="36">
        <v>6</v>
      </c>
      <c r="D149" s="36">
        <v>6</v>
      </c>
      <c r="E149" s="32">
        <v>6</v>
      </c>
      <c r="F149" s="12">
        <v>57.6</v>
      </c>
      <c r="G149">
        <v>56.618099999999998</v>
      </c>
      <c r="Q149" s="17">
        <v>147</v>
      </c>
      <c r="R149" s="6">
        <v>2.3862800000000002</v>
      </c>
      <c r="S149" s="19">
        <v>-1.6888000000000001</v>
      </c>
      <c r="T149" s="6">
        <v>2.2988</v>
      </c>
      <c r="U149" s="6">
        <v>328</v>
      </c>
      <c r="W149" s="17">
        <v>147</v>
      </c>
      <c r="X149" s="6">
        <v>4.52217</v>
      </c>
      <c r="Y149" s="19">
        <v>-1.6888000000000001</v>
      </c>
      <c r="Z149" s="6">
        <v>2.2988</v>
      </c>
      <c r="AA149" s="6">
        <v>328</v>
      </c>
      <c r="AN149" s="17">
        <v>146</v>
      </c>
      <c r="AO149" s="6">
        <v>1.07283</v>
      </c>
      <c r="AP149" s="19">
        <v>-4.4683000000000002</v>
      </c>
      <c r="AQ149" s="6">
        <v>0.5454</v>
      </c>
      <c r="AR149" s="6">
        <v>328</v>
      </c>
      <c r="AT149" s="17">
        <v>146</v>
      </c>
      <c r="AU149" s="6">
        <v>0.56611999999999996</v>
      </c>
      <c r="AV149" s="19">
        <v>-4.4683000000000002</v>
      </c>
      <c r="AW149" s="6">
        <v>0.5454</v>
      </c>
      <c r="AX149" s="6">
        <v>328</v>
      </c>
    </row>
    <row r="150" spans="1:50" x14ac:dyDescent="0.25">
      <c r="A150" t="s">
        <v>7</v>
      </c>
      <c r="B150" s="11">
        <v>1</v>
      </c>
      <c r="C150" s="11">
        <v>12</v>
      </c>
      <c r="D150" s="11">
        <v>1</v>
      </c>
      <c r="E150" s="11">
        <v>6</v>
      </c>
      <c r="F150" s="12">
        <v>57</v>
      </c>
      <c r="G150">
        <v>43.668387605042007</v>
      </c>
      <c r="Q150" s="17">
        <v>148</v>
      </c>
      <c r="R150" s="6">
        <v>2.3950399999999998</v>
      </c>
      <c r="S150" s="6">
        <v>7.4409999999999997E-3</v>
      </c>
      <c r="T150" s="6">
        <v>2.3071999999999999</v>
      </c>
      <c r="U150" s="6">
        <v>328</v>
      </c>
      <c r="W150" s="17">
        <v>148</v>
      </c>
      <c r="X150" s="6">
        <v>4.5387700000000004</v>
      </c>
      <c r="Y150" s="6">
        <v>7.4409999999999997E-3</v>
      </c>
      <c r="Z150" s="6">
        <v>2.3071999999999999</v>
      </c>
      <c r="AA150" s="6">
        <v>328</v>
      </c>
      <c r="AN150" s="17">
        <v>147</v>
      </c>
      <c r="AO150" s="6">
        <v>1.0686599999999999</v>
      </c>
      <c r="AP150" s="19">
        <v>-2.3972000000000002</v>
      </c>
      <c r="AQ150" s="6">
        <v>0.54320000000000002</v>
      </c>
      <c r="AR150" s="6">
        <v>328</v>
      </c>
      <c r="AT150" s="17">
        <v>147</v>
      </c>
      <c r="AU150" s="6">
        <v>0.56391999999999998</v>
      </c>
      <c r="AV150" s="19">
        <v>-2.3972000000000002</v>
      </c>
      <c r="AW150" s="6">
        <v>0.54320000000000002</v>
      </c>
      <c r="AX150" s="6">
        <v>328</v>
      </c>
    </row>
    <row r="151" spans="1:50" x14ac:dyDescent="0.25">
      <c r="A151" t="s">
        <v>7</v>
      </c>
      <c r="B151" s="11">
        <v>2</v>
      </c>
      <c r="C151" s="11">
        <v>3</v>
      </c>
      <c r="D151" s="11">
        <v>7</v>
      </c>
      <c r="E151" s="11">
        <v>6</v>
      </c>
      <c r="F151" s="12">
        <v>54.8</v>
      </c>
      <c r="G151">
        <v>39.559517257909867</v>
      </c>
      <c r="Q151" s="17">
        <v>149</v>
      </c>
      <c r="R151" s="6">
        <v>2.3979599999999999</v>
      </c>
      <c r="S151" s="19">
        <v>-1.3865000000000001</v>
      </c>
      <c r="T151" s="6">
        <v>2.31</v>
      </c>
      <c r="U151" s="6">
        <v>328</v>
      </c>
      <c r="W151" s="17">
        <v>149</v>
      </c>
      <c r="X151" s="6">
        <v>4.5442999999999998</v>
      </c>
      <c r="Y151" s="19">
        <v>-1.3865000000000001</v>
      </c>
      <c r="Z151" s="6">
        <v>2.31</v>
      </c>
      <c r="AA151" s="6">
        <v>328</v>
      </c>
      <c r="AN151" s="17">
        <v>148</v>
      </c>
      <c r="AO151" s="6">
        <v>1.07372</v>
      </c>
      <c r="AP151" s="19">
        <v>-2.1838000000000002</v>
      </c>
      <c r="AQ151" s="6">
        <v>0.54579999999999995</v>
      </c>
      <c r="AR151" s="6">
        <v>328</v>
      </c>
      <c r="AT151" s="17">
        <v>148</v>
      </c>
      <c r="AU151" s="6">
        <v>0.56659000000000004</v>
      </c>
      <c r="AV151" s="19">
        <v>-2.1838000000000002</v>
      </c>
      <c r="AW151" s="6">
        <v>0.54579999999999995</v>
      </c>
      <c r="AX151" s="6">
        <v>328</v>
      </c>
    </row>
    <row r="152" spans="1:50" x14ac:dyDescent="0.25">
      <c r="A152" t="s">
        <v>7</v>
      </c>
      <c r="B152" s="11">
        <v>3</v>
      </c>
      <c r="C152" s="11">
        <v>10</v>
      </c>
      <c r="D152" s="11">
        <v>12</v>
      </c>
      <c r="E152" s="11">
        <v>6</v>
      </c>
      <c r="F152" s="2">
        <v>49</v>
      </c>
      <c r="G152">
        <v>32.178789542106017</v>
      </c>
      <c r="Q152" s="17">
        <v>150</v>
      </c>
      <c r="R152" s="6">
        <v>2.3870300000000002</v>
      </c>
      <c r="S152" s="19">
        <v>-0.31979999999999997</v>
      </c>
      <c r="T152" s="6">
        <v>2.2995000000000001</v>
      </c>
      <c r="U152" s="6">
        <v>328</v>
      </c>
      <c r="W152" s="17">
        <v>150</v>
      </c>
      <c r="X152" s="6">
        <v>4.5235799999999999</v>
      </c>
      <c r="Y152" s="19">
        <v>-0.31979999999999997</v>
      </c>
      <c r="Z152" s="6">
        <v>2.2995000000000001</v>
      </c>
      <c r="AA152" s="6">
        <v>328</v>
      </c>
      <c r="AN152" s="17">
        <v>149</v>
      </c>
      <c r="AO152" s="6">
        <v>1.0768800000000001</v>
      </c>
      <c r="AP152" s="19">
        <v>-2.4729999999999999</v>
      </c>
      <c r="AQ152" s="6">
        <v>0.5474</v>
      </c>
      <c r="AR152" s="6">
        <v>328</v>
      </c>
      <c r="AT152" s="17">
        <v>149</v>
      </c>
      <c r="AU152" s="6">
        <v>0.56825999999999999</v>
      </c>
      <c r="AV152" s="19">
        <v>-2.4729999999999999</v>
      </c>
      <c r="AW152" s="6">
        <v>0.5474</v>
      </c>
      <c r="AX152" s="6">
        <v>328</v>
      </c>
    </row>
    <row r="153" spans="1:50" x14ac:dyDescent="0.25">
      <c r="A153" s="31" t="s">
        <v>156</v>
      </c>
      <c r="B153" s="32">
        <v>1</v>
      </c>
      <c r="C153" s="32">
        <v>7</v>
      </c>
      <c r="D153" s="32">
        <v>1</v>
      </c>
      <c r="E153" s="32">
        <v>6</v>
      </c>
      <c r="F153" s="2">
        <v>50</v>
      </c>
      <c r="G153">
        <v>24.670145123185957</v>
      </c>
      <c r="Q153" s="17">
        <v>151</v>
      </c>
      <c r="R153" s="6">
        <v>2.3879899999999998</v>
      </c>
      <c r="S153" s="19">
        <v>-1.8884000000000001</v>
      </c>
      <c r="T153" s="6">
        <v>2.3003999999999998</v>
      </c>
      <c r="U153" s="6">
        <v>328</v>
      </c>
      <c r="W153" s="17">
        <v>151</v>
      </c>
      <c r="X153" s="6">
        <v>4.5254000000000003</v>
      </c>
      <c r="Y153" s="19">
        <v>-1.8884000000000001</v>
      </c>
      <c r="Z153" s="6">
        <v>2.3003999999999998</v>
      </c>
      <c r="AA153" s="6">
        <v>328</v>
      </c>
      <c r="AN153" s="17">
        <v>150</v>
      </c>
      <c r="AO153" s="6">
        <v>1.0683</v>
      </c>
      <c r="AP153" s="19">
        <v>-3.5535000000000001</v>
      </c>
      <c r="AQ153" s="6">
        <v>0.54300000000000004</v>
      </c>
      <c r="AR153" s="6">
        <v>328</v>
      </c>
      <c r="AT153" s="17">
        <v>150</v>
      </c>
      <c r="AU153" s="6">
        <v>0.56372999999999995</v>
      </c>
      <c r="AV153" s="19">
        <v>-3.5535000000000001</v>
      </c>
      <c r="AW153" s="6">
        <v>0.54300000000000004</v>
      </c>
      <c r="AX153" s="6">
        <v>328</v>
      </c>
    </row>
    <row r="154" spans="1:50" x14ac:dyDescent="0.25">
      <c r="A154" s="31" t="s">
        <v>156</v>
      </c>
      <c r="B154" s="32">
        <v>2</v>
      </c>
      <c r="C154" s="32">
        <v>9</v>
      </c>
      <c r="D154" s="32">
        <v>4</v>
      </c>
      <c r="E154" s="32">
        <v>6</v>
      </c>
      <c r="F154" s="2">
        <v>51.1</v>
      </c>
      <c r="G154">
        <v>34.34497975905964</v>
      </c>
      <c r="Q154" s="17">
        <v>152</v>
      </c>
      <c r="R154" s="6">
        <v>2.38551</v>
      </c>
      <c r="S154" s="19">
        <v>-1.3853</v>
      </c>
      <c r="T154" s="6">
        <v>2.298</v>
      </c>
      <c r="U154" s="6">
        <v>328</v>
      </c>
      <c r="W154" s="17">
        <v>152</v>
      </c>
      <c r="X154" s="6">
        <v>4.5207199999999998</v>
      </c>
      <c r="Y154" s="19">
        <v>-1.3853</v>
      </c>
      <c r="Z154" s="6">
        <v>2.298</v>
      </c>
      <c r="AA154" s="6">
        <v>328</v>
      </c>
      <c r="AN154" s="17">
        <v>151</v>
      </c>
      <c r="AO154" s="6">
        <v>1.0658000000000001</v>
      </c>
      <c r="AP154" s="19">
        <v>-3.214</v>
      </c>
      <c r="AQ154" s="6">
        <v>0.54179999999999995</v>
      </c>
      <c r="AR154" s="6">
        <v>328</v>
      </c>
      <c r="AT154" s="17">
        <v>151</v>
      </c>
      <c r="AU154" s="6">
        <v>0.56240999999999997</v>
      </c>
      <c r="AV154" s="19">
        <v>-3.214</v>
      </c>
      <c r="AW154" s="6">
        <v>0.54179999999999995</v>
      </c>
      <c r="AX154" s="6">
        <v>328</v>
      </c>
    </row>
    <row r="155" spans="1:50" x14ac:dyDescent="0.25">
      <c r="A155" s="31" t="s">
        <v>156</v>
      </c>
      <c r="B155" s="32">
        <v>3</v>
      </c>
      <c r="C155" s="32">
        <v>11</v>
      </c>
      <c r="D155" s="32">
        <v>5</v>
      </c>
      <c r="E155" s="32">
        <v>6</v>
      </c>
      <c r="F155" s="2">
        <v>55.2</v>
      </c>
      <c r="G155">
        <v>41.220807815069158</v>
      </c>
      <c r="Q155" s="17">
        <v>153</v>
      </c>
      <c r="R155" s="6">
        <v>2.4047100000000001</v>
      </c>
      <c r="S155" s="6">
        <v>5.9118000000000004</v>
      </c>
      <c r="T155" s="6">
        <v>2.3165</v>
      </c>
      <c r="U155" s="6">
        <v>328</v>
      </c>
      <c r="W155" s="17">
        <v>153</v>
      </c>
      <c r="X155" s="6">
        <v>4.5570899999999996</v>
      </c>
      <c r="Y155" s="6">
        <v>5.9118000000000004</v>
      </c>
      <c r="Z155" s="6">
        <v>2.3165</v>
      </c>
      <c r="AA155" s="6">
        <v>328</v>
      </c>
      <c r="AN155" s="17">
        <v>152</v>
      </c>
      <c r="AO155" s="6">
        <v>1.06819</v>
      </c>
      <c r="AP155" s="19">
        <v>-3.7408000000000001</v>
      </c>
      <c r="AQ155" s="6">
        <v>0.54300000000000004</v>
      </c>
      <c r="AR155" s="6">
        <v>328</v>
      </c>
      <c r="AT155" s="17">
        <v>152</v>
      </c>
      <c r="AU155" s="6">
        <v>0.56367</v>
      </c>
      <c r="AV155" s="19">
        <v>-3.7408000000000001</v>
      </c>
      <c r="AW155" s="6">
        <v>0.54300000000000004</v>
      </c>
      <c r="AX155" s="6">
        <v>328</v>
      </c>
    </row>
    <row r="156" spans="1:50" x14ac:dyDescent="0.25">
      <c r="A156" s="31" t="s">
        <v>10</v>
      </c>
      <c r="B156" s="32">
        <v>1</v>
      </c>
      <c r="C156" s="32">
        <v>1</v>
      </c>
      <c r="D156" s="32">
        <v>2</v>
      </c>
      <c r="E156" s="32">
        <v>6</v>
      </c>
      <c r="F156" s="2">
        <v>57.3</v>
      </c>
      <c r="G156">
        <v>53.325292503250026</v>
      </c>
      <c r="Q156" s="17">
        <v>154</v>
      </c>
      <c r="R156" s="6">
        <v>2.3885299999999998</v>
      </c>
      <c r="S156" s="6">
        <v>0.41899999999999998</v>
      </c>
      <c r="T156" s="6">
        <v>2.3008999999999999</v>
      </c>
      <c r="U156" s="6">
        <v>328</v>
      </c>
      <c r="W156" s="17">
        <v>154</v>
      </c>
      <c r="X156" s="6">
        <v>4.52644</v>
      </c>
      <c r="Y156" s="6">
        <v>0.41899999999999998</v>
      </c>
      <c r="Z156" s="6">
        <v>2.3008999999999999</v>
      </c>
      <c r="AA156" s="6">
        <v>328</v>
      </c>
      <c r="AN156" s="17">
        <v>153</v>
      </c>
      <c r="AO156" s="6">
        <v>1.0842499999999999</v>
      </c>
      <c r="AP156" s="19">
        <v>-1.9511000000000001</v>
      </c>
      <c r="AQ156" s="6">
        <v>0.55120000000000002</v>
      </c>
      <c r="AR156" s="6">
        <v>328</v>
      </c>
      <c r="AT156" s="17">
        <v>153</v>
      </c>
      <c r="AU156" s="6">
        <v>0.57213999999999998</v>
      </c>
      <c r="AV156" s="19">
        <v>-1.9511000000000001</v>
      </c>
      <c r="AW156" s="6">
        <v>0.55120000000000002</v>
      </c>
      <c r="AX156" s="6">
        <v>328</v>
      </c>
    </row>
    <row r="157" spans="1:50" x14ac:dyDescent="0.25">
      <c r="A157" s="31" t="s">
        <v>10</v>
      </c>
      <c r="B157" s="32">
        <v>2</v>
      </c>
      <c r="C157" s="32">
        <v>13</v>
      </c>
      <c r="D157" s="32">
        <v>6</v>
      </c>
      <c r="E157" s="32">
        <v>6</v>
      </c>
      <c r="F157" s="2">
        <v>58.6</v>
      </c>
      <c r="G157">
        <v>48.025135951661618</v>
      </c>
      <c r="Q157" s="17">
        <v>155</v>
      </c>
      <c r="R157" s="6">
        <v>2.39412</v>
      </c>
      <c r="S157" s="6">
        <v>10.137600000000001</v>
      </c>
      <c r="T157" s="6">
        <v>2.3062999999999998</v>
      </c>
      <c r="U157" s="6">
        <v>328</v>
      </c>
      <c r="W157" s="17">
        <v>155</v>
      </c>
      <c r="X157" s="6">
        <v>4.5370200000000001</v>
      </c>
      <c r="Y157" s="6">
        <v>10.137600000000001</v>
      </c>
      <c r="Z157" s="6">
        <v>2.3062999999999998</v>
      </c>
      <c r="AA157" s="6">
        <v>328</v>
      </c>
      <c r="AN157" s="17">
        <v>154</v>
      </c>
      <c r="AO157" s="6">
        <v>1.0676699999999999</v>
      </c>
      <c r="AP157" s="19">
        <v>-3.6696</v>
      </c>
      <c r="AQ157" s="6">
        <v>0.54269999999999996</v>
      </c>
      <c r="AR157" s="6">
        <v>328</v>
      </c>
      <c r="AT157" s="17">
        <v>154</v>
      </c>
      <c r="AU157" s="6">
        <v>0.56338999999999995</v>
      </c>
      <c r="AV157" s="19">
        <v>-3.6696</v>
      </c>
      <c r="AW157" s="6">
        <v>0.54269999999999996</v>
      </c>
      <c r="AX157" s="6">
        <v>328</v>
      </c>
    </row>
    <row r="158" spans="1:50" x14ac:dyDescent="0.25">
      <c r="A158" s="31" t="s">
        <v>10</v>
      </c>
      <c r="B158" s="32">
        <v>3</v>
      </c>
      <c r="C158" s="32">
        <v>9</v>
      </c>
      <c r="D158" s="32">
        <v>9</v>
      </c>
      <c r="E158" s="32">
        <v>6</v>
      </c>
      <c r="F158" s="2">
        <v>57.8</v>
      </c>
      <c r="G158">
        <v>51.017648426150117</v>
      </c>
      <c r="Q158" s="17">
        <v>156</v>
      </c>
      <c r="R158" s="6">
        <v>2.3787099999999999</v>
      </c>
      <c r="S158" s="6">
        <v>5.3608000000000002</v>
      </c>
      <c r="T158" s="6">
        <v>2.2915000000000001</v>
      </c>
      <c r="U158" s="6">
        <v>328</v>
      </c>
      <c r="W158" s="17">
        <v>156</v>
      </c>
      <c r="X158" s="6">
        <v>4.5078199999999997</v>
      </c>
      <c r="Y158" s="6">
        <v>5.3608000000000002</v>
      </c>
      <c r="Z158" s="6">
        <v>2.2915000000000001</v>
      </c>
      <c r="AA158" s="6">
        <v>328</v>
      </c>
      <c r="AN158" s="17">
        <v>155</v>
      </c>
      <c r="AO158" s="6">
        <v>1.0752999999999999</v>
      </c>
      <c r="AP158" s="19">
        <v>-1.1586000000000001</v>
      </c>
      <c r="AQ158" s="6">
        <v>0.54659999999999997</v>
      </c>
      <c r="AR158" s="6">
        <v>328</v>
      </c>
      <c r="AT158" s="17">
        <v>155</v>
      </c>
      <c r="AU158" s="6">
        <v>0.56742000000000004</v>
      </c>
      <c r="AV158" s="19">
        <v>-1.1586000000000001</v>
      </c>
      <c r="AW158" s="6">
        <v>0.54659999999999997</v>
      </c>
      <c r="AX158" s="6">
        <v>328</v>
      </c>
    </row>
    <row r="159" spans="1:50" x14ac:dyDescent="0.25">
      <c r="A159" s="31" t="s">
        <v>11</v>
      </c>
      <c r="B159" s="32">
        <v>1</v>
      </c>
      <c r="C159" s="32">
        <v>4</v>
      </c>
      <c r="D159" s="32">
        <v>2</v>
      </c>
      <c r="E159" s="11">
        <v>6</v>
      </c>
      <c r="F159" s="2">
        <v>59.4</v>
      </c>
      <c r="G159">
        <v>32.998542648737164</v>
      </c>
      <c r="Q159" s="17">
        <v>157</v>
      </c>
      <c r="R159" s="6">
        <v>2.3934700000000002</v>
      </c>
      <c r="S159" s="19">
        <v>-0.61770000000000003</v>
      </c>
      <c r="T159" s="6">
        <v>2.3056999999999999</v>
      </c>
      <c r="U159" s="6">
        <v>328</v>
      </c>
      <c r="W159" s="17">
        <v>157</v>
      </c>
      <c r="X159" s="6">
        <v>4.5357900000000004</v>
      </c>
      <c r="Y159" s="19">
        <v>-0.61770000000000003</v>
      </c>
      <c r="Z159" s="6">
        <v>2.3056999999999999</v>
      </c>
      <c r="AA159" s="6">
        <v>328</v>
      </c>
      <c r="AN159" s="17">
        <v>156</v>
      </c>
      <c r="AO159" s="6">
        <v>1.0631600000000001</v>
      </c>
      <c r="AP159" s="19">
        <v>-2.0301999999999998</v>
      </c>
      <c r="AQ159" s="6">
        <v>0.54039999999999999</v>
      </c>
      <c r="AR159" s="6">
        <v>328</v>
      </c>
      <c r="AT159" s="17">
        <v>156</v>
      </c>
      <c r="AU159" s="6">
        <v>0.56101999999999996</v>
      </c>
      <c r="AV159" s="19">
        <v>-2.0301999999999998</v>
      </c>
      <c r="AW159" s="6">
        <v>0.54039999999999999</v>
      </c>
      <c r="AX159" s="6">
        <v>328</v>
      </c>
    </row>
    <row r="160" spans="1:50" x14ac:dyDescent="0.25">
      <c r="A160" s="31" t="s">
        <v>11</v>
      </c>
      <c r="B160" s="32">
        <v>2</v>
      </c>
      <c r="C160" s="32">
        <v>2</v>
      </c>
      <c r="D160" s="32">
        <v>5</v>
      </c>
      <c r="E160" s="11">
        <v>6</v>
      </c>
      <c r="F160" s="2">
        <v>60.1</v>
      </c>
      <c r="G160">
        <v>42.66098271155596</v>
      </c>
      <c r="Q160" s="17">
        <v>158</v>
      </c>
      <c r="R160" s="6">
        <v>2.3924300000000001</v>
      </c>
      <c r="S160" s="6">
        <v>1.3838999999999999</v>
      </c>
      <c r="T160" s="6">
        <v>2.3047</v>
      </c>
      <c r="U160" s="6">
        <v>328</v>
      </c>
      <c r="W160" s="17">
        <v>158</v>
      </c>
      <c r="X160" s="6">
        <v>4.5338099999999999</v>
      </c>
      <c r="Y160" s="6">
        <v>1.3838999999999999</v>
      </c>
      <c r="Z160" s="6">
        <v>2.3047</v>
      </c>
      <c r="AA160" s="6">
        <v>328</v>
      </c>
      <c r="AN160" s="17">
        <v>157</v>
      </c>
      <c r="AO160" s="6">
        <v>1.07301</v>
      </c>
      <c r="AP160" s="19">
        <v>-2.4781</v>
      </c>
      <c r="AQ160" s="6">
        <v>0.5454</v>
      </c>
      <c r="AR160" s="6">
        <v>328</v>
      </c>
      <c r="AT160" s="17">
        <v>157</v>
      </c>
      <c r="AU160" s="6">
        <v>0.56620999999999999</v>
      </c>
      <c r="AV160" s="19">
        <v>-2.4781</v>
      </c>
      <c r="AW160" s="6">
        <v>0.5454</v>
      </c>
      <c r="AX160" s="6">
        <v>328</v>
      </c>
    </row>
    <row r="161" spans="1:50" x14ac:dyDescent="0.25">
      <c r="A161" s="31" t="s">
        <v>11</v>
      </c>
      <c r="B161" s="32">
        <v>3</v>
      </c>
      <c r="C161" s="32">
        <v>11</v>
      </c>
      <c r="D161" s="32">
        <v>8</v>
      </c>
      <c r="E161" s="11">
        <v>6</v>
      </c>
      <c r="F161" s="2">
        <v>60</v>
      </c>
      <c r="G161">
        <v>50.071120129870124</v>
      </c>
      <c r="Q161" s="17">
        <v>159</v>
      </c>
      <c r="R161" s="6">
        <v>2.38645</v>
      </c>
      <c r="S161" s="6">
        <v>9.5487000000000002</v>
      </c>
      <c r="T161" s="6">
        <v>2.2989000000000002</v>
      </c>
      <c r="U161" s="6">
        <v>328</v>
      </c>
      <c r="W161" s="17">
        <v>159</v>
      </c>
      <c r="X161" s="6">
        <v>4.5224799999999998</v>
      </c>
      <c r="Y161" s="6">
        <v>9.5487000000000002</v>
      </c>
      <c r="Z161" s="6">
        <v>2.2989000000000002</v>
      </c>
      <c r="AA161" s="6">
        <v>328</v>
      </c>
      <c r="AN161" s="17">
        <v>158</v>
      </c>
      <c r="AO161" s="6">
        <v>1.07447</v>
      </c>
      <c r="AP161" s="19">
        <v>-2.4802</v>
      </c>
      <c r="AQ161" s="6">
        <v>0.54620000000000002</v>
      </c>
      <c r="AR161" s="6">
        <v>328</v>
      </c>
      <c r="AT161" s="17">
        <v>158</v>
      </c>
      <c r="AU161" s="6">
        <v>0.56698000000000004</v>
      </c>
      <c r="AV161" s="19">
        <v>-2.4802</v>
      </c>
      <c r="AW161" s="6">
        <v>0.54620000000000002</v>
      </c>
      <c r="AX161" s="6">
        <v>328</v>
      </c>
    </row>
    <row r="162" spans="1:50" x14ac:dyDescent="0.25">
      <c r="A162" t="s">
        <v>160</v>
      </c>
      <c r="B162">
        <v>1</v>
      </c>
      <c r="C162" s="36">
        <v>15</v>
      </c>
      <c r="D162" s="36">
        <v>1</v>
      </c>
      <c r="E162" s="32">
        <v>6</v>
      </c>
      <c r="F162" s="13">
        <v>60.1</v>
      </c>
      <c r="G162">
        <v>74.346652323580017</v>
      </c>
      <c r="Q162" s="17">
        <v>160</v>
      </c>
      <c r="R162" s="6">
        <v>2.37887</v>
      </c>
      <c r="S162" s="19">
        <v>-3.3309000000000002</v>
      </c>
      <c r="T162" s="6">
        <v>2.2915999999999999</v>
      </c>
      <c r="U162" s="6">
        <v>328</v>
      </c>
      <c r="W162" s="17">
        <v>160</v>
      </c>
      <c r="X162" s="6">
        <v>4.5081100000000003</v>
      </c>
      <c r="Y162" s="19">
        <v>-3.3309000000000002</v>
      </c>
      <c r="Z162" s="6">
        <v>2.2915999999999999</v>
      </c>
      <c r="AA162" s="6">
        <v>328</v>
      </c>
      <c r="AN162" s="17">
        <v>159</v>
      </c>
      <c r="AO162" s="6">
        <v>1.0675300000000001</v>
      </c>
      <c r="AP162" s="19">
        <v>-0.27350000000000002</v>
      </c>
      <c r="AQ162" s="6">
        <v>0.54269999999999996</v>
      </c>
      <c r="AR162" s="6">
        <v>328</v>
      </c>
      <c r="AT162" s="17">
        <v>159</v>
      </c>
      <c r="AU162" s="6">
        <v>0.56332000000000004</v>
      </c>
      <c r="AV162" s="19">
        <v>-0.27350000000000002</v>
      </c>
      <c r="AW162" s="6">
        <v>0.54269999999999996</v>
      </c>
      <c r="AX162" s="6">
        <v>328</v>
      </c>
    </row>
    <row r="163" spans="1:50" x14ac:dyDescent="0.25">
      <c r="A163" t="s">
        <v>160</v>
      </c>
      <c r="B163">
        <v>2</v>
      </c>
      <c r="C163" s="36">
        <v>9</v>
      </c>
      <c r="D163" s="36">
        <v>4</v>
      </c>
      <c r="E163" s="32">
        <v>6</v>
      </c>
      <c r="F163" s="13">
        <v>60.4</v>
      </c>
      <c r="G163">
        <v>70.49640534063677</v>
      </c>
      <c r="Q163" s="17">
        <v>161</v>
      </c>
      <c r="R163" s="6">
        <v>2.3724400000000001</v>
      </c>
      <c r="S163" s="6">
        <v>4.0490000000000004</v>
      </c>
      <c r="T163" s="6">
        <v>2.2854000000000001</v>
      </c>
      <c r="U163" s="6">
        <v>328</v>
      </c>
      <c r="W163" s="17">
        <v>161</v>
      </c>
      <c r="X163" s="6">
        <v>4.4959300000000004</v>
      </c>
      <c r="Y163" s="6">
        <v>4.0490000000000004</v>
      </c>
      <c r="Z163" s="6">
        <v>2.2854000000000001</v>
      </c>
      <c r="AA163" s="6">
        <v>328</v>
      </c>
      <c r="AN163" s="17">
        <v>160</v>
      </c>
      <c r="AO163" s="6">
        <v>1.0647599999999999</v>
      </c>
      <c r="AP163" s="19">
        <v>-1.1854</v>
      </c>
      <c r="AQ163" s="6">
        <v>0.5413</v>
      </c>
      <c r="AR163" s="6">
        <v>328</v>
      </c>
      <c r="AT163" s="17">
        <v>160</v>
      </c>
      <c r="AU163" s="6">
        <v>0.56186000000000003</v>
      </c>
      <c r="AV163" s="19">
        <v>-1.1854</v>
      </c>
      <c r="AW163" s="6">
        <v>0.5413</v>
      </c>
      <c r="AX163" s="6">
        <v>328</v>
      </c>
    </row>
    <row r="164" spans="1:50" x14ac:dyDescent="0.25">
      <c r="A164" t="s">
        <v>160</v>
      </c>
      <c r="B164">
        <v>3</v>
      </c>
      <c r="C164" s="36">
        <v>7</v>
      </c>
      <c r="D164" s="36">
        <v>6</v>
      </c>
      <c r="E164" s="32">
        <v>6</v>
      </c>
      <c r="F164" s="13">
        <v>60.3</v>
      </c>
      <c r="G164">
        <v>74.412282650325537</v>
      </c>
      <c r="Q164" s="17">
        <v>162</v>
      </c>
      <c r="R164" s="6">
        <v>2.3774899999999999</v>
      </c>
      <c r="S164" s="6">
        <v>9.1758000000000006</v>
      </c>
      <c r="T164" s="6">
        <v>2.2902999999999998</v>
      </c>
      <c r="U164" s="6">
        <v>328</v>
      </c>
      <c r="W164" s="17">
        <v>162</v>
      </c>
      <c r="X164" s="6">
        <v>4.5055100000000001</v>
      </c>
      <c r="Y164" s="6">
        <v>9.1758000000000006</v>
      </c>
      <c r="Z164" s="6">
        <v>2.2902999999999998</v>
      </c>
      <c r="AA164" s="6">
        <v>328</v>
      </c>
      <c r="AN164" s="17">
        <v>161</v>
      </c>
      <c r="AO164" s="6">
        <v>1.0695399999999999</v>
      </c>
      <c r="AP164" s="6">
        <v>1.4691000000000001</v>
      </c>
      <c r="AQ164" s="6">
        <v>0.54369999999999996</v>
      </c>
      <c r="AR164" s="6">
        <v>328</v>
      </c>
      <c r="AT164" s="17">
        <v>161</v>
      </c>
      <c r="AU164" s="6">
        <v>0.56437999999999999</v>
      </c>
      <c r="AV164" s="6">
        <v>1.4691000000000001</v>
      </c>
      <c r="AW164" s="6">
        <v>0.54369999999999996</v>
      </c>
      <c r="AX164" s="6">
        <v>328</v>
      </c>
    </row>
    <row r="165" spans="1:50" x14ac:dyDescent="0.25">
      <c r="A165" s="31" t="s">
        <v>116</v>
      </c>
      <c r="B165" s="32">
        <v>1</v>
      </c>
      <c r="C165" s="32">
        <v>10</v>
      </c>
      <c r="D165" s="32">
        <v>1</v>
      </c>
      <c r="E165" s="32">
        <v>8</v>
      </c>
      <c r="F165" s="12">
        <v>56.6</v>
      </c>
      <c r="G165">
        <v>61.575075544794188</v>
      </c>
      <c r="Q165" s="17">
        <v>163</v>
      </c>
      <c r="R165" s="6">
        <v>2.3765499999999999</v>
      </c>
      <c r="S165" s="19">
        <v>-1.5673999999999999</v>
      </c>
      <c r="T165" s="6">
        <v>2.2894000000000001</v>
      </c>
      <c r="U165" s="6">
        <v>328</v>
      </c>
      <c r="W165" s="17">
        <v>163</v>
      </c>
      <c r="X165" s="6">
        <v>4.50373</v>
      </c>
      <c r="Y165" s="19">
        <v>-1.5673999999999999</v>
      </c>
      <c r="Z165" s="6">
        <v>2.2894000000000001</v>
      </c>
      <c r="AA165" s="6">
        <v>328</v>
      </c>
      <c r="AN165" s="17">
        <v>162</v>
      </c>
      <c r="AO165" s="6">
        <v>1.06145</v>
      </c>
      <c r="AP165" s="6">
        <v>2.4698000000000002</v>
      </c>
      <c r="AQ165" s="6">
        <v>0.53959999999999997</v>
      </c>
      <c r="AR165" s="6">
        <v>328</v>
      </c>
      <c r="AT165" s="17">
        <v>162</v>
      </c>
      <c r="AU165" s="6">
        <v>0.56011</v>
      </c>
      <c r="AV165" s="6">
        <v>2.4698000000000002</v>
      </c>
      <c r="AW165" s="6">
        <v>0.53959999999999997</v>
      </c>
      <c r="AX165" s="6">
        <v>328</v>
      </c>
    </row>
    <row r="166" spans="1:50" x14ac:dyDescent="0.25">
      <c r="A166" s="31" t="s">
        <v>116</v>
      </c>
      <c r="B166" s="32">
        <v>2</v>
      </c>
      <c r="C166" s="32">
        <v>5</v>
      </c>
      <c r="D166" s="32">
        <v>7</v>
      </c>
      <c r="E166" s="32">
        <v>8</v>
      </c>
      <c r="F166" s="12">
        <v>55.9</v>
      </c>
      <c r="G166">
        <v>71.209185478038648</v>
      </c>
      <c r="Q166" s="17">
        <v>164</v>
      </c>
      <c r="R166" s="6">
        <v>2.3764599999999998</v>
      </c>
      <c r="S166" s="6">
        <v>5.8017000000000003</v>
      </c>
      <c r="T166" s="6">
        <v>2.2892999999999999</v>
      </c>
      <c r="U166" s="6">
        <v>328</v>
      </c>
      <c r="W166" s="17">
        <v>164</v>
      </c>
      <c r="X166" s="6">
        <v>4.5035600000000002</v>
      </c>
      <c r="Y166" s="6">
        <v>5.8017000000000003</v>
      </c>
      <c r="Z166" s="6">
        <v>2.2892999999999999</v>
      </c>
      <c r="AA166" s="6">
        <v>328</v>
      </c>
      <c r="AN166" s="17">
        <v>163</v>
      </c>
      <c r="AO166" s="6">
        <v>1.0639099999999999</v>
      </c>
      <c r="AP166" s="19">
        <v>-2.1137000000000001</v>
      </c>
      <c r="AQ166" s="6">
        <v>0.54079999999999995</v>
      </c>
      <c r="AR166" s="6">
        <v>328</v>
      </c>
      <c r="AT166" s="17">
        <v>163</v>
      </c>
      <c r="AU166" s="6">
        <v>0.56140999999999996</v>
      </c>
      <c r="AV166" s="19">
        <v>-2.1137000000000001</v>
      </c>
      <c r="AW166" s="6">
        <v>0.54079999999999995</v>
      </c>
      <c r="AX166" s="6">
        <v>328</v>
      </c>
    </row>
    <row r="167" spans="1:50" x14ac:dyDescent="0.25">
      <c r="A167" s="31" t="s">
        <v>116</v>
      </c>
      <c r="B167" s="32">
        <v>3</v>
      </c>
      <c r="C167" s="32">
        <v>3</v>
      </c>
      <c r="D167" s="32">
        <v>11</v>
      </c>
      <c r="E167" s="32">
        <v>8</v>
      </c>
      <c r="F167" s="12">
        <v>56.2</v>
      </c>
      <c r="G167">
        <v>63.804250714285708</v>
      </c>
      <c r="Q167" s="17">
        <v>165</v>
      </c>
      <c r="R167" s="6">
        <v>2.3789500000000001</v>
      </c>
      <c r="S167" s="6">
        <v>0.89300000000000002</v>
      </c>
      <c r="T167" s="6">
        <v>2.2917000000000001</v>
      </c>
      <c r="U167" s="6">
        <v>328</v>
      </c>
      <c r="W167" s="17">
        <v>165</v>
      </c>
      <c r="X167" s="6">
        <v>4.5082700000000004</v>
      </c>
      <c r="Y167" s="6">
        <v>0.89300000000000002</v>
      </c>
      <c r="Z167" s="6">
        <v>2.2917000000000001</v>
      </c>
      <c r="AA167" s="6">
        <v>328</v>
      </c>
      <c r="AN167" s="17">
        <v>164</v>
      </c>
      <c r="AO167" s="6">
        <v>1.07673</v>
      </c>
      <c r="AP167" s="19">
        <v>-4.36E-2</v>
      </c>
      <c r="AQ167" s="6">
        <v>0.54730000000000001</v>
      </c>
      <c r="AR167" s="6">
        <v>328</v>
      </c>
      <c r="AT167" s="17">
        <v>164</v>
      </c>
      <c r="AU167" s="6">
        <v>0.56818000000000002</v>
      </c>
      <c r="AV167" s="19">
        <v>-4.36E-2</v>
      </c>
      <c r="AW167" s="6">
        <v>0.54730000000000001</v>
      </c>
      <c r="AX167" s="6">
        <v>328</v>
      </c>
    </row>
    <row r="168" spans="1:50" x14ac:dyDescent="0.25">
      <c r="A168" s="34" t="s">
        <v>97</v>
      </c>
      <c r="B168" s="35">
        <v>1</v>
      </c>
      <c r="C168" s="35">
        <v>8</v>
      </c>
      <c r="D168" s="35">
        <v>2</v>
      </c>
      <c r="E168" s="35">
        <v>8</v>
      </c>
      <c r="F168" s="2">
        <v>61.9</v>
      </c>
      <c r="G168">
        <v>82.458148201646679</v>
      </c>
      <c r="Q168" s="17">
        <v>166</v>
      </c>
      <c r="R168" s="6">
        <v>2.3812700000000002</v>
      </c>
      <c r="S168" s="19">
        <v>-3.3561999999999999</v>
      </c>
      <c r="T168" s="6">
        <v>2.2938999999999998</v>
      </c>
      <c r="U168" s="6">
        <v>328</v>
      </c>
      <c r="W168" s="17">
        <v>166</v>
      </c>
      <c r="X168" s="6">
        <v>4.5126799999999996</v>
      </c>
      <c r="Y168" s="19">
        <v>-3.3561999999999999</v>
      </c>
      <c r="Z168" s="6">
        <v>2.2938999999999998</v>
      </c>
      <c r="AA168" s="6">
        <v>328</v>
      </c>
      <c r="AN168" s="17">
        <v>165</v>
      </c>
      <c r="AO168" s="6">
        <v>1.06427</v>
      </c>
      <c r="AP168" s="19">
        <v>-1.363</v>
      </c>
      <c r="AQ168" s="6">
        <v>0.54100000000000004</v>
      </c>
      <c r="AR168" s="6">
        <v>328</v>
      </c>
      <c r="AT168" s="17">
        <v>165</v>
      </c>
      <c r="AU168" s="6">
        <v>0.56159999999999999</v>
      </c>
      <c r="AV168" s="19">
        <v>-1.363</v>
      </c>
      <c r="AW168" s="6">
        <v>0.54100000000000004</v>
      </c>
      <c r="AX168" s="6">
        <v>328</v>
      </c>
    </row>
    <row r="169" spans="1:50" x14ac:dyDescent="0.25">
      <c r="A169" s="34" t="s">
        <v>97</v>
      </c>
      <c r="B169" s="35">
        <v>2</v>
      </c>
      <c r="C169" s="35">
        <v>17</v>
      </c>
      <c r="D169" s="35">
        <v>4</v>
      </c>
      <c r="E169" s="35">
        <v>8</v>
      </c>
      <c r="F169" s="2">
        <v>61.1</v>
      </c>
      <c r="G169">
        <v>79.414325982742085</v>
      </c>
      <c r="Q169" s="17">
        <v>167</v>
      </c>
      <c r="R169" s="6">
        <v>2.3756200000000001</v>
      </c>
      <c r="S169" s="19">
        <v>-1.1222000000000001</v>
      </c>
      <c r="T169" s="6">
        <v>2.2885</v>
      </c>
      <c r="U169" s="6">
        <v>328</v>
      </c>
      <c r="W169" s="17">
        <v>167</v>
      </c>
      <c r="X169" s="6">
        <v>4.5019600000000004</v>
      </c>
      <c r="Y169" s="19">
        <v>-1.1222000000000001</v>
      </c>
      <c r="Z169" s="6">
        <v>2.2885</v>
      </c>
      <c r="AA169" s="6">
        <v>328</v>
      </c>
      <c r="AN169" s="17">
        <v>166</v>
      </c>
      <c r="AO169" s="6">
        <v>1.0698799999999999</v>
      </c>
      <c r="AP169" s="19">
        <v>-1.865</v>
      </c>
      <c r="AQ169" s="6">
        <v>0.54390000000000005</v>
      </c>
      <c r="AR169" s="6">
        <v>328</v>
      </c>
      <c r="AT169" s="17">
        <v>166</v>
      </c>
      <c r="AU169" s="6">
        <v>0.56455999999999995</v>
      </c>
      <c r="AV169" s="19">
        <v>-1.865</v>
      </c>
      <c r="AW169" s="6">
        <v>0.54390000000000005</v>
      </c>
      <c r="AX169" s="6">
        <v>328</v>
      </c>
    </row>
    <row r="170" spans="1:50" x14ac:dyDescent="0.25">
      <c r="A170" s="34" t="s">
        <v>97</v>
      </c>
      <c r="B170" s="35">
        <v>3</v>
      </c>
      <c r="C170" s="35">
        <v>10</v>
      </c>
      <c r="D170" s="35">
        <v>6</v>
      </c>
      <c r="E170" s="35">
        <v>8</v>
      </c>
      <c r="F170" s="2">
        <v>61.1</v>
      </c>
      <c r="G170">
        <v>82.103156589738703</v>
      </c>
      <c r="Q170" s="17">
        <v>168</v>
      </c>
      <c r="R170" s="6">
        <v>2.3802099999999999</v>
      </c>
      <c r="S170" s="19">
        <v>-1.0913999999999999</v>
      </c>
      <c r="T170" s="6">
        <v>2.2928999999999999</v>
      </c>
      <c r="U170" s="6">
        <v>328</v>
      </c>
      <c r="W170" s="17">
        <v>168</v>
      </c>
      <c r="X170" s="6">
        <v>4.5106599999999997</v>
      </c>
      <c r="Y170" s="19">
        <v>-1.0913999999999999</v>
      </c>
      <c r="Z170" s="6">
        <v>2.2928999999999999</v>
      </c>
      <c r="AA170" s="6">
        <v>328</v>
      </c>
      <c r="AN170" s="17">
        <v>167</v>
      </c>
      <c r="AO170" s="6">
        <v>1.0609900000000001</v>
      </c>
      <c r="AP170" s="6">
        <v>0.27900000000000003</v>
      </c>
      <c r="AQ170" s="6">
        <v>0.5393</v>
      </c>
      <c r="AR170" s="6">
        <v>328</v>
      </c>
      <c r="AT170" s="17">
        <v>167</v>
      </c>
      <c r="AU170" s="6">
        <v>0.55986999999999998</v>
      </c>
      <c r="AV170" s="6">
        <v>0.27900000000000003</v>
      </c>
      <c r="AW170" s="6">
        <v>0.5393</v>
      </c>
      <c r="AX170" s="6">
        <v>328</v>
      </c>
    </row>
    <row r="171" spans="1:50" x14ac:dyDescent="0.25">
      <c r="A171" s="31" t="s">
        <v>132</v>
      </c>
      <c r="B171" s="32">
        <v>1</v>
      </c>
      <c r="C171" s="32">
        <v>2</v>
      </c>
      <c r="D171" s="32">
        <v>2</v>
      </c>
      <c r="E171" s="32">
        <v>8</v>
      </c>
      <c r="F171" s="2">
        <v>60.9</v>
      </c>
      <c r="G171">
        <v>66.08375295308808</v>
      </c>
      <c r="Q171" s="17">
        <v>169</v>
      </c>
      <c r="R171" s="6">
        <v>2.3733</v>
      </c>
      <c r="S171" s="6">
        <v>0.28050000000000003</v>
      </c>
      <c r="T171" s="6">
        <v>2.2863000000000002</v>
      </c>
      <c r="U171" s="6">
        <v>328</v>
      </c>
      <c r="W171" s="17">
        <v>169</v>
      </c>
      <c r="X171" s="6">
        <v>4.4975699999999996</v>
      </c>
      <c r="Y171" s="6">
        <v>0.28050000000000003</v>
      </c>
      <c r="Z171" s="6">
        <v>2.2863000000000002</v>
      </c>
      <c r="AA171" s="6">
        <v>328</v>
      </c>
      <c r="AN171" s="17">
        <v>168</v>
      </c>
      <c r="AO171" s="6">
        <v>1.0658300000000001</v>
      </c>
      <c r="AP171" s="19">
        <v>-1.6843999999999999</v>
      </c>
      <c r="AQ171" s="6">
        <v>0.54179999999999995</v>
      </c>
      <c r="AR171" s="6">
        <v>328</v>
      </c>
      <c r="AT171" s="17">
        <v>168</v>
      </c>
      <c r="AU171" s="6">
        <v>0.56242000000000003</v>
      </c>
      <c r="AV171" s="19">
        <v>-1.6843999999999999</v>
      </c>
      <c r="AW171" s="6">
        <v>0.54179999999999995</v>
      </c>
      <c r="AX171" s="6">
        <v>328</v>
      </c>
    </row>
    <row r="172" spans="1:50" x14ac:dyDescent="0.25">
      <c r="A172" s="31" t="s">
        <v>132</v>
      </c>
      <c r="B172" s="32">
        <v>2</v>
      </c>
      <c r="C172" s="32">
        <v>5</v>
      </c>
      <c r="D172" s="32">
        <v>3</v>
      </c>
      <c r="E172" s="32">
        <v>8</v>
      </c>
      <c r="F172" s="2">
        <v>62.1</v>
      </c>
      <c r="G172">
        <v>72.684487951807228</v>
      </c>
      <c r="Q172" s="17">
        <v>170</v>
      </c>
      <c r="R172" s="6">
        <v>2.3856899999999999</v>
      </c>
      <c r="S172" s="6">
        <v>5.6433</v>
      </c>
      <c r="T172" s="6">
        <v>2.2982</v>
      </c>
      <c r="U172" s="6">
        <v>328</v>
      </c>
      <c r="W172" s="17">
        <v>170</v>
      </c>
      <c r="X172" s="6">
        <v>4.5210400000000002</v>
      </c>
      <c r="Y172" s="6">
        <v>5.6433</v>
      </c>
      <c r="Z172" s="6">
        <v>2.2982</v>
      </c>
      <c r="AA172" s="6">
        <v>328</v>
      </c>
      <c r="AN172" s="17">
        <v>169</v>
      </c>
      <c r="AO172" s="6">
        <v>1.0600700000000001</v>
      </c>
      <c r="AP172" s="6">
        <v>3.1480000000000001E-2</v>
      </c>
      <c r="AQ172" s="6">
        <v>0.53890000000000005</v>
      </c>
      <c r="AR172" s="6">
        <v>328</v>
      </c>
      <c r="AT172" s="17">
        <v>169</v>
      </c>
      <c r="AU172" s="6">
        <v>0.55937999999999999</v>
      </c>
      <c r="AV172" s="6">
        <v>3.1480000000000001E-2</v>
      </c>
      <c r="AW172" s="6">
        <v>0.53890000000000005</v>
      </c>
      <c r="AX172" s="6">
        <v>328</v>
      </c>
    </row>
    <row r="173" spans="1:50" x14ac:dyDescent="0.25">
      <c r="A173" s="31" t="s">
        <v>132</v>
      </c>
      <c r="B173" s="32">
        <v>3</v>
      </c>
      <c r="C173" s="32">
        <v>4</v>
      </c>
      <c r="D173" s="32">
        <v>5</v>
      </c>
      <c r="E173" s="32">
        <v>8</v>
      </c>
      <c r="F173" s="2">
        <v>62.1</v>
      </c>
      <c r="G173">
        <v>68.342383177570085</v>
      </c>
      <c r="Q173" s="17">
        <v>171</v>
      </c>
      <c r="R173" s="6">
        <v>2.3854199999999999</v>
      </c>
      <c r="S173" s="19">
        <v>-2.3485</v>
      </c>
      <c r="T173" s="6">
        <v>2.2978999999999998</v>
      </c>
      <c r="U173" s="6">
        <v>328</v>
      </c>
      <c r="W173" s="17">
        <v>171</v>
      </c>
      <c r="X173" s="6">
        <v>4.5205299999999999</v>
      </c>
      <c r="Y173" s="19">
        <v>-2.3485</v>
      </c>
      <c r="Z173" s="6">
        <v>2.2978999999999998</v>
      </c>
      <c r="AA173" s="6">
        <v>328</v>
      </c>
      <c r="AN173" s="17">
        <v>170</v>
      </c>
      <c r="AO173" s="6">
        <v>1.07426</v>
      </c>
      <c r="AP173" s="6">
        <v>0.42830000000000001</v>
      </c>
      <c r="AQ173" s="6">
        <v>0.54610000000000003</v>
      </c>
      <c r="AR173" s="6">
        <v>328</v>
      </c>
      <c r="AT173" s="17">
        <v>170</v>
      </c>
      <c r="AU173" s="6">
        <v>0.56686999999999999</v>
      </c>
      <c r="AV173" s="6">
        <v>0.42830000000000001</v>
      </c>
      <c r="AW173" s="6">
        <v>0.54610000000000003</v>
      </c>
      <c r="AX173" s="6">
        <v>328</v>
      </c>
    </row>
    <row r="174" spans="1:50" x14ac:dyDescent="0.25">
      <c r="A174" s="31" t="s">
        <v>13</v>
      </c>
      <c r="B174" s="32">
        <v>1</v>
      </c>
      <c r="C174" s="36">
        <v>10</v>
      </c>
      <c r="D174" s="36">
        <v>2</v>
      </c>
      <c r="E174" s="32">
        <v>8</v>
      </c>
      <c r="F174" s="12">
        <v>59</v>
      </c>
      <c r="G174">
        <v>72.662810000000007</v>
      </c>
      <c r="Q174" s="17">
        <v>172</v>
      </c>
      <c r="R174" s="6">
        <v>2.37581</v>
      </c>
      <c r="S174" s="19">
        <v>-0.90439999999999998</v>
      </c>
      <c r="T174" s="6">
        <v>2.2887</v>
      </c>
      <c r="U174" s="6">
        <v>328</v>
      </c>
      <c r="W174" s="17">
        <v>172</v>
      </c>
      <c r="X174" s="6">
        <v>4.5023200000000001</v>
      </c>
      <c r="Y174" s="19">
        <v>-0.90439999999999998</v>
      </c>
      <c r="Z174" s="6">
        <v>2.2887</v>
      </c>
      <c r="AA174" s="6">
        <v>328</v>
      </c>
      <c r="AN174" s="17">
        <v>171</v>
      </c>
      <c r="AO174" s="6">
        <v>1.0674300000000001</v>
      </c>
      <c r="AP174" s="19">
        <v>-0.98119999999999996</v>
      </c>
      <c r="AQ174" s="6">
        <v>0.54259999999999997</v>
      </c>
      <c r="AR174" s="6">
        <v>328</v>
      </c>
      <c r="AT174" s="17">
        <v>171</v>
      </c>
      <c r="AU174" s="6">
        <v>0.56327000000000005</v>
      </c>
      <c r="AV174" s="19">
        <v>-0.98119999999999996</v>
      </c>
      <c r="AW174" s="6">
        <v>0.54259999999999997</v>
      </c>
      <c r="AX174" s="6">
        <v>328</v>
      </c>
    </row>
    <row r="175" spans="1:50" x14ac:dyDescent="0.25">
      <c r="A175" s="31" t="s">
        <v>13</v>
      </c>
      <c r="B175" s="32">
        <v>2</v>
      </c>
      <c r="C175" s="36">
        <v>12</v>
      </c>
      <c r="D175" s="36">
        <v>4</v>
      </c>
      <c r="E175" s="32">
        <v>8</v>
      </c>
      <c r="F175" s="12">
        <v>59.1</v>
      </c>
      <c r="G175">
        <v>72.56832</v>
      </c>
      <c r="Q175" s="17">
        <v>173</v>
      </c>
      <c r="R175" s="6">
        <v>2.3809</v>
      </c>
      <c r="S175" s="6">
        <v>1.3988</v>
      </c>
      <c r="T175" s="6">
        <v>2.2936000000000001</v>
      </c>
      <c r="U175" s="6">
        <v>328</v>
      </c>
      <c r="W175" s="17">
        <v>173</v>
      </c>
      <c r="X175" s="6">
        <v>4.5119699999999998</v>
      </c>
      <c r="Y175" s="6">
        <v>1.3988</v>
      </c>
      <c r="Z175" s="6">
        <v>2.2936000000000001</v>
      </c>
      <c r="AA175" s="6">
        <v>328</v>
      </c>
      <c r="AN175" s="17">
        <v>172</v>
      </c>
      <c r="AO175" s="6">
        <v>1.0649999999999999</v>
      </c>
      <c r="AP175" s="19">
        <v>-0.63539999999999996</v>
      </c>
      <c r="AQ175" s="6">
        <v>0.54139999999999999</v>
      </c>
      <c r="AR175" s="6">
        <v>328</v>
      </c>
      <c r="AT175" s="17">
        <v>172</v>
      </c>
      <c r="AU175" s="6">
        <v>0.56198999999999999</v>
      </c>
      <c r="AV175" s="19">
        <v>-0.63539999999999996</v>
      </c>
      <c r="AW175" s="6">
        <v>0.54139999999999999</v>
      </c>
      <c r="AX175" s="6">
        <v>328</v>
      </c>
    </row>
    <row r="176" spans="1:50" x14ac:dyDescent="0.25">
      <c r="A176" s="31" t="s">
        <v>13</v>
      </c>
      <c r="B176" s="32">
        <v>3</v>
      </c>
      <c r="C176" s="36">
        <v>4</v>
      </c>
      <c r="D176" s="36">
        <v>6</v>
      </c>
      <c r="E176" s="32">
        <v>8</v>
      </c>
      <c r="F176" s="12">
        <v>57.2</v>
      </c>
      <c r="G176">
        <v>71.162520000000001</v>
      </c>
      <c r="Q176" s="17">
        <v>174</v>
      </c>
      <c r="R176" s="6">
        <v>2.3801399999999999</v>
      </c>
      <c r="S176" s="6">
        <v>3.4256000000000002</v>
      </c>
      <c r="T176" s="6">
        <v>2.2928000000000002</v>
      </c>
      <c r="U176" s="6">
        <v>328</v>
      </c>
      <c r="W176" s="17">
        <v>174</v>
      </c>
      <c r="X176" s="6">
        <v>4.5105300000000002</v>
      </c>
      <c r="Y176" s="6">
        <v>3.4256000000000002</v>
      </c>
      <c r="Z176" s="6">
        <v>2.2928000000000002</v>
      </c>
      <c r="AA176" s="6">
        <v>328</v>
      </c>
      <c r="AN176" s="17">
        <v>173</v>
      </c>
      <c r="AO176" s="6">
        <v>1.0660799999999999</v>
      </c>
      <c r="AP176" s="19">
        <v>-1.7064999999999999</v>
      </c>
      <c r="AQ176" s="6">
        <v>0.54190000000000005</v>
      </c>
      <c r="AR176" s="6">
        <v>328</v>
      </c>
      <c r="AT176" s="17">
        <v>173</v>
      </c>
      <c r="AU176" s="6">
        <v>0.56254999999999999</v>
      </c>
      <c r="AV176" s="19">
        <v>-1.7064999999999999</v>
      </c>
      <c r="AW176" s="6">
        <v>0.54190000000000005</v>
      </c>
      <c r="AX176" s="6">
        <v>328</v>
      </c>
    </row>
    <row r="177" spans="1:50" x14ac:dyDescent="0.25">
      <c r="A177" t="s">
        <v>7</v>
      </c>
      <c r="B177" s="11">
        <v>1</v>
      </c>
      <c r="C177" s="11">
        <v>12</v>
      </c>
      <c r="D177" s="11">
        <v>2</v>
      </c>
      <c r="E177" s="11">
        <v>8</v>
      </c>
      <c r="F177" s="12">
        <v>57.1</v>
      </c>
      <c r="G177">
        <v>49.135092013498308</v>
      </c>
      <c r="Q177" s="17">
        <v>175</v>
      </c>
      <c r="R177" s="6">
        <v>2.3794300000000002</v>
      </c>
      <c r="S177" s="19">
        <v>-0.57479999999999998</v>
      </c>
      <c r="T177" s="6">
        <v>2.2921999999999998</v>
      </c>
      <c r="U177" s="6">
        <v>328</v>
      </c>
      <c r="W177" s="17">
        <v>175</v>
      </c>
      <c r="X177" s="6">
        <v>4.5091900000000003</v>
      </c>
      <c r="Y177" s="19">
        <v>-0.57479999999999998</v>
      </c>
      <c r="Z177" s="6">
        <v>2.2921999999999998</v>
      </c>
      <c r="AA177" s="6">
        <v>328</v>
      </c>
      <c r="AN177" s="17">
        <v>174</v>
      </c>
      <c r="AO177" s="6">
        <v>1.0678700000000001</v>
      </c>
      <c r="AP177" s="19">
        <v>-1.3947000000000001</v>
      </c>
      <c r="AQ177" s="6">
        <v>0.54279999999999995</v>
      </c>
      <c r="AR177" s="6">
        <v>328</v>
      </c>
      <c r="AT177" s="17">
        <v>174</v>
      </c>
      <c r="AU177" s="6">
        <v>0.5635</v>
      </c>
      <c r="AV177" s="19">
        <v>-1.3947000000000001</v>
      </c>
      <c r="AW177" s="6">
        <v>0.54279999999999995</v>
      </c>
      <c r="AX177" s="6">
        <v>328</v>
      </c>
    </row>
    <row r="178" spans="1:50" x14ac:dyDescent="0.25">
      <c r="A178" t="s">
        <v>7</v>
      </c>
      <c r="B178" s="11">
        <v>2</v>
      </c>
      <c r="C178" s="11">
        <v>13</v>
      </c>
      <c r="D178" s="11">
        <v>8</v>
      </c>
      <c r="E178" s="11">
        <v>8</v>
      </c>
      <c r="F178" s="12">
        <v>54.1</v>
      </c>
      <c r="G178">
        <v>53.385188071840055</v>
      </c>
      <c r="Q178" s="17">
        <v>176</v>
      </c>
      <c r="R178" s="6">
        <v>2.3883100000000002</v>
      </c>
      <c r="S178" s="6">
        <v>1.6448</v>
      </c>
      <c r="T178" s="6">
        <v>2.3007</v>
      </c>
      <c r="U178" s="6">
        <v>328</v>
      </c>
      <c r="W178" s="17">
        <v>176</v>
      </c>
      <c r="X178" s="6">
        <v>4.5260100000000003</v>
      </c>
      <c r="Y178" s="6">
        <v>1.6448</v>
      </c>
      <c r="Z178" s="6">
        <v>2.3007</v>
      </c>
      <c r="AA178" s="6">
        <v>328</v>
      </c>
      <c r="AN178" s="17">
        <v>175</v>
      </c>
      <c r="AO178" s="6">
        <v>1.0788500000000001</v>
      </c>
      <c r="AP178" s="19">
        <v>-0.34029999999999999</v>
      </c>
      <c r="AQ178" s="6">
        <v>0.5484</v>
      </c>
      <c r="AR178" s="6">
        <v>328</v>
      </c>
      <c r="AT178" s="17">
        <v>175</v>
      </c>
      <c r="AU178" s="6">
        <v>0.56928999999999996</v>
      </c>
      <c r="AV178" s="19">
        <v>-0.34029999999999999</v>
      </c>
      <c r="AW178" s="6">
        <v>0.5484</v>
      </c>
      <c r="AX178" s="6">
        <v>328</v>
      </c>
    </row>
    <row r="179" spans="1:50" x14ac:dyDescent="0.25">
      <c r="A179" t="s">
        <v>7</v>
      </c>
      <c r="B179" s="11">
        <v>3</v>
      </c>
      <c r="C179" s="11">
        <v>5</v>
      </c>
      <c r="D179" s="11">
        <v>12</v>
      </c>
      <c r="E179" s="11">
        <v>8</v>
      </c>
      <c r="F179" s="2">
        <v>52.3</v>
      </c>
      <c r="G179">
        <v>40.212046800520007</v>
      </c>
      <c r="Q179" s="17">
        <v>177</v>
      </c>
      <c r="R179" s="6">
        <v>2.3985500000000002</v>
      </c>
      <c r="S179" s="19">
        <v>-6.9878999999999998</v>
      </c>
      <c r="T179" s="6">
        <v>2.3106</v>
      </c>
      <c r="U179" s="6">
        <v>328</v>
      </c>
      <c r="W179" s="17">
        <v>177</v>
      </c>
      <c r="X179" s="6">
        <v>4.54542</v>
      </c>
      <c r="Y179" s="19">
        <v>-6.9878999999999998</v>
      </c>
      <c r="Z179" s="6">
        <v>2.3106</v>
      </c>
      <c r="AA179" s="6">
        <v>328</v>
      </c>
      <c r="AN179" s="17">
        <v>176</v>
      </c>
      <c r="AO179" s="6">
        <v>1.0723800000000001</v>
      </c>
      <c r="AP179" s="19">
        <v>-0.43080000000000002</v>
      </c>
      <c r="AQ179" s="6">
        <v>0.54510000000000003</v>
      </c>
      <c r="AR179" s="6">
        <v>328</v>
      </c>
      <c r="AT179" s="17">
        <v>176</v>
      </c>
      <c r="AU179" s="6">
        <v>0.56588000000000005</v>
      </c>
      <c r="AV179" s="19">
        <v>-0.43080000000000002</v>
      </c>
      <c r="AW179" s="6">
        <v>0.54510000000000003</v>
      </c>
      <c r="AX179" s="6">
        <v>328</v>
      </c>
    </row>
    <row r="180" spans="1:50" x14ac:dyDescent="0.25">
      <c r="A180" s="31" t="s">
        <v>156</v>
      </c>
      <c r="B180" s="32">
        <v>1</v>
      </c>
      <c r="C180" s="32">
        <v>19</v>
      </c>
      <c r="D180" s="32">
        <v>2</v>
      </c>
      <c r="E180" s="32">
        <v>8</v>
      </c>
      <c r="F180" s="2">
        <v>58</v>
      </c>
      <c r="G180">
        <v>55.307131830931411</v>
      </c>
      <c r="Q180" s="17">
        <v>178</v>
      </c>
      <c r="R180" s="6">
        <v>2.38517</v>
      </c>
      <c r="S180" s="19">
        <v>-6.6210000000000005E-2</v>
      </c>
      <c r="T180" s="6">
        <v>2.2976999999999999</v>
      </c>
      <c r="U180" s="6">
        <v>328</v>
      </c>
      <c r="W180" s="17">
        <v>178</v>
      </c>
      <c r="X180" s="6">
        <v>4.52006</v>
      </c>
      <c r="Y180" s="19">
        <v>-6.6210000000000005E-2</v>
      </c>
      <c r="Z180" s="6">
        <v>2.2976999999999999</v>
      </c>
      <c r="AA180" s="6">
        <v>328</v>
      </c>
      <c r="AN180" s="17">
        <v>177</v>
      </c>
      <c r="AO180" s="6">
        <v>1.0799799999999999</v>
      </c>
      <c r="AP180" s="19">
        <v>-0.72409999999999997</v>
      </c>
      <c r="AQ180" s="6">
        <v>0.54900000000000004</v>
      </c>
      <c r="AR180" s="6">
        <v>328</v>
      </c>
      <c r="AT180" s="17">
        <v>177</v>
      </c>
      <c r="AU180" s="6">
        <v>0.56989000000000001</v>
      </c>
      <c r="AV180" s="19">
        <v>-0.72409999999999997</v>
      </c>
      <c r="AW180" s="6">
        <v>0.54900000000000004</v>
      </c>
      <c r="AX180" s="6">
        <v>328</v>
      </c>
    </row>
    <row r="181" spans="1:50" x14ac:dyDescent="0.25">
      <c r="A181" s="31" t="s">
        <v>156</v>
      </c>
      <c r="B181" s="32">
        <v>2</v>
      </c>
      <c r="C181" s="32">
        <v>13</v>
      </c>
      <c r="D181" s="32">
        <v>4</v>
      </c>
      <c r="E181" s="32">
        <v>8</v>
      </c>
      <c r="F181" s="2">
        <v>55.1</v>
      </c>
      <c r="G181">
        <v>50.562283568258302</v>
      </c>
      <c r="Q181" s="17">
        <v>179</v>
      </c>
      <c r="R181" s="6">
        <v>2.3858799999999998</v>
      </c>
      <c r="S181" s="6">
        <v>2.6343999999999999</v>
      </c>
      <c r="T181" s="6">
        <v>2.2984</v>
      </c>
      <c r="U181" s="6">
        <v>328</v>
      </c>
      <c r="W181" s="17">
        <v>179</v>
      </c>
      <c r="X181" s="6">
        <v>4.5213999999999999</v>
      </c>
      <c r="Y181" s="6">
        <v>2.6343999999999999</v>
      </c>
      <c r="Z181" s="6">
        <v>2.2984</v>
      </c>
      <c r="AA181" s="6">
        <v>328</v>
      </c>
      <c r="AN181" s="17">
        <v>178</v>
      </c>
      <c r="AO181" s="6">
        <v>1.06402</v>
      </c>
      <c r="AP181" s="19">
        <v>-0.75060000000000004</v>
      </c>
      <c r="AQ181" s="6">
        <v>0.54090000000000005</v>
      </c>
      <c r="AR181" s="6">
        <v>328</v>
      </c>
      <c r="AT181" s="17">
        <v>178</v>
      </c>
      <c r="AU181" s="6">
        <v>0.56147000000000002</v>
      </c>
      <c r="AV181" s="19">
        <v>-0.75060000000000004</v>
      </c>
      <c r="AW181" s="6">
        <v>0.54090000000000005</v>
      </c>
      <c r="AX181" s="6">
        <v>328</v>
      </c>
    </row>
    <row r="182" spans="1:50" x14ac:dyDescent="0.25">
      <c r="A182" s="31" t="s">
        <v>156</v>
      </c>
      <c r="B182" s="32">
        <v>3</v>
      </c>
      <c r="C182" s="32">
        <v>18</v>
      </c>
      <c r="D182" s="32">
        <v>5</v>
      </c>
      <c r="E182" s="32">
        <v>8</v>
      </c>
      <c r="F182" s="2">
        <v>58.4</v>
      </c>
      <c r="G182">
        <v>56.125981236096329</v>
      </c>
      <c r="Q182" s="17">
        <v>180</v>
      </c>
      <c r="R182" s="6">
        <v>2.37663</v>
      </c>
      <c r="S182" s="6">
        <v>1.6393</v>
      </c>
      <c r="T182" s="6">
        <v>2.2894999999999999</v>
      </c>
      <c r="U182" s="6">
        <v>328</v>
      </c>
      <c r="W182" s="17">
        <v>180</v>
      </c>
      <c r="X182" s="6">
        <v>4.5038799999999997</v>
      </c>
      <c r="Y182" s="6">
        <v>1.6393</v>
      </c>
      <c r="Z182" s="6">
        <v>2.2894999999999999</v>
      </c>
      <c r="AA182" s="6">
        <v>328</v>
      </c>
      <c r="AN182" s="17">
        <v>179</v>
      </c>
      <c r="AO182" s="6">
        <v>1.0676600000000001</v>
      </c>
      <c r="AP182" s="6">
        <v>0.62890000000000001</v>
      </c>
      <c r="AQ182" s="6">
        <v>0.54269999999999996</v>
      </c>
      <c r="AR182" s="6">
        <v>328</v>
      </c>
      <c r="AT182" s="17">
        <v>179</v>
      </c>
      <c r="AU182" s="6">
        <v>0.56338999999999995</v>
      </c>
      <c r="AV182" s="6">
        <v>0.62890000000000001</v>
      </c>
      <c r="AW182" s="6">
        <v>0.54269999999999996</v>
      </c>
      <c r="AX182" s="6">
        <v>328</v>
      </c>
    </row>
    <row r="183" spans="1:50" x14ac:dyDescent="0.25">
      <c r="A183" s="31" t="s">
        <v>10</v>
      </c>
      <c r="B183" s="32">
        <v>1</v>
      </c>
      <c r="C183" s="32">
        <v>2</v>
      </c>
      <c r="D183" s="32">
        <v>3</v>
      </c>
      <c r="E183" s="32">
        <v>8</v>
      </c>
      <c r="F183" s="2">
        <v>58.1</v>
      </c>
      <c r="G183">
        <v>63.889421006691883</v>
      </c>
      <c r="Q183" s="17">
        <v>181</v>
      </c>
      <c r="R183" s="6">
        <v>2.3757000000000001</v>
      </c>
      <c r="S183" s="6">
        <v>4.7081999999999997</v>
      </c>
      <c r="T183" s="6">
        <v>2.2886000000000002</v>
      </c>
      <c r="U183" s="6">
        <v>328</v>
      </c>
      <c r="W183" s="17">
        <v>181</v>
      </c>
      <c r="X183" s="6">
        <v>4.5021100000000001</v>
      </c>
      <c r="Y183" s="6">
        <v>4.7081999999999997</v>
      </c>
      <c r="Z183" s="6">
        <v>2.2886000000000002</v>
      </c>
      <c r="AA183" s="6">
        <v>328</v>
      </c>
      <c r="AN183" s="17">
        <v>180</v>
      </c>
      <c r="AO183" s="6">
        <v>1.06606</v>
      </c>
      <c r="AP183" s="19">
        <v>-0.8468</v>
      </c>
      <c r="AQ183" s="6">
        <v>0.54190000000000005</v>
      </c>
      <c r="AR183" s="6">
        <v>328</v>
      </c>
      <c r="AT183" s="17">
        <v>180</v>
      </c>
      <c r="AU183" s="6">
        <v>0.56254000000000004</v>
      </c>
      <c r="AV183" s="19">
        <v>-0.8468</v>
      </c>
      <c r="AW183" s="6">
        <v>0.54190000000000005</v>
      </c>
      <c r="AX183" s="6">
        <v>328</v>
      </c>
    </row>
    <row r="184" spans="1:50" x14ac:dyDescent="0.25">
      <c r="A184" s="31" t="s">
        <v>10</v>
      </c>
      <c r="B184" s="32">
        <v>2</v>
      </c>
      <c r="C184" s="32">
        <v>6</v>
      </c>
      <c r="D184" s="32">
        <v>5</v>
      </c>
      <c r="E184" s="32">
        <v>8</v>
      </c>
      <c r="F184" s="2">
        <v>58.6</v>
      </c>
      <c r="G184">
        <v>63.907853225806448</v>
      </c>
      <c r="Q184" s="17">
        <v>182</v>
      </c>
      <c r="R184" s="6">
        <v>2.3801399999999999</v>
      </c>
      <c r="S184" s="6">
        <v>4.8261000000000003</v>
      </c>
      <c r="T184" s="6">
        <v>2.2928000000000002</v>
      </c>
      <c r="U184" s="6">
        <v>328</v>
      </c>
      <c r="W184" s="17">
        <v>182</v>
      </c>
      <c r="X184" s="6">
        <v>4.5105300000000002</v>
      </c>
      <c r="Y184" s="6">
        <v>4.8261000000000003</v>
      </c>
      <c r="Z184" s="6">
        <v>2.2928000000000002</v>
      </c>
      <c r="AA184" s="6">
        <v>328</v>
      </c>
      <c r="AN184" s="17">
        <v>181</v>
      </c>
      <c r="AO184" s="6">
        <v>1.0639700000000001</v>
      </c>
      <c r="AP184" s="19">
        <v>-0.84</v>
      </c>
      <c r="AQ184" s="6">
        <v>0.54079999999999995</v>
      </c>
      <c r="AR184" s="6">
        <v>328</v>
      </c>
      <c r="AT184" s="17">
        <v>181</v>
      </c>
      <c r="AU184" s="6">
        <v>0.56144000000000005</v>
      </c>
      <c r="AV184" s="19">
        <v>-0.84</v>
      </c>
      <c r="AW184" s="6">
        <v>0.54079999999999995</v>
      </c>
      <c r="AX184" s="6">
        <v>328</v>
      </c>
    </row>
    <row r="185" spans="1:50" x14ac:dyDescent="0.25">
      <c r="A185" s="31" t="s">
        <v>10</v>
      </c>
      <c r="B185" s="32">
        <v>3</v>
      </c>
      <c r="C185" s="32">
        <v>8</v>
      </c>
      <c r="D185" s="32">
        <v>9</v>
      </c>
      <c r="E185" s="32">
        <v>8</v>
      </c>
      <c r="F185" s="2">
        <v>59</v>
      </c>
      <c r="G185">
        <v>62.375666731234865</v>
      </c>
      <c r="Q185" s="17">
        <v>183</v>
      </c>
      <c r="R185" s="6">
        <v>2.39</v>
      </c>
      <c r="S185" s="19">
        <v>-3.7976999999999999</v>
      </c>
      <c r="T185" s="6">
        <v>2.3022999999999998</v>
      </c>
      <c r="U185" s="6">
        <v>328</v>
      </c>
      <c r="W185" s="17">
        <v>183</v>
      </c>
      <c r="X185" s="6">
        <v>4.52921</v>
      </c>
      <c r="Y185" s="19">
        <v>-3.7976999999999999</v>
      </c>
      <c r="Z185" s="6">
        <v>2.3022999999999998</v>
      </c>
      <c r="AA185" s="6">
        <v>328</v>
      </c>
      <c r="AN185" s="17">
        <v>182</v>
      </c>
      <c r="AO185" s="6">
        <v>1.0664400000000001</v>
      </c>
      <c r="AP185" s="19">
        <v>-0.27350000000000002</v>
      </c>
      <c r="AQ185" s="6">
        <v>0.54210000000000003</v>
      </c>
      <c r="AR185" s="6">
        <v>328</v>
      </c>
      <c r="AT185" s="17">
        <v>182</v>
      </c>
      <c r="AU185" s="6">
        <v>0.56274999999999997</v>
      </c>
      <c r="AV185" s="19">
        <v>-0.27350000000000002</v>
      </c>
      <c r="AW185" s="6">
        <v>0.54210000000000003</v>
      </c>
      <c r="AX185" s="6">
        <v>328</v>
      </c>
    </row>
    <row r="186" spans="1:50" x14ac:dyDescent="0.25">
      <c r="A186" s="31" t="s">
        <v>11</v>
      </c>
      <c r="B186" s="32">
        <v>1</v>
      </c>
      <c r="C186" s="32">
        <v>16</v>
      </c>
      <c r="D186" s="32">
        <v>3</v>
      </c>
      <c r="E186" s="11">
        <v>8</v>
      </c>
      <c r="F186" s="2">
        <v>58.8</v>
      </c>
      <c r="G186">
        <v>20.969940079893469</v>
      </c>
      <c r="Q186" s="17">
        <v>184</v>
      </c>
      <c r="R186" s="6">
        <v>2.3728199999999999</v>
      </c>
      <c r="S186" s="19">
        <v>-0.13200000000000001</v>
      </c>
      <c r="T186" s="6">
        <v>2.2858000000000001</v>
      </c>
      <c r="U186" s="6">
        <v>328</v>
      </c>
      <c r="W186" s="17">
        <v>184</v>
      </c>
      <c r="X186" s="6">
        <v>4.4966600000000003</v>
      </c>
      <c r="Y186" s="19">
        <v>-0.13200000000000001</v>
      </c>
      <c r="Z186" s="6">
        <v>2.2858000000000001</v>
      </c>
      <c r="AA186" s="6">
        <v>328</v>
      </c>
      <c r="AN186" s="17">
        <v>183</v>
      </c>
      <c r="AO186" s="6">
        <v>1.07101</v>
      </c>
      <c r="AP186" s="19">
        <v>-2.6629</v>
      </c>
      <c r="AQ186" s="6">
        <v>0.5444</v>
      </c>
      <c r="AR186" s="6">
        <v>328</v>
      </c>
      <c r="AT186" s="17">
        <v>183</v>
      </c>
      <c r="AU186" s="6">
        <v>0.56516</v>
      </c>
      <c r="AV186" s="19">
        <v>-2.6629</v>
      </c>
      <c r="AW186" s="6">
        <v>0.5444</v>
      </c>
      <c r="AX186" s="6">
        <v>328</v>
      </c>
    </row>
    <row r="187" spans="1:50" x14ac:dyDescent="0.25">
      <c r="A187" s="31" t="s">
        <v>11</v>
      </c>
      <c r="B187" s="32">
        <v>2</v>
      </c>
      <c r="C187" s="32">
        <v>10</v>
      </c>
      <c r="D187" s="32">
        <v>5</v>
      </c>
      <c r="E187" s="11">
        <v>8</v>
      </c>
      <c r="F187" s="2">
        <v>59.9</v>
      </c>
      <c r="G187">
        <v>32.182704372395953</v>
      </c>
      <c r="Q187" s="17">
        <v>185</v>
      </c>
      <c r="R187" s="6">
        <v>2.3893900000000001</v>
      </c>
      <c r="S187" s="6">
        <v>1.5642</v>
      </c>
      <c r="T187" s="6">
        <v>2.3018000000000001</v>
      </c>
      <c r="U187" s="6">
        <v>328</v>
      </c>
      <c r="W187" s="17">
        <v>185</v>
      </c>
      <c r="X187" s="6">
        <v>4.5280699999999996</v>
      </c>
      <c r="Y187" s="6">
        <v>1.5642</v>
      </c>
      <c r="Z187" s="6">
        <v>2.3018000000000001</v>
      </c>
      <c r="AA187" s="6">
        <v>328</v>
      </c>
      <c r="AN187" s="17">
        <v>184</v>
      </c>
      <c r="AO187" s="6">
        <v>1.0618399999999999</v>
      </c>
      <c r="AP187" s="19">
        <v>-0.59179999999999999</v>
      </c>
      <c r="AQ187" s="6">
        <v>0.53979999999999995</v>
      </c>
      <c r="AR187" s="6">
        <v>328</v>
      </c>
      <c r="AT187" s="17">
        <v>184</v>
      </c>
      <c r="AU187" s="6">
        <v>0.56032000000000004</v>
      </c>
      <c r="AV187" s="19">
        <v>-0.59179999999999999</v>
      </c>
      <c r="AW187" s="6">
        <v>0.53979999999999995</v>
      </c>
      <c r="AX187" s="6">
        <v>328</v>
      </c>
    </row>
    <row r="188" spans="1:50" x14ac:dyDescent="0.25">
      <c r="A188" s="31" t="s">
        <v>11</v>
      </c>
      <c r="B188" s="32">
        <v>3</v>
      </c>
      <c r="C188" s="32">
        <v>6</v>
      </c>
      <c r="D188" s="32">
        <v>7</v>
      </c>
      <c r="E188" s="11">
        <v>8</v>
      </c>
      <c r="F188" s="2">
        <v>61</v>
      </c>
      <c r="G188">
        <v>39.413530782029945</v>
      </c>
      <c r="Q188" s="17">
        <v>186</v>
      </c>
      <c r="R188" s="6">
        <v>2.3852500000000001</v>
      </c>
      <c r="S188" s="6">
        <v>0.17030000000000001</v>
      </c>
      <c r="T188" s="6">
        <v>2.2978000000000001</v>
      </c>
      <c r="U188" s="6">
        <v>328</v>
      </c>
      <c r="W188" s="17">
        <v>186</v>
      </c>
      <c r="X188" s="6">
        <v>4.5202200000000001</v>
      </c>
      <c r="Y188" s="6">
        <v>0.17030000000000001</v>
      </c>
      <c r="Z188" s="6">
        <v>2.2978000000000001</v>
      </c>
      <c r="AA188" s="6">
        <v>328</v>
      </c>
      <c r="AN188" s="17">
        <v>185</v>
      </c>
      <c r="AO188" s="6">
        <v>1.07195</v>
      </c>
      <c r="AP188" s="19">
        <v>-0.3785</v>
      </c>
      <c r="AQ188" s="6">
        <v>0.54490000000000005</v>
      </c>
      <c r="AR188" s="6">
        <v>328</v>
      </c>
      <c r="AT188" s="17">
        <v>185</v>
      </c>
      <c r="AU188" s="6">
        <v>0.56564999999999999</v>
      </c>
      <c r="AV188" s="19">
        <v>-0.3785</v>
      </c>
      <c r="AW188" s="6">
        <v>0.54490000000000005</v>
      </c>
      <c r="AX188" s="6">
        <v>328</v>
      </c>
    </row>
    <row r="189" spans="1:50" x14ac:dyDescent="0.25">
      <c r="A189" t="s">
        <v>160</v>
      </c>
      <c r="B189">
        <v>1</v>
      </c>
      <c r="C189" s="36">
        <v>3</v>
      </c>
      <c r="D189" s="36">
        <v>1</v>
      </c>
      <c r="E189" s="32">
        <v>8</v>
      </c>
      <c r="F189" s="13">
        <v>59.2</v>
      </c>
      <c r="G189">
        <v>99.62047762478484</v>
      </c>
      <c r="Q189" s="17">
        <v>187</v>
      </c>
      <c r="R189" s="6">
        <v>2.38456</v>
      </c>
      <c r="S189" s="6">
        <v>1.2370000000000001</v>
      </c>
      <c r="T189" s="6">
        <v>2.2970999999999999</v>
      </c>
      <c r="U189" s="6">
        <v>328</v>
      </c>
      <c r="W189" s="17">
        <v>187</v>
      </c>
      <c r="X189" s="6">
        <v>4.51891</v>
      </c>
      <c r="Y189" s="6">
        <v>1.2370000000000001</v>
      </c>
      <c r="Z189" s="6">
        <v>2.2970999999999999</v>
      </c>
      <c r="AA189" s="6">
        <v>328</v>
      </c>
      <c r="AN189" s="17">
        <v>186</v>
      </c>
      <c r="AO189" s="6">
        <v>1.0721499999999999</v>
      </c>
      <c r="AP189" s="19">
        <v>-0.66759999999999997</v>
      </c>
      <c r="AQ189" s="6">
        <v>0.54500000000000004</v>
      </c>
      <c r="AR189" s="6">
        <v>328</v>
      </c>
      <c r="AT189" s="17">
        <v>186</v>
      </c>
      <c r="AU189" s="6">
        <v>0.56576000000000004</v>
      </c>
      <c r="AV189" s="19">
        <v>-0.66759999999999997</v>
      </c>
      <c r="AW189" s="6">
        <v>0.54500000000000004</v>
      </c>
      <c r="AX189" s="6">
        <v>328</v>
      </c>
    </row>
    <row r="190" spans="1:50" x14ac:dyDescent="0.25">
      <c r="A190" t="s">
        <v>160</v>
      </c>
      <c r="B190">
        <v>2</v>
      </c>
      <c r="C190" s="36">
        <v>24</v>
      </c>
      <c r="D190" s="36">
        <v>3</v>
      </c>
      <c r="E190" s="32">
        <v>8</v>
      </c>
      <c r="F190" s="13">
        <v>60.4</v>
      </c>
      <c r="G190">
        <v>81.807627222562843</v>
      </c>
      <c r="Q190" s="17">
        <v>188</v>
      </c>
      <c r="R190" s="6">
        <v>2.3834</v>
      </c>
      <c r="S190" s="19">
        <v>-0.33160000000000001</v>
      </c>
      <c r="T190" s="6">
        <v>2.2959999999999998</v>
      </c>
      <c r="U190" s="6">
        <v>328</v>
      </c>
      <c r="W190" s="17">
        <v>188</v>
      </c>
      <c r="X190" s="6">
        <v>4.5167099999999998</v>
      </c>
      <c r="Y190" s="19">
        <v>-0.33160000000000001</v>
      </c>
      <c r="Z190" s="6">
        <v>2.2959999999999998</v>
      </c>
      <c r="AA190" s="6">
        <v>328</v>
      </c>
      <c r="AN190" s="17">
        <v>187</v>
      </c>
      <c r="AO190" s="6">
        <v>1.0663499999999999</v>
      </c>
      <c r="AP190" s="19">
        <v>-1.7481</v>
      </c>
      <c r="AQ190" s="6">
        <v>0.54210000000000003</v>
      </c>
      <c r="AR190" s="6">
        <v>328</v>
      </c>
      <c r="AT190" s="17">
        <v>187</v>
      </c>
      <c r="AU190" s="6">
        <v>0.56269999999999998</v>
      </c>
      <c r="AV190" s="19">
        <v>-1.7481</v>
      </c>
      <c r="AW190" s="6">
        <v>0.54210000000000003</v>
      </c>
      <c r="AX190" s="6">
        <v>328</v>
      </c>
    </row>
    <row r="191" spans="1:50" x14ac:dyDescent="0.25">
      <c r="A191" t="s">
        <v>160</v>
      </c>
      <c r="B191">
        <v>3</v>
      </c>
      <c r="C191" s="36">
        <v>20</v>
      </c>
      <c r="D191" s="36">
        <v>5</v>
      </c>
      <c r="E191" s="32">
        <v>8</v>
      </c>
      <c r="F191" s="13">
        <v>60.4</v>
      </c>
      <c r="G191">
        <v>81.786266079891661</v>
      </c>
      <c r="Q191" s="17">
        <v>189</v>
      </c>
      <c r="R191" s="6">
        <v>2.3842400000000001</v>
      </c>
      <c r="S191" s="6">
        <v>0.17150000000000001</v>
      </c>
      <c r="T191" s="6">
        <v>2.2968000000000002</v>
      </c>
      <c r="U191" s="6">
        <v>328</v>
      </c>
      <c r="W191" s="17">
        <v>189</v>
      </c>
      <c r="X191" s="6">
        <v>4.5183099999999996</v>
      </c>
      <c r="Y191" s="6">
        <v>0.17150000000000001</v>
      </c>
      <c r="Z191" s="6">
        <v>2.2968000000000002</v>
      </c>
      <c r="AA191" s="6">
        <v>328</v>
      </c>
      <c r="AN191" s="17">
        <v>188</v>
      </c>
      <c r="AO191" s="6">
        <v>1.06616</v>
      </c>
      <c r="AP191" s="19">
        <v>-1.4086000000000001</v>
      </c>
      <c r="AQ191" s="6">
        <v>0.54200000000000004</v>
      </c>
      <c r="AR191" s="6">
        <v>328</v>
      </c>
      <c r="AT191" s="17">
        <v>188</v>
      </c>
      <c r="AU191" s="6">
        <v>0.56259999999999999</v>
      </c>
      <c r="AV191" s="19">
        <v>-1.4086000000000001</v>
      </c>
      <c r="AW191" s="6">
        <v>0.54200000000000004</v>
      </c>
      <c r="AX191" s="6">
        <v>328</v>
      </c>
    </row>
    <row r="192" spans="1:50" x14ac:dyDescent="0.25">
      <c r="A192" s="31" t="s">
        <v>116</v>
      </c>
      <c r="B192" s="32">
        <v>1</v>
      </c>
      <c r="C192" s="32">
        <v>2</v>
      </c>
      <c r="D192" s="32">
        <v>1</v>
      </c>
      <c r="E192" s="32">
        <v>9</v>
      </c>
      <c r="F192" s="12">
        <v>53.2</v>
      </c>
      <c r="G192">
        <v>44.851985956416463</v>
      </c>
      <c r="Q192" s="17">
        <v>190</v>
      </c>
      <c r="R192" s="6">
        <v>2.3912599999999999</v>
      </c>
      <c r="S192" s="6">
        <v>7.4686000000000003</v>
      </c>
      <c r="T192" s="6">
        <v>2.3035999999999999</v>
      </c>
      <c r="U192" s="6">
        <v>328</v>
      </c>
      <c r="W192" s="17">
        <v>190</v>
      </c>
      <c r="X192" s="6">
        <v>4.5316000000000001</v>
      </c>
      <c r="Y192" s="6">
        <v>7.4686000000000003</v>
      </c>
      <c r="Z192" s="6">
        <v>2.3035999999999999</v>
      </c>
      <c r="AA192" s="6">
        <v>328</v>
      </c>
      <c r="AN192" s="17">
        <v>189</v>
      </c>
      <c r="AO192" s="6">
        <v>1.0676600000000001</v>
      </c>
      <c r="AP192" s="19">
        <v>-1.9354</v>
      </c>
      <c r="AQ192" s="6">
        <v>0.54269999999999996</v>
      </c>
      <c r="AR192" s="6">
        <v>328</v>
      </c>
      <c r="AT192" s="17">
        <v>189</v>
      </c>
      <c r="AU192" s="6">
        <v>0.56338999999999995</v>
      </c>
      <c r="AV192" s="19">
        <v>-1.9354</v>
      </c>
      <c r="AW192" s="6">
        <v>0.54269999999999996</v>
      </c>
      <c r="AX192" s="6">
        <v>328</v>
      </c>
    </row>
    <row r="193" spans="1:50" x14ac:dyDescent="0.25">
      <c r="A193" s="31" t="s">
        <v>116</v>
      </c>
      <c r="B193" s="32">
        <v>2</v>
      </c>
      <c r="C193" s="32">
        <v>4</v>
      </c>
      <c r="D193" s="32">
        <v>8</v>
      </c>
      <c r="E193" s="32">
        <v>9</v>
      </c>
      <c r="F193" s="12">
        <v>55.6</v>
      </c>
      <c r="G193">
        <v>53.053946643717723</v>
      </c>
      <c r="Q193" s="17">
        <v>191</v>
      </c>
      <c r="R193" s="6">
        <v>2.3774700000000002</v>
      </c>
      <c r="S193" s="6">
        <v>1.9758</v>
      </c>
      <c r="T193" s="6">
        <v>2.2902999999999998</v>
      </c>
      <c r="U193" s="6">
        <v>328</v>
      </c>
      <c r="W193" s="17">
        <v>191</v>
      </c>
      <c r="X193" s="6">
        <v>4.5054699999999999</v>
      </c>
      <c r="Y193" s="6">
        <v>1.9758</v>
      </c>
      <c r="Z193" s="6">
        <v>2.2902999999999998</v>
      </c>
      <c r="AA193" s="6">
        <v>328</v>
      </c>
      <c r="AN193" s="17">
        <v>190</v>
      </c>
      <c r="AO193" s="6">
        <v>1.0782</v>
      </c>
      <c r="AP193" s="19">
        <v>-0.1457</v>
      </c>
      <c r="AQ193" s="6">
        <v>0.54810000000000003</v>
      </c>
      <c r="AR193" s="6">
        <v>328</v>
      </c>
      <c r="AT193" s="17">
        <v>190</v>
      </c>
      <c r="AU193" s="6">
        <v>0.56894999999999996</v>
      </c>
      <c r="AV193" s="19">
        <v>-0.1457</v>
      </c>
      <c r="AW193" s="6">
        <v>0.54810000000000003</v>
      </c>
      <c r="AX193" s="6">
        <v>328</v>
      </c>
    </row>
    <row r="194" spans="1:50" x14ac:dyDescent="0.25">
      <c r="A194" s="31" t="s">
        <v>116</v>
      </c>
      <c r="B194" s="32">
        <v>3</v>
      </c>
      <c r="C194" s="32">
        <v>11</v>
      </c>
      <c r="D194" s="32">
        <v>12</v>
      </c>
      <c r="E194" s="32">
        <v>9</v>
      </c>
      <c r="F194" s="2">
        <v>52.5</v>
      </c>
      <c r="G194">
        <v>57.729335447941892</v>
      </c>
      <c r="Q194" s="17">
        <v>192</v>
      </c>
      <c r="R194" s="6">
        <v>2.3908499999999999</v>
      </c>
      <c r="S194" s="6">
        <v>11.6943</v>
      </c>
      <c r="T194" s="6">
        <v>2.3031999999999999</v>
      </c>
      <c r="U194" s="6">
        <v>328</v>
      </c>
      <c r="W194" s="17">
        <v>192</v>
      </c>
      <c r="X194" s="6">
        <v>4.5308299999999999</v>
      </c>
      <c r="Y194" s="6">
        <v>11.6943</v>
      </c>
      <c r="Z194" s="6">
        <v>2.3031999999999999</v>
      </c>
      <c r="AA194" s="6">
        <v>328</v>
      </c>
      <c r="AN194" s="17">
        <v>191</v>
      </c>
      <c r="AO194" s="6">
        <v>1.0660499999999999</v>
      </c>
      <c r="AP194" s="19">
        <v>-1.8643000000000001</v>
      </c>
      <c r="AQ194" s="6">
        <v>0.54190000000000005</v>
      </c>
      <c r="AR194" s="6">
        <v>328</v>
      </c>
      <c r="AT194" s="17">
        <v>191</v>
      </c>
      <c r="AU194" s="6">
        <v>0.56254000000000004</v>
      </c>
      <c r="AV194" s="19">
        <v>-1.8643000000000001</v>
      </c>
      <c r="AW194" s="6">
        <v>0.54190000000000005</v>
      </c>
      <c r="AX194" s="6">
        <v>328</v>
      </c>
    </row>
    <row r="195" spans="1:50" x14ac:dyDescent="0.25">
      <c r="A195" s="34" t="s">
        <v>97</v>
      </c>
      <c r="B195" s="35">
        <v>1</v>
      </c>
      <c r="C195" s="35">
        <v>7</v>
      </c>
      <c r="D195" s="35">
        <v>1</v>
      </c>
      <c r="E195" s="35">
        <v>9</v>
      </c>
      <c r="F195" s="2">
        <v>56.4</v>
      </c>
      <c r="G195">
        <v>73.927542857142853</v>
      </c>
      <c r="Q195" s="17">
        <v>193</v>
      </c>
      <c r="R195" s="6">
        <v>2.3831099999999998</v>
      </c>
      <c r="S195" s="6">
        <v>6.9176000000000002</v>
      </c>
      <c r="T195" s="6">
        <v>2.2957000000000001</v>
      </c>
      <c r="U195" s="6">
        <v>328</v>
      </c>
      <c r="W195" s="17">
        <v>193</v>
      </c>
      <c r="X195" s="6">
        <v>4.5161499999999997</v>
      </c>
      <c r="Y195" s="6">
        <v>6.9176000000000002</v>
      </c>
      <c r="Z195" s="6">
        <v>2.2957000000000001</v>
      </c>
      <c r="AA195" s="6">
        <v>328</v>
      </c>
      <c r="AN195" s="17">
        <v>192</v>
      </c>
      <c r="AO195" s="6">
        <v>1.07572</v>
      </c>
      <c r="AP195" s="6">
        <v>0.64680000000000004</v>
      </c>
      <c r="AQ195" s="6">
        <v>0.54679999999999995</v>
      </c>
      <c r="AR195" s="6">
        <v>328</v>
      </c>
      <c r="AT195" s="17">
        <v>192</v>
      </c>
      <c r="AU195" s="6">
        <v>0.56764000000000003</v>
      </c>
      <c r="AV195" s="6">
        <v>0.64680000000000004</v>
      </c>
      <c r="AW195" s="6">
        <v>0.54679999999999995</v>
      </c>
      <c r="AX195" s="6">
        <v>328</v>
      </c>
    </row>
    <row r="196" spans="1:50" x14ac:dyDescent="0.25">
      <c r="A196" s="34" t="s">
        <v>97</v>
      </c>
      <c r="B196" s="35">
        <v>2</v>
      </c>
      <c r="C196" s="35">
        <v>13</v>
      </c>
      <c r="D196" s="35">
        <v>4</v>
      </c>
      <c r="E196" s="35">
        <v>9</v>
      </c>
      <c r="F196" s="2">
        <v>57.6</v>
      </c>
      <c r="G196">
        <v>73.087627996164898</v>
      </c>
      <c r="Q196" s="17">
        <v>194</v>
      </c>
      <c r="R196" s="6">
        <v>2.38137</v>
      </c>
      <c r="S196" s="6">
        <v>0.93899999999999995</v>
      </c>
      <c r="T196" s="6">
        <v>2.294</v>
      </c>
      <c r="U196" s="6">
        <v>328</v>
      </c>
      <c r="W196" s="17">
        <v>194</v>
      </c>
      <c r="X196" s="6">
        <v>4.5128700000000004</v>
      </c>
      <c r="Y196" s="6">
        <v>0.93899999999999995</v>
      </c>
      <c r="Z196" s="6">
        <v>2.294</v>
      </c>
      <c r="AA196" s="6">
        <v>328</v>
      </c>
      <c r="AN196" s="17">
        <v>193</v>
      </c>
      <c r="AO196" s="6">
        <v>1.06552</v>
      </c>
      <c r="AP196" s="19">
        <v>-0.22489999999999999</v>
      </c>
      <c r="AQ196" s="6">
        <v>0.54159999999999997</v>
      </c>
      <c r="AR196" s="6">
        <v>328</v>
      </c>
      <c r="AT196" s="17">
        <v>193</v>
      </c>
      <c r="AU196" s="6">
        <v>0.56225999999999998</v>
      </c>
      <c r="AV196" s="19">
        <v>-0.22489999999999999</v>
      </c>
      <c r="AW196" s="6">
        <v>0.54159999999999997</v>
      </c>
      <c r="AX196" s="6">
        <v>328</v>
      </c>
    </row>
    <row r="197" spans="1:50" x14ac:dyDescent="0.25">
      <c r="A197" s="34" t="s">
        <v>97</v>
      </c>
      <c r="B197" s="35">
        <v>3</v>
      </c>
      <c r="C197" s="35">
        <v>15</v>
      </c>
      <c r="D197" s="35">
        <v>5</v>
      </c>
      <c r="E197" s="35">
        <v>9</v>
      </c>
      <c r="F197" s="2">
        <v>58.1</v>
      </c>
      <c r="G197">
        <v>71.359597286986002</v>
      </c>
      <c r="Q197" s="17">
        <v>195</v>
      </c>
      <c r="R197" s="6">
        <v>2.3746399999999999</v>
      </c>
      <c r="S197" s="6">
        <v>2.9407000000000001</v>
      </c>
      <c r="T197" s="6">
        <v>2.2875000000000001</v>
      </c>
      <c r="U197" s="6">
        <v>328</v>
      </c>
      <c r="W197" s="17">
        <v>195</v>
      </c>
      <c r="X197" s="6">
        <v>4.5000999999999998</v>
      </c>
      <c r="Y197" s="6">
        <v>2.9407000000000001</v>
      </c>
      <c r="Z197" s="6">
        <v>2.2875000000000001</v>
      </c>
      <c r="AA197" s="6">
        <v>328</v>
      </c>
      <c r="AN197" s="17">
        <v>194</v>
      </c>
      <c r="AO197" s="6">
        <v>1.0687899999999999</v>
      </c>
      <c r="AP197" s="19">
        <v>-0.67269999999999996</v>
      </c>
      <c r="AQ197" s="6">
        <v>0.54330000000000001</v>
      </c>
      <c r="AR197" s="6">
        <v>328</v>
      </c>
      <c r="AT197" s="17">
        <v>194</v>
      </c>
      <c r="AU197" s="6">
        <v>0.56398000000000004</v>
      </c>
      <c r="AV197" s="19">
        <v>-0.67269999999999996</v>
      </c>
      <c r="AW197" s="6">
        <v>0.54330000000000001</v>
      </c>
      <c r="AX197" s="6">
        <v>328</v>
      </c>
    </row>
    <row r="198" spans="1:50" x14ac:dyDescent="0.25">
      <c r="A198" s="31" t="s">
        <v>132</v>
      </c>
      <c r="B198" s="32">
        <v>1</v>
      </c>
      <c r="C198" s="32">
        <v>13</v>
      </c>
      <c r="D198" s="32">
        <v>1</v>
      </c>
      <c r="E198" s="32">
        <v>9</v>
      </c>
      <c r="F198" s="2">
        <v>59.1</v>
      </c>
      <c r="G198">
        <v>61.132273275155484</v>
      </c>
      <c r="Q198" s="17">
        <v>196</v>
      </c>
      <c r="R198" s="6">
        <v>2.3782800000000002</v>
      </c>
      <c r="S198" s="19">
        <v>-12.8797</v>
      </c>
      <c r="T198" s="6">
        <v>2.2911000000000001</v>
      </c>
      <c r="U198" s="6">
        <v>328</v>
      </c>
      <c r="W198" s="17">
        <v>196</v>
      </c>
      <c r="X198" s="6">
        <v>4.5070100000000002</v>
      </c>
      <c r="Y198" s="19">
        <v>-12.8797</v>
      </c>
      <c r="Z198" s="6">
        <v>2.2911000000000001</v>
      </c>
      <c r="AA198" s="6">
        <v>328</v>
      </c>
      <c r="AN198" s="17">
        <v>195</v>
      </c>
      <c r="AO198" s="6">
        <v>1.0667899999999999</v>
      </c>
      <c r="AP198" s="19">
        <v>-0.67490000000000006</v>
      </c>
      <c r="AQ198" s="6">
        <v>0.5423</v>
      </c>
      <c r="AR198" s="6">
        <v>328</v>
      </c>
      <c r="AT198" s="17">
        <v>195</v>
      </c>
      <c r="AU198" s="6">
        <v>0.56293000000000004</v>
      </c>
      <c r="AV198" s="19">
        <v>-0.67490000000000006</v>
      </c>
      <c r="AW198" s="6">
        <v>0.5423</v>
      </c>
      <c r="AX198" s="6">
        <v>328</v>
      </c>
    </row>
    <row r="199" spans="1:50" x14ac:dyDescent="0.25">
      <c r="A199" s="31" t="s">
        <v>132</v>
      </c>
      <c r="B199" s="32">
        <v>2</v>
      </c>
      <c r="C199" s="32">
        <v>1</v>
      </c>
      <c r="D199" s="32">
        <v>3</v>
      </c>
      <c r="E199" s="32">
        <v>9</v>
      </c>
      <c r="F199" s="2">
        <v>57.2</v>
      </c>
      <c r="G199">
        <v>74.446428571428569</v>
      </c>
      <c r="Q199" s="17">
        <v>197</v>
      </c>
      <c r="R199" s="6">
        <v>2.3877799999999998</v>
      </c>
      <c r="S199" s="19">
        <v>-5.4996999999999998</v>
      </c>
      <c r="T199" s="6">
        <v>2.3001999999999998</v>
      </c>
      <c r="U199" s="6">
        <v>328</v>
      </c>
      <c r="W199" s="17">
        <v>197</v>
      </c>
      <c r="X199" s="6">
        <v>4.52501</v>
      </c>
      <c r="Y199" s="19">
        <v>-5.4996999999999998</v>
      </c>
      <c r="Z199" s="6">
        <v>2.3001999999999998</v>
      </c>
      <c r="AA199" s="6">
        <v>328</v>
      </c>
      <c r="AN199" s="17">
        <v>196</v>
      </c>
      <c r="AO199" s="6">
        <v>1.0645</v>
      </c>
      <c r="AP199" s="19">
        <v>-0.91190000000000004</v>
      </c>
      <c r="AQ199" s="6">
        <v>0.54110000000000003</v>
      </c>
      <c r="AR199" s="6">
        <v>328</v>
      </c>
      <c r="AT199" s="17">
        <v>196</v>
      </c>
      <c r="AU199" s="6">
        <v>0.56172</v>
      </c>
      <c r="AV199" s="19">
        <v>-0.91190000000000004</v>
      </c>
      <c r="AW199" s="6">
        <v>0.54110000000000003</v>
      </c>
      <c r="AX199" s="6">
        <v>328</v>
      </c>
    </row>
    <row r="200" spans="1:50" x14ac:dyDescent="0.25">
      <c r="A200" s="31" t="s">
        <v>132</v>
      </c>
      <c r="B200" s="32">
        <v>3</v>
      </c>
      <c r="C200" s="32">
        <v>12</v>
      </c>
      <c r="D200" s="32">
        <v>5</v>
      </c>
      <c r="E200" s="32">
        <v>9</v>
      </c>
      <c r="F200" s="2" t="s">
        <v>12</v>
      </c>
      <c r="G200">
        <v>60.12399532710279</v>
      </c>
      <c r="Q200" s="17">
        <v>198</v>
      </c>
      <c r="R200" s="6">
        <v>2.3789600000000002</v>
      </c>
      <c r="S200" s="19">
        <v>-0.37290000000000001</v>
      </c>
      <c r="T200" s="6">
        <v>2.2917000000000001</v>
      </c>
      <c r="U200" s="6">
        <v>328</v>
      </c>
      <c r="W200" s="17">
        <v>198</v>
      </c>
      <c r="X200" s="6">
        <v>4.5083000000000002</v>
      </c>
      <c r="Y200" s="19">
        <v>-0.37290000000000001</v>
      </c>
      <c r="Z200" s="6">
        <v>2.2917000000000001</v>
      </c>
      <c r="AA200" s="6">
        <v>328</v>
      </c>
      <c r="AN200" s="17">
        <v>197</v>
      </c>
      <c r="AO200" s="6">
        <v>1.07599</v>
      </c>
      <c r="AP200" s="6">
        <v>1.7425999999999999</v>
      </c>
      <c r="AQ200" s="6">
        <v>0.54700000000000004</v>
      </c>
      <c r="AR200" s="6">
        <v>328</v>
      </c>
      <c r="AT200" s="17">
        <v>197</v>
      </c>
      <c r="AU200" s="6">
        <v>0.56777999999999995</v>
      </c>
      <c r="AV200" s="6">
        <v>1.7425999999999999</v>
      </c>
      <c r="AW200" s="6">
        <v>0.54700000000000004</v>
      </c>
      <c r="AX200" s="6">
        <v>328</v>
      </c>
    </row>
    <row r="201" spans="1:50" x14ac:dyDescent="0.25">
      <c r="A201" s="31" t="s">
        <v>13</v>
      </c>
      <c r="B201" s="32">
        <v>1</v>
      </c>
      <c r="C201" s="36">
        <v>13</v>
      </c>
      <c r="D201" s="36">
        <v>1</v>
      </c>
      <c r="E201" s="32">
        <v>9</v>
      </c>
      <c r="F201" s="12">
        <v>55.6</v>
      </c>
      <c r="G201">
        <v>68.363514999999992</v>
      </c>
      <c r="Q201" s="17">
        <v>199</v>
      </c>
      <c r="R201" s="6">
        <v>2.3841199999999998</v>
      </c>
      <c r="S201" s="19">
        <v>-11.116099999999999</v>
      </c>
      <c r="T201" s="6">
        <v>2.2967</v>
      </c>
      <c r="U201" s="6">
        <v>328</v>
      </c>
      <c r="W201" s="17">
        <v>199</v>
      </c>
      <c r="X201" s="6">
        <v>4.5180800000000003</v>
      </c>
      <c r="Y201" s="19">
        <v>-11.116099999999999</v>
      </c>
      <c r="Z201" s="6">
        <v>2.2967</v>
      </c>
      <c r="AA201" s="6">
        <v>328</v>
      </c>
      <c r="AN201" s="17">
        <v>198</v>
      </c>
      <c r="AO201" s="6">
        <v>1.06549</v>
      </c>
      <c r="AP201" s="6">
        <v>2.7433000000000001</v>
      </c>
      <c r="AQ201" s="6">
        <v>0.54159999999999997</v>
      </c>
      <c r="AR201" s="6">
        <v>328</v>
      </c>
      <c r="AT201" s="17">
        <v>198</v>
      </c>
      <c r="AU201" s="6">
        <v>0.56225000000000003</v>
      </c>
      <c r="AV201" s="6">
        <v>2.7433000000000001</v>
      </c>
      <c r="AW201" s="6">
        <v>0.54159999999999997</v>
      </c>
      <c r="AX201" s="6">
        <v>328</v>
      </c>
    </row>
    <row r="202" spans="1:50" x14ac:dyDescent="0.25">
      <c r="A202" s="31" t="s">
        <v>13</v>
      </c>
      <c r="B202" s="32">
        <v>2</v>
      </c>
      <c r="C202" s="36">
        <v>20</v>
      </c>
      <c r="D202" s="36">
        <v>4</v>
      </c>
      <c r="E202" s="32">
        <v>9</v>
      </c>
      <c r="F202" s="12">
        <v>55.2</v>
      </c>
      <c r="G202">
        <v>63.861270000000005</v>
      </c>
      <c r="Q202" s="17">
        <v>200</v>
      </c>
      <c r="R202" s="6">
        <v>2.3816799999999998</v>
      </c>
      <c r="S202" s="19">
        <v>-3.7469999999999999</v>
      </c>
      <c r="T202" s="6">
        <v>2.2942999999999998</v>
      </c>
      <c r="U202" s="6">
        <v>328</v>
      </c>
      <c r="W202" s="17">
        <v>200</v>
      </c>
      <c r="X202" s="6">
        <v>4.5134400000000001</v>
      </c>
      <c r="Y202" s="19">
        <v>-3.7469999999999999</v>
      </c>
      <c r="Z202" s="6">
        <v>2.2942999999999998</v>
      </c>
      <c r="AA202" s="6">
        <v>328</v>
      </c>
      <c r="AN202" s="17">
        <v>199</v>
      </c>
      <c r="AO202" s="6">
        <v>1.0662199999999999</v>
      </c>
      <c r="AP202" s="19">
        <v>-1.8402000000000001</v>
      </c>
      <c r="AQ202" s="6">
        <v>0.54200000000000004</v>
      </c>
      <c r="AR202" s="6">
        <v>328</v>
      </c>
      <c r="AT202" s="17">
        <v>199</v>
      </c>
      <c r="AU202" s="6">
        <v>0.56262999999999996</v>
      </c>
      <c r="AV202" s="19">
        <v>-1.8402000000000001</v>
      </c>
      <c r="AW202" s="6">
        <v>0.54200000000000004</v>
      </c>
      <c r="AX202" s="6">
        <v>328</v>
      </c>
    </row>
    <row r="203" spans="1:50" x14ac:dyDescent="0.25">
      <c r="A203" s="31" t="s">
        <v>13</v>
      </c>
      <c r="B203" s="32">
        <v>3</v>
      </c>
      <c r="C203" s="36">
        <v>17</v>
      </c>
      <c r="D203" s="36">
        <v>6</v>
      </c>
      <c r="E203" s="32">
        <v>9</v>
      </c>
      <c r="F203" s="12">
        <v>54.8</v>
      </c>
      <c r="G203">
        <v>63.512624999999986</v>
      </c>
      <c r="Q203" s="17">
        <v>201</v>
      </c>
      <c r="R203" s="6">
        <v>2.3768500000000001</v>
      </c>
      <c r="S203" s="19">
        <v>-8.6556999999999995</v>
      </c>
      <c r="T203" s="6">
        <v>2.2896999999999998</v>
      </c>
      <c r="U203" s="6">
        <v>328</v>
      </c>
      <c r="W203" s="17">
        <v>201</v>
      </c>
      <c r="X203" s="6">
        <v>4.5042999999999997</v>
      </c>
      <c r="Y203" s="19">
        <v>-8.6556999999999995</v>
      </c>
      <c r="Z203" s="6">
        <v>2.2896999999999998</v>
      </c>
      <c r="AA203" s="6">
        <v>328</v>
      </c>
      <c r="AN203" s="17">
        <v>200</v>
      </c>
      <c r="AO203" s="6">
        <v>1.0778399999999999</v>
      </c>
      <c r="AP203" s="6">
        <v>0.22989999999999999</v>
      </c>
      <c r="AQ203" s="6">
        <v>0.54790000000000005</v>
      </c>
      <c r="AR203" s="6">
        <v>328</v>
      </c>
      <c r="AT203" s="17">
        <v>200</v>
      </c>
      <c r="AU203" s="6">
        <v>0.56876000000000004</v>
      </c>
      <c r="AV203" s="6">
        <v>0.22989999999999999</v>
      </c>
      <c r="AW203" s="6">
        <v>0.54790000000000005</v>
      </c>
      <c r="AX203" s="6">
        <v>328</v>
      </c>
    </row>
    <row r="204" spans="1:50" x14ac:dyDescent="0.25">
      <c r="A204" t="s">
        <v>7</v>
      </c>
      <c r="B204" s="11">
        <v>1</v>
      </c>
      <c r="C204" s="11">
        <v>6</v>
      </c>
      <c r="D204" s="11">
        <v>4</v>
      </c>
      <c r="E204" s="11">
        <v>9</v>
      </c>
      <c r="F204" s="12">
        <v>53.7</v>
      </c>
      <c r="G204">
        <v>43.81914777477256</v>
      </c>
      <c r="Q204" s="17">
        <v>202</v>
      </c>
      <c r="R204" s="6">
        <v>2.3769800000000001</v>
      </c>
      <c r="S204" s="19">
        <v>-12.904999999999999</v>
      </c>
      <c r="T204" s="6">
        <v>2.2898000000000001</v>
      </c>
      <c r="U204" s="6">
        <v>328</v>
      </c>
      <c r="W204" s="17">
        <v>202</v>
      </c>
      <c r="X204" s="6">
        <v>4.5045299999999999</v>
      </c>
      <c r="Y204" s="19">
        <v>-12.904999999999999</v>
      </c>
      <c r="Z204" s="6">
        <v>2.2898000000000001</v>
      </c>
      <c r="AA204" s="6">
        <v>328</v>
      </c>
      <c r="AN204" s="17">
        <v>201</v>
      </c>
      <c r="AO204" s="6">
        <v>1.0619400000000001</v>
      </c>
      <c r="AP204" s="19">
        <v>-1.0894999999999999</v>
      </c>
      <c r="AQ204" s="6">
        <v>0.53979999999999995</v>
      </c>
      <c r="AR204" s="6">
        <v>328</v>
      </c>
      <c r="AT204" s="17">
        <v>201</v>
      </c>
      <c r="AU204" s="6">
        <v>0.56037000000000003</v>
      </c>
      <c r="AV204" s="19">
        <v>-1.0894999999999999</v>
      </c>
      <c r="AW204" s="6">
        <v>0.53979999999999995</v>
      </c>
      <c r="AX204" s="6">
        <v>328</v>
      </c>
    </row>
    <row r="205" spans="1:50" x14ac:dyDescent="0.25">
      <c r="A205" t="s">
        <v>7</v>
      </c>
      <c r="B205" s="11">
        <v>2</v>
      </c>
      <c r="C205" s="11">
        <v>8</v>
      </c>
      <c r="D205" s="11">
        <v>5</v>
      </c>
      <c r="E205" s="11">
        <v>9</v>
      </c>
      <c r="F205" s="12">
        <v>51</v>
      </c>
      <c r="G205">
        <v>42.315447664047056</v>
      </c>
      <c r="Q205" s="17">
        <v>203</v>
      </c>
      <c r="R205" s="6">
        <v>2.3792</v>
      </c>
      <c r="S205" s="19">
        <v>-10.6709</v>
      </c>
      <c r="T205" s="6">
        <v>2.2919</v>
      </c>
      <c r="U205" s="6">
        <v>328</v>
      </c>
      <c r="W205" s="17">
        <v>203</v>
      </c>
      <c r="X205" s="6">
        <v>4.50875</v>
      </c>
      <c r="Y205" s="19">
        <v>-10.6709</v>
      </c>
      <c r="Z205" s="6">
        <v>2.2919</v>
      </c>
      <c r="AA205" s="6">
        <v>328</v>
      </c>
      <c r="AN205" s="17">
        <v>202</v>
      </c>
      <c r="AO205" s="6">
        <v>1.0702</v>
      </c>
      <c r="AP205" s="19">
        <v>-1.5914999999999999</v>
      </c>
      <c r="AQ205" s="6">
        <v>0.54400000000000004</v>
      </c>
      <c r="AR205" s="6">
        <v>328</v>
      </c>
      <c r="AT205" s="17">
        <v>202</v>
      </c>
      <c r="AU205" s="6">
        <v>0.56472999999999995</v>
      </c>
      <c r="AV205" s="19">
        <v>-1.5914999999999999</v>
      </c>
      <c r="AW205" s="6">
        <v>0.54400000000000004</v>
      </c>
      <c r="AX205" s="6">
        <v>328</v>
      </c>
    </row>
    <row r="206" spans="1:50" x14ac:dyDescent="0.25">
      <c r="A206" t="s">
        <v>7</v>
      </c>
      <c r="B206" s="11">
        <v>3</v>
      </c>
      <c r="C206" s="11">
        <v>11</v>
      </c>
      <c r="D206" s="11">
        <v>10</v>
      </c>
      <c r="E206" s="11">
        <v>9</v>
      </c>
      <c r="F206" s="12">
        <v>50</v>
      </c>
      <c r="G206">
        <v>37.27384082045355</v>
      </c>
      <c r="Q206" s="17">
        <v>204</v>
      </c>
      <c r="R206" s="6">
        <v>2.3836900000000001</v>
      </c>
      <c r="S206" s="19">
        <v>-10.6401</v>
      </c>
      <c r="T206" s="6">
        <v>2.2963</v>
      </c>
      <c r="U206" s="6">
        <v>328</v>
      </c>
      <c r="W206" s="17">
        <v>204</v>
      </c>
      <c r="X206" s="6">
        <v>4.5172499999999998</v>
      </c>
      <c r="Y206" s="19">
        <v>-10.6401</v>
      </c>
      <c r="Z206" s="6">
        <v>2.2963</v>
      </c>
      <c r="AA206" s="6">
        <v>328</v>
      </c>
      <c r="AN206" s="17">
        <v>203</v>
      </c>
      <c r="AO206" s="6">
        <v>1.0667</v>
      </c>
      <c r="AP206" s="6">
        <v>0.55249999999999999</v>
      </c>
      <c r="AQ206" s="6">
        <v>0.54220000000000002</v>
      </c>
      <c r="AR206" s="6">
        <v>328</v>
      </c>
      <c r="AT206" s="17">
        <v>203</v>
      </c>
      <c r="AU206" s="6">
        <v>0.56288000000000005</v>
      </c>
      <c r="AV206" s="6">
        <v>0.55249999999999999</v>
      </c>
      <c r="AW206" s="6">
        <v>0.54220000000000002</v>
      </c>
      <c r="AX206" s="6">
        <v>328</v>
      </c>
    </row>
    <row r="207" spans="1:50" x14ac:dyDescent="0.25">
      <c r="A207" s="31" t="s">
        <v>156</v>
      </c>
      <c r="B207" s="32">
        <v>1</v>
      </c>
      <c r="C207" s="32">
        <v>5</v>
      </c>
      <c r="D207" s="32">
        <v>1</v>
      </c>
      <c r="E207" s="32">
        <v>9</v>
      </c>
      <c r="F207" s="2" t="s">
        <v>12</v>
      </c>
      <c r="G207" t="s">
        <v>12</v>
      </c>
      <c r="Q207" s="17">
        <v>205</v>
      </c>
      <c r="R207" s="6">
        <v>2.383</v>
      </c>
      <c r="S207" s="19">
        <v>-9.2682000000000002</v>
      </c>
      <c r="T207" s="6">
        <v>2.2955999999999999</v>
      </c>
      <c r="U207" s="6">
        <v>328</v>
      </c>
      <c r="W207" s="17">
        <v>205</v>
      </c>
      <c r="X207" s="6">
        <v>4.5159500000000001</v>
      </c>
      <c r="Y207" s="19">
        <v>-9.2682000000000002</v>
      </c>
      <c r="Z207" s="6">
        <v>2.2955999999999999</v>
      </c>
      <c r="AA207" s="6">
        <v>328</v>
      </c>
      <c r="AN207" s="17">
        <v>204</v>
      </c>
      <c r="AO207" s="6">
        <v>1.0679700000000001</v>
      </c>
      <c r="AP207" s="19">
        <v>-1.4109</v>
      </c>
      <c r="AQ207" s="6">
        <v>0.54290000000000005</v>
      </c>
      <c r="AR207" s="6">
        <v>328</v>
      </c>
      <c r="AT207" s="17">
        <v>204</v>
      </c>
      <c r="AU207" s="6">
        <v>0.56355</v>
      </c>
      <c r="AV207" s="19">
        <v>-1.4109</v>
      </c>
      <c r="AW207" s="6">
        <v>0.54290000000000005</v>
      </c>
      <c r="AX207" s="6">
        <v>328</v>
      </c>
    </row>
    <row r="208" spans="1:50" x14ac:dyDescent="0.25">
      <c r="A208" s="31" t="s">
        <v>156</v>
      </c>
      <c r="B208" s="32">
        <v>2</v>
      </c>
      <c r="C208" s="32">
        <v>21</v>
      </c>
      <c r="D208" s="32">
        <v>3</v>
      </c>
      <c r="E208" s="32">
        <v>9</v>
      </c>
      <c r="F208" s="2">
        <v>55.2</v>
      </c>
      <c r="G208">
        <v>41.146311171110362</v>
      </c>
      <c r="Q208" s="17">
        <v>206</v>
      </c>
      <c r="R208" s="6">
        <v>2.3915000000000002</v>
      </c>
      <c r="S208" s="19">
        <v>-3.9054000000000002</v>
      </c>
      <c r="T208" s="6">
        <v>2.3037999999999998</v>
      </c>
      <c r="U208" s="6">
        <v>328</v>
      </c>
      <c r="W208" s="17">
        <v>206</v>
      </c>
      <c r="X208" s="6">
        <v>4.53207</v>
      </c>
      <c r="Y208" s="19">
        <v>-3.9054000000000002</v>
      </c>
      <c r="Z208" s="6">
        <v>2.3037999999999998</v>
      </c>
      <c r="AA208" s="6">
        <v>328</v>
      </c>
      <c r="AN208" s="17">
        <v>205</v>
      </c>
      <c r="AO208" s="6">
        <v>1.06654</v>
      </c>
      <c r="AP208" s="6">
        <v>0.30499999999999999</v>
      </c>
      <c r="AQ208" s="6">
        <v>0.54220000000000002</v>
      </c>
      <c r="AR208" s="6">
        <v>328</v>
      </c>
      <c r="AT208" s="17">
        <v>205</v>
      </c>
      <c r="AU208" s="6">
        <v>0.56279999999999997</v>
      </c>
      <c r="AV208" s="6">
        <v>0.30499999999999999</v>
      </c>
      <c r="AW208" s="6">
        <v>0.54220000000000002</v>
      </c>
      <c r="AX208" s="6">
        <v>328</v>
      </c>
    </row>
    <row r="209" spans="1:50" x14ac:dyDescent="0.25">
      <c r="A209" s="31" t="s">
        <v>156</v>
      </c>
      <c r="B209" s="32">
        <v>3</v>
      </c>
      <c r="C209" s="32">
        <v>22</v>
      </c>
      <c r="D209" s="32">
        <v>5</v>
      </c>
      <c r="E209" s="32">
        <v>9</v>
      </c>
      <c r="F209" s="2">
        <v>52.9</v>
      </c>
      <c r="G209">
        <v>41.801239481574619</v>
      </c>
      <c r="Q209" s="17">
        <v>207</v>
      </c>
      <c r="R209" s="6">
        <v>2.3930899999999999</v>
      </c>
      <c r="S209" s="19">
        <v>-11.8972</v>
      </c>
      <c r="T209" s="6">
        <v>2.3052999999999999</v>
      </c>
      <c r="U209" s="6">
        <v>328</v>
      </c>
      <c r="W209" s="17">
        <v>207</v>
      </c>
      <c r="X209" s="6">
        <v>4.5350799999999998</v>
      </c>
      <c r="Y209" s="19">
        <v>-11.8972</v>
      </c>
      <c r="Z209" s="6">
        <v>2.3052999999999999</v>
      </c>
      <c r="AA209" s="6">
        <v>328</v>
      </c>
      <c r="AN209" s="17">
        <v>206</v>
      </c>
      <c r="AO209" s="6">
        <v>1.0776300000000001</v>
      </c>
      <c r="AP209" s="6">
        <v>0.70179999999999998</v>
      </c>
      <c r="AQ209" s="6">
        <v>0.54779999999999995</v>
      </c>
      <c r="AR209" s="6">
        <v>328</v>
      </c>
      <c r="AT209" s="17">
        <v>206</v>
      </c>
      <c r="AU209" s="6">
        <v>0.56864999999999999</v>
      </c>
      <c r="AV209" s="6">
        <v>0.70179999999999998</v>
      </c>
      <c r="AW209" s="6">
        <v>0.54779999999999995</v>
      </c>
      <c r="AX209" s="6">
        <v>328</v>
      </c>
    </row>
    <row r="210" spans="1:50" x14ac:dyDescent="0.25">
      <c r="A210" s="31" t="s">
        <v>10</v>
      </c>
      <c r="B210" s="32">
        <v>1</v>
      </c>
      <c r="C210" s="32">
        <v>13</v>
      </c>
      <c r="D210" s="32">
        <v>2</v>
      </c>
      <c r="E210" s="32">
        <v>9</v>
      </c>
      <c r="F210" s="2">
        <v>54.6</v>
      </c>
      <c r="G210">
        <v>57.360368337425967</v>
      </c>
      <c r="Q210" s="17">
        <v>208</v>
      </c>
      <c r="R210" s="6">
        <v>2.3806799999999999</v>
      </c>
      <c r="S210" s="19">
        <v>-10.453099999999999</v>
      </c>
      <c r="T210" s="6">
        <v>2.2934000000000001</v>
      </c>
      <c r="U210" s="6">
        <v>328</v>
      </c>
      <c r="W210" s="17">
        <v>208</v>
      </c>
      <c r="X210" s="6">
        <v>4.5115400000000001</v>
      </c>
      <c r="Y210" s="19">
        <v>-10.453099999999999</v>
      </c>
      <c r="Z210" s="6">
        <v>2.2934000000000001</v>
      </c>
      <c r="AA210" s="6">
        <v>328</v>
      </c>
      <c r="AN210" s="17">
        <v>207</v>
      </c>
      <c r="AO210" s="6">
        <v>1.07301</v>
      </c>
      <c r="AP210" s="19">
        <v>-0.7077</v>
      </c>
      <c r="AQ210" s="6">
        <v>0.5454</v>
      </c>
      <c r="AR210" s="6">
        <v>328</v>
      </c>
      <c r="AT210" s="17">
        <v>207</v>
      </c>
      <c r="AU210" s="6">
        <v>0.56620999999999999</v>
      </c>
      <c r="AV210" s="19">
        <v>-0.7077</v>
      </c>
      <c r="AW210" s="6">
        <v>0.5454</v>
      </c>
      <c r="AX210" s="6">
        <v>328</v>
      </c>
    </row>
    <row r="211" spans="1:50" x14ac:dyDescent="0.25">
      <c r="A211" s="31" t="s">
        <v>10</v>
      </c>
      <c r="B211" s="32">
        <v>2</v>
      </c>
      <c r="C211" s="32">
        <v>7</v>
      </c>
      <c r="D211" s="32">
        <v>7</v>
      </c>
      <c r="E211" s="32">
        <v>9</v>
      </c>
      <c r="F211" s="2">
        <v>54.5</v>
      </c>
      <c r="G211">
        <v>46.977208533077665</v>
      </c>
      <c r="Q211" s="17">
        <v>209</v>
      </c>
      <c r="R211" s="6">
        <v>2.3891399999999998</v>
      </c>
      <c r="S211" s="19">
        <v>-8.1499000000000006</v>
      </c>
      <c r="T211" s="6">
        <v>2.3014999999999999</v>
      </c>
      <c r="U211" s="6">
        <v>328</v>
      </c>
      <c r="W211" s="17">
        <v>209</v>
      </c>
      <c r="X211" s="6">
        <v>4.52759</v>
      </c>
      <c r="Y211" s="19">
        <v>-8.1499000000000006</v>
      </c>
      <c r="Z211" s="6">
        <v>2.3014999999999999</v>
      </c>
      <c r="AA211" s="6">
        <v>328</v>
      </c>
      <c r="AN211" s="17">
        <v>208</v>
      </c>
      <c r="AO211" s="6">
        <v>1.06457</v>
      </c>
      <c r="AP211" s="19">
        <v>-0.3619</v>
      </c>
      <c r="AQ211" s="6">
        <v>0.54120000000000001</v>
      </c>
      <c r="AR211" s="6">
        <v>328</v>
      </c>
      <c r="AT211" s="17">
        <v>208</v>
      </c>
      <c r="AU211" s="6">
        <v>0.56176000000000004</v>
      </c>
      <c r="AV211" s="19">
        <v>-0.3619</v>
      </c>
      <c r="AW211" s="6">
        <v>0.54120000000000001</v>
      </c>
      <c r="AX211" s="6">
        <v>328</v>
      </c>
    </row>
    <row r="212" spans="1:50" x14ac:dyDescent="0.25">
      <c r="A212" s="31" t="s">
        <v>10</v>
      </c>
      <c r="B212" s="32">
        <v>3</v>
      </c>
      <c r="C212" s="32">
        <v>12</v>
      </c>
      <c r="D212" s="32">
        <v>10</v>
      </c>
      <c r="E212" s="32">
        <v>9</v>
      </c>
      <c r="F212" s="2">
        <v>54.1</v>
      </c>
      <c r="G212">
        <v>62.577383703991437</v>
      </c>
      <c r="Q212" s="17">
        <v>210</v>
      </c>
      <c r="R212" s="6">
        <v>2.39378</v>
      </c>
      <c r="S212" s="19">
        <v>-6.1231</v>
      </c>
      <c r="T212" s="6">
        <v>2.306</v>
      </c>
      <c r="U212" s="6">
        <v>328</v>
      </c>
      <c r="W212" s="17">
        <v>210</v>
      </c>
      <c r="X212" s="6">
        <v>4.5363699999999998</v>
      </c>
      <c r="Y212" s="19">
        <v>-6.1231</v>
      </c>
      <c r="Z212" s="6">
        <v>2.306</v>
      </c>
      <c r="AA212" s="6">
        <v>328</v>
      </c>
      <c r="AN212" s="17">
        <v>209</v>
      </c>
      <c r="AO212" s="6">
        <v>1.069</v>
      </c>
      <c r="AP212" s="19">
        <v>-1.4330000000000001</v>
      </c>
      <c r="AQ212" s="6">
        <v>0.54339999999999999</v>
      </c>
      <c r="AR212" s="6">
        <v>328</v>
      </c>
      <c r="AT212" s="17">
        <v>209</v>
      </c>
      <c r="AU212" s="6">
        <v>0.56410000000000005</v>
      </c>
      <c r="AV212" s="19">
        <v>-1.4330000000000001</v>
      </c>
      <c r="AW212" s="6">
        <v>0.54339999999999999</v>
      </c>
      <c r="AX212" s="6">
        <v>328</v>
      </c>
    </row>
    <row r="213" spans="1:50" x14ac:dyDescent="0.25">
      <c r="A213" s="31" t="s">
        <v>11</v>
      </c>
      <c r="B213" s="32">
        <v>1</v>
      </c>
      <c r="C213" s="32">
        <v>6</v>
      </c>
      <c r="D213" s="32">
        <v>2</v>
      </c>
      <c r="E213" s="11">
        <v>9</v>
      </c>
      <c r="F213" s="2">
        <v>58.7</v>
      </c>
      <c r="G213">
        <v>40.433834168610126</v>
      </c>
      <c r="Q213" s="17">
        <v>211</v>
      </c>
      <c r="R213" s="6">
        <v>2.3887200000000002</v>
      </c>
      <c r="S213" s="19">
        <v>-10.1235</v>
      </c>
      <c r="T213" s="6">
        <v>2.3010999999999999</v>
      </c>
      <c r="U213" s="6">
        <v>328</v>
      </c>
      <c r="W213" s="17">
        <v>211</v>
      </c>
      <c r="X213" s="6">
        <v>4.5267999999999997</v>
      </c>
      <c r="Y213" s="19">
        <v>-10.1235</v>
      </c>
      <c r="Z213" s="6">
        <v>2.3010999999999999</v>
      </c>
      <c r="AA213" s="6">
        <v>328</v>
      </c>
      <c r="AN213" s="17">
        <v>210</v>
      </c>
      <c r="AO213" s="6">
        <v>1.0744100000000001</v>
      </c>
      <c r="AP213" s="19">
        <v>-1.1212</v>
      </c>
      <c r="AQ213" s="6">
        <v>0.54620000000000002</v>
      </c>
      <c r="AR213" s="6">
        <v>328</v>
      </c>
      <c r="AT213" s="17">
        <v>210</v>
      </c>
      <c r="AU213" s="6">
        <v>0.56694999999999995</v>
      </c>
      <c r="AV213" s="19">
        <v>-1.1212</v>
      </c>
      <c r="AW213" s="6">
        <v>0.54620000000000002</v>
      </c>
      <c r="AX213" s="6">
        <v>328</v>
      </c>
    </row>
    <row r="214" spans="1:50" x14ac:dyDescent="0.25">
      <c r="A214" s="31" t="s">
        <v>11</v>
      </c>
      <c r="B214" s="32">
        <v>2</v>
      </c>
      <c r="C214" s="32">
        <v>5</v>
      </c>
      <c r="D214" s="32">
        <v>4</v>
      </c>
      <c r="E214" s="11">
        <v>9</v>
      </c>
      <c r="F214" s="2">
        <v>57.6</v>
      </c>
      <c r="G214">
        <v>30.764025568604126</v>
      </c>
      <c r="Q214" s="17">
        <v>212</v>
      </c>
      <c r="R214" s="6">
        <v>2.3961800000000002</v>
      </c>
      <c r="S214" s="19">
        <v>-7.9039000000000001</v>
      </c>
      <c r="T214" s="6">
        <v>2.3083</v>
      </c>
      <c r="U214" s="6">
        <v>328</v>
      </c>
      <c r="W214" s="17">
        <v>212</v>
      </c>
      <c r="X214" s="6">
        <v>4.5409199999999998</v>
      </c>
      <c r="Y214" s="19">
        <v>-7.9039000000000001</v>
      </c>
      <c r="Z214" s="6">
        <v>2.3083</v>
      </c>
      <c r="AA214" s="6">
        <v>328</v>
      </c>
      <c r="AN214" s="17">
        <v>211</v>
      </c>
      <c r="AO214" s="6">
        <v>1.0809899999999999</v>
      </c>
      <c r="AP214" s="19">
        <v>-6.6820000000000004E-2</v>
      </c>
      <c r="AQ214" s="6">
        <v>0.54949999999999999</v>
      </c>
      <c r="AR214" s="6">
        <v>328</v>
      </c>
      <c r="AT214" s="17">
        <v>211</v>
      </c>
      <c r="AU214" s="6">
        <v>0.57042000000000004</v>
      </c>
      <c r="AV214" s="19">
        <v>-6.6820000000000004E-2</v>
      </c>
      <c r="AW214" s="6">
        <v>0.54949999999999999</v>
      </c>
      <c r="AX214" s="6">
        <v>328</v>
      </c>
    </row>
    <row r="215" spans="1:50" x14ac:dyDescent="0.25">
      <c r="A215" s="31" t="s">
        <v>11</v>
      </c>
      <c r="B215" s="32">
        <v>3</v>
      </c>
      <c r="C215" s="32">
        <v>4</v>
      </c>
      <c r="D215" s="32">
        <v>7</v>
      </c>
      <c r="E215" s="11">
        <v>9</v>
      </c>
      <c r="F215" s="2">
        <v>58.2</v>
      </c>
      <c r="G215">
        <v>35.62188019966721</v>
      </c>
      <c r="Q215" s="17">
        <v>213</v>
      </c>
      <c r="R215" s="6">
        <v>2.3931900000000002</v>
      </c>
      <c r="S215" s="19">
        <v>-16.5366</v>
      </c>
      <c r="T215" s="6">
        <v>2.3054000000000001</v>
      </c>
      <c r="U215" s="6">
        <v>328</v>
      </c>
      <c r="W215" s="17">
        <v>213</v>
      </c>
      <c r="X215" s="6">
        <v>4.5352699999999997</v>
      </c>
      <c r="Y215" s="19">
        <v>-16.5366</v>
      </c>
      <c r="Z215" s="6">
        <v>2.3054000000000001</v>
      </c>
      <c r="AA215" s="6">
        <v>328</v>
      </c>
      <c r="AN215" s="17">
        <v>212</v>
      </c>
      <c r="AO215" s="6">
        <v>1.07487</v>
      </c>
      <c r="AP215" s="19">
        <v>-0.1573</v>
      </c>
      <c r="AQ215" s="6">
        <v>0.5464</v>
      </c>
      <c r="AR215" s="6">
        <v>328</v>
      </c>
      <c r="AT215" s="17">
        <v>212</v>
      </c>
      <c r="AU215" s="6">
        <v>0.56720000000000004</v>
      </c>
      <c r="AV215" s="19">
        <v>-0.1573</v>
      </c>
      <c r="AW215" s="6">
        <v>0.5464</v>
      </c>
      <c r="AX215" s="6">
        <v>328</v>
      </c>
    </row>
    <row r="216" spans="1:50" x14ac:dyDescent="0.25">
      <c r="A216" t="s">
        <v>160</v>
      </c>
      <c r="B216">
        <v>1</v>
      </c>
      <c r="C216" s="36">
        <v>6</v>
      </c>
      <c r="D216" s="36">
        <v>2</v>
      </c>
      <c r="E216" s="32">
        <v>9</v>
      </c>
      <c r="F216" s="13">
        <v>59</v>
      </c>
      <c r="G216">
        <v>83.201421791767544</v>
      </c>
      <c r="Q216" s="17">
        <v>214</v>
      </c>
      <c r="R216" s="6">
        <v>2.3944299999999998</v>
      </c>
      <c r="S216" s="19">
        <v>-9.6149000000000004</v>
      </c>
      <c r="T216" s="6">
        <v>2.3066</v>
      </c>
      <c r="U216" s="6">
        <v>328</v>
      </c>
      <c r="W216" s="17">
        <v>214</v>
      </c>
      <c r="X216" s="6">
        <v>4.5376000000000003</v>
      </c>
      <c r="Y216" s="19">
        <v>-9.6149000000000004</v>
      </c>
      <c r="Z216" s="6">
        <v>2.3066</v>
      </c>
      <c r="AA216" s="6">
        <v>328</v>
      </c>
      <c r="AN216" s="17">
        <v>213</v>
      </c>
      <c r="AO216" s="6">
        <v>1.0749299999999999</v>
      </c>
      <c r="AP216" s="19">
        <v>-0.4506</v>
      </c>
      <c r="AQ216" s="6">
        <v>0.5464</v>
      </c>
      <c r="AR216" s="6">
        <v>328</v>
      </c>
      <c r="AT216" s="17">
        <v>213</v>
      </c>
      <c r="AU216" s="6">
        <v>0.56723000000000001</v>
      </c>
      <c r="AV216" s="19">
        <v>-0.4506</v>
      </c>
      <c r="AW216" s="6">
        <v>0.5464</v>
      </c>
      <c r="AX216" s="6">
        <v>328</v>
      </c>
    </row>
    <row r="217" spans="1:50" x14ac:dyDescent="0.25">
      <c r="A217" t="s">
        <v>160</v>
      </c>
      <c r="B217">
        <v>2</v>
      </c>
      <c r="C217" s="36">
        <v>3</v>
      </c>
      <c r="D217" s="36">
        <v>4</v>
      </c>
      <c r="E217" s="32">
        <v>9</v>
      </c>
      <c r="F217" s="13">
        <v>59.4</v>
      </c>
      <c r="G217">
        <v>73.673827456350566</v>
      </c>
      <c r="Q217" s="17">
        <v>215</v>
      </c>
      <c r="R217" s="6">
        <v>2.3802500000000002</v>
      </c>
      <c r="S217" s="19">
        <v>-6.9142999999999999</v>
      </c>
      <c r="T217" s="6">
        <v>2.2928999999999999</v>
      </c>
      <c r="U217" s="6">
        <v>328</v>
      </c>
      <c r="W217" s="17">
        <v>215</v>
      </c>
      <c r="X217" s="6">
        <v>4.5107299999999997</v>
      </c>
      <c r="Y217" s="19">
        <v>-6.9142999999999999</v>
      </c>
      <c r="Z217" s="6">
        <v>2.2928999999999999</v>
      </c>
      <c r="AA217" s="6">
        <v>328</v>
      </c>
      <c r="AN217" s="17">
        <v>214</v>
      </c>
      <c r="AO217" s="6">
        <v>1.06497</v>
      </c>
      <c r="AP217" s="19">
        <v>-0.47710000000000002</v>
      </c>
      <c r="AQ217" s="6">
        <v>0.54139999999999999</v>
      </c>
      <c r="AR217" s="6">
        <v>328</v>
      </c>
      <c r="AT217" s="17">
        <v>214</v>
      </c>
      <c r="AU217" s="6">
        <v>0.56196999999999997</v>
      </c>
      <c r="AV217" s="19">
        <v>-0.47710000000000002</v>
      </c>
      <c r="AW217" s="6">
        <v>0.54139999999999999</v>
      </c>
      <c r="AX217" s="6">
        <v>328</v>
      </c>
    </row>
    <row r="218" spans="1:50" x14ac:dyDescent="0.25">
      <c r="A218" t="s">
        <v>160</v>
      </c>
      <c r="B218">
        <v>3</v>
      </c>
      <c r="C218" s="36">
        <v>5</v>
      </c>
      <c r="D218" s="36">
        <v>6</v>
      </c>
      <c r="E218" s="32">
        <v>9</v>
      </c>
      <c r="F218" s="13">
        <v>59.1</v>
      </c>
      <c r="G218">
        <v>77.746091535810038</v>
      </c>
      <c r="Q218" s="17">
        <v>216</v>
      </c>
      <c r="R218" s="6">
        <v>2.3859599999999999</v>
      </c>
      <c r="S218" s="19">
        <v>-7.9093999999999998</v>
      </c>
      <c r="T218" s="6">
        <v>2.2984</v>
      </c>
      <c r="U218" s="6">
        <v>328</v>
      </c>
      <c r="W218" s="17">
        <v>216</v>
      </c>
      <c r="X218" s="6">
        <v>4.52156</v>
      </c>
      <c r="Y218" s="19">
        <v>-7.9093999999999998</v>
      </c>
      <c r="Z218" s="6">
        <v>2.2984</v>
      </c>
      <c r="AA218" s="6">
        <v>328</v>
      </c>
      <c r="AN218" s="17">
        <v>215</v>
      </c>
      <c r="AO218" s="6">
        <v>1.06602</v>
      </c>
      <c r="AP218" s="6">
        <v>0.90239999999999998</v>
      </c>
      <c r="AQ218" s="6">
        <v>0.54190000000000005</v>
      </c>
      <c r="AR218" s="6">
        <v>328</v>
      </c>
      <c r="AT218" s="17">
        <v>215</v>
      </c>
      <c r="AU218" s="6">
        <v>0.56252000000000002</v>
      </c>
      <c r="AV218" s="6">
        <v>0.90239999999999998</v>
      </c>
      <c r="AW218" s="6">
        <v>0.54190000000000005</v>
      </c>
      <c r="AX218" s="6">
        <v>328</v>
      </c>
    </row>
    <row r="219" spans="1:50" x14ac:dyDescent="0.25">
      <c r="A219" s="31" t="s">
        <v>116</v>
      </c>
      <c r="B219" s="32">
        <v>1</v>
      </c>
      <c r="C219" s="32">
        <v>7</v>
      </c>
      <c r="D219" s="32">
        <v>2</v>
      </c>
      <c r="E219" s="32">
        <v>10</v>
      </c>
      <c r="F219" s="12">
        <v>52.4</v>
      </c>
      <c r="G219">
        <v>47.099165142857132</v>
      </c>
      <c r="Q219" s="17">
        <v>217</v>
      </c>
      <c r="R219" s="6">
        <v>2.3823099999999999</v>
      </c>
      <c r="S219" s="19">
        <v>-4.8404999999999996</v>
      </c>
      <c r="T219" s="6">
        <v>2.2949000000000002</v>
      </c>
      <c r="U219" s="6">
        <v>328</v>
      </c>
      <c r="W219" s="17">
        <v>217</v>
      </c>
      <c r="X219" s="6">
        <v>4.51464</v>
      </c>
      <c r="Y219" s="19">
        <v>-4.8404999999999996</v>
      </c>
      <c r="Z219" s="6">
        <v>2.2949000000000002</v>
      </c>
      <c r="AA219" s="6">
        <v>328</v>
      </c>
      <c r="AN219" s="17">
        <v>216</v>
      </c>
      <c r="AO219" s="6">
        <v>1.0704400000000001</v>
      </c>
      <c r="AP219" s="19">
        <v>-0.57330000000000003</v>
      </c>
      <c r="AQ219" s="6">
        <v>0.54410000000000003</v>
      </c>
      <c r="AR219" s="6">
        <v>328</v>
      </c>
      <c r="AT219" s="17">
        <v>216</v>
      </c>
      <c r="AU219" s="6">
        <v>0.56486000000000003</v>
      </c>
      <c r="AV219" s="19">
        <v>-0.57330000000000003</v>
      </c>
      <c r="AW219" s="6">
        <v>0.54410000000000003</v>
      </c>
      <c r="AX219" s="6">
        <v>328</v>
      </c>
    </row>
    <row r="220" spans="1:50" x14ac:dyDescent="0.25">
      <c r="A220" s="31" t="s">
        <v>116</v>
      </c>
      <c r="B220" s="32">
        <v>2</v>
      </c>
      <c r="C220" s="32">
        <v>8</v>
      </c>
      <c r="D220" s="32">
        <v>7</v>
      </c>
      <c r="E220" s="32">
        <v>10</v>
      </c>
      <c r="F220" s="12">
        <v>52.6</v>
      </c>
      <c r="G220">
        <v>47.086673930861572</v>
      </c>
      <c r="Q220" s="17">
        <v>218</v>
      </c>
      <c r="R220" s="6">
        <v>2.3930400000000001</v>
      </c>
      <c r="S220" s="19">
        <v>-4.7226999999999997</v>
      </c>
      <c r="T220" s="6">
        <v>2.3052999999999999</v>
      </c>
      <c r="U220" s="6">
        <v>328</v>
      </c>
      <c r="W220" s="17">
        <v>218</v>
      </c>
      <c r="X220" s="6">
        <v>4.53498</v>
      </c>
      <c r="Y220" s="19">
        <v>-4.7226999999999997</v>
      </c>
      <c r="Z220" s="6">
        <v>2.3052999999999999</v>
      </c>
      <c r="AA220" s="6">
        <v>328</v>
      </c>
      <c r="AN220" s="17">
        <v>217</v>
      </c>
      <c r="AO220" s="6">
        <v>1.0687599999999999</v>
      </c>
      <c r="AP220" s="19">
        <v>-0.5665</v>
      </c>
      <c r="AQ220" s="6">
        <v>0.54330000000000001</v>
      </c>
      <c r="AR220" s="6">
        <v>328</v>
      </c>
      <c r="AT220" s="17">
        <v>217</v>
      </c>
      <c r="AU220" s="6">
        <v>0.56396999999999997</v>
      </c>
      <c r="AV220" s="19">
        <v>-0.5665</v>
      </c>
      <c r="AW220" s="6">
        <v>0.54330000000000001</v>
      </c>
      <c r="AX220" s="6">
        <v>328</v>
      </c>
    </row>
    <row r="221" spans="1:50" x14ac:dyDescent="0.25">
      <c r="A221" s="31" t="s">
        <v>116</v>
      </c>
      <c r="B221" s="32">
        <v>3</v>
      </c>
      <c r="C221" s="32">
        <v>9</v>
      </c>
      <c r="D221" s="32">
        <v>10</v>
      </c>
      <c r="E221" s="32">
        <v>10</v>
      </c>
      <c r="F221" s="12">
        <v>51.1</v>
      </c>
      <c r="G221">
        <v>47.059907899159661</v>
      </c>
      <c r="Q221" s="17">
        <v>219</v>
      </c>
      <c r="R221" s="6">
        <v>2.3934199999999999</v>
      </c>
      <c r="S221" s="19">
        <v>-13.346399999999999</v>
      </c>
      <c r="T221" s="6">
        <v>2.3056000000000001</v>
      </c>
      <c r="U221" s="6">
        <v>328</v>
      </c>
      <c r="W221" s="17">
        <v>219</v>
      </c>
      <c r="X221" s="6">
        <v>4.5356899999999998</v>
      </c>
      <c r="Y221" s="19">
        <v>-13.346399999999999</v>
      </c>
      <c r="Z221" s="6">
        <v>2.3056000000000001</v>
      </c>
      <c r="AA221" s="6">
        <v>328</v>
      </c>
      <c r="AN221" s="17">
        <v>218</v>
      </c>
      <c r="AO221" s="6">
        <v>1.07037</v>
      </c>
      <c r="AP221" s="6">
        <v>3.6000000000000001E-5</v>
      </c>
      <c r="AQ221" s="6">
        <v>0.54410000000000003</v>
      </c>
      <c r="AR221" s="6">
        <v>328</v>
      </c>
      <c r="AT221" s="17">
        <v>218</v>
      </c>
      <c r="AU221" s="6">
        <v>0.56481999999999999</v>
      </c>
      <c r="AV221" s="6">
        <v>3.6000000000000001E-5</v>
      </c>
      <c r="AW221" s="6">
        <v>0.54410000000000003</v>
      </c>
      <c r="AX221" s="6">
        <v>328</v>
      </c>
    </row>
    <row r="222" spans="1:50" x14ac:dyDescent="0.25">
      <c r="A222" s="34" t="s">
        <v>97</v>
      </c>
      <c r="B222" s="35">
        <v>1</v>
      </c>
      <c r="C222" s="35">
        <v>19</v>
      </c>
      <c r="D222" s="35">
        <v>1</v>
      </c>
      <c r="E222" s="35">
        <v>10</v>
      </c>
      <c r="F222" s="2">
        <v>58.3</v>
      </c>
      <c r="G222">
        <v>67.385245714285702</v>
      </c>
      <c r="Q222" s="17">
        <v>220</v>
      </c>
      <c r="R222" s="6">
        <v>2.3948100000000001</v>
      </c>
      <c r="S222" s="19">
        <v>-9.6806999999999999</v>
      </c>
      <c r="T222" s="6">
        <v>2.3069999999999999</v>
      </c>
      <c r="U222" s="6">
        <v>328</v>
      </c>
      <c r="W222" s="17">
        <v>220</v>
      </c>
      <c r="X222" s="6">
        <v>4.5383300000000002</v>
      </c>
      <c r="Y222" s="19">
        <v>-9.6806999999999999</v>
      </c>
      <c r="Z222" s="6">
        <v>2.3069999999999999</v>
      </c>
      <c r="AA222" s="6">
        <v>328</v>
      </c>
      <c r="AN222" s="17">
        <v>219</v>
      </c>
      <c r="AO222" s="6">
        <v>1.07325</v>
      </c>
      <c r="AP222" s="19">
        <v>-2.3894000000000002</v>
      </c>
      <c r="AQ222" s="6">
        <v>0.54559999999999997</v>
      </c>
      <c r="AR222" s="6">
        <v>328</v>
      </c>
      <c r="AT222" s="17">
        <v>219</v>
      </c>
      <c r="AU222" s="6">
        <v>0.56633999999999995</v>
      </c>
      <c r="AV222" s="19">
        <v>-2.3894000000000002</v>
      </c>
      <c r="AW222" s="6">
        <v>0.54559999999999997</v>
      </c>
      <c r="AX222" s="6">
        <v>328</v>
      </c>
    </row>
    <row r="223" spans="1:50" x14ac:dyDescent="0.25">
      <c r="A223" s="34" t="s">
        <v>97</v>
      </c>
      <c r="B223" s="35">
        <v>2</v>
      </c>
      <c r="C223" s="35">
        <v>16</v>
      </c>
      <c r="D223" s="35">
        <v>4</v>
      </c>
      <c r="E223" s="35">
        <v>10</v>
      </c>
      <c r="F223" s="2">
        <v>58.6</v>
      </c>
      <c r="G223">
        <v>64.38521476510067</v>
      </c>
      <c r="Q223" s="17">
        <v>221</v>
      </c>
      <c r="R223" s="6">
        <v>2.3896799999999998</v>
      </c>
      <c r="S223" s="19">
        <v>-7.9844999999999997</v>
      </c>
      <c r="T223" s="6">
        <v>2.302</v>
      </c>
      <c r="U223" s="6">
        <v>328</v>
      </c>
      <c r="W223" s="17">
        <v>221</v>
      </c>
      <c r="X223" s="6">
        <v>4.5286</v>
      </c>
      <c r="Y223" s="19">
        <v>-7.9844999999999997</v>
      </c>
      <c r="Z223" s="6">
        <v>2.302</v>
      </c>
      <c r="AA223" s="6">
        <v>328</v>
      </c>
      <c r="AN223" s="17">
        <v>220</v>
      </c>
      <c r="AO223" s="6">
        <v>1.07223</v>
      </c>
      <c r="AP223" s="19">
        <v>-0.31830000000000003</v>
      </c>
      <c r="AQ223" s="6">
        <v>0.54500000000000004</v>
      </c>
      <c r="AR223" s="6">
        <v>328</v>
      </c>
      <c r="AT223" s="17">
        <v>220</v>
      </c>
      <c r="AU223" s="6">
        <v>0.56579999999999997</v>
      </c>
      <c r="AV223" s="19">
        <v>-0.31830000000000003</v>
      </c>
      <c r="AW223" s="6">
        <v>0.54500000000000004</v>
      </c>
      <c r="AX223" s="6">
        <v>328</v>
      </c>
    </row>
    <row r="224" spans="1:50" x14ac:dyDescent="0.25">
      <c r="A224" s="34" t="s">
        <v>97</v>
      </c>
      <c r="B224" s="35">
        <v>3</v>
      </c>
      <c r="C224" s="35">
        <v>18</v>
      </c>
      <c r="D224" s="35">
        <v>6</v>
      </c>
      <c r="E224" s="35">
        <v>10</v>
      </c>
      <c r="F224" s="2">
        <v>58.1</v>
      </c>
      <c r="G224">
        <v>68.818123211901579</v>
      </c>
      <c r="Q224" s="17">
        <v>222</v>
      </c>
      <c r="R224" s="6">
        <v>2.3992499999999999</v>
      </c>
      <c r="S224" s="19">
        <v>-9.3783999999999992</v>
      </c>
      <c r="T224" s="6">
        <v>2.3113000000000001</v>
      </c>
      <c r="U224" s="6">
        <v>328</v>
      </c>
      <c r="W224" s="17">
        <v>222</v>
      </c>
      <c r="X224" s="6">
        <v>4.5467500000000003</v>
      </c>
      <c r="Y224" s="19">
        <v>-9.3783999999999992</v>
      </c>
      <c r="Z224" s="6">
        <v>2.3113000000000001</v>
      </c>
      <c r="AA224" s="6">
        <v>328</v>
      </c>
      <c r="AN224" s="17">
        <v>221</v>
      </c>
      <c r="AO224" s="6">
        <v>1.07019</v>
      </c>
      <c r="AP224" s="19">
        <v>-0.105</v>
      </c>
      <c r="AQ224" s="6">
        <v>0.54400000000000004</v>
      </c>
      <c r="AR224" s="6">
        <v>328</v>
      </c>
      <c r="AT224" s="17">
        <v>221</v>
      </c>
      <c r="AU224" s="6">
        <v>0.56472</v>
      </c>
      <c r="AV224" s="19">
        <v>-0.105</v>
      </c>
      <c r="AW224" s="6">
        <v>0.54400000000000004</v>
      </c>
      <c r="AX224" s="6">
        <v>328</v>
      </c>
    </row>
    <row r="225" spans="1:50" x14ac:dyDescent="0.25">
      <c r="A225" s="31" t="s">
        <v>132</v>
      </c>
      <c r="B225" s="32">
        <v>1</v>
      </c>
      <c r="C225" s="32">
        <v>15</v>
      </c>
      <c r="D225" s="32">
        <v>2</v>
      </c>
      <c r="E225" s="32">
        <v>10</v>
      </c>
      <c r="F225" s="2">
        <v>56.3</v>
      </c>
      <c r="G225">
        <v>58.640877489031382</v>
      </c>
      <c r="Q225" s="17">
        <v>223</v>
      </c>
      <c r="R225" s="6">
        <v>2.3887900000000002</v>
      </c>
      <c r="S225" s="19">
        <v>-8.3117000000000001</v>
      </c>
      <c r="T225" s="6">
        <v>2.3012000000000001</v>
      </c>
      <c r="U225" s="6">
        <v>328</v>
      </c>
      <c r="W225" s="17">
        <v>223</v>
      </c>
      <c r="X225" s="6">
        <v>4.5269199999999996</v>
      </c>
      <c r="Y225" s="19">
        <v>-8.3117000000000001</v>
      </c>
      <c r="Z225" s="6">
        <v>2.3012000000000001</v>
      </c>
      <c r="AA225" s="6">
        <v>328</v>
      </c>
      <c r="AN225" s="17">
        <v>222</v>
      </c>
      <c r="AO225" s="6">
        <v>1.0797699999999999</v>
      </c>
      <c r="AP225" s="19">
        <v>-0.39410000000000001</v>
      </c>
      <c r="AQ225" s="6">
        <v>0.54890000000000005</v>
      </c>
      <c r="AR225" s="6">
        <v>328</v>
      </c>
      <c r="AT225" s="17">
        <v>222</v>
      </c>
      <c r="AU225" s="6">
        <v>0.56977999999999995</v>
      </c>
      <c r="AV225" s="19">
        <v>-0.39410000000000001</v>
      </c>
      <c r="AW225" s="6">
        <v>0.54890000000000005</v>
      </c>
      <c r="AX225" s="6">
        <v>328</v>
      </c>
    </row>
    <row r="226" spans="1:50" x14ac:dyDescent="0.25">
      <c r="A226" s="31" t="s">
        <v>132</v>
      </c>
      <c r="B226" s="32">
        <v>2</v>
      </c>
      <c r="C226" s="32">
        <v>11</v>
      </c>
      <c r="D226" s="32">
        <v>4</v>
      </c>
      <c r="E226" s="32">
        <v>10</v>
      </c>
      <c r="F226" s="2">
        <v>57.6</v>
      </c>
      <c r="G226">
        <v>58.04092591690614</v>
      </c>
      <c r="Q226" s="17">
        <v>224</v>
      </c>
      <c r="R226" s="6">
        <v>2.38395</v>
      </c>
      <c r="S226" s="19">
        <v>-9.8803000000000001</v>
      </c>
      <c r="T226" s="6">
        <v>2.2965</v>
      </c>
      <c r="U226" s="6">
        <v>328</v>
      </c>
      <c r="W226" s="17">
        <v>224</v>
      </c>
      <c r="X226" s="6">
        <v>4.5177500000000004</v>
      </c>
      <c r="Y226" s="19">
        <v>-9.8803000000000001</v>
      </c>
      <c r="Z226" s="6">
        <v>2.2965</v>
      </c>
      <c r="AA226" s="6">
        <v>328</v>
      </c>
      <c r="AN226" s="17">
        <v>223</v>
      </c>
      <c r="AO226" s="6">
        <v>1.0696300000000001</v>
      </c>
      <c r="AP226" s="19">
        <v>-1.4745999999999999</v>
      </c>
      <c r="AQ226" s="6">
        <v>0.54369999999999996</v>
      </c>
      <c r="AR226" s="6">
        <v>328</v>
      </c>
      <c r="AT226" s="17">
        <v>223</v>
      </c>
      <c r="AU226" s="6">
        <v>0.56442999999999999</v>
      </c>
      <c r="AV226" s="19">
        <v>-1.4745999999999999</v>
      </c>
      <c r="AW226" s="6">
        <v>0.54369999999999996</v>
      </c>
      <c r="AX226" s="6">
        <v>328</v>
      </c>
    </row>
    <row r="227" spans="1:50" x14ac:dyDescent="0.25">
      <c r="A227" s="31" t="s">
        <v>132</v>
      </c>
      <c r="B227" s="32">
        <v>3</v>
      </c>
      <c r="C227" s="32">
        <v>10</v>
      </c>
      <c r="D227" s="32">
        <v>6</v>
      </c>
      <c r="E227" s="32">
        <v>10</v>
      </c>
      <c r="F227" s="12">
        <v>58.8</v>
      </c>
      <c r="G227">
        <v>52.194721941354892</v>
      </c>
      <c r="Q227" s="17">
        <v>225</v>
      </c>
      <c r="R227" s="6">
        <v>2.3823799999999999</v>
      </c>
      <c r="S227" s="19">
        <v>-9.3772000000000002</v>
      </c>
      <c r="T227" s="6">
        <v>2.2949999999999999</v>
      </c>
      <c r="U227" s="6">
        <v>328</v>
      </c>
      <c r="W227" s="17">
        <v>225</v>
      </c>
      <c r="X227" s="6">
        <v>4.5147700000000004</v>
      </c>
      <c r="Y227" s="19">
        <v>-9.3772000000000002</v>
      </c>
      <c r="Z227" s="6">
        <v>2.2949999999999999</v>
      </c>
      <c r="AA227" s="6">
        <v>328</v>
      </c>
      <c r="AN227" s="17">
        <v>224</v>
      </c>
      <c r="AO227" s="6">
        <v>1.0663899999999999</v>
      </c>
      <c r="AP227" s="19">
        <v>-1.1351</v>
      </c>
      <c r="AQ227" s="6">
        <v>0.54210000000000003</v>
      </c>
      <c r="AR227" s="6">
        <v>328</v>
      </c>
      <c r="AT227" s="17">
        <v>224</v>
      </c>
      <c r="AU227" s="6">
        <v>0.56272</v>
      </c>
      <c r="AV227" s="19">
        <v>-1.1351</v>
      </c>
      <c r="AW227" s="6">
        <v>0.54210000000000003</v>
      </c>
      <c r="AX227" s="6">
        <v>328</v>
      </c>
    </row>
    <row r="228" spans="1:50" x14ac:dyDescent="0.25">
      <c r="A228" s="31" t="s">
        <v>13</v>
      </c>
      <c r="B228" s="32">
        <v>1</v>
      </c>
      <c r="C228" s="36">
        <v>3</v>
      </c>
      <c r="D228" s="36">
        <v>2</v>
      </c>
      <c r="E228" s="32">
        <v>10</v>
      </c>
      <c r="F228" s="12">
        <v>54.4</v>
      </c>
      <c r="G228">
        <v>54.89528</v>
      </c>
      <c r="Q228" s="17">
        <v>226</v>
      </c>
      <c r="R228" s="6">
        <v>2.3978899999999999</v>
      </c>
      <c r="S228" s="19">
        <v>-2.0800999999999998</v>
      </c>
      <c r="T228" s="6">
        <v>2.3098999999999998</v>
      </c>
      <c r="U228" s="6">
        <v>328</v>
      </c>
      <c r="W228" s="17">
        <v>226</v>
      </c>
      <c r="X228" s="6">
        <v>4.5441700000000003</v>
      </c>
      <c r="Y228" s="19">
        <v>-2.0800999999999998</v>
      </c>
      <c r="Z228" s="6">
        <v>2.3098999999999998</v>
      </c>
      <c r="AA228" s="6">
        <v>328</v>
      </c>
      <c r="AN228" s="17">
        <v>225</v>
      </c>
      <c r="AO228" s="6">
        <v>1.0668299999999999</v>
      </c>
      <c r="AP228" s="19">
        <v>-1.6618999999999999</v>
      </c>
      <c r="AQ228" s="6">
        <v>0.5423</v>
      </c>
      <c r="AR228" s="6">
        <v>328</v>
      </c>
      <c r="AT228" s="17">
        <v>225</v>
      </c>
      <c r="AU228" s="6">
        <v>0.56294999999999995</v>
      </c>
      <c r="AV228" s="19">
        <v>-1.6618999999999999</v>
      </c>
      <c r="AW228" s="6">
        <v>0.5423</v>
      </c>
      <c r="AX228" s="6">
        <v>328</v>
      </c>
    </row>
    <row r="229" spans="1:50" x14ac:dyDescent="0.25">
      <c r="A229" s="31" t="s">
        <v>13</v>
      </c>
      <c r="B229" s="32">
        <v>2</v>
      </c>
      <c r="C229" s="36">
        <v>6</v>
      </c>
      <c r="D229" s="36">
        <v>3</v>
      </c>
      <c r="E229" s="32">
        <v>10</v>
      </c>
      <c r="F229" s="12">
        <v>53.4</v>
      </c>
      <c r="G229">
        <v>59.206729999999986</v>
      </c>
      <c r="Q229" s="17">
        <v>227</v>
      </c>
      <c r="R229" s="6">
        <v>2.3872100000000001</v>
      </c>
      <c r="S229" s="19">
        <v>-7.5728999999999997</v>
      </c>
      <c r="T229" s="6">
        <v>2.2997000000000001</v>
      </c>
      <c r="U229" s="6">
        <v>328</v>
      </c>
      <c r="W229" s="17">
        <v>227</v>
      </c>
      <c r="X229" s="6">
        <v>4.5239200000000004</v>
      </c>
      <c r="Y229" s="19">
        <v>-7.5728999999999997</v>
      </c>
      <c r="Z229" s="6">
        <v>2.2997000000000001</v>
      </c>
      <c r="AA229" s="6">
        <v>328</v>
      </c>
      <c r="AN229" s="17">
        <v>226</v>
      </c>
      <c r="AO229" s="6">
        <v>1.08049</v>
      </c>
      <c r="AP229" s="6">
        <v>0.1278</v>
      </c>
      <c r="AQ229" s="6">
        <v>0.54920000000000002</v>
      </c>
      <c r="AR229" s="6">
        <v>328</v>
      </c>
      <c r="AT229" s="17">
        <v>226</v>
      </c>
      <c r="AU229" s="6">
        <v>0.57016</v>
      </c>
      <c r="AV229" s="6">
        <v>0.1278</v>
      </c>
      <c r="AW229" s="6">
        <v>0.54920000000000002</v>
      </c>
      <c r="AX229" s="6">
        <v>328</v>
      </c>
    </row>
    <row r="230" spans="1:50" x14ac:dyDescent="0.25">
      <c r="A230" s="31" t="s">
        <v>13</v>
      </c>
      <c r="B230" s="32">
        <v>3</v>
      </c>
      <c r="C230" s="36">
        <v>12</v>
      </c>
      <c r="D230" s="36">
        <v>5</v>
      </c>
      <c r="E230" s="32">
        <v>10</v>
      </c>
      <c r="F230" s="12">
        <v>54.1</v>
      </c>
      <c r="G230">
        <v>55.525029999999987</v>
      </c>
      <c r="Q230" s="17">
        <v>228</v>
      </c>
      <c r="R230" s="6">
        <v>2.3902399999999999</v>
      </c>
      <c r="S230" s="6">
        <v>2.1456</v>
      </c>
      <c r="T230" s="6">
        <v>2.3026</v>
      </c>
      <c r="U230" s="6">
        <v>328</v>
      </c>
      <c r="W230" s="17">
        <v>228</v>
      </c>
      <c r="X230" s="6">
        <v>4.5296700000000003</v>
      </c>
      <c r="Y230" s="6">
        <v>2.1456</v>
      </c>
      <c r="Z230" s="6">
        <v>2.3026</v>
      </c>
      <c r="AA230" s="6">
        <v>328</v>
      </c>
      <c r="AN230" s="17">
        <v>227</v>
      </c>
      <c r="AO230" s="6">
        <v>1.0674600000000001</v>
      </c>
      <c r="AP230" s="19">
        <v>-1.5908</v>
      </c>
      <c r="AQ230" s="6">
        <v>0.54259999999999997</v>
      </c>
      <c r="AR230" s="6">
        <v>328</v>
      </c>
      <c r="AT230" s="17">
        <v>227</v>
      </c>
      <c r="AU230" s="6">
        <v>0.56328</v>
      </c>
      <c r="AV230" s="19">
        <v>-1.5908</v>
      </c>
      <c r="AW230" s="6">
        <v>0.54259999999999997</v>
      </c>
      <c r="AX230" s="6">
        <v>328</v>
      </c>
    </row>
    <row r="231" spans="1:50" x14ac:dyDescent="0.25">
      <c r="A231" t="s">
        <v>7</v>
      </c>
      <c r="B231" s="11">
        <v>1</v>
      </c>
      <c r="C231" s="11">
        <v>13</v>
      </c>
      <c r="D231" s="11">
        <v>1</v>
      </c>
      <c r="E231" s="11">
        <v>10</v>
      </c>
      <c r="F231" s="12">
        <v>48.6</v>
      </c>
      <c r="G231">
        <v>43.636575630252089</v>
      </c>
      <c r="Q231" s="17">
        <v>229</v>
      </c>
      <c r="R231" s="6">
        <v>2.3770600000000002</v>
      </c>
      <c r="S231" s="19">
        <v>-2.6311</v>
      </c>
      <c r="T231" s="6">
        <v>2.2898999999999998</v>
      </c>
      <c r="U231" s="6">
        <v>328</v>
      </c>
      <c r="W231" s="17">
        <v>229</v>
      </c>
      <c r="X231" s="6">
        <v>4.5046900000000001</v>
      </c>
      <c r="Y231" s="19">
        <v>-2.6311</v>
      </c>
      <c r="Z231" s="6">
        <v>2.2898999999999998</v>
      </c>
      <c r="AA231" s="6">
        <v>328</v>
      </c>
      <c r="AN231" s="17">
        <v>228</v>
      </c>
      <c r="AO231" s="6">
        <v>1.0757300000000001</v>
      </c>
      <c r="AP231" s="6">
        <v>0.92030000000000001</v>
      </c>
      <c r="AQ231" s="6">
        <v>0.54679999999999995</v>
      </c>
      <c r="AR231" s="6">
        <v>328</v>
      </c>
      <c r="AT231" s="17">
        <v>228</v>
      </c>
      <c r="AU231" s="6">
        <v>0.56764999999999999</v>
      </c>
      <c r="AV231" s="6">
        <v>0.92030000000000001</v>
      </c>
      <c r="AW231" s="6">
        <v>0.54679999999999995</v>
      </c>
      <c r="AX231" s="6">
        <v>328</v>
      </c>
    </row>
    <row r="232" spans="1:50" x14ac:dyDescent="0.25">
      <c r="A232" t="s">
        <v>7</v>
      </c>
      <c r="B232" s="11">
        <v>2</v>
      </c>
      <c r="C232" s="11">
        <v>1</v>
      </c>
      <c r="D232" s="11">
        <v>5</v>
      </c>
      <c r="E232" s="11">
        <v>10</v>
      </c>
      <c r="F232" s="12">
        <v>53.1</v>
      </c>
      <c r="G232">
        <v>37.501339376114942</v>
      </c>
      <c r="Q232" s="17">
        <v>230</v>
      </c>
      <c r="R232" s="6">
        <v>2.3872800000000001</v>
      </c>
      <c r="S232" s="19">
        <v>-8.6097000000000001</v>
      </c>
      <c r="T232" s="6">
        <v>2.2997000000000001</v>
      </c>
      <c r="U232" s="6">
        <v>328</v>
      </c>
      <c r="W232" s="17">
        <v>230</v>
      </c>
      <c r="X232" s="6">
        <v>4.5240499999999999</v>
      </c>
      <c r="Y232" s="19">
        <v>-8.6097000000000001</v>
      </c>
      <c r="Z232" s="6">
        <v>2.2997000000000001</v>
      </c>
      <c r="AA232" s="6">
        <v>328</v>
      </c>
      <c r="AN232" s="17">
        <v>229</v>
      </c>
      <c r="AO232" s="6">
        <v>1.0658700000000001</v>
      </c>
      <c r="AP232" s="6">
        <v>4.8640000000000003E-2</v>
      </c>
      <c r="AQ232" s="6">
        <v>0.54179999999999995</v>
      </c>
      <c r="AR232" s="6">
        <v>328</v>
      </c>
      <c r="AT232" s="17">
        <v>229</v>
      </c>
      <c r="AU232" s="6">
        <v>0.56244000000000005</v>
      </c>
      <c r="AV232" s="6">
        <v>4.8640000000000003E-2</v>
      </c>
      <c r="AW232" s="6">
        <v>0.54179999999999995</v>
      </c>
      <c r="AX232" s="6">
        <v>328</v>
      </c>
    </row>
    <row r="233" spans="1:50" x14ac:dyDescent="0.25">
      <c r="A233" t="s">
        <v>7</v>
      </c>
      <c r="B233" s="11">
        <v>3</v>
      </c>
      <c r="C233" s="11">
        <v>10</v>
      </c>
      <c r="D233" s="11">
        <v>10</v>
      </c>
      <c r="E233" s="11">
        <v>10</v>
      </c>
      <c r="F233" s="12">
        <v>50.1</v>
      </c>
      <c r="G233">
        <v>35.372491694352156</v>
      </c>
      <c r="Q233" s="17">
        <v>231</v>
      </c>
      <c r="R233" s="6">
        <v>2.3795999999999999</v>
      </c>
      <c r="S233" s="19">
        <v>-6.6081000000000003</v>
      </c>
      <c r="T233" s="6">
        <v>2.2923</v>
      </c>
      <c r="U233" s="6">
        <v>328</v>
      </c>
      <c r="W233" s="17">
        <v>231</v>
      </c>
      <c r="X233" s="6">
        <v>4.5095000000000001</v>
      </c>
      <c r="Y233" s="19">
        <v>-6.6081000000000003</v>
      </c>
      <c r="Z233" s="6">
        <v>2.2923</v>
      </c>
      <c r="AA233" s="6">
        <v>328</v>
      </c>
      <c r="AN233" s="17">
        <v>230</v>
      </c>
      <c r="AO233" s="6">
        <v>1.06887</v>
      </c>
      <c r="AP233" s="19">
        <v>-0.3992</v>
      </c>
      <c r="AQ233" s="6">
        <v>0.54330000000000001</v>
      </c>
      <c r="AR233" s="6">
        <v>328</v>
      </c>
      <c r="AT233" s="17">
        <v>230</v>
      </c>
      <c r="AU233" s="6">
        <v>0.56403000000000003</v>
      </c>
      <c r="AV233" s="19">
        <v>-0.3992</v>
      </c>
      <c r="AW233" s="6">
        <v>0.54330000000000001</v>
      </c>
      <c r="AX233" s="6">
        <v>328</v>
      </c>
    </row>
    <row r="234" spans="1:50" x14ac:dyDescent="0.25">
      <c r="A234" s="31" t="s">
        <v>156</v>
      </c>
      <c r="B234" s="32">
        <v>1</v>
      </c>
      <c r="C234" s="32">
        <v>20</v>
      </c>
      <c r="D234" s="32">
        <v>2</v>
      </c>
      <c r="E234" s="32">
        <v>10</v>
      </c>
      <c r="F234" s="2">
        <v>57.5</v>
      </c>
      <c r="G234">
        <v>49.524541735177479</v>
      </c>
      <c r="Q234" s="17">
        <v>232</v>
      </c>
      <c r="R234" s="6">
        <v>2.3875799999999998</v>
      </c>
      <c r="S234" s="6">
        <v>7.3799000000000001</v>
      </c>
      <c r="T234" s="6">
        <v>2.2999999999999998</v>
      </c>
      <c r="U234" s="6">
        <v>328</v>
      </c>
      <c r="W234" s="17">
        <v>232</v>
      </c>
      <c r="X234" s="6">
        <v>4.5246300000000002</v>
      </c>
      <c r="Y234" s="6">
        <v>7.3799000000000001</v>
      </c>
      <c r="Z234" s="6">
        <v>2.2999999999999998</v>
      </c>
      <c r="AA234" s="6">
        <v>328</v>
      </c>
      <c r="AN234" s="17">
        <v>231</v>
      </c>
      <c r="AO234" s="6">
        <v>1.0663800000000001</v>
      </c>
      <c r="AP234" s="19">
        <v>-0.40139999999999998</v>
      </c>
      <c r="AQ234" s="6">
        <v>0.54210000000000003</v>
      </c>
      <c r="AR234" s="6">
        <v>328</v>
      </c>
      <c r="AT234" s="17">
        <v>231</v>
      </c>
      <c r="AU234" s="6">
        <v>0.56271000000000004</v>
      </c>
      <c r="AV234" s="19">
        <v>-0.40139999999999998</v>
      </c>
      <c r="AW234" s="6">
        <v>0.54210000000000003</v>
      </c>
      <c r="AX234" s="6">
        <v>328</v>
      </c>
    </row>
    <row r="235" spans="1:50" x14ac:dyDescent="0.25">
      <c r="A235" s="31" t="s">
        <v>156</v>
      </c>
      <c r="B235" s="32">
        <v>2</v>
      </c>
      <c r="C235" s="32">
        <v>2</v>
      </c>
      <c r="D235" s="32">
        <v>3</v>
      </c>
      <c r="E235" s="32">
        <v>10</v>
      </c>
      <c r="F235" s="2">
        <v>49.9</v>
      </c>
      <c r="G235">
        <v>35.708074731208711</v>
      </c>
      <c r="Q235" s="17">
        <v>233</v>
      </c>
      <c r="R235" s="6">
        <v>2.3692799999999998</v>
      </c>
      <c r="S235" s="6">
        <v>12.5068</v>
      </c>
      <c r="T235" s="6">
        <v>2.2824</v>
      </c>
      <c r="U235" s="6">
        <v>328</v>
      </c>
      <c r="W235" s="17">
        <v>233</v>
      </c>
      <c r="X235" s="6">
        <v>4.4899500000000003</v>
      </c>
      <c r="Y235" s="6">
        <v>12.5068</v>
      </c>
      <c r="Z235" s="6">
        <v>2.2824</v>
      </c>
      <c r="AA235" s="6">
        <v>328</v>
      </c>
      <c r="AN235" s="17">
        <v>232</v>
      </c>
      <c r="AO235" s="6">
        <v>1.0782</v>
      </c>
      <c r="AP235" s="6">
        <v>2.6545000000000001</v>
      </c>
      <c r="AQ235" s="6">
        <v>0.54810000000000003</v>
      </c>
      <c r="AR235" s="6">
        <v>328</v>
      </c>
      <c r="AT235" s="17">
        <v>232</v>
      </c>
      <c r="AU235" s="6">
        <v>0.56894999999999996</v>
      </c>
      <c r="AV235" s="6">
        <v>2.6545000000000001</v>
      </c>
      <c r="AW235" s="6">
        <v>0.54810000000000003</v>
      </c>
      <c r="AX235" s="6">
        <v>328</v>
      </c>
    </row>
    <row r="236" spans="1:50" x14ac:dyDescent="0.25">
      <c r="A236" s="31" t="s">
        <v>156</v>
      </c>
      <c r="B236" s="32">
        <v>3</v>
      </c>
      <c r="C236" s="32">
        <v>25</v>
      </c>
      <c r="D236" s="32">
        <v>6</v>
      </c>
      <c r="E236" s="32">
        <v>10</v>
      </c>
      <c r="F236" s="2">
        <v>51.1</v>
      </c>
      <c r="G236">
        <v>31.504916093667351</v>
      </c>
      <c r="Q236" s="17">
        <v>234</v>
      </c>
      <c r="R236" s="6">
        <v>2.3765299999999998</v>
      </c>
      <c r="S236" s="6">
        <v>1.7636000000000001</v>
      </c>
      <c r="T236" s="6">
        <v>2.2894000000000001</v>
      </c>
      <c r="U236" s="6">
        <v>328</v>
      </c>
      <c r="W236" s="17">
        <v>234</v>
      </c>
      <c r="X236" s="6">
        <v>4.5036899999999997</v>
      </c>
      <c r="Y236" s="6">
        <v>1.7636000000000001</v>
      </c>
      <c r="Z236" s="6">
        <v>2.2894000000000001</v>
      </c>
      <c r="AA236" s="6">
        <v>328</v>
      </c>
      <c r="AN236" s="17">
        <v>233</v>
      </c>
      <c r="AO236" s="6">
        <v>1.05996</v>
      </c>
      <c r="AP236" s="6">
        <v>3.6551999999999998</v>
      </c>
      <c r="AQ236" s="6">
        <v>0.53879999999999995</v>
      </c>
      <c r="AR236" s="6">
        <v>328</v>
      </c>
      <c r="AT236" s="17">
        <v>233</v>
      </c>
      <c r="AU236" s="6">
        <v>0.55932000000000004</v>
      </c>
      <c r="AV236" s="6">
        <v>3.6551999999999998</v>
      </c>
      <c r="AW236" s="6">
        <v>0.53879999999999995</v>
      </c>
      <c r="AX236" s="6">
        <v>328</v>
      </c>
    </row>
    <row r="237" spans="1:50" x14ac:dyDescent="0.25">
      <c r="A237" s="31" t="s">
        <v>10</v>
      </c>
      <c r="B237" s="32">
        <v>1</v>
      </c>
      <c r="C237" s="32">
        <v>6</v>
      </c>
      <c r="D237" s="32">
        <v>4</v>
      </c>
      <c r="E237" s="32">
        <v>10</v>
      </c>
      <c r="F237" s="2">
        <v>53.5</v>
      </c>
      <c r="G237">
        <v>55.913144590495449</v>
      </c>
      <c r="Q237" s="17">
        <v>235</v>
      </c>
      <c r="R237" s="6">
        <v>2.3651399999999998</v>
      </c>
      <c r="S237" s="6">
        <v>9.1326000000000001</v>
      </c>
      <c r="T237" s="6">
        <v>2.2784</v>
      </c>
      <c r="U237" s="6">
        <v>328</v>
      </c>
      <c r="W237" s="17">
        <v>235</v>
      </c>
      <c r="X237" s="6">
        <v>4.4821099999999996</v>
      </c>
      <c r="Y237" s="6">
        <v>9.1326000000000001</v>
      </c>
      <c r="Z237" s="6">
        <v>2.2784</v>
      </c>
      <c r="AA237" s="6">
        <v>328</v>
      </c>
      <c r="AN237" s="17">
        <v>234</v>
      </c>
      <c r="AO237" s="6">
        <v>1.0635399999999999</v>
      </c>
      <c r="AP237" s="19">
        <v>-0.92820000000000003</v>
      </c>
      <c r="AQ237" s="6">
        <v>0.54059999999999997</v>
      </c>
      <c r="AR237" s="6">
        <v>328</v>
      </c>
      <c r="AT237" s="17">
        <v>234</v>
      </c>
      <c r="AU237" s="6">
        <v>0.56120999999999999</v>
      </c>
      <c r="AV237" s="19">
        <v>-0.92820000000000003</v>
      </c>
      <c r="AW237" s="6">
        <v>0.54059999999999997</v>
      </c>
      <c r="AX237" s="6">
        <v>328</v>
      </c>
    </row>
    <row r="238" spans="1:50" x14ac:dyDescent="0.25">
      <c r="A238" s="31" t="s">
        <v>10</v>
      </c>
      <c r="B238" s="32">
        <v>2</v>
      </c>
      <c r="C238" s="32">
        <v>10</v>
      </c>
      <c r="D238" s="32">
        <v>7</v>
      </c>
      <c r="E238" s="32">
        <v>10</v>
      </c>
      <c r="F238" s="2">
        <v>52</v>
      </c>
      <c r="G238">
        <v>40.917943432406517</v>
      </c>
      <c r="Q238" s="17">
        <v>236</v>
      </c>
      <c r="R238" s="6">
        <v>2.38083</v>
      </c>
      <c r="S238" s="6">
        <v>4.2239000000000004</v>
      </c>
      <c r="T238" s="6">
        <v>2.2934999999999999</v>
      </c>
      <c r="U238" s="6">
        <v>328</v>
      </c>
      <c r="W238" s="17">
        <v>236</v>
      </c>
      <c r="X238" s="6">
        <v>4.5118400000000003</v>
      </c>
      <c r="Y238" s="6">
        <v>4.2239000000000004</v>
      </c>
      <c r="Z238" s="6">
        <v>2.2934999999999999</v>
      </c>
      <c r="AA238" s="6">
        <v>328</v>
      </c>
      <c r="AN238" s="17">
        <v>235</v>
      </c>
      <c r="AO238" s="6">
        <v>1.0696699999999999</v>
      </c>
      <c r="AP238" s="6">
        <v>1.1417999999999999</v>
      </c>
      <c r="AQ238" s="6">
        <v>0.54369999999999996</v>
      </c>
      <c r="AR238" s="6">
        <v>328</v>
      </c>
      <c r="AT238" s="17">
        <v>235</v>
      </c>
      <c r="AU238" s="6">
        <v>0.56445000000000001</v>
      </c>
      <c r="AV238" s="6">
        <v>1.1417999999999999</v>
      </c>
      <c r="AW238" s="6">
        <v>0.54369999999999996</v>
      </c>
      <c r="AX238" s="6">
        <v>328</v>
      </c>
    </row>
    <row r="239" spans="1:50" x14ac:dyDescent="0.25">
      <c r="A239" s="31" t="s">
        <v>10</v>
      </c>
      <c r="B239" s="32">
        <v>3</v>
      </c>
      <c r="C239" s="32">
        <v>9</v>
      </c>
      <c r="D239" s="32">
        <v>10</v>
      </c>
      <c r="E239" s="32">
        <v>10</v>
      </c>
      <c r="F239" s="2">
        <v>54.6</v>
      </c>
      <c r="G239">
        <v>54.607196270758472</v>
      </c>
      <c r="Q239" s="17">
        <v>237</v>
      </c>
      <c r="R239" s="6">
        <v>2.37269</v>
      </c>
      <c r="S239" s="19">
        <v>-2.529E-2</v>
      </c>
      <c r="T239" s="6">
        <v>2.2856999999999998</v>
      </c>
      <c r="U239" s="6">
        <v>328</v>
      </c>
      <c r="W239" s="17">
        <v>237</v>
      </c>
      <c r="X239" s="6">
        <v>4.49641</v>
      </c>
      <c r="Y239" s="19">
        <v>-2.529E-2</v>
      </c>
      <c r="Z239" s="6">
        <v>2.2856999999999998</v>
      </c>
      <c r="AA239" s="6">
        <v>328</v>
      </c>
      <c r="AN239" s="17">
        <v>236</v>
      </c>
      <c r="AO239" s="6">
        <v>1.06551</v>
      </c>
      <c r="AP239" s="19">
        <v>-0.17749999999999999</v>
      </c>
      <c r="AQ239" s="6">
        <v>0.54159999999999997</v>
      </c>
      <c r="AR239" s="6">
        <v>328</v>
      </c>
      <c r="AT239" s="17">
        <v>236</v>
      </c>
      <c r="AU239" s="6">
        <v>0.56225000000000003</v>
      </c>
      <c r="AV239" s="19">
        <v>-0.17749999999999999</v>
      </c>
      <c r="AW239" s="6">
        <v>0.54159999999999997</v>
      </c>
      <c r="AX239" s="6">
        <v>328</v>
      </c>
    </row>
    <row r="240" spans="1:50" x14ac:dyDescent="0.25">
      <c r="A240" s="31" t="s">
        <v>11</v>
      </c>
      <c r="B240" s="32">
        <v>1</v>
      </c>
      <c r="C240" s="32">
        <v>18</v>
      </c>
      <c r="D240" s="32">
        <v>2</v>
      </c>
      <c r="E240" s="11">
        <v>10</v>
      </c>
      <c r="F240" s="2">
        <v>59</v>
      </c>
      <c r="G240">
        <v>38.736396566268049</v>
      </c>
      <c r="Q240" s="17">
        <v>238</v>
      </c>
      <c r="R240" s="6">
        <v>2.3663599999999998</v>
      </c>
      <c r="S240" s="6">
        <v>2.2086999999999999</v>
      </c>
      <c r="T240" s="6">
        <v>2.2795999999999998</v>
      </c>
      <c r="U240" s="6">
        <v>328</v>
      </c>
      <c r="W240" s="17">
        <v>238</v>
      </c>
      <c r="X240" s="6">
        <v>4.4844200000000001</v>
      </c>
      <c r="Y240" s="6">
        <v>2.2086999999999999</v>
      </c>
      <c r="Z240" s="6">
        <v>2.2795999999999998</v>
      </c>
      <c r="AA240" s="6">
        <v>328</v>
      </c>
      <c r="AN240" s="17">
        <v>237</v>
      </c>
      <c r="AO240" s="6">
        <v>1.06647</v>
      </c>
      <c r="AP240" s="19">
        <v>-0.67959999999999998</v>
      </c>
      <c r="AQ240" s="6">
        <v>0.54210000000000003</v>
      </c>
      <c r="AR240" s="6">
        <v>328</v>
      </c>
      <c r="AT240" s="17">
        <v>237</v>
      </c>
      <c r="AU240" s="6">
        <v>0.56276000000000004</v>
      </c>
      <c r="AV240" s="19">
        <v>-0.67959999999999998</v>
      </c>
      <c r="AW240" s="6">
        <v>0.54210000000000003</v>
      </c>
      <c r="AX240" s="6">
        <v>328</v>
      </c>
    </row>
    <row r="241" spans="1:50" x14ac:dyDescent="0.25">
      <c r="A241" s="31" t="s">
        <v>11</v>
      </c>
      <c r="B241" s="32">
        <v>2</v>
      </c>
      <c r="C241" s="32">
        <v>13</v>
      </c>
      <c r="D241" s="32">
        <v>5</v>
      </c>
      <c r="E241" s="11">
        <v>10</v>
      </c>
      <c r="F241" s="2">
        <v>59</v>
      </c>
      <c r="G241">
        <v>30.993007039892717</v>
      </c>
      <c r="Q241" s="17">
        <v>239</v>
      </c>
      <c r="R241" s="6">
        <v>2.3859699999999999</v>
      </c>
      <c r="S241" s="6">
        <v>2.2395999999999998</v>
      </c>
      <c r="T241" s="6">
        <v>2.2985000000000002</v>
      </c>
      <c r="U241" s="6">
        <v>328</v>
      </c>
      <c r="W241" s="17">
        <v>239</v>
      </c>
      <c r="X241" s="6">
        <v>4.5215800000000002</v>
      </c>
      <c r="Y241" s="6">
        <v>2.2395999999999998</v>
      </c>
      <c r="Z241" s="6">
        <v>2.2985000000000002</v>
      </c>
      <c r="AA241" s="6">
        <v>328</v>
      </c>
      <c r="AN241" s="17">
        <v>238</v>
      </c>
      <c r="AO241" s="6">
        <v>1.05715</v>
      </c>
      <c r="AP241" s="6">
        <v>1.4643999999999999</v>
      </c>
      <c r="AQ241" s="6">
        <v>0.53739999999999999</v>
      </c>
      <c r="AR241" s="6">
        <v>328</v>
      </c>
      <c r="AT241" s="17">
        <v>238</v>
      </c>
      <c r="AU241" s="6">
        <v>0.55784</v>
      </c>
      <c r="AV241" s="6">
        <v>1.4643999999999999</v>
      </c>
      <c r="AW241" s="6">
        <v>0.53739999999999999</v>
      </c>
      <c r="AX241" s="6">
        <v>328</v>
      </c>
    </row>
    <row r="242" spans="1:50" x14ac:dyDescent="0.25">
      <c r="A242" s="31" t="s">
        <v>11</v>
      </c>
      <c r="B242" s="32">
        <v>3</v>
      </c>
      <c r="C242" s="32">
        <v>6</v>
      </c>
      <c r="D242" s="32">
        <v>8</v>
      </c>
      <c r="E242" s="11">
        <v>10</v>
      </c>
      <c r="F242" s="2">
        <v>61</v>
      </c>
      <c r="G242">
        <v>38.706331168831163</v>
      </c>
      <c r="Q242" s="17">
        <v>240</v>
      </c>
      <c r="R242" s="6">
        <v>2.3833700000000002</v>
      </c>
      <c r="S242" s="6">
        <v>3.6114000000000002</v>
      </c>
      <c r="T242" s="6">
        <v>2.2959999999999998</v>
      </c>
      <c r="U242" s="6">
        <v>328</v>
      </c>
      <c r="W242" s="17">
        <v>240</v>
      </c>
      <c r="X242" s="6">
        <v>4.5166599999999999</v>
      </c>
      <c r="Y242" s="6">
        <v>3.6114000000000002</v>
      </c>
      <c r="Z242" s="6">
        <v>2.2959999999999998</v>
      </c>
      <c r="AA242" s="6">
        <v>328</v>
      </c>
      <c r="AN242" s="17">
        <v>239</v>
      </c>
      <c r="AO242" s="6">
        <v>1.0694600000000001</v>
      </c>
      <c r="AP242" s="19">
        <v>-0.499</v>
      </c>
      <c r="AQ242" s="6">
        <v>0.54359999999999997</v>
      </c>
      <c r="AR242" s="6">
        <v>328</v>
      </c>
      <c r="AT242" s="17">
        <v>239</v>
      </c>
      <c r="AU242" s="6">
        <v>0.56433999999999995</v>
      </c>
      <c r="AV242" s="19">
        <v>-0.499</v>
      </c>
      <c r="AW242" s="6">
        <v>0.54359999999999997</v>
      </c>
      <c r="AX242" s="6">
        <v>328</v>
      </c>
    </row>
    <row r="243" spans="1:50" x14ac:dyDescent="0.25">
      <c r="A243" t="s">
        <v>160</v>
      </c>
      <c r="B243">
        <v>1</v>
      </c>
      <c r="C243" s="36">
        <v>4</v>
      </c>
      <c r="D243" s="36">
        <v>1</v>
      </c>
      <c r="E243" s="32">
        <v>10</v>
      </c>
      <c r="F243" s="13">
        <v>57.6</v>
      </c>
      <c r="G243">
        <v>82.391135972461271</v>
      </c>
      <c r="Q243" s="17">
        <v>241</v>
      </c>
      <c r="R243" s="6">
        <v>2.3765399999999999</v>
      </c>
      <c r="S243" s="6">
        <v>8.9741999999999997</v>
      </c>
      <c r="T243" s="6">
        <v>2.2894000000000001</v>
      </c>
      <c r="U243" s="6">
        <v>328</v>
      </c>
      <c r="W243" s="17">
        <v>241</v>
      </c>
      <c r="X243" s="6">
        <v>4.5037000000000003</v>
      </c>
      <c r="Y243" s="6">
        <v>8.9741999999999997</v>
      </c>
      <c r="Z243" s="6">
        <v>2.2894000000000001</v>
      </c>
      <c r="AA243" s="6">
        <v>328</v>
      </c>
      <c r="AN243" s="17">
        <v>240</v>
      </c>
      <c r="AO243" s="6">
        <v>1.06772</v>
      </c>
      <c r="AP243" s="6">
        <v>1.2169000000000001</v>
      </c>
      <c r="AQ243" s="6">
        <v>0.54279999999999995</v>
      </c>
      <c r="AR243" s="6">
        <v>328</v>
      </c>
      <c r="AT243" s="17">
        <v>240</v>
      </c>
      <c r="AU243" s="6">
        <v>0.56342000000000003</v>
      </c>
      <c r="AV243" s="6">
        <v>1.2169000000000001</v>
      </c>
      <c r="AW243" s="6">
        <v>0.54279999999999995</v>
      </c>
      <c r="AX243" s="6">
        <v>328</v>
      </c>
    </row>
    <row r="244" spans="1:50" x14ac:dyDescent="0.25">
      <c r="A244" t="s">
        <v>160</v>
      </c>
      <c r="B244">
        <v>2</v>
      </c>
      <c r="C244" s="36">
        <v>6</v>
      </c>
      <c r="D244" s="36">
        <v>4</v>
      </c>
      <c r="E244" s="32">
        <v>10</v>
      </c>
      <c r="F244" s="13">
        <v>57.6</v>
      </c>
      <c r="G244">
        <v>73.578928449161225</v>
      </c>
      <c r="Q244" s="17">
        <v>242</v>
      </c>
      <c r="R244" s="6">
        <v>2.3800599999999998</v>
      </c>
      <c r="S244" s="6">
        <v>0.98240000000000005</v>
      </c>
      <c r="T244" s="6">
        <v>2.2928000000000002</v>
      </c>
      <c r="U244" s="6">
        <v>328</v>
      </c>
      <c r="W244" s="17">
        <v>242</v>
      </c>
      <c r="X244" s="6">
        <v>4.51037</v>
      </c>
      <c r="Y244" s="6">
        <v>0.98240000000000005</v>
      </c>
      <c r="Z244" s="6">
        <v>2.2928000000000002</v>
      </c>
      <c r="AA244" s="6">
        <v>328</v>
      </c>
      <c r="AN244" s="17">
        <v>241</v>
      </c>
      <c r="AO244" s="6">
        <v>1.07115</v>
      </c>
      <c r="AP244" s="6">
        <v>1.6136999999999999</v>
      </c>
      <c r="AQ244" s="6">
        <v>0.54449999999999998</v>
      </c>
      <c r="AR244" s="6">
        <v>328</v>
      </c>
      <c r="AT244" s="17">
        <v>241</v>
      </c>
      <c r="AU244" s="6">
        <v>0.56523000000000001</v>
      </c>
      <c r="AV244" s="6">
        <v>1.6136999999999999</v>
      </c>
      <c r="AW244" s="6">
        <v>0.54449999999999998</v>
      </c>
      <c r="AX244" s="6">
        <v>328</v>
      </c>
    </row>
    <row r="245" spans="1:50" x14ac:dyDescent="0.25">
      <c r="A245" t="s">
        <v>160</v>
      </c>
      <c r="B245">
        <v>3</v>
      </c>
      <c r="C245" s="36">
        <v>23</v>
      </c>
      <c r="D245" s="36">
        <v>6</v>
      </c>
      <c r="E245" s="32">
        <v>10</v>
      </c>
      <c r="F245" s="13">
        <v>56.9</v>
      </c>
      <c r="G245">
        <v>66.801112600536172</v>
      </c>
      <c r="Q245" s="17">
        <v>243</v>
      </c>
      <c r="R245" s="6">
        <v>2.3772199999999999</v>
      </c>
      <c r="S245" s="6">
        <v>2.4266000000000001</v>
      </c>
      <c r="T245" s="6">
        <v>2.29</v>
      </c>
      <c r="U245" s="6">
        <v>328</v>
      </c>
      <c r="W245" s="17">
        <v>243</v>
      </c>
      <c r="X245" s="6">
        <v>4.5049900000000003</v>
      </c>
      <c r="Y245" s="6">
        <v>2.4266000000000001</v>
      </c>
      <c r="Z245" s="6">
        <v>2.29</v>
      </c>
      <c r="AA245" s="6">
        <v>328</v>
      </c>
      <c r="AN245" s="17">
        <v>242</v>
      </c>
      <c r="AO245" s="6">
        <v>1.0688899999999999</v>
      </c>
      <c r="AP245" s="6">
        <v>0.20430000000000001</v>
      </c>
      <c r="AQ245" s="6">
        <v>0.54339999999999999</v>
      </c>
      <c r="AR245" s="6">
        <v>328</v>
      </c>
      <c r="AT245" s="17">
        <v>242</v>
      </c>
      <c r="AU245" s="6">
        <v>0.56403999999999999</v>
      </c>
      <c r="AV245" s="6">
        <v>0.20430000000000001</v>
      </c>
      <c r="AW245" s="6">
        <v>0.54339999999999999</v>
      </c>
      <c r="AX245" s="6">
        <v>328</v>
      </c>
    </row>
    <row r="246" spans="1:50" x14ac:dyDescent="0.25">
      <c r="A246" s="31" t="s">
        <v>116</v>
      </c>
      <c r="B246" s="32">
        <v>1</v>
      </c>
      <c r="C246" s="32">
        <v>3</v>
      </c>
      <c r="D246" s="32">
        <v>1</v>
      </c>
      <c r="E246" s="32">
        <v>11</v>
      </c>
      <c r="F246" s="12">
        <v>57.9</v>
      </c>
      <c r="G246">
        <v>66.940348184019371</v>
      </c>
      <c r="Q246" s="17">
        <v>244</v>
      </c>
      <c r="R246" s="6">
        <v>2.3765700000000001</v>
      </c>
      <c r="S246" s="6">
        <v>4.7297000000000002</v>
      </c>
      <c r="T246" s="6">
        <v>2.2894000000000001</v>
      </c>
      <c r="U246" s="6">
        <v>328</v>
      </c>
      <c r="W246" s="17">
        <v>244</v>
      </c>
      <c r="X246" s="6">
        <v>4.5037599999999998</v>
      </c>
      <c r="Y246" s="6">
        <v>4.7297000000000002</v>
      </c>
      <c r="Z246" s="6">
        <v>2.2894000000000001</v>
      </c>
      <c r="AA246" s="6">
        <v>328</v>
      </c>
      <c r="AN246" s="17">
        <v>243</v>
      </c>
      <c r="AO246" s="6">
        <v>1.06535</v>
      </c>
      <c r="AP246" s="6">
        <v>0.55000000000000004</v>
      </c>
      <c r="AQ246" s="6">
        <v>0.54159999999999997</v>
      </c>
      <c r="AR246" s="6">
        <v>328</v>
      </c>
      <c r="AT246" s="17">
        <v>243</v>
      </c>
      <c r="AU246" s="6">
        <v>0.56216999999999995</v>
      </c>
      <c r="AV246" s="6">
        <v>0.55000000000000004</v>
      </c>
      <c r="AW246" s="6">
        <v>0.54159999999999997</v>
      </c>
      <c r="AX246" s="6">
        <v>328</v>
      </c>
    </row>
    <row r="247" spans="1:50" x14ac:dyDescent="0.25">
      <c r="A247" s="31" t="s">
        <v>116</v>
      </c>
      <c r="B247" s="32">
        <v>2</v>
      </c>
      <c r="C247" s="32">
        <v>1</v>
      </c>
      <c r="D247" s="32">
        <v>5</v>
      </c>
      <c r="E247" s="32">
        <v>11</v>
      </c>
      <c r="F247" s="12">
        <v>60.2</v>
      </c>
      <c r="G247">
        <v>69.302820998278833</v>
      </c>
      <c r="Q247" s="17">
        <v>245</v>
      </c>
      <c r="R247" s="6">
        <v>2.3824900000000002</v>
      </c>
      <c r="S247" s="6">
        <v>6.7565999999999997</v>
      </c>
      <c r="T247" s="6">
        <v>2.2951000000000001</v>
      </c>
      <c r="U247" s="6">
        <v>328</v>
      </c>
      <c r="W247" s="17">
        <v>245</v>
      </c>
      <c r="X247" s="6">
        <v>4.5149800000000004</v>
      </c>
      <c r="Y247" s="6">
        <v>6.7565999999999997</v>
      </c>
      <c r="Z247" s="6">
        <v>2.2951000000000001</v>
      </c>
      <c r="AA247" s="6">
        <v>328</v>
      </c>
      <c r="AN247" s="17">
        <v>244</v>
      </c>
      <c r="AO247" s="6">
        <v>1.06453</v>
      </c>
      <c r="AP247" s="19">
        <v>-0.52110000000000001</v>
      </c>
      <c r="AQ247" s="6">
        <v>0.54110000000000003</v>
      </c>
      <c r="AR247" s="6">
        <v>328</v>
      </c>
      <c r="AT247" s="17">
        <v>244</v>
      </c>
      <c r="AU247" s="6">
        <v>0.56174000000000002</v>
      </c>
      <c r="AV247" s="19">
        <v>-0.52110000000000001</v>
      </c>
      <c r="AW247" s="6">
        <v>0.54110000000000003</v>
      </c>
      <c r="AX247" s="6">
        <v>328</v>
      </c>
    </row>
    <row r="248" spans="1:50" x14ac:dyDescent="0.25">
      <c r="A248" s="31" t="s">
        <v>116</v>
      </c>
      <c r="B248" s="32">
        <v>3</v>
      </c>
      <c r="C248" s="32">
        <v>11</v>
      </c>
      <c r="D248" s="32">
        <v>9</v>
      </c>
      <c r="E248" s="32">
        <v>11</v>
      </c>
      <c r="F248" s="12">
        <v>59.2</v>
      </c>
      <c r="G248">
        <v>74.131124584156993</v>
      </c>
      <c r="Q248" s="17">
        <v>246</v>
      </c>
      <c r="R248" s="6">
        <v>2.3862000000000001</v>
      </c>
      <c r="S248" s="6">
        <v>2.7562000000000002</v>
      </c>
      <c r="T248" s="6">
        <v>2.2987000000000002</v>
      </c>
      <c r="U248" s="6">
        <v>328</v>
      </c>
      <c r="W248" s="17">
        <v>246</v>
      </c>
      <c r="X248" s="6">
        <v>4.5220099999999999</v>
      </c>
      <c r="Y248" s="6">
        <v>2.7562000000000002</v>
      </c>
      <c r="Z248" s="6">
        <v>2.2987000000000002</v>
      </c>
      <c r="AA248" s="6">
        <v>328</v>
      </c>
      <c r="AN248" s="17">
        <v>245</v>
      </c>
      <c r="AO248" s="6">
        <v>1.06856</v>
      </c>
      <c r="AP248" s="19">
        <v>-0.20930000000000001</v>
      </c>
      <c r="AQ248" s="6">
        <v>0.54320000000000002</v>
      </c>
      <c r="AR248" s="6">
        <v>328</v>
      </c>
      <c r="AT248" s="17">
        <v>245</v>
      </c>
      <c r="AU248" s="6">
        <v>0.56386000000000003</v>
      </c>
      <c r="AV248" s="19">
        <v>-0.20930000000000001</v>
      </c>
      <c r="AW248" s="6">
        <v>0.54320000000000002</v>
      </c>
      <c r="AX248" s="6">
        <v>328</v>
      </c>
    </row>
    <row r="249" spans="1:50" x14ac:dyDescent="0.25">
      <c r="A249" s="34" t="s">
        <v>97</v>
      </c>
      <c r="B249" s="35">
        <v>1</v>
      </c>
      <c r="C249" s="35">
        <v>21</v>
      </c>
      <c r="D249" s="35">
        <v>2</v>
      </c>
      <c r="E249" s="35">
        <v>11</v>
      </c>
      <c r="F249" s="2">
        <v>61.3</v>
      </c>
      <c r="G249">
        <v>63.320388559872875</v>
      </c>
      <c r="Q249" s="17">
        <v>247</v>
      </c>
      <c r="R249" s="6">
        <v>2.38788</v>
      </c>
      <c r="S249" s="6">
        <v>4.9756999999999998</v>
      </c>
      <c r="T249" s="6">
        <v>2.3003</v>
      </c>
      <c r="U249" s="6">
        <v>328</v>
      </c>
      <c r="W249" s="17">
        <v>247</v>
      </c>
      <c r="X249" s="6">
        <v>4.5251999999999999</v>
      </c>
      <c r="Y249" s="6">
        <v>4.9756999999999998</v>
      </c>
      <c r="Z249" s="6">
        <v>2.3003</v>
      </c>
      <c r="AA249" s="6">
        <v>328</v>
      </c>
      <c r="AN249" s="17">
        <v>246</v>
      </c>
      <c r="AO249" s="6">
        <v>1.0821000000000001</v>
      </c>
      <c r="AP249" s="6">
        <v>0.84509999999999996</v>
      </c>
      <c r="AQ249" s="6">
        <v>0.55010000000000003</v>
      </c>
      <c r="AR249" s="6">
        <v>328</v>
      </c>
      <c r="AT249" s="17">
        <v>246</v>
      </c>
      <c r="AU249" s="6">
        <v>0.57101000000000002</v>
      </c>
      <c r="AV249" s="6">
        <v>0.84509999999999996</v>
      </c>
      <c r="AW249" s="6">
        <v>0.55010000000000003</v>
      </c>
      <c r="AX249" s="6">
        <v>328</v>
      </c>
    </row>
    <row r="250" spans="1:50" x14ac:dyDescent="0.25">
      <c r="A250" s="34" t="s">
        <v>97</v>
      </c>
      <c r="B250" s="35">
        <v>2</v>
      </c>
      <c r="C250" s="35">
        <v>1</v>
      </c>
      <c r="D250" s="35">
        <v>4</v>
      </c>
      <c r="E250" s="35">
        <v>11</v>
      </c>
      <c r="F250" s="2">
        <v>61.5</v>
      </c>
      <c r="G250">
        <v>70.221895973154361</v>
      </c>
      <c r="Q250" s="17">
        <v>248</v>
      </c>
      <c r="R250" s="6">
        <v>2.3961700000000001</v>
      </c>
      <c r="S250" s="19">
        <v>-3.6568999999999998</v>
      </c>
      <c r="T250" s="6">
        <v>2.3083</v>
      </c>
      <c r="U250" s="6">
        <v>328</v>
      </c>
      <c r="W250" s="17">
        <v>248</v>
      </c>
      <c r="X250" s="6">
        <v>4.5409100000000002</v>
      </c>
      <c r="Y250" s="19">
        <v>-3.6568999999999998</v>
      </c>
      <c r="Z250" s="6">
        <v>2.3083</v>
      </c>
      <c r="AA250" s="6">
        <v>328</v>
      </c>
      <c r="AN250" s="17">
        <v>247</v>
      </c>
      <c r="AO250" s="6">
        <v>1.0725499999999999</v>
      </c>
      <c r="AP250" s="6">
        <v>0.75460000000000005</v>
      </c>
      <c r="AQ250" s="6">
        <v>0.54520000000000002</v>
      </c>
      <c r="AR250" s="6">
        <v>328</v>
      </c>
      <c r="AT250" s="17">
        <v>247</v>
      </c>
      <c r="AU250" s="6">
        <v>0.56596999999999997</v>
      </c>
      <c r="AV250" s="6">
        <v>0.75460000000000005</v>
      </c>
      <c r="AW250" s="6">
        <v>0.54520000000000002</v>
      </c>
      <c r="AX250" s="6">
        <v>328</v>
      </c>
    </row>
    <row r="251" spans="1:50" x14ac:dyDescent="0.25">
      <c r="A251" s="34" t="s">
        <v>97</v>
      </c>
      <c r="B251" s="35">
        <v>3</v>
      </c>
      <c r="C251" s="35">
        <v>4</v>
      </c>
      <c r="D251" s="35">
        <v>5</v>
      </c>
      <c r="E251" s="35">
        <v>11</v>
      </c>
      <c r="F251" s="2">
        <v>61.7</v>
      </c>
      <c r="G251">
        <v>76.298219584569722</v>
      </c>
      <c r="Q251" s="17">
        <v>249</v>
      </c>
      <c r="R251" s="6">
        <v>2.39052</v>
      </c>
      <c r="S251" s="6">
        <v>3.2646999999999999</v>
      </c>
      <c r="T251" s="6">
        <v>2.3028</v>
      </c>
      <c r="U251" s="6">
        <v>328</v>
      </c>
      <c r="W251" s="17">
        <v>249</v>
      </c>
      <c r="X251" s="6">
        <v>4.5301900000000002</v>
      </c>
      <c r="Y251" s="6">
        <v>3.2646999999999999</v>
      </c>
      <c r="Z251" s="6">
        <v>2.3028</v>
      </c>
      <c r="AA251" s="6">
        <v>328</v>
      </c>
      <c r="AN251" s="17">
        <v>248</v>
      </c>
      <c r="AO251" s="6">
        <v>1.07908</v>
      </c>
      <c r="AP251" s="6">
        <v>0.46139999999999998</v>
      </c>
      <c r="AQ251" s="6">
        <v>0.54849999999999999</v>
      </c>
      <c r="AR251" s="6">
        <v>328</v>
      </c>
      <c r="AT251" s="17">
        <v>248</v>
      </c>
      <c r="AU251" s="6">
        <v>0.56942000000000004</v>
      </c>
      <c r="AV251" s="6">
        <v>0.46139999999999998</v>
      </c>
      <c r="AW251" s="6">
        <v>0.54849999999999999</v>
      </c>
      <c r="AX251" s="6">
        <v>328</v>
      </c>
    </row>
    <row r="252" spans="1:50" x14ac:dyDescent="0.25">
      <c r="A252" s="31" t="s">
        <v>132</v>
      </c>
      <c r="B252" s="32">
        <v>1</v>
      </c>
      <c r="C252" s="32">
        <v>4</v>
      </c>
      <c r="D252" s="32">
        <v>2</v>
      </c>
      <c r="E252" s="32">
        <v>11</v>
      </c>
      <c r="F252" s="2">
        <v>61.3</v>
      </c>
      <c r="G252">
        <v>65.447968757533403</v>
      </c>
      <c r="Q252" s="17">
        <v>250</v>
      </c>
      <c r="R252" s="6">
        <v>2.37738</v>
      </c>
      <c r="S252" s="6">
        <v>5.9653</v>
      </c>
      <c r="T252" s="6">
        <v>2.2902</v>
      </c>
      <c r="U252" s="6">
        <v>328</v>
      </c>
      <c r="W252" s="17">
        <v>250</v>
      </c>
      <c r="X252" s="6">
        <v>4.5053000000000001</v>
      </c>
      <c r="Y252" s="6">
        <v>5.9653</v>
      </c>
      <c r="Z252" s="6">
        <v>2.2902</v>
      </c>
      <c r="AA252" s="6">
        <v>328</v>
      </c>
      <c r="AN252" s="17">
        <v>249</v>
      </c>
      <c r="AO252" s="6">
        <v>1.06484</v>
      </c>
      <c r="AP252" s="6">
        <v>0.43480000000000002</v>
      </c>
      <c r="AQ252" s="6">
        <v>0.5413</v>
      </c>
      <c r="AR252" s="6">
        <v>328</v>
      </c>
      <c r="AT252" s="17">
        <v>249</v>
      </c>
      <c r="AU252" s="6">
        <v>0.56189999999999996</v>
      </c>
      <c r="AV252" s="6">
        <v>0.43480000000000002</v>
      </c>
      <c r="AW252" s="6">
        <v>0.5413</v>
      </c>
      <c r="AX252" s="6">
        <v>328</v>
      </c>
    </row>
    <row r="253" spans="1:50" x14ac:dyDescent="0.25">
      <c r="A253" s="31" t="s">
        <v>132</v>
      </c>
      <c r="B253" s="32">
        <v>2</v>
      </c>
      <c r="C253" s="32">
        <v>18</v>
      </c>
      <c r="D253" s="32">
        <v>3</v>
      </c>
      <c r="E253" s="32">
        <v>11</v>
      </c>
      <c r="F253" s="2">
        <v>58.3</v>
      </c>
      <c r="G253">
        <v>72.277099827882964</v>
      </c>
      <c r="Q253" s="17">
        <v>251</v>
      </c>
      <c r="R253" s="6">
        <v>2.3738299999999999</v>
      </c>
      <c r="S253" s="6">
        <v>4.9702000000000002</v>
      </c>
      <c r="T253" s="6">
        <v>2.2867999999999999</v>
      </c>
      <c r="U253" s="6">
        <v>328</v>
      </c>
      <c r="W253" s="17">
        <v>251</v>
      </c>
      <c r="X253" s="6">
        <v>4.49857</v>
      </c>
      <c r="Y253" s="6">
        <v>4.9702000000000002</v>
      </c>
      <c r="Z253" s="6">
        <v>2.2867999999999999</v>
      </c>
      <c r="AA253" s="6">
        <v>328</v>
      </c>
      <c r="AN253" s="17">
        <v>250</v>
      </c>
      <c r="AO253" s="6">
        <v>1.0612900000000001</v>
      </c>
      <c r="AP253" s="6">
        <v>1.8143</v>
      </c>
      <c r="AQ253" s="6">
        <v>0.53949999999999998</v>
      </c>
      <c r="AR253" s="6">
        <v>328</v>
      </c>
      <c r="AT253" s="17">
        <v>250</v>
      </c>
      <c r="AU253" s="6">
        <v>0.56003000000000003</v>
      </c>
      <c r="AV253" s="6">
        <v>1.8143</v>
      </c>
      <c r="AW253" s="6">
        <v>0.53949999999999998</v>
      </c>
      <c r="AX253" s="6">
        <v>328</v>
      </c>
    </row>
    <row r="254" spans="1:50" x14ac:dyDescent="0.25">
      <c r="A254" s="31" t="s">
        <v>132</v>
      </c>
      <c r="B254" s="32">
        <v>3</v>
      </c>
      <c r="C254" s="32">
        <v>21</v>
      </c>
      <c r="D254" s="32">
        <v>5</v>
      </c>
      <c r="E254" s="32">
        <v>11</v>
      </c>
      <c r="F254" s="12">
        <v>63</v>
      </c>
      <c r="G254">
        <v>69.602022696929239</v>
      </c>
      <c r="Q254" s="17">
        <v>252</v>
      </c>
      <c r="R254" s="6">
        <v>2.3785799999999999</v>
      </c>
      <c r="S254" s="6">
        <v>8.0390999999999995</v>
      </c>
      <c r="T254" s="6">
        <v>2.2913000000000001</v>
      </c>
      <c r="U254" s="6">
        <v>328</v>
      </c>
      <c r="W254" s="17">
        <v>252</v>
      </c>
      <c r="X254" s="6">
        <v>4.5075700000000003</v>
      </c>
      <c r="Y254" s="6">
        <v>8.0390999999999995</v>
      </c>
      <c r="Z254" s="6">
        <v>2.2913000000000001</v>
      </c>
      <c r="AA254" s="6">
        <v>328</v>
      </c>
      <c r="AN254" s="17">
        <v>251</v>
      </c>
      <c r="AO254" s="6">
        <v>1.06332</v>
      </c>
      <c r="AP254" s="6">
        <v>0.33860000000000001</v>
      </c>
      <c r="AQ254" s="6">
        <v>0.54049999999999998</v>
      </c>
      <c r="AR254" s="6">
        <v>328</v>
      </c>
      <c r="AT254" s="17">
        <v>251</v>
      </c>
      <c r="AU254" s="6">
        <v>0.56110000000000004</v>
      </c>
      <c r="AV254" s="6">
        <v>0.33860000000000001</v>
      </c>
      <c r="AW254" s="6">
        <v>0.54049999999999998</v>
      </c>
      <c r="AX254" s="6">
        <v>328</v>
      </c>
    </row>
    <row r="255" spans="1:50" x14ac:dyDescent="0.25">
      <c r="A255" s="31" t="s">
        <v>13</v>
      </c>
      <c r="B255" s="32">
        <v>1</v>
      </c>
      <c r="C255" s="36">
        <v>20</v>
      </c>
      <c r="D255" s="36">
        <v>1</v>
      </c>
      <c r="E255" s="32">
        <v>11</v>
      </c>
      <c r="F255" s="12">
        <v>59.7</v>
      </c>
      <c r="G255">
        <v>74.686700000000002</v>
      </c>
      <c r="Q255" s="17">
        <v>253</v>
      </c>
      <c r="R255" s="6">
        <v>2.3717899999999998</v>
      </c>
      <c r="S255" s="6">
        <v>8.157</v>
      </c>
      <c r="T255" s="6">
        <v>2.2848000000000002</v>
      </c>
      <c r="U255" s="6">
        <v>328</v>
      </c>
      <c r="W255" s="17">
        <v>253</v>
      </c>
      <c r="X255" s="6">
        <v>4.4947100000000004</v>
      </c>
      <c r="Y255" s="6">
        <v>8.157</v>
      </c>
      <c r="Z255" s="6">
        <v>2.2848000000000002</v>
      </c>
      <c r="AA255" s="6">
        <v>328</v>
      </c>
      <c r="AN255" s="17">
        <v>252</v>
      </c>
      <c r="AO255" s="6">
        <v>1.06681</v>
      </c>
      <c r="AP255" s="6">
        <v>0.34549999999999997</v>
      </c>
      <c r="AQ255" s="6">
        <v>0.5423</v>
      </c>
      <c r="AR255" s="6">
        <v>328</v>
      </c>
      <c r="AT255" s="17">
        <v>252</v>
      </c>
      <c r="AU255" s="6">
        <v>0.56294</v>
      </c>
      <c r="AV255" s="6">
        <v>0.34549999999999997</v>
      </c>
      <c r="AW255" s="6">
        <v>0.5423</v>
      </c>
      <c r="AX255" s="6">
        <v>328</v>
      </c>
    </row>
    <row r="256" spans="1:50" x14ac:dyDescent="0.25">
      <c r="A256" s="31" t="s">
        <v>13</v>
      </c>
      <c r="B256" s="32">
        <v>2</v>
      </c>
      <c r="C256" s="36">
        <v>3</v>
      </c>
      <c r="D256" s="36">
        <v>4</v>
      </c>
      <c r="E256" s="32">
        <v>11</v>
      </c>
      <c r="F256" s="12">
        <v>59.1</v>
      </c>
      <c r="G256">
        <v>70.16069499999999</v>
      </c>
      <c r="Q256" s="17">
        <v>254</v>
      </c>
      <c r="R256" s="6">
        <v>2.3882699999999999</v>
      </c>
      <c r="S256" s="19">
        <v>-0.46679999999999999</v>
      </c>
      <c r="T256" s="6">
        <v>2.3007</v>
      </c>
      <c r="U256" s="6">
        <v>328</v>
      </c>
      <c r="W256" s="17">
        <v>254</v>
      </c>
      <c r="X256" s="6">
        <v>4.5259299999999998</v>
      </c>
      <c r="Y256" s="19">
        <v>-0.46679999999999999</v>
      </c>
      <c r="Z256" s="6">
        <v>2.3007</v>
      </c>
      <c r="AA256" s="6">
        <v>328</v>
      </c>
      <c r="AN256" s="17">
        <v>253</v>
      </c>
      <c r="AO256" s="6">
        <v>1.0607200000000001</v>
      </c>
      <c r="AP256" s="6">
        <v>0.91200000000000003</v>
      </c>
      <c r="AQ256" s="6">
        <v>0.53920000000000001</v>
      </c>
      <c r="AR256" s="6">
        <v>328</v>
      </c>
      <c r="AT256" s="17">
        <v>253</v>
      </c>
      <c r="AU256" s="6">
        <v>0.55972999999999995</v>
      </c>
      <c r="AV256" s="6">
        <v>0.91200000000000003</v>
      </c>
      <c r="AW256" s="6">
        <v>0.53920000000000001</v>
      </c>
      <c r="AX256" s="6">
        <v>328</v>
      </c>
    </row>
    <row r="257" spans="1:50" x14ac:dyDescent="0.25">
      <c r="A257" s="31" t="s">
        <v>13</v>
      </c>
      <c r="B257" s="32">
        <v>3</v>
      </c>
      <c r="C257" s="36">
        <v>11</v>
      </c>
      <c r="D257" s="36">
        <v>6</v>
      </c>
      <c r="E257" s="32">
        <v>11</v>
      </c>
      <c r="F257" s="12">
        <v>58.9</v>
      </c>
      <c r="G257">
        <v>68.628559999999993</v>
      </c>
      <c r="Q257" s="17">
        <v>255</v>
      </c>
      <c r="R257" s="6">
        <v>2.37018</v>
      </c>
      <c r="S257" s="6">
        <v>3.1989000000000001</v>
      </c>
      <c r="T257" s="6">
        <v>2.2831999999999999</v>
      </c>
      <c r="U257" s="6">
        <v>328</v>
      </c>
      <c r="W257" s="17">
        <v>255</v>
      </c>
      <c r="X257" s="6">
        <v>4.4916499999999999</v>
      </c>
      <c r="Y257" s="6">
        <v>3.1989000000000001</v>
      </c>
      <c r="Z257" s="6">
        <v>2.2831999999999999</v>
      </c>
      <c r="AA257" s="6">
        <v>328</v>
      </c>
      <c r="AN257" s="17">
        <v>254</v>
      </c>
      <c r="AO257" s="6">
        <v>1.06958</v>
      </c>
      <c r="AP257" s="19">
        <v>-1.4775</v>
      </c>
      <c r="AQ257" s="6">
        <v>0.54369999999999996</v>
      </c>
      <c r="AR257" s="6">
        <v>328</v>
      </c>
      <c r="AT257" s="17">
        <v>254</v>
      </c>
      <c r="AU257" s="6">
        <v>0.56440000000000001</v>
      </c>
      <c r="AV257" s="19">
        <v>-1.4775</v>
      </c>
      <c r="AW257" s="6">
        <v>0.54369999999999996</v>
      </c>
      <c r="AX257" s="6">
        <v>328</v>
      </c>
    </row>
    <row r="258" spans="1:50" x14ac:dyDescent="0.25">
      <c r="A258" t="s">
        <v>7</v>
      </c>
      <c r="B258" s="11">
        <v>1</v>
      </c>
      <c r="C258" s="11">
        <v>4</v>
      </c>
      <c r="D258" s="11">
        <v>1</v>
      </c>
      <c r="E258" s="11">
        <v>11</v>
      </c>
      <c r="F258" s="12">
        <v>55.8</v>
      </c>
      <c r="G258">
        <v>52.804852941176456</v>
      </c>
      <c r="Q258" s="17">
        <v>256</v>
      </c>
      <c r="R258" s="6">
        <v>2.37595</v>
      </c>
      <c r="S258" s="6">
        <v>4.8951000000000002</v>
      </c>
      <c r="T258" s="6">
        <v>2.2888000000000002</v>
      </c>
      <c r="U258" s="6">
        <v>328</v>
      </c>
      <c r="W258" s="17">
        <v>256</v>
      </c>
      <c r="X258" s="6">
        <v>4.5026000000000002</v>
      </c>
      <c r="Y258" s="6">
        <v>4.8951000000000002</v>
      </c>
      <c r="Z258" s="6">
        <v>2.2888000000000002</v>
      </c>
      <c r="AA258" s="6">
        <v>328</v>
      </c>
      <c r="AN258" s="17">
        <v>255</v>
      </c>
      <c r="AO258" s="6">
        <v>1.06063</v>
      </c>
      <c r="AP258" s="6">
        <v>0.59360000000000002</v>
      </c>
      <c r="AQ258" s="6">
        <v>0.53920000000000001</v>
      </c>
      <c r="AR258" s="6">
        <v>328</v>
      </c>
      <c r="AT258" s="17">
        <v>255</v>
      </c>
      <c r="AU258" s="6">
        <v>0.55967999999999996</v>
      </c>
      <c r="AV258" s="6">
        <v>0.59360000000000002</v>
      </c>
      <c r="AW258" s="6">
        <v>0.53920000000000001</v>
      </c>
      <c r="AX258" s="6">
        <v>328</v>
      </c>
    </row>
    <row r="259" spans="1:50" x14ac:dyDescent="0.25">
      <c r="A259" t="s">
        <v>7</v>
      </c>
      <c r="B259" s="11">
        <v>2</v>
      </c>
      <c r="C259" s="11">
        <v>5</v>
      </c>
      <c r="D259" s="11">
        <v>6</v>
      </c>
      <c r="E259" s="11">
        <v>11</v>
      </c>
      <c r="F259" s="12">
        <v>56</v>
      </c>
      <c r="G259">
        <v>51.073933670000962</v>
      </c>
      <c r="Q259" s="17">
        <v>257</v>
      </c>
      <c r="R259" s="6">
        <v>2.3860399999999999</v>
      </c>
      <c r="S259" s="6">
        <v>3.5011999999999999</v>
      </c>
      <c r="T259" s="6">
        <v>2.2985000000000002</v>
      </c>
      <c r="U259" s="6">
        <v>328</v>
      </c>
      <c r="W259" s="17">
        <v>257</v>
      </c>
      <c r="X259" s="6">
        <v>4.5217000000000001</v>
      </c>
      <c r="Y259" s="6">
        <v>3.5011999999999999</v>
      </c>
      <c r="Z259" s="6">
        <v>2.2985000000000002</v>
      </c>
      <c r="AA259" s="6">
        <v>328</v>
      </c>
      <c r="AN259" s="17">
        <v>256</v>
      </c>
      <c r="AO259" s="6">
        <v>1.06559</v>
      </c>
      <c r="AP259" s="6">
        <v>0.80700000000000005</v>
      </c>
      <c r="AQ259" s="6">
        <v>0.54169999999999996</v>
      </c>
      <c r="AR259" s="6">
        <v>328</v>
      </c>
      <c r="AT259" s="17">
        <v>256</v>
      </c>
      <c r="AU259" s="6">
        <v>0.56230000000000002</v>
      </c>
      <c r="AV259" s="6">
        <v>0.80700000000000005</v>
      </c>
      <c r="AW259" s="6">
        <v>0.54169999999999996</v>
      </c>
      <c r="AX259" s="6">
        <v>328</v>
      </c>
    </row>
    <row r="260" spans="1:50" x14ac:dyDescent="0.25">
      <c r="A260" t="s">
        <v>7</v>
      </c>
      <c r="B260" s="11">
        <v>3</v>
      </c>
      <c r="C260" s="11">
        <v>3</v>
      </c>
      <c r="D260" s="11">
        <v>12</v>
      </c>
      <c r="E260" s="11">
        <v>11</v>
      </c>
      <c r="F260" s="2">
        <v>52.3</v>
      </c>
      <c r="G260">
        <v>43.442166690741004</v>
      </c>
      <c r="Q260" s="17">
        <v>258</v>
      </c>
      <c r="R260" s="6">
        <v>2.3865500000000002</v>
      </c>
      <c r="S260" s="6">
        <v>4.5678999999999998</v>
      </c>
      <c r="T260" s="6">
        <v>2.2989999999999999</v>
      </c>
      <c r="U260" s="6">
        <v>328</v>
      </c>
      <c r="W260" s="17">
        <v>258</v>
      </c>
      <c r="X260" s="6">
        <v>4.5226899999999999</v>
      </c>
      <c r="Y260" s="6">
        <v>4.5678999999999998</v>
      </c>
      <c r="Z260" s="6">
        <v>2.2989999999999999</v>
      </c>
      <c r="AA260" s="6">
        <v>328</v>
      </c>
      <c r="AN260" s="17">
        <v>257</v>
      </c>
      <c r="AO260" s="6">
        <v>1.0695600000000001</v>
      </c>
      <c r="AP260" s="6">
        <v>0.51780000000000004</v>
      </c>
      <c r="AQ260" s="6">
        <v>0.54369999999999996</v>
      </c>
      <c r="AR260" s="6">
        <v>328</v>
      </c>
      <c r="AT260" s="17">
        <v>257</v>
      </c>
      <c r="AU260" s="6">
        <v>0.56438999999999995</v>
      </c>
      <c r="AV260" s="6">
        <v>0.51780000000000004</v>
      </c>
      <c r="AW260" s="6">
        <v>0.54369999999999996</v>
      </c>
      <c r="AX260" s="6">
        <v>328</v>
      </c>
    </row>
    <row r="261" spans="1:50" x14ac:dyDescent="0.25">
      <c r="A261" s="31" t="s">
        <v>156</v>
      </c>
      <c r="B261" s="32">
        <v>1</v>
      </c>
      <c r="C261" s="32">
        <v>18</v>
      </c>
      <c r="D261" s="32">
        <v>1</v>
      </c>
      <c r="E261" s="32">
        <v>11</v>
      </c>
      <c r="F261" s="2">
        <v>58.8</v>
      </c>
      <c r="G261">
        <v>46.60985487681404</v>
      </c>
      <c r="Q261" s="17">
        <v>259</v>
      </c>
      <c r="R261" s="6">
        <v>2.3714900000000001</v>
      </c>
      <c r="S261" s="6">
        <v>2.9992999999999999</v>
      </c>
      <c r="T261" s="6">
        <v>2.2845</v>
      </c>
      <c r="U261" s="6">
        <v>328</v>
      </c>
      <c r="W261" s="17">
        <v>259</v>
      </c>
      <c r="X261" s="6">
        <v>4.4941300000000002</v>
      </c>
      <c r="Y261" s="6">
        <v>2.9992999999999999</v>
      </c>
      <c r="Z261" s="6">
        <v>2.2845</v>
      </c>
      <c r="AA261" s="6">
        <v>328</v>
      </c>
      <c r="AN261" s="17">
        <v>258</v>
      </c>
      <c r="AO261" s="6">
        <v>1.0684100000000001</v>
      </c>
      <c r="AP261" s="19">
        <v>-0.56269999999999998</v>
      </c>
      <c r="AQ261" s="6">
        <v>0.54310000000000003</v>
      </c>
      <c r="AR261" s="6">
        <v>328</v>
      </c>
      <c r="AT261" s="17">
        <v>258</v>
      </c>
      <c r="AU261" s="6">
        <v>0.56377999999999995</v>
      </c>
      <c r="AV261" s="19">
        <v>-0.56269999999999998</v>
      </c>
      <c r="AW261" s="6">
        <v>0.54310000000000003</v>
      </c>
      <c r="AX261" s="6">
        <v>328</v>
      </c>
    </row>
    <row r="262" spans="1:50" x14ac:dyDescent="0.25">
      <c r="A262" s="31" t="s">
        <v>156</v>
      </c>
      <c r="B262" s="32">
        <v>2</v>
      </c>
      <c r="C262" s="32">
        <v>4</v>
      </c>
      <c r="D262" s="32">
        <v>3</v>
      </c>
      <c r="E262" s="32">
        <v>11</v>
      </c>
      <c r="F262" s="2">
        <v>57.8</v>
      </c>
      <c r="G262">
        <v>40.075024347909938</v>
      </c>
      <c r="Q262" s="17">
        <v>260</v>
      </c>
      <c r="R262" s="6">
        <v>2.37819</v>
      </c>
      <c r="S262" s="6">
        <v>3.5024000000000002</v>
      </c>
      <c r="T262" s="6">
        <v>2.2909999999999999</v>
      </c>
      <c r="U262" s="6">
        <v>328</v>
      </c>
      <c r="W262" s="17">
        <v>260</v>
      </c>
      <c r="X262" s="6">
        <v>4.5068400000000004</v>
      </c>
      <c r="Y262" s="6">
        <v>3.5024000000000002</v>
      </c>
      <c r="Z262" s="6">
        <v>2.2909999999999999</v>
      </c>
      <c r="AA262" s="6">
        <v>328</v>
      </c>
      <c r="AN262" s="17">
        <v>259</v>
      </c>
      <c r="AO262" s="6">
        <v>1.06125</v>
      </c>
      <c r="AP262" s="19">
        <v>-0.22320000000000001</v>
      </c>
      <c r="AQ262" s="6">
        <v>0.53949999999999998</v>
      </c>
      <c r="AR262" s="6">
        <v>328</v>
      </c>
      <c r="AT262" s="17">
        <v>259</v>
      </c>
      <c r="AU262" s="6">
        <v>0.56001000000000001</v>
      </c>
      <c r="AV262" s="19">
        <v>-0.22320000000000001</v>
      </c>
      <c r="AW262" s="6">
        <v>0.53949999999999998</v>
      </c>
      <c r="AX262" s="6">
        <v>328</v>
      </c>
    </row>
    <row r="263" spans="1:50" x14ac:dyDescent="0.25">
      <c r="A263" s="31" t="s">
        <v>156</v>
      </c>
      <c r="B263" s="32">
        <v>3</v>
      </c>
      <c r="C263" s="32">
        <v>10</v>
      </c>
      <c r="D263" s="32">
        <v>5</v>
      </c>
      <c r="E263" s="32">
        <v>11</v>
      </c>
      <c r="F263" s="2">
        <v>60.1</v>
      </c>
      <c r="G263">
        <v>45.120932875519877</v>
      </c>
      <c r="Q263" s="17">
        <v>261</v>
      </c>
      <c r="R263" s="6">
        <v>2.3918699999999999</v>
      </c>
      <c r="S263" s="6">
        <v>10.7995</v>
      </c>
      <c r="T263" s="6">
        <v>2.3041</v>
      </c>
      <c r="U263" s="6">
        <v>328</v>
      </c>
      <c r="W263" s="17">
        <v>261</v>
      </c>
      <c r="X263" s="6">
        <v>4.5327599999999997</v>
      </c>
      <c r="Y263" s="6">
        <v>10.7995</v>
      </c>
      <c r="Z263" s="6">
        <v>2.3041</v>
      </c>
      <c r="AA263" s="6">
        <v>328</v>
      </c>
      <c r="AN263" s="17">
        <v>260</v>
      </c>
      <c r="AO263" s="6">
        <v>1.0649599999999999</v>
      </c>
      <c r="AP263" s="19">
        <v>-0.75</v>
      </c>
      <c r="AQ263" s="6">
        <v>0.54139999999999999</v>
      </c>
      <c r="AR263" s="6">
        <v>328</v>
      </c>
      <c r="AT263" s="17">
        <v>260</v>
      </c>
      <c r="AU263" s="6">
        <v>0.56196000000000002</v>
      </c>
      <c r="AV263" s="19">
        <v>-0.75</v>
      </c>
      <c r="AW263" s="6">
        <v>0.54139999999999999</v>
      </c>
      <c r="AX263" s="6">
        <v>328</v>
      </c>
    </row>
    <row r="264" spans="1:50" x14ac:dyDescent="0.25">
      <c r="A264" s="31" t="s">
        <v>10</v>
      </c>
      <c r="B264" s="32">
        <v>1</v>
      </c>
      <c r="C264" s="32">
        <v>7</v>
      </c>
      <c r="D264" s="32">
        <v>2</v>
      </c>
      <c r="E264" s="32">
        <v>11</v>
      </c>
      <c r="F264" s="2">
        <v>58.2</v>
      </c>
      <c r="G264">
        <v>63.282493138812647</v>
      </c>
      <c r="Q264" s="17">
        <v>262</v>
      </c>
      <c r="R264" s="6">
        <v>2.3766099999999999</v>
      </c>
      <c r="S264" s="6">
        <v>5.3067000000000002</v>
      </c>
      <c r="T264" s="6">
        <v>2.2894000000000001</v>
      </c>
      <c r="U264" s="6">
        <v>328</v>
      </c>
      <c r="W264" s="17">
        <v>262</v>
      </c>
      <c r="X264" s="6">
        <v>4.5038499999999999</v>
      </c>
      <c r="Y264" s="6">
        <v>5.3067000000000002</v>
      </c>
      <c r="Z264" s="6">
        <v>2.2894000000000001</v>
      </c>
      <c r="AA264" s="6">
        <v>328</v>
      </c>
      <c r="AN264" s="17">
        <v>261</v>
      </c>
      <c r="AO264" s="6">
        <v>1.07562</v>
      </c>
      <c r="AP264" s="6">
        <v>1.0397000000000001</v>
      </c>
      <c r="AQ264" s="6">
        <v>0.54679999999999995</v>
      </c>
      <c r="AR264" s="6">
        <v>328</v>
      </c>
      <c r="AT264" s="17">
        <v>261</v>
      </c>
      <c r="AU264" s="6">
        <v>0.56759000000000004</v>
      </c>
      <c r="AV264" s="6">
        <v>1.0397000000000001</v>
      </c>
      <c r="AW264" s="6">
        <v>0.54679999999999995</v>
      </c>
      <c r="AX264" s="6">
        <v>328</v>
      </c>
    </row>
    <row r="265" spans="1:50" x14ac:dyDescent="0.25">
      <c r="A265" s="31" t="s">
        <v>10</v>
      </c>
      <c r="B265" s="32">
        <v>2</v>
      </c>
      <c r="C265" s="32">
        <v>9</v>
      </c>
      <c r="D265" s="32">
        <v>8</v>
      </c>
      <c r="E265" s="32">
        <v>11</v>
      </c>
      <c r="F265" s="12">
        <v>56.9</v>
      </c>
      <c r="G265">
        <v>56.271438751272477</v>
      </c>
      <c r="Q265" s="17">
        <v>263</v>
      </c>
      <c r="R265" s="6">
        <v>2.3839800000000002</v>
      </c>
      <c r="S265" s="6">
        <v>15.0253</v>
      </c>
      <c r="T265" s="6">
        <v>2.2965</v>
      </c>
      <c r="U265" s="6">
        <v>328</v>
      </c>
      <c r="W265" s="17">
        <v>263</v>
      </c>
      <c r="X265" s="6">
        <v>4.5178099999999999</v>
      </c>
      <c r="Y265" s="6">
        <v>15.0253</v>
      </c>
      <c r="Z265" s="6">
        <v>2.2965</v>
      </c>
      <c r="AA265" s="6">
        <v>328</v>
      </c>
      <c r="AN265" s="17">
        <v>262</v>
      </c>
      <c r="AO265" s="6">
        <v>1.0644800000000001</v>
      </c>
      <c r="AP265" s="19">
        <v>-0.67879999999999996</v>
      </c>
      <c r="AQ265" s="6">
        <v>0.54110000000000003</v>
      </c>
      <c r="AR265" s="6">
        <v>328</v>
      </c>
      <c r="AT265" s="17">
        <v>262</v>
      </c>
      <c r="AU265" s="6">
        <v>0.56171000000000004</v>
      </c>
      <c r="AV265" s="19">
        <v>-0.67879999999999996</v>
      </c>
      <c r="AW265" s="6">
        <v>0.54110000000000003</v>
      </c>
      <c r="AX265" s="6">
        <v>328</v>
      </c>
    </row>
    <row r="266" spans="1:50" x14ac:dyDescent="0.25">
      <c r="A266" s="31" t="s">
        <v>10</v>
      </c>
      <c r="B266" s="32">
        <v>3</v>
      </c>
      <c r="C266" s="32">
        <v>3</v>
      </c>
      <c r="D266" s="32">
        <v>11</v>
      </c>
      <c r="E266" s="32">
        <v>11</v>
      </c>
      <c r="F266" s="2">
        <v>60.9</v>
      </c>
      <c r="G266">
        <v>69.842991074476913</v>
      </c>
      <c r="Q266" s="17">
        <v>264</v>
      </c>
      <c r="R266" s="6">
        <v>2.3833899999999999</v>
      </c>
      <c r="S266" s="6">
        <v>10.2485</v>
      </c>
      <c r="T266" s="6">
        <v>2.2959999999999998</v>
      </c>
      <c r="U266" s="6">
        <v>328</v>
      </c>
      <c r="W266" s="17">
        <v>264</v>
      </c>
      <c r="X266" s="6">
        <v>4.51668</v>
      </c>
      <c r="Y266" s="6">
        <v>10.2485</v>
      </c>
      <c r="Z266" s="6">
        <v>2.2959999999999998</v>
      </c>
      <c r="AA266" s="6">
        <v>328</v>
      </c>
      <c r="AN266" s="17">
        <v>263</v>
      </c>
      <c r="AO266" s="6">
        <v>1.06985</v>
      </c>
      <c r="AP266" s="6">
        <v>1.8322000000000001</v>
      </c>
      <c r="AQ266" s="6">
        <v>0.54379999999999995</v>
      </c>
      <c r="AR266" s="6">
        <v>328</v>
      </c>
      <c r="AT266" s="17">
        <v>263</v>
      </c>
      <c r="AU266" s="6">
        <v>0.56455</v>
      </c>
      <c r="AV266" s="6">
        <v>1.8322000000000001</v>
      </c>
      <c r="AW266" s="6">
        <v>0.54379999999999995</v>
      </c>
      <c r="AX266" s="6">
        <v>328</v>
      </c>
    </row>
    <row r="267" spans="1:50" x14ac:dyDescent="0.25">
      <c r="A267" s="31" t="s">
        <v>11</v>
      </c>
      <c r="B267" s="32">
        <v>1</v>
      </c>
      <c r="C267" s="32">
        <v>17</v>
      </c>
      <c r="D267" s="32">
        <v>1</v>
      </c>
      <c r="E267" s="11">
        <v>11</v>
      </c>
      <c r="F267" s="2">
        <v>61.2</v>
      </c>
      <c r="G267">
        <v>27.122580190341903</v>
      </c>
      <c r="Q267" s="17">
        <v>265</v>
      </c>
      <c r="R267" s="6">
        <v>2.38897</v>
      </c>
      <c r="S267" s="6">
        <v>4.2699999999999996</v>
      </c>
      <c r="T267" s="6">
        <v>2.3012999999999999</v>
      </c>
      <c r="U267" s="6">
        <v>328</v>
      </c>
      <c r="W267" s="17">
        <v>265</v>
      </c>
      <c r="X267" s="6">
        <v>4.5272600000000001</v>
      </c>
      <c r="Y267" s="6">
        <v>4.2699999999999996</v>
      </c>
      <c r="Z267" s="6">
        <v>2.3012999999999999</v>
      </c>
      <c r="AA267" s="6">
        <v>328</v>
      </c>
      <c r="AN267" s="17">
        <v>264</v>
      </c>
      <c r="AO267" s="6">
        <v>1.0700799999999999</v>
      </c>
      <c r="AP267" s="6">
        <v>0.96060000000000001</v>
      </c>
      <c r="AQ267" s="6">
        <v>0.54400000000000004</v>
      </c>
      <c r="AR267" s="6">
        <v>328</v>
      </c>
      <c r="AT267" s="17">
        <v>264</v>
      </c>
      <c r="AU267" s="6">
        <v>0.56467000000000001</v>
      </c>
      <c r="AV267" s="6">
        <v>0.96060000000000001</v>
      </c>
      <c r="AW267" s="6">
        <v>0.54400000000000004</v>
      </c>
      <c r="AX267" s="6">
        <v>328</v>
      </c>
    </row>
    <row r="268" spans="1:50" x14ac:dyDescent="0.25">
      <c r="A268" s="31" t="s">
        <v>11</v>
      </c>
      <c r="B268" s="32">
        <v>2</v>
      </c>
      <c r="C268" s="32">
        <v>9</v>
      </c>
      <c r="D268" s="32">
        <v>4</v>
      </c>
      <c r="E268" s="11">
        <v>11</v>
      </c>
      <c r="F268" s="2">
        <v>61.5</v>
      </c>
      <c r="G268">
        <v>27.887379218076401</v>
      </c>
      <c r="Q268" s="17">
        <v>266</v>
      </c>
      <c r="R268" s="6">
        <v>2.3842699999999999</v>
      </c>
      <c r="S268" s="6">
        <v>6.2716000000000003</v>
      </c>
      <c r="T268" s="6">
        <v>2.2968000000000002</v>
      </c>
      <c r="U268" s="6">
        <v>328</v>
      </c>
      <c r="W268" s="17">
        <v>266</v>
      </c>
      <c r="X268" s="6">
        <v>4.5183499999999999</v>
      </c>
      <c r="Y268" s="6">
        <v>6.2716000000000003</v>
      </c>
      <c r="Z268" s="6">
        <v>2.2968000000000002</v>
      </c>
      <c r="AA268" s="6">
        <v>328</v>
      </c>
      <c r="AN268" s="17">
        <v>265</v>
      </c>
      <c r="AO268" s="6">
        <v>1.0703100000000001</v>
      </c>
      <c r="AP268" s="6">
        <v>0.51270000000000004</v>
      </c>
      <c r="AQ268" s="6">
        <v>0.54410000000000003</v>
      </c>
      <c r="AR268" s="6">
        <v>328</v>
      </c>
      <c r="AT268" s="17">
        <v>265</v>
      </c>
      <c r="AU268" s="6">
        <v>0.56479000000000001</v>
      </c>
      <c r="AV268" s="6">
        <v>0.51270000000000004</v>
      </c>
      <c r="AW268" s="6">
        <v>0.54410000000000003</v>
      </c>
      <c r="AX268" s="6">
        <v>328</v>
      </c>
    </row>
    <row r="269" spans="1:50" x14ac:dyDescent="0.25">
      <c r="A269" s="31" t="s">
        <v>11</v>
      </c>
      <c r="B269" s="32">
        <v>3</v>
      </c>
      <c r="C269" s="32">
        <v>12</v>
      </c>
      <c r="D269" s="32">
        <v>7</v>
      </c>
      <c r="E269" s="11">
        <v>11</v>
      </c>
      <c r="F269" s="2">
        <v>59</v>
      </c>
      <c r="G269">
        <v>30.787658664131211</v>
      </c>
      <c r="Q269" s="17">
        <v>267</v>
      </c>
      <c r="R269" s="6">
        <v>2.3852000000000002</v>
      </c>
      <c r="S269" s="6">
        <v>5.1268000000000002</v>
      </c>
      <c r="T269" s="6">
        <v>2.2976999999999999</v>
      </c>
      <c r="U269" s="6">
        <v>328</v>
      </c>
      <c r="W269" s="17">
        <v>267</v>
      </c>
      <c r="X269" s="6">
        <v>4.52013</v>
      </c>
      <c r="Y269" s="6">
        <v>5.1268000000000002</v>
      </c>
      <c r="Z269" s="6">
        <v>2.2976999999999999</v>
      </c>
      <c r="AA269" s="6">
        <v>328</v>
      </c>
      <c r="AN269" s="17">
        <v>266</v>
      </c>
      <c r="AO269" s="6">
        <v>1.0714300000000001</v>
      </c>
      <c r="AP269" s="6">
        <v>0.51060000000000005</v>
      </c>
      <c r="AQ269" s="6">
        <v>0.54459999999999997</v>
      </c>
      <c r="AR269" s="6">
        <v>328</v>
      </c>
      <c r="AT269" s="17">
        <v>266</v>
      </c>
      <c r="AU269" s="6">
        <v>0.56537999999999999</v>
      </c>
      <c r="AV269" s="6">
        <v>0.51060000000000005</v>
      </c>
      <c r="AW269" s="6">
        <v>0.54459999999999997</v>
      </c>
      <c r="AX269" s="6">
        <v>328</v>
      </c>
    </row>
    <row r="270" spans="1:50" x14ac:dyDescent="0.25">
      <c r="A270" t="s">
        <v>160</v>
      </c>
      <c r="B270">
        <v>1</v>
      </c>
      <c r="C270" s="36">
        <v>3</v>
      </c>
      <c r="D270" s="36">
        <v>2</v>
      </c>
      <c r="E270" s="32">
        <v>11</v>
      </c>
      <c r="F270" s="13">
        <v>60.5</v>
      </c>
      <c r="G270">
        <v>89.513882324455196</v>
      </c>
      <c r="Q270" s="17">
        <v>268</v>
      </c>
      <c r="R270" s="6">
        <v>2.3833000000000002</v>
      </c>
      <c r="S270" s="19">
        <v>-5.6162999999999998</v>
      </c>
      <c r="T270" s="6">
        <v>2.2959000000000001</v>
      </c>
      <c r="U270" s="6">
        <v>328</v>
      </c>
      <c r="W270" s="17">
        <v>268</v>
      </c>
      <c r="X270" s="6">
        <v>4.5165199999999999</v>
      </c>
      <c r="Y270" s="19">
        <v>-5.6162999999999998</v>
      </c>
      <c r="Z270" s="6">
        <v>2.2959000000000001</v>
      </c>
      <c r="AA270" s="6">
        <v>328</v>
      </c>
      <c r="AN270" s="17">
        <v>267</v>
      </c>
      <c r="AO270" s="6">
        <v>1.07616</v>
      </c>
      <c r="AP270" s="6">
        <v>1.0006999999999999</v>
      </c>
      <c r="AQ270" s="6">
        <v>0.54700000000000004</v>
      </c>
      <c r="AR270" s="6">
        <v>328</v>
      </c>
      <c r="AT270" s="17">
        <v>267</v>
      </c>
      <c r="AU270" s="6">
        <v>0.56786999999999999</v>
      </c>
      <c r="AV270" s="6">
        <v>1.0006999999999999</v>
      </c>
      <c r="AW270" s="6">
        <v>0.54700000000000004</v>
      </c>
      <c r="AX270" s="6">
        <v>328</v>
      </c>
    </row>
    <row r="271" spans="1:50" x14ac:dyDescent="0.25">
      <c r="A271" t="s">
        <v>160</v>
      </c>
      <c r="B271">
        <v>2</v>
      </c>
      <c r="C271" s="36">
        <v>2</v>
      </c>
      <c r="D271" s="36">
        <v>3</v>
      </c>
      <c r="E271" s="32">
        <v>11</v>
      </c>
      <c r="F271" s="13">
        <v>60.7</v>
      </c>
      <c r="G271">
        <v>83.712033674479997</v>
      </c>
      <c r="Q271" s="17">
        <v>269</v>
      </c>
      <c r="R271" s="6">
        <v>2.38645</v>
      </c>
      <c r="S271" s="6">
        <v>1.7526999999999999</v>
      </c>
      <c r="T271" s="6">
        <v>2.2989000000000002</v>
      </c>
      <c r="U271" s="6">
        <v>328</v>
      </c>
      <c r="W271" s="17">
        <v>269</v>
      </c>
      <c r="X271" s="6">
        <v>4.5224900000000003</v>
      </c>
      <c r="Y271" s="6">
        <v>1.7526999999999999</v>
      </c>
      <c r="Z271" s="6">
        <v>2.2989000000000002</v>
      </c>
      <c r="AA271" s="6">
        <v>328</v>
      </c>
      <c r="AN271" s="17">
        <v>268</v>
      </c>
      <c r="AO271" s="6">
        <v>1.07437</v>
      </c>
      <c r="AP271" s="19">
        <v>-3.5827</v>
      </c>
      <c r="AQ271" s="6">
        <v>0.54610000000000003</v>
      </c>
      <c r="AR271" s="6">
        <v>328</v>
      </c>
      <c r="AT271" s="17">
        <v>268</v>
      </c>
      <c r="AU271" s="6">
        <v>0.56693000000000005</v>
      </c>
      <c r="AV271" s="19">
        <v>-3.5827</v>
      </c>
      <c r="AW271" s="6">
        <v>0.54610000000000003</v>
      </c>
      <c r="AX271" s="6">
        <v>328</v>
      </c>
    </row>
    <row r="272" spans="1:50" x14ac:dyDescent="0.25">
      <c r="A272" t="s">
        <v>160</v>
      </c>
      <c r="B272">
        <v>3</v>
      </c>
      <c r="C272" s="36">
        <v>21</v>
      </c>
      <c r="D272" s="36">
        <v>5</v>
      </c>
      <c r="E272" s="32">
        <v>11</v>
      </c>
      <c r="F272" s="13">
        <v>61.1</v>
      </c>
      <c r="G272">
        <v>83.08358835477317</v>
      </c>
      <c r="Q272" s="17">
        <v>270</v>
      </c>
      <c r="R272" s="6">
        <v>2.3856700000000002</v>
      </c>
      <c r="S272" s="19">
        <v>-3.1560000000000001</v>
      </c>
      <c r="T272" s="6">
        <v>2.2982</v>
      </c>
      <c r="U272" s="6">
        <v>328</v>
      </c>
      <c r="W272" s="17">
        <v>270</v>
      </c>
      <c r="X272" s="6">
        <v>4.5210100000000004</v>
      </c>
      <c r="Y272" s="19">
        <v>-3.1560000000000001</v>
      </c>
      <c r="Z272" s="6">
        <v>2.2982</v>
      </c>
      <c r="AA272" s="6">
        <v>328</v>
      </c>
      <c r="AN272" s="17">
        <v>269</v>
      </c>
      <c r="AO272" s="6">
        <v>1.0869599999999999</v>
      </c>
      <c r="AP272" s="19">
        <v>-1.5126999999999999</v>
      </c>
      <c r="AQ272" s="6">
        <v>0.55249999999999999</v>
      </c>
      <c r="AR272" s="6">
        <v>328</v>
      </c>
      <c r="AT272" s="17">
        <v>269</v>
      </c>
      <c r="AU272" s="6">
        <v>0.57357999999999998</v>
      </c>
      <c r="AV272" s="19">
        <v>-1.5126999999999999</v>
      </c>
      <c r="AW272" s="6">
        <v>0.55249999999999999</v>
      </c>
      <c r="AX272" s="6">
        <v>328</v>
      </c>
    </row>
    <row r="273" spans="1:50" x14ac:dyDescent="0.25">
      <c r="A273" s="31" t="s">
        <v>116</v>
      </c>
      <c r="B273" s="32">
        <v>1</v>
      </c>
      <c r="C273" s="32">
        <v>2</v>
      </c>
      <c r="D273" s="32">
        <v>4</v>
      </c>
      <c r="E273" s="32">
        <v>12</v>
      </c>
      <c r="F273" s="12">
        <v>56.9</v>
      </c>
      <c r="G273">
        <v>55.833955249569698</v>
      </c>
      <c r="Q273" s="17">
        <v>271</v>
      </c>
      <c r="R273" s="6">
        <v>2.3829799999999999</v>
      </c>
      <c r="S273" s="19">
        <v>-7.4051999999999998</v>
      </c>
      <c r="T273" s="6">
        <v>2.2955999999999999</v>
      </c>
      <c r="U273" s="6">
        <v>328</v>
      </c>
      <c r="W273" s="17">
        <v>271</v>
      </c>
      <c r="X273" s="6">
        <v>4.5159099999999999</v>
      </c>
      <c r="Y273" s="19">
        <v>-7.4051999999999998</v>
      </c>
      <c r="Z273" s="6">
        <v>2.2955999999999999</v>
      </c>
      <c r="AA273" s="6">
        <v>328</v>
      </c>
      <c r="AN273" s="17">
        <v>270</v>
      </c>
      <c r="AO273" s="6">
        <v>1.07673</v>
      </c>
      <c r="AP273" s="19">
        <v>-2.8319999999999999</v>
      </c>
      <c r="AQ273" s="6">
        <v>0.54730000000000001</v>
      </c>
      <c r="AR273" s="6">
        <v>328</v>
      </c>
      <c r="AT273" s="17">
        <v>270</v>
      </c>
      <c r="AU273" s="6">
        <v>0.56816999999999995</v>
      </c>
      <c r="AV273" s="19">
        <v>-2.8319999999999999</v>
      </c>
      <c r="AW273" s="6">
        <v>0.54730000000000001</v>
      </c>
      <c r="AX273" s="6">
        <v>328</v>
      </c>
    </row>
    <row r="274" spans="1:50" x14ac:dyDescent="0.25">
      <c r="A274" s="31" t="s">
        <v>116</v>
      </c>
      <c r="B274" s="32">
        <v>2</v>
      </c>
      <c r="C274" s="32">
        <v>7</v>
      </c>
      <c r="D274" s="32">
        <v>7</v>
      </c>
      <c r="E274" s="32">
        <v>12</v>
      </c>
      <c r="F274" s="12">
        <v>56.4</v>
      </c>
      <c r="G274">
        <v>63.734826286099995</v>
      </c>
      <c r="Q274" s="17">
        <v>272</v>
      </c>
      <c r="R274" s="6">
        <v>2.3852600000000002</v>
      </c>
      <c r="S274" s="19">
        <v>-5.1711999999999998</v>
      </c>
      <c r="T274" s="6">
        <v>2.2978000000000001</v>
      </c>
      <c r="U274" s="6">
        <v>328</v>
      </c>
      <c r="W274" s="17">
        <v>272</v>
      </c>
      <c r="X274" s="6">
        <v>4.5202400000000003</v>
      </c>
      <c r="Y274" s="19">
        <v>-5.1711999999999998</v>
      </c>
      <c r="Z274" s="6">
        <v>2.2978000000000001</v>
      </c>
      <c r="AA274" s="6">
        <v>328</v>
      </c>
      <c r="AN274" s="17">
        <v>271</v>
      </c>
      <c r="AO274" s="6">
        <v>1.07857</v>
      </c>
      <c r="AP274" s="19">
        <v>-3.3340999999999998</v>
      </c>
      <c r="AQ274" s="6">
        <v>0.54830000000000001</v>
      </c>
      <c r="AR274" s="6">
        <v>328</v>
      </c>
      <c r="AT274" s="17">
        <v>271</v>
      </c>
      <c r="AU274" s="6">
        <v>0.56915000000000004</v>
      </c>
      <c r="AV274" s="19">
        <v>-3.3340999999999998</v>
      </c>
      <c r="AW274" s="6">
        <v>0.54830000000000001</v>
      </c>
      <c r="AX274" s="6">
        <v>328</v>
      </c>
    </row>
    <row r="275" spans="1:50" x14ac:dyDescent="0.25">
      <c r="A275" s="31" t="s">
        <v>116</v>
      </c>
      <c r="B275" s="32">
        <v>3</v>
      </c>
      <c r="C275" s="32">
        <v>3</v>
      </c>
      <c r="D275" s="32">
        <v>9</v>
      </c>
      <c r="E275" s="32">
        <v>12</v>
      </c>
      <c r="F275" s="12">
        <v>57.9</v>
      </c>
      <c r="G275">
        <v>60.601212091991712</v>
      </c>
      <c r="Q275" s="17">
        <v>273</v>
      </c>
      <c r="R275" s="6">
        <v>2.3856199999999999</v>
      </c>
      <c r="S275" s="19">
        <v>-5.1403999999999996</v>
      </c>
      <c r="T275" s="6">
        <v>2.2980999999999998</v>
      </c>
      <c r="U275" s="6">
        <v>328</v>
      </c>
      <c r="W275" s="17">
        <v>273</v>
      </c>
      <c r="X275" s="6">
        <v>4.5209200000000003</v>
      </c>
      <c r="Y275" s="19">
        <v>-5.1403999999999996</v>
      </c>
      <c r="Z275" s="6">
        <v>2.2980999999999998</v>
      </c>
      <c r="AA275" s="6">
        <v>328</v>
      </c>
      <c r="AN275" s="17">
        <v>272</v>
      </c>
      <c r="AO275" s="6">
        <v>1.07681</v>
      </c>
      <c r="AP275" s="19">
        <v>-1.1900999999999999</v>
      </c>
      <c r="AQ275" s="6">
        <v>0.5474</v>
      </c>
      <c r="AR275" s="6">
        <v>328</v>
      </c>
      <c r="AT275" s="17">
        <v>272</v>
      </c>
      <c r="AU275" s="6">
        <v>0.56821999999999995</v>
      </c>
      <c r="AV275" s="19">
        <v>-1.1900999999999999</v>
      </c>
      <c r="AW275" s="6">
        <v>0.5474</v>
      </c>
      <c r="AX275" s="6">
        <v>328</v>
      </c>
    </row>
    <row r="276" spans="1:50" x14ac:dyDescent="0.25">
      <c r="A276" s="34" t="s">
        <v>97</v>
      </c>
      <c r="B276" s="35">
        <v>1</v>
      </c>
      <c r="C276" s="35">
        <v>7</v>
      </c>
      <c r="D276" s="35">
        <v>2</v>
      </c>
      <c r="E276" s="35">
        <v>12</v>
      </c>
      <c r="F276" s="2">
        <v>56.1</v>
      </c>
      <c r="G276">
        <v>67.975566950743882</v>
      </c>
      <c r="Q276" s="17">
        <v>274</v>
      </c>
      <c r="R276" s="6">
        <v>2.3818000000000001</v>
      </c>
      <c r="S276" s="19">
        <v>-3.7685</v>
      </c>
      <c r="T276" s="6">
        <v>2.2944</v>
      </c>
      <c r="U276" s="6">
        <v>328</v>
      </c>
      <c r="W276" s="17">
        <v>274</v>
      </c>
      <c r="X276" s="6">
        <v>4.5136700000000003</v>
      </c>
      <c r="Y276" s="19">
        <v>-3.7685</v>
      </c>
      <c r="Z276" s="6">
        <v>2.2944</v>
      </c>
      <c r="AA276" s="6">
        <v>328</v>
      </c>
      <c r="AN276" s="17">
        <v>273</v>
      </c>
      <c r="AO276" s="6">
        <v>1.07579</v>
      </c>
      <c r="AP276" s="19">
        <v>-3.1535000000000002</v>
      </c>
      <c r="AQ276" s="6">
        <v>0.54690000000000005</v>
      </c>
      <c r="AR276" s="6">
        <v>328</v>
      </c>
      <c r="AT276" s="17">
        <v>273</v>
      </c>
      <c r="AU276" s="6">
        <v>0.56767999999999996</v>
      </c>
      <c r="AV276" s="19">
        <v>-3.1535000000000002</v>
      </c>
      <c r="AW276" s="6">
        <v>0.54690000000000005</v>
      </c>
      <c r="AX276" s="6">
        <v>328</v>
      </c>
    </row>
    <row r="277" spans="1:50" x14ac:dyDescent="0.25">
      <c r="A277" s="34" t="s">
        <v>97</v>
      </c>
      <c r="B277" s="35">
        <v>2</v>
      </c>
      <c r="C277" s="35">
        <v>4</v>
      </c>
      <c r="D277" s="35">
        <v>4</v>
      </c>
      <c r="E277" s="35">
        <v>12</v>
      </c>
      <c r="F277" s="2">
        <v>60</v>
      </c>
      <c r="G277">
        <v>68.994837008628949</v>
      </c>
      <c r="Q277" s="17">
        <v>275</v>
      </c>
      <c r="R277" s="6">
        <v>2.3903799999999999</v>
      </c>
      <c r="S277" s="6">
        <v>1.5943000000000001</v>
      </c>
      <c r="T277" s="6">
        <v>2.3027000000000002</v>
      </c>
      <c r="U277" s="6">
        <v>328</v>
      </c>
      <c r="W277" s="17">
        <v>275</v>
      </c>
      <c r="X277" s="6">
        <v>4.5299399999999999</v>
      </c>
      <c r="Y277" s="6">
        <v>1.5943000000000001</v>
      </c>
      <c r="Z277" s="6">
        <v>2.3027000000000002</v>
      </c>
      <c r="AA277" s="6">
        <v>328</v>
      </c>
      <c r="AN277" s="17">
        <v>274</v>
      </c>
      <c r="AO277" s="6">
        <v>1.0734600000000001</v>
      </c>
      <c r="AP277" s="19">
        <v>-1.4376</v>
      </c>
      <c r="AQ277" s="6">
        <v>0.54569999999999996</v>
      </c>
      <c r="AR277" s="6">
        <v>328</v>
      </c>
      <c r="AT277" s="17">
        <v>274</v>
      </c>
      <c r="AU277" s="6">
        <v>0.56645000000000001</v>
      </c>
      <c r="AV277" s="19">
        <v>-1.4376</v>
      </c>
      <c r="AW277" s="6">
        <v>0.54569999999999996</v>
      </c>
      <c r="AX277" s="6">
        <v>328</v>
      </c>
    </row>
    <row r="278" spans="1:50" x14ac:dyDescent="0.25">
      <c r="A278" s="34" t="s">
        <v>97</v>
      </c>
      <c r="B278" s="35">
        <v>3</v>
      </c>
      <c r="C278" s="35">
        <v>10</v>
      </c>
      <c r="D278" s="35">
        <v>5</v>
      </c>
      <c r="E278" s="35">
        <v>12</v>
      </c>
      <c r="F278" s="2">
        <v>60.5</v>
      </c>
      <c r="G278">
        <v>72.425604069520972</v>
      </c>
      <c r="Q278" s="17">
        <v>276</v>
      </c>
      <c r="R278" s="6">
        <v>2.3903799999999999</v>
      </c>
      <c r="S278" s="19">
        <v>-6.3975</v>
      </c>
      <c r="T278" s="6">
        <v>2.3027000000000002</v>
      </c>
      <c r="U278" s="6">
        <v>328</v>
      </c>
      <c r="W278" s="17">
        <v>276</v>
      </c>
      <c r="X278" s="6">
        <v>4.5299399999999999</v>
      </c>
      <c r="Y278" s="19">
        <v>-6.3975</v>
      </c>
      <c r="Z278" s="6">
        <v>2.3027000000000002</v>
      </c>
      <c r="AA278" s="6">
        <v>328</v>
      </c>
      <c r="AN278" s="17">
        <v>275</v>
      </c>
      <c r="AO278" s="6">
        <v>1.0858300000000001</v>
      </c>
      <c r="AP278" s="19">
        <v>-1.0407999999999999</v>
      </c>
      <c r="AQ278" s="6">
        <v>0.55200000000000005</v>
      </c>
      <c r="AR278" s="6">
        <v>328</v>
      </c>
      <c r="AT278" s="17">
        <v>275</v>
      </c>
      <c r="AU278" s="6">
        <v>0.57298000000000004</v>
      </c>
      <c r="AV278" s="19">
        <v>-1.0407999999999999</v>
      </c>
      <c r="AW278" s="6">
        <v>0.55200000000000005</v>
      </c>
      <c r="AX278" s="6">
        <v>328</v>
      </c>
    </row>
    <row r="279" spans="1:50" x14ac:dyDescent="0.25">
      <c r="A279" s="31" t="s">
        <v>132</v>
      </c>
      <c r="B279" s="32">
        <v>1</v>
      </c>
      <c r="C279" s="32">
        <v>19</v>
      </c>
      <c r="D279" s="32">
        <v>1</v>
      </c>
      <c r="E279" s="32">
        <v>12</v>
      </c>
      <c r="F279" s="2">
        <v>61.7</v>
      </c>
      <c r="G279">
        <v>56.831088182826285</v>
      </c>
      <c r="Q279" s="17">
        <v>277</v>
      </c>
      <c r="R279" s="6">
        <v>2.3807</v>
      </c>
      <c r="S279" s="19">
        <v>-4.9534000000000002</v>
      </c>
      <c r="T279" s="6">
        <v>2.2934000000000001</v>
      </c>
      <c r="U279" s="6">
        <v>328</v>
      </c>
      <c r="W279" s="17">
        <v>277</v>
      </c>
      <c r="X279" s="6">
        <v>4.5115800000000004</v>
      </c>
      <c r="Y279" s="19">
        <v>-4.9534000000000002</v>
      </c>
      <c r="Z279" s="6">
        <v>2.2934000000000001</v>
      </c>
      <c r="AA279" s="6">
        <v>328</v>
      </c>
      <c r="AN279" s="17">
        <v>276</v>
      </c>
      <c r="AO279" s="6">
        <v>1.0780700000000001</v>
      </c>
      <c r="AP279" s="19">
        <v>-2.4502000000000002</v>
      </c>
      <c r="AQ279" s="6">
        <v>0.54800000000000004</v>
      </c>
      <c r="AR279" s="6">
        <v>328</v>
      </c>
      <c r="AT279" s="17">
        <v>276</v>
      </c>
      <c r="AU279" s="6">
        <v>0.56888000000000005</v>
      </c>
      <c r="AV279" s="19">
        <v>-2.4502000000000002</v>
      </c>
      <c r="AW279" s="6">
        <v>0.54800000000000004</v>
      </c>
      <c r="AX279" s="6">
        <v>328</v>
      </c>
    </row>
    <row r="280" spans="1:50" x14ac:dyDescent="0.25">
      <c r="A280" s="31" t="s">
        <v>132</v>
      </c>
      <c r="B280" s="32">
        <v>2</v>
      </c>
      <c r="C280" s="32">
        <v>4</v>
      </c>
      <c r="D280" s="32">
        <v>3</v>
      </c>
      <c r="E280" s="32">
        <v>12</v>
      </c>
      <c r="F280" s="2">
        <v>60</v>
      </c>
      <c r="G280">
        <v>58.588016351118753</v>
      </c>
      <c r="Q280" s="17">
        <v>278</v>
      </c>
      <c r="R280" s="6">
        <v>2.3933399999999998</v>
      </c>
      <c r="S280" s="19">
        <v>-2.6501999999999999</v>
      </c>
      <c r="T280" s="6">
        <v>2.3056000000000001</v>
      </c>
      <c r="U280" s="6">
        <v>328</v>
      </c>
      <c r="W280" s="17">
        <v>278</v>
      </c>
      <c r="X280" s="6">
        <v>4.5355499999999997</v>
      </c>
      <c r="Y280" s="19">
        <v>-2.6501999999999999</v>
      </c>
      <c r="Z280" s="6">
        <v>2.3056000000000001</v>
      </c>
      <c r="AA280" s="6">
        <v>328</v>
      </c>
      <c r="AN280" s="17">
        <v>277</v>
      </c>
      <c r="AO280" s="6">
        <v>1.07491</v>
      </c>
      <c r="AP280" s="19">
        <v>-2.1044999999999998</v>
      </c>
      <c r="AQ280" s="6">
        <v>0.5464</v>
      </c>
      <c r="AR280" s="6">
        <v>328</v>
      </c>
      <c r="AT280" s="17">
        <v>277</v>
      </c>
      <c r="AU280" s="6">
        <v>0.56721999999999995</v>
      </c>
      <c r="AV280" s="19">
        <v>-2.1044999999999998</v>
      </c>
      <c r="AW280" s="6">
        <v>0.5464</v>
      </c>
      <c r="AX280" s="6">
        <v>328</v>
      </c>
    </row>
    <row r="281" spans="1:50" x14ac:dyDescent="0.25">
      <c r="A281" s="31" t="s">
        <v>132</v>
      </c>
      <c r="B281" s="32">
        <v>3</v>
      </c>
      <c r="C281" s="32">
        <v>6</v>
      </c>
      <c r="D281" s="32">
        <v>6</v>
      </c>
      <c r="E281" s="32">
        <v>12</v>
      </c>
      <c r="F281" s="12">
        <v>60.9</v>
      </c>
      <c r="G281">
        <v>57.695564061822907</v>
      </c>
      <c r="Q281" s="17">
        <v>279</v>
      </c>
      <c r="R281" s="6">
        <v>2.3869099999999999</v>
      </c>
      <c r="S281" s="19">
        <v>-0.62339999999999995</v>
      </c>
      <c r="T281" s="6">
        <v>2.2993999999999999</v>
      </c>
      <c r="U281" s="6">
        <v>328</v>
      </c>
      <c r="W281" s="17">
        <v>279</v>
      </c>
      <c r="X281" s="6">
        <v>4.5233699999999999</v>
      </c>
      <c r="Y281" s="19">
        <v>-0.62339999999999995</v>
      </c>
      <c r="Z281" s="6">
        <v>2.2993999999999999</v>
      </c>
      <c r="AA281" s="6">
        <v>328</v>
      </c>
      <c r="AN281" s="17">
        <v>278</v>
      </c>
      <c r="AO281" s="6">
        <v>1.07697</v>
      </c>
      <c r="AP281" s="19">
        <v>-3.1756000000000002</v>
      </c>
      <c r="AQ281" s="6">
        <v>0.54749999999999999</v>
      </c>
      <c r="AR281" s="6">
        <v>328</v>
      </c>
      <c r="AT281" s="17">
        <v>278</v>
      </c>
      <c r="AU281" s="6">
        <v>0.56830000000000003</v>
      </c>
      <c r="AV281" s="19">
        <v>-3.1756000000000002</v>
      </c>
      <c r="AW281" s="6">
        <v>0.54749999999999999</v>
      </c>
      <c r="AX281" s="6">
        <v>328</v>
      </c>
    </row>
    <row r="282" spans="1:50" x14ac:dyDescent="0.25">
      <c r="A282" s="31" t="s">
        <v>13</v>
      </c>
      <c r="B282" s="32">
        <v>1</v>
      </c>
      <c r="C282" s="36">
        <v>17</v>
      </c>
      <c r="D282" s="36">
        <v>2</v>
      </c>
      <c r="E282" s="32">
        <v>12</v>
      </c>
      <c r="F282" s="12">
        <v>58.3</v>
      </c>
      <c r="G282">
        <v>69.254019999999983</v>
      </c>
      <c r="Q282" s="17">
        <v>280</v>
      </c>
      <c r="R282" s="6">
        <v>2.3913500000000001</v>
      </c>
      <c r="S282" s="19">
        <v>-4.6238000000000001</v>
      </c>
      <c r="T282" s="6">
        <v>2.3035999999999999</v>
      </c>
      <c r="U282" s="6">
        <v>328</v>
      </c>
      <c r="W282" s="17">
        <v>280</v>
      </c>
      <c r="X282" s="6">
        <v>4.5317699999999999</v>
      </c>
      <c r="Y282" s="19">
        <v>-4.6238000000000001</v>
      </c>
      <c r="Z282" s="6">
        <v>2.3035999999999999</v>
      </c>
      <c r="AA282" s="6">
        <v>328</v>
      </c>
      <c r="AN282" s="17">
        <v>279</v>
      </c>
      <c r="AO282" s="6">
        <v>1.07796</v>
      </c>
      <c r="AP282" s="19">
        <v>-2.8637999999999999</v>
      </c>
      <c r="AQ282" s="6">
        <v>0.54800000000000004</v>
      </c>
      <c r="AR282" s="6">
        <v>328</v>
      </c>
      <c r="AT282" s="17">
        <v>279</v>
      </c>
      <c r="AU282" s="6">
        <v>0.56881999999999999</v>
      </c>
      <c r="AV282" s="19">
        <v>-2.8637999999999999</v>
      </c>
      <c r="AW282" s="6">
        <v>0.54800000000000004</v>
      </c>
      <c r="AX282" s="6">
        <v>328</v>
      </c>
    </row>
    <row r="283" spans="1:50" x14ac:dyDescent="0.25">
      <c r="A283" s="31" t="s">
        <v>13</v>
      </c>
      <c r="B283" s="32">
        <v>2</v>
      </c>
      <c r="C283" s="36">
        <v>2</v>
      </c>
      <c r="D283" s="36">
        <v>4</v>
      </c>
      <c r="E283" s="32">
        <v>12</v>
      </c>
      <c r="F283" s="12">
        <v>57.6</v>
      </c>
      <c r="G283">
        <v>60.567044999999986</v>
      </c>
      <c r="Q283" s="17">
        <v>281</v>
      </c>
      <c r="R283" s="6">
        <v>2.3925800000000002</v>
      </c>
      <c r="S283" s="19">
        <v>-2.4041999999999999</v>
      </c>
      <c r="T283" s="6">
        <v>2.3048000000000002</v>
      </c>
      <c r="U283" s="6">
        <v>328</v>
      </c>
      <c r="W283" s="17">
        <v>281</v>
      </c>
      <c r="X283" s="6">
        <v>4.5340999999999996</v>
      </c>
      <c r="Y283" s="19">
        <v>-2.4041999999999999</v>
      </c>
      <c r="Z283" s="6">
        <v>2.3048000000000002</v>
      </c>
      <c r="AA283" s="6">
        <v>328</v>
      </c>
      <c r="AN283" s="17">
        <v>280</v>
      </c>
      <c r="AO283" s="6">
        <v>1.0942000000000001</v>
      </c>
      <c r="AP283" s="19">
        <v>-1.8093999999999999</v>
      </c>
      <c r="AQ283" s="6">
        <v>0.55620000000000003</v>
      </c>
      <c r="AR283" s="6">
        <v>328</v>
      </c>
      <c r="AT283" s="17">
        <v>280</v>
      </c>
      <c r="AU283" s="6">
        <v>0.57738999999999996</v>
      </c>
      <c r="AV283" s="19">
        <v>-1.8093999999999999</v>
      </c>
      <c r="AW283" s="6">
        <v>0.55620000000000003</v>
      </c>
      <c r="AX283" s="6">
        <v>328</v>
      </c>
    </row>
    <row r="284" spans="1:50" x14ac:dyDescent="0.25">
      <c r="A284" s="31" t="s">
        <v>13</v>
      </c>
      <c r="B284" s="32">
        <v>3</v>
      </c>
      <c r="C284" s="36">
        <v>1</v>
      </c>
      <c r="D284" s="36">
        <v>6</v>
      </c>
      <c r="E284" s="32">
        <v>12</v>
      </c>
      <c r="F284" s="12">
        <v>57.9</v>
      </c>
      <c r="G284">
        <v>53.099199999999996</v>
      </c>
      <c r="Q284" s="17">
        <v>282</v>
      </c>
      <c r="R284" s="6">
        <v>2.3952399999999998</v>
      </c>
      <c r="S284" s="19">
        <v>-11.036899999999999</v>
      </c>
      <c r="T284" s="6">
        <v>2.3073999999999999</v>
      </c>
      <c r="U284" s="6">
        <v>328</v>
      </c>
      <c r="W284" s="17">
        <v>282</v>
      </c>
      <c r="X284" s="6">
        <v>4.5391399999999997</v>
      </c>
      <c r="Y284" s="19">
        <v>-11.036899999999999</v>
      </c>
      <c r="Z284" s="6">
        <v>2.3073999999999999</v>
      </c>
      <c r="AA284" s="6">
        <v>328</v>
      </c>
      <c r="AN284" s="17">
        <v>281</v>
      </c>
      <c r="AO284" s="6">
        <v>1.0810500000000001</v>
      </c>
      <c r="AP284" s="19">
        <v>-1.8998999999999999</v>
      </c>
      <c r="AQ284" s="6">
        <v>0.54949999999999999</v>
      </c>
      <c r="AR284" s="6">
        <v>328</v>
      </c>
      <c r="AT284" s="17">
        <v>281</v>
      </c>
      <c r="AU284" s="6">
        <v>0.57045999999999997</v>
      </c>
      <c r="AV284" s="19">
        <v>-1.8998999999999999</v>
      </c>
      <c r="AW284" s="6">
        <v>0.54949999999999999</v>
      </c>
      <c r="AX284" s="6">
        <v>328</v>
      </c>
    </row>
    <row r="285" spans="1:50" x14ac:dyDescent="0.25">
      <c r="A285" t="s">
        <v>7</v>
      </c>
      <c r="B285" s="11">
        <v>1</v>
      </c>
      <c r="C285" s="11">
        <v>10</v>
      </c>
      <c r="D285" s="11">
        <v>2</v>
      </c>
      <c r="E285" s="11">
        <v>12</v>
      </c>
      <c r="F285" s="12">
        <v>54.5</v>
      </c>
      <c r="G285">
        <v>39.264134983127107</v>
      </c>
      <c r="Q285" s="17">
        <v>283</v>
      </c>
      <c r="R285" s="6">
        <v>2.40252</v>
      </c>
      <c r="S285" s="19">
        <v>-4.1151999999999997</v>
      </c>
      <c r="T285" s="6">
        <v>2.3144</v>
      </c>
      <c r="U285" s="6">
        <v>328</v>
      </c>
      <c r="W285" s="17">
        <v>283</v>
      </c>
      <c r="X285" s="6">
        <v>4.5529400000000004</v>
      </c>
      <c r="Y285" s="19">
        <v>-4.1151999999999997</v>
      </c>
      <c r="Z285" s="6">
        <v>2.3144</v>
      </c>
      <c r="AA285" s="6">
        <v>328</v>
      </c>
      <c r="AN285" s="17">
        <v>282</v>
      </c>
      <c r="AO285" s="6">
        <v>1.0839000000000001</v>
      </c>
      <c r="AP285" s="19">
        <v>-2.1930999999999998</v>
      </c>
      <c r="AQ285" s="6">
        <v>0.55100000000000005</v>
      </c>
      <c r="AR285" s="6">
        <v>328</v>
      </c>
      <c r="AT285" s="17">
        <v>282</v>
      </c>
      <c r="AU285" s="6">
        <v>0.57196000000000002</v>
      </c>
      <c r="AV285" s="19">
        <v>-2.1930999999999998</v>
      </c>
      <c r="AW285" s="6">
        <v>0.55100000000000005</v>
      </c>
      <c r="AX285" s="6">
        <v>328</v>
      </c>
    </row>
    <row r="286" spans="1:50" x14ac:dyDescent="0.25">
      <c r="A286" t="s">
        <v>7</v>
      </c>
      <c r="B286" s="11">
        <v>2</v>
      </c>
      <c r="C286" s="11">
        <v>5</v>
      </c>
      <c r="D286" s="11">
        <v>5</v>
      </c>
      <c r="E286" s="11">
        <v>12</v>
      </c>
      <c r="F286" s="12">
        <v>51.4</v>
      </c>
      <c r="G286">
        <v>38.056600453208617</v>
      </c>
      <c r="Q286" s="17">
        <v>284</v>
      </c>
      <c r="R286" s="6">
        <v>2.3823799999999999</v>
      </c>
      <c r="S286" s="19">
        <v>-1.4146000000000001</v>
      </c>
      <c r="T286" s="6">
        <v>2.2949999999999999</v>
      </c>
      <c r="U286" s="6">
        <v>328</v>
      </c>
      <c r="W286" s="17">
        <v>284</v>
      </c>
      <c r="X286" s="6">
        <v>4.5147700000000004</v>
      </c>
      <c r="Y286" s="19">
        <v>-1.4146000000000001</v>
      </c>
      <c r="Z286" s="6">
        <v>2.2949999999999999</v>
      </c>
      <c r="AA286" s="6">
        <v>328</v>
      </c>
      <c r="AN286" s="17">
        <v>283</v>
      </c>
      <c r="AO286" s="6">
        <v>1.07718</v>
      </c>
      <c r="AP286" s="19">
        <v>-2.2197</v>
      </c>
      <c r="AQ286" s="6">
        <v>0.54759999999999998</v>
      </c>
      <c r="AR286" s="6">
        <v>328</v>
      </c>
      <c r="AT286" s="17">
        <v>283</v>
      </c>
      <c r="AU286" s="6">
        <v>0.56840999999999997</v>
      </c>
      <c r="AV286" s="19">
        <v>-2.2197</v>
      </c>
      <c r="AW286" s="6">
        <v>0.54759999999999998</v>
      </c>
      <c r="AX286" s="6">
        <v>328</v>
      </c>
    </row>
    <row r="287" spans="1:50" x14ac:dyDescent="0.25">
      <c r="A287" t="s">
        <v>7</v>
      </c>
      <c r="B287" s="11">
        <v>3</v>
      </c>
      <c r="C287" s="11">
        <v>9</v>
      </c>
      <c r="D287" s="11">
        <v>12</v>
      </c>
      <c r="E287" s="11">
        <v>12</v>
      </c>
      <c r="F287" s="2">
        <v>48.8</v>
      </c>
      <c r="G287">
        <v>34.960313447927199</v>
      </c>
      <c r="Q287" s="17">
        <v>285</v>
      </c>
      <c r="R287" s="6">
        <v>2.3813499999999999</v>
      </c>
      <c r="S287" s="19">
        <v>-2.4097</v>
      </c>
      <c r="T287" s="6">
        <v>2.294</v>
      </c>
      <c r="U287" s="6">
        <v>328</v>
      </c>
      <c r="W287" s="17">
        <v>285</v>
      </c>
      <c r="X287" s="6">
        <v>4.5128300000000001</v>
      </c>
      <c r="Y287" s="19">
        <v>-2.4097</v>
      </c>
      <c r="Z287" s="6">
        <v>2.294</v>
      </c>
      <c r="AA287" s="6">
        <v>328</v>
      </c>
      <c r="AN287" s="17">
        <v>284</v>
      </c>
      <c r="AO287" s="6">
        <v>1.07551</v>
      </c>
      <c r="AP287" s="19">
        <v>-0.84019999999999995</v>
      </c>
      <c r="AQ287" s="6">
        <v>0.54669999999999996</v>
      </c>
      <c r="AR287" s="6">
        <v>328</v>
      </c>
      <c r="AT287" s="17">
        <v>284</v>
      </c>
      <c r="AU287" s="6">
        <v>0.56752999999999998</v>
      </c>
      <c r="AV287" s="19">
        <v>-0.84019999999999995</v>
      </c>
      <c r="AW287" s="6">
        <v>0.54669999999999996</v>
      </c>
      <c r="AX287" s="6">
        <v>328</v>
      </c>
    </row>
    <row r="288" spans="1:50" x14ac:dyDescent="0.25">
      <c r="A288" s="31" t="s">
        <v>156</v>
      </c>
      <c r="B288" s="32">
        <v>1</v>
      </c>
      <c r="C288" s="32">
        <v>18</v>
      </c>
      <c r="D288" s="32">
        <v>2</v>
      </c>
      <c r="E288" s="32">
        <v>12</v>
      </c>
      <c r="F288" s="2">
        <v>59.7</v>
      </c>
      <c r="G288">
        <v>57.330149289099523</v>
      </c>
      <c r="Q288" s="17">
        <v>286</v>
      </c>
      <c r="R288" s="6">
        <v>2.3803700000000001</v>
      </c>
      <c r="S288" s="6">
        <v>0.65920000000000001</v>
      </c>
      <c r="T288" s="6">
        <v>2.2930999999999999</v>
      </c>
      <c r="U288" s="6">
        <v>328</v>
      </c>
      <c r="W288" s="17">
        <v>286</v>
      </c>
      <c r="X288" s="6">
        <v>4.5109700000000004</v>
      </c>
      <c r="Y288" s="6">
        <v>0.65920000000000001</v>
      </c>
      <c r="Z288" s="6">
        <v>2.2930999999999999</v>
      </c>
      <c r="AA288" s="6">
        <v>328</v>
      </c>
      <c r="AN288" s="17">
        <v>285</v>
      </c>
      <c r="AO288" s="6">
        <v>1.0784800000000001</v>
      </c>
      <c r="AP288" s="19">
        <v>-2.3159000000000001</v>
      </c>
      <c r="AQ288" s="6">
        <v>0.54820000000000002</v>
      </c>
      <c r="AR288" s="6">
        <v>328</v>
      </c>
      <c r="AT288" s="17">
        <v>285</v>
      </c>
      <c r="AU288" s="6">
        <v>0.56910000000000005</v>
      </c>
      <c r="AV288" s="19">
        <v>-2.3159000000000001</v>
      </c>
      <c r="AW288" s="6">
        <v>0.54820000000000002</v>
      </c>
      <c r="AX288" s="6">
        <v>328</v>
      </c>
    </row>
    <row r="289" spans="1:50" x14ac:dyDescent="0.25">
      <c r="A289" s="31" t="s">
        <v>156</v>
      </c>
      <c r="B289" s="32">
        <v>2</v>
      </c>
      <c r="C289" s="32">
        <v>2</v>
      </c>
      <c r="D289" s="32">
        <v>4</v>
      </c>
      <c r="E289" s="32">
        <v>12</v>
      </c>
      <c r="F289" s="2">
        <v>56.9</v>
      </c>
      <c r="G289">
        <v>47.697729698092957</v>
      </c>
      <c r="Q289" s="17">
        <v>287</v>
      </c>
      <c r="R289" s="6">
        <v>2.3832399999999998</v>
      </c>
      <c r="S289" s="6">
        <v>0.77710000000000001</v>
      </c>
      <c r="T289" s="6">
        <v>2.2957999999999998</v>
      </c>
      <c r="U289" s="6">
        <v>328</v>
      </c>
      <c r="W289" s="17">
        <v>287</v>
      </c>
      <c r="X289" s="6">
        <v>4.5164099999999996</v>
      </c>
      <c r="Y289" s="6">
        <v>0.77710000000000001</v>
      </c>
      <c r="Z289" s="6">
        <v>2.2957999999999998</v>
      </c>
      <c r="AA289" s="6">
        <v>328</v>
      </c>
      <c r="AN289" s="17">
        <v>286</v>
      </c>
      <c r="AO289" s="6">
        <v>1.0702100000000001</v>
      </c>
      <c r="AP289" s="19">
        <v>-2.3090000000000002</v>
      </c>
      <c r="AQ289" s="6">
        <v>0.54400000000000004</v>
      </c>
      <c r="AR289" s="6">
        <v>328</v>
      </c>
      <c r="AT289" s="17">
        <v>286</v>
      </c>
      <c r="AU289" s="6">
        <v>0.56472999999999995</v>
      </c>
      <c r="AV289" s="19">
        <v>-2.3090000000000002</v>
      </c>
      <c r="AW289" s="6">
        <v>0.54400000000000004</v>
      </c>
      <c r="AX289" s="6">
        <v>328</v>
      </c>
    </row>
    <row r="290" spans="1:50" x14ac:dyDescent="0.25">
      <c r="A290" s="31" t="s">
        <v>156</v>
      </c>
      <c r="B290" s="32">
        <v>3</v>
      </c>
      <c r="C290" s="32">
        <v>1</v>
      </c>
      <c r="D290" s="32">
        <v>5</v>
      </c>
      <c r="E290" s="32">
        <v>12</v>
      </c>
      <c r="F290" s="2">
        <v>56.9</v>
      </c>
      <c r="G290">
        <v>39.9839733049618</v>
      </c>
      <c r="Q290" s="17">
        <v>288</v>
      </c>
      <c r="R290" s="6">
        <v>2.3938199999999998</v>
      </c>
      <c r="S290" s="19">
        <v>-7.8467000000000002</v>
      </c>
      <c r="T290" s="6">
        <v>2.306</v>
      </c>
      <c r="U290" s="6">
        <v>328</v>
      </c>
      <c r="W290" s="17">
        <v>288</v>
      </c>
      <c r="X290" s="6">
        <v>4.5364500000000003</v>
      </c>
      <c r="Y290" s="19">
        <v>-7.8467000000000002</v>
      </c>
      <c r="Z290" s="6">
        <v>2.306</v>
      </c>
      <c r="AA290" s="6">
        <v>328</v>
      </c>
      <c r="AN290" s="17">
        <v>287</v>
      </c>
      <c r="AO290" s="6">
        <v>1.07287</v>
      </c>
      <c r="AP290" s="19">
        <v>-1.7424999999999999</v>
      </c>
      <c r="AQ290" s="6">
        <v>0.5454</v>
      </c>
      <c r="AR290" s="6">
        <v>328</v>
      </c>
      <c r="AT290" s="17">
        <v>287</v>
      </c>
      <c r="AU290" s="6">
        <v>0.56613999999999998</v>
      </c>
      <c r="AV290" s="19">
        <v>-1.7424999999999999</v>
      </c>
      <c r="AW290" s="6">
        <v>0.5454</v>
      </c>
      <c r="AX290" s="6">
        <v>328</v>
      </c>
    </row>
    <row r="291" spans="1:50" x14ac:dyDescent="0.25">
      <c r="A291" s="31" t="s">
        <v>10</v>
      </c>
      <c r="B291" s="32">
        <v>1</v>
      </c>
      <c r="C291" s="32">
        <v>5</v>
      </c>
      <c r="D291" s="32">
        <v>2</v>
      </c>
      <c r="E291" s="32">
        <v>12</v>
      </c>
      <c r="F291" s="2">
        <v>59.6</v>
      </c>
      <c r="G291">
        <v>61.797564639607103</v>
      </c>
      <c r="Q291" s="17">
        <v>289</v>
      </c>
      <c r="R291" s="6">
        <v>2.3762500000000002</v>
      </c>
      <c r="S291" s="19">
        <v>-4.181</v>
      </c>
      <c r="T291" s="6">
        <v>2.2890999999999999</v>
      </c>
      <c r="U291" s="6">
        <v>328</v>
      </c>
      <c r="W291" s="17">
        <v>289</v>
      </c>
      <c r="X291" s="6">
        <v>4.5031600000000003</v>
      </c>
      <c r="Y291" s="19">
        <v>-4.181</v>
      </c>
      <c r="Z291" s="6">
        <v>2.2890999999999999</v>
      </c>
      <c r="AA291" s="6">
        <v>328</v>
      </c>
      <c r="AN291" s="17">
        <v>288</v>
      </c>
      <c r="AO291" s="6">
        <v>1.0797399999999999</v>
      </c>
      <c r="AP291" s="19">
        <v>-4.1319999999999997</v>
      </c>
      <c r="AQ291" s="6">
        <v>0.54890000000000005</v>
      </c>
      <c r="AR291" s="6">
        <v>328</v>
      </c>
      <c r="AT291" s="17">
        <v>288</v>
      </c>
      <c r="AU291" s="6">
        <v>0.56976000000000004</v>
      </c>
      <c r="AV291" s="19">
        <v>-4.1319999999999997</v>
      </c>
      <c r="AW291" s="6">
        <v>0.54890000000000005</v>
      </c>
      <c r="AX291" s="6">
        <v>328</v>
      </c>
    </row>
    <row r="292" spans="1:50" x14ac:dyDescent="0.25">
      <c r="A292" s="31" t="s">
        <v>10</v>
      </c>
      <c r="B292" s="32">
        <v>2</v>
      </c>
      <c r="C292" s="32">
        <v>13</v>
      </c>
      <c r="D292" s="32">
        <v>5</v>
      </c>
      <c r="E292" s="32">
        <v>12</v>
      </c>
      <c r="F292" s="2">
        <v>59.7</v>
      </c>
      <c r="G292">
        <v>56.333700829493075</v>
      </c>
      <c r="Q292" s="17">
        <v>290</v>
      </c>
      <c r="R292" s="6">
        <v>2.3833500000000001</v>
      </c>
      <c r="S292" s="19">
        <v>-2.4847999999999999</v>
      </c>
      <c r="T292" s="6">
        <v>2.2959000000000001</v>
      </c>
      <c r="U292" s="6">
        <v>328</v>
      </c>
      <c r="W292" s="17">
        <v>290</v>
      </c>
      <c r="X292" s="6">
        <v>4.5166199999999996</v>
      </c>
      <c r="Y292" s="19">
        <v>-2.4847999999999999</v>
      </c>
      <c r="Z292" s="6">
        <v>2.2959000000000001</v>
      </c>
      <c r="AA292" s="6">
        <v>328</v>
      </c>
      <c r="AN292" s="17">
        <v>289</v>
      </c>
      <c r="AO292" s="6">
        <v>1.07003</v>
      </c>
      <c r="AP292" s="19">
        <v>-2.0609000000000002</v>
      </c>
      <c r="AQ292" s="6">
        <v>0.54390000000000005</v>
      </c>
      <c r="AR292" s="6">
        <v>328</v>
      </c>
      <c r="AT292" s="17">
        <v>289</v>
      </c>
      <c r="AU292" s="6">
        <v>0.56464000000000003</v>
      </c>
      <c r="AV292" s="19">
        <v>-2.0609000000000002</v>
      </c>
      <c r="AW292" s="6">
        <v>0.54390000000000005</v>
      </c>
      <c r="AX292" s="6">
        <v>328</v>
      </c>
    </row>
    <row r="293" spans="1:50" x14ac:dyDescent="0.25">
      <c r="A293" s="31" t="s">
        <v>10</v>
      </c>
      <c r="B293" s="32">
        <v>3</v>
      </c>
      <c r="C293" s="32">
        <v>6</v>
      </c>
      <c r="D293" s="32">
        <v>10</v>
      </c>
      <c r="E293" s="32">
        <v>12</v>
      </c>
      <c r="F293" s="2">
        <v>57.9</v>
      </c>
      <c r="G293">
        <v>52.284936243566065</v>
      </c>
      <c r="Q293" s="17">
        <v>291</v>
      </c>
      <c r="R293" s="6">
        <v>2.3982999999999999</v>
      </c>
      <c r="S293" s="19">
        <v>-3.8786999999999998</v>
      </c>
      <c r="T293" s="6">
        <v>2.3102999999999998</v>
      </c>
      <c r="U293" s="6">
        <v>328</v>
      </c>
      <c r="W293" s="17">
        <v>291</v>
      </c>
      <c r="X293" s="6">
        <v>4.54495</v>
      </c>
      <c r="Y293" s="19">
        <v>-3.8786999999999998</v>
      </c>
      <c r="Z293" s="6">
        <v>2.3102999999999998</v>
      </c>
      <c r="AA293" s="6">
        <v>328</v>
      </c>
      <c r="AN293" s="17">
        <v>290</v>
      </c>
      <c r="AO293" s="6">
        <v>1.0748500000000001</v>
      </c>
      <c r="AP293" s="19">
        <v>-1.8474999999999999</v>
      </c>
      <c r="AQ293" s="6">
        <v>0.5464</v>
      </c>
      <c r="AR293" s="6">
        <v>328</v>
      </c>
      <c r="AT293" s="17">
        <v>290</v>
      </c>
      <c r="AU293" s="6">
        <v>0.56718000000000002</v>
      </c>
      <c r="AV293" s="19">
        <v>-1.8474999999999999</v>
      </c>
      <c r="AW293" s="6">
        <v>0.5464</v>
      </c>
      <c r="AX293" s="6">
        <v>328</v>
      </c>
    </row>
    <row r="294" spans="1:50" x14ac:dyDescent="0.25">
      <c r="A294" s="31" t="s">
        <v>11</v>
      </c>
      <c r="B294" s="32">
        <v>1</v>
      </c>
      <c r="C294" s="32">
        <v>14</v>
      </c>
      <c r="D294" s="32">
        <v>1</v>
      </c>
      <c r="E294" s="11">
        <v>12</v>
      </c>
      <c r="F294" s="2">
        <v>48.7</v>
      </c>
      <c r="G294">
        <v>13.182468905785784</v>
      </c>
      <c r="Q294" s="17">
        <v>292</v>
      </c>
      <c r="R294" s="6">
        <v>2.3927100000000001</v>
      </c>
      <c r="S294" s="19">
        <v>-2.8119999999999998</v>
      </c>
      <c r="T294" s="6">
        <v>2.3050000000000002</v>
      </c>
      <c r="U294" s="6">
        <v>328</v>
      </c>
      <c r="W294" s="17">
        <v>292</v>
      </c>
      <c r="X294" s="6">
        <v>4.5343499999999999</v>
      </c>
      <c r="Y294" s="19">
        <v>-2.8119999999999998</v>
      </c>
      <c r="Z294" s="6">
        <v>2.3050000000000002</v>
      </c>
      <c r="AA294" s="6">
        <v>328</v>
      </c>
      <c r="AN294" s="17">
        <v>291</v>
      </c>
      <c r="AO294" s="6">
        <v>1.08751</v>
      </c>
      <c r="AP294" s="19">
        <v>-2.1366999999999998</v>
      </c>
      <c r="AQ294" s="6">
        <v>0.55279999999999996</v>
      </c>
      <c r="AR294" s="6">
        <v>328</v>
      </c>
      <c r="AT294" s="17">
        <v>291</v>
      </c>
      <c r="AU294" s="6">
        <v>0.57386000000000004</v>
      </c>
      <c r="AV294" s="19">
        <v>-2.1366999999999998</v>
      </c>
      <c r="AW294" s="6">
        <v>0.55279999999999996</v>
      </c>
      <c r="AX294" s="6">
        <v>328</v>
      </c>
    </row>
    <row r="295" spans="1:50" x14ac:dyDescent="0.25">
      <c r="A295" s="31" t="s">
        <v>11</v>
      </c>
      <c r="B295" s="32">
        <v>2</v>
      </c>
      <c r="C295" s="32">
        <v>2</v>
      </c>
      <c r="D295" s="32">
        <v>4</v>
      </c>
      <c r="E295" s="11">
        <v>12</v>
      </c>
      <c r="F295" s="2" t="s">
        <v>12</v>
      </c>
      <c r="G295">
        <v>10.207581388434663</v>
      </c>
      <c r="Q295" s="17">
        <v>293</v>
      </c>
      <c r="R295" s="6">
        <v>2.38591</v>
      </c>
      <c r="S295" s="19">
        <v>-4.3806000000000003</v>
      </c>
      <c r="T295" s="6">
        <v>2.2984</v>
      </c>
      <c r="U295" s="6">
        <v>328</v>
      </c>
      <c r="W295" s="17">
        <v>293</v>
      </c>
      <c r="X295" s="6">
        <v>4.5214600000000003</v>
      </c>
      <c r="Y295" s="19">
        <v>-4.3806000000000003</v>
      </c>
      <c r="Z295" s="6">
        <v>2.2984</v>
      </c>
      <c r="AA295" s="6">
        <v>328</v>
      </c>
      <c r="AN295" s="17">
        <v>292</v>
      </c>
      <c r="AO295" s="6">
        <v>1.07744</v>
      </c>
      <c r="AP295" s="19">
        <v>-3.2172000000000001</v>
      </c>
      <c r="AQ295" s="6">
        <v>0.54769999999999996</v>
      </c>
      <c r="AR295" s="6">
        <v>328</v>
      </c>
      <c r="AT295" s="17">
        <v>292</v>
      </c>
      <c r="AU295" s="6">
        <v>0.56855</v>
      </c>
      <c r="AV295" s="19">
        <v>-3.2172000000000001</v>
      </c>
      <c r="AW295" s="6">
        <v>0.54769999999999996</v>
      </c>
      <c r="AX295" s="6">
        <v>328</v>
      </c>
    </row>
    <row r="296" spans="1:50" x14ac:dyDescent="0.25">
      <c r="A296" s="31" t="s">
        <v>11</v>
      </c>
      <c r="B296" s="32">
        <v>3</v>
      </c>
      <c r="C296" s="32">
        <v>12</v>
      </c>
      <c r="D296" s="32">
        <v>9</v>
      </c>
      <c r="E296" s="11">
        <v>12</v>
      </c>
      <c r="F296" s="2" t="s">
        <v>12</v>
      </c>
      <c r="G296">
        <v>16.257019745253086</v>
      </c>
      <c r="Q296" s="17">
        <v>294</v>
      </c>
      <c r="R296" s="6">
        <v>2.3864200000000002</v>
      </c>
      <c r="S296" s="19">
        <v>-3.8774999999999999</v>
      </c>
      <c r="T296" s="6">
        <v>2.2989000000000002</v>
      </c>
      <c r="U296" s="6">
        <v>328</v>
      </c>
      <c r="W296" s="17">
        <v>294</v>
      </c>
      <c r="X296" s="6">
        <v>4.5224299999999999</v>
      </c>
      <c r="Y296" s="19">
        <v>-3.8774999999999999</v>
      </c>
      <c r="Z296" s="6">
        <v>2.2989000000000002</v>
      </c>
      <c r="AA296" s="6">
        <v>328</v>
      </c>
      <c r="AN296" s="17">
        <v>293</v>
      </c>
      <c r="AO296" s="6">
        <v>1.0734699999999999</v>
      </c>
      <c r="AP296" s="19">
        <v>-2.8776999999999999</v>
      </c>
      <c r="AQ296" s="6">
        <v>0.54569999999999996</v>
      </c>
      <c r="AR296" s="6">
        <v>328</v>
      </c>
      <c r="AT296" s="17">
        <v>293</v>
      </c>
      <c r="AU296" s="6">
        <v>0.56645000000000001</v>
      </c>
      <c r="AV296" s="19">
        <v>-2.8776999999999999</v>
      </c>
      <c r="AW296" s="6">
        <v>0.54569999999999996</v>
      </c>
      <c r="AX296" s="6">
        <v>328</v>
      </c>
    </row>
    <row r="297" spans="1:50" x14ac:dyDescent="0.25">
      <c r="A297" t="s">
        <v>160</v>
      </c>
      <c r="B297">
        <v>1</v>
      </c>
      <c r="C297" s="36">
        <v>25</v>
      </c>
      <c r="D297" s="36">
        <v>1</v>
      </c>
      <c r="E297" s="32">
        <v>12</v>
      </c>
      <c r="F297" s="13">
        <v>60.4</v>
      </c>
      <c r="G297">
        <v>82.852198795180726</v>
      </c>
      <c r="Q297" s="17">
        <v>295</v>
      </c>
      <c r="R297" s="6">
        <v>2.39872</v>
      </c>
      <c r="S297" s="6">
        <v>3.4196</v>
      </c>
      <c r="T297" s="6">
        <v>2.3107000000000002</v>
      </c>
      <c r="U297" s="6">
        <v>328</v>
      </c>
      <c r="W297" s="17">
        <v>295</v>
      </c>
      <c r="X297" s="6">
        <v>4.5457400000000003</v>
      </c>
      <c r="Y297" s="6">
        <v>3.4196</v>
      </c>
      <c r="Z297" s="6">
        <v>2.3107000000000002</v>
      </c>
      <c r="AA297" s="6">
        <v>328</v>
      </c>
      <c r="AN297" s="17">
        <v>294</v>
      </c>
      <c r="AO297" s="6">
        <v>1.07436</v>
      </c>
      <c r="AP297" s="19">
        <v>-3.4045000000000001</v>
      </c>
      <c r="AQ297" s="6">
        <v>0.54610000000000003</v>
      </c>
      <c r="AR297" s="6">
        <v>328</v>
      </c>
      <c r="AT297" s="17">
        <v>294</v>
      </c>
      <c r="AU297" s="6">
        <v>0.56693000000000005</v>
      </c>
      <c r="AV297" s="19">
        <v>-3.4045000000000001</v>
      </c>
      <c r="AW297" s="6">
        <v>0.54610000000000003</v>
      </c>
      <c r="AX297" s="6">
        <v>328</v>
      </c>
    </row>
    <row r="298" spans="1:50" x14ac:dyDescent="0.25">
      <c r="A298" t="s">
        <v>160</v>
      </c>
      <c r="B298">
        <v>2</v>
      </c>
      <c r="C298" s="36">
        <v>21</v>
      </c>
      <c r="D298" s="36">
        <v>3</v>
      </c>
      <c r="E298" s="32">
        <v>12</v>
      </c>
      <c r="F298" s="13">
        <v>59.6</v>
      </c>
      <c r="G298">
        <v>82.933219355751532</v>
      </c>
      <c r="Q298" s="17">
        <v>296</v>
      </c>
      <c r="R298" s="6">
        <v>2.3789199999999999</v>
      </c>
      <c r="S298" s="19">
        <v>-2.0731999999999999</v>
      </c>
      <c r="T298" s="6">
        <v>2.2917000000000001</v>
      </c>
      <c r="U298" s="6">
        <v>328</v>
      </c>
      <c r="W298" s="17">
        <v>296</v>
      </c>
      <c r="X298" s="6">
        <v>4.5082199999999997</v>
      </c>
      <c r="Y298" s="19">
        <v>-2.0731999999999999</v>
      </c>
      <c r="Z298" s="6">
        <v>2.2917000000000001</v>
      </c>
      <c r="AA298" s="6">
        <v>328</v>
      </c>
      <c r="AN298" s="17">
        <v>295</v>
      </c>
      <c r="AO298" s="6">
        <v>1.08728</v>
      </c>
      <c r="AP298" s="19">
        <v>-1.6148</v>
      </c>
      <c r="AQ298" s="6">
        <v>0.55269999999999997</v>
      </c>
      <c r="AR298" s="6">
        <v>328</v>
      </c>
      <c r="AT298" s="17">
        <v>295</v>
      </c>
      <c r="AU298" s="6">
        <v>0.57374000000000003</v>
      </c>
      <c r="AV298" s="19">
        <v>-1.6148</v>
      </c>
      <c r="AW298" s="6">
        <v>0.55269999999999997</v>
      </c>
      <c r="AX298" s="6">
        <v>328</v>
      </c>
    </row>
    <row r="299" spans="1:50" x14ac:dyDescent="0.25">
      <c r="A299" t="s">
        <v>160</v>
      </c>
      <c r="B299">
        <v>3</v>
      </c>
      <c r="C299" s="36">
        <v>1</v>
      </c>
      <c r="D299" s="36">
        <v>5</v>
      </c>
      <c r="E299" s="32">
        <v>12</v>
      </c>
      <c r="F299" s="13">
        <v>60.1</v>
      </c>
      <c r="G299">
        <v>82.756397137053852</v>
      </c>
      <c r="Q299" s="17">
        <v>297</v>
      </c>
      <c r="R299" s="6">
        <v>2.3915899999999999</v>
      </c>
      <c r="S299" s="6">
        <v>7.6452999999999998</v>
      </c>
      <c r="T299" s="6">
        <v>2.3039000000000001</v>
      </c>
      <c r="U299" s="6">
        <v>328</v>
      </c>
      <c r="W299" s="17">
        <v>297</v>
      </c>
      <c r="X299" s="6">
        <v>4.5322399999999998</v>
      </c>
      <c r="Y299" s="6">
        <v>7.6452999999999998</v>
      </c>
      <c r="Z299" s="6">
        <v>2.3039000000000001</v>
      </c>
      <c r="AA299" s="6">
        <v>328</v>
      </c>
      <c r="AN299" s="17">
        <v>296</v>
      </c>
      <c r="AO299" s="6">
        <v>1.0706</v>
      </c>
      <c r="AP299" s="19">
        <v>-3.3332999999999999</v>
      </c>
      <c r="AQ299" s="6">
        <v>0.54420000000000002</v>
      </c>
      <c r="AR299" s="6">
        <v>328</v>
      </c>
      <c r="AT299" s="17">
        <v>296</v>
      </c>
      <c r="AU299" s="6">
        <v>0.56494</v>
      </c>
      <c r="AV299" s="19">
        <v>-3.3332999999999999</v>
      </c>
      <c r="AW299" s="6">
        <v>0.54420000000000002</v>
      </c>
      <c r="AX299" s="6">
        <v>328</v>
      </c>
    </row>
    <row r="300" spans="1:50" x14ac:dyDescent="0.25">
      <c r="A300" s="31" t="s">
        <v>116</v>
      </c>
      <c r="B300" s="32">
        <v>1</v>
      </c>
      <c r="C300" s="32">
        <v>5</v>
      </c>
      <c r="D300" s="32">
        <v>4</v>
      </c>
      <c r="E300" s="32">
        <v>13</v>
      </c>
      <c r="F300" s="12">
        <v>56.1</v>
      </c>
      <c r="G300">
        <v>61.831416523235788</v>
      </c>
      <c r="Q300" s="17">
        <v>298</v>
      </c>
      <c r="R300" s="6">
        <v>2.3841800000000002</v>
      </c>
      <c r="S300" s="6">
        <v>2.8685999999999998</v>
      </c>
      <c r="T300" s="6">
        <v>2.2967</v>
      </c>
      <c r="U300" s="6">
        <v>328</v>
      </c>
      <c r="W300" s="17">
        <v>298</v>
      </c>
      <c r="X300" s="6">
        <v>4.5181800000000001</v>
      </c>
      <c r="Y300" s="6">
        <v>2.8685999999999998</v>
      </c>
      <c r="Z300" s="6">
        <v>2.2967</v>
      </c>
      <c r="AA300" s="6">
        <v>328</v>
      </c>
      <c r="AN300" s="17">
        <v>297</v>
      </c>
      <c r="AO300" s="6">
        <v>1.0851</v>
      </c>
      <c r="AP300" s="19">
        <v>-0.82230000000000003</v>
      </c>
      <c r="AQ300" s="6">
        <v>0.55159999999999998</v>
      </c>
      <c r="AR300" s="6">
        <v>328</v>
      </c>
      <c r="AT300" s="17">
        <v>297</v>
      </c>
      <c r="AU300" s="6">
        <v>0.57259000000000004</v>
      </c>
      <c r="AV300" s="19">
        <v>-0.82230000000000003</v>
      </c>
      <c r="AW300" s="6">
        <v>0.55159999999999998</v>
      </c>
      <c r="AX300" s="6">
        <v>328</v>
      </c>
    </row>
    <row r="301" spans="1:50" x14ac:dyDescent="0.25">
      <c r="A301" s="31" t="s">
        <v>116</v>
      </c>
      <c r="B301" s="32">
        <v>2</v>
      </c>
      <c r="C301" s="32">
        <v>2</v>
      </c>
      <c r="D301" s="32">
        <v>5</v>
      </c>
      <c r="E301" s="32">
        <v>13</v>
      </c>
      <c r="F301" s="12">
        <v>56.4</v>
      </c>
      <c r="G301">
        <v>57.612963855421675</v>
      </c>
      <c r="Q301" s="17">
        <v>299</v>
      </c>
      <c r="R301" s="6">
        <v>2.39784</v>
      </c>
      <c r="S301" s="19">
        <v>-3.11</v>
      </c>
      <c r="T301" s="6">
        <v>2.3098999999999998</v>
      </c>
      <c r="U301" s="6">
        <v>328</v>
      </c>
      <c r="W301" s="17">
        <v>299</v>
      </c>
      <c r="X301" s="6">
        <v>4.5440699999999996</v>
      </c>
      <c r="Y301" s="19">
        <v>-3.11</v>
      </c>
      <c r="Z301" s="6">
        <v>2.3098999999999998</v>
      </c>
      <c r="AA301" s="6">
        <v>328</v>
      </c>
      <c r="AN301" s="17">
        <v>298</v>
      </c>
      <c r="AO301" s="6">
        <v>1.0746</v>
      </c>
      <c r="AP301" s="19">
        <v>-1.6939</v>
      </c>
      <c r="AQ301" s="6">
        <v>0.54630000000000001</v>
      </c>
      <c r="AR301" s="6">
        <v>328</v>
      </c>
      <c r="AT301" s="17">
        <v>298</v>
      </c>
      <c r="AU301" s="6">
        <v>0.56705000000000005</v>
      </c>
      <c r="AV301" s="19">
        <v>-1.6939</v>
      </c>
      <c r="AW301" s="6">
        <v>0.54630000000000001</v>
      </c>
      <c r="AX301" s="6">
        <v>328</v>
      </c>
    </row>
    <row r="302" spans="1:50" x14ac:dyDescent="0.25">
      <c r="A302" s="31" t="s">
        <v>116</v>
      </c>
      <c r="B302" s="32">
        <v>3</v>
      </c>
      <c r="C302" s="32">
        <v>8</v>
      </c>
      <c r="D302" s="32">
        <v>12</v>
      </c>
      <c r="E302" s="32">
        <v>13</v>
      </c>
      <c r="F302" s="2">
        <v>57.2</v>
      </c>
      <c r="G302">
        <v>71.492631864406761</v>
      </c>
      <c r="Q302" s="17">
        <v>300</v>
      </c>
      <c r="R302" s="6">
        <v>2.38862</v>
      </c>
      <c r="S302" s="19">
        <v>-1.1083000000000001</v>
      </c>
      <c r="T302" s="6">
        <v>2.3010000000000002</v>
      </c>
      <c r="U302" s="6">
        <v>328</v>
      </c>
      <c r="W302" s="17">
        <v>300</v>
      </c>
      <c r="X302" s="6">
        <v>4.5266099999999998</v>
      </c>
      <c r="Y302" s="19">
        <v>-1.1083000000000001</v>
      </c>
      <c r="Z302" s="6">
        <v>2.3010000000000002</v>
      </c>
      <c r="AA302" s="6">
        <v>328</v>
      </c>
      <c r="AN302" s="17">
        <v>299</v>
      </c>
      <c r="AO302" s="6">
        <v>1.0835600000000001</v>
      </c>
      <c r="AP302" s="19">
        <v>-2.1417999999999999</v>
      </c>
      <c r="AQ302" s="6">
        <v>0.55079999999999996</v>
      </c>
      <c r="AR302" s="6">
        <v>328</v>
      </c>
      <c r="AT302" s="17">
        <v>299</v>
      </c>
      <c r="AU302" s="6">
        <v>0.57177999999999995</v>
      </c>
      <c r="AV302" s="19">
        <v>-2.1417999999999999</v>
      </c>
      <c r="AW302" s="6">
        <v>0.55079999999999996</v>
      </c>
      <c r="AX302" s="6">
        <v>328</v>
      </c>
    </row>
    <row r="303" spans="1:50" x14ac:dyDescent="0.25">
      <c r="A303" s="34" t="s">
        <v>97</v>
      </c>
      <c r="B303" s="35">
        <v>1</v>
      </c>
      <c r="C303" s="35">
        <v>18</v>
      </c>
      <c r="D303" s="35">
        <v>1</v>
      </c>
      <c r="E303" s="35">
        <v>13</v>
      </c>
      <c r="F303" s="2">
        <v>60.4</v>
      </c>
      <c r="G303">
        <v>70.031185714285698</v>
      </c>
      <c r="Q303" s="17">
        <v>301</v>
      </c>
      <c r="R303" s="6">
        <v>2.3863599999999998</v>
      </c>
      <c r="S303" s="19">
        <v>-10.7432</v>
      </c>
      <c r="T303" s="6">
        <v>2.2988</v>
      </c>
      <c r="U303" s="6">
        <v>328</v>
      </c>
      <c r="W303" s="17">
        <v>301</v>
      </c>
      <c r="X303" s="6">
        <v>4.5223199999999997</v>
      </c>
      <c r="Y303" s="19">
        <v>-10.7432</v>
      </c>
      <c r="Z303" s="6">
        <v>2.2988</v>
      </c>
      <c r="AA303" s="6">
        <v>328</v>
      </c>
      <c r="AN303" s="17">
        <v>300</v>
      </c>
      <c r="AO303" s="6">
        <v>1.0813299999999999</v>
      </c>
      <c r="AP303" s="19">
        <v>-2.1438999999999999</v>
      </c>
      <c r="AQ303" s="6">
        <v>0.54969999999999997</v>
      </c>
      <c r="AR303" s="6">
        <v>328</v>
      </c>
      <c r="AT303" s="17">
        <v>300</v>
      </c>
      <c r="AU303" s="6">
        <v>0.5706</v>
      </c>
      <c r="AV303" s="19">
        <v>-2.1438999999999999</v>
      </c>
      <c r="AW303" s="6">
        <v>0.54969999999999997</v>
      </c>
      <c r="AX303" s="6">
        <v>328</v>
      </c>
    </row>
    <row r="304" spans="1:50" x14ac:dyDescent="0.25">
      <c r="A304" s="34" t="s">
        <v>97</v>
      </c>
      <c r="B304" s="35">
        <v>2</v>
      </c>
      <c r="C304" s="35">
        <v>8</v>
      </c>
      <c r="D304" s="35">
        <v>4</v>
      </c>
      <c r="E304" s="35">
        <v>13</v>
      </c>
      <c r="F304" s="2">
        <v>61.8</v>
      </c>
      <c r="G304">
        <v>72.336727708533076</v>
      </c>
      <c r="Q304" s="17">
        <v>302</v>
      </c>
      <c r="R304" s="6">
        <v>2.3760400000000002</v>
      </c>
      <c r="S304" s="19">
        <v>-3.3740999999999999</v>
      </c>
      <c r="T304" s="6">
        <v>2.2888999999999999</v>
      </c>
      <c r="U304" s="6">
        <v>328</v>
      </c>
      <c r="W304" s="17">
        <v>302</v>
      </c>
      <c r="X304" s="6">
        <v>4.5027699999999999</v>
      </c>
      <c r="Y304" s="19">
        <v>-3.3740999999999999</v>
      </c>
      <c r="Z304" s="6">
        <v>2.2888999999999999</v>
      </c>
      <c r="AA304" s="6">
        <v>328</v>
      </c>
      <c r="AN304" s="17">
        <v>301</v>
      </c>
      <c r="AO304" s="6">
        <v>1.0697399999999999</v>
      </c>
      <c r="AP304" s="19">
        <v>-4.5834000000000001</v>
      </c>
      <c r="AQ304" s="6">
        <v>0.54379999999999995</v>
      </c>
      <c r="AR304" s="6">
        <v>328</v>
      </c>
      <c r="AT304" s="17">
        <v>301</v>
      </c>
      <c r="AU304" s="6">
        <v>0.56449000000000005</v>
      </c>
      <c r="AV304" s="19">
        <v>-4.5834000000000001</v>
      </c>
      <c r="AW304" s="6">
        <v>0.54379999999999995</v>
      </c>
      <c r="AX304" s="6">
        <v>328</v>
      </c>
    </row>
    <row r="305" spans="1:50" x14ac:dyDescent="0.25">
      <c r="A305" s="34" t="s">
        <v>97</v>
      </c>
      <c r="B305" s="35">
        <v>3</v>
      </c>
      <c r="C305" s="35">
        <v>11</v>
      </c>
      <c r="D305" s="35">
        <v>5</v>
      </c>
      <c r="E305" s="35">
        <v>13</v>
      </c>
      <c r="F305" s="2">
        <v>60.1</v>
      </c>
      <c r="G305">
        <v>64.588278931750736</v>
      </c>
      <c r="Q305" s="17">
        <v>303</v>
      </c>
      <c r="R305" s="6">
        <v>2.37263</v>
      </c>
      <c r="S305" s="19">
        <v>-8.2827999999999999</v>
      </c>
      <c r="T305" s="6">
        <v>2.2856000000000001</v>
      </c>
      <c r="U305" s="6">
        <v>328</v>
      </c>
      <c r="W305" s="17">
        <v>303</v>
      </c>
      <c r="X305" s="6">
        <v>4.4962999999999997</v>
      </c>
      <c r="Y305" s="19">
        <v>-8.2827999999999999</v>
      </c>
      <c r="Z305" s="6">
        <v>2.2856000000000001</v>
      </c>
      <c r="AA305" s="6">
        <v>328</v>
      </c>
      <c r="AN305" s="17">
        <v>302</v>
      </c>
      <c r="AO305" s="6">
        <v>1.07576</v>
      </c>
      <c r="AP305" s="19">
        <v>-2.5133999999999999</v>
      </c>
      <c r="AQ305" s="6">
        <v>0.54679999999999995</v>
      </c>
      <c r="AR305" s="6">
        <v>328</v>
      </c>
      <c r="AT305" s="17">
        <v>302</v>
      </c>
      <c r="AU305" s="6">
        <v>0.56766000000000005</v>
      </c>
      <c r="AV305" s="19">
        <v>-2.5133999999999999</v>
      </c>
      <c r="AW305" s="6">
        <v>0.54679999999999995</v>
      </c>
      <c r="AX305" s="6">
        <v>328</v>
      </c>
    </row>
    <row r="306" spans="1:50" x14ac:dyDescent="0.25">
      <c r="A306" s="31" t="s">
        <v>132</v>
      </c>
      <c r="B306" s="32">
        <v>1</v>
      </c>
      <c r="C306" s="32">
        <v>6</v>
      </c>
      <c r="D306" s="32">
        <v>2</v>
      </c>
      <c r="E306" s="32">
        <v>13</v>
      </c>
      <c r="F306" s="2">
        <v>62.5</v>
      </c>
      <c r="G306">
        <v>68.634144930331232</v>
      </c>
      <c r="Q306" s="17">
        <v>304</v>
      </c>
      <c r="R306" s="6">
        <v>2.37405</v>
      </c>
      <c r="S306" s="19">
        <v>-12.5321</v>
      </c>
      <c r="T306" s="6">
        <v>2.2869999999999999</v>
      </c>
      <c r="U306" s="6">
        <v>328</v>
      </c>
      <c r="W306" s="17">
        <v>304</v>
      </c>
      <c r="X306" s="6">
        <v>4.49899</v>
      </c>
      <c r="Y306" s="19">
        <v>-12.5321</v>
      </c>
      <c r="Z306" s="6">
        <v>2.2869999999999999</v>
      </c>
      <c r="AA306" s="6">
        <v>328</v>
      </c>
      <c r="AN306" s="17">
        <v>303</v>
      </c>
      <c r="AO306" s="6">
        <v>1.06206</v>
      </c>
      <c r="AP306" s="19">
        <v>-3.8327</v>
      </c>
      <c r="AQ306" s="6">
        <v>0.53990000000000005</v>
      </c>
      <c r="AR306" s="6">
        <v>328</v>
      </c>
      <c r="AT306" s="17">
        <v>303</v>
      </c>
      <c r="AU306" s="6">
        <v>0.56042999999999998</v>
      </c>
      <c r="AV306" s="19">
        <v>-3.8327</v>
      </c>
      <c r="AW306" s="6">
        <v>0.53990000000000005</v>
      </c>
      <c r="AX306" s="6">
        <v>328</v>
      </c>
    </row>
    <row r="307" spans="1:50" x14ac:dyDescent="0.25">
      <c r="A307" s="31" t="s">
        <v>132</v>
      </c>
      <c r="B307" s="32">
        <v>2</v>
      </c>
      <c r="C307" s="32">
        <v>17</v>
      </c>
      <c r="D307" s="32">
        <v>4</v>
      </c>
      <c r="E307" s="32">
        <v>13</v>
      </c>
      <c r="F307" s="2">
        <v>62.2</v>
      </c>
      <c r="G307">
        <v>63.881111002873702</v>
      </c>
      <c r="Q307" s="17">
        <v>305</v>
      </c>
      <c r="R307" s="6">
        <v>2.3769100000000001</v>
      </c>
      <c r="S307" s="19">
        <v>-10.298</v>
      </c>
      <c r="T307" s="6">
        <v>2.2896999999999998</v>
      </c>
      <c r="U307" s="6">
        <v>328</v>
      </c>
      <c r="W307" s="17">
        <v>305</v>
      </c>
      <c r="X307" s="6">
        <v>4.5044000000000004</v>
      </c>
      <c r="Y307" s="19">
        <v>-10.298</v>
      </c>
      <c r="Z307" s="6">
        <v>2.2896999999999998</v>
      </c>
      <c r="AA307" s="6">
        <v>328</v>
      </c>
      <c r="AN307" s="17">
        <v>304</v>
      </c>
      <c r="AO307" s="6">
        <v>1.06873</v>
      </c>
      <c r="AP307" s="19">
        <v>-4.3346999999999998</v>
      </c>
      <c r="AQ307" s="6">
        <v>0.54330000000000001</v>
      </c>
      <c r="AR307" s="6">
        <v>328</v>
      </c>
      <c r="AT307" s="17">
        <v>304</v>
      </c>
      <c r="AU307" s="6">
        <v>0.56394999999999995</v>
      </c>
      <c r="AV307" s="19">
        <v>-4.3346999999999998</v>
      </c>
      <c r="AW307" s="6">
        <v>0.54330000000000001</v>
      </c>
      <c r="AX307" s="6">
        <v>328</v>
      </c>
    </row>
    <row r="308" spans="1:50" x14ac:dyDescent="0.25">
      <c r="A308" s="31" t="s">
        <v>132</v>
      </c>
      <c r="B308" s="32">
        <v>3</v>
      </c>
      <c r="C308" s="32">
        <v>8</v>
      </c>
      <c r="D308" s="32">
        <v>5</v>
      </c>
      <c r="E308" s="32">
        <v>13</v>
      </c>
      <c r="F308" s="2">
        <v>62.9</v>
      </c>
      <c r="G308">
        <v>66.590387182910547</v>
      </c>
      <c r="Q308" s="17">
        <v>306</v>
      </c>
      <c r="R308" s="6">
        <v>2.3882599999999998</v>
      </c>
      <c r="S308" s="19">
        <v>-10.267200000000001</v>
      </c>
      <c r="T308" s="6">
        <v>2.3007</v>
      </c>
      <c r="U308" s="6">
        <v>328</v>
      </c>
      <c r="W308" s="17">
        <v>306</v>
      </c>
      <c r="X308" s="6">
        <v>4.5259200000000002</v>
      </c>
      <c r="Y308" s="19">
        <v>-10.267200000000001</v>
      </c>
      <c r="Z308" s="6">
        <v>2.3007</v>
      </c>
      <c r="AA308" s="6">
        <v>328</v>
      </c>
      <c r="AN308" s="17">
        <v>305</v>
      </c>
      <c r="AO308" s="6">
        <v>1.0646800000000001</v>
      </c>
      <c r="AP308" s="19">
        <v>-2.1907999999999999</v>
      </c>
      <c r="AQ308" s="6">
        <v>0.54120000000000001</v>
      </c>
      <c r="AR308" s="6">
        <v>328</v>
      </c>
      <c r="AT308" s="17">
        <v>305</v>
      </c>
      <c r="AU308" s="6">
        <v>0.56181999999999999</v>
      </c>
      <c r="AV308" s="19">
        <v>-2.1907999999999999</v>
      </c>
      <c r="AW308" s="6">
        <v>0.54120000000000001</v>
      </c>
      <c r="AX308" s="6">
        <v>328</v>
      </c>
    </row>
    <row r="309" spans="1:50" x14ac:dyDescent="0.25">
      <c r="A309" s="31" t="s">
        <v>13</v>
      </c>
      <c r="B309" s="32">
        <v>1</v>
      </c>
      <c r="C309" s="36">
        <v>17</v>
      </c>
      <c r="D309" s="36">
        <v>1</v>
      </c>
      <c r="E309" s="32">
        <v>13</v>
      </c>
      <c r="F309" s="12">
        <v>57.2</v>
      </c>
      <c r="G309">
        <v>65.387520000000009</v>
      </c>
      <c r="Q309" s="17">
        <v>307</v>
      </c>
      <c r="R309" s="6">
        <v>2.3828999999999998</v>
      </c>
      <c r="S309" s="19">
        <v>-8.8953000000000007</v>
      </c>
      <c r="T309" s="6">
        <v>2.2955000000000001</v>
      </c>
      <c r="U309" s="6">
        <v>328</v>
      </c>
      <c r="W309" s="17">
        <v>307</v>
      </c>
      <c r="X309" s="6">
        <v>4.5157600000000002</v>
      </c>
      <c r="Y309" s="19">
        <v>-8.8953000000000007</v>
      </c>
      <c r="Z309" s="6">
        <v>2.2955000000000001</v>
      </c>
      <c r="AA309" s="6">
        <v>328</v>
      </c>
      <c r="AN309" s="17">
        <v>306</v>
      </c>
      <c r="AO309" s="6">
        <v>1.0717099999999999</v>
      </c>
      <c r="AP309" s="19">
        <v>-4.1542000000000003</v>
      </c>
      <c r="AQ309" s="6">
        <v>0.54479999999999995</v>
      </c>
      <c r="AR309" s="6">
        <v>328</v>
      </c>
      <c r="AT309" s="17">
        <v>306</v>
      </c>
      <c r="AU309" s="6">
        <v>0.56552999999999998</v>
      </c>
      <c r="AV309" s="19">
        <v>-4.1542000000000003</v>
      </c>
      <c r="AW309" s="6">
        <v>0.54479999999999995</v>
      </c>
      <c r="AX309" s="6">
        <v>328</v>
      </c>
    </row>
    <row r="310" spans="1:50" x14ac:dyDescent="0.25">
      <c r="A310" s="31" t="s">
        <v>13</v>
      </c>
      <c r="B310" s="32">
        <v>2</v>
      </c>
      <c r="C310" s="36">
        <v>2</v>
      </c>
      <c r="D310" s="36">
        <v>3</v>
      </c>
      <c r="E310" s="32">
        <v>13</v>
      </c>
      <c r="F310" s="12">
        <v>57.6</v>
      </c>
      <c r="G310">
        <v>78.011559999999989</v>
      </c>
      <c r="Q310" s="17">
        <v>308</v>
      </c>
      <c r="R310" s="6">
        <v>2.38375</v>
      </c>
      <c r="S310" s="19">
        <v>-3.5325000000000002</v>
      </c>
      <c r="T310" s="6">
        <v>2.2963</v>
      </c>
      <c r="U310" s="6">
        <v>328</v>
      </c>
      <c r="W310" s="17">
        <v>308</v>
      </c>
      <c r="X310" s="6">
        <v>4.51736</v>
      </c>
      <c r="Y310" s="19">
        <v>-3.5325000000000002</v>
      </c>
      <c r="Z310" s="6">
        <v>2.2963</v>
      </c>
      <c r="AA310" s="6">
        <v>328</v>
      </c>
      <c r="AN310" s="17">
        <v>307</v>
      </c>
      <c r="AO310" s="6">
        <v>1.0667899999999999</v>
      </c>
      <c r="AP310" s="19">
        <v>-2.4382999999999999</v>
      </c>
      <c r="AQ310" s="6">
        <v>0.5423</v>
      </c>
      <c r="AR310" s="6">
        <v>328</v>
      </c>
      <c r="AT310" s="17">
        <v>307</v>
      </c>
      <c r="AU310" s="6">
        <v>0.56293000000000004</v>
      </c>
      <c r="AV310" s="19">
        <v>-2.4382999999999999</v>
      </c>
      <c r="AW310" s="6">
        <v>0.5423</v>
      </c>
      <c r="AX310" s="6">
        <v>328</v>
      </c>
    </row>
    <row r="311" spans="1:50" x14ac:dyDescent="0.25">
      <c r="A311" s="31" t="s">
        <v>13</v>
      </c>
      <c r="B311" s="32">
        <v>3</v>
      </c>
      <c r="C311" s="36">
        <v>12</v>
      </c>
      <c r="D311" s="36">
        <v>6</v>
      </c>
      <c r="E311" s="32">
        <v>13</v>
      </c>
      <c r="F311" s="12">
        <v>57.2</v>
      </c>
      <c r="G311">
        <v>68.047979999999981</v>
      </c>
      <c r="Q311" s="17">
        <v>309</v>
      </c>
      <c r="R311" s="6">
        <v>2.3816899999999999</v>
      </c>
      <c r="S311" s="19">
        <v>-11.5243</v>
      </c>
      <c r="T311" s="6">
        <v>2.2942999999999998</v>
      </c>
      <c r="U311" s="6">
        <v>328</v>
      </c>
      <c r="W311" s="17">
        <v>309</v>
      </c>
      <c r="X311" s="6">
        <v>4.5134699999999999</v>
      </c>
      <c r="Y311" s="19">
        <v>-11.5243</v>
      </c>
      <c r="Z311" s="6">
        <v>2.2942999999999998</v>
      </c>
      <c r="AA311" s="6">
        <v>328</v>
      </c>
      <c r="AN311" s="17">
        <v>308</v>
      </c>
      <c r="AO311" s="6">
        <v>1.07447</v>
      </c>
      <c r="AP311" s="19">
        <v>-2.0415000000000001</v>
      </c>
      <c r="AQ311" s="6">
        <v>0.54620000000000002</v>
      </c>
      <c r="AR311" s="6">
        <v>328</v>
      </c>
      <c r="AT311" s="17">
        <v>308</v>
      </c>
      <c r="AU311" s="6">
        <v>0.56698000000000004</v>
      </c>
      <c r="AV311" s="19">
        <v>-2.0415000000000001</v>
      </c>
      <c r="AW311" s="6">
        <v>0.54620000000000002</v>
      </c>
      <c r="AX311" s="6">
        <v>328</v>
      </c>
    </row>
    <row r="312" spans="1:50" x14ac:dyDescent="0.25">
      <c r="A312" t="s">
        <v>7</v>
      </c>
      <c r="B312" s="11">
        <v>1</v>
      </c>
      <c r="C312" s="11">
        <v>1</v>
      </c>
      <c r="D312" s="11">
        <v>3</v>
      </c>
      <c r="E312" s="11">
        <v>13</v>
      </c>
      <c r="F312" s="12">
        <v>55.9</v>
      </c>
      <c r="G312">
        <v>50.830733488217724</v>
      </c>
      <c r="Q312" s="17">
        <v>310</v>
      </c>
      <c r="R312" s="6">
        <v>2.3654799999999998</v>
      </c>
      <c r="S312" s="19">
        <v>-10.0802</v>
      </c>
      <c r="T312" s="6">
        <v>2.2787000000000002</v>
      </c>
      <c r="U312" s="6">
        <v>328</v>
      </c>
      <c r="W312" s="17">
        <v>310</v>
      </c>
      <c r="X312" s="6">
        <v>4.4827500000000002</v>
      </c>
      <c r="Y312" s="19">
        <v>-10.0802</v>
      </c>
      <c r="Z312" s="6">
        <v>2.2787000000000002</v>
      </c>
      <c r="AA312" s="6">
        <v>328</v>
      </c>
      <c r="AN312" s="17">
        <v>309</v>
      </c>
      <c r="AO312" s="6">
        <v>1.0683499999999999</v>
      </c>
      <c r="AP312" s="19">
        <v>-3.4508999999999999</v>
      </c>
      <c r="AQ312" s="6">
        <v>0.54310000000000003</v>
      </c>
      <c r="AR312" s="6">
        <v>328</v>
      </c>
      <c r="AT312" s="17">
        <v>309</v>
      </c>
      <c r="AU312" s="6">
        <v>0.56374999999999997</v>
      </c>
      <c r="AV312" s="19">
        <v>-3.4508999999999999</v>
      </c>
      <c r="AW312" s="6">
        <v>0.54310000000000003</v>
      </c>
      <c r="AX312" s="6">
        <v>328</v>
      </c>
    </row>
    <row r="313" spans="1:50" x14ac:dyDescent="0.25">
      <c r="A313" t="s">
        <v>7</v>
      </c>
      <c r="B313" s="11">
        <v>2</v>
      </c>
      <c r="C313" s="11">
        <v>9</v>
      </c>
      <c r="D313" s="11">
        <v>5</v>
      </c>
      <c r="E313" s="11">
        <v>13</v>
      </c>
      <c r="F313" s="12">
        <v>55.9</v>
      </c>
      <c r="G313">
        <v>45.597898365556148</v>
      </c>
      <c r="Q313" s="17">
        <v>311</v>
      </c>
      <c r="R313" s="6">
        <v>2.3765000000000001</v>
      </c>
      <c r="S313" s="19">
        <v>-7.7770999999999999</v>
      </c>
      <c r="T313" s="6">
        <v>2.2892999999999999</v>
      </c>
      <c r="U313" s="6">
        <v>328</v>
      </c>
      <c r="W313" s="17">
        <v>311</v>
      </c>
      <c r="X313" s="6">
        <v>4.5036199999999997</v>
      </c>
      <c r="Y313" s="19">
        <v>-7.7770999999999999</v>
      </c>
      <c r="Z313" s="6">
        <v>2.2892999999999999</v>
      </c>
      <c r="AA313" s="6">
        <v>328</v>
      </c>
      <c r="AN313" s="17">
        <v>310</v>
      </c>
      <c r="AO313" s="6">
        <v>1.06071</v>
      </c>
      <c r="AP313" s="19">
        <v>-3.1052</v>
      </c>
      <c r="AQ313" s="6">
        <v>0.53920000000000001</v>
      </c>
      <c r="AR313" s="6">
        <v>328</v>
      </c>
      <c r="AT313" s="17">
        <v>310</v>
      </c>
      <c r="AU313" s="6">
        <v>0.55972</v>
      </c>
      <c r="AV313" s="19">
        <v>-3.1052</v>
      </c>
      <c r="AW313" s="6">
        <v>0.53920000000000001</v>
      </c>
      <c r="AX313" s="6">
        <v>328</v>
      </c>
    </row>
    <row r="314" spans="1:50" x14ac:dyDescent="0.25">
      <c r="A314" t="s">
        <v>7</v>
      </c>
      <c r="B314" s="11">
        <v>3</v>
      </c>
      <c r="C314" s="11">
        <v>3</v>
      </c>
      <c r="D314" s="11">
        <v>10</v>
      </c>
      <c r="E314" s="11">
        <v>13</v>
      </c>
      <c r="F314" s="12">
        <v>51.5</v>
      </c>
      <c r="G314">
        <v>42.821253791708799</v>
      </c>
      <c r="Q314" s="17">
        <v>312</v>
      </c>
      <c r="R314" s="6">
        <v>2.3754499999999998</v>
      </c>
      <c r="S314" s="19">
        <v>-5.7502000000000004</v>
      </c>
      <c r="T314" s="6">
        <v>2.2883</v>
      </c>
      <c r="U314" s="6">
        <v>328</v>
      </c>
      <c r="W314" s="17">
        <v>312</v>
      </c>
      <c r="X314" s="6">
        <v>4.5016400000000001</v>
      </c>
      <c r="Y314" s="19">
        <v>-5.7502000000000004</v>
      </c>
      <c r="Z314" s="6">
        <v>2.2883</v>
      </c>
      <c r="AA314" s="6">
        <v>328</v>
      </c>
      <c r="AN314" s="17">
        <v>311</v>
      </c>
      <c r="AO314" s="6">
        <v>1.06324</v>
      </c>
      <c r="AP314" s="19">
        <v>-4.1763000000000003</v>
      </c>
      <c r="AQ314" s="6">
        <v>0.54049999999999998</v>
      </c>
      <c r="AR314" s="6">
        <v>328</v>
      </c>
      <c r="AT314" s="17">
        <v>311</v>
      </c>
      <c r="AU314" s="6">
        <v>0.56105000000000005</v>
      </c>
      <c r="AV314" s="19">
        <v>-4.1763000000000003</v>
      </c>
      <c r="AW314" s="6">
        <v>0.54049999999999998</v>
      </c>
      <c r="AX314" s="6">
        <v>328</v>
      </c>
    </row>
    <row r="315" spans="1:50" x14ac:dyDescent="0.25">
      <c r="A315" s="31" t="s">
        <v>156</v>
      </c>
      <c r="B315" s="32">
        <v>1</v>
      </c>
      <c r="C315" s="32">
        <v>3</v>
      </c>
      <c r="D315" s="32">
        <v>1</v>
      </c>
      <c r="E315" s="32">
        <v>13</v>
      </c>
      <c r="F315" s="2">
        <v>54.2</v>
      </c>
      <c r="G315">
        <v>45.718468251289707</v>
      </c>
      <c r="Q315" s="17">
        <v>313</v>
      </c>
      <c r="R315" s="6">
        <v>2.3832499999999999</v>
      </c>
      <c r="S315" s="19">
        <v>-9.7506000000000004</v>
      </c>
      <c r="T315" s="6">
        <v>2.2957999999999998</v>
      </c>
      <c r="U315" s="6">
        <v>328</v>
      </c>
      <c r="W315" s="17">
        <v>313</v>
      </c>
      <c r="X315" s="6">
        <v>4.5164200000000001</v>
      </c>
      <c r="Y315" s="19">
        <v>-9.7506000000000004</v>
      </c>
      <c r="Z315" s="6">
        <v>2.2957999999999998</v>
      </c>
      <c r="AA315" s="6">
        <v>328</v>
      </c>
      <c r="AN315" s="17">
        <v>312</v>
      </c>
      <c r="AO315" s="6">
        <v>1.0654699999999999</v>
      </c>
      <c r="AP315" s="19">
        <v>-3.8645</v>
      </c>
      <c r="AQ315" s="6">
        <v>0.54159999999999997</v>
      </c>
      <c r="AR315" s="6">
        <v>328</v>
      </c>
      <c r="AT315" s="17">
        <v>312</v>
      </c>
      <c r="AU315" s="6">
        <v>0.56223000000000001</v>
      </c>
      <c r="AV315" s="19">
        <v>-3.8645</v>
      </c>
      <c r="AW315" s="6">
        <v>0.54159999999999997</v>
      </c>
      <c r="AX315" s="6">
        <v>328</v>
      </c>
    </row>
    <row r="316" spans="1:50" x14ac:dyDescent="0.25">
      <c r="A316" s="31" t="s">
        <v>156</v>
      </c>
      <c r="B316" s="32">
        <v>2</v>
      </c>
      <c r="C316" s="32">
        <v>5</v>
      </c>
      <c r="D316" s="32">
        <v>3</v>
      </c>
      <c r="E316" s="32">
        <v>13</v>
      </c>
      <c r="F316" s="2">
        <v>52.8</v>
      </c>
      <c r="G316">
        <v>34.598879514006072</v>
      </c>
      <c r="Q316" s="17">
        <v>314</v>
      </c>
      <c r="R316" s="6">
        <v>2.3845700000000001</v>
      </c>
      <c r="S316" s="19">
        <v>-7.5311000000000003</v>
      </c>
      <c r="T316" s="6">
        <v>2.2970999999999999</v>
      </c>
      <c r="U316" s="6">
        <v>328</v>
      </c>
      <c r="W316" s="17">
        <v>314</v>
      </c>
      <c r="X316" s="6">
        <v>4.5189199999999996</v>
      </c>
      <c r="Y316" s="19">
        <v>-7.5311000000000003</v>
      </c>
      <c r="Z316" s="6">
        <v>2.2970999999999999</v>
      </c>
      <c r="AA316" s="6">
        <v>328</v>
      </c>
      <c r="AN316" s="17">
        <v>313</v>
      </c>
      <c r="AO316" s="6">
        <v>1.0816300000000001</v>
      </c>
      <c r="AP316" s="19">
        <v>-2.8100999999999998</v>
      </c>
      <c r="AQ316" s="6">
        <v>0.54979999999999996</v>
      </c>
      <c r="AR316" s="6">
        <v>328</v>
      </c>
      <c r="AT316" s="17">
        <v>313</v>
      </c>
      <c r="AU316" s="6">
        <v>0.57076000000000005</v>
      </c>
      <c r="AV316" s="19">
        <v>-2.8100999999999998</v>
      </c>
      <c r="AW316" s="6">
        <v>0.54979999999999996</v>
      </c>
      <c r="AX316" s="6">
        <v>328</v>
      </c>
    </row>
    <row r="317" spans="1:50" x14ac:dyDescent="0.25">
      <c r="A317" s="31" t="s">
        <v>156</v>
      </c>
      <c r="B317" s="32">
        <v>3</v>
      </c>
      <c r="C317" s="32">
        <v>13</v>
      </c>
      <c r="D317" s="32">
        <v>5</v>
      </c>
      <c r="E317" s="32">
        <v>13</v>
      </c>
      <c r="F317" s="2">
        <v>58.5</v>
      </c>
      <c r="G317">
        <v>47.672622207176715</v>
      </c>
      <c r="Q317" s="17">
        <v>315</v>
      </c>
      <c r="R317" s="6">
        <v>2.39941</v>
      </c>
      <c r="S317" s="19">
        <v>-16.163699999999999</v>
      </c>
      <c r="T317" s="6">
        <v>2.3113999999999999</v>
      </c>
      <c r="U317" s="6">
        <v>328</v>
      </c>
      <c r="W317" s="17">
        <v>315</v>
      </c>
      <c r="X317" s="6">
        <v>4.5470499999999996</v>
      </c>
      <c r="Y317" s="19">
        <v>-16.163699999999999</v>
      </c>
      <c r="Z317" s="6">
        <v>2.3113999999999999</v>
      </c>
      <c r="AA317" s="6">
        <v>328</v>
      </c>
      <c r="AN317" s="17">
        <v>314</v>
      </c>
      <c r="AO317" s="6">
        <v>1.0715600000000001</v>
      </c>
      <c r="AP317" s="19">
        <v>-2.9005999999999998</v>
      </c>
      <c r="AQ317" s="6">
        <v>0.54469999999999996</v>
      </c>
      <c r="AR317" s="6">
        <v>328</v>
      </c>
      <c r="AT317" s="17">
        <v>314</v>
      </c>
      <c r="AU317" s="6">
        <v>0.56545000000000001</v>
      </c>
      <c r="AV317" s="19">
        <v>-2.9005999999999998</v>
      </c>
      <c r="AW317" s="6">
        <v>0.54469999999999996</v>
      </c>
      <c r="AX317" s="6">
        <v>328</v>
      </c>
    </row>
    <row r="318" spans="1:50" x14ac:dyDescent="0.25">
      <c r="A318" s="31" t="s">
        <v>10</v>
      </c>
      <c r="B318" s="32">
        <v>1</v>
      </c>
      <c r="C318" s="32">
        <v>9</v>
      </c>
      <c r="D318" s="32">
        <v>2</v>
      </c>
      <c r="E318" s="32">
        <v>13</v>
      </c>
      <c r="F318" s="2">
        <v>58.1</v>
      </c>
      <c r="G318">
        <v>57.670219413549027</v>
      </c>
      <c r="Q318" s="17">
        <v>316</v>
      </c>
      <c r="R318" s="6">
        <v>2.3841000000000001</v>
      </c>
      <c r="S318" s="19">
        <v>-9.2420000000000009</v>
      </c>
      <c r="T318" s="6">
        <v>2.2967</v>
      </c>
      <c r="U318" s="6">
        <v>328</v>
      </c>
      <c r="W318" s="17">
        <v>316</v>
      </c>
      <c r="X318" s="6">
        <v>4.5180300000000004</v>
      </c>
      <c r="Y318" s="19">
        <v>-9.2420000000000009</v>
      </c>
      <c r="Z318" s="6">
        <v>2.2967</v>
      </c>
      <c r="AA318" s="6">
        <v>328</v>
      </c>
      <c r="AN318" s="17">
        <v>315</v>
      </c>
      <c r="AO318" s="6">
        <v>1.0787</v>
      </c>
      <c r="AP318" s="19">
        <v>-3.1938</v>
      </c>
      <c r="AQ318" s="6">
        <v>0.54830000000000001</v>
      </c>
      <c r="AR318" s="6">
        <v>328</v>
      </c>
      <c r="AT318" s="17">
        <v>315</v>
      </c>
      <c r="AU318" s="6">
        <v>0.56921999999999995</v>
      </c>
      <c r="AV318" s="19">
        <v>-3.1938</v>
      </c>
      <c r="AW318" s="6">
        <v>0.54830000000000001</v>
      </c>
      <c r="AX318" s="6">
        <v>328</v>
      </c>
    </row>
    <row r="319" spans="1:50" x14ac:dyDescent="0.25">
      <c r="A319" s="31" t="s">
        <v>10</v>
      </c>
      <c r="B319" s="32">
        <v>2</v>
      </c>
      <c r="C319" s="32">
        <v>10</v>
      </c>
      <c r="D319" s="32">
        <v>5</v>
      </c>
      <c r="E319" s="32">
        <v>13</v>
      </c>
      <c r="F319" s="2">
        <v>57.3</v>
      </c>
      <c r="G319">
        <v>55.153639078341016</v>
      </c>
      <c r="Q319" s="17">
        <v>317</v>
      </c>
      <c r="R319" s="6">
        <v>2.3773599999999999</v>
      </c>
      <c r="S319" s="19">
        <v>-6.5414000000000003</v>
      </c>
      <c r="T319" s="6">
        <v>2.2902</v>
      </c>
      <c r="U319" s="6">
        <v>328</v>
      </c>
      <c r="W319" s="17">
        <v>317</v>
      </c>
      <c r="X319" s="6">
        <v>4.5052700000000003</v>
      </c>
      <c r="Y319" s="19">
        <v>-6.5414000000000003</v>
      </c>
      <c r="Z319" s="6">
        <v>2.2902</v>
      </c>
      <c r="AA319" s="6">
        <v>328</v>
      </c>
      <c r="AN319" s="17">
        <v>316</v>
      </c>
      <c r="AO319" s="6">
        <v>1.0605599999999999</v>
      </c>
      <c r="AP319" s="19">
        <v>-3.2204000000000002</v>
      </c>
      <c r="AQ319" s="6">
        <v>0.53910000000000002</v>
      </c>
      <c r="AR319" s="6">
        <v>328</v>
      </c>
      <c r="AT319" s="17">
        <v>316</v>
      </c>
      <c r="AU319" s="6">
        <v>0.55964000000000003</v>
      </c>
      <c r="AV319" s="19">
        <v>-3.2204000000000002</v>
      </c>
      <c r="AW319" s="6">
        <v>0.53910000000000002</v>
      </c>
      <c r="AX319" s="6">
        <v>328</v>
      </c>
    </row>
    <row r="320" spans="1:50" x14ac:dyDescent="0.25">
      <c r="A320" s="31" t="s">
        <v>10</v>
      </c>
      <c r="B320" s="32">
        <v>3</v>
      </c>
      <c r="C320" s="32">
        <v>1</v>
      </c>
      <c r="D320" s="32">
        <v>11</v>
      </c>
      <c r="E320" s="32">
        <v>13</v>
      </c>
      <c r="F320" s="2">
        <v>58.2</v>
      </c>
      <c r="G320">
        <v>55.299826854606636</v>
      </c>
      <c r="Q320" s="17">
        <v>318</v>
      </c>
      <c r="R320" s="6">
        <v>2.3829899999999999</v>
      </c>
      <c r="S320" s="19">
        <v>-7.5365000000000002</v>
      </c>
      <c r="T320" s="6">
        <v>2.2955999999999999</v>
      </c>
      <c r="U320" s="6">
        <v>328</v>
      </c>
      <c r="W320" s="17">
        <v>318</v>
      </c>
      <c r="X320" s="6">
        <v>4.5159200000000004</v>
      </c>
      <c r="Y320" s="19">
        <v>-7.5365000000000002</v>
      </c>
      <c r="Z320" s="6">
        <v>2.2955999999999999</v>
      </c>
      <c r="AA320" s="6">
        <v>328</v>
      </c>
      <c r="AN320" s="17">
        <v>317</v>
      </c>
      <c r="AO320" s="6">
        <v>1.0615399999999999</v>
      </c>
      <c r="AP320" s="19">
        <v>-1.8409</v>
      </c>
      <c r="AQ320" s="6">
        <v>0.53959999999999997</v>
      </c>
      <c r="AR320" s="6">
        <v>328</v>
      </c>
      <c r="AT320" s="17">
        <v>317</v>
      </c>
      <c r="AU320" s="6">
        <v>0.56015999999999999</v>
      </c>
      <c r="AV320" s="19">
        <v>-1.8409</v>
      </c>
      <c r="AW320" s="6">
        <v>0.53959999999999997</v>
      </c>
      <c r="AX320" s="6">
        <v>328</v>
      </c>
    </row>
    <row r="321" spans="1:50" x14ac:dyDescent="0.25">
      <c r="A321" s="31" t="s">
        <v>11</v>
      </c>
      <c r="B321" s="32">
        <v>1</v>
      </c>
      <c r="C321" s="32">
        <v>15</v>
      </c>
      <c r="D321" s="32">
        <v>1</v>
      </c>
      <c r="E321" s="11">
        <v>13</v>
      </c>
      <c r="F321" s="2">
        <v>60.1</v>
      </c>
      <c r="G321">
        <v>28.13207210836396</v>
      </c>
      <c r="Q321" s="17">
        <v>319</v>
      </c>
      <c r="R321" s="6">
        <v>2.3715199999999999</v>
      </c>
      <c r="S321" s="19">
        <v>-4.4676</v>
      </c>
      <c r="T321" s="6">
        <v>2.2845</v>
      </c>
      <c r="U321" s="6">
        <v>328</v>
      </c>
      <c r="W321" s="17">
        <v>319</v>
      </c>
      <c r="X321" s="6">
        <v>4.4941899999999997</v>
      </c>
      <c r="Y321" s="19">
        <v>-4.4676</v>
      </c>
      <c r="Z321" s="6">
        <v>2.2845</v>
      </c>
      <c r="AA321" s="6">
        <v>328</v>
      </c>
      <c r="AN321" s="17">
        <v>318</v>
      </c>
      <c r="AO321" s="6">
        <v>1.06996</v>
      </c>
      <c r="AP321" s="19">
        <v>-3.3166000000000002</v>
      </c>
      <c r="AQ321" s="6">
        <v>0.54390000000000005</v>
      </c>
      <c r="AR321" s="6">
        <v>328</v>
      </c>
      <c r="AT321" s="17">
        <v>318</v>
      </c>
      <c r="AU321" s="6">
        <v>0.56459999999999999</v>
      </c>
      <c r="AV321" s="19">
        <v>-3.3166000000000002</v>
      </c>
      <c r="AW321" s="6">
        <v>0.54390000000000005</v>
      </c>
      <c r="AX321" s="6">
        <v>328</v>
      </c>
    </row>
    <row r="322" spans="1:50" x14ac:dyDescent="0.25">
      <c r="A322" s="31" t="s">
        <v>11</v>
      </c>
      <c r="B322" s="32">
        <v>2</v>
      </c>
      <c r="C322" s="32">
        <v>11</v>
      </c>
      <c r="D322" s="32">
        <v>6</v>
      </c>
      <c r="E322" s="11">
        <v>13</v>
      </c>
      <c r="F322" s="2">
        <v>61.4</v>
      </c>
      <c r="G322">
        <v>22.927613857532112</v>
      </c>
      <c r="Q322" s="17">
        <v>320</v>
      </c>
      <c r="R322" s="6">
        <v>2.3795099999999998</v>
      </c>
      <c r="S322" s="19">
        <v>-4.3498000000000001</v>
      </c>
      <c r="T322" s="6">
        <v>2.2921999999999998</v>
      </c>
      <c r="U322" s="6">
        <v>328</v>
      </c>
      <c r="W322" s="17">
        <v>320</v>
      </c>
      <c r="X322" s="6">
        <v>4.5093300000000003</v>
      </c>
      <c r="Y322" s="19">
        <v>-4.3498000000000001</v>
      </c>
      <c r="Z322" s="6">
        <v>2.2921999999999998</v>
      </c>
      <c r="AA322" s="6">
        <v>328</v>
      </c>
      <c r="AN322" s="17">
        <v>319</v>
      </c>
      <c r="AO322" s="6">
        <v>1.0611600000000001</v>
      </c>
      <c r="AP322" s="19">
        <v>-3.3096999999999999</v>
      </c>
      <c r="AQ322" s="6">
        <v>0.53939999999999999</v>
      </c>
      <c r="AR322" s="6">
        <v>328</v>
      </c>
      <c r="AT322" s="17">
        <v>319</v>
      </c>
      <c r="AU322" s="6">
        <v>0.55996000000000001</v>
      </c>
      <c r="AV322" s="19">
        <v>-3.3096999999999999</v>
      </c>
      <c r="AW322" s="6">
        <v>0.53939999999999999</v>
      </c>
      <c r="AX322" s="6">
        <v>328</v>
      </c>
    </row>
    <row r="323" spans="1:50" x14ac:dyDescent="0.25">
      <c r="A323" s="31" t="s">
        <v>11</v>
      </c>
      <c r="B323" s="32">
        <v>3</v>
      </c>
      <c r="C323" s="32">
        <v>17</v>
      </c>
      <c r="D323" s="32">
        <v>8</v>
      </c>
      <c r="E323" s="11">
        <v>13</v>
      </c>
      <c r="F323" s="2">
        <v>62.5</v>
      </c>
      <c r="G323">
        <v>27.403636363636359</v>
      </c>
      <c r="Q323" s="17">
        <v>321</v>
      </c>
      <c r="R323" s="6">
        <v>2.38618</v>
      </c>
      <c r="S323" s="19">
        <v>-12.9735</v>
      </c>
      <c r="T323" s="6">
        <v>2.2987000000000002</v>
      </c>
      <c r="U323" s="6">
        <v>328</v>
      </c>
      <c r="W323" s="17">
        <v>321</v>
      </c>
      <c r="X323" s="6">
        <v>4.5219800000000001</v>
      </c>
      <c r="Y323" s="19">
        <v>-12.9735</v>
      </c>
      <c r="Z323" s="6">
        <v>2.2987000000000002</v>
      </c>
      <c r="AA323" s="6">
        <v>328</v>
      </c>
      <c r="AN323" s="17">
        <v>320</v>
      </c>
      <c r="AO323" s="6">
        <v>1.0654699999999999</v>
      </c>
      <c r="AP323" s="19">
        <v>-2.7431999999999999</v>
      </c>
      <c r="AQ323" s="6">
        <v>0.54159999999999997</v>
      </c>
      <c r="AR323" s="6">
        <v>328</v>
      </c>
      <c r="AT323" s="17">
        <v>320</v>
      </c>
      <c r="AU323" s="6">
        <v>0.56223000000000001</v>
      </c>
      <c r="AV323" s="19">
        <v>-2.7431999999999999</v>
      </c>
      <c r="AW323" s="6">
        <v>0.54159999999999997</v>
      </c>
      <c r="AX323" s="6">
        <v>328</v>
      </c>
    </row>
    <row r="324" spans="1:50" x14ac:dyDescent="0.25">
      <c r="A324" t="s">
        <v>160</v>
      </c>
      <c r="B324">
        <v>1</v>
      </c>
      <c r="C324" s="36">
        <v>19</v>
      </c>
      <c r="D324" s="36">
        <v>1</v>
      </c>
      <c r="E324" s="32">
        <v>13</v>
      </c>
      <c r="F324" s="13">
        <v>60.8</v>
      </c>
      <c r="G324">
        <v>90.037271944922537</v>
      </c>
      <c r="Q324" s="17">
        <v>322</v>
      </c>
      <c r="R324" s="6">
        <v>2.3821099999999999</v>
      </c>
      <c r="S324" s="19">
        <v>-9.3078000000000003</v>
      </c>
      <c r="T324" s="6">
        <v>2.2947000000000002</v>
      </c>
      <c r="U324" s="6">
        <v>328</v>
      </c>
      <c r="W324" s="17">
        <v>322</v>
      </c>
      <c r="X324" s="6">
        <v>4.5142600000000002</v>
      </c>
      <c r="Y324" s="19">
        <v>-9.3078000000000003</v>
      </c>
      <c r="Z324" s="6">
        <v>2.2947000000000002</v>
      </c>
      <c r="AA324" s="6">
        <v>328</v>
      </c>
      <c r="AN324" s="17">
        <v>321</v>
      </c>
      <c r="AO324" s="6">
        <v>1.0702</v>
      </c>
      <c r="AP324" s="19">
        <v>-5.1326999999999998</v>
      </c>
      <c r="AQ324" s="6">
        <v>0.54400000000000004</v>
      </c>
      <c r="AR324" s="6">
        <v>328</v>
      </c>
      <c r="AT324" s="17">
        <v>321</v>
      </c>
      <c r="AU324" s="6">
        <v>0.56472999999999995</v>
      </c>
      <c r="AV324" s="19">
        <v>-5.1326999999999998</v>
      </c>
      <c r="AW324" s="6">
        <v>0.54400000000000004</v>
      </c>
      <c r="AX324" s="6">
        <v>328</v>
      </c>
    </row>
    <row r="325" spans="1:50" x14ac:dyDescent="0.25">
      <c r="A325" t="s">
        <v>160</v>
      </c>
      <c r="B325">
        <v>2</v>
      </c>
      <c r="C325" s="36">
        <v>7</v>
      </c>
      <c r="D325" s="36">
        <v>4</v>
      </c>
      <c r="E325" s="32">
        <v>13</v>
      </c>
      <c r="F325" s="13">
        <v>60.9</v>
      </c>
      <c r="G325">
        <v>88.01408421773364</v>
      </c>
      <c r="Q325" s="17">
        <v>323</v>
      </c>
      <c r="R325" s="6">
        <v>2.3760500000000002</v>
      </c>
      <c r="S325" s="19">
        <v>-7.6116000000000001</v>
      </c>
      <c r="T325" s="6">
        <v>2.2888999999999999</v>
      </c>
      <c r="U325" s="6">
        <v>328</v>
      </c>
      <c r="W325" s="17">
        <v>323</v>
      </c>
      <c r="X325" s="6">
        <v>4.5027699999999999</v>
      </c>
      <c r="Y325" s="19">
        <v>-7.6116000000000001</v>
      </c>
      <c r="Z325" s="6">
        <v>2.2888999999999999</v>
      </c>
      <c r="AA325" s="6">
        <v>328</v>
      </c>
      <c r="AN325" s="17">
        <v>322</v>
      </c>
      <c r="AO325" s="6">
        <v>1.0673699999999999</v>
      </c>
      <c r="AP325" s="19">
        <v>-3.0615999999999999</v>
      </c>
      <c r="AQ325" s="6">
        <v>0.54259999999999997</v>
      </c>
      <c r="AR325" s="6">
        <v>328</v>
      </c>
      <c r="AT325" s="17">
        <v>322</v>
      </c>
      <c r="AU325" s="6">
        <v>0.56323000000000001</v>
      </c>
      <c r="AV325" s="19">
        <v>-3.0615999999999999</v>
      </c>
      <c r="AW325" s="6">
        <v>0.54259999999999997</v>
      </c>
      <c r="AX325" s="6">
        <v>328</v>
      </c>
    </row>
    <row r="326" spans="1:50" x14ac:dyDescent="0.25">
      <c r="A326" t="s">
        <v>160</v>
      </c>
      <c r="B326">
        <v>3</v>
      </c>
      <c r="C326" s="36">
        <v>9</v>
      </c>
      <c r="D326" s="36">
        <v>5</v>
      </c>
      <c r="E326" s="32">
        <v>13</v>
      </c>
      <c r="F326" s="13">
        <v>61</v>
      </c>
      <c r="G326">
        <v>88.190816326530609</v>
      </c>
      <c r="Q326" s="17">
        <v>324</v>
      </c>
      <c r="R326" s="6">
        <v>2.3943500000000002</v>
      </c>
      <c r="S326" s="19">
        <v>-9.0054999999999996</v>
      </c>
      <c r="T326" s="6">
        <v>2.3065000000000002</v>
      </c>
      <c r="U326" s="6">
        <v>328</v>
      </c>
      <c r="W326" s="17">
        <v>324</v>
      </c>
      <c r="X326" s="6">
        <v>4.5374600000000003</v>
      </c>
      <c r="Y326" s="19">
        <v>-9.0054999999999996</v>
      </c>
      <c r="Z326" s="6">
        <v>2.3065000000000002</v>
      </c>
      <c r="AA326" s="6">
        <v>328</v>
      </c>
      <c r="AN326" s="17">
        <v>323</v>
      </c>
      <c r="AO326" s="6">
        <v>1.0666</v>
      </c>
      <c r="AP326" s="19">
        <v>-2.8481999999999998</v>
      </c>
      <c r="AQ326" s="6">
        <v>0.54220000000000002</v>
      </c>
      <c r="AR326" s="6">
        <v>328</v>
      </c>
      <c r="AT326" s="17">
        <v>323</v>
      </c>
      <c r="AU326" s="6">
        <v>0.56283000000000005</v>
      </c>
      <c r="AV326" s="19">
        <v>-2.8481999999999998</v>
      </c>
      <c r="AW326" s="6">
        <v>0.54220000000000002</v>
      </c>
      <c r="AX326" s="6">
        <v>328</v>
      </c>
    </row>
    <row r="327" spans="1:50" x14ac:dyDescent="0.25">
      <c r="A327" s="31" t="s">
        <v>116</v>
      </c>
      <c r="B327" s="32">
        <v>1</v>
      </c>
      <c r="C327" s="32">
        <v>6</v>
      </c>
      <c r="D327" s="32">
        <v>1</v>
      </c>
      <c r="E327" s="32">
        <v>14</v>
      </c>
      <c r="F327" s="12">
        <v>57.6</v>
      </c>
      <c r="G327">
        <v>76.380489588377714</v>
      </c>
      <c r="Q327" s="17">
        <v>325</v>
      </c>
      <c r="R327" s="6">
        <v>2.3770699999999998</v>
      </c>
      <c r="S327" s="19">
        <v>-7.9387999999999996</v>
      </c>
      <c r="T327" s="6">
        <v>2.2898999999999998</v>
      </c>
      <c r="U327" s="6">
        <v>328</v>
      </c>
      <c r="W327" s="17">
        <v>325</v>
      </c>
      <c r="X327" s="6">
        <v>4.5047199999999998</v>
      </c>
      <c r="Y327" s="19">
        <v>-7.9387999999999996</v>
      </c>
      <c r="Z327" s="6">
        <v>2.2898999999999998</v>
      </c>
      <c r="AA327" s="6">
        <v>328</v>
      </c>
      <c r="AN327" s="17">
        <v>324</v>
      </c>
      <c r="AO327" s="6">
        <v>1.07731</v>
      </c>
      <c r="AP327" s="19">
        <v>-3.1374</v>
      </c>
      <c r="AQ327" s="6">
        <v>0.54759999999999998</v>
      </c>
      <c r="AR327" s="6">
        <v>328</v>
      </c>
      <c r="AT327" s="17">
        <v>324</v>
      </c>
      <c r="AU327" s="6">
        <v>0.56847999999999999</v>
      </c>
      <c r="AV327" s="19">
        <v>-3.1374</v>
      </c>
      <c r="AW327" s="6">
        <v>0.54759999999999998</v>
      </c>
      <c r="AX327" s="6">
        <v>328</v>
      </c>
    </row>
    <row r="328" spans="1:50" x14ac:dyDescent="0.25">
      <c r="A328" s="31" t="s">
        <v>116</v>
      </c>
      <c r="B328" s="32">
        <v>2</v>
      </c>
      <c r="C328" s="32">
        <v>9</v>
      </c>
      <c r="D328" s="32">
        <v>7</v>
      </c>
      <c r="E328" s="32">
        <v>14</v>
      </c>
      <c r="F328" s="12">
        <v>58.4</v>
      </c>
      <c r="G328">
        <v>77.003045802998898</v>
      </c>
      <c r="Q328" s="17">
        <v>326</v>
      </c>
      <c r="R328" s="6">
        <v>2.3803800000000002</v>
      </c>
      <c r="S328" s="19">
        <v>-9.5074000000000005</v>
      </c>
      <c r="T328" s="6">
        <v>2.2930999999999999</v>
      </c>
      <c r="U328" s="6">
        <v>328</v>
      </c>
      <c r="W328" s="17">
        <v>326</v>
      </c>
      <c r="X328" s="6">
        <v>4.51098</v>
      </c>
      <c r="Y328" s="19">
        <v>-9.5074000000000005</v>
      </c>
      <c r="Z328" s="6">
        <v>2.2930999999999999</v>
      </c>
      <c r="AA328" s="6">
        <v>328</v>
      </c>
      <c r="AN328" s="17">
        <v>325</v>
      </c>
      <c r="AO328" s="6">
        <v>1.0645899999999999</v>
      </c>
      <c r="AP328" s="19">
        <v>-4.2179000000000002</v>
      </c>
      <c r="AQ328" s="6">
        <v>0.54120000000000001</v>
      </c>
      <c r="AR328" s="6">
        <v>328</v>
      </c>
      <c r="AT328" s="17">
        <v>325</v>
      </c>
      <c r="AU328" s="6">
        <v>0.56176999999999999</v>
      </c>
      <c r="AV328" s="19">
        <v>-4.2179000000000002</v>
      </c>
      <c r="AW328" s="6">
        <v>0.54120000000000001</v>
      </c>
      <c r="AX328" s="6">
        <v>328</v>
      </c>
    </row>
    <row r="329" spans="1:50" x14ac:dyDescent="0.25">
      <c r="A329" s="31" t="s">
        <v>116</v>
      </c>
      <c r="B329" s="32">
        <v>3</v>
      </c>
      <c r="C329" s="32">
        <v>4</v>
      </c>
      <c r="D329" s="32">
        <v>11</v>
      </c>
      <c r="E329" s="32">
        <v>14</v>
      </c>
      <c r="F329" s="12">
        <v>58.4</v>
      </c>
      <c r="G329">
        <v>79.82629285714286</v>
      </c>
      <c r="Q329" s="17">
        <v>327</v>
      </c>
      <c r="R329" s="6">
        <v>2.3816000000000002</v>
      </c>
      <c r="S329" s="19">
        <v>-9.0043000000000006</v>
      </c>
      <c r="T329" s="6">
        <v>2.2942999999999998</v>
      </c>
      <c r="U329" s="6">
        <v>328</v>
      </c>
      <c r="W329" s="17">
        <v>327</v>
      </c>
      <c r="X329" s="6">
        <v>4.5133000000000001</v>
      </c>
      <c r="Y329" s="19">
        <v>-9.0043000000000006</v>
      </c>
      <c r="Z329" s="6">
        <v>2.2942999999999998</v>
      </c>
      <c r="AA329" s="6">
        <v>328</v>
      </c>
      <c r="AN329" s="17">
        <v>326</v>
      </c>
      <c r="AO329" s="6">
        <v>1.0650500000000001</v>
      </c>
      <c r="AP329" s="19">
        <v>-3.8784000000000001</v>
      </c>
      <c r="AQ329" s="6">
        <v>0.54139999999999999</v>
      </c>
      <c r="AR329" s="6">
        <v>328</v>
      </c>
      <c r="AT329" s="17">
        <v>326</v>
      </c>
      <c r="AU329" s="6">
        <v>0.56201000000000001</v>
      </c>
      <c r="AV329" s="19">
        <v>-3.8784000000000001</v>
      </c>
      <c r="AW329" s="6">
        <v>0.54139999999999999</v>
      </c>
      <c r="AX329" s="6">
        <v>328</v>
      </c>
    </row>
    <row r="330" spans="1:50" x14ac:dyDescent="0.25">
      <c r="A330" s="34" t="s">
        <v>97</v>
      </c>
      <c r="B330" s="35">
        <v>1</v>
      </c>
      <c r="C330" s="35">
        <v>17</v>
      </c>
      <c r="D330" s="35">
        <v>2</v>
      </c>
      <c r="E330" s="35">
        <v>14</v>
      </c>
      <c r="F330" s="2">
        <v>61.2</v>
      </c>
      <c r="G330">
        <v>80.488873320814676</v>
      </c>
      <c r="Q330" s="17">
        <v>328</v>
      </c>
      <c r="R330" s="6">
        <v>2.39018</v>
      </c>
      <c r="S330" s="19">
        <v>-1.7072000000000001</v>
      </c>
      <c r="T330" s="6">
        <v>2.3025000000000002</v>
      </c>
      <c r="U330" s="6">
        <v>328</v>
      </c>
      <c r="W330" s="17">
        <v>328</v>
      </c>
      <c r="X330" s="6">
        <v>4.52956</v>
      </c>
      <c r="Y330" s="19">
        <v>-1.7072000000000001</v>
      </c>
      <c r="Z330" s="6">
        <v>2.3025000000000002</v>
      </c>
      <c r="AA330" s="6">
        <v>328</v>
      </c>
      <c r="AN330" s="17">
        <v>327</v>
      </c>
      <c r="AO330" s="6">
        <v>1.0665500000000001</v>
      </c>
      <c r="AP330" s="19">
        <v>-4.4051999999999998</v>
      </c>
      <c r="AQ330" s="6">
        <v>0.54220000000000002</v>
      </c>
      <c r="AR330" s="6">
        <v>328</v>
      </c>
      <c r="AT330" s="17">
        <v>327</v>
      </c>
      <c r="AU330" s="6">
        <v>0.56279999999999997</v>
      </c>
      <c r="AV330" s="19">
        <v>-4.4051999999999998</v>
      </c>
      <c r="AW330" s="6">
        <v>0.54220000000000002</v>
      </c>
      <c r="AX330" s="6">
        <v>328</v>
      </c>
    </row>
    <row r="331" spans="1:50" x14ac:dyDescent="0.25">
      <c r="A331" s="34" t="s">
        <v>97</v>
      </c>
      <c r="B331" s="35">
        <v>2</v>
      </c>
      <c r="C331" s="35">
        <v>10</v>
      </c>
      <c r="D331" s="35">
        <v>4</v>
      </c>
      <c r="E331" s="35">
        <v>14</v>
      </c>
      <c r="F331" s="2">
        <v>62.2</v>
      </c>
      <c r="G331">
        <v>84.333999520613602</v>
      </c>
      <c r="Q331" s="17">
        <v>329</v>
      </c>
      <c r="R331" s="6">
        <v>2.3811800000000001</v>
      </c>
      <c r="S331" s="19">
        <v>-7.2</v>
      </c>
      <c r="T331" s="6">
        <v>2.2938000000000001</v>
      </c>
      <c r="U331" s="6">
        <v>328</v>
      </c>
      <c r="W331" s="17">
        <v>329</v>
      </c>
      <c r="X331" s="6">
        <v>4.5124899999999997</v>
      </c>
      <c r="Y331" s="19">
        <v>-7.2</v>
      </c>
      <c r="Z331" s="6">
        <v>2.2938000000000001</v>
      </c>
      <c r="AA331" s="6">
        <v>328</v>
      </c>
      <c r="AN331" s="17">
        <v>328</v>
      </c>
      <c r="AO331" s="6">
        <v>1.0774300000000001</v>
      </c>
      <c r="AP331" s="19">
        <v>-2.6154999999999999</v>
      </c>
      <c r="AQ331" s="6">
        <v>0.54769999999999996</v>
      </c>
      <c r="AR331" s="6">
        <v>328</v>
      </c>
      <c r="AT331" s="17">
        <v>328</v>
      </c>
      <c r="AU331" s="6">
        <v>0.56855</v>
      </c>
      <c r="AV331" s="19">
        <v>-2.6154999999999999</v>
      </c>
      <c r="AW331" s="6">
        <v>0.54769999999999996</v>
      </c>
      <c r="AX331" s="6">
        <v>328</v>
      </c>
    </row>
    <row r="332" spans="1:50" x14ac:dyDescent="0.25">
      <c r="A332" s="34" t="s">
        <v>97</v>
      </c>
      <c r="B332" s="35">
        <v>3</v>
      </c>
      <c r="C332" s="35">
        <v>1</v>
      </c>
      <c r="D332" s="35">
        <v>6</v>
      </c>
      <c r="E332" s="35">
        <v>14</v>
      </c>
      <c r="F332" s="2">
        <v>61.6</v>
      </c>
      <c r="G332">
        <v>84.149622353614333</v>
      </c>
      <c r="Q332" s="17">
        <v>330</v>
      </c>
      <c r="R332" s="6">
        <v>2.3925399999999999</v>
      </c>
      <c r="S332" s="6">
        <v>2.5185</v>
      </c>
      <c r="T332" s="6">
        <v>2.3048000000000002</v>
      </c>
      <c r="U332" s="6">
        <v>328</v>
      </c>
      <c r="W332" s="17">
        <v>330</v>
      </c>
      <c r="X332" s="6">
        <v>4.5340299999999996</v>
      </c>
      <c r="Y332" s="6">
        <v>2.5185</v>
      </c>
      <c r="Z332" s="6">
        <v>2.3048000000000002</v>
      </c>
      <c r="AA332" s="6">
        <v>328</v>
      </c>
      <c r="AN332" s="17">
        <v>329</v>
      </c>
      <c r="AO332" s="6">
        <v>1.0664400000000001</v>
      </c>
      <c r="AP332" s="19">
        <v>-4.3339999999999996</v>
      </c>
      <c r="AQ332" s="6">
        <v>0.54210000000000003</v>
      </c>
      <c r="AR332" s="6">
        <v>328</v>
      </c>
      <c r="AT332" s="17">
        <v>329</v>
      </c>
      <c r="AU332" s="6">
        <v>0.56274000000000002</v>
      </c>
      <c r="AV332" s="19">
        <v>-4.3339999999999996</v>
      </c>
      <c r="AW332" s="6">
        <v>0.54210000000000003</v>
      </c>
      <c r="AX332" s="6">
        <v>328</v>
      </c>
    </row>
    <row r="333" spans="1:50" x14ac:dyDescent="0.25">
      <c r="A333" s="31" t="s">
        <v>132</v>
      </c>
      <c r="B333" s="32">
        <v>1</v>
      </c>
      <c r="C333" s="32">
        <v>16</v>
      </c>
      <c r="D333" s="32">
        <v>1</v>
      </c>
      <c r="E333" s="32">
        <v>14</v>
      </c>
      <c r="F333" s="2">
        <v>61.5</v>
      </c>
      <c r="G333">
        <v>62.580352924159875</v>
      </c>
      <c r="Q333" s="17">
        <v>331</v>
      </c>
      <c r="R333" s="6">
        <v>2.3752399999999998</v>
      </c>
      <c r="S333" s="19">
        <v>-2.2582</v>
      </c>
      <c r="T333" s="6">
        <v>2.2881</v>
      </c>
      <c r="U333" s="6">
        <v>328</v>
      </c>
      <c r="W333" s="17">
        <v>331</v>
      </c>
      <c r="X333" s="6">
        <v>4.5012499999999998</v>
      </c>
      <c r="Y333" s="19">
        <v>-2.2582</v>
      </c>
      <c r="Z333" s="6">
        <v>2.2881</v>
      </c>
      <c r="AA333" s="6">
        <v>328</v>
      </c>
      <c r="AN333" s="17">
        <v>330</v>
      </c>
      <c r="AO333" s="6">
        <v>1.0757300000000001</v>
      </c>
      <c r="AP333" s="19">
        <v>-1.823</v>
      </c>
      <c r="AQ333" s="6">
        <v>0.54679999999999995</v>
      </c>
      <c r="AR333" s="6">
        <v>328</v>
      </c>
      <c r="AT333" s="17">
        <v>330</v>
      </c>
      <c r="AU333" s="6">
        <v>0.56764999999999999</v>
      </c>
      <c r="AV333" s="19">
        <v>-1.823</v>
      </c>
      <c r="AW333" s="6">
        <v>0.54679999999999995</v>
      </c>
      <c r="AX333" s="6">
        <v>328</v>
      </c>
    </row>
    <row r="334" spans="1:50" x14ac:dyDescent="0.25">
      <c r="A334" s="31" t="s">
        <v>132</v>
      </c>
      <c r="B334" s="32">
        <v>2</v>
      </c>
      <c r="C334" s="32">
        <v>2</v>
      </c>
      <c r="D334" s="32">
        <v>4</v>
      </c>
      <c r="E334" s="32">
        <v>14</v>
      </c>
      <c r="F334" s="2">
        <v>62.1</v>
      </c>
      <c r="G334">
        <v>70.813618430665827</v>
      </c>
      <c r="Q334" s="17">
        <v>332</v>
      </c>
      <c r="R334" s="6">
        <v>2.3877199999999998</v>
      </c>
      <c r="S334" s="19">
        <v>-8.2368000000000006</v>
      </c>
      <c r="T334" s="6">
        <v>2.3001</v>
      </c>
      <c r="U334" s="6">
        <v>328</v>
      </c>
      <c r="W334" s="17">
        <v>332</v>
      </c>
      <c r="X334" s="6">
        <v>4.5248900000000001</v>
      </c>
      <c r="Y334" s="19">
        <v>-8.2368000000000006</v>
      </c>
      <c r="Z334" s="6">
        <v>2.3001</v>
      </c>
      <c r="AA334" s="6">
        <v>328</v>
      </c>
      <c r="AN334" s="17">
        <v>331</v>
      </c>
      <c r="AO334" s="6">
        <v>1.0624800000000001</v>
      </c>
      <c r="AP334" s="19">
        <v>-2.6945999999999999</v>
      </c>
      <c r="AQ334" s="6">
        <v>0.54010000000000002</v>
      </c>
      <c r="AR334" s="6">
        <v>328</v>
      </c>
      <c r="AT334" s="17">
        <v>331</v>
      </c>
      <c r="AU334" s="6">
        <v>0.56064999999999998</v>
      </c>
      <c r="AV334" s="19">
        <v>-2.6945999999999999</v>
      </c>
      <c r="AW334" s="6">
        <v>0.54010000000000002</v>
      </c>
      <c r="AX334" s="6">
        <v>328</v>
      </c>
    </row>
    <row r="335" spans="1:50" x14ac:dyDescent="0.25">
      <c r="A335" s="31" t="s">
        <v>132</v>
      </c>
      <c r="B335" s="32">
        <v>3</v>
      </c>
      <c r="C335" s="32">
        <v>14</v>
      </c>
      <c r="D335" s="32">
        <v>5</v>
      </c>
      <c r="E335" s="32">
        <v>14</v>
      </c>
      <c r="F335" s="2">
        <v>62.3</v>
      </c>
      <c r="G335">
        <v>66.783930955559782</v>
      </c>
      <c r="Q335" s="17">
        <v>333</v>
      </c>
      <c r="R335" s="6">
        <v>2.38367</v>
      </c>
      <c r="S335" s="19">
        <v>-6.2351999999999999</v>
      </c>
      <c r="T335" s="6">
        <v>2.2961999999999998</v>
      </c>
      <c r="U335" s="6">
        <v>328</v>
      </c>
      <c r="W335" s="17">
        <v>333</v>
      </c>
      <c r="X335" s="6">
        <v>4.51722</v>
      </c>
      <c r="Y335" s="19">
        <v>-6.2351999999999999</v>
      </c>
      <c r="Z335" s="6">
        <v>2.2961999999999998</v>
      </c>
      <c r="AA335" s="6">
        <v>328</v>
      </c>
      <c r="AN335" s="17">
        <v>332</v>
      </c>
      <c r="AO335" s="6">
        <v>1.07012</v>
      </c>
      <c r="AP335" s="19">
        <v>-3.1425000000000001</v>
      </c>
      <c r="AQ335" s="6">
        <v>0.54400000000000004</v>
      </c>
      <c r="AR335" s="6">
        <v>328</v>
      </c>
      <c r="AT335" s="17">
        <v>332</v>
      </c>
      <c r="AU335" s="6">
        <v>0.56469000000000003</v>
      </c>
      <c r="AV335" s="19">
        <v>-3.1425000000000001</v>
      </c>
      <c r="AW335" s="6">
        <v>0.54400000000000004</v>
      </c>
      <c r="AX335" s="6">
        <v>328</v>
      </c>
    </row>
    <row r="336" spans="1:50" x14ac:dyDescent="0.25">
      <c r="A336" s="31" t="s">
        <v>13</v>
      </c>
      <c r="B336" s="32">
        <v>1</v>
      </c>
      <c r="C336" s="36">
        <v>1</v>
      </c>
      <c r="D336" s="36">
        <v>1</v>
      </c>
      <c r="E336" s="32">
        <v>14</v>
      </c>
      <c r="F336" s="12">
        <v>58.9</v>
      </c>
      <c r="G336">
        <v>76.619784999999993</v>
      </c>
      <c r="Q336" s="17">
        <v>334</v>
      </c>
      <c r="R336" s="6">
        <v>2.3731300000000002</v>
      </c>
      <c r="S336" s="6">
        <v>7.3691000000000004</v>
      </c>
      <c r="T336" s="6">
        <v>2.2860999999999998</v>
      </c>
      <c r="U336" s="6">
        <v>328</v>
      </c>
      <c r="W336" s="17">
        <v>334</v>
      </c>
      <c r="X336" s="6">
        <v>4.4972500000000002</v>
      </c>
      <c r="Y336" s="6">
        <v>7.3691000000000004</v>
      </c>
      <c r="Z336" s="6">
        <v>2.2860999999999998</v>
      </c>
      <c r="AA336" s="6">
        <v>328</v>
      </c>
      <c r="AN336" s="17">
        <v>333</v>
      </c>
      <c r="AO336" s="6">
        <v>1.0713299999999999</v>
      </c>
      <c r="AP336" s="19">
        <v>-3.1446000000000001</v>
      </c>
      <c r="AQ336" s="6">
        <v>0.54459999999999997</v>
      </c>
      <c r="AR336" s="6">
        <v>328</v>
      </c>
      <c r="AT336" s="17">
        <v>333</v>
      </c>
      <c r="AU336" s="6">
        <v>0.56533</v>
      </c>
      <c r="AV336" s="19">
        <v>-3.1446000000000001</v>
      </c>
      <c r="AW336" s="6">
        <v>0.54459999999999997</v>
      </c>
      <c r="AX336" s="6">
        <v>328</v>
      </c>
    </row>
    <row r="337" spans="1:50" x14ac:dyDescent="0.25">
      <c r="A337" s="31" t="s">
        <v>13</v>
      </c>
      <c r="B337" s="32">
        <v>2</v>
      </c>
      <c r="C337" s="36">
        <v>8</v>
      </c>
      <c r="D337" s="36">
        <v>4</v>
      </c>
      <c r="E337" s="32">
        <v>14</v>
      </c>
      <c r="F337" s="12">
        <v>58.4</v>
      </c>
      <c r="G337">
        <v>72.672600000000003</v>
      </c>
      <c r="Q337" s="17">
        <v>335</v>
      </c>
      <c r="R337" s="6">
        <v>2.37487</v>
      </c>
      <c r="S337" s="6">
        <v>2.4603000000000002</v>
      </c>
      <c r="T337" s="6">
        <v>2.2877999999999998</v>
      </c>
      <c r="U337" s="6">
        <v>328</v>
      </c>
      <c r="W337" s="17">
        <v>335</v>
      </c>
      <c r="X337" s="6">
        <v>4.5005499999999996</v>
      </c>
      <c r="Y337" s="6">
        <v>2.4603000000000002</v>
      </c>
      <c r="Z337" s="6">
        <v>2.2877999999999998</v>
      </c>
      <c r="AA337" s="6">
        <v>328</v>
      </c>
      <c r="AN337" s="17">
        <v>334</v>
      </c>
      <c r="AO337" s="6">
        <v>1.0689</v>
      </c>
      <c r="AP337" s="6">
        <v>2.0701000000000001</v>
      </c>
      <c r="AQ337" s="6">
        <v>0.54339999999999999</v>
      </c>
      <c r="AR337" s="6">
        <v>328</v>
      </c>
      <c r="AT337" s="17">
        <v>334</v>
      </c>
      <c r="AU337" s="6">
        <v>0.56403999999999999</v>
      </c>
      <c r="AV337" s="6">
        <v>2.0701000000000001</v>
      </c>
      <c r="AW337" s="6">
        <v>0.54339999999999999</v>
      </c>
      <c r="AX337" s="6">
        <v>328</v>
      </c>
    </row>
    <row r="338" spans="1:50" x14ac:dyDescent="0.25">
      <c r="A338" s="31" t="s">
        <v>13</v>
      </c>
      <c r="B338" s="32">
        <v>3</v>
      </c>
      <c r="C338" s="36">
        <v>9</v>
      </c>
      <c r="D338" s="36">
        <v>5</v>
      </c>
      <c r="E338" s="32">
        <v>14</v>
      </c>
      <c r="F338" s="12">
        <v>59</v>
      </c>
      <c r="G338">
        <v>76.070279999999997</v>
      </c>
      <c r="Q338" s="17">
        <v>336</v>
      </c>
      <c r="R338" s="6">
        <v>2.3791699999999998</v>
      </c>
      <c r="S338" s="19">
        <v>-1.7888999999999999</v>
      </c>
      <c r="T338" s="6">
        <v>2.2919</v>
      </c>
      <c r="U338" s="6">
        <v>328</v>
      </c>
      <c r="W338" s="17">
        <v>336</v>
      </c>
      <c r="X338" s="6">
        <v>4.5086899999999996</v>
      </c>
      <c r="Y338" s="19">
        <v>-1.7888999999999999</v>
      </c>
      <c r="Z338" s="6">
        <v>2.2919</v>
      </c>
      <c r="AA338" s="6">
        <v>328</v>
      </c>
      <c r="AN338" s="17">
        <v>335</v>
      </c>
      <c r="AO338" s="6">
        <v>1.0635300000000001</v>
      </c>
      <c r="AP338" s="6">
        <v>0.75070000000000003</v>
      </c>
      <c r="AQ338" s="6">
        <v>0.54059999999999997</v>
      </c>
      <c r="AR338" s="6">
        <v>328</v>
      </c>
      <c r="AT338" s="17">
        <v>335</v>
      </c>
      <c r="AU338" s="6">
        <v>0.56120999999999999</v>
      </c>
      <c r="AV338" s="6">
        <v>0.75070000000000003</v>
      </c>
      <c r="AW338" s="6">
        <v>0.54059999999999997</v>
      </c>
      <c r="AX338" s="6">
        <v>328</v>
      </c>
    </row>
    <row r="339" spans="1:50" x14ac:dyDescent="0.25">
      <c r="A339" t="s">
        <v>7</v>
      </c>
      <c r="B339" s="11">
        <v>1</v>
      </c>
      <c r="C339" s="11">
        <v>6</v>
      </c>
      <c r="D339" s="11">
        <v>2</v>
      </c>
      <c r="E339" s="11">
        <v>14</v>
      </c>
      <c r="F339" s="12">
        <v>57</v>
      </c>
      <c r="G339">
        <v>46.123532058492678</v>
      </c>
      <c r="Q339" s="17">
        <v>337</v>
      </c>
      <c r="R339" s="6">
        <v>2.38035</v>
      </c>
      <c r="S339" s="6">
        <v>0.44519999999999998</v>
      </c>
      <c r="T339" s="6">
        <v>2.2930000000000001</v>
      </c>
      <c r="U339" s="6">
        <v>328</v>
      </c>
      <c r="W339" s="17">
        <v>337</v>
      </c>
      <c r="X339" s="6">
        <v>4.5109300000000001</v>
      </c>
      <c r="Y339" s="6">
        <v>0.44519999999999998</v>
      </c>
      <c r="Z339" s="6">
        <v>2.2930000000000001</v>
      </c>
      <c r="AA339" s="6">
        <v>328</v>
      </c>
      <c r="AN339" s="17">
        <v>336</v>
      </c>
      <c r="AO339" s="6">
        <v>1.06908</v>
      </c>
      <c r="AP339" s="6">
        <v>0.2487</v>
      </c>
      <c r="AQ339" s="6">
        <v>0.54339999999999999</v>
      </c>
      <c r="AR339" s="6">
        <v>328</v>
      </c>
      <c r="AT339" s="17">
        <v>336</v>
      </c>
      <c r="AU339" s="6">
        <v>0.56413999999999997</v>
      </c>
      <c r="AV339" s="6">
        <v>0.2487</v>
      </c>
      <c r="AW339" s="6">
        <v>0.54339999999999999</v>
      </c>
      <c r="AX339" s="6">
        <v>328</v>
      </c>
    </row>
    <row r="340" spans="1:50" x14ac:dyDescent="0.25">
      <c r="A340" t="s">
        <v>7</v>
      </c>
      <c r="B340" s="11">
        <v>2</v>
      </c>
      <c r="C340" s="11">
        <v>10</v>
      </c>
      <c r="D340" s="11">
        <v>7</v>
      </c>
      <c r="E340" s="11">
        <v>14</v>
      </c>
      <c r="F340" s="12">
        <v>49.3</v>
      </c>
      <c r="G340">
        <v>58.703488015340348</v>
      </c>
      <c r="Q340" s="17">
        <v>338</v>
      </c>
      <c r="R340" s="6">
        <v>2.3876400000000002</v>
      </c>
      <c r="S340" s="6">
        <v>0.47599999999999998</v>
      </c>
      <c r="T340" s="6">
        <v>2.3001</v>
      </c>
      <c r="U340" s="6">
        <v>328</v>
      </c>
      <c r="W340" s="17">
        <v>338</v>
      </c>
      <c r="X340" s="6">
        <v>4.5247400000000004</v>
      </c>
      <c r="Y340" s="6">
        <v>0.47599999999999998</v>
      </c>
      <c r="Z340" s="6">
        <v>2.3001</v>
      </c>
      <c r="AA340" s="6">
        <v>328</v>
      </c>
      <c r="AN340" s="17">
        <v>337</v>
      </c>
      <c r="AO340" s="6">
        <v>1.06549</v>
      </c>
      <c r="AP340" s="6">
        <v>2.3925999999999998</v>
      </c>
      <c r="AQ340" s="6">
        <v>0.54159999999999997</v>
      </c>
      <c r="AR340" s="6">
        <v>328</v>
      </c>
      <c r="AT340" s="17">
        <v>337</v>
      </c>
      <c r="AU340" s="6">
        <v>0.56223999999999996</v>
      </c>
      <c r="AV340" s="6">
        <v>2.3925999999999998</v>
      </c>
      <c r="AW340" s="6">
        <v>0.54159999999999997</v>
      </c>
      <c r="AX340" s="6">
        <v>328</v>
      </c>
    </row>
    <row r="341" spans="1:50" x14ac:dyDescent="0.25">
      <c r="A341" t="s">
        <v>7</v>
      </c>
      <c r="B341" s="11">
        <v>3</v>
      </c>
      <c r="C341" s="11">
        <v>2</v>
      </c>
      <c r="D341" s="11">
        <v>10</v>
      </c>
      <c r="E341" s="11">
        <v>14</v>
      </c>
      <c r="F341" s="12">
        <v>53.7</v>
      </c>
      <c r="G341">
        <v>45.865185613173466</v>
      </c>
      <c r="Q341" s="17">
        <v>339</v>
      </c>
      <c r="R341" s="6">
        <v>2.3879899999999998</v>
      </c>
      <c r="S341" s="6">
        <v>1.8478000000000001</v>
      </c>
      <c r="T341" s="6">
        <v>2.3003999999999998</v>
      </c>
      <c r="U341" s="6">
        <v>328</v>
      </c>
      <c r="W341" s="17">
        <v>339</v>
      </c>
      <c r="X341" s="6">
        <v>4.5254099999999999</v>
      </c>
      <c r="Y341" s="6">
        <v>1.8478000000000001</v>
      </c>
      <c r="Z341" s="6">
        <v>2.3003999999999998</v>
      </c>
      <c r="AA341" s="6">
        <v>328</v>
      </c>
      <c r="AN341" s="17">
        <v>338</v>
      </c>
      <c r="AO341" s="6">
        <v>1.0672600000000001</v>
      </c>
      <c r="AP341" s="6">
        <v>0.42920000000000003</v>
      </c>
      <c r="AQ341" s="6">
        <v>0.54249999999999998</v>
      </c>
      <c r="AR341" s="6">
        <v>328</v>
      </c>
      <c r="AT341" s="17">
        <v>338</v>
      </c>
      <c r="AU341" s="6">
        <v>0.56318000000000001</v>
      </c>
      <c r="AV341" s="6">
        <v>0.42920000000000003</v>
      </c>
      <c r="AW341" s="6">
        <v>0.54249999999999998</v>
      </c>
      <c r="AX341" s="6">
        <v>328</v>
      </c>
    </row>
    <row r="342" spans="1:50" x14ac:dyDescent="0.25">
      <c r="A342" s="31" t="s">
        <v>156</v>
      </c>
      <c r="B342" s="32">
        <v>1</v>
      </c>
      <c r="C342" s="32">
        <v>15</v>
      </c>
      <c r="D342" s="32">
        <v>1</v>
      </c>
      <c r="E342" s="32">
        <v>14</v>
      </c>
      <c r="F342" s="2">
        <v>58</v>
      </c>
      <c r="G342">
        <v>48.031118943156066</v>
      </c>
      <c r="Q342" s="17">
        <v>340</v>
      </c>
      <c r="R342" s="6">
        <v>2.39073</v>
      </c>
      <c r="S342" s="6">
        <v>7.2106000000000003</v>
      </c>
      <c r="T342" s="6">
        <v>2.3029999999999999</v>
      </c>
      <c r="U342" s="6">
        <v>328</v>
      </c>
      <c r="W342" s="17">
        <v>340</v>
      </c>
      <c r="X342" s="6">
        <v>4.5305900000000001</v>
      </c>
      <c r="Y342" s="6">
        <v>7.2106000000000003</v>
      </c>
      <c r="Z342" s="6">
        <v>2.3029999999999999</v>
      </c>
      <c r="AA342" s="6">
        <v>328</v>
      </c>
      <c r="AN342" s="17">
        <v>339</v>
      </c>
      <c r="AO342" s="6">
        <v>1.0682700000000001</v>
      </c>
      <c r="AP342" s="6">
        <v>2.1450999999999998</v>
      </c>
      <c r="AQ342" s="6">
        <v>0.54300000000000004</v>
      </c>
      <c r="AR342" s="6">
        <v>328</v>
      </c>
      <c r="AT342" s="17">
        <v>339</v>
      </c>
      <c r="AU342" s="6">
        <v>0.56371000000000004</v>
      </c>
      <c r="AV342" s="6">
        <v>2.1450999999999998</v>
      </c>
      <c r="AW342" s="6">
        <v>0.54300000000000004</v>
      </c>
      <c r="AX342" s="6">
        <v>328</v>
      </c>
    </row>
    <row r="343" spans="1:50" x14ac:dyDescent="0.25">
      <c r="A343" s="31" t="s">
        <v>156</v>
      </c>
      <c r="B343" s="32">
        <v>2</v>
      </c>
      <c r="C343" s="32">
        <v>14</v>
      </c>
      <c r="D343" s="32">
        <v>4</v>
      </c>
      <c r="E343" s="32">
        <v>14</v>
      </c>
      <c r="F343" s="2">
        <v>60.1</v>
      </c>
      <c r="G343">
        <v>51.018582646441985</v>
      </c>
      <c r="Q343" s="17">
        <v>341</v>
      </c>
      <c r="R343" s="6">
        <v>2.38598</v>
      </c>
      <c r="S343" s="19">
        <v>-0.78120000000000001</v>
      </c>
      <c r="T343" s="6">
        <v>2.2985000000000002</v>
      </c>
      <c r="U343" s="6">
        <v>328</v>
      </c>
      <c r="W343" s="17">
        <v>341</v>
      </c>
      <c r="X343" s="6">
        <v>4.5215899999999998</v>
      </c>
      <c r="Y343" s="19">
        <v>-0.78120000000000001</v>
      </c>
      <c r="Z343" s="6">
        <v>2.2985000000000002</v>
      </c>
      <c r="AA343" s="6">
        <v>328</v>
      </c>
      <c r="AN343" s="17">
        <v>340</v>
      </c>
      <c r="AO343" s="6">
        <v>1.07565</v>
      </c>
      <c r="AP343" s="6">
        <v>2.5419</v>
      </c>
      <c r="AQ343" s="6">
        <v>0.54679999999999995</v>
      </c>
      <c r="AR343" s="6">
        <v>328</v>
      </c>
      <c r="AT343" s="17">
        <v>340</v>
      </c>
      <c r="AU343" s="6">
        <v>0.56759999999999999</v>
      </c>
      <c r="AV343" s="6">
        <v>2.5419</v>
      </c>
      <c r="AW343" s="6">
        <v>0.54679999999999995</v>
      </c>
      <c r="AX343" s="6">
        <v>328</v>
      </c>
    </row>
    <row r="344" spans="1:50" x14ac:dyDescent="0.25">
      <c r="A344" s="31" t="s">
        <v>156</v>
      </c>
      <c r="B344" s="32">
        <v>3</v>
      </c>
      <c r="C344" s="32">
        <v>20</v>
      </c>
      <c r="D344" s="32">
        <v>5</v>
      </c>
      <c r="E344" s="32">
        <v>14</v>
      </c>
      <c r="F344" s="2">
        <v>58.9</v>
      </c>
      <c r="G344">
        <v>45.217768836444527</v>
      </c>
      <c r="Q344" s="17">
        <v>342</v>
      </c>
      <c r="R344" s="6">
        <v>2.3759000000000001</v>
      </c>
      <c r="S344" s="6">
        <v>0.66300000000000003</v>
      </c>
      <c r="T344" s="6">
        <v>2.2888000000000002</v>
      </c>
      <c r="U344" s="6">
        <v>328</v>
      </c>
      <c r="W344" s="17">
        <v>342</v>
      </c>
      <c r="X344" s="6">
        <v>4.5025000000000004</v>
      </c>
      <c r="Y344" s="6">
        <v>0.66300000000000003</v>
      </c>
      <c r="Z344" s="6">
        <v>2.2888000000000002</v>
      </c>
      <c r="AA344" s="6">
        <v>328</v>
      </c>
      <c r="AN344" s="17">
        <v>341</v>
      </c>
      <c r="AO344" s="6">
        <v>1.0700499999999999</v>
      </c>
      <c r="AP344" s="6">
        <v>1.1325000000000001</v>
      </c>
      <c r="AQ344" s="6">
        <v>0.54390000000000005</v>
      </c>
      <c r="AR344" s="6">
        <v>328</v>
      </c>
      <c r="AT344" s="17">
        <v>341</v>
      </c>
      <c r="AU344" s="6">
        <v>0.56464999999999999</v>
      </c>
      <c r="AV344" s="6">
        <v>1.1325000000000001</v>
      </c>
      <c r="AW344" s="6">
        <v>0.54390000000000005</v>
      </c>
      <c r="AX344" s="6">
        <v>328</v>
      </c>
    </row>
    <row r="345" spans="1:50" x14ac:dyDescent="0.25">
      <c r="A345" s="31" t="s">
        <v>10</v>
      </c>
      <c r="B345" s="32">
        <v>1</v>
      </c>
      <c r="C345" s="32">
        <v>7</v>
      </c>
      <c r="D345" s="32">
        <v>4</v>
      </c>
      <c r="E345" s="32">
        <v>14</v>
      </c>
      <c r="F345" s="2">
        <v>59.2</v>
      </c>
      <c r="G345">
        <v>59.556348403871155</v>
      </c>
      <c r="Q345" s="17">
        <v>343</v>
      </c>
      <c r="R345" s="6">
        <v>2.3847499999999999</v>
      </c>
      <c r="S345" s="6">
        <v>2.9661</v>
      </c>
      <c r="T345" s="6">
        <v>2.2972999999999999</v>
      </c>
      <c r="U345" s="6">
        <v>328</v>
      </c>
      <c r="W345" s="17">
        <v>343</v>
      </c>
      <c r="X345" s="6">
        <v>4.5192699999999997</v>
      </c>
      <c r="Y345" s="6">
        <v>2.9661</v>
      </c>
      <c r="Z345" s="6">
        <v>2.2972999999999999</v>
      </c>
      <c r="AA345" s="6">
        <v>328</v>
      </c>
      <c r="AN345" s="17">
        <v>342</v>
      </c>
      <c r="AO345" s="6">
        <v>1.06416</v>
      </c>
      <c r="AP345" s="6">
        <v>1.4782</v>
      </c>
      <c r="AQ345" s="6">
        <v>0.54090000000000005</v>
      </c>
      <c r="AR345" s="6">
        <v>328</v>
      </c>
      <c r="AT345" s="17">
        <v>342</v>
      </c>
      <c r="AU345" s="6">
        <v>0.56154000000000004</v>
      </c>
      <c r="AV345" s="6">
        <v>1.4782</v>
      </c>
      <c r="AW345" s="6">
        <v>0.54090000000000005</v>
      </c>
      <c r="AX345" s="6">
        <v>328</v>
      </c>
    </row>
    <row r="346" spans="1:50" x14ac:dyDescent="0.25">
      <c r="A346" s="31" t="s">
        <v>10</v>
      </c>
      <c r="B346" s="32">
        <v>2</v>
      </c>
      <c r="C346" s="32">
        <v>12</v>
      </c>
      <c r="D346" s="32">
        <v>6</v>
      </c>
      <c r="E346" s="32">
        <v>14</v>
      </c>
      <c r="F346" s="2">
        <v>57.4</v>
      </c>
      <c r="G346">
        <v>50.191903323262835</v>
      </c>
      <c r="Q346" s="17">
        <v>344</v>
      </c>
      <c r="R346" s="6">
        <v>2.39866</v>
      </c>
      <c r="S346" s="6">
        <v>4.9930000000000003</v>
      </c>
      <c r="T346" s="6">
        <v>2.3107000000000002</v>
      </c>
      <c r="U346" s="6">
        <v>328</v>
      </c>
      <c r="W346" s="17">
        <v>344</v>
      </c>
      <c r="X346" s="6">
        <v>4.5456300000000001</v>
      </c>
      <c r="Y346" s="6">
        <v>4.9930000000000003</v>
      </c>
      <c r="Z346" s="6">
        <v>2.3107000000000002</v>
      </c>
      <c r="AA346" s="6">
        <v>328</v>
      </c>
      <c r="AN346" s="17">
        <v>343</v>
      </c>
      <c r="AO346" s="6">
        <v>1.0664499999999999</v>
      </c>
      <c r="AP346" s="6">
        <v>0.40710000000000002</v>
      </c>
      <c r="AQ346" s="6">
        <v>0.54210000000000003</v>
      </c>
      <c r="AR346" s="6">
        <v>328</v>
      </c>
      <c r="AT346" s="17">
        <v>343</v>
      </c>
      <c r="AU346" s="6">
        <v>0.56274999999999997</v>
      </c>
      <c r="AV346" s="6">
        <v>0.40710000000000002</v>
      </c>
      <c r="AW346" s="6">
        <v>0.54210000000000003</v>
      </c>
      <c r="AX346" s="6">
        <v>328</v>
      </c>
    </row>
    <row r="347" spans="1:50" x14ac:dyDescent="0.25">
      <c r="A347" s="31" t="s">
        <v>10</v>
      </c>
      <c r="B347" s="32">
        <v>3</v>
      </c>
      <c r="C347" s="32">
        <v>1</v>
      </c>
      <c r="D347" s="32">
        <v>12</v>
      </c>
      <c r="E347" s="32">
        <v>14</v>
      </c>
      <c r="F347" s="2">
        <v>58.5</v>
      </c>
      <c r="G347">
        <v>50.76840879120877</v>
      </c>
      <c r="Q347" s="17">
        <v>345</v>
      </c>
      <c r="R347" s="6">
        <v>2.3833799999999998</v>
      </c>
      <c r="S347" s="6">
        <v>0.99260000000000004</v>
      </c>
      <c r="T347" s="6">
        <v>2.2959999999999998</v>
      </c>
      <c r="U347" s="6">
        <v>328</v>
      </c>
      <c r="W347" s="17">
        <v>345</v>
      </c>
      <c r="X347" s="6">
        <v>4.5166700000000004</v>
      </c>
      <c r="Y347" s="6">
        <v>0.99260000000000004</v>
      </c>
      <c r="Z347" s="6">
        <v>2.2959999999999998</v>
      </c>
      <c r="AA347" s="6">
        <v>328</v>
      </c>
      <c r="AN347" s="17">
        <v>344</v>
      </c>
      <c r="AO347" s="6">
        <v>1.07125</v>
      </c>
      <c r="AP347" s="6">
        <v>0.71899999999999997</v>
      </c>
      <c r="AQ347" s="6">
        <v>0.54449999999999998</v>
      </c>
      <c r="AR347" s="6">
        <v>328</v>
      </c>
      <c r="AT347" s="17">
        <v>344</v>
      </c>
      <c r="AU347" s="6">
        <v>0.56528</v>
      </c>
      <c r="AV347" s="6">
        <v>0.71899999999999997</v>
      </c>
      <c r="AW347" s="6">
        <v>0.54449999999999998</v>
      </c>
      <c r="AX347" s="6">
        <v>328</v>
      </c>
    </row>
    <row r="348" spans="1:50" x14ac:dyDescent="0.25">
      <c r="A348" s="31" t="s">
        <v>11</v>
      </c>
      <c r="B348" s="32">
        <v>1</v>
      </c>
      <c r="C348" s="32">
        <v>12</v>
      </c>
      <c r="D348" s="32">
        <v>1</v>
      </c>
      <c r="E348" s="11">
        <v>14</v>
      </c>
      <c r="F348" s="2" t="s">
        <v>12</v>
      </c>
      <c r="G348">
        <v>18.332572637091495</v>
      </c>
      <c r="Q348" s="17">
        <v>346</v>
      </c>
      <c r="R348" s="6">
        <v>2.3986800000000001</v>
      </c>
      <c r="S348" s="6">
        <v>3.2121</v>
      </c>
      <c r="T348" s="6">
        <v>2.3107000000000002</v>
      </c>
      <c r="U348" s="6">
        <v>328</v>
      </c>
      <c r="W348" s="17">
        <v>346</v>
      </c>
      <c r="X348" s="6">
        <v>4.5456700000000003</v>
      </c>
      <c r="Y348" s="6">
        <v>3.2121</v>
      </c>
      <c r="Z348" s="6">
        <v>2.3107000000000002</v>
      </c>
      <c r="AA348" s="6">
        <v>328</v>
      </c>
      <c r="AN348" s="17">
        <v>345</v>
      </c>
      <c r="AO348" s="6">
        <v>1.0815600000000001</v>
      </c>
      <c r="AP348" s="6">
        <v>1.7733000000000001</v>
      </c>
      <c r="AQ348" s="6">
        <v>0.54979999999999996</v>
      </c>
      <c r="AR348" s="6">
        <v>328</v>
      </c>
      <c r="AT348" s="17">
        <v>345</v>
      </c>
      <c r="AU348" s="6">
        <v>0.57072000000000001</v>
      </c>
      <c r="AV348" s="6">
        <v>1.7733000000000001</v>
      </c>
      <c r="AW348" s="6">
        <v>0.54979999999999996</v>
      </c>
      <c r="AX348" s="6">
        <v>328</v>
      </c>
    </row>
    <row r="349" spans="1:50" x14ac:dyDescent="0.25">
      <c r="A349" s="31" t="s">
        <v>11</v>
      </c>
      <c r="B349" s="32">
        <v>2</v>
      </c>
      <c r="C349" s="32">
        <v>14</v>
      </c>
      <c r="D349" s="32">
        <v>5</v>
      </c>
      <c r="E349" s="11">
        <v>14</v>
      </c>
      <c r="F349" s="2">
        <v>61</v>
      </c>
      <c r="G349">
        <v>25.792057851635452</v>
      </c>
      <c r="Q349" s="17">
        <v>347</v>
      </c>
      <c r="R349" s="6">
        <v>2.3997600000000001</v>
      </c>
      <c r="S349" s="19">
        <v>-5.4204999999999997</v>
      </c>
      <c r="T349" s="6">
        <v>2.3117000000000001</v>
      </c>
      <c r="U349" s="6">
        <v>328</v>
      </c>
      <c r="W349" s="17">
        <v>347</v>
      </c>
      <c r="X349" s="6">
        <v>4.5477100000000004</v>
      </c>
      <c r="Y349" s="19">
        <v>-5.4204999999999997</v>
      </c>
      <c r="Z349" s="6">
        <v>2.3117000000000001</v>
      </c>
      <c r="AA349" s="6">
        <v>328</v>
      </c>
      <c r="AN349" s="17">
        <v>346</v>
      </c>
      <c r="AO349" s="6">
        <v>1.07446</v>
      </c>
      <c r="AP349" s="6">
        <v>1.6829000000000001</v>
      </c>
      <c r="AQ349" s="6">
        <v>0.54620000000000002</v>
      </c>
      <c r="AR349" s="6">
        <v>328</v>
      </c>
      <c r="AT349" s="17">
        <v>346</v>
      </c>
      <c r="AU349" s="6">
        <v>0.56696999999999997</v>
      </c>
      <c r="AV349" s="6">
        <v>1.6829000000000001</v>
      </c>
      <c r="AW349" s="6">
        <v>0.54620000000000002</v>
      </c>
      <c r="AX349" s="6">
        <v>328</v>
      </c>
    </row>
    <row r="350" spans="1:50" x14ac:dyDescent="0.25">
      <c r="A350" s="31" t="s">
        <v>11</v>
      </c>
      <c r="B350" s="32">
        <v>3</v>
      </c>
      <c r="C350" s="32">
        <v>17</v>
      </c>
      <c r="D350" s="32">
        <v>9</v>
      </c>
      <c r="E350" s="11">
        <v>14</v>
      </c>
      <c r="F350" s="2">
        <v>58.9</v>
      </c>
      <c r="G350">
        <v>27.867006960556839</v>
      </c>
      <c r="Q350" s="17">
        <v>348</v>
      </c>
      <c r="R350" s="6">
        <v>2.3921600000000001</v>
      </c>
      <c r="S350" s="6">
        <v>1.5012000000000001</v>
      </c>
      <c r="T350" s="6">
        <v>2.3043999999999998</v>
      </c>
      <c r="U350" s="6">
        <v>328</v>
      </c>
      <c r="W350" s="17">
        <v>348</v>
      </c>
      <c r="X350" s="6">
        <v>4.5332999999999997</v>
      </c>
      <c r="Y350" s="6">
        <v>1.5012000000000001</v>
      </c>
      <c r="Z350" s="6">
        <v>2.3043999999999998</v>
      </c>
      <c r="AA350" s="6">
        <v>328</v>
      </c>
      <c r="AN350" s="17">
        <v>347</v>
      </c>
      <c r="AO350" s="6">
        <v>1.0761499999999999</v>
      </c>
      <c r="AP350" s="6">
        <v>1.3895999999999999</v>
      </c>
      <c r="AQ350" s="6">
        <v>0.54700000000000004</v>
      </c>
      <c r="AR350" s="6">
        <v>328</v>
      </c>
      <c r="AT350" s="17">
        <v>347</v>
      </c>
      <c r="AU350" s="6">
        <v>0.56786999999999999</v>
      </c>
      <c r="AV350" s="6">
        <v>1.3895999999999999</v>
      </c>
      <c r="AW350" s="6">
        <v>0.54700000000000004</v>
      </c>
      <c r="AX350" s="6">
        <v>328</v>
      </c>
    </row>
    <row r="351" spans="1:50" x14ac:dyDescent="0.25">
      <c r="A351" t="s">
        <v>160</v>
      </c>
      <c r="B351">
        <v>1</v>
      </c>
      <c r="C351" s="36">
        <v>26</v>
      </c>
      <c r="D351" s="36">
        <v>1</v>
      </c>
      <c r="E351" s="32">
        <v>14</v>
      </c>
      <c r="F351" s="13">
        <v>62.2</v>
      </c>
      <c r="G351">
        <v>89.173270223752141</v>
      </c>
      <c r="Q351" s="17">
        <v>349</v>
      </c>
      <c r="R351" s="6">
        <v>2.3830499999999999</v>
      </c>
      <c r="S351" s="6">
        <v>4.2018000000000004</v>
      </c>
      <c r="T351" s="6">
        <v>2.2955999999999999</v>
      </c>
      <c r="U351" s="6">
        <v>328</v>
      </c>
      <c r="W351" s="17">
        <v>349</v>
      </c>
      <c r="X351" s="6">
        <v>4.5160400000000003</v>
      </c>
      <c r="Y351" s="6">
        <v>4.2018000000000004</v>
      </c>
      <c r="Z351" s="6">
        <v>2.2955999999999999</v>
      </c>
      <c r="AA351" s="6">
        <v>328</v>
      </c>
      <c r="AN351" s="17">
        <v>348</v>
      </c>
      <c r="AO351" s="6">
        <v>1.0643800000000001</v>
      </c>
      <c r="AP351" s="6">
        <v>1.363</v>
      </c>
      <c r="AQ351" s="6">
        <v>0.54110000000000003</v>
      </c>
      <c r="AR351" s="6">
        <v>328</v>
      </c>
      <c r="AT351" s="17">
        <v>348</v>
      </c>
      <c r="AU351" s="6">
        <v>0.56166000000000005</v>
      </c>
      <c r="AV351" s="6">
        <v>1.363</v>
      </c>
      <c r="AW351" s="6">
        <v>0.54110000000000003</v>
      </c>
      <c r="AX351" s="6">
        <v>328</v>
      </c>
    </row>
    <row r="352" spans="1:50" x14ac:dyDescent="0.25">
      <c r="A352" t="s">
        <v>160</v>
      </c>
      <c r="B352">
        <v>2</v>
      </c>
      <c r="C352" s="36">
        <v>3</v>
      </c>
      <c r="D352" s="36">
        <v>3</v>
      </c>
      <c r="E352" s="32">
        <v>14</v>
      </c>
      <c r="F352" s="13">
        <v>61.5</v>
      </c>
      <c r="G352">
        <v>89.778427581002688</v>
      </c>
      <c r="Q352" s="17">
        <v>350</v>
      </c>
      <c r="R352" s="6">
        <v>2.3821500000000002</v>
      </c>
      <c r="S352" s="6">
        <v>3.2065999999999999</v>
      </c>
      <c r="T352" s="6">
        <v>2.2948</v>
      </c>
      <c r="U352" s="6">
        <v>328</v>
      </c>
      <c r="W352" s="17">
        <v>350</v>
      </c>
      <c r="X352" s="6">
        <v>4.5143500000000003</v>
      </c>
      <c r="Y352" s="6">
        <v>3.2065999999999999</v>
      </c>
      <c r="Z352" s="6">
        <v>2.2948</v>
      </c>
      <c r="AA352" s="6">
        <v>328</v>
      </c>
      <c r="AN352" s="17">
        <v>349</v>
      </c>
      <c r="AO352" s="6">
        <v>1.0625</v>
      </c>
      <c r="AP352" s="6">
        <v>2.7425000000000002</v>
      </c>
      <c r="AQ352" s="6">
        <v>0.54010000000000002</v>
      </c>
      <c r="AR352" s="6">
        <v>328</v>
      </c>
      <c r="AT352" s="17">
        <v>349</v>
      </c>
      <c r="AU352" s="6">
        <v>0.56066000000000005</v>
      </c>
      <c r="AV352" s="6">
        <v>2.7425000000000002</v>
      </c>
      <c r="AW352" s="6">
        <v>0.54010000000000002</v>
      </c>
      <c r="AX352" s="6">
        <v>328</v>
      </c>
    </row>
    <row r="353" spans="1:50" x14ac:dyDescent="0.25">
      <c r="A353" t="s">
        <v>160</v>
      </c>
      <c r="B353">
        <v>3</v>
      </c>
      <c r="C353" s="36">
        <v>14</v>
      </c>
      <c r="D353" s="36">
        <v>5</v>
      </c>
      <c r="E353" s="32">
        <v>14</v>
      </c>
      <c r="F353" s="13">
        <v>58.8</v>
      </c>
      <c r="G353">
        <v>81.62314924073894</v>
      </c>
      <c r="Q353" s="17">
        <v>351</v>
      </c>
      <c r="R353" s="6">
        <v>2.3866299999999998</v>
      </c>
      <c r="S353" s="6">
        <v>6.2755999999999998</v>
      </c>
      <c r="T353" s="6">
        <v>2.2991000000000001</v>
      </c>
      <c r="U353" s="6">
        <v>328</v>
      </c>
      <c r="W353" s="17">
        <v>351</v>
      </c>
      <c r="X353" s="6">
        <v>4.5228299999999999</v>
      </c>
      <c r="Y353" s="6">
        <v>6.2755999999999998</v>
      </c>
      <c r="Z353" s="6">
        <v>2.2991000000000001</v>
      </c>
      <c r="AA353" s="6">
        <v>328</v>
      </c>
      <c r="AN353" s="17">
        <v>350</v>
      </c>
      <c r="AO353" s="6">
        <v>1.0672600000000001</v>
      </c>
      <c r="AP353" s="6">
        <v>1.2667999999999999</v>
      </c>
      <c r="AQ353" s="6">
        <v>0.54249999999999998</v>
      </c>
      <c r="AR353" s="6">
        <v>328</v>
      </c>
      <c r="AT353" s="17">
        <v>350</v>
      </c>
      <c r="AU353" s="6">
        <v>0.56318000000000001</v>
      </c>
      <c r="AV353" s="6">
        <v>1.2667999999999999</v>
      </c>
      <c r="AW353" s="6">
        <v>0.54249999999999998</v>
      </c>
      <c r="AX353" s="6">
        <v>328</v>
      </c>
    </row>
    <row r="354" spans="1:50" x14ac:dyDescent="0.25">
      <c r="A354" s="31" t="s">
        <v>116</v>
      </c>
      <c r="B354" s="32">
        <v>1</v>
      </c>
      <c r="C354" s="32">
        <v>8</v>
      </c>
      <c r="D354" s="32">
        <v>1</v>
      </c>
      <c r="E354" s="32">
        <v>15</v>
      </c>
      <c r="F354" s="12">
        <v>56.3</v>
      </c>
      <c r="G354">
        <v>53.440669830508476</v>
      </c>
      <c r="Q354" s="17">
        <v>352</v>
      </c>
      <c r="R354" s="6">
        <v>2.3835099999999998</v>
      </c>
      <c r="S354" s="6">
        <v>6.3933999999999997</v>
      </c>
      <c r="T354" s="6">
        <v>2.2961</v>
      </c>
      <c r="U354" s="6">
        <v>328</v>
      </c>
      <c r="W354" s="17">
        <v>352</v>
      </c>
      <c r="X354" s="6">
        <v>4.5169100000000002</v>
      </c>
      <c r="Y354" s="6">
        <v>6.3933999999999997</v>
      </c>
      <c r="Z354" s="6">
        <v>2.2961</v>
      </c>
      <c r="AA354" s="6">
        <v>328</v>
      </c>
      <c r="AN354" s="17">
        <v>351</v>
      </c>
      <c r="AO354" s="6">
        <v>1.06776</v>
      </c>
      <c r="AP354" s="6">
        <v>1.2737000000000001</v>
      </c>
      <c r="AQ354" s="6">
        <v>0.54279999999999995</v>
      </c>
      <c r="AR354" s="6">
        <v>328</v>
      </c>
      <c r="AT354" s="17">
        <v>351</v>
      </c>
      <c r="AU354" s="6">
        <v>0.56344000000000005</v>
      </c>
      <c r="AV354" s="6">
        <v>1.2737000000000001</v>
      </c>
      <c r="AW354" s="6">
        <v>0.54279999999999995</v>
      </c>
      <c r="AX354" s="6">
        <v>328</v>
      </c>
    </row>
    <row r="355" spans="1:50" x14ac:dyDescent="0.25">
      <c r="A355" s="31" t="s">
        <v>116</v>
      </c>
      <c r="B355" s="32">
        <v>2</v>
      </c>
      <c r="C355" s="32">
        <v>11</v>
      </c>
      <c r="D355" s="32">
        <v>6</v>
      </c>
      <c r="E355" s="32">
        <v>15</v>
      </c>
      <c r="F355" s="12">
        <v>54.2</v>
      </c>
      <c r="G355">
        <v>71.941911784068466</v>
      </c>
      <c r="Q355" s="17">
        <v>353</v>
      </c>
      <c r="R355" s="6">
        <v>2.3902800000000002</v>
      </c>
      <c r="S355" s="19">
        <v>-2.2303999999999999</v>
      </c>
      <c r="T355" s="6">
        <v>2.3026</v>
      </c>
      <c r="U355" s="6">
        <v>328</v>
      </c>
      <c r="W355" s="17">
        <v>353</v>
      </c>
      <c r="X355" s="6">
        <v>4.5297400000000003</v>
      </c>
      <c r="Y355" s="19">
        <v>-2.2303999999999999</v>
      </c>
      <c r="Z355" s="6">
        <v>2.3026</v>
      </c>
      <c r="AA355" s="6">
        <v>328</v>
      </c>
      <c r="AN355" s="17">
        <v>352</v>
      </c>
      <c r="AO355" s="6">
        <v>1.0664400000000001</v>
      </c>
      <c r="AP355" s="6">
        <v>1.8402000000000001</v>
      </c>
      <c r="AQ355" s="6">
        <v>0.54210000000000003</v>
      </c>
      <c r="AR355" s="6">
        <v>328</v>
      </c>
      <c r="AT355" s="17">
        <v>352</v>
      </c>
      <c r="AU355" s="6">
        <v>0.56274999999999997</v>
      </c>
      <c r="AV355" s="6">
        <v>1.8402000000000001</v>
      </c>
      <c r="AW355" s="6">
        <v>0.54210000000000003</v>
      </c>
      <c r="AX355" s="6">
        <v>328</v>
      </c>
    </row>
    <row r="356" spans="1:50" x14ac:dyDescent="0.25">
      <c r="A356" s="31" t="s">
        <v>116</v>
      </c>
      <c r="B356" s="32">
        <v>3</v>
      </c>
      <c r="C356" s="32">
        <v>7</v>
      </c>
      <c r="D356" s="32">
        <v>12</v>
      </c>
      <c r="E356" s="32">
        <v>15</v>
      </c>
      <c r="F356" s="2">
        <v>55</v>
      </c>
      <c r="G356">
        <v>69.588288958837765</v>
      </c>
      <c r="Q356" s="17">
        <v>354</v>
      </c>
      <c r="R356" s="6">
        <v>2.3740399999999999</v>
      </c>
      <c r="S356" s="6">
        <v>1.4354</v>
      </c>
      <c r="T356" s="6">
        <v>2.2869999999999999</v>
      </c>
      <c r="U356" s="6">
        <v>328</v>
      </c>
      <c r="W356" s="17">
        <v>354</v>
      </c>
      <c r="X356" s="6">
        <v>4.4989800000000004</v>
      </c>
      <c r="Y356" s="6">
        <v>1.4354</v>
      </c>
      <c r="Z356" s="6">
        <v>2.2869999999999999</v>
      </c>
      <c r="AA356" s="6">
        <v>328</v>
      </c>
      <c r="AN356" s="17">
        <v>353</v>
      </c>
      <c r="AO356" s="6">
        <v>1.06755</v>
      </c>
      <c r="AP356" s="19">
        <v>-0.54930000000000001</v>
      </c>
      <c r="AQ356" s="6">
        <v>0.54269999999999996</v>
      </c>
      <c r="AR356" s="6">
        <v>328</v>
      </c>
      <c r="AT356" s="17">
        <v>353</v>
      </c>
      <c r="AU356" s="6">
        <v>0.56333</v>
      </c>
      <c r="AV356" s="19">
        <v>-0.54930000000000001</v>
      </c>
      <c r="AW356" s="6">
        <v>0.54269999999999996</v>
      </c>
      <c r="AX356" s="6">
        <v>328</v>
      </c>
    </row>
    <row r="357" spans="1:50" x14ac:dyDescent="0.25">
      <c r="A357" s="34" t="s">
        <v>97</v>
      </c>
      <c r="B357" s="35">
        <v>1</v>
      </c>
      <c r="C357" s="35">
        <v>15</v>
      </c>
      <c r="D357" s="35">
        <v>2</v>
      </c>
      <c r="E357" s="35">
        <v>15</v>
      </c>
      <c r="F357" s="2">
        <v>59.7</v>
      </c>
      <c r="G357">
        <v>84.050327892532124</v>
      </c>
      <c r="Q357" s="17">
        <v>355</v>
      </c>
      <c r="R357" s="6">
        <v>2.39</v>
      </c>
      <c r="S357" s="6">
        <v>3.1316000000000002</v>
      </c>
      <c r="T357" s="6">
        <v>2.3022999999999998</v>
      </c>
      <c r="U357" s="6">
        <v>328</v>
      </c>
      <c r="W357" s="17">
        <v>355</v>
      </c>
      <c r="X357" s="6">
        <v>4.5292199999999996</v>
      </c>
      <c r="Y357" s="6">
        <v>3.1316000000000002</v>
      </c>
      <c r="Z357" s="6">
        <v>2.3022999999999998</v>
      </c>
      <c r="AA357" s="6">
        <v>328</v>
      </c>
      <c r="AN357" s="17">
        <v>354</v>
      </c>
      <c r="AO357" s="6">
        <v>1.0612699999999999</v>
      </c>
      <c r="AP357" s="6">
        <v>1.5219</v>
      </c>
      <c r="AQ357" s="6">
        <v>0.53949999999999998</v>
      </c>
      <c r="AR357" s="6">
        <v>328</v>
      </c>
      <c r="AT357" s="17">
        <v>354</v>
      </c>
      <c r="AU357" s="6">
        <v>0.56001999999999996</v>
      </c>
      <c r="AV357" s="6">
        <v>1.5219</v>
      </c>
      <c r="AW357" s="6">
        <v>0.53949999999999998</v>
      </c>
      <c r="AX357" s="6">
        <v>328</v>
      </c>
    </row>
    <row r="358" spans="1:50" x14ac:dyDescent="0.25">
      <c r="A358" s="34" t="s">
        <v>97</v>
      </c>
      <c r="B358" s="35">
        <v>2</v>
      </c>
      <c r="C358" s="35">
        <v>8</v>
      </c>
      <c r="D358" s="35">
        <v>3</v>
      </c>
      <c r="E358" s="35">
        <v>15</v>
      </c>
      <c r="F358" s="2">
        <v>59.7</v>
      </c>
      <c r="G358">
        <v>81.844795539033456</v>
      </c>
      <c r="Q358" s="17">
        <v>356</v>
      </c>
      <c r="R358" s="6">
        <v>2.3969499999999999</v>
      </c>
      <c r="S358" s="6">
        <v>1.7376</v>
      </c>
      <c r="T358" s="6">
        <v>2.3090000000000002</v>
      </c>
      <c r="U358" s="6">
        <v>328</v>
      </c>
      <c r="W358" s="17">
        <v>356</v>
      </c>
      <c r="X358" s="6">
        <v>4.5423799999999996</v>
      </c>
      <c r="Y358" s="6">
        <v>1.7376</v>
      </c>
      <c r="Z358" s="6">
        <v>2.3090000000000002</v>
      </c>
      <c r="AA358" s="6">
        <v>328</v>
      </c>
      <c r="AN358" s="17">
        <v>355</v>
      </c>
      <c r="AO358" s="6">
        <v>1.07142</v>
      </c>
      <c r="AP358" s="6">
        <v>1.7352000000000001</v>
      </c>
      <c r="AQ358" s="6">
        <v>0.54459999999999997</v>
      </c>
      <c r="AR358" s="6">
        <v>328</v>
      </c>
      <c r="AT358" s="17">
        <v>355</v>
      </c>
      <c r="AU358" s="6">
        <v>0.56537000000000004</v>
      </c>
      <c r="AV358" s="6">
        <v>1.7352000000000001</v>
      </c>
      <c r="AW358" s="6">
        <v>0.54459999999999997</v>
      </c>
      <c r="AX358" s="6">
        <v>328</v>
      </c>
    </row>
    <row r="359" spans="1:50" x14ac:dyDescent="0.25">
      <c r="A359" s="34" t="s">
        <v>97</v>
      </c>
      <c r="B359" s="35">
        <v>3</v>
      </c>
      <c r="C359" s="35">
        <v>20</v>
      </c>
      <c r="D359" s="35">
        <v>6</v>
      </c>
      <c r="E359" s="35">
        <v>15</v>
      </c>
      <c r="F359" s="2">
        <v>57.5</v>
      </c>
      <c r="G359">
        <v>91.037609193209988</v>
      </c>
      <c r="Q359" s="17">
        <v>357</v>
      </c>
      <c r="R359" s="6">
        <v>2.3961800000000002</v>
      </c>
      <c r="S359" s="6">
        <v>2.8043999999999998</v>
      </c>
      <c r="T359" s="6">
        <v>2.3083</v>
      </c>
      <c r="U359" s="6">
        <v>328</v>
      </c>
      <c r="W359" s="17">
        <v>357</v>
      </c>
      <c r="X359" s="6">
        <v>4.5409199999999998</v>
      </c>
      <c r="Y359" s="6">
        <v>2.8043999999999998</v>
      </c>
      <c r="Z359" s="6">
        <v>2.3083</v>
      </c>
      <c r="AA359" s="6">
        <v>328</v>
      </c>
      <c r="AN359" s="17">
        <v>356</v>
      </c>
      <c r="AO359" s="6">
        <v>1.0791900000000001</v>
      </c>
      <c r="AP359" s="6">
        <v>1.4460999999999999</v>
      </c>
      <c r="AQ359" s="6">
        <v>0.54859999999999998</v>
      </c>
      <c r="AR359" s="6">
        <v>328</v>
      </c>
      <c r="AT359" s="17">
        <v>356</v>
      </c>
      <c r="AU359" s="6">
        <v>0.56947000000000003</v>
      </c>
      <c r="AV359" s="6">
        <v>1.4460999999999999</v>
      </c>
      <c r="AW359" s="6">
        <v>0.54859999999999998</v>
      </c>
      <c r="AX359" s="6">
        <v>328</v>
      </c>
    </row>
    <row r="360" spans="1:50" x14ac:dyDescent="0.25">
      <c r="A360" s="31" t="s">
        <v>132</v>
      </c>
      <c r="B360" s="32">
        <v>1</v>
      </c>
      <c r="C360" s="32">
        <v>5</v>
      </c>
      <c r="D360" s="32">
        <v>2</v>
      </c>
      <c r="E360" s="32">
        <v>15</v>
      </c>
      <c r="F360" s="2">
        <v>60.4</v>
      </c>
      <c r="G360">
        <v>67.885332433344587</v>
      </c>
      <c r="Q360" s="17">
        <v>358</v>
      </c>
      <c r="R360" s="6">
        <v>2.3842699999999999</v>
      </c>
      <c r="S360" s="6">
        <v>1.2357</v>
      </c>
      <c r="T360" s="6">
        <v>2.2968000000000002</v>
      </c>
      <c r="U360" s="6">
        <v>328</v>
      </c>
      <c r="W360" s="17">
        <v>358</v>
      </c>
      <c r="X360" s="6">
        <v>4.5183499999999999</v>
      </c>
      <c r="Y360" s="6">
        <v>1.2357</v>
      </c>
      <c r="Z360" s="6">
        <v>2.2968000000000002</v>
      </c>
      <c r="AA360" s="6">
        <v>328</v>
      </c>
      <c r="AN360" s="17">
        <v>357</v>
      </c>
      <c r="AO360" s="6">
        <v>1.07175</v>
      </c>
      <c r="AP360" s="6">
        <v>0.36549999999999999</v>
      </c>
      <c r="AQ360" s="6">
        <v>0.54479999999999995</v>
      </c>
      <c r="AR360" s="6">
        <v>328</v>
      </c>
      <c r="AT360" s="17">
        <v>357</v>
      </c>
      <c r="AU360" s="6">
        <v>0.56555</v>
      </c>
      <c r="AV360" s="6">
        <v>0.36549999999999999</v>
      </c>
      <c r="AW360" s="6">
        <v>0.54479999999999995</v>
      </c>
      <c r="AX360" s="6">
        <v>328</v>
      </c>
    </row>
    <row r="361" spans="1:50" x14ac:dyDescent="0.25">
      <c r="A361" s="31" t="s">
        <v>132</v>
      </c>
      <c r="B361" s="32">
        <v>2</v>
      </c>
      <c r="C361" s="32">
        <v>15</v>
      </c>
      <c r="D361" s="32">
        <v>4</v>
      </c>
      <c r="E361" s="32">
        <v>15</v>
      </c>
      <c r="F361" s="2">
        <v>61.8</v>
      </c>
      <c r="G361">
        <v>69.395812673518094</v>
      </c>
      <c r="Q361" s="17">
        <v>359</v>
      </c>
      <c r="R361" s="6">
        <v>2.3875600000000001</v>
      </c>
      <c r="S361" s="6">
        <v>1.7387999999999999</v>
      </c>
      <c r="T361" s="6">
        <v>2.2999999999999998</v>
      </c>
      <c r="U361" s="6">
        <v>328</v>
      </c>
      <c r="W361" s="17">
        <v>359</v>
      </c>
      <c r="X361" s="6">
        <v>4.5245800000000003</v>
      </c>
      <c r="Y361" s="6">
        <v>1.7387999999999999</v>
      </c>
      <c r="Z361" s="6">
        <v>2.2999999999999998</v>
      </c>
      <c r="AA361" s="6">
        <v>328</v>
      </c>
      <c r="AN361" s="17">
        <v>358</v>
      </c>
      <c r="AO361" s="6">
        <v>1.06508</v>
      </c>
      <c r="AP361" s="6">
        <v>0.70509999999999995</v>
      </c>
      <c r="AQ361" s="6">
        <v>0.54139999999999999</v>
      </c>
      <c r="AR361" s="6">
        <v>328</v>
      </c>
      <c r="AT361" s="17">
        <v>358</v>
      </c>
      <c r="AU361" s="6">
        <v>0.56203000000000003</v>
      </c>
      <c r="AV361" s="6">
        <v>0.70509999999999995</v>
      </c>
      <c r="AW361" s="6">
        <v>0.54139999999999999</v>
      </c>
      <c r="AX361" s="6">
        <v>328</v>
      </c>
    </row>
    <row r="362" spans="1:50" x14ac:dyDescent="0.25">
      <c r="A362" s="31" t="s">
        <v>132</v>
      </c>
      <c r="B362" s="32">
        <v>3</v>
      </c>
      <c r="C362" s="32">
        <v>19</v>
      </c>
      <c r="D362" s="32">
        <v>6</v>
      </c>
      <c r="E362" s="32">
        <v>15</v>
      </c>
      <c r="F362" s="12">
        <v>61.1</v>
      </c>
      <c r="G362">
        <v>61.38271703018922</v>
      </c>
      <c r="Q362" s="17">
        <v>360</v>
      </c>
      <c r="R362" s="6">
        <v>2.3921299999999999</v>
      </c>
      <c r="S362" s="6">
        <v>9.0359999999999996</v>
      </c>
      <c r="T362" s="6">
        <v>2.3043999999999998</v>
      </c>
      <c r="U362" s="6">
        <v>328</v>
      </c>
      <c r="W362" s="17">
        <v>360</v>
      </c>
      <c r="X362" s="6">
        <v>4.5332600000000003</v>
      </c>
      <c r="Y362" s="6">
        <v>9.0359999999999996</v>
      </c>
      <c r="Z362" s="6">
        <v>2.3043999999999998</v>
      </c>
      <c r="AA362" s="6">
        <v>328</v>
      </c>
      <c r="AN362" s="17">
        <v>359</v>
      </c>
      <c r="AO362" s="6">
        <v>1.0659400000000001</v>
      </c>
      <c r="AP362" s="6">
        <v>0.1782</v>
      </c>
      <c r="AQ362" s="6">
        <v>0.54190000000000005</v>
      </c>
      <c r="AR362" s="6">
        <v>328</v>
      </c>
      <c r="AT362" s="17">
        <v>359</v>
      </c>
      <c r="AU362" s="6">
        <v>0.56247999999999998</v>
      </c>
      <c r="AV362" s="6">
        <v>0.1782</v>
      </c>
      <c r="AW362" s="6">
        <v>0.54190000000000005</v>
      </c>
      <c r="AX362" s="6">
        <v>328</v>
      </c>
    </row>
    <row r="363" spans="1:50" x14ac:dyDescent="0.25">
      <c r="A363" s="31" t="s">
        <v>13</v>
      </c>
      <c r="B363" s="32">
        <v>1</v>
      </c>
      <c r="C363" s="36">
        <v>19</v>
      </c>
      <c r="D363" s="36">
        <v>1</v>
      </c>
      <c r="E363" s="32">
        <v>15</v>
      </c>
      <c r="F363" s="12">
        <v>56.9</v>
      </c>
      <c r="G363">
        <v>72.779849999999982</v>
      </c>
      <c r="Q363" s="17">
        <v>361</v>
      </c>
      <c r="R363" s="6">
        <v>2.3862199999999998</v>
      </c>
      <c r="S363" s="6">
        <v>3.5430999999999999</v>
      </c>
      <c r="T363" s="6">
        <v>2.2987000000000002</v>
      </c>
      <c r="U363" s="6">
        <v>328</v>
      </c>
      <c r="W363" s="17">
        <v>361</v>
      </c>
      <c r="X363" s="6">
        <v>4.5220599999999997</v>
      </c>
      <c r="Y363" s="6">
        <v>3.5430999999999999</v>
      </c>
      <c r="Z363" s="6">
        <v>2.2987000000000002</v>
      </c>
      <c r="AA363" s="6">
        <v>328</v>
      </c>
      <c r="AN363" s="17">
        <v>360</v>
      </c>
      <c r="AO363" s="6">
        <v>1.07653</v>
      </c>
      <c r="AP363" s="6">
        <v>1.968</v>
      </c>
      <c r="AQ363" s="6">
        <v>0.54720000000000002</v>
      </c>
      <c r="AR363" s="6">
        <v>328</v>
      </c>
      <c r="AT363" s="17">
        <v>360</v>
      </c>
      <c r="AU363" s="6">
        <v>0.56806999999999996</v>
      </c>
      <c r="AV363" s="6">
        <v>1.968</v>
      </c>
      <c r="AW363" s="6">
        <v>0.54720000000000002</v>
      </c>
      <c r="AX363" s="6">
        <v>328</v>
      </c>
    </row>
    <row r="364" spans="1:50" x14ac:dyDescent="0.25">
      <c r="A364" s="31" t="s">
        <v>13</v>
      </c>
      <c r="B364" s="32">
        <v>2</v>
      </c>
      <c r="C364" s="36">
        <v>13</v>
      </c>
      <c r="D364" s="36">
        <v>4</v>
      </c>
      <c r="E364" s="32">
        <v>15</v>
      </c>
      <c r="F364" s="12">
        <v>56.2</v>
      </c>
      <c r="G364">
        <v>68.777005000000003</v>
      </c>
      <c r="Q364" s="17">
        <v>362</v>
      </c>
      <c r="R364" s="6">
        <v>2.3790900000000001</v>
      </c>
      <c r="S364" s="6">
        <v>13.261699999999999</v>
      </c>
      <c r="T364" s="6">
        <v>2.2917999999999998</v>
      </c>
      <c r="U364" s="6">
        <v>328</v>
      </c>
      <c r="W364" s="17">
        <v>362</v>
      </c>
      <c r="X364" s="6">
        <v>4.50854</v>
      </c>
      <c r="Y364" s="6">
        <v>13.261699999999999</v>
      </c>
      <c r="Z364" s="6">
        <v>2.2917999999999998</v>
      </c>
      <c r="AA364" s="6">
        <v>328</v>
      </c>
      <c r="AN364" s="17">
        <v>361</v>
      </c>
      <c r="AO364" s="6">
        <v>1.06562</v>
      </c>
      <c r="AP364" s="6">
        <v>0.24940000000000001</v>
      </c>
      <c r="AQ364" s="6">
        <v>0.54169999999999996</v>
      </c>
      <c r="AR364" s="6">
        <v>328</v>
      </c>
      <c r="AT364" s="17">
        <v>361</v>
      </c>
      <c r="AU364" s="6">
        <v>0.56230999999999998</v>
      </c>
      <c r="AV364" s="6">
        <v>0.24940000000000001</v>
      </c>
      <c r="AW364" s="6">
        <v>0.54169999999999996</v>
      </c>
      <c r="AX364" s="6">
        <v>328</v>
      </c>
    </row>
    <row r="365" spans="1:50" x14ac:dyDescent="0.25">
      <c r="A365" s="31" t="s">
        <v>13</v>
      </c>
      <c r="B365" s="32">
        <v>3</v>
      </c>
      <c r="C365" s="36">
        <v>14</v>
      </c>
      <c r="D365" s="36">
        <v>5</v>
      </c>
      <c r="E365" s="32">
        <v>15</v>
      </c>
      <c r="F365" s="12">
        <v>56.9</v>
      </c>
      <c r="G365">
        <v>61.942649999999986</v>
      </c>
      <c r="Q365" s="17">
        <v>363</v>
      </c>
      <c r="R365" s="6">
        <v>2.3897300000000001</v>
      </c>
      <c r="S365" s="6">
        <v>8.4848999999999997</v>
      </c>
      <c r="T365" s="6">
        <v>2.3020999999999998</v>
      </c>
      <c r="U365" s="6">
        <v>328</v>
      </c>
      <c r="W365" s="17">
        <v>363</v>
      </c>
      <c r="X365" s="6">
        <v>4.5286999999999997</v>
      </c>
      <c r="Y365" s="6">
        <v>8.4848999999999997</v>
      </c>
      <c r="Z365" s="6">
        <v>2.3020999999999998</v>
      </c>
      <c r="AA365" s="6">
        <v>328</v>
      </c>
      <c r="AN365" s="17">
        <v>362</v>
      </c>
      <c r="AO365" s="6">
        <v>1.06837</v>
      </c>
      <c r="AP365" s="6">
        <v>2.7604000000000002</v>
      </c>
      <c r="AQ365" s="6">
        <v>0.54310000000000003</v>
      </c>
      <c r="AR365" s="6">
        <v>328</v>
      </c>
      <c r="AT365" s="17">
        <v>362</v>
      </c>
      <c r="AU365" s="6">
        <v>0.56376000000000004</v>
      </c>
      <c r="AV365" s="6">
        <v>2.7604000000000002</v>
      </c>
      <c r="AW365" s="6">
        <v>0.54310000000000003</v>
      </c>
      <c r="AX365" s="6">
        <v>328</v>
      </c>
    </row>
    <row r="366" spans="1:50" x14ac:dyDescent="0.25">
      <c r="A366" t="s">
        <v>7</v>
      </c>
      <c r="B366" s="11">
        <v>1</v>
      </c>
      <c r="C366" s="11">
        <v>12</v>
      </c>
      <c r="D366" s="11">
        <v>4</v>
      </c>
      <c r="E366" s="11">
        <v>15</v>
      </c>
      <c r="F366" s="12">
        <v>53.7</v>
      </c>
      <c r="G366">
        <v>44.62950184411114</v>
      </c>
      <c r="Q366" s="17">
        <v>364</v>
      </c>
      <c r="R366" s="6">
        <v>2.3935300000000002</v>
      </c>
      <c r="S366" s="6">
        <v>2.5064000000000002</v>
      </c>
      <c r="T366" s="6">
        <v>2.3056999999999999</v>
      </c>
      <c r="U366" s="6">
        <v>328</v>
      </c>
      <c r="W366" s="17">
        <v>364</v>
      </c>
      <c r="X366" s="6">
        <v>4.5358999999999998</v>
      </c>
      <c r="Y366" s="6">
        <v>2.5064000000000002</v>
      </c>
      <c r="Z366" s="6">
        <v>2.3056999999999999</v>
      </c>
      <c r="AA366" s="6">
        <v>328</v>
      </c>
      <c r="AN366" s="17">
        <v>363</v>
      </c>
      <c r="AO366" s="6">
        <v>1.0704</v>
      </c>
      <c r="AP366" s="6">
        <v>1.8888</v>
      </c>
      <c r="AQ366" s="6">
        <v>0.54410000000000003</v>
      </c>
      <c r="AR366" s="6">
        <v>328</v>
      </c>
      <c r="AT366" s="17">
        <v>363</v>
      </c>
      <c r="AU366" s="6">
        <v>0.56483000000000005</v>
      </c>
      <c r="AV366" s="6">
        <v>1.8888</v>
      </c>
      <c r="AW366" s="6">
        <v>0.54410000000000003</v>
      </c>
      <c r="AX366" s="6">
        <v>328</v>
      </c>
    </row>
    <row r="367" spans="1:50" x14ac:dyDescent="0.25">
      <c r="A367" t="s">
        <v>7</v>
      </c>
      <c r="B367" s="11">
        <v>2</v>
      </c>
      <c r="C367" s="11">
        <v>2</v>
      </c>
      <c r="D367" s="11">
        <v>8</v>
      </c>
      <c r="E367" s="11">
        <v>15</v>
      </c>
      <c r="F367" s="12">
        <v>52.9</v>
      </c>
      <c r="G367">
        <v>50.005903083700439</v>
      </c>
      <c r="Q367" s="17">
        <v>365</v>
      </c>
      <c r="R367" s="6">
        <v>2.3811399999999998</v>
      </c>
      <c r="S367" s="6">
        <v>4.508</v>
      </c>
      <c r="T367" s="6">
        <v>2.2938000000000001</v>
      </c>
      <c r="U367" s="6">
        <v>328</v>
      </c>
      <c r="W367" s="17">
        <v>365</v>
      </c>
      <c r="X367" s="6">
        <v>4.5124199999999997</v>
      </c>
      <c r="Y367" s="6">
        <v>4.508</v>
      </c>
      <c r="Z367" s="6">
        <v>2.2938000000000001</v>
      </c>
      <c r="AA367" s="6">
        <v>328</v>
      </c>
      <c r="AN367" s="17">
        <v>364</v>
      </c>
      <c r="AO367" s="6">
        <v>1.07229</v>
      </c>
      <c r="AP367" s="6">
        <v>1.4409000000000001</v>
      </c>
      <c r="AQ367" s="6">
        <v>0.54510000000000003</v>
      </c>
      <c r="AR367" s="6">
        <v>328</v>
      </c>
      <c r="AT367" s="17">
        <v>364</v>
      </c>
      <c r="AU367" s="6">
        <v>0.56583000000000006</v>
      </c>
      <c r="AV367" s="6">
        <v>1.4409000000000001</v>
      </c>
      <c r="AW367" s="6">
        <v>0.54510000000000003</v>
      </c>
      <c r="AX367" s="6">
        <v>328</v>
      </c>
    </row>
    <row r="368" spans="1:50" x14ac:dyDescent="0.25">
      <c r="A368" t="s">
        <v>7</v>
      </c>
      <c r="B368" s="11">
        <v>3</v>
      </c>
      <c r="C368" s="11">
        <v>7</v>
      </c>
      <c r="D368" s="11">
        <v>11</v>
      </c>
      <c r="E368" s="11">
        <v>15</v>
      </c>
      <c r="F368" s="2">
        <v>51.4</v>
      </c>
      <c r="G368">
        <v>40.912201215394994</v>
      </c>
      <c r="Q368" s="17">
        <v>366</v>
      </c>
      <c r="R368" s="6">
        <v>2.37419</v>
      </c>
      <c r="S368" s="19">
        <v>-4.9086999999999996</v>
      </c>
      <c r="T368" s="6">
        <v>2.2871000000000001</v>
      </c>
      <c r="U368" s="6">
        <v>328</v>
      </c>
      <c r="W368" s="17">
        <v>366</v>
      </c>
      <c r="X368" s="6">
        <v>4.4992599999999996</v>
      </c>
      <c r="Y368" s="19">
        <v>-4.9086999999999996</v>
      </c>
      <c r="Z368" s="6">
        <v>2.2871000000000001</v>
      </c>
      <c r="AA368" s="6">
        <v>328</v>
      </c>
      <c r="AN368" s="17">
        <v>365</v>
      </c>
      <c r="AO368" s="6">
        <v>1.0694699999999999</v>
      </c>
      <c r="AP368" s="6">
        <v>1.4388000000000001</v>
      </c>
      <c r="AQ368" s="6">
        <v>0.54359999999999997</v>
      </c>
      <c r="AR368" s="6">
        <v>328</v>
      </c>
      <c r="AT368" s="17">
        <v>365</v>
      </c>
      <c r="AU368" s="6">
        <v>0.56433999999999995</v>
      </c>
      <c r="AV368" s="6">
        <v>1.4388000000000001</v>
      </c>
      <c r="AW368" s="6">
        <v>0.54359999999999997</v>
      </c>
      <c r="AX368" s="6">
        <v>328</v>
      </c>
    </row>
    <row r="369" spans="1:50" x14ac:dyDescent="0.25">
      <c r="A369" s="31" t="s">
        <v>156</v>
      </c>
      <c r="B369" s="32">
        <v>1</v>
      </c>
      <c r="C369" s="32">
        <v>8</v>
      </c>
      <c r="D369" s="32">
        <v>1</v>
      </c>
      <c r="E369" s="32">
        <v>15</v>
      </c>
      <c r="F369" s="2">
        <v>54.8</v>
      </c>
      <c r="G369">
        <v>44.978123330601221</v>
      </c>
      <c r="Q369" s="17">
        <v>367</v>
      </c>
      <c r="R369" s="6">
        <v>2.37575</v>
      </c>
      <c r="S369" s="19">
        <v>-9.1578999999999997</v>
      </c>
      <c r="T369" s="6">
        <v>2.2886000000000002</v>
      </c>
      <c r="U369" s="6">
        <v>328</v>
      </c>
      <c r="W369" s="17">
        <v>367</v>
      </c>
      <c r="X369" s="6">
        <v>4.5022000000000002</v>
      </c>
      <c r="Y369" s="19">
        <v>-9.1578999999999997</v>
      </c>
      <c r="Z369" s="6">
        <v>2.2886000000000002</v>
      </c>
      <c r="AA369" s="6">
        <v>328</v>
      </c>
      <c r="AN369" s="17">
        <v>366</v>
      </c>
      <c r="AO369" s="6">
        <v>1.07057</v>
      </c>
      <c r="AP369" s="19">
        <v>-1.3193999999999999</v>
      </c>
      <c r="AQ369" s="6">
        <v>0.54420000000000002</v>
      </c>
      <c r="AR369" s="6">
        <v>328</v>
      </c>
      <c r="AT369" s="17">
        <v>366</v>
      </c>
      <c r="AU369" s="6">
        <v>0.56491999999999998</v>
      </c>
      <c r="AV369" s="19">
        <v>-1.3193999999999999</v>
      </c>
      <c r="AW369" s="6">
        <v>0.54420000000000002</v>
      </c>
      <c r="AX369" s="6">
        <v>328</v>
      </c>
    </row>
    <row r="370" spans="1:50" x14ac:dyDescent="0.25">
      <c r="A370" s="31" t="s">
        <v>156</v>
      </c>
      <c r="B370" s="32">
        <v>2</v>
      </c>
      <c r="C370" s="32">
        <v>15</v>
      </c>
      <c r="D370" s="32">
        <v>4</v>
      </c>
      <c r="E370" s="32">
        <v>15</v>
      </c>
      <c r="F370" s="2">
        <v>55.1</v>
      </c>
      <c r="G370">
        <v>51.844701263229773</v>
      </c>
      <c r="Q370" s="17">
        <v>368</v>
      </c>
      <c r="R370" s="6">
        <v>2.3823500000000002</v>
      </c>
      <c r="S370" s="19">
        <v>-6.9238999999999997</v>
      </c>
      <c r="T370" s="6">
        <v>2.2949999999999999</v>
      </c>
      <c r="U370" s="6">
        <v>328</v>
      </c>
      <c r="W370" s="17">
        <v>368</v>
      </c>
      <c r="X370" s="6">
        <v>4.5147199999999996</v>
      </c>
      <c r="Y370" s="19">
        <v>-6.9238999999999997</v>
      </c>
      <c r="Z370" s="6">
        <v>2.2949999999999999</v>
      </c>
      <c r="AA370" s="6">
        <v>328</v>
      </c>
      <c r="AN370" s="17">
        <v>367</v>
      </c>
      <c r="AO370" s="6">
        <v>1.0793200000000001</v>
      </c>
      <c r="AP370" s="19">
        <v>-1.8213999999999999</v>
      </c>
      <c r="AQ370" s="6">
        <v>0.54859999999999998</v>
      </c>
      <c r="AR370" s="6">
        <v>328</v>
      </c>
      <c r="AT370" s="17">
        <v>367</v>
      </c>
      <c r="AU370" s="6">
        <v>0.56954000000000005</v>
      </c>
      <c r="AV370" s="19">
        <v>-1.8213999999999999</v>
      </c>
      <c r="AW370" s="6">
        <v>0.54859999999999998</v>
      </c>
      <c r="AX370" s="6">
        <v>328</v>
      </c>
    </row>
    <row r="371" spans="1:50" x14ac:dyDescent="0.25">
      <c r="A371" s="31" t="s">
        <v>156</v>
      </c>
      <c r="B371" s="32">
        <v>3</v>
      </c>
      <c r="C371" s="32">
        <v>13</v>
      </c>
      <c r="D371" s="32">
        <v>6</v>
      </c>
      <c r="E371" s="32">
        <v>15</v>
      </c>
      <c r="F371" s="2">
        <v>56.9</v>
      </c>
      <c r="G371">
        <v>45.637967014473219</v>
      </c>
      <c r="Q371" s="17">
        <v>369</v>
      </c>
      <c r="R371" s="6">
        <v>2.3845700000000001</v>
      </c>
      <c r="S371" s="19">
        <v>-6.8930999999999996</v>
      </c>
      <c r="T371" s="6">
        <v>2.2970999999999999</v>
      </c>
      <c r="U371" s="6">
        <v>328</v>
      </c>
      <c r="W371" s="17">
        <v>369</v>
      </c>
      <c r="X371" s="6">
        <v>4.5189300000000001</v>
      </c>
      <c r="Y371" s="19">
        <v>-6.8930999999999996</v>
      </c>
      <c r="Z371" s="6">
        <v>2.2970999999999999</v>
      </c>
      <c r="AA371" s="6">
        <v>328</v>
      </c>
      <c r="AN371" s="17">
        <v>368</v>
      </c>
      <c r="AO371" s="6">
        <v>1.0796399999999999</v>
      </c>
      <c r="AP371" s="6">
        <v>0.3226</v>
      </c>
      <c r="AQ371" s="6">
        <v>0.54879999999999995</v>
      </c>
      <c r="AR371" s="6">
        <v>328</v>
      </c>
      <c r="AT371" s="17">
        <v>368</v>
      </c>
      <c r="AU371" s="6">
        <v>0.56971000000000005</v>
      </c>
      <c r="AV371" s="6">
        <v>0.3226</v>
      </c>
      <c r="AW371" s="6">
        <v>0.54879999999999995</v>
      </c>
      <c r="AX371" s="6">
        <v>328</v>
      </c>
    </row>
    <row r="372" spans="1:50" x14ac:dyDescent="0.25">
      <c r="A372" s="31" t="s">
        <v>10</v>
      </c>
      <c r="B372" s="32">
        <v>1</v>
      </c>
      <c r="C372" s="32">
        <v>7</v>
      </c>
      <c r="D372" s="32">
        <v>3</v>
      </c>
      <c r="E372" s="32">
        <v>15</v>
      </c>
      <c r="F372" s="2">
        <v>56.3</v>
      </c>
      <c r="G372">
        <v>60.970841286005232</v>
      </c>
      <c r="Q372" s="17">
        <v>370</v>
      </c>
      <c r="R372" s="6">
        <v>2.37662</v>
      </c>
      <c r="S372" s="19">
        <v>-5.5212000000000003</v>
      </c>
      <c r="T372" s="6">
        <v>2.2894000000000001</v>
      </c>
      <c r="U372" s="6">
        <v>328</v>
      </c>
      <c r="W372" s="17">
        <v>370</v>
      </c>
      <c r="X372" s="6">
        <v>4.5038600000000004</v>
      </c>
      <c r="Y372" s="19">
        <v>-5.5212000000000003</v>
      </c>
      <c r="Z372" s="6">
        <v>2.2894000000000001</v>
      </c>
      <c r="AA372" s="6">
        <v>328</v>
      </c>
      <c r="AN372" s="17">
        <v>369</v>
      </c>
      <c r="AO372" s="6">
        <v>1.08009</v>
      </c>
      <c r="AP372" s="19">
        <v>-1.6408</v>
      </c>
      <c r="AQ372" s="6">
        <v>0.54900000000000004</v>
      </c>
      <c r="AR372" s="6">
        <v>328</v>
      </c>
      <c r="AT372" s="17">
        <v>369</v>
      </c>
      <c r="AU372" s="6">
        <v>0.56994999999999996</v>
      </c>
      <c r="AV372" s="19">
        <v>-1.6408</v>
      </c>
      <c r="AW372" s="6">
        <v>0.54900000000000004</v>
      </c>
      <c r="AX372" s="6">
        <v>328</v>
      </c>
    </row>
    <row r="373" spans="1:50" x14ac:dyDescent="0.25">
      <c r="A373" s="31" t="s">
        <v>10</v>
      </c>
      <c r="B373" s="32">
        <v>2</v>
      </c>
      <c r="C373" s="32">
        <v>6</v>
      </c>
      <c r="D373" s="32">
        <v>7</v>
      </c>
      <c r="E373" s="32">
        <v>15</v>
      </c>
      <c r="F373" s="2">
        <v>57.1</v>
      </c>
      <c r="G373">
        <v>55.927558389261726</v>
      </c>
      <c r="Q373" s="17">
        <v>371</v>
      </c>
      <c r="R373" s="6">
        <v>2.3853399999999998</v>
      </c>
      <c r="S373" s="19">
        <v>-0.15840000000000001</v>
      </c>
      <c r="T373" s="6">
        <v>2.2978000000000001</v>
      </c>
      <c r="U373" s="6">
        <v>328</v>
      </c>
      <c r="W373" s="17">
        <v>371</v>
      </c>
      <c r="X373" s="6">
        <v>4.5203800000000003</v>
      </c>
      <c r="Y373" s="19">
        <v>-0.15840000000000001</v>
      </c>
      <c r="Z373" s="6">
        <v>2.2978000000000001</v>
      </c>
      <c r="AA373" s="6">
        <v>328</v>
      </c>
      <c r="AN373" s="17">
        <v>370</v>
      </c>
      <c r="AO373" s="6">
        <v>1.07626</v>
      </c>
      <c r="AP373" s="6">
        <v>7.5079999999999994E-2</v>
      </c>
      <c r="AQ373" s="6">
        <v>0.54710000000000003</v>
      </c>
      <c r="AR373" s="6">
        <v>328</v>
      </c>
      <c r="AT373" s="17">
        <v>370</v>
      </c>
      <c r="AU373" s="6">
        <v>0.56793000000000005</v>
      </c>
      <c r="AV373" s="6">
        <v>7.5079999999999994E-2</v>
      </c>
      <c r="AW373" s="6">
        <v>0.54710000000000003</v>
      </c>
      <c r="AX373" s="6">
        <v>328</v>
      </c>
    </row>
    <row r="374" spans="1:50" x14ac:dyDescent="0.25">
      <c r="A374" s="31" t="s">
        <v>10</v>
      </c>
      <c r="B374" s="32">
        <v>3</v>
      </c>
      <c r="C374" s="32">
        <v>10</v>
      </c>
      <c r="D374" s="32">
        <v>9</v>
      </c>
      <c r="E374" s="32">
        <v>15</v>
      </c>
      <c r="F374" s="2">
        <v>56.9</v>
      </c>
      <c r="G374">
        <v>61.069312590799036</v>
      </c>
      <c r="Q374" s="17">
        <v>372</v>
      </c>
      <c r="R374" s="6">
        <v>2.3857499999999998</v>
      </c>
      <c r="S374" s="19">
        <v>-8.1501999999999999</v>
      </c>
      <c r="T374" s="6">
        <v>2.2982</v>
      </c>
      <c r="U374" s="6">
        <v>328</v>
      </c>
      <c r="W374" s="17">
        <v>372</v>
      </c>
      <c r="X374" s="6">
        <v>4.5211600000000001</v>
      </c>
      <c r="Y374" s="19">
        <v>-8.1501999999999999</v>
      </c>
      <c r="Z374" s="6">
        <v>2.2982</v>
      </c>
      <c r="AA374" s="6">
        <v>328</v>
      </c>
      <c r="AN374" s="17">
        <v>371</v>
      </c>
      <c r="AO374" s="6">
        <v>1.0858399999999999</v>
      </c>
      <c r="AP374" s="6">
        <v>0.47189999999999999</v>
      </c>
      <c r="AQ374" s="6">
        <v>0.55200000000000005</v>
      </c>
      <c r="AR374" s="6">
        <v>328</v>
      </c>
      <c r="AT374" s="17">
        <v>371</v>
      </c>
      <c r="AU374" s="6">
        <v>0.57298000000000004</v>
      </c>
      <c r="AV374" s="6">
        <v>0.47189999999999999</v>
      </c>
      <c r="AW374" s="6">
        <v>0.55200000000000005</v>
      </c>
      <c r="AX374" s="6">
        <v>328</v>
      </c>
    </row>
    <row r="375" spans="1:50" x14ac:dyDescent="0.25">
      <c r="A375" s="31" t="s">
        <v>11</v>
      </c>
      <c r="B375" s="32">
        <v>1</v>
      </c>
      <c r="C375" s="32">
        <v>7</v>
      </c>
      <c r="D375" s="32">
        <v>3</v>
      </c>
      <c r="E375" s="11">
        <v>15</v>
      </c>
      <c r="F375" s="2">
        <v>59.8</v>
      </c>
      <c r="G375">
        <v>21.023328894806927</v>
      </c>
      <c r="Q375" s="17">
        <v>373</v>
      </c>
      <c r="R375" s="6">
        <v>2.3798499999999998</v>
      </c>
      <c r="S375" s="19">
        <v>-6.7061000000000002</v>
      </c>
      <c r="T375" s="6">
        <v>2.2926000000000002</v>
      </c>
      <c r="U375" s="6">
        <v>328</v>
      </c>
      <c r="W375" s="17">
        <v>373</v>
      </c>
      <c r="X375" s="6">
        <v>4.50997</v>
      </c>
      <c r="Y375" s="19">
        <v>-6.7061000000000002</v>
      </c>
      <c r="Z375" s="6">
        <v>2.2926000000000002</v>
      </c>
      <c r="AA375" s="6">
        <v>328</v>
      </c>
      <c r="AN375" s="17">
        <v>372</v>
      </c>
      <c r="AO375" s="6">
        <v>1.08128</v>
      </c>
      <c r="AP375" s="19">
        <v>-0.93759999999999999</v>
      </c>
      <c r="AQ375" s="6">
        <v>0.54959999999999998</v>
      </c>
      <c r="AR375" s="6">
        <v>328</v>
      </c>
      <c r="AT375" s="17">
        <v>372</v>
      </c>
      <c r="AU375" s="6">
        <v>0.57057999999999998</v>
      </c>
      <c r="AV375" s="19">
        <v>-0.93759999999999999</v>
      </c>
      <c r="AW375" s="6">
        <v>0.54959999999999998</v>
      </c>
      <c r="AX375" s="6">
        <v>328</v>
      </c>
    </row>
    <row r="376" spans="1:50" x14ac:dyDescent="0.25">
      <c r="A376" s="31" t="s">
        <v>11</v>
      </c>
      <c r="B376" s="32">
        <v>2</v>
      </c>
      <c r="C376" s="32">
        <v>15</v>
      </c>
      <c r="D376" s="32">
        <v>5</v>
      </c>
      <c r="E376" s="11">
        <v>15</v>
      </c>
      <c r="F376" s="2">
        <v>59.1</v>
      </c>
      <c r="G376">
        <v>20.476088309946839</v>
      </c>
      <c r="Q376" s="17">
        <v>374</v>
      </c>
      <c r="R376" s="6">
        <v>2.3826900000000002</v>
      </c>
      <c r="S376" s="19">
        <v>-4.4028999999999998</v>
      </c>
      <c r="T376" s="6">
        <v>2.2953000000000001</v>
      </c>
      <c r="U376" s="6">
        <v>328</v>
      </c>
      <c r="W376" s="17">
        <v>374</v>
      </c>
      <c r="X376" s="6">
        <v>4.5153699999999999</v>
      </c>
      <c r="Y376" s="19">
        <v>-4.4028999999999998</v>
      </c>
      <c r="Z376" s="6">
        <v>2.2953000000000001</v>
      </c>
      <c r="AA376" s="6">
        <v>328</v>
      </c>
      <c r="AN376" s="17">
        <v>373</v>
      </c>
      <c r="AO376" s="6">
        <v>1.077</v>
      </c>
      <c r="AP376" s="19">
        <v>-0.59179999999999999</v>
      </c>
      <c r="AQ376" s="6">
        <v>0.54749999999999999</v>
      </c>
      <c r="AR376" s="6">
        <v>328</v>
      </c>
      <c r="AT376" s="17">
        <v>373</v>
      </c>
      <c r="AU376" s="6">
        <v>0.56830999999999998</v>
      </c>
      <c r="AV376" s="19">
        <v>-0.59179999999999999</v>
      </c>
      <c r="AW376" s="6">
        <v>0.54749999999999999</v>
      </c>
      <c r="AX376" s="6">
        <v>328</v>
      </c>
    </row>
    <row r="377" spans="1:50" x14ac:dyDescent="0.25">
      <c r="A377" s="31" t="s">
        <v>11</v>
      </c>
      <c r="B377" s="32">
        <v>3</v>
      </c>
      <c r="C377" s="32">
        <v>8</v>
      </c>
      <c r="D377" s="32">
        <v>8</v>
      </c>
      <c r="E377" s="11">
        <v>15</v>
      </c>
      <c r="F377" s="2">
        <v>56.8</v>
      </c>
      <c r="G377">
        <v>18.088831168831167</v>
      </c>
      <c r="Q377" s="17">
        <v>375</v>
      </c>
      <c r="R377" s="6">
        <v>2.3880499999999998</v>
      </c>
      <c r="S377" s="19">
        <v>-2.3761000000000001</v>
      </c>
      <c r="T377" s="6">
        <v>2.3005</v>
      </c>
      <c r="U377" s="6">
        <v>328</v>
      </c>
      <c r="W377" s="17">
        <v>375</v>
      </c>
      <c r="X377" s="6">
        <v>4.5255299999999998</v>
      </c>
      <c r="Y377" s="19">
        <v>-2.3761000000000001</v>
      </c>
      <c r="Z377" s="6">
        <v>2.3005</v>
      </c>
      <c r="AA377" s="6">
        <v>328</v>
      </c>
      <c r="AN377" s="17">
        <v>374</v>
      </c>
      <c r="AO377" s="6">
        <v>1.0759799999999999</v>
      </c>
      <c r="AP377" s="19">
        <v>-1.6629</v>
      </c>
      <c r="AQ377" s="6">
        <v>0.54700000000000004</v>
      </c>
      <c r="AR377" s="6">
        <v>328</v>
      </c>
      <c r="AT377" s="17">
        <v>374</v>
      </c>
      <c r="AU377" s="6">
        <v>0.56777999999999995</v>
      </c>
      <c r="AV377" s="19">
        <v>-1.6629</v>
      </c>
      <c r="AW377" s="6">
        <v>0.54700000000000004</v>
      </c>
      <c r="AX377" s="6">
        <v>328</v>
      </c>
    </row>
    <row r="378" spans="1:50" x14ac:dyDescent="0.25">
      <c r="A378" t="s">
        <v>160</v>
      </c>
      <c r="B378">
        <v>1</v>
      </c>
      <c r="C378" s="36">
        <v>9</v>
      </c>
      <c r="D378" s="36">
        <v>1</v>
      </c>
      <c r="E378" s="32">
        <v>15</v>
      </c>
      <c r="F378" s="13">
        <v>58.5</v>
      </c>
      <c r="G378">
        <v>106.11577882960412</v>
      </c>
      <c r="Q378" s="17">
        <v>376</v>
      </c>
      <c r="R378" s="6">
        <v>2.387</v>
      </c>
      <c r="S378" s="19">
        <v>-6.3765000000000001</v>
      </c>
      <c r="T378" s="6">
        <v>2.2995000000000001</v>
      </c>
      <c r="U378" s="6">
        <v>328</v>
      </c>
      <c r="W378" s="17">
        <v>376</v>
      </c>
      <c r="X378" s="6">
        <v>4.5235300000000001</v>
      </c>
      <c r="Y378" s="19">
        <v>-6.3765000000000001</v>
      </c>
      <c r="Z378" s="6">
        <v>2.2995000000000001</v>
      </c>
      <c r="AA378" s="6">
        <v>328</v>
      </c>
      <c r="AN378" s="17">
        <v>375</v>
      </c>
      <c r="AO378" s="6">
        <v>1.0818300000000001</v>
      </c>
      <c r="AP378" s="19">
        <v>-1.3511</v>
      </c>
      <c r="AQ378" s="6">
        <v>0.54990000000000006</v>
      </c>
      <c r="AR378" s="6">
        <v>328</v>
      </c>
      <c r="AT378" s="17">
        <v>375</v>
      </c>
      <c r="AU378" s="6">
        <v>0.57086000000000003</v>
      </c>
      <c r="AV378" s="19">
        <v>-1.3511</v>
      </c>
      <c r="AW378" s="6">
        <v>0.54990000000000006</v>
      </c>
      <c r="AX378" s="6">
        <v>328</v>
      </c>
    </row>
    <row r="379" spans="1:50" x14ac:dyDescent="0.25">
      <c r="A379" t="s">
        <v>160</v>
      </c>
      <c r="B379">
        <v>2</v>
      </c>
      <c r="C379" s="36">
        <v>13</v>
      </c>
      <c r="D379" s="36">
        <v>3</v>
      </c>
      <c r="E379" s="32">
        <v>15</v>
      </c>
      <c r="F379" s="13">
        <v>58</v>
      </c>
      <c r="G379">
        <v>94.734264019242545</v>
      </c>
      <c r="Q379" s="17">
        <v>377</v>
      </c>
      <c r="R379" s="6">
        <v>2.3938999999999999</v>
      </c>
      <c r="S379" s="19">
        <v>-4.1569000000000003</v>
      </c>
      <c r="T379" s="6">
        <v>2.3060999999999998</v>
      </c>
      <c r="U379" s="6">
        <v>328</v>
      </c>
      <c r="W379" s="17">
        <v>377</v>
      </c>
      <c r="X379" s="6">
        <v>4.5366</v>
      </c>
      <c r="Y379" s="19">
        <v>-4.1569000000000003</v>
      </c>
      <c r="Z379" s="6">
        <v>2.3060999999999998</v>
      </c>
      <c r="AA379" s="6">
        <v>328</v>
      </c>
      <c r="AN379" s="17">
        <v>376</v>
      </c>
      <c r="AO379" s="6">
        <v>1.09291</v>
      </c>
      <c r="AP379" s="19">
        <v>-0.29670000000000002</v>
      </c>
      <c r="AQ379" s="6">
        <v>0.55559999999999998</v>
      </c>
      <c r="AR379" s="6">
        <v>328</v>
      </c>
      <c r="AT379" s="17">
        <v>376</v>
      </c>
      <c r="AU379" s="6">
        <v>0.57670999999999994</v>
      </c>
      <c r="AV379" s="19">
        <v>-0.29670000000000002</v>
      </c>
      <c r="AW379" s="6">
        <v>0.55559999999999998</v>
      </c>
      <c r="AX379" s="6">
        <v>328</v>
      </c>
    </row>
    <row r="380" spans="1:50" x14ac:dyDescent="0.25">
      <c r="A380" t="s">
        <v>160</v>
      </c>
      <c r="B380">
        <v>3</v>
      </c>
      <c r="C380" s="36">
        <v>19</v>
      </c>
      <c r="D380" s="36">
        <v>5</v>
      </c>
      <c r="E380" s="32">
        <v>15</v>
      </c>
      <c r="F380" s="13">
        <v>58.2</v>
      </c>
      <c r="G380">
        <v>87.53873198568526</v>
      </c>
      <c r="Q380" s="17">
        <v>378</v>
      </c>
      <c r="R380" s="6">
        <v>2.4040699999999999</v>
      </c>
      <c r="S380" s="19">
        <v>-12.7896</v>
      </c>
      <c r="T380" s="6">
        <v>2.3159000000000001</v>
      </c>
      <c r="U380" s="6">
        <v>328</v>
      </c>
      <c r="W380" s="17">
        <v>378</v>
      </c>
      <c r="X380" s="6">
        <v>4.5558800000000002</v>
      </c>
      <c r="Y380" s="19">
        <v>-12.7896</v>
      </c>
      <c r="Z380" s="6">
        <v>2.3159000000000001</v>
      </c>
      <c r="AA380" s="6">
        <v>328</v>
      </c>
      <c r="AN380" s="17">
        <v>377</v>
      </c>
      <c r="AO380" s="6">
        <v>1.0863700000000001</v>
      </c>
      <c r="AP380" s="19">
        <v>-0.38719999999999999</v>
      </c>
      <c r="AQ380" s="6">
        <v>0.55220000000000002</v>
      </c>
      <c r="AR380" s="6">
        <v>328</v>
      </c>
      <c r="AT380" s="17">
        <v>377</v>
      </c>
      <c r="AU380" s="6">
        <v>0.57325999999999999</v>
      </c>
      <c r="AV380" s="19">
        <v>-0.38719999999999999</v>
      </c>
      <c r="AW380" s="6">
        <v>0.55220000000000002</v>
      </c>
      <c r="AX380" s="6">
        <v>328</v>
      </c>
    </row>
    <row r="381" spans="1:50" x14ac:dyDescent="0.25">
      <c r="A381" s="31" t="s">
        <v>116</v>
      </c>
      <c r="B381" s="32">
        <v>1</v>
      </c>
      <c r="C381" s="32">
        <v>3</v>
      </c>
      <c r="D381" s="32">
        <v>4</v>
      </c>
      <c r="E381" s="32">
        <v>16</v>
      </c>
      <c r="F381" s="12">
        <v>59.4</v>
      </c>
      <c r="G381">
        <v>67.523623063683303</v>
      </c>
      <c r="Q381" s="17">
        <v>379</v>
      </c>
      <c r="R381" s="6">
        <v>2.37982</v>
      </c>
      <c r="S381" s="19">
        <v>-5.8678999999999997</v>
      </c>
      <c r="T381" s="6">
        <v>2.2925</v>
      </c>
      <c r="U381" s="6">
        <v>328</v>
      </c>
      <c r="W381" s="17">
        <v>379</v>
      </c>
      <c r="X381" s="6">
        <v>4.5099200000000002</v>
      </c>
      <c r="Y381" s="19">
        <v>-5.8678999999999997</v>
      </c>
      <c r="Z381" s="6">
        <v>2.2925</v>
      </c>
      <c r="AA381" s="6">
        <v>328</v>
      </c>
      <c r="AN381" s="17">
        <v>378</v>
      </c>
      <c r="AO381" s="6">
        <v>1.0933900000000001</v>
      </c>
      <c r="AP381" s="19">
        <v>-0.68049999999999999</v>
      </c>
      <c r="AQ381" s="6">
        <v>0.55579999999999996</v>
      </c>
      <c r="AR381" s="6">
        <v>328</v>
      </c>
      <c r="AT381" s="17">
        <v>378</v>
      </c>
      <c r="AU381" s="6">
        <v>0.57696999999999998</v>
      </c>
      <c r="AV381" s="19">
        <v>-0.68049999999999999</v>
      </c>
      <c r="AW381" s="6">
        <v>0.55579999999999996</v>
      </c>
      <c r="AX381" s="6">
        <v>328</v>
      </c>
    </row>
    <row r="382" spans="1:50" x14ac:dyDescent="0.25">
      <c r="A382" s="31" t="s">
        <v>116</v>
      </c>
      <c r="B382" s="32">
        <v>2</v>
      </c>
      <c r="C382" s="32">
        <v>2</v>
      </c>
      <c r="D382" s="32">
        <v>7</v>
      </c>
      <c r="E382" s="32">
        <v>16</v>
      </c>
      <c r="F382" s="12">
        <v>60</v>
      </c>
      <c r="G382">
        <v>69.779835687768198</v>
      </c>
      <c r="Q382" s="17">
        <v>380</v>
      </c>
      <c r="R382" s="6">
        <v>2.3838499999999998</v>
      </c>
      <c r="S382" s="19">
        <v>-3.1673</v>
      </c>
      <c r="T382" s="6">
        <v>2.2964000000000002</v>
      </c>
      <c r="U382" s="6">
        <v>328</v>
      </c>
      <c r="W382" s="17">
        <v>380</v>
      </c>
      <c r="X382" s="6">
        <v>4.51755</v>
      </c>
      <c r="Y382" s="19">
        <v>-3.1673</v>
      </c>
      <c r="Z382" s="6">
        <v>2.2964000000000002</v>
      </c>
      <c r="AA382" s="6">
        <v>328</v>
      </c>
      <c r="AN382" s="17">
        <v>379</v>
      </c>
      <c r="AO382" s="6">
        <v>1.0659400000000001</v>
      </c>
      <c r="AP382" s="19">
        <v>-0.70699999999999996</v>
      </c>
      <c r="AQ382" s="6">
        <v>0.54179999999999995</v>
      </c>
      <c r="AR382" s="6">
        <v>328</v>
      </c>
      <c r="AT382" s="17">
        <v>379</v>
      </c>
      <c r="AU382" s="6">
        <v>0.56247999999999998</v>
      </c>
      <c r="AV382" s="19">
        <v>-0.70699999999999996</v>
      </c>
      <c r="AW382" s="6">
        <v>0.54179999999999995</v>
      </c>
      <c r="AX382" s="6">
        <v>328</v>
      </c>
    </row>
    <row r="383" spans="1:50" x14ac:dyDescent="0.25">
      <c r="A383" s="31" t="s">
        <v>116</v>
      </c>
      <c r="B383" s="32">
        <v>3</v>
      </c>
      <c r="C383" s="32">
        <v>11</v>
      </c>
      <c r="D383" s="32">
        <v>10</v>
      </c>
      <c r="E383" s="32">
        <v>16</v>
      </c>
      <c r="F383" s="12">
        <v>59.5</v>
      </c>
      <c r="G383">
        <v>77.991520192076806</v>
      </c>
      <c r="Q383" s="17">
        <v>381</v>
      </c>
      <c r="R383" s="6">
        <v>2.3824299999999998</v>
      </c>
      <c r="S383" s="19">
        <v>-4.1623999999999999</v>
      </c>
      <c r="T383" s="6">
        <v>2.2949999999999999</v>
      </c>
      <c r="U383" s="6">
        <v>328</v>
      </c>
      <c r="W383" s="17">
        <v>381</v>
      </c>
      <c r="X383" s="6">
        <v>4.5148599999999997</v>
      </c>
      <c r="Y383" s="19">
        <v>-4.1623999999999999</v>
      </c>
      <c r="Z383" s="6">
        <v>2.2949999999999999</v>
      </c>
      <c r="AA383" s="6">
        <v>328</v>
      </c>
      <c r="AN383" s="17">
        <v>380</v>
      </c>
      <c r="AO383" s="6">
        <v>1.0775399999999999</v>
      </c>
      <c r="AP383" s="6">
        <v>0.67249999999999999</v>
      </c>
      <c r="AQ383" s="6">
        <v>0.54769999999999996</v>
      </c>
      <c r="AR383" s="6">
        <v>328</v>
      </c>
      <c r="AT383" s="17">
        <v>380</v>
      </c>
      <c r="AU383" s="6">
        <v>0.56859999999999999</v>
      </c>
      <c r="AV383" s="6">
        <v>0.67249999999999999</v>
      </c>
      <c r="AW383" s="6">
        <v>0.54769999999999996</v>
      </c>
      <c r="AX383" s="6">
        <v>328</v>
      </c>
    </row>
    <row r="384" spans="1:50" x14ac:dyDescent="0.25">
      <c r="A384" s="34" t="s">
        <v>97</v>
      </c>
      <c r="B384" s="35">
        <v>1</v>
      </c>
      <c r="C384" s="35">
        <v>5</v>
      </c>
      <c r="D384" s="35">
        <v>1</v>
      </c>
      <c r="E384" s="35">
        <v>16</v>
      </c>
      <c r="F384" s="2">
        <v>61.8</v>
      </c>
      <c r="G384">
        <v>76.167771428571413</v>
      </c>
      <c r="Q384" s="17">
        <v>382</v>
      </c>
      <c r="R384" s="6">
        <v>2.3849900000000002</v>
      </c>
      <c r="S384" s="19">
        <v>-1.0934999999999999</v>
      </c>
      <c r="T384" s="6">
        <v>2.2974999999999999</v>
      </c>
      <c r="U384" s="6">
        <v>328</v>
      </c>
      <c r="W384" s="17">
        <v>382</v>
      </c>
      <c r="X384" s="6">
        <v>4.5197200000000004</v>
      </c>
      <c r="Y384" s="19">
        <v>-1.0934999999999999</v>
      </c>
      <c r="Z384" s="6">
        <v>2.2974999999999999</v>
      </c>
      <c r="AA384" s="6">
        <v>328</v>
      </c>
      <c r="AN384" s="17">
        <v>381</v>
      </c>
      <c r="AO384" s="6">
        <v>1.0788199999999999</v>
      </c>
      <c r="AP384" s="19">
        <v>-0.80320000000000003</v>
      </c>
      <c r="AQ384" s="6">
        <v>0.5484</v>
      </c>
      <c r="AR384" s="6">
        <v>328</v>
      </c>
      <c r="AT384" s="17">
        <v>381</v>
      </c>
      <c r="AU384" s="6">
        <v>0.56928000000000001</v>
      </c>
      <c r="AV384" s="19">
        <v>-0.80320000000000003</v>
      </c>
      <c r="AW384" s="6">
        <v>0.5484</v>
      </c>
      <c r="AX384" s="6">
        <v>328</v>
      </c>
    </row>
    <row r="385" spans="1:50" x14ac:dyDescent="0.25">
      <c r="A385" s="34" t="s">
        <v>97</v>
      </c>
      <c r="B385" s="35">
        <v>2</v>
      </c>
      <c r="C385" s="35">
        <v>4</v>
      </c>
      <c r="D385" s="35">
        <v>3</v>
      </c>
      <c r="E385" s="35">
        <v>16</v>
      </c>
      <c r="F385" s="2">
        <v>62.3</v>
      </c>
      <c r="G385">
        <v>71.303515666489631</v>
      </c>
      <c r="Q385" s="17">
        <v>383</v>
      </c>
      <c r="R385" s="6">
        <v>2.37799</v>
      </c>
      <c r="S385" s="19">
        <v>-0.97560000000000002</v>
      </c>
      <c r="T385" s="6">
        <v>2.2907999999999999</v>
      </c>
      <c r="U385" s="6">
        <v>328</v>
      </c>
      <c r="W385" s="17">
        <v>383</v>
      </c>
      <c r="X385" s="6">
        <v>4.5064500000000001</v>
      </c>
      <c r="Y385" s="19">
        <v>-0.97560000000000002</v>
      </c>
      <c r="Z385" s="6">
        <v>2.2907999999999999</v>
      </c>
      <c r="AA385" s="6">
        <v>328</v>
      </c>
      <c r="AN385" s="17">
        <v>382</v>
      </c>
      <c r="AO385" s="6">
        <v>1.0784100000000001</v>
      </c>
      <c r="AP385" s="19">
        <v>-0.7964</v>
      </c>
      <c r="AQ385" s="6">
        <v>0.54820000000000002</v>
      </c>
      <c r="AR385" s="6">
        <v>328</v>
      </c>
      <c r="AT385" s="17">
        <v>382</v>
      </c>
      <c r="AU385" s="6">
        <v>0.56906000000000001</v>
      </c>
      <c r="AV385" s="19">
        <v>-0.7964</v>
      </c>
      <c r="AW385" s="6">
        <v>0.54820000000000002</v>
      </c>
      <c r="AX385" s="6">
        <v>328</v>
      </c>
    </row>
    <row r="386" spans="1:50" x14ac:dyDescent="0.25">
      <c r="A386" s="34" t="s">
        <v>97</v>
      </c>
      <c r="B386" s="35">
        <v>3</v>
      </c>
      <c r="C386" s="35">
        <v>14</v>
      </c>
      <c r="D386" s="35">
        <v>5</v>
      </c>
      <c r="E386" s="35">
        <v>16</v>
      </c>
      <c r="F386" s="2">
        <v>61.7</v>
      </c>
      <c r="G386">
        <v>70.616083086053422</v>
      </c>
      <c r="Q386" s="17">
        <v>384</v>
      </c>
      <c r="R386" s="6">
        <v>2.3932699999999998</v>
      </c>
      <c r="S386" s="19">
        <v>-9.5993999999999993</v>
      </c>
      <c r="T386" s="6">
        <v>2.3054999999999999</v>
      </c>
      <c r="U386" s="6">
        <v>328</v>
      </c>
      <c r="W386" s="17">
        <v>384</v>
      </c>
      <c r="X386" s="6">
        <v>4.5354200000000002</v>
      </c>
      <c r="Y386" s="19">
        <v>-9.5993999999999993</v>
      </c>
      <c r="Z386" s="6">
        <v>2.3054999999999999</v>
      </c>
      <c r="AA386" s="6">
        <v>328</v>
      </c>
      <c r="AN386" s="17">
        <v>383</v>
      </c>
      <c r="AO386" s="6">
        <v>1.0773600000000001</v>
      </c>
      <c r="AP386" s="19">
        <v>-0.22989999999999999</v>
      </c>
      <c r="AQ386" s="6">
        <v>0.54769999999999996</v>
      </c>
      <c r="AR386" s="6">
        <v>328</v>
      </c>
      <c r="AT386" s="17">
        <v>383</v>
      </c>
      <c r="AU386" s="6">
        <v>0.56850999999999996</v>
      </c>
      <c r="AV386" s="19">
        <v>-0.22989999999999999</v>
      </c>
      <c r="AW386" s="6">
        <v>0.54769999999999996</v>
      </c>
      <c r="AX386" s="6">
        <v>328</v>
      </c>
    </row>
    <row r="387" spans="1:50" x14ac:dyDescent="0.25">
      <c r="A387" s="31" t="s">
        <v>132</v>
      </c>
      <c r="B387" s="32">
        <v>1</v>
      </c>
      <c r="C387" s="32">
        <v>20</v>
      </c>
      <c r="D387" s="32">
        <v>2</v>
      </c>
      <c r="E387" s="32">
        <v>16</v>
      </c>
      <c r="F387" s="2">
        <v>60.3</v>
      </c>
      <c r="G387">
        <v>65.030413191263676</v>
      </c>
      <c r="Q387" s="17">
        <v>385</v>
      </c>
      <c r="R387" s="6">
        <v>2.3865799999999999</v>
      </c>
      <c r="S387" s="19">
        <v>-5.9337</v>
      </c>
      <c r="T387" s="6">
        <v>2.2989999999999999</v>
      </c>
      <c r="U387" s="6">
        <v>328</v>
      </c>
      <c r="W387" s="17">
        <v>385</v>
      </c>
      <c r="X387" s="6">
        <v>4.5227300000000001</v>
      </c>
      <c r="Y387" s="19">
        <v>-5.9337</v>
      </c>
      <c r="Z387" s="6">
        <v>2.2989999999999999</v>
      </c>
      <c r="AA387" s="6">
        <v>328</v>
      </c>
      <c r="AN387" s="17">
        <v>384</v>
      </c>
      <c r="AO387" s="6">
        <v>1.0837399999999999</v>
      </c>
      <c r="AP387" s="19">
        <v>-2.6193</v>
      </c>
      <c r="AQ387" s="6">
        <v>0.55089999999999995</v>
      </c>
      <c r="AR387" s="6">
        <v>328</v>
      </c>
      <c r="AT387" s="17">
        <v>384</v>
      </c>
      <c r="AU387" s="6">
        <v>0.57188000000000005</v>
      </c>
      <c r="AV387" s="19">
        <v>-2.6193</v>
      </c>
      <c r="AW387" s="6">
        <v>0.55089999999999995</v>
      </c>
      <c r="AX387" s="6">
        <v>328</v>
      </c>
    </row>
    <row r="388" spans="1:50" x14ac:dyDescent="0.25">
      <c r="A388" s="31" t="s">
        <v>132</v>
      </c>
      <c r="B388" s="32">
        <v>2</v>
      </c>
      <c r="C388" s="32">
        <v>4</v>
      </c>
      <c r="D388" s="32">
        <v>4</v>
      </c>
      <c r="E388" s="32">
        <v>16</v>
      </c>
      <c r="F388" s="2">
        <v>59.8</v>
      </c>
      <c r="G388">
        <v>66.248171058399492</v>
      </c>
      <c r="Q388" s="17">
        <v>386</v>
      </c>
      <c r="R388" s="6">
        <v>2.3786700000000001</v>
      </c>
      <c r="S388" s="19">
        <v>-4.2374999999999998</v>
      </c>
      <c r="T388" s="6">
        <v>2.2913999999999999</v>
      </c>
      <c r="U388" s="6">
        <v>328</v>
      </c>
      <c r="W388" s="17">
        <v>386</v>
      </c>
      <c r="X388" s="6">
        <v>4.5077499999999997</v>
      </c>
      <c r="Y388" s="19">
        <v>-4.2374999999999998</v>
      </c>
      <c r="Z388" s="6">
        <v>2.2913999999999999</v>
      </c>
      <c r="AA388" s="6">
        <v>328</v>
      </c>
      <c r="AN388" s="17">
        <v>385</v>
      </c>
      <c r="AO388" s="6">
        <v>1.0804499999999999</v>
      </c>
      <c r="AP388" s="19">
        <v>-0.54820000000000002</v>
      </c>
      <c r="AQ388" s="6">
        <v>0.54920000000000002</v>
      </c>
      <c r="AR388" s="6">
        <v>328</v>
      </c>
      <c r="AT388" s="17">
        <v>385</v>
      </c>
      <c r="AU388" s="6">
        <v>0.57013999999999998</v>
      </c>
      <c r="AV388" s="19">
        <v>-0.54820000000000002</v>
      </c>
      <c r="AW388" s="6">
        <v>0.54920000000000002</v>
      </c>
      <c r="AX388" s="6">
        <v>328</v>
      </c>
    </row>
    <row r="389" spans="1:50" x14ac:dyDescent="0.25">
      <c r="A389" s="31" t="s">
        <v>132</v>
      </c>
      <c r="B389" s="32">
        <v>3</v>
      </c>
      <c r="C389" s="32">
        <v>17</v>
      </c>
      <c r="D389" s="32">
        <v>6</v>
      </c>
      <c r="E389" s="32">
        <v>16</v>
      </c>
      <c r="F389" s="12">
        <v>61.1</v>
      </c>
      <c r="G389">
        <v>65.457976310847897</v>
      </c>
      <c r="Q389" s="17">
        <v>387</v>
      </c>
      <c r="R389" s="6">
        <v>2.3824100000000001</v>
      </c>
      <c r="S389" s="19">
        <v>-5.6314000000000002</v>
      </c>
      <c r="T389" s="6">
        <v>2.2949999999999999</v>
      </c>
      <c r="U389" s="6">
        <v>328</v>
      </c>
      <c r="W389" s="17">
        <v>387</v>
      </c>
      <c r="X389" s="6">
        <v>4.5148299999999999</v>
      </c>
      <c r="Y389" s="19">
        <v>-5.6314000000000002</v>
      </c>
      <c r="Z389" s="6">
        <v>2.2949999999999999</v>
      </c>
      <c r="AA389" s="6">
        <v>328</v>
      </c>
      <c r="AN389" s="17">
        <v>386</v>
      </c>
      <c r="AO389" s="6">
        <v>1.08039</v>
      </c>
      <c r="AP389" s="19">
        <v>-0.33489999999999998</v>
      </c>
      <c r="AQ389" s="6">
        <v>0.54920000000000002</v>
      </c>
      <c r="AR389" s="6">
        <v>328</v>
      </c>
      <c r="AT389" s="17">
        <v>386</v>
      </c>
      <c r="AU389" s="6">
        <v>0.57010000000000005</v>
      </c>
      <c r="AV389" s="19">
        <v>-0.33489999999999998</v>
      </c>
      <c r="AW389" s="6">
        <v>0.54920000000000002</v>
      </c>
      <c r="AX389" s="6">
        <v>328</v>
      </c>
    </row>
    <row r="390" spans="1:50" x14ac:dyDescent="0.25">
      <c r="A390" s="31" t="s">
        <v>13</v>
      </c>
      <c r="B390" s="32">
        <v>1</v>
      </c>
      <c r="C390" s="36">
        <v>4</v>
      </c>
      <c r="D390" s="36">
        <v>1</v>
      </c>
      <c r="E390" s="32">
        <v>16</v>
      </c>
      <c r="F390" s="12">
        <v>60.3</v>
      </c>
      <c r="G390">
        <v>70.808319999999981</v>
      </c>
      <c r="Q390" s="17">
        <v>388</v>
      </c>
      <c r="R390" s="6">
        <v>2.37731</v>
      </c>
      <c r="S390" s="19">
        <v>-4.5647000000000002</v>
      </c>
      <c r="T390" s="6">
        <v>2.2900999999999998</v>
      </c>
      <c r="U390" s="6">
        <v>328</v>
      </c>
      <c r="W390" s="17">
        <v>388</v>
      </c>
      <c r="X390" s="6">
        <v>4.5051699999999997</v>
      </c>
      <c r="Y390" s="19">
        <v>-4.5647000000000002</v>
      </c>
      <c r="Z390" s="6">
        <v>2.2900999999999998</v>
      </c>
      <c r="AA390" s="6">
        <v>328</v>
      </c>
      <c r="AN390" s="17">
        <v>387</v>
      </c>
      <c r="AO390" s="6">
        <v>1.08226</v>
      </c>
      <c r="AP390" s="19">
        <v>-0.624</v>
      </c>
      <c r="AQ390" s="6">
        <v>0.55010000000000003</v>
      </c>
      <c r="AR390" s="6">
        <v>328</v>
      </c>
      <c r="AT390" s="17">
        <v>387</v>
      </c>
      <c r="AU390" s="6">
        <v>0.57108999999999999</v>
      </c>
      <c r="AV390" s="19">
        <v>-0.624</v>
      </c>
      <c r="AW390" s="6">
        <v>0.55010000000000003</v>
      </c>
      <c r="AX390" s="6">
        <v>328</v>
      </c>
    </row>
    <row r="391" spans="1:50" x14ac:dyDescent="0.25">
      <c r="A391" s="31" t="s">
        <v>13</v>
      </c>
      <c r="B391" s="32">
        <v>2</v>
      </c>
      <c r="C391" s="36">
        <v>19</v>
      </c>
      <c r="D391" s="36">
        <v>3</v>
      </c>
      <c r="E391" s="32">
        <v>16</v>
      </c>
      <c r="F391" s="12">
        <v>60.4</v>
      </c>
      <c r="G391">
        <v>77.614845000000003</v>
      </c>
      <c r="Q391" s="17">
        <v>389</v>
      </c>
      <c r="R391" s="6">
        <v>2.3787799999999999</v>
      </c>
      <c r="S391" s="19">
        <v>-6.1333000000000002</v>
      </c>
      <c r="T391" s="6">
        <v>2.2915000000000001</v>
      </c>
      <c r="U391" s="6">
        <v>328</v>
      </c>
      <c r="W391" s="17">
        <v>389</v>
      </c>
      <c r="X391" s="6">
        <v>4.5079500000000001</v>
      </c>
      <c r="Y391" s="19">
        <v>-6.1333000000000002</v>
      </c>
      <c r="Z391" s="6">
        <v>2.2915000000000001</v>
      </c>
      <c r="AA391" s="6">
        <v>328</v>
      </c>
      <c r="AN391" s="17">
        <v>388</v>
      </c>
      <c r="AO391" s="6">
        <v>1.0753699999999999</v>
      </c>
      <c r="AP391" s="19">
        <v>-1.7044999999999999</v>
      </c>
      <c r="AQ391" s="6">
        <v>0.54659999999999997</v>
      </c>
      <c r="AR391" s="6">
        <v>328</v>
      </c>
      <c r="AT391" s="17">
        <v>388</v>
      </c>
      <c r="AU391" s="6">
        <v>0.56745999999999996</v>
      </c>
      <c r="AV391" s="19">
        <v>-1.7044999999999999</v>
      </c>
      <c r="AW391" s="6">
        <v>0.54659999999999997</v>
      </c>
      <c r="AX391" s="6">
        <v>328</v>
      </c>
    </row>
    <row r="392" spans="1:50" x14ac:dyDescent="0.25">
      <c r="A392" s="31" t="s">
        <v>13</v>
      </c>
      <c r="B392" s="32">
        <v>3</v>
      </c>
      <c r="C392" s="36">
        <v>17</v>
      </c>
      <c r="D392" s="36">
        <v>5</v>
      </c>
      <c r="E392" s="32">
        <v>16</v>
      </c>
      <c r="F392" s="12">
        <v>59.3</v>
      </c>
      <c r="G392">
        <v>66.267299999999992</v>
      </c>
      <c r="Q392" s="17">
        <v>390</v>
      </c>
      <c r="R392" s="6">
        <v>2.37879</v>
      </c>
      <c r="S392" s="19">
        <v>-5.6302000000000003</v>
      </c>
      <c r="T392" s="6">
        <v>2.2915000000000001</v>
      </c>
      <c r="U392" s="6">
        <v>328</v>
      </c>
      <c r="W392" s="17">
        <v>390</v>
      </c>
      <c r="X392" s="6">
        <v>4.5079700000000003</v>
      </c>
      <c r="Y392" s="19">
        <v>-5.6302000000000003</v>
      </c>
      <c r="Z392" s="6">
        <v>2.2915000000000001</v>
      </c>
      <c r="AA392" s="6">
        <v>328</v>
      </c>
      <c r="AN392" s="17">
        <v>389</v>
      </c>
      <c r="AO392" s="6">
        <v>1.0737399999999999</v>
      </c>
      <c r="AP392" s="19">
        <v>-1.365</v>
      </c>
      <c r="AQ392" s="6">
        <v>0.54579999999999995</v>
      </c>
      <c r="AR392" s="6">
        <v>328</v>
      </c>
      <c r="AT392" s="17">
        <v>389</v>
      </c>
      <c r="AU392" s="6">
        <v>0.56659999999999999</v>
      </c>
      <c r="AV392" s="19">
        <v>-1.365</v>
      </c>
      <c r="AW392" s="6">
        <v>0.54579999999999995</v>
      </c>
      <c r="AX392" s="6">
        <v>328</v>
      </c>
    </row>
    <row r="393" spans="1:50" x14ac:dyDescent="0.25">
      <c r="A393" t="s">
        <v>7</v>
      </c>
      <c r="B393" s="11">
        <v>1</v>
      </c>
      <c r="C393" s="11">
        <v>4</v>
      </c>
      <c r="D393" s="11">
        <v>3</v>
      </c>
      <c r="E393" s="11">
        <v>16</v>
      </c>
      <c r="F393" s="12">
        <v>57.9</v>
      </c>
      <c r="G393">
        <v>57.006087904793503</v>
      </c>
      <c r="Q393" s="17">
        <v>391</v>
      </c>
      <c r="R393" s="6">
        <v>2.3947099999999999</v>
      </c>
      <c r="S393" s="6">
        <v>1.6669</v>
      </c>
      <c r="T393" s="6">
        <v>2.3069000000000002</v>
      </c>
      <c r="U393" s="6">
        <v>328</v>
      </c>
      <c r="W393" s="17">
        <v>391</v>
      </c>
      <c r="X393" s="6">
        <v>4.5381499999999999</v>
      </c>
      <c r="Y393" s="6">
        <v>1.6669</v>
      </c>
      <c r="Z393" s="6">
        <v>2.3069000000000002</v>
      </c>
      <c r="AA393" s="6">
        <v>328</v>
      </c>
      <c r="AN393" s="17">
        <v>390</v>
      </c>
      <c r="AO393" s="6">
        <v>1.0760799999999999</v>
      </c>
      <c r="AP393" s="19">
        <v>-1.8917999999999999</v>
      </c>
      <c r="AQ393" s="6">
        <v>0.54700000000000004</v>
      </c>
      <c r="AR393" s="6">
        <v>328</v>
      </c>
      <c r="AT393" s="17">
        <v>390</v>
      </c>
      <c r="AU393" s="6">
        <v>0.56782999999999995</v>
      </c>
      <c r="AV393" s="19">
        <v>-1.8917999999999999</v>
      </c>
      <c r="AW393" s="6">
        <v>0.54700000000000004</v>
      </c>
      <c r="AX393" s="6">
        <v>328</v>
      </c>
    </row>
    <row r="394" spans="1:50" x14ac:dyDescent="0.25">
      <c r="A394" t="s">
        <v>7</v>
      </c>
      <c r="B394" s="11">
        <v>2</v>
      </c>
      <c r="C394" s="11">
        <v>12</v>
      </c>
      <c r="D394" s="11">
        <v>7</v>
      </c>
      <c r="E394" s="11">
        <v>16</v>
      </c>
      <c r="F394" s="12">
        <v>56.9</v>
      </c>
      <c r="G394">
        <v>54.934464046021084</v>
      </c>
      <c r="Q394" s="17">
        <v>392</v>
      </c>
      <c r="R394" s="6">
        <v>2.3790399999999998</v>
      </c>
      <c r="S394" s="19">
        <v>-3.8258999999999999</v>
      </c>
      <c r="T394" s="6">
        <v>2.2917999999999998</v>
      </c>
      <c r="U394" s="6">
        <v>328</v>
      </c>
      <c r="W394" s="17">
        <v>392</v>
      </c>
      <c r="X394" s="6">
        <v>4.5084400000000002</v>
      </c>
      <c r="Y394" s="19">
        <v>-3.8258999999999999</v>
      </c>
      <c r="Z394" s="6">
        <v>2.2917999999999998</v>
      </c>
      <c r="AA394" s="6">
        <v>328</v>
      </c>
      <c r="AN394" s="17">
        <v>391</v>
      </c>
      <c r="AO394" s="6">
        <v>1.0904700000000001</v>
      </c>
      <c r="AP394" s="19">
        <v>-0.1021</v>
      </c>
      <c r="AQ394" s="6">
        <v>0.55430000000000001</v>
      </c>
      <c r="AR394" s="6">
        <v>328</v>
      </c>
      <c r="AT394" s="17">
        <v>391</v>
      </c>
      <c r="AU394" s="6">
        <v>0.57542000000000004</v>
      </c>
      <c r="AV394" s="19">
        <v>-0.1021</v>
      </c>
      <c r="AW394" s="6">
        <v>0.55430000000000001</v>
      </c>
      <c r="AX394" s="6">
        <v>328</v>
      </c>
    </row>
    <row r="395" spans="1:50" x14ac:dyDescent="0.25">
      <c r="A395" t="s">
        <v>7</v>
      </c>
      <c r="B395" s="11">
        <v>3</v>
      </c>
      <c r="C395" s="11">
        <v>13</v>
      </c>
      <c r="D395" s="11">
        <v>9</v>
      </c>
      <c r="E395" s="11">
        <v>16</v>
      </c>
      <c r="F395" s="12">
        <v>57.3</v>
      </c>
      <c r="G395">
        <v>50.728246091094483</v>
      </c>
      <c r="Q395" s="17">
        <v>393</v>
      </c>
      <c r="R395" s="6">
        <v>2.3863599999999998</v>
      </c>
      <c r="S395" s="6">
        <v>5.8925999999999998</v>
      </c>
      <c r="T395" s="6">
        <v>2.2988</v>
      </c>
      <c r="U395" s="6">
        <v>328</v>
      </c>
      <c r="W395" s="17">
        <v>393</v>
      </c>
      <c r="X395" s="6">
        <v>4.5223100000000001</v>
      </c>
      <c r="Y395" s="6">
        <v>5.8925999999999998</v>
      </c>
      <c r="Z395" s="6">
        <v>2.2988</v>
      </c>
      <c r="AA395" s="6">
        <v>328</v>
      </c>
      <c r="AN395" s="17">
        <v>392</v>
      </c>
      <c r="AO395" s="6">
        <v>1.0739700000000001</v>
      </c>
      <c r="AP395" s="19">
        <v>-1.8207</v>
      </c>
      <c r="AQ395" s="6">
        <v>0.54590000000000005</v>
      </c>
      <c r="AR395" s="6">
        <v>328</v>
      </c>
      <c r="AT395" s="17">
        <v>392</v>
      </c>
      <c r="AU395" s="6">
        <v>0.56672</v>
      </c>
      <c r="AV395" s="19">
        <v>-1.8207</v>
      </c>
      <c r="AW395" s="6">
        <v>0.54590000000000005</v>
      </c>
      <c r="AX395" s="6">
        <v>328</v>
      </c>
    </row>
    <row r="396" spans="1:50" x14ac:dyDescent="0.25">
      <c r="A396" s="31" t="s">
        <v>156</v>
      </c>
      <c r="B396" s="32">
        <v>1</v>
      </c>
      <c r="C396" s="32">
        <v>4</v>
      </c>
      <c r="D396" s="32">
        <v>1</v>
      </c>
      <c r="E396" s="32">
        <v>16</v>
      </c>
      <c r="F396" s="2">
        <v>51.1</v>
      </c>
      <c r="G396">
        <v>30.391105057615349</v>
      </c>
      <c r="Q396" s="17">
        <v>394</v>
      </c>
      <c r="R396" s="6">
        <v>2.3806600000000002</v>
      </c>
      <c r="S396" s="6">
        <v>1.1158999999999999</v>
      </c>
      <c r="T396" s="6">
        <v>2.2932999999999999</v>
      </c>
      <c r="U396" s="6">
        <v>328</v>
      </c>
      <c r="W396" s="17">
        <v>394</v>
      </c>
      <c r="X396" s="6">
        <v>4.51152</v>
      </c>
      <c r="Y396" s="6">
        <v>1.1158999999999999</v>
      </c>
      <c r="Z396" s="6">
        <v>2.2932999999999999</v>
      </c>
      <c r="AA396" s="6">
        <v>328</v>
      </c>
      <c r="AN396" s="17">
        <v>393</v>
      </c>
      <c r="AO396" s="6">
        <v>1.0851999999999999</v>
      </c>
      <c r="AP396" s="6">
        <v>0.69040000000000001</v>
      </c>
      <c r="AQ396" s="6">
        <v>0.55159999999999998</v>
      </c>
      <c r="AR396" s="6">
        <v>328</v>
      </c>
      <c r="AT396" s="17">
        <v>393</v>
      </c>
      <c r="AU396" s="6">
        <v>0.57264000000000004</v>
      </c>
      <c r="AV396" s="6">
        <v>0.69040000000000001</v>
      </c>
      <c r="AW396" s="6">
        <v>0.55159999999999998</v>
      </c>
      <c r="AX396" s="6">
        <v>328</v>
      </c>
    </row>
    <row r="397" spans="1:50" x14ac:dyDescent="0.25">
      <c r="A397" s="31" t="s">
        <v>156</v>
      </c>
      <c r="B397" s="32">
        <v>2</v>
      </c>
      <c r="C397" s="32">
        <v>26</v>
      </c>
      <c r="D397" s="32">
        <v>4</v>
      </c>
      <c r="E397" s="32">
        <v>16</v>
      </c>
      <c r="F397" s="2">
        <v>59.8</v>
      </c>
      <c r="G397">
        <v>52.659443788713844</v>
      </c>
      <c r="Q397" s="17">
        <v>395</v>
      </c>
      <c r="R397" s="6">
        <v>2.39093</v>
      </c>
      <c r="S397" s="19">
        <v>-4.8627000000000002</v>
      </c>
      <c r="T397" s="6">
        <v>2.3031999999999999</v>
      </c>
      <c r="U397" s="6">
        <v>328</v>
      </c>
      <c r="W397" s="17">
        <v>395</v>
      </c>
      <c r="X397" s="6">
        <v>4.5309699999999999</v>
      </c>
      <c r="Y397" s="19">
        <v>-4.8627000000000002</v>
      </c>
      <c r="Z397" s="6">
        <v>2.3031999999999999</v>
      </c>
      <c r="AA397" s="6">
        <v>328</v>
      </c>
      <c r="AN397" s="17">
        <v>394</v>
      </c>
      <c r="AO397" s="6">
        <v>1.07395</v>
      </c>
      <c r="AP397" s="19">
        <v>-0.18129999999999999</v>
      </c>
      <c r="AQ397" s="6">
        <v>0.54590000000000005</v>
      </c>
      <c r="AR397" s="6">
        <v>328</v>
      </c>
      <c r="AT397" s="17">
        <v>394</v>
      </c>
      <c r="AU397" s="6">
        <v>0.56671000000000005</v>
      </c>
      <c r="AV397" s="19">
        <v>-0.18129999999999999</v>
      </c>
      <c r="AW397" s="6">
        <v>0.54590000000000005</v>
      </c>
      <c r="AX397" s="6">
        <v>328</v>
      </c>
    </row>
    <row r="398" spans="1:50" x14ac:dyDescent="0.25">
      <c r="A398" s="31" t="s">
        <v>156</v>
      </c>
      <c r="B398" s="32">
        <v>3</v>
      </c>
      <c r="C398" s="32">
        <v>7</v>
      </c>
      <c r="D398" s="32">
        <v>6</v>
      </c>
      <c r="E398" s="32">
        <v>16</v>
      </c>
      <c r="F398" s="2">
        <v>54.4</v>
      </c>
      <c r="G398">
        <v>33.412369091695915</v>
      </c>
      <c r="Q398" s="17">
        <v>396</v>
      </c>
      <c r="R398" s="6">
        <v>2.3841800000000002</v>
      </c>
      <c r="S398" s="19">
        <v>-2.8610000000000002</v>
      </c>
      <c r="T398" s="6">
        <v>2.2967</v>
      </c>
      <c r="U398" s="6">
        <v>328</v>
      </c>
      <c r="W398" s="17">
        <v>396</v>
      </c>
      <c r="X398" s="6">
        <v>4.5181899999999997</v>
      </c>
      <c r="Y398" s="19">
        <v>-2.8610000000000002</v>
      </c>
      <c r="Z398" s="6">
        <v>2.2967</v>
      </c>
      <c r="AA398" s="6">
        <v>328</v>
      </c>
      <c r="AN398" s="17">
        <v>395</v>
      </c>
      <c r="AO398" s="6">
        <v>1.08392</v>
      </c>
      <c r="AP398" s="19">
        <v>-0.62909999999999999</v>
      </c>
      <c r="AQ398" s="6">
        <v>0.55100000000000005</v>
      </c>
      <c r="AR398" s="6">
        <v>328</v>
      </c>
      <c r="AT398" s="17">
        <v>395</v>
      </c>
      <c r="AU398" s="6">
        <v>0.57196999999999998</v>
      </c>
      <c r="AV398" s="19">
        <v>-0.62909999999999999</v>
      </c>
      <c r="AW398" s="6">
        <v>0.55100000000000005</v>
      </c>
      <c r="AX398" s="6">
        <v>328</v>
      </c>
    </row>
    <row r="399" spans="1:50" x14ac:dyDescent="0.25">
      <c r="A399" s="31" t="s">
        <v>10</v>
      </c>
      <c r="B399" s="32">
        <v>1</v>
      </c>
      <c r="C399" s="32">
        <v>1</v>
      </c>
      <c r="D399" s="32">
        <v>3</v>
      </c>
      <c r="E399" s="32">
        <v>16</v>
      </c>
      <c r="F399" s="2">
        <v>57.4</v>
      </c>
      <c r="G399">
        <v>64.883083939482106</v>
      </c>
      <c r="Q399" s="17">
        <v>397</v>
      </c>
      <c r="R399" s="6">
        <v>2.3841600000000001</v>
      </c>
      <c r="S399" s="19">
        <v>-4.2492000000000001</v>
      </c>
      <c r="T399" s="6">
        <v>2.2967</v>
      </c>
      <c r="U399" s="6">
        <v>328</v>
      </c>
      <c r="W399" s="17">
        <v>397</v>
      </c>
      <c r="X399" s="6">
        <v>4.5181399999999998</v>
      </c>
      <c r="Y399" s="19">
        <v>-4.2492000000000001</v>
      </c>
      <c r="Z399" s="6">
        <v>2.2967</v>
      </c>
      <c r="AA399" s="6">
        <v>328</v>
      </c>
      <c r="AN399" s="17">
        <v>396</v>
      </c>
      <c r="AO399" s="6">
        <v>1.0808</v>
      </c>
      <c r="AP399" s="19">
        <v>-0.63129999999999997</v>
      </c>
      <c r="AQ399" s="6">
        <v>0.5494</v>
      </c>
      <c r="AR399" s="6">
        <v>328</v>
      </c>
      <c r="AT399" s="17">
        <v>396</v>
      </c>
      <c r="AU399" s="6">
        <v>0.57032000000000005</v>
      </c>
      <c r="AV399" s="19">
        <v>-0.63129999999999997</v>
      </c>
      <c r="AW399" s="6">
        <v>0.5494</v>
      </c>
      <c r="AX399" s="6">
        <v>328</v>
      </c>
    </row>
    <row r="400" spans="1:50" x14ac:dyDescent="0.25">
      <c r="A400" s="31" t="s">
        <v>10</v>
      </c>
      <c r="B400" s="32">
        <v>2</v>
      </c>
      <c r="C400" s="32">
        <v>3</v>
      </c>
      <c r="D400" s="32">
        <v>6</v>
      </c>
      <c r="E400" s="32">
        <v>16</v>
      </c>
      <c r="F400" s="2">
        <v>58.7</v>
      </c>
      <c r="G400">
        <v>56.29963314630988</v>
      </c>
      <c r="Q400" s="17">
        <v>398</v>
      </c>
      <c r="R400" s="6">
        <v>2.3709199999999999</v>
      </c>
      <c r="S400" s="19">
        <v>-2.0152000000000001</v>
      </c>
      <c r="T400" s="6">
        <v>2.2839999999999998</v>
      </c>
      <c r="U400" s="6">
        <v>328</v>
      </c>
      <c r="W400" s="17">
        <v>398</v>
      </c>
      <c r="X400" s="6">
        <v>4.4930500000000002</v>
      </c>
      <c r="Y400" s="19">
        <v>-2.0152000000000001</v>
      </c>
      <c r="Z400" s="6">
        <v>2.2839999999999998</v>
      </c>
      <c r="AA400" s="6">
        <v>328</v>
      </c>
      <c r="AN400" s="17">
        <v>397</v>
      </c>
      <c r="AO400" s="6">
        <v>1.0698099999999999</v>
      </c>
      <c r="AP400" s="19">
        <v>-0.502</v>
      </c>
      <c r="AQ400" s="6">
        <v>0.54379999999999995</v>
      </c>
      <c r="AR400" s="6">
        <v>328</v>
      </c>
      <c r="AT400" s="17">
        <v>397</v>
      </c>
      <c r="AU400" s="6">
        <v>0.56452000000000002</v>
      </c>
      <c r="AV400" s="19">
        <v>-0.502</v>
      </c>
      <c r="AW400" s="6">
        <v>0.54379999999999995</v>
      </c>
      <c r="AX400" s="6">
        <v>328</v>
      </c>
    </row>
    <row r="401" spans="1:50" x14ac:dyDescent="0.25">
      <c r="A401" s="31" t="s">
        <v>10</v>
      </c>
      <c r="B401" s="32">
        <v>3</v>
      </c>
      <c r="C401" s="32">
        <v>12</v>
      </c>
      <c r="D401" s="32">
        <v>12</v>
      </c>
      <c r="E401" s="32">
        <v>16</v>
      </c>
      <c r="F401" s="2">
        <v>54.8</v>
      </c>
      <c r="G401">
        <v>79.159384615384596</v>
      </c>
      <c r="Q401" s="17">
        <v>399</v>
      </c>
      <c r="R401" s="6">
        <v>2.38829</v>
      </c>
      <c r="S401" s="19">
        <v>-1.9843</v>
      </c>
      <c r="T401" s="6">
        <v>2.3007</v>
      </c>
      <c r="U401" s="6">
        <v>328</v>
      </c>
      <c r="W401" s="17">
        <v>399</v>
      </c>
      <c r="X401" s="6">
        <v>4.5259799999999997</v>
      </c>
      <c r="Y401" s="19">
        <v>-1.9843</v>
      </c>
      <c r="Z401" s="6">
        <v>2.3007</v>
      </c>
      <c r="AA401" s="6">
        <v>328</v>
      </c>
      <c r="AN401" s="17">
        <v>398</v>
      </c>
      <c r="AO401" s="6">
        <v>1.0612200000000001</v>
      </c>
      <c r="AP401" s="6">
        <v>1.6419999999999999</v>
      </c>
      <c r="AQ401" s="6">
        <v>0.53949999999999998</v>
      </c>
      <c r="AR401" s="6">
        <v>328</v>
      </c>
      <c r="AT401" s="17">
        <v>398</v>
      </c>
      <c r="AU401" s="6">
        <v>0.55998999999999999</v>
      </c>
      <c r="AV401" s="6">
        <v>1.6419999999999999</v>
      </c>
      <c r="AW401" s="6">
        <v>0.53949999999999998</v>
      </c>
      <c r="AX401" s="6">
        <v>328</v>
      </c>
    </row>
    <row r="402" spans="1:50" x14ac:dyDescent="0.25">
      <c r="A402" s="31" t="s">
        <v>11</v>
      </c>
      <c r="B402" s="32">
        <v>1</v>
      </c>
      <c r="C402" s="32">
        <v>17</v>
      </c>
      <c r="D402" s="32">
        <v>2</v>
      </c>
      <c r="E402" s="11">
        <v>16</v>
      </c>
      <c r="F402" s="2">
        <v>60.5</v>
      </c>
      <c r="G402">
        <v>23.774147769562841</v>
      </c>
      <c r="Q402" s="17">
        <v>400</v>
      </c>
      <c r="R402" s="6">
        <v>2.3782899999999998</v>
      </c>
      <c r="S402" s="19">
        <v>-0.61250000000000004</v>
      </c>
      <c r="T402" s="6">
        <v>2.2911000000000001</v>
      </c>
      <c r="U402" s="6">
        <v>328</v>
      </c>
      <c r="W402" s="17">
        <v>400</v>
      </c>
      <c r="X402" s="6">
        <v>4.5070199999999998</v>
      </c>
      <c r="Y402" s="19">
        <v>-0.61250000000000004</v>
      </c>
      <c r="Z402" s="6">
        <v>2.2911000000000001</v>
      </c>
      <c r="AA402" s="6">
        <v>328</v>
      </c>
      <c r="AN402" s="17">
        <v>399</v>
      </c>
      <c r="AO402" s="6">
        <v>1.0718399999999999</v>
      </c>
      <c r="AP402" s="19">
        <v>-0.32150000000000001</v>
      </c>
      <c r="AQ402" s="6">
        <v>0.54490000000000005</v>
      </c>
      <c r="AR402" s="6">
        <v>328</v>
      </c>
      <c r="AT402" s="17">
        <v>399</v>
      </c>
      <c r="AU402" s="6">
        <v>0.56559999999999999</v>
      </c>
      <c r="AV402" s="19">
        <v>-0.32150000000000001</v>
      </c>
      <c r="AW402" s="6">
        <v>0.54490000000000005</v>
      </c>
      <c r="AX402" s="6">
        <v>328</v>
      </c>
    </row>
    <row r="403" spans="1:50" x14ac:dyDescent="0.25">
      <c r="A403" s="31" t="s">
        <v>11</v>
      </c>
      <c r="B403" s="32">
        <v>2</v>
      </c>
      <c r="C403" s="32">
        <v>1</v>
      </c>
      <c r="D403" s="32">
        <v>5</v>
      </c>
      <c r="E403" s="11">
        <v>16</v>
      </c>
      <c r="F403" s="2">
        <v>58.3</v>
      </c>
      <c r="G403">
        <v>30.353330779177234</v>
      </c>
      <c r="Q403" s="17">
        <v>401</v>
      </c>
      <c r="R403" s="6">
        <v>2.3856700000000002</v>
      </c>
      <c r="S403" s="6">
        <v>4.7503000000000002</v>
      </c>
      <c r="T403" s="6">
        <v>2.2982</v>
      </c>
      <c r="U403" s="6">
        <v>328</v>
      </c>
      <c r="W403" s="17">
        <v>401</v>
      </c>
      <c r="X403" s="6">
        <v>4.5210100000000004</v>
      </c>
      <c r="Y403" s="6">
        <v>4.7503000000000002</v>
      </c>
      <c r="Z403" s="6">
        <v>2.2982</v>
      </c>
      <c r="AA403" s="6">
        <v>328</v>
      </c>
      <c r="AN403" s="17">
        <v>400</v>
      </c>
      <c r="AO403" s="6">
        <v>1.0647500000000001</v>
      </c>
      <c r="AP403" s="6">
        <v>1.3945000000000001</v>
      </c>
      <c r="AQ403" s="6">
        <v>0.54120000000000001</v>
      </c>
      <c r="AR403" s="6">
        <v>328</v>
      </c>
      <c r="AT403" s="17">
        <v>400</v>
      </c>
      <c r="AU403" s="6">
        <v>0.56184999999999996</v>
      </c>
      <c r="AV403" s="6">
        <v>1.3945000000000001</v>
      </c>
      <c r="AW403" s="6">
        <v>0.54120000000000001</v>
      </c>
      <c r="AX403" s="6">
        <v>328</v>
      </c>
    </row>
    <row r="404" spans="1:50" x14ac:dyDescent="0.25">
      <c r="A404" s="31" t="s">
        <v>11</v>
      </c>
      <c r="B404" s="32">
        <v>3</v>
      </c>
      <c r="C404" s="32">
        <v>2</v>
      </c>
      <c r="D404" s="32">
        <v>8</v>
      </c>
      <c r="E404" s="11">
        <v>16</v>
      </c>
      <c r="F404" s="2">
        <v>58.7</v>
      </c>
      <c r="G404">
        <v>33.456038961038963</v>
      </c>
      <c r="Q404" s="17">
        <v>402</v>
      </c>
      <c r="R404" s="6">
        <v>2.38401</v>
      </c>
      <c r="S404" s="19">
        <v>-3.2414999999999998</v>
      </c>
      <c r="T404" s="6">
        <v>2.2966000000000002</v>
      </c>
      <c r="U404" s="6">
        <v>328</v>
      </c>
      <c r="W404" s="17">
        <v>402</v>
      </c>
      <c r="X404" s="6">
        <v>4.5178599999999998</v>
      </c>
      <c r="Y404" s="19">
        <v>-3.2414999999999998</v>
      </c>
      <c r="Z404" s="6">
        <v>2.2966000000000002</v>
      </c>
      <c r="AA404" s="6">
        <v>328</v>
      </c>
      <c r="AN404" s="17">
        <v>401</v>
      </c>
      <c r="AO404" s="6">
        <v>1.0754600000000001</v>
      </c>
      <c r="AP404" s="6">
        <v>1.7911999999999999</v>
      </c>
      <c r="AQ404" s="6">
        <v>0.54669999999999996</v>
      </c>
      <c r="AR404" s="6">
        <v>328</v>
      </c>
      <c r="AT404" s="17">
        <v>401</v>
      </c>
      <c r="AU404" s="6">
        <v>0.56750999999999996</v>
      </c>
      <c r="AV404" s="6">
        <v>1.7911999999999999</v>
      </c>
      <c r="AW404" s="6">
        <v>0.54669999999999996</v>
      </c>
      <c r="AX404" s="6">
        <v>328</v>
      </c>
    </row>
    <row r="405" spans="1:50" x14ac:dyDescent="0.25">
      <c r="A405" t="s">
        <v>160</v>
      </c>
      <c r="B405">
        <v>1</v>
      </c>
      <c r="C405" s="36">
        <v>5</v>
      </c>
      <c r="D405" s="36">
        <v>2</v>
      </c>
      <c r="E405" s="32">
        <v>16</v>
      </c>
      <c r="F405" s="13">
        <v>61.1</v>
      </c>
      <c r="G405">
        <v>86.373305084745766</v>
      </c>
      <c r="Q405" s="17">
        <v>403</v>
      </c>
      <c r="R405" s="6">
        <v>2.3794300000000002</v>
      </c>
      <c r="S405" s="19">
        <v>-1.7974000000000001</v>
      </c>
      <c r="T405" s="6">
        <v>2.2921999999999998</v>
      </c>
      <c r="U405" s="6">
        <v>328</v>
      </c>
      <c r="W405" s="17">
        <v>403</v>
      </c>
      <c r="X405" s="6">
        <v>4.5091900000000003</v>
      </c>
      <c r="Y405" s="19">
        <v>-1.7974000000000001</v>
      </c>
      <c r="Z405" s="6">
        <v>2.2921999999999998</v>
      </c>
      <c r="AA405" s="6">
        <v>328</v>
      </c>
      <c r="AN405" s="17">
        <v>402</v>
      </c>
      <c r="AO405" s="6">
        <v>1.07063</v>
      </c>
      <c r="AP405" s="6">
        <v>0.38179999999999997</v>
      </c>
      <c r="AQ405" s="6">
        <v>0.54420000000000002</v>
      </c>
      <c r="AR405" s="6">
        <v>328</v>
      </c>
      <c r="AT405" s="17">
        <v>402</v>
      </c>
      <c r="AU405" s="6">
        <v>0.56496000000000002</v>
      </c>
      <c r="AV405" s="6">
        <v>0.38179999999999997</v>
      </c>
      <c r="AW405" s="6">
        <v>0.54420000000000002</v>
      </c>
      <c r="AX405" s="6">
        <v>328</v>
      </c>
    </row>
    <row r="406" spans="1:50" x14ac:dyDescent="0.25">
      <c r="A406" t="s">
        <v>160</v>
      </c>
      <c r="B406">
        <v>2</v>
      </c>
      <c r="C406" s="36">
        <v>15</v>
      </c>
      <c r="D406" s="36">
        <v>3</v>
      </c>
      <c r="E406" s="32">
        <v>16</v>
      </c>
      <c r="F406" s="13" t="s">
        <v>12</v>
      </c>
      <c r="G406" t="s">
        <v>12</v>
      </c>
      <c r="Q406" s="17">
        <v>404</v>
      </c>
      <c r="R406" s="6">
        <v>2.37582</v>
      </c>
      <c r="S406" s="6">
        <v>0.50580000000000003</v>
      </c>
      <c r="T406" s="6">
        <v>2.2887</v>
      </c>
      <c r="U406" s="6">
        <v>328</v>
      </c>
      <c r="W406" s="17">
        <v>404</v>
      </c>
      <c r="X406" s="6">
        <v>4.5023499999999999</v>
      </c>
      <c r="Y406" s="6">
        <v>0.50580000000000003</v>
      </c>
      <c r="Z406" s="6">
        <v>2.2887</v>
      </c>
      <c r="AA406" s="6">
        <v>328</v>
      </c>
      <c r="AN406" s="17">
        <v>403</v>
      </c>
      <c r="AO406" s="6">
        <v>1.06325</v>
      </c>
      <c r="AP406" s="6">
        <v>0.72750000000000004</v>
      </c>
      <c r="AQ406" s="6">
        <v>0.54049999999999998</v>
      </c>
      <c r="AR406" s="6">
        <v>328</v>
      </c>
      <c r="AT406" s="17">
        <v>403</v>
      </c>
      <c r="AU406" s="6">
        <v>0.56106</v>
      </c>
      <c r="AV406" s="6">
        <v>0.72750000000000004</v>
      </c>
      <c r="AW406" s="6">
        <v>0.54049999999999998</v>
      </c>
      <c r="AX406" s="6">
        <v>328</v>
      </c>
    </row>
    <row r="407" spans="1:50" x14ac:dyDescent="0.25">
      <c r="A407" t="s">
        <v>160</v>
      </c>
      <c r="B407">
        <v>3</v>
      </c>
      <c r="C407" s="36">
        <v>16</v>
      </c>
      <c r="D407" s="36">
        <v>6</v>
      </c>
      <c r="E407" s="32">
        <v>16</v>
      </c>
      <c r="F407" s="13">
        <v>57.5</v>
      </c>
      <c r="G407">
        <v>76.931739754883182</v>
      </c>
      <c r="Q407" s="17">
        <v>405</v>
      </c>
      <c r="R407" s="6">
        <v>2.3847700000000001</v>
      </c>
      <c r="S407" s="6">
        <v>2.5327000000000002</v>
      </c>
      <c r="T407" s="6">
        <v>2.2972999999999999</v>
      </c>
      <c r="U407" s="6">
        <v>328</v>
      </c>
      <c r="W407" s="17">
        <v>405</v>
      </c>
      <c r="X407" s="6">
        <v>4.5193099999999999</v>
      </c>
      <c r="Y407" s="6">
        <v>2.5327000000000002</v>
      </c>
      <c r="Z407" s="6">
        <v>2.2972999999999999</v>
      </c>
      <c r="AA407" s="6">
        <v>328</v>
      </c>
      <c r="AN407" s="17">
        <v>404</v>
      </c>
      <c r="AO407" s="6">
        <v>1.06237</v>
      </c>
      <c r="AP407" s="19">
        <v>-0.34360000000000002</v>
      </c>
      <c r="AQ407" s="6">
        <v>0.54</v>
      </c>
      <c r="AR407" s="6">
        <v>328</v>
      </c>
      <c r="AT407" s="17">
        <v>404</v>
      </c>
      <c r="AU407" s="6">
        <v>0.56059999999999999</v>
      </c>
      <c r="AV407" s="19">
        <v>-0.34360000000000002</v>
      </c>
      <c r="AW407" s="6">
        <v>0.54</v>
      </c>
      <c r="AX407" s="6">
        <v>328</v>
      </c>
    </row>
    <row r="408" spans="1:50" x14ac:dyDescent="0.25">
      <c r="A408" s="31" t="s">
        <v>116</v>
      </c>
      <c r="B408" s="32">
        <v>1</v>
      </c>
      <c r="C408" s="32">
        <v>11</v>
      </c>
      <c r="D408" s="32">
        <v>3</v>
      </c>
      <c r="E408" s="32">
        <v>17</v>
      </c>
      <c r="F408" s="12">
        <v>55.6</v>
      </c>
      <c r="G408">
        <v>75.272039564164672</v>
      </c>
      <c r="Q408" s="17">
        <v>406</v>
      </c>
      <c r="R408" s="6">
        <v>2.391</v>
      </c>
      <c r="S408" s="19">
        <v>-1.4678</v>
      </c>
      <c r="T408" s="6">
        <v>2.3033000000000001</v>
      </c>
      <c r="U408" s="6">
        <v>328</v>
      </c>
      <c r="W408" s="17">
        <v>406</v>
      </c>
      <c r="X408" s="6">
        <v>4.5311199999999996</v>
      </c>
      <c r="Y408" s="19">
        <v>-1.4678</v>
      </c>
      <c r="Z408" s="6">
        <v>2.3033000000000001</v>
      </c>
      <c r="AA408" s="6">
        <v>328</v>
      </c>
      <c r="AN408" s="17">
        <v>405</v>
      </c>
      <c r="AO408" s="6">
        <v>1.0671999999999999</v>
      </c>
      <c r="AP408" s="19">
        <v>-3.1730000000000001E-2</v>
      </c>
      <c r="AQ408" s="6">
        <v>0.54249999999999998</v>
      </c>
      <c r="AR408" s="6">
        <v>328</v>
      </c>
      <c r="AT408" s="17">
        <v>405</v>
      </c>
      <c r="AU408" s="6">
        <v>0.56315000000000004</v>
      </c>
      <c r="AV408" s="19">
        <v>-3.1730000000000001E-2</v>
      </c>
      <c r="AW408" s="6">
        <v>0.54249999999999998</v>
      </c>
      <c r="AX408" s="6">
        <v>328</v>
      </c>
    </row>
    <row r="409" spans="1:50" x14ac:dyDescent="0.25">
      <c r="A409" s="31" t="s">
        <v>116</v>
      </c>
      <c r="B409" s="32">
        <v>2</v>
      </c>
      <c r="C409" s="32">
        <v>7</v>
      </c>
      <c r="D409" s="32">
        <v>6</v>
      </c>
      <c r="E409" s="32">
        <v>17</v>
      </c>
      <c r="F409" s="12">
        <v>57.6</v>
      </c>
      <c r="G409">
        <v>72.768957020596261</v>
      </c>
      <c r="Q409" s="17">
        <v>407</v>
      </c>
      <c r="R409" s="6">
        <v>2.3911600000000002</v>
      </c>
      <c r="S409" s="6">
        <v>0.75180000000000002</v>
      </c>
      <c r="T409" s="6">
        <v>2.3035000000000001</v>
      </c>
      <c r="U409" s="6">
        <v>328</v>
      </c>
      <c r="W409" s="17">
        <v>407</v>
      </c>
      <c r="X409" s="6">
        <v>4.5314100000000002</v>
      </c>
      <c r="Y409" s="6">
        <v>0.75180000000000002</v>
      </c>
      <c r="Z409" s="6">
        <v>2.3035000000000001</v>
      </c>
      <c r="AA409" s="6">
        <v>328</v>
      </c>
      <c r="AN409" s="17">
        <v>406</v>
      </c>
      <c r="AO409" s="6">
        <v>1.0821000000000001</v>
      </c>
      <c r="AP409" s="6">
        <v>1.0226999999999999</v>
      </c>
      <c r="AQ409" s="6">
        <v>0.55010000000000003</v>
      </c>
      <c r="AR409" s="6">
        <v>328</v>
      </c>
      <c r="AT409" s="17">
        <v>406</v>
      </c>
      <c r="AU409" s="6">
        <v>0.57101000000000002</v>
      </c>
      <c r="AV409" s="6">
        <v>1.0226999999999999</v>
      </c>
      <c r="AW409" s="6">
        <v>0.55010000000000003</v>
      </c>
      <c r="AX409" s="6">
        <v>328</v>
      </c>
    </row>
    <row r="410" spans="1:50" x14ac:dyDescent="0.25">
      <c r="A410" s="31" t="s">
        <v>116</v>
      </c>
      <c r="B410" s="32">
        <v>3</v>
      </c>
      <c r="C410" s="32">
        <v>1</v>
      </c>
      <c r="D410" s="32">
        <v>12</v>
      </c>
      <c r="E410" s="32">
        <v>17</v>
      </c>
      <c r="F410" s="2">
        <v>58</v>
      </c>
      <c r="G410">
        <v>64.19330673123487</v>
      </c>
      <c r="Q410" s="17">
        <v>408</v>
      </c>
      <c r="R410" s="6">
        <v>2.3942000000000001</v>
      </c>
      <c r="S410" s="19">
        <v>-7.8808999999999996</v>
      </c>
      <c r="T410" s="6">
        <v>2.3064</v>
      </c>
      <c r="U410" s="6">
        <v>328</v>
      </c>
      <c r="W410" s="17">
        <v>408</v>
      </c>
      <c r="X410" s="6">
        <v>4.5371800000000002</v>
      </c>
      <c r="Y410" s="19">
        <v>-7.8808999999999996</v>
      </c>
      <c r="Z410" s="6">
        <v>2.3064</v>
      </c>
      <c r="AA410" s="6">
        <v>328</v>
      </c>
      <c r="AN410" s="17">
        <v>407</v>
      </c>
      <c r="AO410" s="6">
        <v>1.0736600000000001</v>
      </c>
      <c r="AP410" s="6">
        <v>0.93220000000000003</v>
      </c>
      <c r="AQ410" s="6">
        <v>0.54579999999999995</v>
      </c>
      <c r="AR410" s="6">
        <v>328</v>
      </c>
      <c r="AT410" s="17">
        <v>407</v>
      </c>
      <c r="AU410" s="6">
        <v>0.56655999999999995</v>
      </c>
      <c r="AV410" s="6">
        <v>0.93220000000000003</v>
      </c>
      <c r="AW410" s="6">
        <v>0.54579999999999995</v>
      </c>
      <c r="AX410" s="6">
        <v>328</v>
      </c>
    </row>
    <row r="411" spans="1:50" x14ac:dyDescent="0.25">
      <c r="A411" s="34" t="s">
        <v>97</v>
      </c>
      <c r="B411" s="35">
        <v>1</v>
      </c>
      <c r="C411" s="35">
        <v>10</v>
      </c>
      <c r="D411" s="35">
        <v>2</v>
      </c>
      <c r="E411" s="35">
        <v>17</v>
      </c>
      <c r="F411" s="2">
        <v>61.4</v>
      </c>
      <c r="G411">
        <v>79.741499349992779</v>
      </c>
      <c r="Q411" s="17">
        <v>409</v>
      </c>
      <c r="R411" s="6">
        <v>2.3866800000000001</v>
      </c>
      <c r="S411" s="19">
        <v>-0.95920000000000005</v>
      </c>
      <c r="T411" s="6">
        <v>2.2991000000000001</v>
      </c>
      <c r="U411" s="6">
        <v>328</v>
      </c>
      <c r="W411" s="17">
        <v>409</v>
      </c>
      <c r="X411" s="6">
        <v>4.5229299999999997</v>
      </c>
      <c r="Y411" s="19">
        <v>-0.95920000000000005</v>
      </c>
      <c r="Z411" s="6">
        <v>2.2991000000000001</v>
      </c>
      <c r="AA411" s="6">
        <v>328</v>
      </c>
      <c r="AN411" s="17">
        <v>408</v>
      </c>
      <c r="AO411" s="6">
        <v>1.0774900000000001</v>
      </c>
      <c r="AP411" s="6">
        <v>0.63890000000000002</v>
      </c>
      <c r="AQ411" s="6">
        <v>0.54769999999999996</v>
      </c>
      <c r="AR411" s="6">
        <v>328</v>
      </c>
      <c r="AT411" s="17">
        <v>408</v>
      </c>
      <c r="AU411" s="6">
        <v>0.56857999999999997</v>
      </c>
      <c r="AV411" s="6">
        <v>0.63890000000000002</v>
      </c>
      <c r="AW411" s="6">
        <v>0.54769999999999996</v>
      </c>
      <c r="AX411" s="6">
        <v>328</v>
      </c>
    </row>
    <row r="412" spans="1:50" x14ac:dyDescent="0.25">
      <c r="A412" s="34" t="s">
        <v>97</v>
      </c>
      <c r="B412" s="35">
        <v>2</v>
      </c>
      <c r="C412" s="35">
        <v>21</v>
      </c>
      <c r="D412" s="35">
        <v>4</v>
      </c>
      <c r="E412" s="35">
        <v>17</v>
      </c>
      <c r="F412" s="2">
        <v>60.8</v>
      </c>
      <c r="G412">
        <v>73.083831255992337</v>
      </c>
      <c r="Q412" s="17">
        <v>410</v>
      </c>
      <c r="R412" s="6">
        <v>2.3895400000000002</v>
      </c>
      <c r="S412" s="6">
        <v>1.7414000000000001</v>
      </c>
      <c r="T412" s="6">
        <v>2.3018999999999998</v>
      </c>
      <c r="U412" s="6">
        <v>328</v>
      </c>
      <c r="W412" s="17">
        <v>410</v>
      </c>
      <c r="X412" s="6">
        <v>4.52834</v>
      </c>
      <c r="Y412" s="6">
        <v>1.7414000000000001</v>
      </c>
      <c r="Z412" s="6">
        <v>2.3018999999999998</v>
      </c>
      <c r="AA412" s="6">
        <v>328</v>
      </c>
      <c r="AN412" s="17">
        <v>409</v>
      </c>
      <c r="AO412" s="6">
        <v>1.06376</v>
      </c>
      <c r="AP412" s="6">
        <v>0.61229999999999996</v>
      </c>
      <c r="AQ412" s="6">
        <v>0.54069999999999996</v>
      </c>
      <c r="AR412" s="6">
        <v>328</v>
      </c>
      <c r="AT412" s="17">
        <v>409</v>
      </c>
      <c r="AU412" s="6">
        <v>0.56133</v>
      </c>
      <c r="AV412" s="6">
        <v>0.61229999999999996</v>
      </c>
      <c r="AW412" s="6">
        <v>0.54069999999999996</v>
      </c>
      <c r="AX412" s="6">
        <v>328</v>
      </c>
    </row>
    <row r="413" spans="1:50" x14ac:dyDescent="0.25">
      <c r="A413" s="34" t="s">
        <v>97</v>
      </c>
      <c r="B413" s="35">
        <v>3</v>
      </c>
      <c r="C413" s="35">
        <v>15</v>
      </c>
      <c r="D413" s="35">
        <v>6</v>
      </c>
      <c r="E413" s="35">
        <v>17</v>
      </c>
      <c r="F413" s="2">
        <v>60.6</v>
      </c>
      <c r="G413">
        <v>80.589738699218003</v>
      </c>
      <c r="Q413" s="17">
        <v>411</v>
      </c>
      <c r="R413" s="6">
        <v>2.3856199999999999</v>
      </c>
      <c r="S413" s="6">
        <v>0.74629999999999996</v>
      </c>
      <c r="T413" s="6">
        <v>2.2980999999999998</v>
      </c>
      <c r="U413" s="6">
        <v>328</v>
      </c>
      <c r="W413" s="17">
        <v>411</v>
      </c>
      <c r="X413" s="6">
        <v>4.5209099999999998</v>
      </c>
      <c r="Y413" s="6">
        <v>0.74629999999999996</v>
      </c>
      <c r="Z413" s="6">
        <v>2.2980999999999998</v>
      </c>
      <c r="AA413" s="6">
        <v>328</v>
      </c>
      <c r="AN413" s="17">
        <v>410</v>
      </c>
      <c r="AO413" s="6">
        <v>1.06965</v>
      </c>
      <c r="AP413" s="6">
        <v>1.9918</v>
      </c>
      <c r="AQ413" s="6">
        <v>0.54369999999999996</v>
      </c>
      <c r="AR413" s="6">
        <v>328</v>
      </c>
      <c r="AT413" s="17">
        <v>410</v>
      </c>
      <c r="AU413" s="6">
        <v>0.56444000000000005</v>
      </c>
      <c r="AV413" s="6">
        <v>1.9918</v>
      </c>
      <c r="AW413" s="6">
        <v>0.54369999999999996</v>
      </c>
      <c r="AX413" s="6">
        <v>328</v>
      </c>
    </row>
    <row r="414" spans="1:50" x14ac:dyDescent="0.25">
      <c r="A414" s="31" t="s">
        <v>132</v>
      </c>
      <c r="B414" s="32">
        <v>1</v>
      </c>
      <c r="C414" s="32">
        <v>9</v>
      </c>
      <c r="D414" s="32">
        <v>1</v>
      </c>
      <c r="E414" s="32">
        <v>17</v>
      </c>
      <c r="F414" s="2">
        <v>56.4</v>
      </c>
      <c r="G414">
        <v>65.139813895183451</v>
      </c>
      <c r="Q414" s="17">
        <v>412</v>
      </c>
      <c r="R414" s="6">
        <v>2.3775200000000001</v>
      </c>
      <c r="S414" s="6">
        <v>3.8151999999999999</v>
      </c>
      <c r="T414" s="6">
        <v>2.2902999999999998</v>
      </c>
      <c r="U414" s="6">
        <v>328</v>
      </c>
      <c r="W414" s="17">
        <v>412</v>
      </c>
      <c r="X414" s="6">
        <v>4.50556</v>
      </c>
      <c r="Y414" s="6">
        <v>3.8151999999999999</v>
      </c>
      <c r="Z414" s="6">
        <v>2.2902999999999998</v>
      </c>
      <c r="AA414" s="6">
        <v>328</v>
      </c>
      <c r="AN414" s="17">
        <v>411</v>
      </c>
      <c r="AO414" s="6">
        <v>1.0709200000000001</v>
      </c>
      <c r="AP414" s="6">
        <v>0.5161</v>
      </c>
      <c r="AQ414" s="6">
        <v>0.5444</v>
      </c>
      <c r="AR414" s="6">
        <v>328</v>
      </c>
      <c r="AT414" s="17">
        <v>411</v>
      </c>
      <c r="AU414" s="6">
        <v>0.56511</v>
      </c>
      <c r="AV414" s="6">
        <v>0.5161</v>
      </c>
      <c r="AW414" s="6">
        <v>0.5444</v>
      </c>
      <c r="AX414" s="6">
        <v>328</v>
      </c>
    </row>
    <row r="415" spans="1:50" x14ac:dyDescent="0.25">
      <c r="A415" s="31" t="s">
        <v>132</v>
      </c>
      <c r="B415" s="32">
        <v>2</v>
      </c>
      <c r="C415" s="32">
        <v>8</v>
      </c>
      <c r="D415" s="32">
        <v>4</v>
      </c>
      <c r="E415" s="32">
        <v>17</v>
      </c>
      <c r="F415" s="2">
        <v>60.8</v>
      </c>
      <c r="G415">
        <v>67.26734401636547</v>
      </c>
      <c r="Q415" s="17">
        <v>413</v>
      </c>
      <c r="R415" s="6">
        <v>2.3802400000000001</v>
      </c>
      <c r="S415" s="6">
        <v>3.9331</v>
      </c>
      <c r="T415" s="6">
        <v>2.2928999999999999</v>
      </c>
      <c r="U415" s="6">
        <v>328</v>
      </c>
      <c r="W415" s="17">
        <v>413</v>
      </c>
      <c r="X415" s="6">
        <v>4.5107200000000001</v>
      </c>
      <c r="Y415" s="6">
        <v>3.9331</v>
      </c>
      <c r="Z415" s="6">
        <v>2.2928999999999999</v>
      </c>
      <c r="AA415" s="6">
        <v>328</v>
      </c>
      <c r="AN415" s="17">
        <v>412</v>
      </c>
      <c r="AO415" s="6">
        <v>1.0652600000000001</v>
      </c>
      <c r="AP415" s="6">
        <v>0.52300000000000002</v>
      </c>
      <c r="AQ415" s="6">
        <v>0.54149999999999998</v>
      </c>
      <c r="AR415" s="6">
        <v>328</v>
      </c>
      <c r="AT415" s="17">
        <v>412</v>
      </c>
      <c r="AU415" s="6">
        <v>0.56211999999999995</v>
      </c>
      <c r="AV415" s="6">
        <v>0.52300000000000002</v>
      </c>
      <c r="AW415" s="6">
        <v>0.54149999999999998</v>
      </c>
      <c r="AX415" s="6">
        <v>328</v>
      </c>
    </row>
    <row r="416" spans="1:50" x14ac:dyDescent="0.25">
      <c r="A416" s="31" t="s">
        <v>132</v>
      </c>
      <c r="B416" s="32">
        <v>3</v>
      </c>
      <c r="C416" s="32">
        <v>15</v>
      </c>
      <c r="D416" s="32">
        <v>6</v>
      </c>
      <c r="E416" s="32">
        <v>17</v>
      </c>
      <c r="F416" s="12">
        <v>61.1</v>
      </c>
      <c r="G416">
        <v>66.074551495016607</v>
      </c>
      <c r="Q416" s="17">
        <v>414</v>
      </c>
      <c r="R416" s="6">
        <v>2.38781</v>
      </c>
      <c r="S416" s="19">
        <v>-4.6906999999999996</v>
      </c>
      <c r="T416" s="6">
        <v>2.3001999999999998</v>
      </c>
      <c r="U416" s="6">
        <v>328</v>
      </c>
      <c r="W416" s="17">
        <v>414</v>
      </c>
      <c r="X416" s="6">
        <v>4.5250599999999999</v>
      </c>
      <c r="Y416" s="19">
        <v>-4.6906999999999996</v>
      </c>
      <c r="Z416" s="6">
        <v>2.3001999999999998</v>
      </c>
      <c r="AA416" s="6">
        <v>328</v>
      </c>
      <c r="AN416" s="17">
        <v>413</v>
      </c>
      <c r="AO416" s="6">
        <v>1.06236</v>
      </c>
      <c r="AP416" s="6">
        <v>1.0894999999999999</v>
      </c>
      <c r="AQ416" s="6">
        <v>0.54</v>
      </c>
      <c r="AR416" s="6">
        <v>328</v>
      </c>
      <c r="AT416" s="17">
        <v>413</v>
      </c>
      <c r="AU416" s="6">
        <v>0.56059000000000003</v>
      </c>
      <c r="AV416" s="6">
        <v>1.0894999999999999</v>
      </c>
      <c r="AW416" s="6">
        <v>0.54</v>
      </c>
      <c r="AX416" s="6">
        <v>328</v>
      </c>
    </row>
    <row r="417" spans="1:50" x14ac:dyDescent="0.25">
      <c r="A417" s="31" t="s">
        <v>13</v>
      </c>
      <c r="B417" s="32">
        <v>1</v>
      </c>
      <c r="C417" s="36">
        <v>12</v>
      </c>
      <c r="D417" s="36">
        <v>1</v>
      </c>
      <c r="E417" s="32">
        <v>17</v>
      </c>
      <c r="F417" s="12">
        <v>58.6</v>
      </c>
      <c r="G417">
        <v>83.865704999999991</v>
      </c>
      <c r="Q417" s="17">
        <v>415</v>
      </c>
      <c r="R417" s="6">
        <v>2.3752800000000001</v>
      </c>
      <c r="S417" s="19">
        <v>-1.0249999999999999</v>
      </c>
      <c r="T417" s="6">
        <v>2.2881999999999998</v>
      </c>
      <c r="U417" s="6">
        <v>328</v>
      </c>
      <c r="W417" s="17">
        <v>415</v>
      </c>
      <c r="X417" s="6">
        <v>4.5013199999999998</v>
      </c>
      <c r="Y417" s="19">
        <v>-1.0249999999999999</v>
      </c>
      <c r="Z417" s="6">
        <v>2.2881999999999998</v>
      </c>
      <c r="AA417" s="6">
        <v>328</v>
      </c>
      <c r="AN417" s="17">
        <v>414</v>
      </c>
      <c r="AO417" s="6">
        <v>1.06968</v>
      </c>
      <c r="AP417" s="19">
        <v>-1.3</v>
      </c>
      <c r="AQ417" s="6">
        <v>0.54379999999999995</v>
      </c>
      <c r="AR417" s="6">
        <v>328</v>
      </c>
      <c r="AT417" s="17">
        <v>414</v>
      </c>
      <c r="AU417" s="6">
        <v>0.56445999999999996</v>
      </c>
      <c r="AV417" s="19">
        <v>-1.3</v>
      </c>
      <c r="AW417" s="6">
        <v>0.54379999999999995</v>
      </c>
      <c r="AX417" s="6">
        <v>328</v>
      </c>
    </row>
    <row r="418" spans="1:50" x14ac:dyDescent="0.25">
      <c r="A418" s="31" t="s">
        <v>13</v>
      </c>
      <c r="B418" s="32">
        <v>2</v>
      </c>
      <c r="C418" s="36">
        <v>10</v>
      </c>
      <c r="D418" s="36">
        <v>3</v>
      </c>
      <c r="E418" s="32">
        <v>17</v>
      </c>
      <c r="F418" s="12">
        <v>58.5</v>
      </c>
      <c r="G418">
        <v>82.492409999999992</v>
      </c>
      <c r="Q418" s="17">
        <v>416</v>
      </c>
      <c r="R418" s="6">
        <v>2.38639</v>
      </c>
      <c r="S418" s="6">
        <v>0.67120000000000002</v>
      </c>
      <c r="T418" s="6">
        <v>2.2989000000000002</v>
      </c>
      <c r="U418" s="6">
        <v>328</v>
      </c>
      <c r="W418" s="17">
        <v>416</v>
      </c>
      <c r="X418" s="6">
        <v>4.5223800000000001</v>
      </c>
      <c r="Y418" s="6">
        <v>0.67120000000000002</v>
      </c>
      <c r="Z418" s="6">
        <v>2.2989000000000002</v>
      </c>
      <c r="AA418" s="6">
        <v>328</v>
      </c>
      <c r="AN418" s="17">
        <v>415</v>
      </c>
      <c r="AO418" s="6">
        <v>1.06474</v>
      </c>
      <c r="AP418" s="6">
        <v>0.7712</v>
      </c>
      <c r="AQ418" s="6">
        <v>0.54120000000000001</v>
      </c>
      <c r="AR418" s="6">
        <v>328</v>
      </c>
      <c r="AT418" s="17">
        <v>415</v>
      </c>
      <c r="AU418" s="6">
        <v>0.56184999999999996</v>
      </c>
      <c r="AV418" s="6">
        <v>0.7712</v>
      </c>
      <c r="AW418" s="6">
        <v>0.54120000000000001</v>
      </c>
      <c r="AX418" s="6">
        <v>328</v>
      </c>
    </row>
    <row r="419" spans="1:50" x14ac:dyDescent="0.25">
      <c r="A419" s="31" t="s">
        <v>13</v>
      </c>
      <c r="B419" s="32">
        <v>3</v>
      </c>
      <c r="C419" s="36">
        <v>19</v>
      </c>
      <c r="D419" s="36">
        <v>5</v>
      </c>
      <c r="E419" s="32">
        <v>17</v>
      </c>
      <c r="F419" s="12">
        <v>57.6</v>
      </c>
      <c r="G419">
        <v>60.238859999999988</v>
      </c>
      <c r="Q419" s="17">
        <v>417</v>
      </c>
      <c r="R419" s="6">
        <v>2.3984399999999999</v>
      </c>
      <c r="S419" s="19">
        <v>-0.72270000000000001</v>
      </c>
      <c r="T419" s="6">
        <v>2.3105000000000002</v>
      </c>
      <c r="U419" s="6">
        <v>328</v>
      </c>
      <c r="W419" s="17">
        <v>417</v>
      </c>
      <c r="X419" s="6">
        <v>4.5452199999999996</v>
      </c>
      <c r="Y419" s="19">
        <v>-0.72270000000000001</v>
      </c>
      <c r="Z419" s="6">
        <v>2.3105000000000002</v>
      </c>
      <c r="AA419" s="6">
        <v>328</v>
      </c>
      <c r="AN419" s="17">
        <v>416</v>
      </c>
      <c r="AO419" s="6">
        <v>1.07162</v>
      </c>
      <c r="AP419" s="6">
        <v>0.98450000000000004</v>
      </c>
      <c r="AQ419" s="6">
        <v>0.54469999999999996</v>
      </c>
      <c r="AR419" s="6">
        <v>328</v>
      </c>
      <c r="AT419" s="17">
        <v>416</v>
      </c>
      <c r="AU419" s="6">
        <v>0.56547999999999998</v>
      </c>
      <c r="AV419" s="6">
        <v>0.98450000000000004</v>
      </c>
      <c r="AW419" s="6">
        <v>0.54469999999999996</v>
      </c>
      <c r="AX419" s="6">
        <v>328</v>
      </c>
    </row>
    <row r="420" spans="1:50" x14ac:dyDescent="0.25">
      <c r="A420" t="s">
        <v>7</v>
      </c>
      <c r="B420" s="11">
        <v>1</v>
      </c>
      <c r="C420" s="11">
        <v>8</v>
      </c>
      <c r="D420" s="11">
        <v>1</v>
      </c>
      <c r="E420" s="11">
        <v>17</v>
      </c>
      <c r="F420" s="12">
        <v>56.6</v>
      </c>
      <c r="G420">
        <v>49.334936974789898</v>
      </c>
      <c r="Q420" s="17">
        <v>418</v>
      </c>
      <c r="R420" s="6">
        <v>2.3797100000000002</v>
      </c>
      <c r="S420" s="6">
        <v>0.34399999999999997</v>
      </c>
      <c r="T420" s="6">
        <v>2.2924000000000002</v>
      </c>
      <c r="U420" s="6">
        <v>328</v>
      </c>
      <c r="W420" s="17">
        <v>418</v>
      </c>
      <c r="X420" s="6">
        <v>4.5097100000000001</v>
      </c>
      <c r="Y420" s="6">
        <v>0.34399999999999997</v>
      </c>
      <c r="Z420" s="6">
        <v>2.2924000000000002</v>
      </c>
      <c r="AA420" s="6">
        <v>328</v>
      </c>
      <c r="AN420" s="17">
        <v>417</v>
      </c>
      <c r="AO420" s="6">
        <v>1.0778799999999999</v>
      </c>
      <c r="AP420" s="6">
        <v>0.69540000000000002</v>
      </c>
      <c r="AQ420" s="6">
        <v>0.54790000000000005</v>
      </c>
      <c r="AR420" s="6">
        <v>328</v>
      </c>
      <c r="AT420" s="17">
        <v>417</v>
      </c>
      <c r="AU420" s="6">
        <v>0.56877999999999995</v>
      </c>
      <c r="AV420" s="6">
        <v>0.69540000000000002</v>
      </c>
      <c r="AW420" s="6">
        <v>0.54790000000000005</v>
      </c>
      <c r="AX420" s="6">
        <v>328</v>
      </c>
    </row>
    <row r="421" spans="1:50" x14ac:dyDescent="0.25">
      <c r="A421" t="s">
        <v>7</v>
      </c>
      <c r="B421" s="11">
        <v>2</v>
      </c>
      <c r="C421" s="11">
        <v>10</v>
      </c>
      <c r="D421" s="11">
        <v>6</v>
      </c>
      <c r="E421" s="11">
        <v>17</v>
      </c>
      <c r="F421" s="12">
        <v>56.1</v>
      </c>
      <c r="G421">
        <v>49.961060988637456</v>
      </c>
      <c r="Q421" s="17">
        <v>419</v>
      </c>
      <c r="R421" s="6">
        <v>2.37161</v>
      </c>
      <c r="S421" s="19">
        <v>-1.2245999999999999</v>
      </c>
      <c r="T421" s="6">
        <v>2.2846000000000002</v>
      </c>
      <c r="U421" s="6">
        <v>328</v>
      </c>
      <c r="W421" s="17">
        <v>419</v>
      </c>
      <c r="X421" s="6">
        <v>4.4943600000000004</v>
      </c>
      <c r="Y421" s="19">
        <v>-1.2245999999999999</v>
      </c>
      <c r="Z421" s="6">
        <v>2.2846000000000002</v>
      </c>
      <c r="AA421" s="6">
        <v>328</v>
      </c>
      <c r="AN421" s="17">
        <v>418</v>
      </c>
      <c r="AO421" s="6">
        <v>1.06637</v>
      </c>
      <c r="AP421" s="19">
        <v>-0.38519999999999999</v>
      </c>
      <c r="AQ421" s="6">
        <v>0.54210000000000003</v>
      </c>
      <c r="AR421" s="6">
        <v>328</v>
      </c>
      <c r="AT421" s="17">
        <v>418</v>
      </c>
      <c r="AU421" s="6">
        <v>0.56271000000000004</v>
      </c>
      <c r="AV421" s="19">
        <v>-0.38519999999999999</v>
      </c>
      <c r="AW421" s="6">
        <v>0.54210000000000003</v>
      </c>
      <c r="AX421" s="6">
        <v>328</v>
      </c>
    </row>
    <row r="422" spans="1:50" x14ac:dyDescent="0.25">
      <c r="A422" t="s">
        <v>7</v>
      </c>
      <c r="B422" s="11">
        <v>3</v>
      </c>
      <c r="C422" s="11">
        <v>12</v>
      </c>
      <c r="D422" s="11">
        <v>10</v>
      </c>
      <c r="E422" s="11">
        <v>17</v>
      </c>
      <c r="F422" s="12">
        <v>54.5</v>
      </c>
      <c r="G422">
        <v>42.951099234435937</v>
      </c>
      <c r="Q422" s="17">
        <v>420</v>
      </c>
      <c r="R422" s="6">
        <v>2.3848600000000002</v>
      </c>
      <c r="S422" s="19">
        <v>-0.72150000000000003</v>
      </c>
      <c r="T422" s="6">
        <v>2.2974000000000001</v>
      </c>
      <c r="U422" s="6">
        <v>328</v>
      </c>
      <c r="W422" s="17">
        <v>420</v>
      </c>
      <c r="X422" s="6">
        <v>4.5194700000000001</v>
      </c>
      <c r="Y422" s="19">
        <v>-0.72150000000000003</v>
      </c>
      <c r="Z422" s="6">
        <v>2.2974000000000001</v>
      </c>
      <c r="AA422" s="6">
        <v>328</v>
      </c>
      <c r="AN422" s="17">
        <v>419</v>
      </c>
      <c r="AO422" s="6">
        <v>1.0612600000000001</v>
      </c>
      <c r="AP422" s="19">
        <v>-4.5620000000000001E-2</v>
      </c>
      <c r="AQ422" s="6">
        <v>0.53949999999999998</v>
      </c>
      <c r="AR422" s="6">
        <v>328</v>
      </c>
      <c r="AT422" s="17">
        <v>419</v>
      </c>
      <c r="AU422" s="6">
        <v>0.56001000000000001</v>
      </c>
      <c r="AV422" s="19">
        <v>-4.5620000000000001E-2</v>
      </c>
      <c r="AW422" s="6">
        <v>0.53949999999999998</v>
      </c>
      <c r="AX422" s="6">
        <v>328</v>
      </c>
    </row>
    <row r="423" spans="1:50" x14ac:dyDescent="0.25">
      <c r="A423" s="31" t="s">
        <v>156</v>
      </c>
      <c r="B423" s="32">
        <v>1</v>
      </c>
      <c r="C423" s="32">
        <v>6</v>
      </c>
      <c r="D423" s="32">
        <v>1</v>
      </c>
      <c r="E423" s="32">
        <v>17</v>
      </c>
      <c r="F423" s="2">
        <v>45.8</v>
      </c>
      <c r="G423">
        <v>17.659574273178727</v>
      </c>
      <c r="Q423" s="17">
        <v>421</v>
      </c>
      <c r="R423" s="6">
        <v>2.39351</v>
      </c>
      <c r="S423" s="6">
        <v>6.5755999999999997</v>
      </c>
      <c r="T423" s="6">
        <v>2.3056999999999999</v>
      </c>
      <c r="U423" s="6">
        <v>328</v>
      </c>
      <c r="W423" s="17">
        <v>421</v>
      </c>
      <c r="X423" s="6">
        <v>4.5358599999999996</v>
      </c>
      <c r="Y423" s="6">
        <v>6.5755999999999997</v>
      </c>
      <c r="Z423" s="6">
        <v>2.3056999999999999</v>
      </c>
      <c r="AA423" s="6">
        <v>328</v>
      </c>
      <c r="AN423" s="17">
        <v>420</v>
      </c>
      <c r="AO423" s="6">
        <v>1.0694699999999999</v>
      </c>
      <c r="AP423" s="19">
        <v>-0.57250000000000001</v>
      </c>
      <c r="AQ423" s="6">
        <v>0.54359999999999997</v>
      </c>
      <c r="AR423" s="6">
        <v>328</v>
      </c>
      <c r="AT423" s="17">
        <v>420</v>
      </c>
      <c r="AU423" s="6">
        <v>0.56433999999999995</v>
      </c>
      <c r="AV423" s="19">
        <v>-0.57250000000000001</v>
      </c>
      <c r="AW423" s="6">
        <v>0.54359999999999997</v>
      </c>
      <c r="AX423" s="6">
        <v>328</v>
      </c>
    </row>
    <row r="424" spans="1:50" x14ac:dyDescent="0.25">
      <c r="A424" s="31" t="s">
        <v>156</v>
      </c>
      <c r="B424" s="32">
        <v>2</v>
      </c>
      <c r="C424" s="32">
        <v>3</v>
      </c>
      <c r="D424" s="32">
        <v>4</v>
      </c>
      <c r="E424" s="32">
        <v>17</v>
      </c>
      <c r="F424" s="2">
        <v>50.3</v>
      </c>
      <c r="G424">
        <v>37.902808857240402</v>
      </c>
      <c r="Q424" s="17">
        <v>422</v>
      </c>
      <c r="R424" s="6">
        <v>2.3887299999999998</v>
      </c>
      <c r="S424" s="6">
        <v>1.0828</v>
      </c>
      <c r="T424" s="6">
        <v>2.3010999999999999</v>
      </c>
      <c r="U424" s="6">
        <v>328</v>
      </c>
      <c r="W424" s="17">
        <v>422</v>
      </c>
      <c r="X424" s="6">
        <v>4.5268100000000002</v>
      </c>
      <c r="Y424" s="6">
        <v>1.0828</v>
      </c>
      <c r="Z424" s="6">
        <v>2.3010999999999999</v>
      </c>
      <c r="AA424" s="6">
        <v>328</v>
      </c>
      <c r="AN424" s="17">
        <v>421</v>
      </c>
      <c r="AO424" s="6">
        <v>1.08029</v>
      </c>
      <c r="AP424" s="6">
        <v>1.2173</v>
      </c>
      <c r="AQ424" s="6">
        <v>0.54910000000000003</v>
      </c>
      <c r="AR424" s="6">
        <v>328</v>
      </c>
      <c r="AT424" s="17">
        <v>421</v>
      </c>
      <c r="AU424" s="6">
        <v>0.57004999999999995</v>
      </c>
      <c r="AV424" s="6">
        <v>1.2173</v>
      </c>
      <c r="AW424" s="6">
        <v>0.54910000000000003</v>
      </c>
      <c r="AX424" s="6">
        <v>328</v>
      </c>
    </row>
    <row r="425" spans="1:50" x14ac:dyDescent="0.25">
      <c r="A425" s="31" t="s">
        <v>156</v>
      </c>
      <c r="B425" s="32">
        <v>3</v>
      </c>
      <c r="C425" s="32">
        <v>5</v>
      </c>
      <c r="D425" s="32">
        <v>6</v>
      </c>
      <c r="E425" s="32">
        <v>17</v>
      </c>
      <c r="F425" s="2">
        <v>45.8</v>
      </c>
      <c r="G425">
        <v>20.423932778766162</v>
      </c>
      <c r="Q425" s="17">
        <v>423</v>
      </c>
      <c r="R425" s="6">
        <v>2.3940700000000001</v>
      </c>
      <c r="S425" s="6">
        <v>10.801299999999999</v>
      </c>
      <c r="T425" s="6">
        <v>2.3062999999999998</v>
      </c>
      <c r="U425" s="6">
        <v>328</v>
      </c>
      <c r="W425" s="17">
        <v>423</v>
      </c>
      <c r="X425" s="6">
        <v>4.5369200000000003</v>
      </c>
      <c r="Y425" s="6">
        <v>10.801299999999999</v>
      </c>
      <c r="Z425" s="6">
        <v>2.3062999999999998</v>
      </c>
      <c r="AA425" s="6">
        <v>328</v>
      </c>
      <c r="AN425" s="17">
        <v>422</v>
      </c>
      <c r="AO425" s="6">
        <v>1.0677099999999999</v>
      </c>
      <c r="AP425" s="19">
        <v>-0.50129999999999997</v>
      </c>
      <c r="AQ425" s="6">
        <v>0.54279999999999995</v>
      </c>
      <c r="AR425" s="6">
        <v>328</v>
      </c>
      <c r="AT425" s="17">
        <v>422</v>
      </c>
      <c r="AU425" s="6">
        <v>0.56342000000000003</v>
      </c>
      <c r="AV425" s="19">
        <v>-0.50129999999999997</v>
      </c>
      <c r="AW425" s="6">
        <v>0.54279999999999995</v>
      </c>
      <c r="AX425" s="6">
        <v>328</v>
      </c>
    </row>
    <row r="426" spans="1:50" x14ac:dyDescent="0.25">
      <c r="A426" s="31" t="s">
        <v>10</v>
      </c>
      <c r="B426" s="32">
        <v>1</v>
      </c>
      <c r="C426" s="32">
        <v>11</v>
      </c>
      <c r="D426" s="32">
        <v>2</v>
      </c>
      <c r="E426" s="32">
        <v>17</v>
      </c>
      <c r="F426" s="2">
        <v>56.7</v>
      </c>
      <c r="G426">
        <v>60.487069478549756</v>
      </c>
      <c r="Q426" s="17">
        <v>424</v>
      </c>
      <c r="R426" s="6">
        <v>2.3871099999999998</v>
      </c>
      <c r="S426" s="6">
        <v>6.0246000000000004</v>
      </c>
      <c r="T426" s="6">
        <v>2.2995999999999999</v>
      </c>
      <c r="U426" s="6">
        <v>328</v>
      </c>
      <c r="W426" s="17">
        <v>424</v>
      </c>
      <c r="X426" s="6">
        <v>4.5237299999999996</v>
      </c>
      <c r="Y426" s="6">
        <v>6.0246000000000004</v>
      </c>
      <c r="Z426" s="6">
        <v>2.2995999999999999</v>
      </c>
      <c r="AA426" s="6">
        <v>328</v>
      </c>
      <c r="AN426" s="17">
        <v>423</v>
      </c>
      <c r="AO426" s="6">
        <v>1.07541</v>
      </c>
      <c r="AP426" s="6">
        <v>2.0097</v>
      </c>
      <c r="AQ426" s="6">
        <v>0.54669999999999996</v>
      </c>
      <c r="AR426" s="6">
        <v>328</v>
      </c>
      <c r="AT426" s="17">
        <v>423</v>
      </c>
      <c r="AU426" s="6">
        <v>0.56747999999999998</v>
      </c>
      <c r="AV426" s="6">
        <v>2.0097</v>
      </c>
      <c r="AW426" s="6">
        <v>0.54669999999999996</v>
      </c>
      <c r="AX426" s="6">
        <v>328</v>
      </c>
    </row>
    <row r="427" spans="1:50" x14ac:dyDescent="0.25">
      <c r="A427" s="31" t="s">
        <v>10</v>
      </c>
      <c r="B427" s="32">
        <v>2</v>
      </c>
      <c r="C427" s="32">
        <v>12</v>
      </c>
      <c r="D427" s="32">
        <v>5</v>
      </c>
      <c r="E427" s="32">
        <v>17</v>
      </c>
      <c r="F427" s="2">
        <v>55.9</v>
      </c>
      <c r="G427">
        <v>47.978297004608294</v>
      </c>
      <c r="Q427" s="17">
        <v>425</v>
      </c>
      <c r="R427" s="6">
        <v>2.3902100000000002</v>
      </c>
      <c r="S427" s="6">
        <v>4.6050000000000001E-2</v>
      </c>
      <c r="T427" s="6">
        <v>2.3025000000000002</v>
      </c>
      <c r="U427" s="6">
        <v>328</v>
      </c>
      <c r="W427" s="17">
        <v>425</v>
      </c>
      <c r="X427" s="6">
        <v>4.5296099999999999</v>
      </c>
      <c r="Y427" s="6">
        <v>4.6050000000000001E-2</v>
      </c>
      <c r="Z427" s="6">
        <v>2.3025000000000002</v>
      </c>
      <c r="AA427" s="6">
        <v>328</v>
      </c>
      <c r="AN427" s="17">
        <v>424</v>
      </c>
      <c r="AO427" s="6">
        <v>1.07037</v>
      </c>
      <c r="AP427" s="6">
        <v>1.1380999999999999</v>
      </c>
      <c r="AQ427" s="6">
        <v>0.54410000000000003</v>
      </c>
      <c r="AR427" s="6">
        <v>328</v>
      </c>
      <c r="AT427" s="17">
        <v>424</v>
      </c>
      <c r="AU427" s="6">
        <v>0.56481999999999999</v>
      </c>
      <c r="AV427" s="6">
        <v>1.1380999999999999</v>
      </c>
      <c r="AW427" s="6">
        <v>0.54410000000000003</v>
      </c>
      <c r="AX427" s="6">
        <v>328</v>
      </c>
    </row>
    <row r="428" spans="1:50" x14ac:dyDescent="0.25">
      <c r="A428" s="31" t="s">
        <v>10</v>
      </c>
      <c r="B428" s="32">
        <v>3</v>
      </c>
      <c r="C428" s="32">
        <v>3</v>
      </c>
      <c r="D428" s="32">
        <v>9</v>
      </c>
      <c r="E428" s="32">
        <v>17</v>
      </c>
      <c r="F428" s="2">
        <v>55.8</v>
      </c>
      <c r="G428">
        <v>53.62204358353511</v>
      </c>
      <c r="Q428" s="17">
        <v>426</v>
      </c>
      <c r="R428" s="6">
        <v>2.3803000000000001</v>
      </c>
      <c r="S428" s="6">
        <v>2.0476999999999999</v>
      </c>
      <c r="T428" s="6">
        <v>2.2930000000000001</v>
      </c>
      <c r="U428" s="6">
        <v>328</v>
      </c>
      <c r="W428" s="17">
        <v>426</v>
      </c>
      <c r="X428" s="6">
        <v>4.51084</v>
      </c>
      <c r="Y428" s="6">
        <v>2.0476999999999999</v>
      </c>
      <c r="Z428" s="6">
        <v>2.2930000000000001</v>
      </c>
      <c r="AA428" s="6">
        <v>328</v>
      </c>
      <c r="AN428" s="17">
        <v>425</v>
      </c>
      <c r="AO428" s="6">
        <v>1.07389</v>
      </c>
      <c r="AP428" s="6">
        <v>0.69020000000000004</v>
      </c>
      <c r="AQ428" s="6">
        <v>0.54590000000000005</v>
      </c>
      <c r="AR428" s="6">
        <v>328</v>
      </c>
      <c r="AT428" s="17">
        <v>425</v>
      </c>
      <c r="AU428" s="6">
        <v>0.56667999999999996</v>
      </c>
      <c r="AV428" s="6">
        <v>0.69020000000000004</v>
      </c>
      <c r="AW428" s="6">
        <v>0.54590000000000005</v>
      </c>
      <c r="AX428" s="6">
        <v>328</v>
      </c>
    </row>
    <row r="429" spans="1:50" x14ac:dyDescent="0.25">
      <c r="A429" s="31" t="s">
        <v>11</v>
      </c>
      <c r="B429" s="32">
        <v>1</v>
      </c>
      <c r="C429" s="32">
        <v>10</v>
      </c>
      <c r="D429" s="32">
        <v>1</v>
      </c>
      <c r="E429" s="11">
        <v>17</v>
      </c>
      <c r="F429" s="2">
        <v>60.7</v>
      </c>
      <c r="G429">
        <v>23.779890729643981</v>
      </c>
      <c r="Q429" s="17">
        <v>427</v>
      </c>
      <c r="R429" s="6">
        <v>2.3746700000000001</v>
      </c>
      <c r="S429" s="6">
        <v>2.234</v>
      </c>
      <c r="T429" s="6">
        <v>2.2875999999999999</v>
      </c>
      <c r="U429" s="6">
        <v>328</v>
      </c>
      <c r="W429" s="17">
        <v>427</v>
      </c>
      <c r="X429" s="6">
        <v>4.5001600000000002</v>
      </c>
      <c r="Y429" s="6">
        <v>2.234</v>
      </c>
      <c r="Z429" s="6">
        <v>2.2875999999999999</v>
      </c>
      <c r="AA429" s="6">
        <v>328</v>
      </c>
      <c r="AN429" s="17">
        <v>426</v>
      </c>
      <c r="AO429" s="6">
        <v>1.06795</v>
      </c>
      <c r="AP429" s="6">
        <v>0.68810000000000004</v>
      </c>
      <c r="AQ429" s="6">
        <v>0.54290000000000005</v>
      </c>
      <c r="AR429" s="6">
        <v>328</v>
      </c>
      <c r="AT429" s="17">
        <v>426</v>
      </c>
      <c r="AU429" s="6">
        <v>0.56354000000000004</v>
      </c>
      <c r="AV429" s="6">
        <v>0.68810000000000004</v>
      </c>
      <c r="AW429" s="6">
        <v>0.54290000000000005</v>
      </c>
      <c r="AX429" s="6">
        <v>328</v>
      </c>
    </row>
    <row r="430" spans="1:50" x14ac:dyDescent="0.25">
      <c r="A430" s="31" t="s">
        <v>11</v>
      </c>
      <c r="B430" s="32">
        <v>2</v>
      </c>
      <c r="C430" s="32">
        <v>13</v>
      </c>
      <c r="D430" s="32">
        <v>4</v>
      </c>
      <c r="E430" s="11">
        <v>17</v>
      </c>
      <c r="F430" s="2">
        <v>59.5</v>
      </c>
      <c r="G430">
        <v>25.383460680838411</v>
      </c>
      <c r="Q430" s="17">
        <v>428</v>
      </c>
      <c r="R430" s="6">
        <v>2.3888199999999999</v>
      </c>
      <c r="S430" s="6">
        <v>2.2648999999999999</v>
      </c>
      <c r="T430" s="6">
        <v>2.3012000000000001</v>
      </c>
      <c r="U430" s="6">
        <v>328</v>
      </c>
      <c r="W430" s="17">
        <v>428</v>
      </c>
      <c r="X430" s="6">
        <v>4.52698</v>
      </c>
      <c r="Y430" s="6">
        <v>2.2648999999999999</v>
      </c>
      <c r="Z430" s="6">
        <v>2.3012000000000001</v>
      </c>
      <c r="AA430" s="6">
        <v>328</v>
      </c>
      <c r="AN430" s="17">
        <v>427</v>
      </c>
      <c r="AO430" s="6">
        <v>1.0667</v>
      </c>
      <c r="AP430" s="6">
        <v>2.1440000000000001</v>
      </c>
      <c r="AQ430" s="6">
        <v>0.54220000000000002</v>
      </c>
      <c r="AR430" s="6">
        <v>328</v>
      </c>
      <c r="AT430" s="17">
        <v>427</v>
      </c>
      <c r="AU430" s="6">
        <v>0.56288000000000005</v>
      </c>
      <c r="AV430" s="6">
        <v>2.1440000000000001</v>
      </c>
      <c r="AW430" s="6">
        <v>0.54220000000000002</v>
      </c>
      <c r="AX430" s="6">
        <v>328</v>
      </c>
    </row>
    <row r="431" spans="1:50" x14ac:dyDescent="0.25">
      <c r="A431" s="31" t="s">
        <v>11</v>
      </c>
      <c r="B431" s="32">
        <v>3</v>
      </c>
      <c r="C431" s="32">
        <v>11</v>
      </c>
      <c r="D431" s="32">
        <v>9</v>
      </c>
      <c r="E431" s="11">
        <v>17</v>
      </c>
      <c r="F431" s="2">
        <v>59.2</v>
      </c>
      <c r="G431">
        <v>30.608949287371555</v>
      </c>
      <c r="Q431" s="17">
        <v>429</v>
      </c>
      <c r="R431" s="6">
        <v>2.38571</v>
      </c>
      <c r="S431" s="6">
        <v>3.6366999999999998</v>
      </c>
      <c r="T431" s="6">
        <v>2.2982</v>
      </c>
      <c r="U431" s="6">
        <v>328</v>
      </c>
      <c r="W431" s="17">
        <v>429</v>
      </c>
      <c r="X431" s="6">
        <v>4.5210800000000004</v>
      </c>
      <c r="Y431" s="6">
        <v>3.6366999999999998</v>
      </c>
      <c r="Z431" s="6">
        <v>2.2982</v>
      </c>
      <c r="AA431" s="6">
        <v>328</v>
      </c>
      <c r="AN431" s="17">
        <v>428</v>
      </c>
      <c r="AO431" s="6">
        <v>1.07647</v>
      </c>
      <c r="AP431" s="6">
        <v>0.18060000000000001</v>
      </c>
      <c r="AQ431" s="6">
        <v>0.54720000000000002</v>
      </c>
      <c r="AR431" s="6">
        <v>328</v>
      </c>
      <c r="AT431" s="17">
        <v>428</v>
      </c>
      <c r="AU431" s="6">
        <v>0.56803999999999999</v>
      </c>
      <c r="AV431" s="6">
        <v>0.18060000000000001</v>
      </c>
      <c r="AW431" s="6">
        <v>0.54720000000000002</v>
      </c>
      <c r="AX431" s="6">
        <v>328</v>
      </c>
    </row>
    <row r="432" spans="1:50" x14ac:dyDescent="0.25">
      <c r="A432" t="s">
        <v>160</v>
      </c>
      <c r="B432">
        <v>1</v>
      </c>
      <c r="C432" s="36">
        <v>22</v>
      </c>
      <c r="D432" s="36">
        <v>1</v>
      </c>
      <c r="E432" s="32">
        <v>17</v>
      </c>
      <c r="F432" s="13">
        <v>57.7</v>
      </c>
      <c r="G432">
        <v>94.823644578313235</v>
      </c>
      <c r="Q432" s="17">
        <v>430</v>
      </c>
      <c r="R432" s="6">
        <v>2.3902700000000001</v>
      </c>
      <c r="S432" s="6">
        <v>8.9994999999999994</v>
      </c>
      <c r="T432" s="6">
        <v>2.3026</v>
      </c>
      <c r="U432" s="6">
        <v>328</v>
      </c>
      <c r="W432" s="17">
        <v>430</v>
      </c>
      <c r="X432" s="6">
        <v>4.5297200000000002</v>
      </c>
      <c r="Y432" s="6">
        <v>8.9994999999999994</v>
      </c>
      <c r="Z432" s="6">
        <v>2.3026</v>
      </c>
      <c r="AA432" s="6">
        <v>328</v>
      </c>
      <c r="AN432" s="17">
        <v>429</v>
      </c>
      <c r="AO432" s="6">
        <v>1.07176</v>
      </c>
      <c r="AP432" s="6">
        <v>1.8965000000000001</v>
      </c>
      <c r="AQ432" s="6">
        <v>0.54479999999999995</v>
      </c>
      <c r="AR432" s="6">
        <v>328</v>
      </c>
      <c r="AT432" s="17">
        <v>429</v>
      </c>
      <c r="AU432" s="6">
        <v>0.56555</v>
      </c>
      <c r="AV432" s="6">
        <v>1.8965000000000001</v>
      </c>
      <c r="AW432" s="6">
        <v>0.54479999999999995</v>
      </c>
      <c r="AX432" s="6">
        <v>328</v>
      </c>
    </row>
    <row r="433" spans="1:50" x14ac:dyDescent="0.25">
      <c r="A433" t="s">
        <v>160</v>
      </c>
      <c r="B433">
        <v>2</v>
      </c>
      <c r="C433" s="36">
        <v>18</v>
      </c>
      <c r="D433" s="36">
        <v>4</v>
      </c>
      <c r="E433" s="32">
        <v>17</v>
      </c>
      <c r="F433" s="13">
        <v>60.1</v>
      </c>
      <c r="G433">
        <v>90.820092923167195</v>
      </c>
      <c r="Q433" s="17">
        <v>431</v>
      </c>
      <c r="R433" s="6">
        <v>2.3917199999999998</v>
      </c>
      <c r="S433" s="6">
        <v>1.0077</v>
      </c>
      <c r="T433" s="6">
        <v>2.3039999999999998</v>
      </c>
      <c r="U433" s="6">
        <v>328</v>
      </c>
      <c r="W433" s="17">
        <v>431</v>
      </c>
      <c r="X433" s="6">
        <v>4.53247</v>
      </c>
      <c r="Y433" s="6">
        <v>1.0077</v>
      </c>
      <c r="Z433" s="6">
        <v>2.3039999999999998</v>
      </c>
      <c r="AA433" s="6">
        <v>328</v>
      </c>
      <c r="AN433" s="17">
        <v>430</v>
      </c>
      <c r="AO433" s="6">
        <v>1.08247</v>
      </c>
      <c r="AP433" s="6">
        <v>2.2932999999999999</v>
      </c>
      <c r="AQ433" s="6">
        <v>0.55030000000000001</v>
      </c>
      <c r="AR433" s="6">
        <v>328</v>
      </c>
      <c r="AT433" s="17">
        <v>430</v>
      </c>
      <c r="AU433" s="6">
        <v>0.57120000000000004</v>
      </c>
      <c r="AV433" s="6">
        <v>2.2932999999999999</v>
      </c>
      <c r="AW433" s="6">
        <v>0.55030000000000001</v>
      </c>
      <c r="AX433" s="6">
        <v>328</v>
      </c>
    </row>
    <row r="434" spans="1:50" x14ac:dyDescent="0.25">
      <c r="A434" t="s">
        <v>160</v>
      </c>
      <c r="B434">
        <v>3</v>
      </c>
      <c r="C434" s="36">
        <v>2</v>
      </c>
      <c r="D434" s="36">
        <v>6</v>
      </c>
      <c r="E434" s="32">
        <v>17</v>
      </c>
      <c r="F434" s="13">
        <v>59.8</v>
      </c>
      <c r="G434">
        <v>87.552437763309058</v>
      </c>
      <c r="Q434" s="17">
        <v>432</v>
      </c>
      <c r="R434" s="6">
        <v>2.38408</v>
      </c>
      <c r="S434" s="6">
        <v>2.4518</v>
      </c>
      <c r="T434" s="6">
        <v>2.2966000000000002</v>
      </c>
      <c r="U434" s="6">
        <v>328</v>
      </c>
      <c r="W434" s="17">
        <v>432</v>
      </c>
      <c r="X434" s="6">
        <v>4.5179999999999998</v>
      </c>
      <c r="Y434" s="6">
        <v>2.4518</v>
      </c>
      <c r="Z434" s="6">
        <v>2.2966000000000002</v>
      </c>
      <c r="AA434" s="6">
        <v>328</v>
      </c>
      <c r="AN434" s="17">
        <v>431</v>
      </c>
      <c r="AO434" s="6">
        <v>1.0778099999999999</v>
      </c>
      <c r="AP434" s="6">
        <v>0.88380000000000003</v>
      </c>
      <c r="AQ434" s="6">
        <v>0.54790000000000005</v>
      </c>
      <c r="AR434" s="6">
        <v>328</v>
      </c>
      <c r="AT434" s="17">
        <v>431</v>
      </c>
      <c r="AU434" s="6">
        <v>0.56874999999999998</v>
      </c>
      <c r="AV434" s="6">
        <v>0.88380000000000003</v>
      </c>
      <c r="AW434" s="6">
        <v>0.54790000000000005</v>
      </c>
      <c r="AX434" s="6">
        <v>328</v>
      </c>
    </row>
    <row r="435" spans="1:50" x14ac:dyDescent="0.25">
      <c r="A435" s="31" t="s">
        <v>116</v>
      </c>
      <c r="B435" s="32">
        <v>1</v>
      </c>
      <c r="C435" s="32">
        <v>9</v>
      </c>
      <c r="D435" s="32">
        <v>1</v>
      </c>
      <c r="E435" s="32">
        <v>18</v>
      </c>
      <c r="F435" s="12">
        <v>56.1</v>
      </c>
      <c r="G435">
        <v>57.232048619854723</v>
      </c>
      <c r="Q435" s="17">
        <v>433</v>
      </c>
      <c r="R435" s="6">
        <v>2.3838900000000001</v>
      </c>
      <c r="S435" s="6">
        <v>4.7549999999999999</v>
      </c>
      <c r="T435" s="6">
        <v>2.2964000000000002</v>
      </c>
      <c r="U435" s="6">
        <v>328</v>
      </c>
      <c r="W435" s="17">
        <v>433</v>
      </c>
      <c r="X435" s="6">
        <v>4.5176299999999996</v>
      </c>
      <c r="Y435" s="6">
        <v>4.7549999999999999</v>
      </c>
      <c r="Z435" s="6">
        <v>2.2964000000000002</v>
      </c>
      <c r="AA435" s="6">
        <v>328</v>
      </c>
      <c r="AN435" s="17">
        <v>432</v>
      </c>
      <c r="AO435" s="6">
        <v>1.07257</v>
      </c>
      <c r="AP435" s="6">
        <v>1.2295</v>
      </c>
      <c r="AQ435" s="6">
        <v>0.54520000000000002</v>
      </c>
      <c r="AR435" s="6">
        <v>328</v>
      </c>
      <c r="AT435" s="17">
        <v>432</v>
      </c>
      <c r="AU435" s="6">
        <v>0.56598000000000004</v>
      </c>
      <c r="AV435" s="6">
        <v>1.2295</v>
      </c>
      <c r="AW435" s="6">
        <v>0.54520000000000002</v>
      </c>
      <c r="AX435" s="6">
        <v>328</v>
      </c>
    </row>
    <row r="436" spans="1:50" x14ac:dyDescent="0.25">
      <c r="A436" s="31" t="s">
        <v>116</v>
      </c>
      <c r="B436" s="32">
        <v>2</v>
      </c>
      <c r="C436" s="32">
        <v>3</v>
      </c>
      <c r="D436" s="32">
        <v>8</v>
      </c>
      <c r="E436" s="32">
        <v>18</v>
      </c>
      <c r="F436" s="12">
        <v>56.3</v>
      </c>
      <c r="G436">
        <v>52.453376936316687</v>
      </c>
      <c r="Q436" s="17">
        <v>434</v>
      </c>
      <c r="R436" s="6">
        <v>2.3923700000000001</v>
      </c>
      <c r="S436" s="6">
        <v>6.7819000000000003</v>
      </c>
      <c r="T436" s="6">
        <v>2.3046000000000002</v>
      </c>
      <c r="U436" s="6">
        <v>328</v>
      </c>
      <c r="W436" s="17">
        <v>434</v>
      </c>
      <c r="X436" s="6">
        <v>4.5337100000000001</v>
      </c>
      <c r="Y436" s="6">
        <v>6.7819000000000003</v>
      </c>
      <c r="Z436" s="6">
        <v>2.3046000000000002</v>
      </c>
      <c r="AA436" s="6">
        <v>328</v>
      </c>
      <c r="AN436" s="17">
        <v>433</v>
      </c>
      <c r="AO436" s="6">
        <v>1.07046</v>
      </c>
      <c r="AP436" s="6">
        <v>0.15840000000000001</v>
      </c>
      <c r="AQ436" s="6">
        <v>0.54410000000000003</v>
      </c>
      <c r="AR436" s="6">
        <v>328</v>
      </c>
      <c r="AT436" s="17">
        <v>433</v>
      </c>
      <c r="AU436" s="6">
        <v>0.56486999999999998</v>
      </c>
      <c r="AV436" s="6">
        <v>0.15840000000000001</v>
      </c>
      <c r="AW436" s="6">
        <v>0.54410000000000003</v>
      </c>
      <c r="AX436" s="6">
        <v>328</v>
      </c>
    </row>
    <row r="437" spans="1:50" x14ac:dyDescent="0.25">
      <c r="A437" s="31" t="s">
        <v>116</v>
      </c>
      <c r="B437" s="32">
        <v>3</v>
      </c>
      <c r="C437" s="32">
        <v>5</v>
      </c>
      <c r="D437" s="32">
        <v>12</v>
      </c>
      <c r="E437" s="32">
        <v>18</v>
      </c>
      <c r="F437" s="2">
        <v>56.6</v>
      </c>
      <c r="G437">
        <v>59.000164648910406</v>
      </c>
      <c r="Q437" s="17">
        <v>435</v>
      </c>
      <c r="R437" s="6">
        <v>2.3868</v>
      </c>
      <c r="S437" s="6">
        <v>2.7814000000000001</v>
      </c>
      <c r="T437" s="6">
        <v>2.2993000000000001</v>
      </c>
      <c r="U437" s="6">
        <v>328</v>
      </c>
      <c r="W437" s="17">
        <v>435</v>
      </c>
      <c r="X437" s="6">
        <v>4.5231599999999998</v>
      </c>
      <c r="Y437" s="6">
        <v>2.7814000000000001</v>
      </c>
      <c r="Z437" s="6">
        <v>2.2993000000000001</v>
      </c>
      <c r="AA437" s="6">
        <v>328</v>
      </c>
      <c r="AN437" s="17">
        <v>434</v>
      </c>
      <c r="AO437" s="6">
        <v>1.07575</v>
      </c>
      <c r="AP437" s="6">
        <v>0.4703</v>
      </c>
      <c r="AQ437" s="6">
        <v>0.54679999999999995</v>
      </c>
      <c r="AR437" s="6">
        <v>328</v>
      </c>
      <c r="AT437" s="17">
        <v>434</v>
      </c>
      <c r="AU437" s="6">
        <v>0.56766000000000005</v>
      </c>
      <c r="AV437" s="6">
        <v>0.4703</v>
      </c>
      <c r="AW437" s="6">
        <v>0.54679999999999995</v>
      </c>
      <c r="AX437" s="6">
        <v>328</v>
      </c>
    </row>
    <row r="438" spans="1:50" x14ac:dyDescent="0.25">
      <c r="A438" s="34" t="s">
        <v>97</v>
      </c>
      <c r="B438" s="35">
        <v>1</v>
      </c>
      <c r="C438" s="35">
        <v>2</v>
      </c>
      <c r="D438" s="35">
        <v>1</v>
      </c>
      <c r="E438" s="35">
        <v>18</v>
      </c>
      <c r="F438" s="2">
        <v>60</v>
      </c>
      <c r="G438">
        <v>82.356685714285703</v>
      </c>
      <c r="Q438" s="17">
        <v>436</v>
      </c>
      <c r="R438" s="6">
        <v>2.3874499999999999</v>
      </c>
      <c r="S438" s="6">
        <v>5.0010000000000003</v>
      </c>
      <c r="T438" s="6">
        <v>2.2999000000000001</v>
      </c>
      <c r="U438" s="6">
        <v>328</v>
      </c>
      <c r="W438" s="17">
        <v>436</v>
      </c>
      <c r="X438" s="6">
        <v>4.5243900000000004</v>
      </c>
      <c r="Y438" s="6">
        <v>5.0010000000000003</v>
      </c>
      <c r="Z438" s="6">
        <v>2.2999000000000001</v>
      </c>
      <c r="AA438" s="6">
        <v>328</v>
      </c>
      <c r="AN438" s="17">
        <v>435</v>
      </c>
      <c r="AO438" s="6">
        <v>1.0863499999999999</v>
      </c>
      <c r="AP438" s="6">
        <v>1.5246999999999999</v>
      </c>
      <c r="AQ438" s="6">
        <v>0.55220000000000002</v>
      </c>
      <c r="AR438" s="6">
        <v>328</v>
      </c>
      <c r="AT438" s="17">
        <v>435</v>
      </c>
      <c r="AU438" s="6">
        <v>0.57325000000000004</v>
      </c>
      <c r="AV438" s="6">
        <v>1.5246999999999999</v>
      </c>
      <c r="AW438" s="6">
        <v>0.55220000000000002</v>
      </c>
      <c r="AX438" s="6">
        <v>328</v>
      </c>
    </row>
    <row r="439" spans="1:50" x14ac:dyDescent="0.25">
      <c r="A439" s="34" t="s">
        <v>97</v>
      </c>
      <c r="B439" s="35">
        <v>2</v>
      </c>
      <c r="C439" s="35">
        <v>20</v>
      </c>
      <c r="D439" s="35">
        <v>3</v>
      </c>
      <c r="E439" s="35">
        <v>18</v>
      </c>
      <c r="F439" s="2" t="s">
        <v>12</v>
      </c>
      <c r="G439" t="s">
        <v>12</v>
      </c>
      <c r="Q439" s="17">
        <v>437</v>
      </c>
      <c r="R439" s="6">
        <v>2.4013499999999999</v>
      </c>
      <c r="S439" s="19">
        <v>-3.6316999999999999</v>
      </c>
      <c r="T439" s="6">
        <v>2.3132999999999999</v>
      </c>
      <c r="U439" s="6">
        <v>328</v>
      </c>
      <c r="W439" s="17">
        <v>437</v>
      </c>
      <c r="X439" s="6">
        <v>4.5507299999999997</v>
      </c>
      <c r="Y439" s="19">
        <v>-3.6316999999999999</v>
      </c>
      <c r="Z439" s="6">
        <v>2.3132999999999999</v>
      </c>
      <c r="AA439" s="6">
        <v>328</v>
      </c>
      <c r="AN439" s="17">
        <v>436</v>
      </c>
      <c r="AO439" s="6">
        <v>1.0753600000000001</v>
      </c>
      <c r="AP439" s="6">
        <v>1.4341999999999999</v>
      </c>
      <c r="AQ439" s="6">
        <v>0.54659999999999997</v>
      </c>
      <c r="AR439" s="6">
        <v>328</v>
      </c>
      <c r="AT439" s="17">
        <v>436</v>
      </c>
      <c r="AU439" s="6">
        <v>0.56745000000000001</v>
      </c>
      <c r="AV439" s="6">
        <v>1.4341999999999999</v>
      </c>
      <c r="AW439" s="6">
        <v>0.54659999999999997</v>
      </c>
      <c r="AX439" s="6">
        <v>328</v>
      </c>
    </row>
    <row r="440" spans="1:50" x14ac:dyDescent="0.25">
      <c r="A440" s="34" t="s">
        <v>97</v>
      </c>
      <c r="B440" s="35">
        <v>3</v>
      </c>
      <c r="C440" s="35">
        <v>5</v>
      </c>
      <c r="D440" s="35">
        <v>6</v>
      </c>
      <c r="E440" s="35">
        <v>18</v>
      </c>
      <c r="F440" s="2">
        <v>60.4</v>
      </c>
      <c r="G440">
        <v>79.774777798970035</v>
      </c>
      <c r="Q440" s="17">
        <v>438</v>
      </c>
      <c r="R440" s="6">
        <v>2.38707</v>
      </c>
      <c r="S440" s="6">
        <v>3.29</v>
      </c>
      <c r="T440" s="6">
        <v>2.2995000000000001</v>
      </c>
      <c r="U440" s="6">
        <v>328</v>
      </c>
      <c r="W440" s="17">
        <v>438</v>
      </c>
      <c r="X440" s="6">
        <v>4.5236700000000001</v>
      </c>
      <c r="Y440" s="6">
        <v>3.29</v>
      </c>
      <c r="Z440" s="6">
        <v>2.2995000000000001</v>
      </c>
      <c r="AA440" s="6">
        <v>328</v>
      </c>
      <c r="AN440" s="17">
        <v>437</v>
      </c>
      <c r="AO440" s="6">
        <v>1.0847800000000001</v>
      </c>
      <c r="AP440" s="6">
        <v>1.1409</v>
      </c>
      <c r="AQ440" s="6">
        <v>0.5514</v>
      </c>
      <c r="AR440" s="6">
        <v>328</v>
      </c>
      <c r="AT440" s="17">
        <v>437</v>
      </c>
      <c r="AU440" s="6">
        <v>0.57242000000000004</v>
      </c>
      <c r="AV440" s="6">
        <v>1.1409</v>
      </c>
      <c r="AW440" s="6">
        <v>0.5514</v>
      </c>
      <c r="AX440" s="6">
        <v>328</v>
      </c>
    </row>
    <row r="441" spans="1:50" x14ac:dyDescent="0.25">
      <c r="A441" s="31" t="s">
        <v>132</v>
      </c>
      <c r="B441" s="32">
        <v>1</v>
      </c>
      <c r="C441" s="32">
        <v>8</v>
      </c>
      <c r="D441" s="32">
        <v>2</v>
      </c>
      <c r="E441" s="32">
        <v>18</v>
      </c>
      <c r="F441" s="2">
        <v>58.3</v>
      </c>
      <c r="G441">
        <v>58.466752808447026</v>
      </c>
      <c r="Q441" s="17">
        <v>439</v>
      </c>
      <c r="R441" s="6">
        <v>2.3837799999999998</v>
      </c>
      <c r="S441" s="6">
        <v>5.9905999999999997</v>
      </c>
      <c r="T441" s="6">
        <v>2.2963</v>
      </c>
      <c r="U441" s="6">
        <v>328</v>
      </c>
      <c r="W441" s="17">
        <v>439</v>
      </c>
      <c r="X441" s="6">
        <v>4.5174200000000004</v>
      </c>
      <c r="Y441" s="6">
        <v>5.9905999999999997</v>
      </c>
      <c r="Z441" s="6">
        <v>2.2963</v>
      </c>
      <c r="AA441" s="6">
        <v>328</v>
      </c>
      <c r="AN441" s="17">
        <v>438</v>
      </c>
      <c r="AO441" s="6">
        <v>1.0659799999999999</v>
      </c>
      <c r="AP441" s="6">
        <v>1.1144000000000001</v>
      </c>
      <c r="AQ441" s="6">
        <v>0.54190000000000005</v>
      </c>
      <c r="AR441" s="6">
        <v>328</v>
      </c>
      <c r="AT441" s="17">
        <v>438</v>
      </c>
      <c r="AU441" s="6">
        <v>0.5625</v>
      </c>
      <c r="AV441" s="6">
        <v>1.1144000000000001</v>
      </c>
      <c r="AW441" s="6">
        <v>0.54190000000000005</v>
      </c>
      <c r="AX441" s="6">
        <v>328</v>
      </c>
    </row>
    <row r="442" spans="1:50" x14ac:dyDescent="0.25">
      <c r="A442" s="31" t="s">
        <v>132</v>
      </c>
      <c r="B442" s="32">
        <v>2</v>
      </c>
      <c r="C442" s="32">
        <v>12</v>
      </c>
      <c r="D442" s="32">
        <v>3</v>
      </c>
      <c r="E442" s="32">
        <v>18</v>
      </c>
      <c r="F442" s="2">
        <v>59.5</v>
      </c>
      <c r="G442">
        <v>58.011084337349388</v>
      </c>
      <c r="Q442" s="17">
        <v>440</v>
      </c>
      <c r="R442" s="6">
        <v>2.3830300000000002</v>
      </c>
      <c r="S442" s="6">
        <v>4.9954999999999998</v>
      </c>
      <c r="T442" s="6">
        <v>2.2955999999999999</v>
      </c>
      <c r="U442" s="6">
        <v>328</v>
      </c>
      <c r="W442" s="17">
        <v>440</v>
      </c>
      <c r="X442" s="6">
        <v>4.516</v>
      </c>
      <c r="Y442" s="6">
        <v>4.9954999999999998</v>
      </c>
      <c r="Z442" s="6">
        <v>2.2955999999999999</v>
      </c>
      <c r="AA442" s="6">
        <v>328</v>
      </c>
      <c r="AN442" s="17">
        <v>439</v>
      </c>
      <c r="AO442" s="6">
        <v>1.06975</v>
      </c>
      <c r="AP442" s="6">
        <v>2.4937999999999998</v>
      </c>
      <c r="AQ442" s="6">
        <v>0.54379999999999995</v>
      </c>
      <c r="AR442" s="6">
        <v>328</v>
      </c>
      <c r="AT442" s="17">
        <v>439</v>
      </c>
      <c r="AU442" s="6">
        <v>0.56449000000000005</v>
      </c>
      <c r="AV442" s="6">
        <v>2.4937999999999998</v>
      </c>
      <c r="AW442" s="6">
        <v>0.54379999999999995</v>
      </c>
      <c r="AX442" s="6">
        <v>328</v>
      </c>
    </row>
    <row r="443" spans="1:50" x14ac:dyDescent="0.25">
      <c r="A443" s="31" t="s">
        <v>132</v>
      </c>
      <c r="B443" s="32">
        <v>3</v>
      </c>
      <c r="C443" s="32">
        <v>7</v>
      </c>
      <c r="D443" s="32">
        <v>6</v>
      </c>
      <c r="E443" s="32">
        <v>18</v>
      </c>
      <c r="F443" s="12">
        <v>60.1</v>
      </c>
      <c r="G443">
        <v>55.67223458038422</v>
      </c>
      <c r="Q443" s="17">
        <v>441</v>
      </c>
      <c r="R443" s="6">
        <v>2.38253</v>
      </c>
      <c r="S443" s="6">
        <v>8.0643999999999991</v>
      </c>
      <c r="T443" s="6">
        <v>2.2951000000000001</v>
      </c>
      <c r="U443" s="6">
        <v>328</v>
      </c>
      <c r="W443" s="17">
        <v>441</v>
      </c>
      <c r="X443" s="6">
        <v>4.5150600000000001</v>
      </c>
      <c r="Y443" s="6">
        <v>8.0643999999999991</v>
      </c>
      <c r="Z443" s="6">
        <v>2.2951000000000001</v>
      </c>
      <c r="AA443" s="6">
        <v>328</v>
      </c>
      <c r="AN443" s="17">
        <v>440</v>
      </c>
      <c r="AO443" s="6">
        <v>1.07223</v>
      </c>
      <c r="AP443" s="6">
        <v>1.0182</v>
      </c>
      <c r="AQ443" s="6">
        <v>0.54500000000000004</v>
      </c>
      <c r="AR443" s="6">
        <v>328</v>
      </c>
      <c r="AT443" s="17">
        <v>440</v>
      </c>
      <c r="AU443" s="6">
        <v>0.56579999999999997</v>
      </c>
      <c r="AV443" s="6">
        <v>1.0182</v>
      </c>
      <c r="AW443" s="6">
        <v>0.54500000000000004</v>
      </c>
      <c r="AX443" s="6">
        <v>328</v>
      </c>
    </row>
    <row r="444" spans="1:50" x14ac:dyDescent="0.25">
      <c r="A444" s="31" t="s">
        <v>13</v>
      </c>
      <c r="B444" s="32">
        <v>1</v>
      </c>
      <c r="C444" s="36">
        <v>18</v>
      </c>
      <c r="D444" s="36">
        <v>1</v>
      </c>
      <c r="E444" s="32">
        <v>18</v>
      </c>
      <c r="F444" s="12">
        <v>57.8</v>
      </c>
      <c r="G444">
        <v>54.973379999999992</v>
      </c>
      <c r="Q444" s="17">
        <v>442</v>
      </c>
      <c r="R444" s="6">
        <v>2.3831699999999998</v>
      </c>
      <c r="S444" s="6">
        <v>8.1822999999999997</v>
      </c>
      <c r="T444" s="6">
        <v>2.2957999999999998</v>
      </c>
      <c r="U444" s="6">
        <v>328</v>
      </c>
      <c r="W444" s="17">
        <v>442</v>
      </c>
      <c r="X444" s="6">
        <v>4.5162599999999999</v>
      </c>
      <c r="Y444" s="6">
        <v>8.1822999999999997</v>
      </c>
      <c r="Z444" s="6">
        <v>2.2957999999999998</v>
      </c>
      <c r="AA444" s="6">
        <v>328</v>
      </c>
      <c r="AN444" s="17">
        <v>441</v>
      </c>
      <c r="AO444" s="6">
        <v>1.0730500000000001</v>
      </c>
      <c r="AP444" s="6">
        <v>1.0249999999999999</v>
      </c>
      <c r="AQ444" s="6">
        <v>0.54549999999999998</v>
      </c>
      <c r="AR444" s="6">
        <v>328</v>
      </c>
      <c r="AT444" s="17">
        <v>441</v>
      </c>
      <c r="AU444" s="6">
        <v>0.56623000000000001</v>
      </c>
      <c r="AV444" s="6">
        <v>1.0249999999999999</v>
      </c>
      <c r="AW444" s="6">
        <v>0.54549999999999998</v>
      </c>
      <c r="AX444" s="6">
        <v>328</v>
      </c>
    </row>
    <row r="445" spans="1:50" x14ac:dyDescent="0.25">
      <c r="A445" s="31" t="s">
        <v>13</v>
      </c>
      <c r="B445" s="32">
        <v>2</v>
      </c>
      <c r="C445" s="36">
        <v>6</v>
      </c>
      <c r="D445" s="36">
        <v>4</v>
      </c>
      <c r="E445" s="32">
        <v>18</v>
      </c>
      <c r="F445" s="12">
        <v>56.9</v>
      </c>
      <c r="G445">
        <v>64.671749999999989</v>
      </c>
      <c r="Q445" s="17">
        <v>443</v>
      </c>
      <c r="R445" s="6">
        <v>2.39222</v>
      </c>
      <c r="S445" s="19">
        <v>-0.4415</v>
      </c>
      <c r="T445" s="6">
        <v>2.3045</v>
      </c>
      <c r="U445" s="6">
        <v>328</v>
      </c>
      <c r="W445" s="17">
        <v>443</v>
      </c>
      <c r="X445" s="6">
        <v>4.5334199999999996</v>
      </c>
      <c r="Y445" s="19">
        <v>-0.4415</v>
      </c>
      <c r="Z445" s="6">
        <v>2.3045</v>
      </c>
      <c r="AA445" s="6">
        <v>328</v>
      </c>
      <c r="AN445" s="17">
        <v>442</v>
      </c>
      <c r="AO445" s="6">
        <v>1.0716600000000001</v>
      </c>
      <c r="AP445" s="6">
        <v>1.5914999999999999</v>
      </c>
      <c r="AQ445" s="6">
        <v>0.54479999999999995</v>
      </c>
      <c r="AR445" s="6">
        <v>328</v>
      </c>
      <c r="AT445" s="17">
        <v>442</v>
      </c>
      <c r="AU445" s="6">
        <v>0.5655</v>
      </c>
      <c r="AV445" s="6">
        <v>1.5914999999999999</v>
      </c>
      <c r="AW445" s="6">
        <v>0.54479999999999995</v>
      </c>
      <c r="AX445" s="6">
        <v>328</v>
      </c>
    </row>
    <row r="446" spans="1:50" x14ac:dyDescent="0.25">
      <c r="A446" s="31" t="s">
        <v>13</v>
      </c>
      <c r="B446" s="32">
        <v>3</v>
      </c>
      <c r="C446" s="36">
        <v>14</v>
      </c>
      <c r="D446" s="36">
        <v>6</v>
      </c>
      <c r="E446" s="32">
        <v>18</v>
      </c>
      <c r="F446" s="12">
        <v>56.9</v>
      </c>
      <c r="G446">
        <v>59.245339999999992</v>
      </c>
      <c r="Q446" s="17">
        <v>444</v>
      </c>
      <c r="R446" s="6">
        <v>2.38347</v>
      </c>
      <c r="S446" s="6">
        <v>3.2242000000000002</v>
      </c>
      <c r="T446" s="6">
        <v>2.2959999999999998</v>
      </c>
      <c r="U446" s="6">
        <v>328</v>
      </c>
      <c r="W446" s="17">
        <v>444</v>
      </c>
      <c r="X446" s="6">
        <v>4.5168400000000002</v>
      </c>
      <c r="Y446" s="6">
        <v>3.2242000000000002</v>
      </c>
      <c r="Z446" s="6">
        <v>2.2959999999999998</v>
      </c>
      <c r="AA446" s="6">
        <v>328</v>
      </c>
      <c r="AN446" s="17">
        <v>443</v>
      </c>
      <c r="AO446" s="6">
        <v>1.07437</v>
      </c>
      <c r="AP446" s="19">
        <v>-0.79790000000000005</v>
      </c>
      <c r="AQ446" s="6">
        <v>0.54610000000000003</v>
      </c>
      <c r="AR446" s="6">
        <v>328</v>
      </c>
      <c r="AT446" s="17">
        <v>443</v>
      </c>
      <c r="AU446" s="6">
        <v>0.56693000000000005</v>
      </c>
      <c r="AV446" s="19">
        <v>-0.79790000000000005</v>
      </c>
      <c r="AW446" s="6">
        <v>0.54610000000000003</v>
      </c>
      <c r="AX446" s="6">
        <v>328</v>
      </c>
    </row>
    <row r="447" spans="1:50" x14ac:dyDescent="0.25">
      <c r="A447" t="s">
        <v>7</v>
      </c>
      <c r="B447" s="11">
        <v>1</v>
      </c>
      <c r="C447" s="11">
        <v>13</v>
      </c>
      <c r="D447" s="11">
        <v>3</v>
      </c>
      <c r="E447" s="11">
        <v>18</v>
      </c>
      <c r="F447" s="12">
        <v>54.8</v>
      </c>
      <c r="G447">
        <v>38.519453795457771</v>
      </c>
      <c r="Q447" s="17">
        <v>445</v>
      </c>
      <c r="R447" s="6">
        <v>2.37412</v>
      </c>
      <c r="S447" s="6">
        <v>4.9203999999999999</v>
      </c>
      <c r="T447" s="6">
        <v>2.2869999999999999</v>
      </c>
      <c r="U447" s="6">
        <v>328</v>
      </c>
      <c r="W447" s="17">
        <v>445</v>
      </c>
      <c r="X447" s="6">
        <v>4.4991199999999996</v>
      </c>
      <c r="Y447" s="6">
        <v>4.9203999999999999</v>
      </c>
      <c r="Z447" s="6">
        <v>2.2869999999999999</v>
      </c>
      <c r="AA447" s="6">
        <v>328</v>
      </c>
      <c r="AN447" s="17">
        <v>444</v>
      </c>
      <c r="AO447" s="6">
        <v>1.0720799999999999</v>
      </c>
      <c r="AP447" s="6">
        <v>1.2732000000000001</v>
      </c>
      <c r="AQ447" s="6">
        <v>0.54500000000000004</v>
      </c>
      <c r="AR447" s="6">
        <v>328</v>
      </c>
      <c r="AT447" s="17">
        <v>444</v>
      </c>
      <c r="AU447" s="6">
        <v>0.56572</v>
      </c>
      <c r="AV447" s="6">
        <v>1.2732000000000001</v>
      </c>
      <c r="AW447" s="6">
        <v>0.54500000000000004</v>
      </c>
      <c r="AX447" s="6">
        <v>328</v>
      </c>
    </row>
    <row r="448" spans="1:50" x14ac:dyDescent="0.25">
      <c r="A448" t="s">
        <v>7</v>
      </c>
      <c r="B448" s="11">
        <v>2</v>
      </c>
      <c r="C448" s="11">
        <v>12</v>
      </c>
      <c r="D448" s="11">
        <v>8</v>
      </c>
      <c r="E448" s="11">
        <v>18</v>
      </c>
      <c r="F448" s="12">
        <v>53.2</v>
      </c>
      <c r="G448">
        <v>48.588981459069565</v>
      </c>
      <c r="Q448" s="17">
        <v>446</v>
      </c>
      <c r="R448" s="6">
        <v>2.3888099999999999</v>
      </c>
      <c r="S448" s="6">
        <v>3.5265</v>
      </c>
      <c r="T448" s="6">
        <v>2.3012000000000001</v>
      </c>
      <c r="U448" s="6">
        <v>328</v>
      </c>
      <c r="W448" s="17">
        <v>446</v>
      </c>
      <c r="X448" s="6">
        <v>4.5269700000000004</v>
      </c>
      <c r="Y448" s="6">
        <v>3.5265</v>
      </c>
      <c r="Z448" s="6">
        <v>2.3012000000000001</v>
      </c>
      <c r="AA448" s="6">
        <v>328</v>
      </c>
      <c r="AN448" s="17">
        <v>445</v>
      </c>
      <c r="AO448" s="6">
        <v>1.0696099999999999</v>
      </c>
      <c r="AP448" s="6">
        <v>1.4864999999999999</v>
      </c>
      <c r="AQ448" s="6">
        <v>0.54369999999999996</v>
      </c>
      <c r="AR448" s="6">
        <v>328</v>
      </c>
      <c r="AT448" s="17">
        <v>445</v>
      </c>
      <c r="AU448" s="6">
        <v>0.56442000000000003</v>
      </c>
      <c r="AV448" s="6">
        <v>1.4864999999999999</v>
      </c>
      <c r="AW448" s="6">
        <v>0.54369999999999996</v>
      </c>
      <c r="AX448" s="6">
        <v>328</v>
      </c>
    </row>
    <row r="449" spans="1:50" x14ac:dyDescent="0.25">
      <c r="A449" t="s">
        <v>7</v>
      </c>
      <c r="B449" s="11">
        <v>3</v>
      </c>
      <c r="C449" s="11">
        <v>5</v>
      </c>
      <c r="D449" s="11">
        <v>10</v>
      </c>
      <c r="E449" s="11">
        <v>18</v>
      </c>
      <c r="F449" s="12">
        <v>53.2</v>
      </c>
      <c r="G449">
        <v>31.573892821031336</v>
      </c>
      <c r="Q449" s="17">
        <v>447</v>
      </c>
      <c r="R449" s="6">
        <v>2.3882300000000001</v>
      </c>
      <c r="S449" s="6">
        <v>4.5932000000000004</v>
      </c>
      <c r="T449" s="6">
        <v>2.3006000000000002</v>
      </c>
      <c r="U449" s="6">
        <v>328</v>
      </c>
      <c r="W449" s="17">
        <v>447</v>
      </c>
      <c r="X449" s="6">
        <v>4.5258700000000003</v>
      </c>
      <c r="Y449" s="6">
        <v>4.5932000000000004</v>
      </c>
      <c r="Z449" s="6">
        <v>2.3006000000000002</v>
      </c>
      <c r="AA449" s="6">
        <v>328</v>
      </c>
      <c r="AN449" s="17">
        <v>446</v>
      </c>
      <c r="AO449" s="6">
        <v>1.07775</v>
      </c>
      <c r="AP449" s="6">
        <v>1.1974</v>
      </c>
      <c r="AQ449" s="6">
        <v>0.54790000000000005</v>
      </c>
      <c r="AR449" s="6">
        <v>328</v>
      </c>
      <c r="AT449" s="17">
        <v>446</v>
      </c>
      <c r="AU449" s="6">
        <v>0.56871000000000005</v>
      </c>
      <c r="AV449" s="6">
        <v>1.1974</v>
      </c>
      <c r="AW449" s="6">
        <v>0.54790000000000005</v>
      </c>
      <c r="AX449" s="6">
        <v>328</v>
      </c>
    </row>
    <row r="450" spans="1:50" x14ac:dyDescent="0.25">
      <c r="A450" s="31" t="s">
        <v>156</v>
      </c>
      <c r="B450" s="32">
        <v>1</v>
      </c>
      <c r="C450" s="32">
        <v>11</v>
      </c>
      <c r="D450" s="32">
        <v>1</v>
      </c>
      <c r="E450" s="32">
        <v>18</v>
      </c>
      <c r="F450" s="2">
        <v>53.9</v>
      </c>
      <c r="G450">
        <v>45.02039438792729</v>
      </c>
      <c r="Q450" s="17">
        <v>448</v>
      </c>
      <c r="R450" s="6">
        <v>2.3783699999999999</v>
      </c>
      <c r="S450" s="6">
        <v>3.0246</v>
      </c>
      <c r="T450" s="6">
        <v>2.2911000000000001</v>
      </c>
      <c r="U450" s="6">
        <v>328</v>
      </c>
      <c r="W450" s="17">
        <v>448</v>
      </c>
      <c r="X450" s="6">
        <v>4.50718</v>
      </c>
      <c r="Y450" s="6">
        <v>3.0246</v>
      </c>
      <c r="Z450" s="6">
        <v>2.2911000000000001</v>
      </c>
      <c r="AA450" s="6">
        <v>328</v>
      </c>
      <c r="AN450" s="17">
        <v>447</v>
      </c>
      <c r="AO450" s="6">
        <v>1.07423</v>
      </c>
      <c r="AP450" s="6">
        <v>0.1169</v>
      </c>
      <c r="AQ450" s="6">
        <v>0.54610000000000003</v>
      </c>
      <c r="AR450" s="6">
        <v>328</v>
      </c>
      <c r="AT450" s="17">
        <v>447</v>
      </c>
      <c r="AU450" s="6">
        <v>0.56686000000000003</v>
      </c>
      <c r="AV450" s="6">
        <v>0.1169</v>
      </c>
      <c r="AW450" s="6">
        <v>0.54610000000000003</v>
      </c>
      <c r="AX450" s="6">
        <v>328</v>
      </c>
    </row>
    <row r="451" spans="1:50" x14ac:dyDescent="0.25">
      <c r="A451" s="31" t="s">
        <v>156</v>
      </c>
      <c r="B451" s="32">
        <v>2</v>
      </c>
      <c r="C451" s="32">
        <v>25</v>
      </c>
      <c r="D451" s="32">
        <v>3</v>
      </c>
      <c r="E451" s="32">
        <v>18</v>
      </c>
      <c r="F451" s="2">
        <v>53.3</v>
      </c>
      <c r="G451">
        <v>32.918729087314979</v>
      </c>
      <c r="Q451" s="17">
        <v>449</v>
      </c>
      <c r="R451" s="6">
        <v>2.3890400000000001</v>
      </c>
      <c r="S451" s="6">
        <v>3.5276999999999998</v>
      </c>
      <c r="T451" s="6">
        <v>2.3014000000000001</v>
      </c>
      <c r="U451" s="6">
        <v>328</v>
      </c>
      <c r="W451" s="17">
        <v>449</v>
      </c>
      <c r="X451" s="6">
        <v>4.5274000000000001</v>
      </c>
      <c r="Y451" s="6">
        <v>3.5276999999999998</v>
      </c>
      <c r="Z451" s="6">
        <v>2.3014000000000001</v>
      </c>
      <c r="AA451" s="6">
        <v>328</v>
      </c>
      <c r="AN451" s="17">
        <v>448</v>
      </c>
      <c r="AO451" s="6">
        <v>1.0671299999999999</v>
      </c>
      <c r="AP451" s="6">
        <v>0.45639999999999997</v>
      </c>
      <c r="AQ451" s="6">
        <v>0.54249999999999998</v>
      </c>
      <c r="AR451" s="6">
        <v>328</v>
      </c>
      <c r="AT451" s="17">
        <v>448</v>
      </c>
      <c r="AU451" s="6">
        <v>0.56311</v>
      </c>
      <c r="AV451" s="6">
        <v>0.45639999999999997</v>
      </c>
      <c r="AW451" s="6">
        <v>0.54249999999999998</v>
      </c>
      <c r="AX451" s="6">
        <v>328</v>
      </c>
    </row>
    <row r="452" spans="1:50" x14ac:dyDescent="0.25">
      <c r="A452" s="31" t="s">
        <v>156</v>
      </c>
      <c r="B452" s="32">
        <v>3</v>
      </c>
      <c r="C452" s="32">
        <v>2</v>
      </c>
      <c r="D452" s="32">
        <v>6</v>
      </c>
      <c r="E452" s="32">
        <v>18</v>
      </c>
      <c r="F452" s="2">
        <v>54.8</v>
      </c>
      <c r="G452">
        <v>40.929790354378028</v>
      </c>
      <c r="Q452" s="17">
        <v>450</v>
      </c>
      <c r="R452" s="6">
        <v>2.38896</v>
      </c>
      <c r="S452" s="6">
        <v>10.8248</v>
      </c>
      <c r="T452" s="6">
        <v>2.3012999999999999</v>
      </c>
      <c r="U452" s="6">
        <v>328</v>
      </c>
      <c r="W452" s="17">
        <v>450</v>
      </c>
      <c r="X452" s="6">
        <v>4.5272500000000004</v>
      </c>
      <c r="Y452" s="6">
        <v>10.8248</v>
      </c>
      <c r="Z452" s="6">
        <v>2.3012999999999999</v>
      </c>
      <c r="AA452" s="6">
        <v>328</v>
      </c>
      <c r="AN452" s="17">
        <v>449</v>
      </c>
      <c r="AO452" s="6">
        <v>1.07481</v>
      </c>
      <c r="AP452" s="19">
        <v>-7.0459999999999995E-2</v>
      </c>
      <c r="AQ452" s="6">
        <v>0.5464</v>
      </c>
      <c r="AR452" s="6">
        <v>328</v>
      </c>
      <c r="AT452" s="17">
        <v>449</v>
      </c>
      <c r="AU452" s="6">
        <v>0.56716</v>
      </c>
      <c r="AV452" s="19">
        <v>-7.0459999999999995E-2</v>
      </c>
      <c r="AW452" s="6">
        <v>0.5464</v>
      </c>
      <c r="AX452" s="6">
        <v>328</v>
      </c>
    </row>
    <row r="453" spans="1:50" x14ac:dyDescent="0.25">
      <c r="A453" s="31" t="s">
        <v>10</v>
      </c>
      <c r="B453" s="32">
        <v>1</v>
      </c>
      <c r="C453" s="32">
        <v>3</v>
      </c>
      <c r="D453" s="32">
        <v>1</v>
      </c>
      <c r="E453" s="32">
        <v>18</v>
      </c>
      <c r="F453" s="2">
        <v>57.2</v>
      </c>
      <c r="G453">
        <v>57.949190977443607</v>
      </c>
      <c r="Q453" s="17">
        <v>451</v>
      </c>
      <c r="R453" s="6">
        <v>2.3885299999999998</v>
      </c>
      <c r="S453" s="6">
        <v>5.3319999999999999</v>
      </c>
      <c r="T453" s="6">
        <v>2.3008999999999999</v>
      </c>
      <c r="U453" s="6">
        <v>328</v>
      </c>
      <c r="W453" s="17">
        <v>451</v>
      </c>
      <c r="X453" s="6">
        <v>4.5264300000000004</v>
      </c>
      <c r="Y453" s="6">
        <v>5.3319999999999999</v>
      </c>
      <c r="Z453" s="6">
        <v>2.3008999999999999</v>
      </c>
      <c r="AA453" s="6">
        <v>328</v>
      </c>
      <c r="AN453" s="17">
        <v>450</v>
      </c>
      <c r="AO453" s="6">
        <v>1.08124</v>
      </c>
      <c r="AP453" s="6">
        <v>1.7193000000000001</v>
      </c>
      <c r="AQ453" s="6">
        <v>0.54959999999999998</v>
      </c>
      <c r="AR453" s="6">
        <v>328</v>
      </c>
      <c r="AT453" s="17">
        <v>450</v>
      </c>
      <c r="AU453" s="6">
        <v>0.57055999999999996</v>
      </c>
      <c r="AV453" s="6">
        <v>1.7193000000000001</v>
      </c>
      <c r="AW453" s="6">
        <v>0.54959999999999998</v>
      </c>
      <c r="AX453" s="6">
        <v>328</v>
      </c>
    </row>
    <row r="454" spans="1:50" x14ac:dyDescent="0.25">
      <c r="A454" s="31" t="s">
        <v>10</v>
      </c>
      <c r="B454" s="32">
        <v>2</v>
      </c>
      <c r="C454" s="32">
        <v>8</v>
      </c>
      <c r="D454" s="32">
        <v>7</v>
      </c>
      <c r="E454" s="32">
        <v>18</v>
      </c>
      <c r="F454" s="2">
        <v>54.6</v>
      </c>
      <c r="G454">
        <v>45.093503355704691</v>
      </c>
      <c r="Q454" s="17">
        <v>452</v>
      </c>
      <c r="R454" s="6">
        <v>2.3914300000000002</v>
      </c>
      <c r="S454" s="6">
        <v>15.050599999999999</v>
      </c>
      <c r="T454" s="6">
        <v>2.3037000000000001</v>
      </c>
      <c r="U454" s="6">
        <v>328</v>
      </c>
      <c r="W454" s="17">
        <v>452</v>
      </c>
      <c r="X454" s="6">
        <v>4.5319200000000004</v>
      </c>
      <c r="Y454" s="6">
        <v>15.050599999999999</v>
      </c>
      <c r="Z454" s="6">
        <v>2.3037000000000001</v>
      </c>
      <c r="AA454" s="6">
        <v>328</v>
      </c>
      <c r="AN454" s="17">
        <v>451</v>
      </c>
      <c r="AO454" s="6">
        <v>1.07294</v>
      </c>
      <c r="AP454" s="6">
        <v>7.2599999999999997E-4</v>
      </c>
      <c r="AQ454" s="6">
        <v>0.5454</v>
      </c>
      <c r="AR454" s="6">
        <v>328</v>
      </c>
      <c r="AT454" s="17">
        <v>451</v>
      </c>
      <c r="AU454" s="6">
        <v>0.56616999999999995</v>
      </c>
      <c r="AV454" s="6">
        <v>7.2599999999999997E-4</v>
      </c>
      <c r="AW454" s="6">
        <v>0.5454</v>
      </c>
      <c r="AX454" s="6">
        <v>328</v>
      </c>
    </row>
    <row r="455" spans="1:50" x14ac:dyDescent="0.25">
      <c r="A455" s="31" t="s">
        <v>10</v>
      </c>
      <c r="B455" s="32">
        <v>3</v>
      </c>
      <c r="C455" s="32">
        <v>10</v>
      </c>
      <c r="D455" s="32">
        <v>12</v>
      </c>
      <c r="E455" s="32">
        <v>18</v>
      </c>
      <c r="F455" s="2">
        <v>57.6</v>
      </c>
      <c r="G455">
        <v>67.562821978021972</v>
      </c>
      <c r="Q455" s="17">
        <v>453</v>
      </c>
      <c r="R455" s="6">
        <v>2.3780999999999999</v>
      </c>
      <c r="S455" s="6">
        <v>10.2738</v>
      </c>
      <c r="T455" s="6">
        <v>2.2909000000000002</v>
      </c>
      <c r="U455" s="6">
        <v>328</v>
      </c>
      <c r="W455" s="17">
        <v>453</v>
      </c>
      <c r="X455" s="6">
        <v>4.5066499999999996</v>
      </c>
      <c r="Y455" s="6">
        <v>10.2738</v>
      </c>
      <c r="Z455" s="6">
        <v>2.2909000000000002</v>
      </c>
      <c r="AA455" s="6">
        <v>328</v>
      </c>
      <c r="AN455" s="17">
        <v>452</v>
      </c>
      <c r="AO455" s="6">
        <v>1.0773699999999999</v>
      </c>
      <c r="AP455" s="6">
        <v>2.5116999999999998</v>
      </c>
      <c r="AQ455" s="6">
        <v>0.54769999999999996</v>
      </c>
      <c r="AR455" s="6">
        <v>328</v>
      </c>
      <c r="AT455" s="17">
        <v>452</v>
      </c>
      <c r="AU455" s="6">
        <v>0.56850999999999996</v>
      </c>
      <c r="AV455" s="6">
        <v>2.5116999999999998</v>
      </c>
      <c r="AW455" s="6">
        <v>0.54769999999999996</v>
      </c>
      <c r="AX455" s="6">
        <v>328</v>
      </c>
    </row>
    <row r="456" spans="1:50" x14ac:dyDescent="0.25">
      <c r="A456" s="31" t="s">
        <v>11</v>
      </c>
      <c r="B456" s="32">
        <v>1</v>
      </c>
      <c r="C456" s="32">
        <v>8</v>
      </c>
      <c r="D456" s="32">
        <v>2</v>
      </c>
      <c r="E456" s="11">
        <v>18</v>
      </c>
      <c r="F456" s="2" t="s">
        <v>12</v>
      </c>
      <c r="G456">
        <v>17.356292115317814</v>
      </c>
      <c r="Q456" s="17">
        <v>454</v>
      </c>
      <c r="R456" s="6">
        <v>2.38897</v>
      </c>
      <c r="S456" s="6">
        <v>4.2953000000000001</v>
      </c>
      <c r="T456" s="6">
        <v>2.3012999999999999</v>
      </c>
      <c r="U456" s="6">
        <v>328</v>
      </c>
      <c r="W456" s="17">
        <v>454</v>
      </c>
      <c r="X456" s="6">
        <v>4.5272600000000001</v>
      </c>
      <c r="Y456" s="6">
        <v>4.2953000000000001</v>
      </c>
      <c r="Z456" s="6">
        <v>2.3012999999999999</v>
      </c>
      <c r="AA456" s="6">
        <v>328</v>
      </c>
      <c r="AN456" s="17">
        <v>453</v>
      </c>
      <c r="AO456" s="6">
        <v>1.0700400000000001</v>
      </c>
      <c r="AP456" s="6">
        <v>1.6400999999999999</v>
      </c>
      <c r="AQ456" s="6">
        <v>0.54390000000000005</v>
      </c>
      <c r="AR456" s="6">
        <v>328</v>
      </c>
      <c r="AT456" s="17">
        <v>453</v>
      </c>
      <c r="AU456" s="6">
        <v>0.56464000000000003</v>
      </c>
      <c r="AV456" s="6">
        <v>1.6400999999999999</v>
      </c>
      <c r="AW456" s="6">
        <v>0.54390000000000005</v>
      </c>
      <c r="AX456" s="6">
        <v>328</v>
      </c>
    </row>
    <row r="457" spans="1:50" x14ac:dyDescent="0.25">
      <c r="A457" s="31" t="s">
        <v>11</v>
      </c>
      <c r="B457" s="32">
        <v>2</v>
      </c>
      <c r="C457" s="32">
        <v>17</v>
      </c>
      <c r="D457" s="32">
        <v>4</v>
      </c>
      <c r="E457" s="11">
        <v>18</v>
      </c>
      <c r="F457" s="2">
        <v>58.2</v>
      </c>
      <c r="G457">
        <v>19.5376482830385</v>
      </c>
      <c r="Q457" s="17">
        <v>455</v>
      </c>
      <c r="R457" s="6">
        <v>2.3828100000000001</v>
      </c>
      <c r="S457" s="6">
        <v>6.2968999999999999</v>
      </c>
      <c r="T457" s="6">
        <v>2.2953999999999999</v>
      </c>
      <c r="U457" s="6">
        <v>328</v>
      </c>
      <c r="W457" s="17">
        <v>455</v>
      </c>
      <c r="X457" s="6">
        <v>4.5156000000000001</v>
      </c>
      <c r="Y457" s="6">
        <v>6.2968999999999999</v>
      </c>
      <c r="Z457" s="6">
        <v>2.2953999999999999</v>
      </c>
      <c r="AA457" s="6">
        <v>328</v>
      </c>
      <c r="AN457" s="17">
        <v>454</v>
      </c>
      <c r="AO457" s="6">
        <v>1.0767100000000001</v>
      </c>
      <c r="AP457" s="6">
        <v>1.1922999999999999</v>
      </c>
      <c r="AQ457" s="6">
        <v>0.54730000000000001</v>
      </c>
      <c r="AR457" s="6">
        <v>328</v>
      </c>
      <c r="AT457" s="17">
        <v>454</v>
      </c>
      <c r="AU457" s="6">
        <v>0.56816</v>
      </c>
      <c r="AV457" s="6">
        <v>1.1922999999999999</v>
      </c>
      <c r="AW457" s="6">
        <v>0.54730000000000001</v>
      </c>
      <c r="AX457" s="6">
        <v>328</v>
      </c>
    </row>
    <row r="458" spans="1:50" x14ac:dyDescent="0.25">
      <c r="A458" s="31" t="s">
        <v>11</v>
      </c>
      <c r="B458" s="32">
        <v>3</v>
      </c>
      <c r="C458" s="32">
        <v>7</v>
      </c>
      <c r="D458" s="32">
        <v>7</v>
      </c>
      <c r="E458" s="11">
        <v>18</v>
      </c>
      <c r="F458" s="2">
        <v>58.6</v>
      </c>
      <c r="G458">
        <v>30.385916805324456</v>
      </c>
      <c r="Q458" s="17">
        <v>456</v>
      </c>
      <c r="R458" s="6">
        <v>2.3881700000000001</v>
      </c>
      <c r="S458" s="6">
        <v>3.083E-2</v>
      </c>
      <c r="T458" s="6">
        <v>2.3006000000000002</v>
      </c>
      <c r="U458" s="6">
        <v>328</v>
      </c>
      <c r="W458" s="17">
        <v>456</v>
      </c>
      <c r="X458" s="6">
        <v>4.52576</v>
      </c>
      <c r="Y458" s="6">
        <v>3.083E-2</v>
      </c>
      <c r="Z458" s="6">
        <v>2.3006000000000002</v>
      </c>
      <c r="AA458" s="6">
        <v>328</v>
      </c>
      <c r="AN458" s="17">
        <v>455</v>
      </c>
      <c r="AO458" s="6">
        <v>1.0741400000000001</v>
      </c>
      <c r="AP458" s="6">
        <v>1.1900999999999999</v>
      </c>
      <c r="AQ458" s="6">
        <v>0.54600000000000004</v>
      </c>
      <c r="AR458" s="6">
        <v>328</v>
      </c>
      <c r="AT458" s="17">
        <v>455</v>
      </c>
      <c r="AU458" s="6">
        <v>0.56681000000000004</v>
      </c>
      <c r="AV458" s="6">
        <v>1.1900999999999999</v>
      </c>
      <c r="AW458" s="6">
        <v>0.54600000000000004</v>
      </c>
      <c r="AX458" s="6">
        <v>328</v>
      </c>
    </row>
    <row r="459" spans="1:50" x14ac:dyDescent="0.25">
      <c r="A459" t="s">
        <v>160</v>
      </c>
      <c r="B459" s="11">
        <v>1</v>
      </c>
      <c r="C459" s="36">
        <v>8</v>
      </c>
      <c r="D459" s="36">
        <v>1</v>
      </c>
      <c r="E459" s="32">
        <v>18</v>
      </c>
      <c r="F459" s="14">
        <v>58</v>
      </c>
      <c r="G459">
        <v>93.25538726333906</v>
      </c>
      <c r="Q459" s="17">
        <v>457</v>
      </c>
      <c r="R459" s="6">
        <v>2.38361</v>
      </c>
      <c r="S459" s="6">
        <v>1.4027000000000001</v>
      </c>
      <c r="T459" s="6">
        <v>2.2961999999999998</v>
      </c>
      <c r="U459" s="6">
        <v>328</v>
      </c>
      <c r="W459" s="17">
        <v>457</v>
      </c>
      <c r="X459" s="6">
        <v>4.5171099999999997</v>
      </c>
      <c r="Y459" s="6">
        <v>1.4027000000000001</v>
      </c>
      <c r="Z459" s="6">
        <v>2.2961999999999998</v>
      </c>
      <c r="AA459" s="6">
        <v>328</v>
      </c>
      <c r="AN459" s="17">
        <v>456</v>
      </c>
      <c r="AO459" s="6">
        <v>1.0705100000000001</v>
      </c>
      <c r="AP459" s="19">
        <v>-1.9634</v>
      </c>
      <c r="AQ459" s="6">
        <v>0.54420000000000002</v>
      </c>
      <c r="AR459" s="6">
        <v>328</v>
      </c>
      <c r="AT459" s="17">
        <v>456</v>
      </c>
      <c r="AU459" s="6">
        <v>0.56489</v>
      </c>
      <c r="AV459" s="19">
        <v>-1.9634</v>
      </c>
      <c r="AW459" s="6">
        <v>0.54420000000000002</v>
      </c>
      <c r="AX459" s="6">
        <v>328</v>
      </c>
    </row>
    <row r="460" spans="1:50" x14ac:dyDescent="0.25">
      <c r="A460" t="s">
        <v>160</v>
      </c>
      <c r="B460" s="11">
        <v>2</v>
      </c>
      <c r="C460" s="36">
        <v>10</v>
      </c>
      <c r="D460" s="36">
        <v>3</v>
      </c>
      <c r="E460" s="32">
        <v>18</v>
      </c>
      <c r="F460" s="14">
        <v>57.9</v>
      </c>
      <c r="G460">
        <v>84.888893081167751</v>
      </c>
      <c r="Q460" s="17">
        <v>458</v>
      </c>
      <c r="R460" s="6">
        <v>2.3773399999999998</v>
      </c>
      <c r="S460" s="6">
        <v>6.7655000000000003</v>
      </c>
      <c r="T460" s="6">
        <v>2.2900999999999998</v>
      </c>
      <c r="U460" s="6">
        <v>328</v>
      </c>
      <c r="W460" s="17">
        <v>458</v>
      </c>
      <c r="X460" s="6">
        <v>4.5052300000000001</v>
      </c>
      <c r="Y460" s="6">
        <v>6.7655000000000003</v>
      </c>
      <c r="Z460" s="6">
        <v>2.2900999999999998</v>
      </c>
      <c r="AA460" s="6">
        <v>328</v>
      </c>
      <c r="AN460" s="17">
        <v>457</v>
      </c>
      <c r="AO460" s="6">
        <v>1.0674699999999999</v>
      </c>
      <c r="AP460" s="19">
        <v>-0.2475</v>
      </c>
      <c r="AQ460" s="6">
        <v>0.54259999999999997</v>
      </c>
      <c r="AR460" s="6">
        <v>328</v>
      </c>
      <c r="AT460" s="17">
        <v>457</v>
      </c>
      <c r="AU460" s="6">
        <v>0.56328999999999996</v>
      </c>
      <c r="AV460" s="19">
        <v>-0.2475</v>
      </c>
      <c r="AW460" s="6">
        <v>0.54259999999999997</v>
      </c>
      <c r="AX460" s="6">
        <v>328</v>
      </c>
    </row>
    <row r="461" spans="1:50" x14ac:dyDescent="0.25">
      <c r="A461" t="s">
        <v>160</v>
      </c>
      <c r="B461" s="11">
        <v>3</v>
      </c>
      <c r="C461" s="36">
        <v>2</v>
      </c>
      <c r="D461" s="36">
        <v>5</v>
      </c>
      <c r="E461" s="32">
        <v>18</v>
      </c>
      <c r="F461" s="14">
        <v>58.1</v>
      </c>
      <c r="G461">
        <v>85.111656833349443</v>
      </c>
      <c r="Q461" s="17">
        <v>459</v>
      </c>
      <c r="R461" s="6">
        <v>2.3918300000000001</v>
      </c>
      <c r="S461" s="19">
        <v>-1.2262999999999999</v>
      </c>
      <c r="T461" s="6">
        <v>2.3041</v>
      </c>
      <c r="U461" s="6">
        <v>328</v>
      </c>
      <c r="W461" s="17">
        <v>459</v>
      </c>
      <c r="X461" s="6">
        <v>4.5326899999999997</v>
      </c>
      <c r="Y461" s="19">
        <v>-1.2262999999999999</v>
      </c>
      <c r="Z461" s="6">
        <v>2.3041</v>
      </c>
      <c r="AA461" s="6">
        <v>328</v>
      </c>
      <c r="AN461" s="17">
        <v>458</v>
      </c>
      <c r="AO461" s="6">
        <v>1.07121</v>
      </c>
      <c r="AP461" s="6">
        <v>0.14929999999999999</v>
      </c>
      <c r="AQ461" s="6">
        <v>0.54449999999999998</v>
      </c>
      <c r="AR461" s="6">
        <v>328</v>
      </c>
      <c r="AT461" s="17">
        <v>458</v>
      </c>
      <c r="AU461" s="6">
        <v>0.56525999999999998</v>
      </c>
      <c r="AV461" s="6">
        <v>0.14929999999999999</v>
      </c>
      <c r="AW461" s="6">
        <v>0.54449999999999998</v>
      </c>
      <c r="AX461" s="6">
        <v>328</v>
      </c>
    </row>
    <row r="462" spans="1:50" x14ac:dyDescent="0.25">
      <c r="A462" s="31" t="s">
        <v>116</v>
      </c>
      <c r="B462" s="32">
        <v>1</v>
      </c>
      <c r="C462" s="32">
        <v>4</v>
      </c>
      <c r="D462" s="32">
        <v>2</v>
      </c>
      <c r="E462" s="32">
        <v>20</v>
      </c>
      <c r="F462" s="12">
        <v>57.3</v>
      </c>
      <c r="G462">
        <v>69.06050485714286</v>
      </c>
      <c r="Q462" s="17">
        <v>460</v>
      </c>
      <c r="R462" s="6">
        <v>2.37778</v>
      </c>
      <c r="S462" s="6">
        <v>0.21779999999999999</v>
      </c>
      <c r="T462" s="6">
        <v>2.2906</v>
      </c>
      <c r="U462" s="6">
        <v>328</v>
      </c>
      <c r="W462" s="17">
        <v>460</v>
      </c>
      <c r="X462" s="6">
        <v>4.5060500000000001</v>
      </c>
      <c r="Y462" s="6">
        <v>0.21779999999999999</v>
      </c>
      <c r="Z462" s="6">
        <v>2.2906</v>
      </c>
      <c r="AA462" s="6">
        <v>328</v>
      </c>
      <c r="AN462" s="17">
        <v>459</v>
      </c>
      <c r="AO462" s="6">
        <v>1.07298</v>
      </c>
      <c r="AP462" s="19">
        <v>-1.2601</v>
      </c>
      <c r="AQ462" s="6">
        <v>0.5454</v>
      </c>
      <c r="AR462" s="6">
        <v>328</v>
      </c>
      <c r="AT462" s="17">
        <v>459</v>
      </c>
      <c r="AU462" s="6">
        <v>0.56618999999999997</v>
      </c>
      <c r="AV462" s="19">
        <v>-1.2601</v>
      </c>
      <c r="AW462" s="6">
        <v>0.5454</v>
      </c>
      <c r="AX462" s="6">
        <v>328</v>
      </c>
    </row>
    <row r="463" spans="1:50" x14ac:dyDescent="0.25">
      <c r="A463" s="31" t="s">
        <v>116</v>
      </c>
      <c r="B463" s="32">
        <v>2</v>
      </c>
      <c r="C463" s="32">
        <v>3</v>
      </c>
      <c r="D463" s="32">
        <v>5</v>
      </c>
      <c r="E463" s="32">
        <v>20</v>
      </c>
      <c r="F463" s="12">
        <v>56.9</v>
      </c>
      <c r="G463">
        <v>67.075907917383816</v>
      </c>
      <c r="Q463" s="17">
        <v>461</v>
      </c>
      <c r="R463" s="6">
        <v>2.3808400000000001</v>
      </c>
      <c r="S463" s="6">
        <v>2.5209999999999999</v>
      </c>
      <c r="T463" s="6">
        <v>2.2934999999999999</v>
      </c>
      <c r="U463" s="6">
        <v>328</v>
      </c>
      <c r="W463" s="17">
        <v>461</v>
      </c>
      <c r="X463" s="6">
        <v>4.51187</v>
      </c>
      <c r="Y463" s="6">
        <v>2.5209999999999999</v>
      </c>
      <c r="Z463" s="6">
        <v>2.2934999999999999</v>
      </c>
      <c r="AA463" s="6">
        <v>328</v>
      </c>
      <c r="AN463" s="17">
        <v>460</v>
      </c>
      <c r="AO463" s="6">
        <v>1.0656099999999999</v>
      </c>
      <c r="AP463" s="19">
        <v>-0.91439999999999999</v>
      </c>
      <c r="AQ463" s="6">
        <v>0.54169999999999996</v>
      </c>
      <c r="AR463" s="6">
        <v>328</v>
      </c>
      <c r="AT463" s="17">
        <v>460</v>
      </c>
      <c r="AU463" s="6">
        <v>0.56230999999999998</v>
      </c>
      <c r="AV463" s="19">
        <v>-0.91439999999999999</v>
      </c>
      <c r="AW463" s="6">
        <v>0.54169999999999996</v>
      </c>
      <c r="AX463" s="6">
        <v>328</v>
      </c>
    </row>
    <row r="464" spans="1:50" x14ac:dyDescent="0.25">
      <c r="A464" s="31" t="s">
        <v>116</v>
      </c>
      <c r="B464" s="32">
        <v>3</v>
      </c>
      <c r="C464" s="32">
        <v>1</v>
      </c>
      <c r="D464" s="32">
        <v>9</v>
      </c>
      <c r="E464" s="32">
        <v>20</v>
      </c>
      <c r="F464" s="12">
        <v>58.4</v>
      </c>
      <c r="G464">
        <v>74.933181620943998</v>
      </c>
      <c r="Q464" s="17">
        <v>462</v>
      </c>
      <c r="R464" s="6">
        <v>2.3892799999999998</v>
      </c>
      <c r="S464" s="6">
        <v>4.5477999999999996</v>
      </c>
      <c r="T464" s="6">
        <v>2.3016000000000001</v>
      </c>
      <c r="U464" s="6">
        <v>328</v>
      </c>
      <c r="W464" s="17">
        <v>462</v>
      </c>
      <c r="X464" s="6">
        <v>4.5278600000000004</v>
      </c>
      <c r="Y464" s="6">
        <v>4.5477999999999996</v>
      </c>
      <c r="Z464" s="6">
        <v>2.3016000000000001</v>
      </c>
      <c r="AA464" s="6">
        <v>328</v>
      </c>
      <c r="AN464" s="17">
        <v>461</v>
      </c>
      <c r="AO464" s="6">
        <v>1.0650299999999999</v>
      </c>
      <c r="AP464" s="19">
        <v>-1.9855</v>
      </c>
      <c r="AQ464" s="6">
        <v>0.54139999999999999</v>
      </c>
      <c r="AR464" s="6">
        <v>328</v>
      </c>
      <c r="AT464" s="17">
        <v>461</v>
      </c>
      <c r="AU464" s="6">
        <v>0.56200000000000006</v>
      </c>
      <c r="AV464" s="19">
        <v>-1.9855</v>
      </c>
      <c r="AW464" s="6">
        <v>0.54139999999999999</v>
      </c>
      <c r="AX464" s="6">
        <v>328</v>
      </c>
    </row>
    <row r="465" spans="1:50" x14ac:dyDescent="0.25">
      <c r="A465" s="34" t="s">
        <v>97</v>
      </c>
      <c r="B465" s="35">
        <v>1</v>
      </c>
      <c r="C465" s="35">
        <v>4</v>
      </c>
      <c r="D465" s="35">
        <v>1</v>
      </c>
      <c r="E465" s="35">
        <v>20</v>
      </c>
      <c r="F465" s="2">
        <v>60.5</v>
      </c>
      <c r="G465">
        <v>79.362642857142859</v>
      </c>
      <c r="Q465" s="17">
        <v>463</v>
      </c>
      <c r="R465" s="6">
        <v>2.3793299999999999</v>
      </c>
      <c r="S465" s="6">
        <v>0.5474</v>
      </c>
      <c r="T465" s="6">
        <v>2.2921</v>
      </c>
      <c r="U465" s="6">
        <v>328</v>
      </c>
      <c r="W465" s="17">
        <v>463</v>
      </c>
      <c r="X465" s="6">
        <v>4.5089899999999998</v>
      </c>
      <c r="Y465" s="6">
        <v>0.5474</v>
      </c>
      <c r="Z465" s="6">
        <v>2.2921</v>
      </c>
      <c r="AA465" s="6">
        <v>328</v>
      </c>
      <c r="AN465" s="17">
        <v>462</v>
      </c>
      <c r="AO465" s="6">
        <v>1.07046</v>
      </c>
      <c r="AP465" s="19">
        <v>-1.6737</v>
      </c>
      <c r="AQ465" s="6">
        <v>0.54410000000000003</v>
      </c>
      <c r="AR465" s="6">
        <v>328</v>
      </c>
      <c r="AT465" s="17">
        <v>462</v>
      </c>
      <c r="AU465" s="6">
        <v>0.56486999999999998</v>
      </c>
      <c r="AV465" s="19">
        <v>-1.6737</v>
      </c>
      <c r="AW465" s="6">
        <v>0.54410000000000003</v>
      </c>
      <c r="AX465" s="6">
        <v>328</v>
      </c>
    </row>
    <row r="466" spans="1:50" x14ac:dyDescent="0.25">
      <c r="A466" s="34" t="s">
        <v>97</v>
      </c>
      <c r="B466" s="35">
        <v>2</v>
      </c>
      <c r="C466" s="35">
        <v>2</v>
      </c>
      <c r="D466" s="35">
        <v>4</v>
      </c>
      <c r="E466" s="35">
        <v>20</v>
      </c>
      <c r="F466" s="2">
        <v>60.4</v>
      </c>
      <c r="G466">
        <v>75.344979865771805</v>
      </c>
      <c r="Q466" s="17">
        <v>464</v>
      </c>
      <c r="R466" s="6">
        <v>2.39114</v>
      </c>
      <c r="S466" s="6">
        <v>2.7669999999999999</v>
      </c>
      <c r="T466" s="6">
        <v>2.3033999999999999</v>
      </c>
      <c r="U466" s="6">
        <v>328</v>
      </c>
      <c r="W466" s="17">
        <v>464</v>
      </c>
      <c r="X466" s="6">
        <v>4.5313699999999999</v>
      </c>
      <c r="Y466" s="6">
        <v>2.7669999999999999</v>
      </c>
      <c r="Z466" s="6">
        <v>2.3033999999999999</v>
      </c>
      <c r="AA466" s="6">
        <v>328</v>
      </c>
      <c r="AN466" s="17">
        <v>463</v>
      </c>
      <c r="AO466" s="6">
        <v>1.0767100000000001</v>
      </c>
      <c r="AP466" s="19">
        <v>-0.61929999999999996</v>
      </c>
      <c r="AQ466" s="6">
        <v>0.54730000000000001</v>
      </c>
      <c r="AR466" s="6">
        <v>328</v>
      </c>
      <c r="AT466" s="17">
        <v>463</v>
      </c>
      <c r="AU466" s="6">
        <v>0.56816</v>
      </c>
      <c r="AV466" s="19">
        <v>-0.61929999999999996</v>
      </c>
      <c r="AW466" s="6">
        <v>0.54730000000000001</v>
      </c>
      <c r="AX466" s="6">
        <v>328</v>
      </c>
    </row>
    <row r="467" spans="1:50" x14ac:dyDescent="0.25">
      <c r="A467" s="34" t="s">
        <v>97</v>
      </c>
      <c r="B467" s="35">
        <v>3</v>
      </c>
      <c r="C467" s="35">
        <v>8</v>
      </c>
      <c r="D467" s="35">
        <v>6</v>
      </c>
      <c r="E467" s="35">
        <v>20</v>
      </c>
      <c r="F467" s="2" t="s">
        <v>12</v>
      </c>
      <c r="G467">
        <v>78.688289147434674</v>
      </c>
      <c r="Q467" s="17">
        <v>465</v>
      </c>
      <c r="R467" s="6">
        <v>2.39507</v>
      </c>
      <c r="S467" s="19">
        <v>-5.8657000000000004</v>
      </c>
      <c r="T467" s="6">
        <v>2.3071999999999999</v>
      </c>
      <c r="U467" s="6">
        <v>328</v>
      </c>
      <c r="W467" s="17">
        <v>465</v>
      </c>
      <c r="X467" s="6">
        <v>4.5388200000000003</v>
      </c>
      <c r="Y467" s="19">
        <v>-5.8657000000000004</v>
      </c>
      <c r="Z467" s="6">
        <v>2.3071999999999999</v>
      </c>
      <c r="AA467" s="6">
        <v>328</v>
      </c>
      <c r="AN467" s="17">
        <v>464</v>
      </c>
      <c r="AO467" s="6">
        <v>1.0730299999999999</v>
      </c>
      <c r="AP467" s="19">
        <v>-0.70979999999999999</v>
      </c>
      <c r="AQ467" s="6">
        <v>0.54549999999999998</v>
      </c>
      <c r="AR467" s="6">
        <v>328</v>
      </c>
      <c r="AT467" s="17">
        <v>464</v>
      </c>
      <c r="AU467" s="6">
        <v>0.56621999999999995</v>
      </c>
      <c r="AV467" s="19">
        <v>-0.70979999999999999</v>
      </c>
      <c r="AW467" s="6">
        <v>0.54549999999999998</v>
      </c>
      <c r="AX467" s="6">
        <v>328</v>
      </c>
    </row>
    <row r="468" spans="1:50" x14ac:dyDescent="0.25">
      <c r="A468" s="31" t="s">
        <v>132</v>
      </c>
      <c r="B468" s="32">
        <v>1</v>
      </c>
      <c r="C468" s="32">
        <v>13</v>
      </c>
      <c r="D468" s="32">
        <v>2</v>
      </c>
      <c r="E468" s="32">
        <v>20</v>
      </c>
      <c r="F468" s="2">
        <v>60.4</v>
      </c>
      <c r="G468">
        <v>67.245920640277703</v>
      </c>
      <c r="Q468" s="17">
        <v>466</v>
      </c>
      <c r="R468" s="6">
        <v>2.39052</v>
      </c>
      <c r="S468" s="6">
        <v>1.056</v>
      </c>
      <c r="T468" s="6">
        <v>2.3028</v>
      </c>
      <c r="U468" s="6">
        <v>328</v>
      </c>
      <c r="W468" s="17">
        <v>466</v>
      </c>
      <c r="X468" s="6">
        <v>4.5301999999999998</v>
      </c>
      <c r="Y468" s="6">
        <v>1.056</v>
      </c>
      <c r="Z468" s="6">
        <v>2.3028</v>
      </c>
      <c r="AA468" s="6">
        <v>328</v>
      </c>
      <c r="AN468" s="17">
        <v>465</v>
      </c>
      <c r="AO468" s="6">
        <v>1.0774600000000001</v>
      </c>
      <c r="AP468" s="19">
        <v>-1.0029999999999999</v>
      </c>
      <c r="AQ468" s="6">
        <v>0.54769999999999996</v>
      </c>
      <c r="AR468" s="6">
        <v>328</v>
      </c>
      <c r="AT468" s="17">
        <v>465</v>
      </c>
      <c r="AU468" s="6">
        <v>0.56855999999999995</v>
      </c>
      <c r="AV468" s="19">
        <v>-1.0029999999999999</v>
      </c>
      <c r="AW468" s="6">
        <v>0.54769999999999996</v>
      </c>
      <c r="AX468" s="6">
        <v>328</v>
      </c>
    </row>
    <row r="469" spans="1:50" x14ac:dyDescent="0.25">
      <c r="A469" s="31" t="s">
        <v>132</v>
      </c>
      <c r="B469" s="32">
        <v>2</v>
      </c>
      <c r="C469" s="32">
        <v>7</v>
      </c>
      <c r="D469" s="32">
        <v>2</v>
      </c>
      <c r="E469" s="32">
        <v>20</v>
      </c>
      <c r="F469" s="2">
        <v>60.2</v>
      </c>
      <c r="G469">
        <v>74.722876428330352</v>
      </c>
      <c r="Q469" s="17">
        <v>467</v>
      </c>
      <c r="R469" s="6">
        <v>2.3817599999999999</v>
      </c>
      <c r="S469" s="6">
        <v>3.7566000000000002</v>
      </c>
      <c r="T469" s="6">
        <v>2.2944</v>
      </c>
      <c r="U469" s="6">
        <v>328</v>
      </c>
      <c r="W469" s="17">
        <v>467</v>
      </c>
      <c r="X469" s="6">
        <v>4.5136099999999999</v>
      </c>
      <c r="Y469" s="6">
        <v>3.7566000000000002</v>
      </c>
      <c r="Z469" s="6">
        <v>2.2944</v>
      </c>
      <c r="AA469" s="6">
        <v>328</v>
      </c>
      <c r="AN469" s="17">
        <v>466</v>
      </c>
      <c r="AO469" s="6">
        <v>1.0667500000000001</v>
      </c>
      <c r="AP469" s="19">
        <v>-1.0296000000000001</v>
      </c>
      <c r="AQ469" s="6">
        <v>0.5423</v>
      </c>
      <c r="AR469" s="6">
        <v>328</v>
      </c>
      <c r="AT469" s="17">
        <v>466</v>
      </c>
      <c r="AU469" s="6">
        <v>0.56291000000000002</v>
      </c>
      <c r="AV469" s="19">
        <v>-1.0296000000000001</v>
      </c>
      <c r="AW469" s="6">
        <v>0.5423</v>
      </c>
      <c r="AX469" s="6">
        <v>328</v>
      </c>
    </row>
    <row r="470" spans="1:50" x14ac:dyDescent="0.25">
      <c r="A470" s="31" t="s">
        <v>132</v>
      </c>
      <c r="B470" s="32">
        <v>3</v>
      </c>
      <c r="C470" s="32">
        <v>3</v>
      </c>
      <c r="D470" s="32">
        <v>5</v>
      </c>
      <c r="E470" s="32">
        <v>20</v>
      </c>
      <c r="F470" s="2">
        <v>61.9</v>
      </c>
      <c r="G470">
        <v>73.600259393477018</v>
      </c>
      <c r="Q470" s="17">
        <v>468</v>
      </c>
      <c r="R470" s="6">
        <v>2.38381</v>
      </c>
      <c r="S470" s="6">
        <v>2.7614999999999998</v>
      </c>
      <c r="T470" s="6">
        <v>2.2964000000000002</v>
      </c>
      <c r="U470" s="6">
        <v>328</v>
      </c>
      <c r="W470" s="17">
        <v>468</v>
      </c>
      <c r="X470" s="6">
        <v>4.5174899999999996</v>
      </c>
      <c r="Y470" s="6">
        <v>2.7614999999999998</v>
      </c>
      <c r="Z470" s="6">
        <v>2.2964000000000002</v>
      </c>
      <c r="AA470" s="6">
        <v>328</v>
      </c>
      <c r="AN470" s="17">
        <v>467</v>
      </c>
      <c r="AO470" s="6">
        <v>1.0655300000000001</v>
      </c>
      <c r="AP470" s="6">
        <v>0.34989999999999999</v>
      </c>
      <c r="AQ470" s="6">
        <v>0.54159999999999997</v>
      </c>
      <c r="AR470" s="6">
        <v>328</v>
      </c>
      <c r="AT470" s="17">
        <v>467</v>
      </c>
      <c r="AU470" s="6">
        <v>0.56225999999999998</v>
      </c>
      <c r="AV470" s="6">
        <v>0.34989999999999999</v>
      </c>
      <c r="AW470" s="6">
        <v>0.54159999999999997</v>
      </c>
      <c r="AX470" s="6">
        <v>328</v>
      </c>
    </row>
    <row r="471" spans="1:50" x14ac:dyDescent="0.25">
      <c r="A471" s="31" t="s">
        <v>13</v>
      </c>
      <c r="B471" s="32">
        <v>1</v>
      </c>
      <c r="C471" s="36">
        <v>1</v>
      </c>
      <c r="D471" s="36">
        <v>2</v>
      </c>
      <c r="E471" s="32">
        <v>20</v>
      </c>
      <c r="F471" s="12">
        <v>56.9</v>
      </c>
      <c r="G471">
        <v>64.377224999999996</v>
      </c>
      <c r="Q471" s="17">
        <v>469</v>
      </c>
      <c r="R471" s="6">
        <v>2.3749899999999999</v>
      </c>
      <c r="S471" s="6">
        <v>5.8304</v>
      </c>
      <c r="T471" s="6">
        <v>2.2879</v>
      </c>
      <c r="U471" s="6">
        <v>328</v>
      </c>
      <c r="W471" s="17">
        <v>469</v>
      </c>
      <c r="X471" s="6">
        <v>4.5007700000000002</v>
      </c>
      <c r="Y471" s="6">
        <v>5.8304</v>
      </c>
      <c r="Z471" s="6">
        <v>2.2879</v>
      </c>
      <c r="AA471" s="6">
        <v>328</v>
      </c>
      <c r="AN471" s="17">
        <v>468</v>
      </c>
      <c r="AO471" s="6">
        <v>1.06711</v>
      </c>
      <c r="AP471" s="19">
        <v>-1.1257999999999999</v>
      </c>
      <c r="AQ471" s="6">
        <v>0.54239999999999999</v>
      </c>
      <c r="AR471" s="6">
        <v>328</v>
      </c>
      <c r="AT471" s="17">
        <v>468</v>
      </c>
      <c r="AU471" s="6">
        <v>0.56310000000000004</v>
      </c>
      <c r="AV471" s="19">
        <v>-1.1257999999999999</v>
      </c>
      <c r="AW471" s="6">
        <v>0.54239999999999999</v>
      </c>
      <c r="AX471" s="6">
        <v>328</v>
      </c>
    </row>
    <row r="472" spans="1:50" x14ac:dyDescent="0.25">
      <c r="A472" s="31" t="s">
        <v>13</v>
      </c>
      <c r="B472" s="32">
        <v>2</v>
      </c>
      <c r="C472" s="36">
        <v>16</v>
      </c>
      <c r="D472" s="36">
        <v>3</v>
      </c>
      <c r="E472" s="32">
        <v>20</v>
      </c>
      <c r="F472" s="12">
        <v>57.1</v>
      </c>
      <c r="G472">
        <v>79.025759999999991</v>
      </c>
      <c r="Q472" s="17">
        <v>470</v>
      </c>
      <c r="R472" s="6">
        <v>2.3706499999999999</v>
      </c>
      <c r="S472" s="6">
        <v>5.9482999999999997</v>
      </c>
      <c r="T472" s="6">
        <v>2.2837000000000001</v>
      </c>
      <c r="U472" s="6">
        <v>328</v>
      </c>
      <c r="W472" s="17">
        <v>470</v>
      </c>
      <c r="X472" s="6">
        <v>4.4925499999999996</v>
      </c>
      <c r="Y472" s="6">
        <v>5.9482999999999997</v>
      </c>
      <c r="Z472" s="6">
        <v>2.2837000000000001</v>
      </c>
      <c r="AA472" s="6">
        <v>328</v>
      </c>
      <c r="AN472" s="17">
        <v>469</v>
      </c>
      <c r="AO472" s="6">
        <v>1.06105</v>
      </c>
      <c r="AP472" s="19">
        <v>-1.119</v>
      </c>
      <c r="AQ472" s="6">
        <v>0.53939999999999999</v>
      </c>
      <c r="AR472" s="6">
        <v>328</v>
      </c>
      <c r="AT472" s="17">
        <v>469</v>
      </c>
      <c r="AU472" s="6">
        <v>0.55989999999999995</v>
      </c>
      <c r="AV472" s="19">
        <v>-1.119</v>
      </c>
      <c r="AW472" s="6">
        <v>0.53939999999999999</v>
      </c>
      <c r="AX472" s="6">
        <v>328</v>
      </c>
    </row>
    <row r="473" spans="1:50" x14ac:dyDescent="0.25">
      <c r="A473" s="31" t="s">
        <v>13</v>
      </c>
      <c r="B473" s="32">
        <v>3</v>
      </c>
      <c r="C473" s="36">
        <v>21</v>
      </c>
      <c r="D473" s="36">
        <v>6</v>
      </c>
      <c r="E473" s="32">
        <v>20</v>
      </c>
      <c r="F473" s="12">
        <v>56.9</v>
      </c>
      <c r="G473">
        <v>83.401064999999988</v>
      </c>
      <c r="Q473" s="17">
        <v>471</v>
      </c>
      <c r="R473" s="6">
        <v>2.3881000000000001</v>
      </c>
      <c r="S473" s="19">
        <v>-2.6755</v>
      </c>
      <c r="T473" s="6">
        <v>2.3005</v>
      </c>
      <c r="U473" s="6">
        <v>328</v>
      </c>
      <c r="W473" s="17">
        <v>471</v>
      </c>
      <c r="X473" s="6">
        <v>4.52562</v>
      </c>
      <c r="Y473" s="19">
        <v>-2.6755</v>
      </c>
      <c r="Z473" s="6">
        <v>2.3005</v>
      </c>
      <c r="AA473" s="6">
        <v>328</v>
      </c>
      <c r="AN473" s="17">
        <v>470</v>
      </c>
      <c r="AO473" s="6">
        <v>1.0587800000000001</v>
      </c>
      <c r="AP473" s="19">
        <v>-0.5524</v>
      </c>
      <c r="AQ473" s="6">
        <v>0.53820000000000001</v>
      </c>
      <c r="AR473" s="6">
        <v>328</v>
      </c>
      <c r="AT473" s="17">
        <v>470</v>
      </c>
      <c r="AU473" s="6">
        <v>0.55869999999999997</v>
      </c>
      <c r="AV473" s="19">
        <v>-0.5524</v>
      </c>
      <c r="AW473" s="6">
        <v>0.53820000000000001</v>
      </c>
      <c r="AX473" s="6">
        <v>328</v>
      </c>
    </row>
    <row r="474" spans="1:50" x14ac:dyDescent="0.25">
      <c r="A474" t="s">
        <v>7</v>
      </c>
      <c r="B474" s="11">
        <v>1</v>
      </c>
      <c r="C474" s="11">
        <v>3</v>
      </c>
      <c r="D474" s="11">
        <v>3</v>
      </c>
      <c r="E474" s="11">
        <v>20</v>
      </c>
      <c r="F474" s="12">
        <v>56.1</v>
      </c>
      <c r="G474">
        <v>56.771202882746174</v>
      </c>
      <c r="Q474" s="17">
        <v>472</v>
      </c>
      <c r="R474" s="6">
        <v>2.3761299999999999</v>
      </c>
      <c r="S474" s="6">
        <v>0.99019999999999997</v>
      </c>
      <c r="T474" s="6">
        <v>2.2890000000000001</v>
      </c>
      <c r="U474" s="6">
        <v>328</v>
      </c>
      <c r="W474" s="17">
        <v>472</v>
      </c>
      <c r="X474" s="6">
        <v>4.5029199999999996</v>
      </c>
      <c r="Y474" s="6">
        <v>0.99019999999999997</v>
      </c>
      <c r="Z474" s="6">
        <v>2.2890000000000001</v>
      </c>
      <c r="AA474" s="6">
        <v>328</v>
      </c>
      <c r="AN474" s="17">
        <v>471</v>
      </c>
      <c r="AO474" s="6">
        <v>1.0687599999999999</v>
      </c>
      <c r="AP474" s="19">
        <v>-2.9419</v>
      </c>
      <c r="AQ474" s="6">
        <v>0.54330000000000001</v>
      </c>
      <c r="AR474" s="6">
        <v>328</v>
      </c>
      <c r="AT474" s="17">
        <v>471</v>
      </c>
      <c r="AU474" s="6">
        <v>0.56396999999999997</v>
      </c>
      <c r="AV474" s="19">
        <v>-2.9419</v>
      </c>
      <c r="AW474" s="6">
        <v>0.54330000000000001</v>
      </c>
      <c r="AX474" s="6">
        <v>328</v>
      </c>
    </row>
    <row r="475" spans="1:50" x14ac:dyDescent="0.25">
      <c r="A475" t="s">
        <v>7</v>
      </c>
      <c r="B475" s="11">
        <v>2</v>
      </c>
      <c r="C475" s="11">
        <v>12</v>
      </c>
      <c r="D475" s="11">
        <v>5</v>
      </c>
      <c r="E475" s="11">
        <v>20</v>
      </c>
      <c r="F475" s="12">
        <v>53.5</v>
      </c>
      <c r="G475">
        <v>45.823429921411702</v>
      </c>
      <c r="Q475" s="17">
        <v>473</v>
      </c>
      <c r="R475" s="6">
        <v>2.39195</v>
      </c>
      <c r="S475" s="6">
        <v>2.6863999999999999</v>
      </c>
      <c r="T475" s="6">
        <v>2.3041999999999998</v>
      </c>
      <c r="U475" s="6">
        <v>328</v>
      </c>
      <c r="W475" s="17">
        <v>473</v>
      </c>
      <c r="X475" s="6">
        <v>4.5329100000000002</v>
      </c>
      <c r="Y475" s="6">
        <v>2.6863999999999999</v>
      </c>
      <c r="Z475" s="6">
        <v>2.3041999999999998</v>
      </c>
      <c r="AA475" s="6">
        <v>328</v>
      </c>
      <c r="AN475" s="17">
        <v>472</v>
      </c>
      <c r="AO475" s="6">
        <v>1.0631299999999999</v>
      </c>
      <c r="AP475" s="19">
        <v>-0.87080000000000002</v>
      </c>
      <c r="AQ475" s="6">
        <v>0.54039999999999999</v>
      </c>
      <c r="AR475" s="6">
        <v>328</v>
      </c>
      <c r="AT475" s="17">
        <v>472</v>
      </c>
      <c r="AU475" s="6">
        <v>0.56100000000000005</v>
      </c>
      <c r="AV475" s="19">
        <v>-0.87080000000000002</v>
      </c>
      <c r="AW475" s="6">
        <v>0.54039999999999999</v>
      </c>
      <c r="AX475" s="6">
        <v>328</v>
      </c>
    </row>
    <row r="476" spans="1:50" x14ac:dyDescent="0.25">
      <c r="A476" t="s">
        <v>7</v>
      </c>
      <c r="B476" s="11">
        <v>3</v>
      </c>
      <c r="C476" s="11">
        <v>9</v>
      </c>
      <c r="D476" s="11">
        <v>10</v>
      </c>
      <c r="E476" s="11">
        <v>20</v>
      </c>
      <c r="F476" s="12">
        <v>52.5</v>
      </c>
      <c r="G476">
        <v>45.18945543839375</v>
      </c>
      <c r="Q476" s="17">
        <v>474</v>
      </c>
      <c r="R476" s="6">
        <v>2.3814799999999998</v>
      </c>
      <c r="S476" s="6">
        <v>1.2925</v>
      </c>
      <c r="T476" s="6">
        <v>2.2940999999999998</v>
      </c>
      <c r="U476" s="6">
        <v>328</v>
      </c>
      <c r="W476" s="17">
        <v>474</v>
      </c>
      <c r="X476" s="6">
        <v>4.5130699999999999</v>
      </c>
      <c r="Y476" s="6">
        <v>1.2925</v>
      </c>
      <c r="Z476" s="6">
        <v>2.2940999999999998</v>
      </c>
      <c r="AA476" s="6">
        <v>328</v>
      </c>
      <c r="AN476" s="17">
        <v>473</v>
      </c>
      <c r="AO476" s="6">
        <v>1.0741400000000001</v>
      </c>
      <c r="AP476" s="19">
        <v>-0.65739999999999998</v>
      </c>
      <c r="AQ476" s="6">
        <v>0.54600000000000004</v>
      </c>
      <c r="AR476" s="6">
        <v>328</v>
      </c>
      <c r="AT476" s="17">
        <v>473</v>
      </c>
      <c r="AU476" s="6">
        <v>0.56681000000000004</v>
      </c>
      <c r="AV476" s="19">
        <v>-0.65739999999999998</v>
      </c>
      <c r="AW476" s="6">
        <v>0.54600000000000004</v>
      </c>
      <c r="AX476" s="6">
        <v>328</v>
      </c>
    </row>
    <row r="477" spans="1:50" x14ac:dyDescent="0.25">
      <c r="A477" s="31" t="s">
        <v>156</v>
      </c>
      <c r="B477" s="32">
        <v>1</v>
      </c>
      <c r="C477" s="32">
        <v>9</v>
      </c>
      <c r="D477" s="32">
        <v>2</v>
      </c>
      <c r="E477" s="32">
        <v>20</v>
      </c>
      <c r="F477" s="2">
        <v>59</v>
      </c>
      <c r="G477">
        <v>57.732904729664376</v>
      </c>
      <c r="Q477" s="17">
        <v>475</v>
      </c>
      <c r="R477" s="6">
        <v>2.3766600000000002</v>
      </c>
      <c r="S477" s="6">
        <v>2.3592</v>
      </c>
      <c r="T477" s="6">
        <v>2.2894999999999999</v>
      </c>
      <c r="U477" s="6">
        <v>328</v>
      </c>
      <c r="W477" s="17">
        <v>475</v>
      </c>
      <c r="X477" s="6">
        <v>4.5039300000000004</v>
      </c>
      <c r="Y477" s="6">
        <v>2.3592</v>
      </c>
      <c r="Z477" s="6">
        <v>2.2894999999999999</v>
      </c>
      <c r="AA477" s="6">
        <v>328</v>
      </c>
      <c r="AN477" s="17">
        <v>474</v>
      </c>
      <c r="AO477" s="6">
        <v>1.0669</v>
      </c>
      <c r="AP477" s="19">
        <v>-0.9466</v>
      </c>
      <c r="AQ477" s="6">
        <v>0.5423</v>
      </c>
      <c r="AR477" s="6">
        <v>328</v>
      </c>
      <c r="AT477" s="17">
        <v>474</v>
      </c>
      <c r="AU477" s="6">
        <v>0.56298999999999999</v>
      </c>
      <c r="AV477" s="19">
        <v>-0.9466</v>
      </c>
      <c r="AW477" s="6">
        <v>0.5423</v>
      </c>
      <c r="AX477" s="6">
        <v>328</v>
      </c>
    </row>
    <row r="478" spans="1:50" x14ac:dyDescent="0.25">
      <c r="A478" s="31" t="s">
        <v>156</v>
      </c>
      <c r="B478" s="32">
        <v>2</v>
      </c>
      <c r="C478" s="32">
        <v>19</v>
      </c>
      <c r="D478" s="32">
        <v>3</v>
      </c>
      <c r="E478" s="32">
        <v>20</v>
      </c>
      <c r="F478" s="2">
        <v>57.3</v>
      </c>
      <c r="G478">
        <v>39.00120775276023</v>
      </c>
      <c r="Q478" s="17">
        <v>476</v>
      </c>
      <c r="R478" s="6">
        <v>2.3793099999999998</v>
      </c>
      <c r="S478" s="6">
        <v>0.79059999999999997</v>
      </c>
      <c r="T478" s="6">
        <v>2.2919999999999998</v>
      </c>
      <c r="U478" s="6">
        <v>328</v>
      </c>
      <c r="W478" s="17">
        <v>476</v>
      </c>
      <c r="X478" s="6">
        <v>4.5089600000000001</v>
      </c>
      <c r="Y478" s="6">
        <v>0.79059999999999997</v>
      </c>
      <c r="Z478" s="6">
        <v>2.2919999999999998</v>
      </c>
      <c r="AA478" s="6">
        <v>328</v>
      </c>
      <c r="AN478" s="17">
        <v>475</v>
      </c>
      <c r="AO478" s="6">
        <v>1.0627500000000001</v>
      </c>
      <c r="AP478" s="19">
        <v>-2.0270999999999999</v>
      </c>
      <c r="AQ478" s="6">
        <v>0.54020000000000001</v>
      </c>
      <c r="AR478" s="6">
        <v>328</v>
      </c>
      <c r="AT478" s="17">
        <v>475</v>
      </c>
      <c r="AU478" s="6">
        <v>0.56079999999999997</v>
      </c>
      <c r="AV478" s="19">
        <v>-2.0270999999999999</v>
      </c>
      <c r="AW478" s="6">
        <v>0.54020000000000001</v>
      </c>
      <c r="AX478" s="6">
        <v>328</v>
      </c>
    </row>
    <row r="479" spans="1:50" x14ac:dyDescent="0.25">
      <c r="A479" s="31" t="s">
        <v>156</v>
      </c>
      <c r="B479" s="32">
        <v>3</v>
      </c>
      <c r="C479" s="32">
        <v>1</v>
      </c>
      <c r="D479" s="32">
        <v>6</v>
      </c>
      <c r="E479" s="32">
        <v>20</v>
      </c>
      <c r="F479" s="2">
        <v>56.1</v>
      </c>
      <c r="G479">
        <v>40.584002019522039</v>
      </c>
      <c r="Q479" s="17">
        <v>477</v>
      </c>
      <c r="R479" s="6">
        <v>2.3781099999999999</v>
      </c>
      <c r="S479" s="6">
        <v>1.2937000000000001</v>
      </c>
      <c r="T479" s="6">
        <v>2.2909000000000002</v>
      </c>
      <c r="U479" s="6">
        <v>328</v>
      </c>
      <c r="W479" s="17">
        <v>477</v>
      </c>
      <c r="X479" s="6">
        <v>4.5066899999999999</v>
      </c>
      <c r="Y479" s="6">
        <v>1.2937000000000001</v>
      </c>
      <c r="Z479" s="6">
        <v>2.2909000000000002</v>
      </c>
      <c r="AA479" s="6">
        <v>328</v>
      </c>
      <c r="AN479" s="17">
        <v>476</v>
      </c>
      <c r="AO479" s="6">
        <v>1.0653999999999999</v>
      </c>
      <c r="AP479" s="19">
        <v>-1.6876</v>
      </c>
      <c r="AQ479" s="6">
        <v>0.54159999999999997</v>
      </c>
      <c r="AR479" s="6">
        <v>328</v>
      </c>
      <c r="AT479" s="17">
        <v>476</v>
      </c>
      <c r="AU479" s="6">
        <v>0.56220000000000003</v>
      </c>
      <c r="AV479" s="19">
        <v>-1.6876</v>
      </c>
      <c r="AW479" s="6">
        <v>0.54159999999999997</v>
      </c>
      <c r="AX479" s="6">
        <v>328</v>
      </c>
    </row>
    <row r="480" spans="1:50" x14ac:dyDescent="0.25">
      <c r="A480" s="31" t="s">
        <v>10</v>
      </c>
      <c r="B480" s="32">
        <v>1</v>
      </c>
      <c r="C480" s="32">
        <v>11</v>
      </c>
      <c r="D480" s="32">
        <v>1</v>
      </c>
      <c r="E480" s="32">
        <v>20</v>
      </c>
      <c r="F480" s="2">
        <v>58.2</v>
      </c>
      <c r="G480">
        <v>61.188153383458641</v>
      </c>
      <c r="Q480" s="17">
        <v>478</v>
      </c>
      <c r="R480" s="6">
        <v>2.39473</v>
      </c>
      <c r="S480" s="6">
        <v>8.5907999999999998</v>
      </c>
      <c r="T480" s="6">
        <v>2.3069000000000002</v>
      </c>
      <c r="U480" s="6">
        <v>328</v>
      </c>
      <c r="W480" s="17">
        <v>478</v>
      </c>
      <c r="X480" s="6">
        <v>4.5381799999999997</v>
      </c>
      <c r="Y480" s="6">
        <v>8.5907999999999998</v>
      </c>
      <c r="Z480" s="6">
        <v>2.3069000000000002</v>
      </c>
      <c r="AA480" s="6">
        <v>328</v>
      </c>
      <c r="AN480" s="17">
        <v>477</v>
      </c>
      <c r="AO480" s="6">
        <v>1.0647500000000001</v>
      </c>
      <c r="AP480" s="19">
        <v>-2.2143999999999999</v>
      </c>
      <c r="AQ480" s="6">
        <v>0.54120000000000001</v>
      </c>
      <c r="AR480" s="6">
        <v>328</v>
      </c>
      <c r="AT480" s="17">
        <v>477</v>
      </c>
      <c r="AU480" s="6">
        <v>0.56184999999999996</v>
      </c>
      <c r="AV480" s="19">
        <v>-2.2143999999999999</v>
      </c>
      <c r="AW480" s="6">
        <v>0.54120000000000001</v>
      </c>
      <c r="AX480" s="6">
        <v>328</v>
      </c>
    </row>
    <row r="481" spans="1:50" x14ac:dyDescent="0.25">
      <c r="A481" s="31" t="s">
        <v>10</v>
      </c>
      <c r="B481" s="32">
        <v>2</v>
      </c>
      <c r="C481" s="32">
        <v>4</v>
      </c>
      <c r="D481" s="32">
        <v>5</v>
      </c>
      <c r="E481" s="32">
        <v>20</v>
      </c>
      <c r="F481" s="2">
        <v>59</v>
      </c>
      <c r="G481">
        <v>55.288790046082951</v>
      </c>
      <c r="Q481" s="17">
        <v>479</v>
      </c>
      <c r="R481" s="6">
        <v>2.38259</v>
      </c>
      <c r="S481" s="6">
        <v>3.0979999999999999</v>
      </c>
      <c r="T481" s="6">
        <v>2.2951999999999999</v>
      </c>
      <c r="U481" s="6">
        <v>328</v>
      </c>
      <c r="W481" s="17">
        <v>479</v>
      </c>
      <c r="X481" s="6">
        <v>4.51518</v>
      </c>
      <c r="Y481" s="6">
        <v>3.0979999999999999</v>
      </c>
      <c r="Z481" s="6">
        <v>2.2951999999999999</v>
      </c>
      <c r="AA481" s="6">
        <v>328</v>
      </c>
      <c r="AN481" s="17">
        <v>478</v>
      </c>
      <c r="AO481" s="6">
        <v>1.0759700000000001</v>
      </c>
      <c r="AP481" s="19">
        <v>-0.42470000000000002</v>
      </c>
      <c r="AQ481" s="6">
        <v>0.54690000000000005</v>
      </c>
      <c r="AR481" s="6">
        <v>328</v>
      </c>
      <c r="AT481" s="17">
        <v>478</v>
      </c>
      <c r="AU481" s="6">
        <v>0.56777</v>
      </c>
      <c r="AV481" s="19">
        <v>-0.42470000000000002</v>
      </c>
      <c r="AW481" s="6">
        <v>0.54690000000000005</v>
      </c>
      <c r="AX481" s="6">
        <v>328</v>
      </c>
    </row>
    <row r="482" spans="1:50" x14ac:dyDescent="0.25">
      <c r="A482" s="31" t="s">
        <v>10</v>
      </c>
      <c r="B482" s="32">
        <v>3</v>
      </c>
      <c r="C482" s="32">
        <v>9</v>
      </c>
      <c r="D482" s="32">
        <v>11</v>
      </c>
      <c r="E482" s="32">
        <v>20</v>
      </c>
      <c r="F482" s="2">
        <v>57</v>
      </c>
      <c r="G482">
        <v>58.731340779398131</v>
      </c>
      <c r="Q482" s="17">
        <v>480</v>
      </c>
      <c r="R482" s="6">
        <v>2.3857499999999998</v>
      </c>
      <c r="S482" s="6">
        <v>12.8165</v>
      </c>
      <c r="T482" s="6">
        <v>2.2982</v>
      </c>
      <c r="U482" s="6">
        <v>328</v>
      </c>
      <c r="W482" s="17">
        <v>480</v>
      </c>
      <c r="X482" s="6">
        <v>4.5211699999999997</v>
      </c>
      <c r="Y482" s="6">
        <v>12.8165</v>
      </c>
      <c r="Z482" s="6">
        <v>2.2982</v>
      </c>
      <c r="AA482" s="6">
        <v>328</v>
      </c>
      <c r="AN482" s="17">
        <v>479</v>
      </c>
      <c r="AO482" s="6">
        <v>1.06715</v>
      </c>
      <c r="AP482" s="19">
        <v>-2.1432000000000002</v>
      </c>
      <c r="AQ482" s="6">
        <v>0.54249999999999998</v>
      </c>
      <c r="AR482" s="6">
        <v>328</v>
      </c>
      <c r="AT482" s="17">
        <v>479</v>
      </c>
      <c r="AU482" s="6">
        <v>0.56311999999999995</v>
      </c>
      <c r="AV482" s="19">
        <v>-2.1432000000000002</v>
      </c>
      <c r="AW482" s="6">
        <v>0.54249999999999998</v>
      </c>
      <c r="AX482" s="6">
        <v>328</v>
      </c>
    </row>
    <row r="483" spans="1:50" x14ac:dyDescent="0.25">
      <c r="A483" s="31" t="s">
        <v>11</v>
      </c>
      <c r="B483" s="32">
        <v>1</v>
      </c>
      <c r="C483" s="32">
        <v>13</v>
      </c>
      <c r="D483" s="32">
        <v>3</v>
      </c>
      <c r="E483" s="11">
        <v>20</v>
      </c>
      <c r="F483" s="2">
        <v>60.9</v>
      </c>
      <c r="G483">
        <v>24.14737492866654</v>
      </c>
      <c r="Q483" s="17">
        <v>481</v>
      </c>
      <c r="R483" s="6">
        <v>2.3766099999999999</v>
      </c>
      <c r="S483" s="6">
        <v>8.0397999999999996</v>
      </c>
      <c r="T483" s="6">
        <v>2.2894000000000001</v>
      </c>
      <c r="U483" s="6">
        <v>328</v>
      </c>
      <c r="W483" s="17">
        <v>481</v>
      </c>
      <c r="X483" s="6">
        <v>4.5038299999999998</v>
      </c>
      <c r="Y483" s="6">
        <v>8.0397999999999996</v>
      </c>
      <c r="Z483" s="6">
        <v>2.2894000000000001</v>
      </c>
      <c r="AA483" s="6">
        <v>328</v>
      </c>
      <c r="AN483" s="17">
        <v>480</v>
      </c>
      <c r="AO483" s="6">
        <v>1.0709</v>
      </c>
      <c r="AP483" s="6">
        <v>0.36780000000000002</v>
      </c>
      <c r="AQ483" s="6">
        <v>0.5444</v>
      </c>
      <c r="AR483" s="6">
        <v>328</v>
      </c>
      <c r="AT483" s="17">
        <v>480</v>
      </c>
      <c r="AU483" s="6">
        <v>0.56510000000000005</v>
      </c>
      <c r="AV483" s="6">
        <v>0.36780000000000002</v>
      </c>
      <c r="AW483" s="6">
        <v>0.5444</v>
      </c>
      <c r="AX483" s="6">
        <v>328</v>
      </c>
    </row>
    <row r="484" spans="1:50" x14ac:dyDescent="0.25">
      <c r="A484" s="31" t="s">
        <v>11</v>
      </c>
      <c r="B484" s="32">
        <v>2</v>
      </c>
      <c r="C484" s="32">
        <v>5</v>
      </c>
      <c r="D484" s="32">
        <v>6</v>
      </c>
      <c r="E484" s="11">
        <v>20</v>
      </c>
      <c r="F484" s="2">
        <v>60.4</v>
      </c>
      <c r="G484">
        <v>26.747245036979368</v>
      </c>
      <c r="Q484" s="17">
        <v>482</v>
      </c>
      <c r="R484" s="6">
        <v>2.3882699999999999</v>
      </c>
      <c r="S484" s="6">
        <v>2.0611999999999999</v>
      </c>
      <c r="T484" s="6">
        <v>2.3007</v>
      </c>
      <c r="U484" s="6">
        <v>328</v>
      </c>
      <c r="W484" s="17">
        <v>482</v>
      </c>
      <c r="X484" s="6">
        <v>4.5259400000000003</v>
      </c>
      <c r="Y484" s="6">
        <v>2.0611999999999999</v>
      </c>
      <c r="Z484" s="6">
        <v>2.3007</v>
      </c>
      <c r="AA484" s="6">
        <v>328</v>
      </c>
      <c r="AN484" s="17">
        <v>481</v>
      </c>
      <c r="AO484" s="6">
        <v>1.0660700000000001</v>
      </c>
      <c r="AP484" s="19">
        <v>-0.50380000000000003</v>
      </c>
      <c r="AQ484" s="6">
        <v>0.54190000000000005</v>
      </c>
      <c r="AR484" s="6">
        <v>328</v>
      </c>
      <c r="AT484" s="17">
        <v>481</v>
      </c>
      <c r="AU484" s="6">
        <v>0.56254999999999999</v>
      </c>
      <c r="AV484" s="19">
        <v>-0.50380000000000003</v>
      </c>
      <c r="AW484" s="6">
        <v>0.54190000000000005</v>
      </c>
      <c r="AX484" s="6">
        <v>328</v>
      </c>
    </row>
    <row r="485" spans="1:50" x14ac:dyDescent="0.25">
      <c r="A485" s="31" t="s">
        <v>11</v>
      </c>
      <c r="B485" s="32">
        <v>3</v>
      </c>
      <c r="C485" s="32">
        <v>2</v>
      </c>
      <c r="D485" s="32">
        <v>9</v>
      </c>
      <c r="E485" s="11">
        <v>20</v>
      </c>
      <c r="F485" s="2">
        <v>61.8</v>
      </c>
      <c r="G485">
        <v>40.822557886263539</v>
      </c>
      <c r="Q485" s="17">
        <v>483</v>
      </c>
      <c r="R485" s="6">
        <v>2.3863799999999999</v>
      </c>
      <c r="S485" s="6">
        <v>4.0629</v>
      </c>
      <c r="T485" s="6">
        <v>2.2989000000000002</v>
      </c>
      <c r="U485" s="6">
        <v>328</v>
      </c>
      <c r="W485" s="17">
        <v>483</v>
      </c>
      <c r="X485" s="6">
        <v>4.5223599999999999</v>
      </c>
      <c r="Y485" s="6">
        <v>4.0629</v>
      </c>
      <c r="Z485" s="6">
        <v>2.2989000000000002</v>
      </c>
      <c r="AA485" s="6">
        <v>328</v>
      </c>
      <c r="AN485" s="17">
        <v>482</v>
      </c>
      <c r="AO485" s="6">
        <v>1.0729500000000001</v>
      </c>
      <c r="AP485" s="19">
        <v>-0.95169999999999999</v>
      </c>
      <c r="AQ485" s="6">
        <v>0.5454</v>
      </c>
      <c r="AR485" s="6">
        <v>328</v>
      </c>
      <c r="AT485" s="17">
        <v>482</v>
      </c>
      <c r="AU485" s="6">
        <v>0.56618000000000002</v>
      </c>
      <c r="AV485" s="19">
        <v>-0.95169999999999999</v>
      </c>
      <c r="AW485" s="6">
        <v>0.5454</v>
      </c>
      <c r="AX485" s="6">
        <v>328</v>
      </c>
    </row>
    <row r="486" spans="1:50" x14ac:dyDescent="0.25">
      <c r="A486" t="s">
        <v>160</v>
      </c>
      <c r="B486" s="11">
        <v>1</v>
      </c>
      <c r="C486" s="36">
        <v>14</v>
      </c>
      <c r="D486" s="36">
        <v>2</v>
      </c>
      <c r="E486" s="32">
        <v>20</v>
      </c>
      <c r="F486" s="2">
        <v>60.3</v>
      </c>
      <c r="G486">
        <v>85.838033898305085</v>
      </c>
      <c r="Q486" s="17">
        <v>484</v>
      </c>
      <c r="R486" s="6">
        <v>2.39147</v>
      </c>
      <c r="S486" s="6">
        <v>1.3717999999999999</v>
      </c>
      <c r="T486" s="6">
        <v>2.3037999999999998</v>
      </c>
      <c r="U486" s="6">
        <v>328</v>
      </c>
      <c r="W486" s="17">
        <v>484</v>
      </c>
      <c r="X486" s="6">
        <v>4.532</v>
      </c>
      <c r="Y486" s="6">
        <v>1.3717999999999999</v>
      </c>
      <c r="Z486" s="6">
        <v>2.3037999999999998</v>
      </c>
      <c r="AA486" s="6">
        <v>328</v>
      </c>
      <c r="AN486" s="17">
        <v>483</v>
      </c>
      <c r="AO486" s="6">
        <v>1.0720400000000001</v>
      </c>
      <c r="AP486" s="19">
        <v>-0.95389999999999997</v>
      </c>
      <c r="AQ486" s="6">
        <v>0.54500000000000004</v>
      </c>
      <c r="AR486" s="6">
        <v>328</v>
      </c>
      <c r="AT486" s="17">
        <v>483</v>
      </c>
      <c r="AU486" s="6">
        <v>0.56569999999999998</v>
      </c>
      <c r="AV486" s="19">
        <v>-0.95389999999999997</v>
      </c>
      <c r="AW486" s="6">
        <v>0.54500000000000004</v>
      </c>
      <c r="AX486" s="6">
        <v>328</v>
      </c>
    </row>
    <row r="487" spans="1:50" x14ac:dyDescent="0.25">
      <c r="A487" t="s">
        <v>160</v>
      </c>
      <c r="B487" s="11">
        <v>2</v>
      </c>
      <c r="C487" s="36">
        <v>16</v>
      </c>
      <c r="D487" s="36">
        <v>4</v>
      </c>
      <c r="E487" s="32">
        <v>20</v>
      </c>
      <c r="F487" s="2">
        <v>59.8</v>
      </c>
      <c r="G487">
        <v>91.862238959260523</v>
      </c>
      <c r="Q487" s="17">
        <v>485</v>
      </c>
      <c r="R487" s="6">
        <v>2.3971800000000001</v>
      </c>
      <c r="S487" s="6">
        <v>6.7347000000000001</v>
      </c>
      <c r="T487" s="6">
        <v>2.3092999999999999</v>
      </c>
      <c r="U487" s="6">
        <v>328</v>
      </c>
      <c r="W487" s="17">
        <v>485</v>
      </c>
      <c r="X487" s="6">
        <v>4.5428100000000002</v>
      </c>
      <c r="Y487" s="6">
        <v>6.7347000000000001</v>
      </c>
      <c r="Z487" s="6">
        <v>2.3092999999999999</v>
      </c>
      <c r="AA487" s="6">
        <v>328</v>
      </c>
      <c r="AN487" s="17">
        <v>484</v>
      </c>
      <c r="AO487" s="6">
        <v>1.0726500000000001</v>
      </c>
      <c r="AP487" s="6">
        <v>1.7159</v>
      </c>
      <c r="AQ487" s="6">
        <v>0.54530000000000001</v>
      </c>
      <c r="AR487" s="6">
        <v>328</v>
      </c>
      <c r="AT487" s="17">
        <v>484</v>
      </c>
      <c r="AU487" s="6">
        <v>0.56601999999999997</v>
      </c>
      <c r="AV487" s="6">
        <v>1.7159</v>
      </c>
      <c r="AW487" s="6">
        <v>0.54530000000000001</v>
      </c>
      <c r="AX487" s="6">
        <v>328</v>
      </c>
    </row>
    <row r="488" spans="1:50" x14ac:dyDescent="0.25">
      <c r="A488" t="s">
        <v>160</v>
      </c>
      <c r="B488" s="11">
        <v>3</v>
      </c>
      <c r="C488" s="36">
        <v>12</v>
      </c>
      <c r="D488" s="36">
        <v>6</v>
      </c>
      <c r="E488" s="32">
        <v>20</v>
      </c>
      <c r="F488" s="2">
        <v>60.1</v>
      </c>
      <c r="G488">
        <v>90.257117004978909</v>
      </c>
      <c r="Q488" s="17">
        <v>486</v>
      </c>
      <c r="R488" s="6">
        <v>2.38794</v>
      </c>
      <c r="S488" s="19">
        <v>-1.2572000000000001</v>
      </c>
      <c r="T488" s="6">
        <v>2.3003999999999998</v>
      </c>
      <c r="U488" s="6">
        <v>328</v>
      </c>
      <c r="W488" s="17">
        <v>486</v>
      </c>
      <c r="X488" s="6">
        <v>4.5253199999999998</v>
      </c>
      <c r="Y488" s="19">
        <v>-1.2572000000000001</v>
      </c>
      <c r="Z488" s="6">
        <v>2.3003999999999998</v>
      </c>
      <c r="AA488" s="6">
        <v>328</v>
      </c>
      <c r="AN488" s="17">
        <v>485</v>
      </c>
      <c r="AO488" s="6">
        <v>1.0800799999999999</v>
      </c>
      <c r="AP488" s="6">
        <v>2.1126999999999998</v>
      </c>
      <c r="AQ488" s="6">
        <v>0.54900000000000004</v>
      </c>
      <c r="AR488" s="6">
        <v>328</v>
      </c>
      <c r="AT488" s="17">
        <v>485</v>
      </c>
      <c r="AU488" s="6">
        <v>0.56994</v>
      </c>
      <c r="AV488" s="6">
        <v>2.1126999999999998</v>
      </c>
      <c r="AW488" s="6">
        <v>0.54900000000000004</v>
      </c>
      <c r="AX488" s="6">
        <v>328</v>
      </c>
    </row>
    <row r="489" spans="1:50" x14ac:dyDescent="0.25">
      <c r="A489" s="31" t="s">
        <v>116</v>
      </c>
      <c r="B489" s="32">
        <v>1</v>
      </c>
      <c r="C489" s="32">
        <v>5</v>
      </c>
      <c r="D489" s="32">
        <v>3</v>
      </c>
      <c r="E489" s="32">
        <v>21</v>
      </c>
      <c r="F489" s="12">
        <v>56.3</v>
      </c>
      <c r="G489">
        <v>64.672361259079892</v>
      </c>
      <c r="Q489" s="17">
        <v>487</v>
      </c>
      <c r="R489" s="6">
        <v>2.3879299999999999</v>
      </c>
      <c r="S489" s="6">
        <v>0.187</v>
      </c>
      <c r="T489" s="6">
        <v>2.3003</v>
      </c>
      <c r="U489" s="6">
        <v>328</v>
      </c>
      <c r="W489" s="17">
        <v>487</v>
      </c>
      <c r="X489" s="6">
        <v>4.52529</v>
      </c>
      <c r="Y489" s="6">
        <v>0.187</v>
      </c>
      <c r="Z489" s="6">
        <v>2.3003</v>
      </c>
      <c r="AA489" s="6">
        <v>328</v>
      </c>
      <c r="AN489" s="17">
        <v>486</v>
      </c>
      <c r="AO489" s="6">
        <v>1.0693699999999999</v>
      </c>
      <c r="AP489" s="6">
        <v>0.70330000000000004</v>
      </c>
      <c r="AQ489" s="6">
        <v>0.54359999999999997</v>
      </c>
      <c r="AR489" s="6">
        <v>328</v>
      </c>
      <c r="AT489" s="17">
        <v>486</v>
      </c>
      <c r="AU489" s="6">
        <v>0.56428999999999996</v>
      </c>
      <c r="AV489" s="6">
        <v>0.70330000000000004</v>
      </c>
      <c r="AW489" s="6">
        <v>0.54359999999999997</v>
      </c>
      <c r="AX489" s="6">
        <v>328</v>
      </c>
    </row>
    <row r="490" spans="1:50" x14ac:dyDescent="0.25">
      <c r="A490" s="31" t="s">
        <v>116</v>
      </c>
      <c r="B490" s="32">
        <v>2</v>
      </c>
      <c r="C490" s="32">
        <v>3</v>
      </c>
      <c r="D490" s="32">
        <v>6</v>
      </c>
      <c r="E490" s="32">
        <v>21</v>
      </c>
      <c r="F490" s="12">
        <v>57.3</v>
      </c>
      <c r="G490">
        <v>66.354263519232575</v>
      </c>
      <c r="Q490" s="17">
        <v>488</v>
      </c>
      <c r="R490" s="6">
        <v>2.39513</v>
      </c>
      <c r="S490" s="6">
        <v>2.4901</v>
      </c>
      <c r="T490" s="6">
        <v>2.3073000000000001</v>
      </c>
      <c r="U490" s="6">
        <v>328</v>
      </c>
      <c r="W490" s="17">
        <v>488</v>
      </c>
      <c r="X490" s="6">
        <v>4.5389400000000002</v>
      </c>
      <c r="Y490" s="6">
        <v>2.4901</v>
      </c>
      <c r="Z490" s="6">
        <v>2.3073000000000001</v>
      </c>
      <c r="AA490" s="6">
        <v>328</v>
      </c>
      <c r="AN490" s="17">
        <v>487</v>
      </c>
      <c r="AO490" s="6">
        <v>1.07067</v>
      </c>
      <c r="AP490" s="6">
        <v>1.0489999999999999</v>
      </c>
      <c r="AQ490" s="6">
        <v>0.54430000000000001</v>
      </c>
      <c r="AR490" s="6">
        <v>328</v>
      </c>
      <c r="AT490" s="17">
        <v>487</v>
      </c>
      <c r="AU490" s="6">
        <v>0.56496999999999997</v>
      </c>
      <c r="AV490" s="6">
        <v>1.0489999999999999</v>
      </c>
      <c r="AW490" s="6">
        <v>0.54430000000000001</v>
      </c>
      <c r="AX490" s="6">
        <v>328</v>
      </c>
    </row>
    <row r="491" spans="1:50" x14ac:dyDescent="0.25">
      <c r="A491" s="31" t="s">
        <v>116</v>
      </c>
      <c r="B491" s="32">
        <v>3</v>
      </c>
      <c r="C491" s="32">
        <v>8</v>
      </c>
      <c r="D491" s="32">
        <v>10</v>
      </c>
      <c r="E491" s="32">
        <v>21</v>
      </c>
      <c r="F491" s="12">
        <v>56.5</v>
      </c>
      <c r="G491">
        <v>70.464838991596636</v>
      </c>
      <c r="Q491" s="17">
        <v>489</v>
      </c>
      <c r="R491" s="6">
        <v>2.4048400000000001</v>
      </c>
      <c r="S491" s="6">
        <v>4.5170000000000003</v>
      </c>
      <c r="T491" s="6">
        <v>2.3166000000000002</v>
      </c>
      <c r="U491" s="6">
        <v>328</v>
      </c>
      <c r="W491" s="17">
        <v>489</v>
      </c>
      <c r="X491" s="6">
        <v>4.5573399999999999</v>
      </c>
      <c r="Y491" s="6">
        <v>4.5170000000000003</v>
      </c>
      <c r="Z491" s="6">
        <v>2.3166000000000002</v>
      </c>
      <c r="AA491" s="6">
        <v>328</v>
      </c>
      <c r="AN491" s="17">
        <v>488</v>
      </c>
      <c r="AO491" s="6">
        <v>1.07212</v>
      </c>
      <c r="AP491" s="19">
        <v>-2.2120000000000001E-2</v>
      </c>
      <c r="AQ491" s="6">
        <v>0.54500000000000004</v>
      </c>
      <c r="AR491" s="6">
        <v>328</v>
      </c>
      <c r="AT491" s="17">
        <v>488</v>
      </c>
      <c r="AU491" s="6">
        <v>0.56574000000000002</v>
      </c>
      <c r="AV491" s="19">
        <v>-2.2120000000000001E-2</v>
      </c>
      <c r="AW491" s="6">
        <v>0.54500000000000004</v>
      </c>
      <c r="AX491" s="6">
        <v>328</v>
      </c>
    </row>
    <row r="492" spans="1:50" x14ac:dyDescent="0.25">
      <c r="A492" s="34" t="s">
        <v>97</v>
      </c>
      <c r="B492" s="35">
        <v>1</v>
      </c>
      <c r="C492" s="35">
        <v>21</v>
      </c>
      <c r="D492" s="35">
        <v>1</v>
      </c>
      <c r="E492" s="35">
        <v>21</v>
      </c>
      <c r="F492" s="2">
        <v>59.6</v>
      </c>
      <c r="G492">
        <v>73.761600000000001</v>
      </c>
      <c r="Q492" s="17">
        <v>490</v>
      </c>
      <c r="R492" s="6">
        <v>2.3948700000000001</v>
      </c>
      <c r="S492" s="6">
        <v>0.51659999999999995</v>
      </c>
      <c r="T492" s="6">
        <v>2.3069999999999999</v>
      </c>
      <c r="U492" s="6">
        <v>328</v>
      </c>
      <c r="W492" s="17">
        <v>490</v>
      </c>
      <c r="X492" s="6">
        <v>4.5384399999999996</v>
      </c>
      <c r="Y492" s="6">
        <v>0.51659999999999995</v>
      </c>
      <c r="Z492" s="6">
        <v>2.3069999999999999</v>
      </c>
      <c r="AA492" s="6">
        <v>328</v>
      </c>
      <c r="AN492" s="17">
        <v>489</v>
      </c>
      <c r="AO492" s="6">
        <v>1.0798000000000001</v>
      </c>
      <c r="AP492" s="6">
        <v>0.28970000000000001</v>
      </c>
      <c r="AQ492" s="6">
        <v>0.54890000000000005</v>
      </c>
      <c r="AR492" s="6">
        <v>328</v>
      </c>
      <c r="AT492" s="17">
        <v>489</v>
      </c>
      <c r="AU492" s="6">
        <v>0.56979999999999997</v>
      </c>
      <c r="AV492" s="6">
        <v>0.28970000000000001</v>
      </c>
      <c r="AW492" s="6">
        <v>0.54890000000000005</v>
      </c>
      <c r="AX492" s="6">
        <v>328</v>
      </c>
    </row>
    <row r="493" spans="1:50" x14ac:dyDescent="0.25">
      <c r="A493" s="34" t="s">
        <v>97</v>
      </c>
      <c r="B493" s="35">
        <v>2</v>
      </c>
      <c r="C493" s="35">
        <v>9</v>
      </c>
      <c r="D493" s="35">
        <v>3</v>
      </c>
      <c r="E493" s="35">
        <v>21</v>
      </c>
      <c r="F493" s="2">
        <v>60.4</v>
      </c>
      <c r="G493">
        <v>72.390924057355278</v>
      </c>
      <c r="Q493" s="17">
        <v>491</v>
      </c>
      <c r="R493" s="6">
        <v>2.3930899999999999</v>
      </c>
      <c r="S493" s="6">
        <v>2.7361</v>
      </c>
      <c r="T493" s="6">
        <v>2.3052999999999999</v>
      </c>
      <c r="U493" s="6">
        <v>328</v>
      </c>
      <c r="W493" s="17">
        <v>491</v>
      </c>
      <c r="X493" s="6">
        <v>4.5350700000000002</v>
      </c>
      <c r="Y493" s="6">
        <v>2.7361</v>
      </c>
      <c r="Z493" s="6">
        <v>2.3052999999999999</v>
      </c>
      <c r="AA493" s="6">
        <v>328</v>
      </c>
      <c r="AN493" s="17">
        <v>490</v>
      </c>
      <c r="AO493" s="6">
        <v>1.08874</v>
      </c>
      <c r="AP493" s="6">
        <v>1.3441000000000001</v>
      </c>
      <c r="AQ493" s="6">
        <v>0.5534</v>
      </c>
      <c r="AR493" s="6">
        <v>328</v>
      </c>
      <c r="AT493" s="17">
        <v>490</v>
      </c>
      <c r="AU493" s="6">
        <v>0.57450999999999997</v>
      </c>
      <c r="AV493" s="6">
        <v>1.3441000000000001</v>
      </c>
      <c r="AW493" s="6">
        <v>0.5534</v>
      </c>
      <c r="AX493" s="6">
        <v>328</v>
      </c>
    </row>
    <row r="494" spans="1:50" x14ac:dyDescent="0.25">
      <c r="A494" s="34" t="s">
        <v>97</v>
      </c>
      <c r="B494" s="35">
        <v>3</v>
      </c>
      <c r="C494" s="35">
        <v>13</v>
      </c>
      <c r="D494" s="35">
        <v>5</v>
      </c>
      <c r="E494" s="35">
        <v>21</v>
      </c>
      <c r="F494" s="2">
        <v>59.6</v>
      </c>
      <c r="G494">
        <v>77.385769393810946</v>
      </c>
      <c r="Q494" s="17">
        <v>492</v>
      </c>
      <c r="R494" s="6">
        <v>2.4053599999999999</v>
      </c>
      <c r="S494" s="19">
        <v>-5.8964999999999996</v>
      </c>
      <c r="T494" s="6">
        <v>2.3170999999999999</v>
      </c>
      <c r="U494" s="6">
        <v>328</v>
      </c>
      <c r="W494" s="17">
        <v>492</v>
      </c>
      <c r="X494" s="6">
        <v>4.5583200000000001</v>
      </c>
      <c r="Y494" s="19">
        <v>-5.8964999999999996</v>
      </c>
      <c r="Z494" s="6">
        <v>2.3170999999999999</v>
      </c>
      <c r="AA494" s="6">
        <v>328</v>
      </c>
      <c r="AN494" s="17">
        <v>491</v>
      </c>
      <c r="AO494" s="6">
        <v>1.0721799999999999</v>
      </c>
      <c r="AP494" s="6">
        <v>1.2536</v>
      </c>
      <c r="AQ494" s="6">
        <v>0.54500000000000004</v>
      </c>
      <c r="AR494" s="6">
        <v>328</v>
      </c>
      <c r="AT494" s="17">
        <v>491</v>
      </c>
      <c r="AU494" s="6">
        <v>0.56577</v>
      </c>
      <c r="AV494" s="6">
        <v>1.2536</v>
      </c>
      <c r="AW494" s="6">
        <v>0.54500000000000004</v>
      </c>
      <c r="AX494" s="6">
        <v>328</v>
      </c>
    </row>
    <row r="495" spans="1:50" x14ac:dyDescent="0.25">
      <c r="A495" s="31" t="s">
        <v>132</v>
      </c>
      <c r="B495" s="32">
        <v>1</v>
      </c>
      <c r="C495" s="32">
        <v>18</v>
      </c>
      <c r="D495" s="32">
        <v>1</v>
      </c>
      <c r="E495" s="32">
        <v>21</v>
      </c>
      <c r="F495" s="2">
        <v>62.1</v>
      </c>
      <c r="G495">
        <v>62.610996576828498</v>
      </c>
      <c r="Q495" s="17">
        <v>493</v>
      </c>
      <c r="R495" s="6">
        <v>2.3958699999999999</v>
      </c>
      <c r="S495" s="6">
        <v>1.0251999999999999</v>
      </c>
      <c r="T495" s="6">
        <v>2.3079999999999998</v>
      </c>
      <c r="U495" s="6">
        <v>328</v>
      </c>
      <c r="W495" s="17">
        <v>493</v>
      </c>
      <c r="X495" s="6">
        <v>4.5403399999999996</v>
      </c>
      <c r="Y495" s="6">
        <v>1.0251999999999999</v>
      </c>
      <c r="Z495" s="6">
        <v>2.3079999999999998</v>
      </c>
      <c r="AA495" s="6">
        <v>328</v>
      </c>
      <c r="AN495" s="17">
        <v>492</v>
      </c>
      <c r="AO495" s="6">
        <v>1.08355</v>
      </c>
      <c r="AP495" s="6">
        <v>0.96040000000000003</v>
      </c>
      <c r="AQ495" s="6">
        <v>0.55079999999999996</v>
      </c>
      <c r="AR495" s="6">
        <v>328</v>
      </c>
      <c r="AT495" s="17">
        <v>492</v>
      </c>
      <c r="AU495" s="6">
        <v>0.57177</v>
      </c>
      <c r="AV495" s="6">
        <v>0.96040000000000003</v>
      </c>
      <c r="AW495" s="6">
        <v>0.55079999999999996</v>
      </c>
      <c r="AX495" s="6">
        <v>328</v>
      </c>
    </row>
    <row r="496" spans="1:50" x14ac:dyDescent="0.25">
      <c r="A496" s="31" t="s">
        <v>132</v>
      </c>
      <c r="B496" s="32">
        <v>2</v>
      </c>
      <c r="C496" s="32">
        <v>6</v>
      </c>
      <c r="D496" s="32">
        <v>3</v>
      </c>
      <c r="E496" s="32">
        <v>21</v>
      </c>
      <c r="F496" s="2">
        <v>61.3</v>
      </c>
      <c r="G496">
        <v>66.596385542168662</v>
      </c>
      <c r="Q496" s="17">
        <v>494</v>
      </c>
      <c r="R496" s="6">
        <v>2.3818800000000002</v>
      </c>
      <c r="S496" s="6">
        <v>3.7258</v>
      </c>
      <c r="T496" s="6">
        <v>2.2945000000000002</v>
      </c>
      <c r="U496" s="6">
        <v>328</v>
      </c>
      <c r="W496" s="17">
        <v>494</v>
      </c>
      <c r="X496" s="6">
        <v>4.5138299999999996</v>
      </c>
      <c r="Y496" s="6">
        <v>3.7258</v>
      </c>
      <c r="Z496" s="6">
        <v>2.2945000000000002</v>
      </c>
      <c r="AA496" s="6">
        <v>328</v>
      </c>
      <c r="AN496" s="17">
        <v>493</v>
      </c>
      <c r="AO496" s="6">
        <v>1.0693699999999999</v>
      </c>
      <c r="AP496" s="6">
        <v>0.93379999999999996</v>
      </c>
      <c r="AQ496" s="6">
        <v>0.54359999999999997</v>
      </c>
      <c r="AR496" s="6">
        <v>328</v>
      </c>
      <c r="AT496" s="17">
        <v>493</v>
      </c>
      <c r="AU496" s="6">
        <v>0.56428999999999996</v>
      </c>
      <c r="AV496" s="6">
        <v>0.93379999999999996</v>
      </c>
      <c r="AW496" s="6">
        <v>0.54359999999999997</v>
      </c>
      <c r="AX496" s="6">
        <v>328</v>
      </c>
    </row>
    <row r="497" spans="1:50" x14ac:dyDescent="0.25">
      <c r="A497" s="31" t="s">
        <v>132</v>
      </c>
      <c r="B497" s="32">
        <v>3</v>
      </c>
      <c r="C497" s="32">
        <v>14</v>
      </c>
      <c r="D497" s="32">
        <v>6</v>
      </c>
      <c r="E497" s="32">
        <v>21</v>
      </c>
      <c r="F497" s="12">
        <v>61.8</v>
      </c>
      <c r="G497">
        <v>61.879218546872728</v>
      </c>
      <c r="Q497" s="17">
        <v>495</v>
      </c>
      <c r="R497" s="6">
        <v>2.3912100000000001</v>
      </c>
      <c r="S497" s="6">
        <v>2.7305999999999999</v>
      </c>
      <c r="T497" s="6">
        <v>2.3035000000000001</v>
      </c>
      <c r="U497" s="6">
        <v>328</v>
      </c>
      <c r="W497" s="17">
        <v>495</v>
      </c>
      <c r="X497" s="6">
        <v>4.5315200000000004</v>
      </c>
      <c r="Y497" s="6">
        <v>2.7305999999999999</v>
      </c>
      <c r="Z497" s="6">
        <v>2.3035000000000001</v>
      </c>
      <c r="AA497" s="6">
        <v>328</v>
      </c>
      <c r="AN497" s="17">
        <v>494</v>
      </c>
      <c r="AO497" s="6">
        <v>1.06751</v>
      </c>
      <c r="AP497" s="6">
        <v>2.3132999999999999</v>
      </c>
      <c r="AQ497" s="6">
        <v>0.54259999999999997</v>
      </c>
      <c r="AR497" s="6">
        <v>328</v>
      </c>
      <c r="AT497" s="17">
        <v>494</v>
      </c>
      <c r="AU497" s="6">
        <v>0.56330999999999998</v>
      </c>
      <c r="AV497" s="6">
        <v>2.3132999999999999</v>
      </c>
      <c r="AW497" s="6">
        <v>0.54259999999999997</v>
      </c>
      <c r="AX497" s="6">
        <v>328</v>
      </c>
    </row>
    <row r="498" spans="1:50" x14ac:dyDescent="0.25">
      <c r="A498" s="31" t="s">
        <v>13</v>
      </c>
      <c r="B498" s="32">
        <v>1</v>
      </c>
      <c r="C498" s="36">
        <v>6</v>
      </c>
      <c r="D498" s="36">
        <v>2</v>
      </c>
      <c r="E498" s="32">
        <v>21</v>
      </c>
      <c r="F498" s="12">
        <v>57.6</v>
      </c>
      <c r="G498">
        <v>71.420359999999988</v>
      </c>
      <c r="Q498" s="17">
        <v>496</v>
      </c>
      <c r="R498" s="6">
        <v>2.3896600000000001</v>
      </c>
      <c r="S498" s="6">
        <v>5.7995999999999999</v>
      </c>
      <c r="T498" s="6">
        <v>2.302</v>
      </c>
      <c r="U498" s="6">
        <v>328</v>
      </c>
      <c r="W498" s="17">
        <v>496</v>
      </c>
      <c r="X498" s="6">
        <v>4.5285799999999998</v>
      </c>
      <c r="Y498" s="6">
        <v>5.7995999999999999</v>
      </c>
      <c r="Z498" s="6">
        <v>2.302</v>
      </c>
      <c r="AA498" s="6">
        <v>328</v>
      </c>
      <c r="AN498" s="17">
        <v>495</v>
      </c>
      <c r="AO498" s="6">
        <v>1.0741499999999999</v>
      </c>
      <c r="AP498" s="6">
        <v>0.83760000000000001</v>
      </c>
      <c r="AQ498" s="6">
        <v>0.54600000000000004</v>
      </c>
      <c r="AR498" s="6">
        <v>328</v>
      </c>
      <c r="AT498" s="17">
        <v>495</v>
      </c>
      <c r="AU498" s="6">
        <v>0.56681000000000004</v>
      </c>
      <c r="AV498" s="6">
        <v>0.83760000000000001</v>
      </c>
      <c r="AW498" s="6">
        <v>0.54600000000000004</v>
      </c>
      <c r="AX498" s="6">
        <v>328</v>
      </c>
    </row>
    <row r="499" spans="1:50" x14ac:dyDescent="0.25">
      <c r="A499" s="31" t="s">
        <v>13</v>
      </c>
      <c r="B499" s="32">
        <v>2</v>
      </c>
      <c r="C499" s="36">
        <v>5</v>
      </c>
      <c r="D499" s="36">
        <v>3</v>
      </c>
      <c r="E499" s="32">
        <v>21</v>
      </c>
      <c r="F499" s="12">
        <v>58.3</v>
      </c>
      <c r="G499">
        <v>77.82929</v>
      </c>
      <c r="Q499" s="17">
        <v>497</v>
      </c>
      <c r="R499" s="6">
        <v>2.3938299999999999</v>
      </c>
      <c r="S499" s="6">
        <v>5.9173999999999998</v>
      </c>
      <c r="T499" s="6">
        <v>2.306</v>
      </c>
      <c r="U499" s="6">
        <v>328</v>
      </c>
      <c r="W499" s="17">
        <v>497</v>
      </c>
      <c r="X499" s="6">
        <v>4.5364699999999996</v>
      </c>
      <c r="Y499" s="6">
        <v>5.9173999999999998</v>
      </c>
      <c r="Z499" s="6">
        <v>2.306</v>
      </c>
      <c r="AA499" s="6">
        <v>328</v>
      </c>
      <c r="AN499" s="17">
        <v>496</v>
      </c>
      <c r="AO499" s="6">
        <v>1.07036</v>
      </c>
      <c r="AP499" s="6">
        <v>0.84450000000000003</v>
      </c>
      <c r="AQ499" s="6">
        <v>0.54410000000000003</v>
      </c>
      <c r="AR499" s="6">
        <v>328</v>
      </c>
      <c r="AT499" s="17">
        <v>496</v>
      </c>
      <c r="AU499" s="6">
        <v>0.56481000000000003</v>
      </c>
      <c r="AV499" s="6">
        <v>0.84450000000000003</v>
      </c>
      <c r="AW499" s="6">
        <v>0.54410000000000003</v>
      </c>
      <c r="AX499" s="6">
        <v>328</v>
      </c>
    </row>
    <row r="500" spans="1:50" x14ac:dyDescent="0.25">
      <c r="A500" s="31" t="s">
        <v>13</v>
      </c>
      <c r="B500" s="32">
        <v>3</v>
      </c>
      <c r="C500" s="36">
        <v>18</v>
      </c>
      <c r="D500" s="36">
        <v>6</v>
      </c>
      <c r="E500" s="32">
        <v>21</v>
      </c>
      <c r="F500" s="12">
        <v>57.2</v>
      </c>
      <c r="G500">
        <v>77.774234999999976</v>
      </c>
      <c r="Q500" s="17">
        <v>498</v>
      </c>
      <c r="R500" s="6">
        <v>2.3986200000000002</v>
      </c>
      <c r="S500" s="19">
        <v>-2.7063000000000001</v>
      </c>
      <c r="T500" s="6">
        <v>2.3106</v>
      </c>
      <c r="U500" s="6">
        <v>328</v>
      </c>
      <c r="W500" s="17">
        <v>498</v>
      </c>
      <c r="X500" s="6">
        <v>4.54556</v>
      </c>
      <c r="Y500" s="19">
        <v>-2.7063000000000001</v>
      </c>
      <c r="Z500" s="6">
        <v>2.3106</v>
      </c>
      <c r="AA500" s="6">
        <v>328</v>
      </c>
      <c r="AN500" s="17">
        <v>497</v>
      </c>
      <c r="AO500" s="6">
        <v>1.07395</v>
      </c>
      <c r="AP500" s="6">
        <v>1.411</v>
      </c>
      <c r="AQ500" s="6">
        <v>0.54590000000000005</v>
      </c>
      <c r="AR500" s="6">
        <v>328</v>
      </c>
      <c r="AT500" s="17">
        <v>497</v>
      </c>
      <c r="AU500" s="6">
        <v>0.56671000000000005</v>
      </c>
      <c r="AV500" s="6">
        <v>1.411</v>
      </c>
      <c r="AW500" s="6">
        <v>0.54590000000000005</v>
      </c>
      <c r="AX500" s="6">
        <v>328</v>
      </c>
    </row>
    <row r="501" spans="1:50" x14ac:dyDescent="0.25">
      <c r="A501" t="s">
        <v>7</v>
      </c>
      <c r="B501" s="11">
        <v>1</v>
      </c>
      <c r="C501" s="11">
        <v>9</v>
      </c>
      <c r="D501" s="11">
        <v>3</v>
      </c>
      <c r="E501" s="11">
        <v>21</v>
      </c>
      <c r="F501" s="12">
        <v>55.4</v>
      </c>
      <c r="G501">
        <v>55.164606230145544</v>
      </c>
      <c r="Q501" s="17">
        <v>499</v>
      </c>
      <c r="R501" s="6">
        <v>2.3866399999999999</v>
      </c>
      <c r="S501" s="6">
        <v>0.95940000000000003</v>
      </c>
      <c r="T501" s="6">
        <v>2.2991000000000001</v>
      </c>
      <c r="U501" s="6">
        <v>328</v>
      </c>
      <c r="W501" s="17">
        <v>499</v>
      </c>
      <c r="X501" s="6">
        <v>4.52285</v>
      </c>
      <c r="Y501" s="6">
        <v>0.95940000000000003</v>
      </c>
      <c r="Z501" s="6">
        <v>2.2991000000000001</v>
      </c>
      <c r="AA501" s="6">
        <v>328</v>
      </c>
      <c r="AN501" s="17">
        <v>498</v>
      </c>
      <c r="AO501" s="6">
        <v>1.0745</v>
      </c>
      <c r="AP501" s="19">
        <v>-0.97850000000000004</v>
      </c>
      <c r="AQ501" s="6">
        <v>0.54620000000000002</v>
      </c>
      <c r="AR501" s="6">
        <v>328</v>
      </c>
      <c r="AT501" s="17">
        <v>498</v>
      </c>
      <c r="AU501" s="6">
        <v>0.56699999999999995</v>
      </c>
      <c r="AV501" s="19">
        <v>-0.97850000000000004</v>
      </c>
      <c r="AW501" s="6">
        <v>0.54620000000000002</v>
      </c>
      <c r="AX501" s="6">
        <v>328</v>
      </c>
    </row>
    <row r="502" spans="1:50" x14ac:dyDescent="0.25">
      <c r="A502" t="s">
        <v>7</v>
      </c>
      <c r="B502" s="11">
        <v>2</v>
      </c>
      <c r="C502" s="11">
        <v>4</v>
      </c>
      <c r="D502" s="11">
        <v>6</v>
      </c>
      <c r="E502" s="11">
        <v>21</v>
      </c>
      <c r="F502" s="12">
        <v>54.8</v>
      </c>
      <c r="G502">
        <v>53.350106827231208</v>
      </c>
      <c r="Q502" s="17">
        <v>500</v>
      </c>
      <c r="R502" s="6">
        <v>2.3973599999999999</v>
      </c>
      <c r="S502" s="6">
        <v>2.6556000000000002</v>
      </c>
      <c r="T502" s="6">
        <v>2.3094000000000001</v>
      </c>
      <c r="U502" s="6">
        <v>328</v>
      </c>
      <c r="W502" s="17">
        <v>500</v>
      </c>
      <c r="X502" s="6">
        <v>4.5431499999999998</v>
      </c>
      <c r="Y502" s="6">
        <v>2.6556000000000002</v>
      </c>
      <c r="Z502" s="6">
        <v>2.3094000000000001</v>
      </c>
      <c r="AA502" s="6">
        <v>328</v>
      </c>
      <c r="AN502" s="17">
        <v>499</v>
      </c>
      <c r="AO502" s="6">
        <v>1.06684</v>
      </c>
      <c r="AP502" s="6">
        <v>1.0926</v>
      </c>
      <c r="AQ502" s="6">
        <v>0.5423</v>
      </c>
      <c r="AR502" s="6">
        <v>328</v>
      </c>
      <c r="AT502" s="17">
        <v>499</v>
      </c>
      <c r="AU502" s="6">
        <v>0.56294999999999995</v>
      </c>
      <c r="AV502" s="6">
        <v>1.0926</v>
      </c>
      <c r="AW502" s="6">
        <v>0.5423</v>
      </c>
      <c r="AX502" s="6">
        <v>328</v>
      </c>
    </row>
    <row r="503" spans="1:50" x14ac:dyDescent="0.25">
      <c r="A503" t="s">
        <v>7</v>
      </c>
      <c r="B503" s="11">
        <v>3</v>
      </c>
      <c r="C503" s="11">
        <v>3</v>
      </c>
      <c r="D503" s="11">
        <v>9</v>
      </c>
      <c r="E503" s="11">
        <v>21</v>
      </c>
      <c r="F503" s="12">
        <v>52.3</v>
      </c>
      <c r="G503">
        <v>51.338667573079526</v>
      </c>
      <c r="Q503" s="17">
        <v>501</v>
      </c>
      <c r="R503" s="6">
        <v>2.3889999999999998</v>
      </c>
      <c r="S503" s="6">
        <v>1.2616000000000001</v>
      </c>
      <c r="T503" s="6">
        <v>2.3014000000000001</v>
      </c>
      <c r="U503" s="6">
        <v>328</v>
      </c>
      <c r="W503" s="17">
        <v>501</v>
      </c>
      <c r="X503" s="6">
        <v>4.5273099999999999</v>
      </c>
      <c r="Y503" s="6">
        <v>1.2616000000000001</v>
      </c>
      <c r="Z503" s="6">
        <v>2.3014000000000001</v>
      </c>
      <c r="AA503" s="6">
        <v>328</v>
      </c>
      <c r="AN503" s="17">
        <v>500</v>
      </c>
      <c r="AO503" s="6">
        <v>1.07748</v>
      </c>
      <c r="AP503" s="6">
        <v>1.306</v>
      </c>
      <c r="AQ503" s="6">
        <v>0.54769999999999996</v>
      </c>
      <c r="AR503" s="6">
        <v>328</v>
      </c>
      <c r="AT503" s="17">
        <v>500</v>
      </c>
      <c r="AU503" s="6">
        <v>0.56857000000000002</v>
      </c>
      <c r="AV503" s="6">
        <v>1.306</v>
      </c>
      <c r="AW503" s="6">
        <v>0.54769999999999996</v>
      </c>
      <c r="AX503" s="6">
        <v>328</v>
      </c>
    </row>
    <row r="504" spans="1:50" x14ac:dyDescent="0.25">
      <c r="A504" s="31" t="s">
        <v>156</v>
      </c>
      <c r="B504" s="32">
        <v>1</v>
      </c>
      <c r="C504" s="32">
        <v>17</v>
      </c>
      <c r="D504" s="32">
        <v>1</v>
      </c>
      <c r="E504" s="32">
        <v>21</v>
      </c>
      <c r="F504" s="2">
        <v>57.7</v>
      </c>
      <c r="G504">
        <v>53.921564051877922</v>
      </c>
      <c r="Q504" s="17">
        <v>502</v>
      </c>
      <c r="R504" s="6">
        <v>2.3849999999999998</v>
      </c>
      <c r="S504" s="6">
        <v>2.3283999999999998</v>
      </c>
      <c r="T504" s="6">
        <v>2.2974999999999999</v>
      </c>
      <c r="U504" s="6">
        <v>328</v>
      </c>
      <c r="W504" s="17">
        <v>502</v>
      </c>
      <c r="X504" s="6">
        <v>4.5197399999999996</v>
      </c>
      <c r="Y504" s="6">
        <v>2.3283999999999998</v>
      </c>
      <c r="Z504" s="6">
        <v>2.2974999999999999</v>
      </c>
      <c r="AA504" s="6">
        <v>328</v>
      </c>
      <c r="AN504" s="17">
        <v>501</v>
      </c>
      <c r="AO504" s="6">
        <v>1.07629</v>
      </c>
      <c r="AP504" s="6">
        <v>1.0167999999999999</v>
      </c>
      <c r="AQ504" s="6">
        <v>0.54710000000000003</v>
      </c>
      <c r="AR504" s="6">
        <v>328</v>
      </c>
      <c r="AT504" s="17">
        <v>501</v>
      </c>
      <c r="AU504" s="6">
        <v>0.56794</v>
      </c>
      <c r="AV504" s="6">
        <v>1.0167999999999999</v>
      </c>
      <c r="AW504" s="6">
        <v>0.54710000000000003</v>
      </c>
      <c r="AX504" s="6">
        <v>328</v>
      </c>
    </row>
    <row r="505" spans="1:50" x14ac:dyDescent="0.25">
      <c r="A505" s="31" t="s">
        <v>156</v>
      </c>
      <c r="B505" s="32">
        <v>2</v>
      </c>
      <c r="C505" s="32">
        <v>11</v>
      </c>
      <c r="D505" s="32">
        <v>4</v>
      </c>
      <c r="E505" s="32">
        <v>21</v>
      </c>
      <c r="F505" s="2">
        <v>55.3</v>
      </c>
      <c r="G505">
        <v>52.868501194947072</v>
      </c>
      <c r="Q505" s="17">
        <v>503</v>
      </c>
      <c r="R505" s="6">
        <v>2.3911699999999998</v>
      </c>
      <c r="S505" s="6">
        <v>0.75980000000000003</v>
      </c>
      <c r="T505" s="6">
        <v>2.3035000000000001</v>
      </c>
      <c r="U505" s="6">
        <v>328</v>
      </c>
      <c r="W505" s="17">
        <v>503</v>
      </c>
      <c r="X505" s="6">
        <v>4.5314300000000003</v>
      </c>
      <c r="Y505" s="6">
        <v>0.75980000000000003</v>
      </c>
      <c r="Z505" s="6">
        <v>2.3035000000000001</v>
      </c>
      <c r="AA505" s="6">
        <v>328</v>
      </c>
      <c r="AN505" s="17">
        <v>502</v>
      </c>
      <c r="AO505" s="6">
        <v>1.0663899999999999</v>
      </c>
      <c r="AP505" s="19">
        <v>-6.3700000000000007E-2</v>
      </c>
      <c r="AQ505" s="6">
        <v>0.54210000000000003</v>
      </c>
      <c r="AR505" s="6">
        <v>328</v>
      </c>
      <c r="AT505" s="17">
        <v>502</v>
      </c>
      <c r="AU505" s="6">
        <v>0.56272</v>
      </c>
      <c r="AV505" s="19">
        <v>-6.3700000000000007E-2</v>
      </c>
      <c r="AW505" s="6">
        <v>0.54210000000000003</v>
      </c>
      <c r="AX505" s="6">
        <v>328</v>
      </c>
    </row>
    <row r="506" spans="1:50" x14ac:dyDescent="0.25">
      <c r="A506" s="31" t="s">
        <v>156</v>
      </c>
      <c r="B506" s="32">
        <v>3</v>
      </c>
      <c r="C506" s="32">
        <v>23</v>
      </c>
      <c r="D506" s="32">
        <v>5</v>
      </c>
      <c r="E506" s="32">
        <v>21</v>
      </c>
      <c r="F506" s="2">
        <v>55.9</v>
      </c>
      <c r="G506">
        <v>45.507328755198763</v>
      </c>
      <c r="Q506" s="17">
        <v>504</v>
      </c>
      <c r="R506" s="6">
        <v>2.3851599999999999</v>
      </c>
      <c r="S506" s="6">
        <v>1.2627999999999999</v>
      </c>
      <c r="T506" s="6">
        <v>2.2976999999999999</v>
      </c>
      <c r="U506" s="6">
        <v>328</v>
      </c>
      <c r="W506" s="17">
        <v>504</v>
      </c>
      <c r="X506" s="6">
        <v>4.5200500000000003</v>
      </c>
      <c r="Y506" s="6">
        <v>1.2627999999999999</v>
      </c>
      <c r="Z506" s="6">
        <v>2.2976999999999999</v>
      </c>
      <c r="AA506" s="6">
        <v>328</v>
      </c>
      <c r="AN506" s="17">
        <v>503</v>
      </c>
      <c r="AO506" s="6">
        <v>1.0706500000000001</v>
      </c>
      <c r="AP506" s="6">
        <v>0.27579999999999999</v>
      </c>
      <c r="AQ506" s="6">
        <v>0.54420000000000002</v>
      </c>
      <c r="AR506" s="6">
        <v>328</v>
      </c>
      <c r="AT506" s="17">
        <v>503</v>
      </c>
      <c r="AU506" s="6">
        <v>0.56496999999999997</v>
      </c>
      <c r="AV506" s="6">
        <v>0.27579999999999999</v>
      </c>
      <c r="AW506" s="6">
        <v>0.54420000000000002</v>
      </c>
      <c r="AX506" s="6">
        <v>328</v>
      </c>
    </row>
    <row r="507" spans="1:50" x14ac:dyDescent="0.25">
      <c r="A507" s="31" t="s">
        <v>10</v>
      </c>
      <c r="B507" s="32">
        <v>1</v>
      </c>
      <c r="C507" s="32">
        <v>12</v>
      </c>
      <c r="D507" s="32">
        <v>1</v>
      </c>
      <c r="E507" s="32">
        <v>21</v>
      </c>
      <c r="F507" s="2">
        <v>57.6</v>
      </c>
      <c r="G507">
        <v>57.165428571428563</v>
      </c>
      <c r="Q507" s="17">
        <v>505</v>
      </c>
      <c r="R507" s="6">
        <v>2.39913</v>
      </c>
      <c r="S507" s="6">
        <v>8.56</v>
      </c>
      <c r="T507" s="6">
        <v>2.3111000000000002</v>
      </c>
      <c r="U507" s="6">
        <v>328</v>
      </c>
      <c r="W507" s="17">
        <v>505</v>
      </c>
      <c r="X507" s="6">
        <v>4.5465200000000001</v>
      </c>
      <c r="Y507" s="6">
        <v>8.56</v>
      </c>
      <c r="Z507" s="6">
        <v>2.3111000000000002</v>
      </c>
      <c r="AA507" s="6">
        <v>328</v>
      </c>
      <c r="AN507" s="17">
        <v>504</v>
      </c>
      <c r="AO507" s="6">
        <v>1.06795</v>
      </c>
      <c r="AP507" s="19">
        <v>-0.251</v>
      </c>
      <c r="AQ507" s="6">
        <v>0.54290000000000005</v>
      </c>
      <c r="AR507" s="6">
        <v>328</v>
      </c>
      <c r="AT507" s="17">
        <v>504</v>
      </c>
      <c r="AU507" s="6">
        <v>0.56354000000000004</v>
      </c>
      <c r="AV507" s="19">
        <v>-0.251</v>
      </c>
      <c r="AW507" s="6">
        <v>0.54290000000000005</v>
      </c>
      <c r="AX507" s="6">
        <v>328</v>
      </c>
    </row>
    <row r="508" spans="1:50" x14ac:dyDescent="0.25">
      <c r="A508" s="31" t="s">
        <v>10</v>
      </c>
      <c r="B508" s="32">
        <v>2</v>
      </c>
      <c r="C508" s="32">
        <v>6</v>
      </c>
      <c r="D508" s="32">
        <v>8</v>
      </c>
      <c r="E508" s="32">
        <v>21</v>
      </c>
      <c r="F508" s="2">
        <v>59.2</v>
      </c>
      <c r="G508">
        <v>53.910882156187888</v>
      </c>
      <c r="Q508" s="17">
        <v>506</v>
      </c>
      <c r="R508" s="6">
        <v>2.39873</v>
      </c>
      <c r="S508" s="6">
        <v>3.0670999999999999</v>
      </c>
      <c r="T508" s="6">
        <v>2.3107000000000002</v>
      </c>
      <c r="U508" s="6">
        <v>328</v>
      </c>
      <c r="W508" s="17">
        <v>506</v>
      </c>
      <c r="X508" s="6">
        <v>4.5457599999999996</v>
      </c>
      <c r="Y508" s="6">
        <v>3.0670999999999999</v>
      </c>
      <c r="Z508" s="6">
        <v>2.3107000000000002</v>
      </c>
      <c r="AA508" s="6">
        <v>328</v>
      </c>
      <c r="AN508" s="17">
        <v>505</v>
      </c>
      <c r="AO508" s="6">
        <v>1.08274</v>
      </c>
      <c r="AP508" s="6">
        <v>1.5387</v>
      </c>
      <c r="AQ508" s="6">
        <v>0.5504</v>
      </c>
      <c r="AR508" s="6">
        <v>328</v>
      </c>
      <c r="AT508" s="17">
        <v>505</v>
      </c>
      <c r="AU508" s="6">
        <v>0.57135000000000002</v>
      </c>
      <c r="AV508" s="6">
        <v>1.5387</v>
      </c>
      <c r="AW508" s="6">
        <v>0.5504</v>
      </c>
      <c r="AX508" s="6">
        <v>328</v>
      </c>
    </row>
    <row r="509" spans="1:50" x14ac:dyDescent="0.25">
      <c r="A509" s="31" t="s">
        <v>10</v>
      </c>
      <c r="B509" s="32">
        <v>3</v>
      </c>
      <c r="C509" s="32">
        <v>8</v>
      </c>
      <c r="D509" s="32">
        <v>10</v>
      </c>
      <c r="E509" s="32">
        <v>21</v>
      </c>
      <c r="F509" s="2">
        <v>58</v>
      </c>
      <c r="G509">
        <v>62.465375352044276</v>
      </c>
      <c r="Q509" s="17">
        <v>507</v>
      </c>
      <c r="R509" s="6">
        <v>2.3992499999999999</v>
      </c>
      <c r="S509" s="6">
        <v>12.7857</v>
      </c>
      <c r="T509" s="6">
        <v>2.3113000000000001</v>
      </c>
      <c r="U509" s="6">
        <v>328</v>
      </c>
      <c r="W509" s="17">
        <v>507</v>
      </c>
      <c r="X509" s="6">
        <v>4.5467500000000003</v>
      </c>
      <c r="Y509" s="6">
        <v>12.7857</v>
      </c>
      <c r="Z509" s="6">
        <v>2.3113000000000001</v>
      </c>
      <c r="AA509" s="6">
        <v>328</v>
      </c>
      <c r="AN509" s="17">
        <v>506</v>
      </c>
      <c r="AO509" s="6">
        <v>1.07524</v>
      </c>
      <c r="AP509" s="19">
        <v>-0.17979999999999999</v>
      </c>
      <c r="AQ509" s="6">
        <v>0.54659999999999997</v>
      </c>
      <c r="AR509" s="6">
        <v>328</v>
      </c>
      <c r="AT509" s="17">
        <v>506</v>
      </c>
      <c r="AU509" s="6">
        <v>0.56738999999999995</v>
      </c>
      <c r="AV509" s="19">
        <v>-0.17979999999999999</v>
      </c>
      <c r="AW509" s="6">
        <v>0.54659999999999997</v>
      </c>
      <c r="AX509" s="6">
        <v>328</v>
      </c>
    </row>
    <row r="510" spans="1:50" x14ac:dyDescent="0.25">
      <c r="A510" s="31" t="s">
        <v>11</v>
      </c>
      <c r="B510" s="32">
        <v>1</v>
      </c>
      <c r="C510" s="32">
        <v>3</v>
      </c>
      <c r="D510" s="32">
        <v>1</v>
      </c>
      <c r="E510" s="11">
        <v>21</v>
      </c>
      <c r="F510" s="2">
        <v>56.4</v>
      </c>
      <c r="G510">
        <v>18.067911274485116</v>
      </c>
      <c r="Q510" s="17">
        <v>508</v>
      </c>
      <c r="R510" s="6">
        <v>2.3915199999999999</v>
      </c>
      <c r="S510" s="6">
        <v>8.0090000000000003</v>
      </c>
      <c r="T510" s="6">
        <v>2.3037999999999998</v>
      </c>
      <c r="U510" s="6">
        <v>328</v>
      </c>
      <c r="W510" s="17">
        <v>508</v>
      </c>
      <c r="X510" s="6">
        <v>4.5320900000000002</v>
      </c>
      <c r="Y510" s="6">
        <v>8.0090000000000003</v>
      </c>
      <c r="Z510" s="6">
        <v>2.3037999999999998</v>
      </c>
      <c r="AA510" s="6">
        <v>328</v>
      </c>
      <c r="AN510" s="17">
        <v>507</v>
      </c>
      <c r="AO510" s="6">
        <v>1.08005</v>
      </c>
      <c r="AP510" s="6">
        <v>2.3311999999999999</v>
      </c>
      <c r="AQ510" s="6">
        <v>0.54900000000000004</v>
      </c>
      <c r="AR510" s="6">
        <v>328</v>
      </c>
      <c r="AT510" s="17">
        <v>507</v>
      </c>
      <c r="AU510" s="6">
        <v>0.56993000000000005</v>
      </c>
      <c r="AV510" s="6">
        <v>2.3311999999999999</v>
      </c>
      <c r="AW510" s="6">
        <v>0.54900000000000004</v>
      </c>
      <c r="AX510" s="6">
        <v>328</v>
      </c>
    </row>
    <row r="511" spans="1:50" x14ac:dyDescent="0.25">
      <c r="A511" s="31" t="s">
        <v>11</v>
      </c>
      <c r="B511" s="32">
        <v>2</v>
      </c>
      <c r="C511" s="32">
        <v>8</v>
      </c>
      <c r="D511" s="32">
        <v>5</v>
      </c>
      <c r="E511" s="11">
        <v>21</v>
      </c>
      <c r="F511" s="2">
        <v>59.5</v>
      </c>
      <c r="G511">
        <v>20.174693261816955</v>
      </c>
      <c r="Q511" s="17">
        <v>509</v>
      </c>
      <c r="R511" s="6">
        <v>2.3914200000000001</v>
      </c>
      <c r="S511" s="6">
        <v>2.0304000000000002</v>
      </c>
      <c r="T511" s="6">
        <v>2.3037000000000001</v>
      </c>
      <c r="U511" s="6">
        <v>328</v>
      </c>
      <c r="W511" s="17">
        <v>509</v>
      </c>
      <c r="X511" s="6">
        <v>4.5319099999999999</v>
      </c>
      <c r="Y511" s="6">
        <v>2.0304000000000002</v>
      </c>
      <c r="Z511" s="6">
        <v>2.3037000000000001</v>
      </c>
      <c r="AA511" s="6">
        <v>328</v>
      </c>
      <c r="AN511" s="17">
        <v>508</v>
      </c>
      <c r="AO511" s="6">
        <v>1.0702100000000001</v>
      </c>
      <c r="AP511" s="6">
        <v>1.4596</v>
      </c>
      <c r="AQ511" s="6">
        <v>0.54400000000000004</v>
      </c>
      <c r="AR511" s="6">
        <v>328</v>
      </c>
      <c r="AT511" s="17">
        <v>508</v>
      </c>
      <c r="AU511" s="6">
        <v>0.56474000000000002</v>
      </c>
      <c r="AV511" s="6">
        <v>1.4596</v>
      </c>
      <c r="AW511" s="6">
        <v>0.54400000000000004</v>
      </c>
      <c r="AX511" s="6">
        <v>328</v>
      </c>
    </row>
    <row r="512" spans="1:50" x14ac:dyDescent="0.25">
      <c r="A512" s="31" t="s">
        <v>11</v>
      </c>
      <c r="B512" s="32">
        <v>3</v>
      </c>
      <c r="C512" s="32">
        <v>7</v>
      </c>
      <c r="D512" s="32">
        <v>8</v>
      </c>
      <c r="E512" s="11">
        <v>21</v>
      </c>
      <c r="F512" s="2">
        <v>60.4</v>
      </c>
      <c r="G512">
        <v>30.989366883116876</v>
      </c>
      <c r="Q512" s="17">
        <v>510</v>
      </c>
      <c r="R512" s="6">
        <v>2.3949699999999998</v>
      </c>
      <c r="S512" s="6">
        <v>4.032</v>
      </c>
      <c r="T512" s="6">
        <v>2.3071000000000002</v>
      </c>
      <c r="U512" s="6">
        <v>328</v>
      </c>
      <c r="W512" s="17">
        <v>510</v>
      </c>
      <c r="X512" s="6">
        <v>4.53864</v>
      </c>
      <c r="Y512" s="6">
        <v>4.032</v>
      </c>
      <c r="Z512" s="6">
        <v>2.3071000000000002</v>
      </c>
      <c r="AA512" s="6">
        <v>328</v>
      </c>
      <c r="AN512" s="17">
        <v>509</v>
      </c>
      <c r="AO512" s="6">
        <v>1.0739099999999999</v>
      </c>
      <c r="AP512" s="6">
        <v>1.0117</v>
      </c>
      <c r="AQ512" s="6">
        <v>0.54590000000000005</v>
      </c>
      <c r="AR512" s="6">
        <v>328</v>
      </c>
      <c r="AT512" s="17">
        <v>509</v>
      </c>
      <c r="AU512" s="6">
        <v>0.56667999999999996</v>
      </c>
      <c r="AV512" s="6">
        <v>1.0117</v>
      </c>
      <c r="AW512" s="6">
        <v>0.54590000000000005</v>
      </c>
      <c r="AX512" s="6">
        <v>328</v>
      </c>
    </row>
    <row r="513" spans="1:50" x14ac:dyDescent="0.25">
      <c r="A513" t="s">
        <v>160</v>
      </c>
      <c r="B513" s="11">
        <v>1</v>
      </c>
      <c r="C513" s="36">
        <v>1</v>
      </c>
      <c r="D513" s="36">
        <v>2</v>
      </c>
      <c r="E513" s="32">
        <v>21</v>
      </c>
      <c r="F513" s="2">
        <v>58.7</v>
      </c>
      <c r="G513">
        <v>93.104490072639223</v>
      </c>
      <c r="Q513" s="17">
        <v>511</v>
      </c>
      <c r="R513" s="6">
        <v>2.3944100000000001</v>
      </c>
      <c r="S513" s="6">
        <v>5.3628</v>
      </c>
      <c r="T513" s="6">
        <v>2.3066</v>
      </c>
      <c r="U513" s="6">
        <v>328</v>
      </c>
      <c r="W513" s="17">
        <v>511</v>
      </c>
      <c r="X513" s="6">
        <v>4.5375800000000002</v>
      </c>
      <c r="Y513" s="6">
        <v>5.3628</v>
      </c>
      <c r="Z513" s="6">
        <v>2.3066</v>
      </c>
      <c r="AA513" s="6">
        <v>328</v>
      </c>
      <c r="AN513" s="17">
        <v>510</v>
      </c>
      <c r="AO513" s="6">
        <v>1.0763</v>
      </c>
      <c r="AP513" s="6">
        <v>1.0096000000000001</v>
      </c>
      <c r="AQ513" s="6">
        <v>0.54710000000000003</v>
      </c>
      <c r="AR513" s="6">
        <v>328</v>
      </c>
      <c r="AT513" s="17">
        <v>510</v>
      </c>
      <c r="AU513" s="6">
        <v>0.56794999999999995</v>
      </c>
      <c r="AV513" s="6">
        <v>1.0096000000000001</v>
      </c>
      <c r="AW513" s="6">
        <v>0.54710000000000003</v>
      </c>
      <c r="AX513" s="6">
        <v>328</v>
      </c>
    </row>
    <row r="514" spans="1:50" x14ac:dyDescent="0.25">
      <c r="A514" t="s">
        <v>160</v>
      </c>
      <c r="B514" s="11">
        <v>2</v>
      </c>
      <c r="C514" s="36">
        <v>17</v>
      </c>
      <c r="D514" s="36">
        <v>3</v>
      </c>
      <c r="E514" s="32">
        <v>21</v>
      </c>
      <c r="F514" s="2">
        <v>59</v>
      </c>
      <c r="G514">
        <v>90.579233599018991</v>
      </c>
      <c r="Q514" s="17">
        <v>512</v>
      </c>
      <c r="R514" s="6">
        <v>2.3894099999999998</v>
      </c>
      <c r="S514" s="19">
        <v>-2.629</v>
      </c>
      <c r="T514" s="6">
        <v>2.3018000000000001</v>
      </c>
      <c r="U514" s="6">
        <v>328</v>
      </c>
      <c r="W514" s="17">
        <v>512</v>
      </c>
      <c r="X514" s="6">
        <v>4.5281000000000002</v>
      </c>
      <c r="Y514" s="19">
        <v>-2.629</v>
      </c>
      <c r="Z514" s="6">
        <v>2.3018000000000001</v>
      </c>
      <c r="AA514" s="6">
        <v>328</v>
      </c>
      <c r="AN514" s="17">
        <v>511</v>
      </c>
      <c r="AO514" s="6">
        <v>1.0772299999999999</v>
      </c>
      <c r="AP514" s="6">
        <v>0.39679999999999999</v>
      </c>
      <c r="AQ514" s="6">
        <v>0.54759999999999998</v>
      </c>
      <c r="AR514" s="6">
        <v>328</v>
      </c>
      <c r="AT514" s="17">
        <v>511</v>
      </c>
      <c r="AU514" s="6">
        <v>0.56843999999999995</v>
      </c>
      <c r="AV514" s="6">
        <v>0.39679999999999999</v>
      </c>
      <c r="AW514" s="6">
        <v>0.54759999999999998</v>
      </c>
      <c r="AX514" s="6">
        <v>328</v>
      </c>
    </row>
    <row r="515" spans="1:50" x14ac:dyDescent="0.25">
      <c r="A515" t="s">
        <v>160</v>
      </c>
      <c r="B515" s="11">
        <v>3</v>
      </c>
      <c r="C515" s="36">
        <v>22</v>
      </c>
      <c r="D515" s="36">
        <v>6</v>
      </c>
      <c r="E515" s="32">
        <v>21</v>
      </c>
      <c r="F515" s="2">
        <v>58.3</v>
      </c>
      <c r="G515">
        <v>82.738273649942542</v>
      </c>
      <c r="Q515" s="17">
        <v>513</v>
      </c>
      <c r="R515" s="6">
        <v>2.3844599999999998</v>
      </c>
      <c r="S515" s="19">
        <v>-1.1849000000000001</v>
      </c>
      <c r="T515" s="6">
        <v>2.2970000000000002</v>
      </c>
      <c r="U515" s="6">
        <v>328</v>
      </c>
      <c r="W515" s="17">
        <v>513</v>
      </c>
      <c r="X515" s="6">
        <v>4.5187200000000001</v>
      </c>
      <c r="Y515" s="19">
        <v>-1.1849000000000001</v>
      </c>
      <c r="Z515" s="6">
        <v>2.2970000000000002</v>
      </c>
      <c r="AA515" s="6">
        <v>328</v>
      </c>
      <c r="AN515" s="17">
        <v>512</v>
      </c>
      <c r="AO515" s="6">
        <v>1.07</v>
      </c>
      <c r="AP515" s="19">
        <v>-1.0125999999999999</v>
      </c>
      <c r="AQ515" s="6">
        <v>0.54390000000000005</v>
      </c>
      <c r="AR515" s="6">
        <v>328</v>
      </c>
      <c r="AT515" s="17">
        <v>512</v>
      </c>
      <c r="AU515" s="6">
        <v>0.56462000000000001</v>
      </c>
      <c r="AV515" s="19">
        <v>-1.0125999999999999</v>
      </c>
      <c r="AW515" s="6">
        <v>0.54390000000000005</v>
      </c>
      <c r="AX515" s="6">
        <v>328</v>
      </c>
    </row>
    <row r="516" spans="1:50" x14ac:dyDescent="0.25">
      <c r="A516" s="31" t="s">
        <v>116</v>
      </c>
      <c r="B516" s="32">
        <v>1</v>
      </c>
      <c r="C516" s="32">
        <v>11</v>
      </c>
      <c r="D516" s="32">
        <v>4</v>
      </c>
      <c r="E516" s="32">
        <v>22</v>
      </c>
      <c r="F516" s="12">
        <v>58.1</v>
      </c>
      <c r="G516">
        <v>64.528196213425119</v>
      </c>
      <c r="Q516" s="17">
        <v>514</v>
      </c>
      <c r="R516" s="6">
        <v>2.3835000000000002</v>
      </c>
      <c r="S516" s="6">
        <v>1.1183000000000001</v>
      </c>
      <c r="T516" s="6">
        <v>2.2961</v>
      </c>
      <c r="U516" s="6">
        <v>328</v>
      </c>
      <c r="W516" s="17">
        <v>514</v>
      </c>
      <c r="X516" s="6">
        <v>4.5168900000000001</v>
      </c>
      <c r="Y516" s="6">
        <v>1.1183000000000001</v>
      </c>
      <c r="Z516" s="6">
        <v>2.2961</v>
      </c>
      <c r="AA516" s="6">
        <v>328</v>
      </c>
      <c r="AN516" s="17">
        <v>513</v>
      </c>
      <c r="AO516" s="6">
        <v>1.0696099999999999</v>
      </c>
      <c r="AP516" s="19">
        <v>-0.66690000000000005</v>
      </c>
      <c r="AQ516" s="6">
        <v>0.54369999999999996</v>
      </c>
      <c r="AR516" s="6">
        <v>328</v>
      </c>
      <c r="AT516" s="17">
        <v>513</v>
      </c>
      <c r="AU516" s="6">
        <v>0.56442000000000003</v>
      </c>
      <c r="AV516" s="19">
        <v>-0.66690000000000005</v>
      </c>
      <c r="AW516" s="6">
        <v>0.54369999999999996</v>
      </c>
      <c r="AX516" s="6">
        <v>328</v>
      </c>
    </row>
    <row r="517" spans="1:50" x14ac:dyDescent="0.25">
      <c r="A517" s="31" t="s">
        <v>116</v>
      </c>
      <c r="B517" s="32">
        <v>2</v>
      </c>
      <c r="C517" s="32">
        <v>9</v>
      </c>
      <c r="D517" s="32">
        <v>8</v>
      </c>
      <c r="E517" s="32">
        <v>22</v>
      </c>
      <c r="F517" s="12">
        <v>58.8</v>
      </c>
      <c r="G517">
        <v>66.667653614457848</v>
      </c>
      <c r="Q517" s="17">
        <v>515</v>
      </c>
      <c r="R517" s="6">
        <v>2.3892699999999998</v>
      </c>
      <c r="S517" s="6">
        <v>3.1452</v>
      </c>
      <c r="T517" s="6">
        <v>2.3016000000000001</v>
      </c>
      <c r="U517" s="6">
        <v>328</v>
      </c>
      <c r="W517" s="17">
        <v>515</v>
      </c>
      <c r="X517" s="6">
        <v>4.5278400000000003</v>
      </c>
      <c r="Y517" s="6">
        <v>3.1452</v>
      </c>
      <c r="Z517" s="6">
        <v>2.3016000000000001</v>
      </c>
      <c r="AA517" s="6">
        <v>328</v>
      </c>
      <c r="AN517" s="17">
        <v>514</v>
      </c>
      <c r="AO517" s="6">
        <v>1.06287</v>
      </c>
      <c r="AP517" s="19">
        <v>-1.738</v>
      </c>
      <c r="AQ517" s="6">
        <v>0.5403</v>
      </c>
      <c r="AR517" s="6">
        <v>328</v>
      </c>
      <c r="AT517" s="17">
        <v>514</v>
      </c>
      <c r="AU517" s="6">
        <v>0.56086000000000003</v>
      </c>
      <c r="AV517" s="19">
        <v>-1.738</v>
      </c>
      <c r="AW517" s="6">
        <v>0.5403</v>
      </c>
      <c r="AX517" s="6">
        <v>328</v>
      </c>
    </row>
    <row r="518" spans="1:50" x14ac:dyDescent="0.25">
      <c r="A518" s="31" t="s">
        <v>116</v>
      </c>
      <c r="B518" s="32">
        <v>3</v>
      </c>
      <c r="C518" s="32">
        <v>6</v>
      </c>
      <c r="D518" s="32">
        <v>9</v>
      </c>
      <c r="E518" s="32">
        <v>22</v>
      </c>
      <c r="F518" s="12">
        <v>59.3</v>
      </c>
      <c r="G518">
        <v>69.433581505231189</v>
      </c>
      <c r="Q518" s="17">
        <v>516</v>
      </c>
      <c r="R518" s="6">
        <v>2.3849800000000001</v>
      </c>
      <c r="S518" s="19">
        <v>-0.85529999999999995</v>
      </c>
      <c r="T518" s="6">
        <v>2.2974999999999999</v>
      </c>
      <c r="U518" s="6">
        <v>328</v>
      </c>
      <c r="W518" s="17">
        <v>516</v>
      </c>
      <c r="X518" s="6">
        <v>4.5197000000000003</v>
      </c>
      <c r="Y518" s="19">
        <v>-0.85529999999999995</v>
      </c>
      <c r="Z518" s="6">
        <v>2.2974999999999999</v>
      </c>
      <c r="AA518" s="6">
        <v>328</v>
      </c>
      <c r="AN518" s="17">
        <v>515</v>
      </c>
      <c r="AO518" s="6">
        <v>1.0701099999999999</v>
      </c>
      <c r="AP518" s="19">
        <v>-1.4261999999999999</v>
      </c>
      <c r="AQ518" s="6">
        <v>0.54400000000000004</v>
      </c>
      <c r="AR518" s="6">
        <v>328</v>
      </c>
      <c r="AT518" s="17">
        <v>515</v>
      </c>
      <c r="AU518" s="6">
        <v>0.56467999999999996</v>
      </c>
      <c r="AV518" s="19">
        <v>-1.4261999999999999</v>
      </c>
      <c r="AW518" s="6">
        <v>0.54400000000000004</v>
      </c>
      <c r="AX518" s="6">
        <v>328</v>
      </c>
    </row>
    <row r="519" spans="1:50" x14ac:dyDescent="0.25">
      <c r="A519" s="34" t="s">
        <v>97</v>
      </c>
      <c r="B519" s="35">
        <v>1</v>
      </c>
      <c r="C519" s="35">
        <v>14</v>
      </c>
      <c r="D519" s="35">
        <v>2</v>
      </c>
      <c r="E519" s="35">
        <v>22</v>
      </c>
      <c r="F519" s="2">
        <v>61</v>
      </c>
      <c r="G519">
        <v>72.112126245847165</v>
      </c>
      <c r="Q519" s="17">
        <v>517</v>
      </c>
      <c r="R519" s="6">
        <v>2.3971399999999998</v>
      </c>
      <c r="S519" s="6">
        <v>1.3643000000000001</v>
      </c>
      <c r="T519" s="6">
        <v>2.3092000000000001</v>
      </c>
      <c r="U519" s="6">
        <v>328</v>
      </c>
      <c r="W519" s="17">
        <v>517</v>
      </c>
      <c r="X519" s="6">
        <v>4.5427499999999998</v>
      </c>
      <c r="Y519" s="6">
        <v>1.3643000000000001</v>
      </c>
      <c r="Z519" s="6">
        <v>2.3092000000000001</v>
      </c>
      <c r="AA519" s="6">
        <v>328</v>
      </c>
      <c r="AN519" s="17">
        <v>516</v>
      </c>
      <c r="AO519" s="6">
        <v>1.0752600000000001</v>
      </c>
      <c r="AP519" s="19">
        <v>-0.37180000000000002</v>
      </c>
      <c r="AQ519" s="6">
        <v>0.54659999999999997</v>
      </c>
      <c r="AR519" s="6">
        <v>328</v>
      </c>
      <c r="AT519" s="17">
        <v>516</v>
      </c>
      <c r="AU519" s="6">
        <v>0.56740000000000002</v>
      </c>
      <c r="AV519" s="19">
        <v>-0.37180000000000002</v>
      </c>
      <c r="AW519" s="6">
        <v>0.54659999999999997</v>
      </c>
      <c r="AX519" s="6">
        <v>328</v>
      </c>
    </row>
    <row r="520" spans="1:50" x14ac:dyDescent="0.25">
      <c r="A520" s="34" t="s">
        <v>97</v>
      </c>
      <c r="B520" s="35">
        <v>2</v>
      </c>
      <c r="C520" s="35">
        <v>18</v>
      </c>
      <c r="D520" s="35">
        <v>4</v>
      </c>
      <c r="E520" s="35">
        <v>22</v>
      </c>
      <c r="F520" s="2">
        <v>61.1</v>
      </c>
      <c r="G520">
        <v>72.20047219558964</v>
      </c>
      <c r="Q520" s="17">
        <v>518</v>
      </c>
      <c r="R520" s="6">
        <v>2.4025099999999999</v>
      </c>
      <c r="S520" s="19">
        <v>-7.2683999999999997</v>
      </c>
      <c r="T520" s="6">
        <v>2.3144</v>
      </c>
      <c r="U520" s="6">
        <v>328</v>
      </c>
      <c r="W520" s="17">
        <v>518</v>
      </c>
      <c r="X520" s="6">
        <v>4.5529200000000003</v>
      </c>
      <c r="Y520" s="19">
        <v>-7.2683999999999997</v>
      </c>
      <c r="Z520" s="6">
        <v>2.3144</v>
      </c>
      <c r="AA520" s="6">
        <v>328</v>
      </c>
      <c r="AN520" s="17">
        <v>517</v>
      </c>
      <c r="AO520" s="6">
        <v>1.0762700000000001</v>
      </c>
      <c r="AP520" s="19">
        <v>-0.46229999999999999</v>
      </c>
      <c r="AQ520" s="6">
        <v>0.54710000000000003</v>
      </c>
      <c r="AR520" s="6">
        <v>328</v>
      </c>
      <c r="AT520" s="17">
        <v>517</v>
      </c>
      <c r="AU520" s="6">
        <v>0.56793000000000005</v>
      </c>
      <c r="AV520" s="19">
        <v>-0.46229999999999999</v>
      </c>
      <c r="AW520" s="6">
        <v>0.54710000000000003</v>
      </c>
      <c r="AX520" s="6">
        <v>328</v>
      </c>
    </row>
    <row r="521" spans="1:50" x14ac:dyDescent="0.25">
      <c r="A521" s="34" t="s">
        <v>97</v>
      </c>
      <c r="B521" s="35">
        <v>3</v>
      </c>
      <c r="C521" s="35">
        <v>11</v>
      </c>
      <c r="D521" s="35">
        <v>6</v>
      </c>
      <c r="E521" s="35">
        <v>22</v>
      </c>
      <c r="F521" s="2">
        <v>61.1</v>
      </c>
      <c r="G521">
        <v>71.949189395384323</v>
      </c>
      <c r="Q521" s="17">
        <v>519</v>
      </c>
      <c r="R521" s="6">
        <v>2.3856099999999998</v>
      </c>
      <c r="S521" s="19">
        <v>-0.34670000000000001</v>
      </c>
      <c r="T521" s="6">
        <v>2.2980999999999998</v>
      </c>
      <c r="U521" s="6">
        <v>328</v>
      </c>
      <c r="W521" s="17">
        <v>519</v>
      </c>
      <c r="X521" s="6">
        <v>4.5208899999999996</v>
      </c>
      <c r="Y521" s="19">
        <v>-0.34670000000000001</v>
      </c>
      <c r="Z521" s="6">
        <v>2.2980999999999998</v>
      </c>
      <c r="AA521" s="6">
        <v>328</v>
      </c>
      <c r="AN521" s="17">
        <v>518</v>
      </c>
      <c r="AO521" s="6">
        <v>1.0803</v>
      </c>
      <c r="AP521" s="19">
        <v>-0.75549999999999995</v>
      </c>
      <c r="AQ521" s="6">
        <v>0.54910000000000003</v>
      </c>
      <c r="AR521" s="6">
        <v>328</v>
      </c>
      <c r="AT521" s="17">
        <v>518</v>
      </c>
      <c r="AU521" s="6">
        <v>0.57006000000000001</v>
      </c>
      <c r="AV521" s="19">
        <v>-0.75549999999999995</v>
      </c>
      <c r="AW521" s="6">
        <v>0.54910000000000003</v>
      </c>
      <c r="AX521" s="6">
        <v>328</v>
      </c>
    </row>
    <row r="522" spans="1:50" x14ac:dyDescent="0.25">
      <c r="A522" s="31" t="s">
        <v>132</v>
      </c>
      <c r="B522" s="32">
        <v>1</v>
      </c>
      <c r="C522" s="32">
        <v>5</v>
      </c>
      <c r="D522" s="32">
        <v>1</v>
      </c>
      <c r="E522" s="32">
        <v>22</v>
      </c>
      <c r="F522" s="2">
        <v>59.6</v>
      </c>
      <c r="G522">
        <v>69.452072706234034</v>
      </c>
      <c r="Q522" s="17">
        <v>520</v>
      </c>
      <c r="R522" s="6">
        <v>2.3855599999999999</v>
      </c>
      <c r="S522" s="6">
        <v>2.3538999999999999</v>
      </c>
      <c r="T522" s="6">
        <v>2.2980999999999998</v>
      </c>
      <c r="U522" s="6">
        <v>328</v>
      </c>
      <c r="W522" s="17">
        <v>520</v>
      </c>
      <c r="X522" s="6">
        <v>4.52081</v>
      </c>
      <c r="Y522" s="6">
        <v>2.3538999999999999</v>
      </c>
      <c r="Z522" s="6">
        <v>2.2980999999999998</v>
      </c>
      <c r="AA522" s="6">
        <v>328</v>
      </c>
      <c r="AN522" s="17">
        <v>519</v>
      </c>
      <c r="AO522" s="6">
        <v>1.0626899999999999</v>
      </c>
      <c r="AP522" s="19">
        <v>-0.78210000000000002</v>
      </c>
      <c r="AQ522" s="6">
        <v>0.54020000000000001</v>
      </c>
      <c r="AR522" s="6">
        <v>328</v>
      </c>
      <c r="AT522" s="17">
        <v>519</v>
      </c>
      <c r="AU522" s="6">
        <v>0.56076999999999999</v>
      </c>
      <c r="AV522" s="19">
        <v>-0.78210000000000002</v>
      </c>
      <c r="AW522" s="6">
        <v>0.54020000000000001</v>
      </c>
      <c r="AX522" s="6">
        <v>328</v>
      </c>
    </row>
    <row r="523" spans="1:50" x14ac:dyDescent="0.25">
      <c r="A523" s="31" t="s">
        <v>132</v>
      </c>
      <c r="B523" s="32">
        <v>2</v>
      </c>
      <c r="C523" s="32">
        <v>10</v>
      </c>
      <c r="D523" s="32">
        <v>3</v>
      </c>
      <c r="E523" s="32">
        <v>22</v>
      </c>
      <c r="F523" s="2">
        <v>61.6</v>
      </c>
      <c r="G523">
        <v>69.439724612736669</v>
      </c>
      <c r="Q523" s="17">
        <v>521</v>
      </c>
      <c r="R523" s="6">
        <v>2.3717199999999998</v>
      </c>
      <c r="S523" s="6">
        <v>1.3588</v>
      </c>
      <c r="T523" s="6">
        <v>2.2847</v>
      </c>
      <c r="U523" s="6">
        <v>328</v>
      </c>
      <c r="W523" s="17">
        <v>521</v>
      </c>
      <c r="X523" s="6">
        <v>4.49458</v>
      </c>
      <c r="Y523" s="6">
        <v>1.3588</v>
      </c>
      <c r="Z523" s="6">
        <v>2.2847</v>
      </c>
      <c r="AA523" s="6">
        <v>328</v>
      </c>
      <c r="AN523" s="17">
        <v>520</v>
      </c>
      <c r="AO523" s="6">
        <v>1.0684</v>
      </c>
      <c r="AP523" s="6">
        <v>0.59740000000000004</v>
      </c>
      <c r="AQ523" s="6">
        <v>0.54310000000000003</v>
      </c>
      <c r="AR523" s="6">
        <v>328</v>
      </c>
      <c r="AT523" s="17">
        <v>520</v>
      </c>
      <c r="AU523" s="6">
        <v>0.56377999999999995</v>
      </c>
      <c r="AV523" s="6">
        <v>0.59740000000000004</v>
      </c>
      <c r="AW523" s="6">
        <v>0.54310000000000003</v>
      </c>
      <c r="AX523" s="6">
        <v>328</v>
      </c>
    </row>
    <row r="524" spans="1:50" x14ac:dyDescent="0.25">
      <c r="A524" s="31" t="s">
        <v>132</v>
      </c>
      <c r="B524" s="32">
        <v>3</v>
      </c>
      <c r="C524" s="32">
        <v>2</v>
      </c>
      <c r="D524" s="32">
        <v>6</v>
      </c>
      <c r="E524" s="32">
        <v>22</v>
      </c>
      <c r="F524" s="12">
        <v>55.6</v>
      </c>
      <c r="G524">
        <v>59.78610429004766</v>
      </c>
      <c r="Q524" s="17">
        <v>522</v>
      </c>
      <c r="R524" s="6">
        <v>2.3745599999999998</v>
      </c>
      <c r="S524" s="6">
        <v>4.4276999999999997</v>
      </c>
      <c r="T524" s="6">
        <v>2.2875000000000001</v>
      </c>
      <c r="U524" s="6">
        <v>328</v>
      </c>
      <c r="W524" s="17">
        <v>522</v>
      </c>
      <c r="X524" s="6">
        <v>4.4999599999999997</v>
      </c>
      <c r="Y524" s="6">
        <v>4.4276999999999997</v>
      </c>
      <c r="Z524" s="6">
        <v>2.2875000000000001</v>
      </c>
      <c r="AA524" s="6">
        <v>328</v>
      </c>
      <c r="AN524" s="17">
        <v>521</v>
      </c>
      <c r="AO524" s="6">
        <v>1.0610999999999999</v>
      </c>
      <c r="AP524" s="19">
        <v>-0.87829999999999997</v>
      </c>
      <c r="AQ524" s="6">
        <v>0.53939999999999999</v>
      </c>
      <c r="AR524" s="6">
        <v>328</v>
      </c>
      <c r="AT524" s="17">
        <v>521</v>
      </c>
      <c r="AU524" s="6">
        <v>0.55993000000000004</v>
      </c>
      <c r="AV524" s="19">
        <v>-0.87829999999999997</v>
      </c>
      <c r="AW524" s="6">
        <v>0.53939999999999999</v>
      </c>
      <c r="AX524" s="6">
        <v>328</v>
      </c>
    </row>
    <row r="525" spans="1:50" x14ac:dyDescent="0.25">
      <c r="A525" s="31" t="s">
        <v>13</v>
      </c>
      <c r="B525" s="32">
        <v>1</v>
      </c>
      <c r="C525" s="36">
        <v>18</v>
      </c>
      <c r="D525" s="36">
        <v>2</v>
      </c>
      <c r="E525" s="32">
        <v>22</v>
      </c>
      <c r="F525" s="12">
        <v>58.7</v>
      </c>
      <c r="G525">
        <v>71.162409999999994</v>
      </c>
      <c r="Q525" s="17">
        <v>523</v>
      </c>
      <c r="R525" s="6">
        <v>2.38381</v>
      </c>
      <c r="S525" s="6">
        <v>4.5456000000000003</v>
      </c>
      <c r="T525" s="6">
        <v>2.2964000000000002</v>
      </c>
      <c r="U525" s="6">
        <v>328</v>
      </c>
      <c r="W525" s="17">
        <v>523</v>
      </c>
      <c r="X525" s="6">
        <v>4.5174799999999999</v>
      </c>
      <c r="Y525" s="6">
        <v>4.5456000000000003</v>
      </c>
      <c r="Z525" s="6">
        <v>2.2964000000000002</v>
      </c>
      <c r="AA525" s="6">
        <v>328</v>
      </c>
      <c r="AN525" s="17">
        <v>522</v>
      </c>
      <c r="AO525" s="6">
        <v>1.06376</v>
      </c>
      <c r="AP525" s="19">
        <v>-0.87150000000000005</v>
      </c>
      <c r="AQ525" s="6">
        <v>0.54069999999999996</v>
      </c>
      <c r="AR525" s="6">
        <v>328</v>
      </c>
      <c r="AT525" s="17">
        <v>522</v>
      </c>
      <c r="AU525" s="6">
        <v>0.56133</v>
      </c>
      <c r="AV525" s="19">
        <v>-0.87150000000000005</v>
      </c>
      <c r="AW525" s="6">
        <v>0.54069999999999996</v>
      </c>
      <c r="AX525" s="6">
        <v>328</v>
      </c>
    </row>
    <row r="526" spans="1:50" x14ac:dyDescent="0.25">
      <c r="A526" s="31" t="s">
        <v>13</v>
      </c>
      <c r="B526" s="32">
        <v>2</v>
      </c>
      <c r="C526" s="36">
        <v>1</v>
      </c>
      <c r="D526" s="36">
        <v>3</v>
      </c>
      <c r="E526" s="32">
        <v>22</v>
      </c>
      <c r="F526" s="12">
        <v>59</v>
      </c>
      <c r="G526">
        <v>71.572050000000004</v>
      </c>
      <c r="Q526" s="17">
        <v>524</v>
      </c>
      <c r="R526" s="6">
        <v>2.39255</v>
      </c>
      <c r="S526" s="19">
        <v>-4.0781999999999998</v>
      </c>
      <c r="T526" s="6">
        <v>2.3048000000000002</v>
      </c>
      <c r="U526" s="6">
        <v>328</v>
      </c>
      <c r="W526" s="17">
        <v>524</v>
      </c>
      <c r="X526" s="6">
        <v>4.5340400000000001</v>
      </c>
      <c r="Y526" s="19">
        <v>-4.0781999999999998</v>
      </c>
      <c r="Z526" s="6">
        <v>2.3048000000000002</v>
      </c>
      <c r="AA526" s="6">
        <v>328</v>
      </c>
      <c r="AN526" s="17">
        <v>523</v>
      </c>
      <c r="AO526" s="6">
        <v>1.0653600000000001</v>
      </c>
      <c r="AP526" s="19">
        <v>-0.3049</v>
      </c>
      <c r="AQ526" s="6">
        <v>0.54159999999999997</v>
      </c>
      <c r="AR526" s="6">
        <v>328</v>
      </c>
      <c r="AT526" s="17">
        <v>523</v>
      </c>
      <c r="AU526" s="6">
        <v>0.56218000000000001</v>
      </c>
      <c r="AV526" s="19">
        <v>-0.3049</v>
      </c>
      <c r="AW526" s="6">
        <v>0.54159999999999997</v>
      </c>
      <c r="AX526" s="6">
        <v>328</v>
      </c>
    </row>
    <row r="527" spans="1:50" x14ac:dyDescent="0.25">
      <c r="A527" s="31" t="s">
        <v>13</v>
      </c>
      <c r="B527" s="32">
        <v>3</v>
      </c>
      <c r="C527" s="36">
        <v>7</v>
      </c>
      <c r="D527" s="36">
        <v>5</v>
      </c>
      <c r="E527" s="32">
        <v>22</v>
      </c>
      <c r="F527" s="12">
        <v>58.7</v>
      </c>
      <c r="G527">
        <v>61.910199999999989</v>
      </c>
      <c r="Q527" s="17">
        <v>525</v>
      </c>
      <c r="R527" s="6">
        <v>2.3871699999999998</v>
      </c>
      <c r="S527" s="19">
        <v>-0.41249999999999998</v>
      </c>
      <c r="T527" s="6">
        <v>2.2995999999999999</v>
      </c>
      <c r="U527" s="6">
        <v>328</v>
      </c>
      <c r="W527" s="17">
        <v>525</v>
      </c>
      <c r="X527" s="6">
        <v>4.5238399999999999</v>
      </c>
      <c r="Y527" s="19">
        <v>-0.41249999999999998</v>
      </c>
      <c r="Z527" s="6">
        <v>2.2995999999999999</v>
      </c>
      <c r="AA527" s="6">
        <v>328</v>
      </c>
      <c r="AN527" s="17">
        <v>524</v>
      </c>
      <c r="AO527" s="6">
        <v>1.0731200000000001</v>
      </c>
      <c r="AP527" s="19">
        <v>-2.6943999999999999</v>
      </c>
      <c r="AQ527" s="6">
        <v>0.54549999999999998</v>
      </c>
      <c r="AR527" s="6">
        <v>328</v>
      </c>
      <c r="AT527" s="17">
        <v>524</v>
      </c>
      <c r="AU527" s="6">
        <v>0.56627000000000005</v>
      </c>
      <c r="AV527" s="19">
        <v>-2.6943999999999999</v>
      </c>
      <c r="AW527" s="6">
        <v>0.54549999999999998</v>
      </c>
      <c r="AX527" s="6">
        <v>328</v>
      </c>
    </row>
    <row r="528" spans="1:50" x14ac:dyDescent="0.25">
      <c r="A528" t="s">
        <v>7</v>
      </c>
      <c r="B528" s="11">
        <v>1</v>
      </c>
      <c r="C528" s="11">
        <v>11</v>
      </c>
      <c r="D528" s="11">
        <v>4</v>
      </c>
      <c r="E528" s="11">
        <v>22</v>
      </c>
      <c r="F528" s="12">
        <v>56.9</v>
      </c>
      <c r="G528">
        <v>46.470507499385299</v>
      </c>
      <c r="Q528" s="17">
        <v>526</v>
      </c>
      <c r="R528" s="6">
        <v>2.3851499999999999</v>
      </c>
      <c r="S528" s="6">
        <v>1.2837000000000001</v>
      </c>
      <c r="T528" s="6">
        <v>2.2976999999999999</v>
      </c>
      <c r="U528" s="6">
        <v>328</v>
      </c>
      <c r="W528" s="17">
        <v>526</v>
      </c>
      <c r="X528" s="6">
        <v>4.5200199999999997</v>
      </c>
      <c r="Y528" s="6">
        <v>1.2837000000000001</v>
      </c>
      <c r="Z528" s="6">
        <v>2.2976999999999999</v>
      </c>
      <c r="AA528" s="6">
        <v>328</v>
      </c>
      <c r="AN528" s="17">
        <v>525</v>
      </c>
      <c r="AO528" s="6">
        <v>1.0694399999999999</v>
      </c>
      <c r="AP528" s="19">
        <v>-0.62329999999999997</v>
      </c>
      <c r="AQ528" s="6">
        <v>0.54359999999999997</v>
      </c>
      <c r="AR528" s="6">
        <v>328</v>
      </c>
      <c r="AT528" s="17">
        <v>525</v>
      </c>
      <c r="AU528" s="6">
        <v>0.56433</v>
      </c>
      <c r="AV528" s="19">
        <v>-0.62329999999999997</v>
      </c>
      <c r="AW528" s="6">
        <v>0.54359999999999997</v>
      </c>
      <c r="AX528" s="6">
        <v>328</v>
      </c>
    </row>
    <row r="529" spans="1:50" x14ac:dyDescent="0.25">
      <c r="A529" t="s">
        <v>7</v>
      </c>
      <c r="B529" s="11">
        <v>2</v>
      </c>
      <c r="C529" s="11">
        <v>9</v>
      </c>
      <c r="D529" s="11">
        <v>7</v>
      </c>
      <c r="E529" s="11">
        <v>22</v>
      </c>
      <c r="F529" s="12">
        <v>56.1</v>
      </c>
      <c r="G529">
        <v>49.839428571428563</v>
      </c>
      <c r="Q529" s="17">
        <v>527</v>
      </c>
      <c r="R529" s="6">
        <v>2.3971200000000001</v>
      </c>
      <c r="S529" s="19">
        <v>-0.11020000000000001</v>
      </c>
      <c r="T529" s="6">
        <v>2.3092000000000001</v>
      </c>
      <c r="U529" s="6">
        <v>328</v>
      </c>
      <c r="W529" s="17">
        <v>527</v>
      </c>
      <c r="X529" s="6">
        <v>4.5427</v>
      </c>
      <c r="Y529" s="19">
        <v>-0.11020000000000001</v>
      </c>
      <c r="Z529" s="6">
        <v>2.3092000000000001</v>
      </c>
      <c r="AA529" s="6">
        <v>328</v>
      </c>
      <c r="AN529" s="17">
        <v>526</v>
      </c>
      <c r="AO529" s="6">
        <v>1.07037</v>
      </c>
      <c r="AP529" s="19">
        <v>-0.40989999999999999</v>
      </c>
      <c r="AQ529" s="6">
        <v>0.54410000000000003</v>
      </c>
      <c r="AR529" s="6">
        <v>328</v>
      </c>
      <c r="AT529" s="17">
        <v>526</v>
      </c>
      <c r="AU529" s="6">
        <v>0.56481999999999999</v>
      </c>
      <c r="AV529" s="19">
        <v>-0.40989999999999999</v>
      </c>
      <c r="AW529" s="6">
        <v>0.54410000000000003</v>
      </c>
      <c r="AX529" s="6">
        <v>328</v>
      </c>
    </row>
    <row r="530" spans="1:50" x14ac:dyDescent="0.25">
      <c r="A530" t="s">
        <v>7</v>
      </c>
      <c r="B530" s="11">
        <v>3</v>
      </c>
      <c r="C530" s="11">
        <v>5</v>
      </c>
      <c r="D530" s="11">
        <v>9</v>
      </c>
      <c r="E530" s="11">
        <v>22</v>
      </c>
      <c r="F530" s="12">
        <v>55.2</v>
      </c>
      <c r="G530">
        <v>47.126192094784884</v>
      </c>
      <c r="Q530" s="17">
        <v>528</v>
      </c>
      <c r="R530" s="6">
        <v>2.3862299999999999</v>
      </c>
      <c r="S530" s="6">
        <v>0.95650000000000002</v>
      </c>
      <c r="T530" s="6">
        <v>2.2987000000000002</v>
      </c>
      <c r="U530" s="6">
        <v>328</v>
      </c>
      <c r="W530" s="17">
        <v>528</v>
      </c>
      <c r="X530" s="6">
        <v>4.5220700000000003</v>
      </c>
      <c r="Y530" s="6">
        <v>0.95650000000000002</v>
      </c>
      <c r="Z530" s="6">
        <v>2.2987000000000002</v>
      </c>
      <c r="AA530" s="6">
        <v>328</v>
      </c>
      <c r="AN530" s="17">
        <v>527</v>
      </c>
      <c r="AO530" s="6">
        <v>1.0784100000000001</v>
      </c>
      <c r="AP530" s="19">
        <v>-0.69910000000000005</v>
      </c>
      <c r="AQ530" s="6">
        <v>0.54820000000000002</v>
      </c>
      <c r="AR530" s="6">
        <v>328</v>
      </c>
      <c r="AT530" s="17">
        <v>527</v>
      </c>
      <c r="AU530" s="6">
        <v>0.56906000000000001</v>
      </c>
      <c r="AV530" s="19">
        <v>-0.69910000000000005</v>
      </c>
      <c r="AW530" s="6">
        <v>0.54820000000000002</v>
      </c>
      <c r="AX530" s="6">
        <v>328</v>
      </c>
    </row>
    <row r="531" spans="1:50" x14ac:dyDescent="0.25">
      <c r="A531" s="31" t="s">
        <v>156</v>
      </c>
      <c r="B531" s="32">
        <v>1</v>
      </c>
      <c r="C531" s="32">
        <v>11</v>
      </c>
      <c r="D531" s="32">
        <v>2</v>
      </c>
      <c r="E531" s="32">
        <v>22</v>
      </c>
      <c r="F531" s="2">
        <v>58.3</v>
      </c>
      <c r="G531">
        <v>51.411880646097302</v>
      </c>
      <c r="Q531" s="17">
        <v>529</v>
      </c>
      <c r="R531" s="6">
        <v>2.3715600000000001</v>
      </c>
      <c r="S531" s="19">
        <v>-0.61209999999999998</v>
      </c>
      <c r="T531" s="6">
        <v>2.2846000000000002</v>
      </c>
      <c r="U531" s="6">
        <v>328</v>
      </c>
      <c r="W531" s="17">
        <v>529</v>
      </c>
      <c r="X531" s="6">
        <v>4.4942700000000002</v>
      </c>
      <c r="Y531" s="19">
        <v>-0.61209999999999998</v>
      </c>
      <c r="Z531" s="6">
        <v>2.2846000000000002</v>
      </c>
      <c r="AA531" s="6">
        <v>328</v>
      </c>
      <c r="AN531" s="17">
        <v>528</v>
      </c>
      <c r="AO531" s="6">
        <v>1.06985</v>
      </c>
      <c r="AP531" s="19">
        <v>-1.7796000000000001</v>
      </c>
      <c r="AQ531" s="6">
        <v>0.54379999999999995</v>
      </c>
      <c r="AR531" s="6">
        <v>328</v>
      </c>
      <c r="AT531" s="17">
        <v>528</v>
      </c>
      <c r="AU531" s="6">
        <v>0.56455</v>
      </c>
      <c r="AV531" s="19">
        <v>-1.7796000000000001</v>
      </c>
      <c r="AW531" s="6">
        <v>0.54379999999999995</v>
      </c>
      <c r="AX531" s="6">
        <v>328</v>
      </c>
    </row>
    <row r="532" spans="1:50" x14ac:dyDescent="0.25">
      <c r="A532" s="31" t="s">
        <v>156</v>
      </c>
      <c r="B532" s="32">
        <v>2</v>
      </c>
      <c r="C532" s="32">
        <v>3</v>
      </c>
      <c r="D532" s="32">
        <v>3</v>
      </c>
      <c r="E532" s="32">
        <v>22</v>
      </c>
      <c r="F532" s="2">
        <v>55.4</v>
      </c>
      <c r="G532">
        <v>44.556682416469791</v>
      </c>
      <c r="Q532" s="17">
        <v>530</v>
      </c>
      <c r="R532" s="6">
        <v>2.3826399999999999</v>
      </c>
      <c r="S532" s="19">
        <v>-0.109</v>
      </c>
      <c r="T532" s="6">
        <v>2.2951999999999999</v>
      </c>
      <c r="U532" s="6">
        <v>328</v>
      </c>
      <c r="W532" s="17">
        <v>530</v>
      </c>
      <c r="X532" s="6">
        <v>4.5152599999999996</v>
      </c>
      <c r="Y532" s="19">
        <v>-0.109</v>
      </c>
      <c r="Z532" s="6">
        <v>2.2951999999999999</v>
      </c>
      <c r="AA532" s="6">
        <v>328</v>
      </c>
      <c r="AN532" s="17">
        <v>529</v>
      </c>
      <c r="AO532" s="6">
        <v>1.0615699999999999</v>
      </c>
      <c r="AP532" s="19">
        <v>-1.4400999999999999</v>
      </c>
      <c r="AQ532" s="6">
        <v>0.53959999999999997</v>
      </c>
      <c r="AR532" s="6">
        <v>328</v>
      </c>
      <c r="AT532" s="17">
        <v>529</v>
      </c>
      <c r="AU532" s="6">
        <v>0.56018000000000001</v>
      </c>
      <c r="AV532" s="19">
        <v>-1.4400999999999999</v>
      </c>
      <c r="AW532" s="6">
        <v>0.53959999999999997</v>
      </c>
      <c r="AX532" s="6">
        <v>328</v>
      </c>
    </row>
    <row r="533" spans="1:50" x14ac:dyDescent="0.25">
      <c r="A533" s="31" t="s">
        <v>156</v>
      </c>
      <c r="B533" s="32">
        <v>3</v>
      </c>
      <c r="C533" s="32">
        <v>7</v>
      </c>
      <c r="D533" s="32">
        <v>5</v>
      </c>
      <c r="E533" s="32">
        <v>22</v>
      </c>
      <c r="F533" s="2">
        <v>59.3</v>
      </c>
      <c r="G533">
        <v>37.49450488441822</v>
      </c>
      <c r="Q533" s="17">
        <v>531</v>
      </c>
      <c r="R533" s="6">
        <v>2.4052799999999999</v>
      </c>
      <c r="S533" s="6">
        <v>7.1881000000000004</v>
      </c>
      <c r="T533" s="6">
        <v>2.3170999999999999</v>
      </c>
      <c r="U533" s="6">
        <v>328</v>
      </c>
      <c r="W533" s="17">
        <v>531</v>
      </c>
      <c r="X533" s="6">
        <v>4.5581800000000001</v>
      </c>
      <c r="Y533" s="6">
        <v>7.1881000000000004</v>
      </c>
      <c r="Z533" s="6">
        <v>2.3170999999999999</v>
      </c>
      <c r="AA533" s="6">
        <v>328</v>
      </c>
      <c r="AN533" s="17">
        <v>530</v>
      </c>
      <c r="AO533" s="6">
        <v>1.06718</v>
      </c>
      <c r="AP533" s="19">
        <v>-1.9669000000000001</v>
      </c>
      <c r="AQ533" s="6">
        <v>0.54249999999999998</v>
      </c>
      <c r="AR533" s="6">
        <v>328</v>
      </c>
      <c r="AT533" s="17">
        <v>530</v>
      </c>
      <c r="AU533" s="6">
        <v>0.56313000000000002</v>
      </c>
      <c r="AV533" s="19">
        <v>-1.9669000000000001</v>
      </c>
      <c r="AW533" s="6">
        <v>0.54249999999999998</v>
      </c>
      <c r="AX533" s="6">
        <v>328</v>
      </c>
    </row>
    <row r="534" spans="1:50" x14ac:dyDescent="0.25">
      <c r="A534" s="31" t="s">
        <v>10</v>
      </c>
      <c r="B534" s="32">
        <v>1</v>
      </c>
      <c r="C534" s="32">
        <v>11</v>
      </c>
      <c r="D534" s="32">
        <v>3</v>
      </c>
      <c r="E534" s="32">
        <v>22</v>
      </c>
      <c r="F534" s="2">
        <v>58</v>
      </c>
      <c r="G534">
        <v>71.476828629618836</v>
      </c>
      <c r="Q534" s="17">
        <v>532</v>
      </c>
      <c r="R534" s="6">
        <v>2.3877299999999999</v>
      </c>
      <c r="S534" s="6">
        <v>1.6953</v>
      </c>
      <c r="T534" s="6">
        <v>2.3001999999999998</v>
      </c>
      <c r="U534" s="6">
        <v>328</v>
      </c>
      <c r="W534" s="17">
        <v>532</v>
      </c>
      <c r="X534" s="6">
        <v>4.5249199999999998</v>
      </c>
      <c r="Y534" s="6">
        <v>1.6953</v>
      </c>
      <c r="Z534" s="6">
        <v>2.3001999999999998</v>
      </c>
      <c r="AA534" s="6">
        <v>328</v>
      </c>
      <c r="AN534" s="17">
        <v>531</v>
      </c>
      <c r="AO534" s="6">
        <v>1.0845100000000001</v>
      </c>
      <c r="AP534" s="19">
        <v>-0.1772</v>
      </c>
      <c r="AQ534" s="6">
        <v>0.55130000000000001</v>
      </c>
      <c r="AR534" s="6">
        <v>328</v>
      </c>
      <c r="AT534" s="17">
        <v>531</v>
      </c>
      <c r="AU534" s="6">
        <v>0.57228000000000001</v>
      </c>
      <c r="AV534" s="19">
        <v>-0.1772</v>
      </c>
      <c r="AW534" s="6">
        <v>0.55130000000000001</v>
      </c>
      <c r="AX534" s="6">
        <v>328</v>
      </c>
    </row>
    <row r="535" spans="1:50" x14ac:dyDescent="0.25">
      <c r="A535" s="31" t="s">
        <v>10</v>
      </c>
      <c r="B535" s="32">
        <v>2</v>
      </c>
      <c r="C535" s="32">
        <v>9</v>
      </c>
      <c r="D535" s="32">
        <v>5</v>
      </c>
      <c r="E535" s="32">
        <v>22</v>
      </c>
      <c r="F535" s="2">
        <v>57</v>
      </c>
      <c r="G535">
        <v>57.048179723502308</v>
      </c>
      <c r="Q535" s="17">
        <v>533</v>
      </c>
      <c r="R535" s="6">
        <v>2.3937900000000001</v>
      </c>
      <c r="S535" s="6">
        <v>11.4138</v>
      </c>
      <c r="T535" s="6">
        <v>2.306</v>
      </c>
      <c r="U535" s="6">
        <v>328</v>
      </c>
      <c r="W535" s="17">
        <v>533</v>
      </c>
      <c r="X535" s="6">
        <v>4.5364000000000004</v>
      </c>
      <c r="Y535" s="6">
        <v>11.4138</v>
      </c>
      <c r="Z535" s="6">
        <v>2.306</v>
      </c>
      <c r="AA535" s="6">
        <v>328</v>
      </c>
      <c r="AN535" s="17">
        <v>532</v>
      </c>
      <c r="AO535" s="6">
        <v>1.0670299999999999</v>
      </c>
      <c r="AP535" s="19">
        <v>-1.8956999999999999</v>
      </c>
      <c r="AQ535" s="6">
        <v>0.54239999999999999</v>
      </c>
      <c r="AR535" s="6">
        <v>328</v>
      </c>
      <c r="AT535" s="17">
        <v>532</v>
      </c>
      <c r="AU535" s="6">
        <v>0.56305000000000005</v>
      </c>
      <c r="AV535" s="19">
        <v>-1.8956999999999999</v>
      </c>
      <c r="AW535" s="6">
        <v>0.54239999999999999</v>
      </c>
      <c r="AX535" s="6">
        <v>328</v>
      </c>
    </row>
    <row r="536" spans="1:50" x14ac:dyDescent="0.25">
      <c r="A536" s="31" t="s">
        <v>10</v>
      </c>
      <c r="B536" s="32">
        <v>3</v>
      </c>
      <c r="C536" s="32">
        <v>6</v>
      </c>
      <c r="D536" s="32">
        <v>11</v>
      </c>
      <c r="E536" s="32">
        <v>22</v>
      </c>
      <c r="F536" s="2">
        <v>54.8</v>
      </c>
      <c r="G536">
        <v>53.314225723064915</v>
      </c>
      <c r="Q536" s="17">
        <v>534</v>
      </c>
      <c r="R536" s="6">
        <v>2.3826499999999999</v>
      </c>
      <c r="S536" s="6">
        <v>6.6371000000000002</v>
      </c>
      <c r="T536" s="6">
        <v>2.2953000000000001</v>
      </c>
      <c r="U536" s="6">
        <v>328</v>
      </c>
      <c r="W536" s="17">
        <v>534</v>
      </c>
      <c r="X536" s="6">
        <v>4.5152799999999997</v>
      </c>
      <c r="Y536" s="6">
        <v>6.6371000000000002</v>
      </c>
      <c r="Z536" s="6">
        <v>2.2953000000000001</v>
      </c>
      <c r="AA536" s="6">
        <v>328</v>
      </c>
      <c r="AN536" s="17">
        <v>533</v>
      </c>
      <c r="AO536" s="6">
        <v>1.07762</v>
      </c>
      <c r="AP536" s="6">
        <v>0.61529999999999996</v>
      </c>
      <c r="AQ536" s="6">
        <v>0.54779999999999995</v>
      </c>
      <c r="AR536" s="6">
        <v>328</v>
      </c>
      <c r="AT536" s="17">
        <v>533</v>
      </c>
      <c r="AU536" s="6">
        <v>0.56864000000000003</v>
      </c>
      <c r="AV536" s="6">
        <v>0.61529999999999996</v>
      </c>
      <c r="AW536" s="6">
        <v>0.54779999999999995</v>
      </c>
      <c r="AX536" s="6">
        <v>328</v>
      </c>
    </row>
    <row r="537" spans="1:50" x14ac:dyDescent="0.25">
      <c r="A537" s="31" t="s">
        <v>11</v>
      </c>
      <c r="B537" s="32">
        <v>1</v>
      </c>
      <c r="C537" s="32">
        <v>9</v>
      </c>
      <c r="D537" s="32">
        <v>2</v>
      </c>
      <c r="E537" s="11">
        <v>22</v>
      </c>
      <c r="F537" s="2">
        <v>63.1</v>
      </c>
      <c r="G537">
        <v>29.15059494864288</v>
      </c>
      <c r="Q537" s="17">
        <v>535</v>
      </c>
      <c r="R537" s="6">
        <v>2.3925399999999999</v>
      </c>
      <c r="S537" s="6">
        <v>0.65849999999999997</v>
      </c>
      <c r="T537" s="6">
        <v>2.3048000000000002</v>
      </c>
      <c r="U537" s="6">
        <v>328</v>
      </c>
      <c r="W537" s="17">
        <v>535</v>
      </c>
      <c r="X537" s="6">
        <v>4.5340299999999996</v>
      </c>
      <c r="Y537" s="6">
        <v>0.65849999999999997</v>
      </c>
      <c r="Z537" s="6">
        <v>2.3048000000000002</v>
      </c>
      <c r="AA537" s="6">
        <v>328</v>
      </c>
      <c r="AN537" s="17">
        <v>534</v>
      </c>
      <c r="AO537" s="6">
        <v>1.0677000000000001</v>
      </c>
      <c r="AP537" s="19">
        <v>-0.25629999999999997</v>
      </c>
      <c r="AQ537" s="6">
        <v>0.54269999999999996</v>
      </c>
      <c r="AR537" s="6">
        <v>328</v>
      </c>
      <c r="AT537" s="17">
        <v>534</v>
      </c>
      <c r="AU537" s="6">
        <v>0.56340999999999997</v>
      </c>
      <c r="AV537" s="19">
        <v>-0.25629999999999997</v>
      </c>
      <c r="AW537" s="6">
        <v>0.54269999999999996</v>
      </c>
      <c r="AX537" s="6">
        <v>328</v>
      </c>
    </row>
    <row r="538" spans="1:50" x14ac:dyDescent="0.25">
      <c r="A538" s="31" t="s">
        <v>11</v>
      </c>
      <c r="B538" s="32">
        <v>2</v>
      </c>
      <c r="C538" s="32">
        <v>11</v>
      </c>
      <c r="D538" s="32">
        <v>4</v>
      </c>
      <c r="E538" s="11">
        <v>22</v>
      </c>
      <c r="F538" s="2">
        <v>62.5</v>
      </c>
      <c r="G538">
        <v>27.736482830385011</v>
      </c>
      <c r="Q538" s="17">
        <v>536</v>
      </c>
      <c r="R538" s="6">
        <v>2.38611</v>
      </c>
      <c r="S538" s="6">
        <v>2.6602000000000001</v>
      </c>
      <c r="T538" s="6">
        <v>2.2986</v>
      </c>
      <c r="U538" s="6">
        <v>328</v>
      </c>
      <c r="W538" s="17">
        <v>536</v>
      </c>
      <c r="X538" s="6">
        <v>4.5218499999999997</v>
      </c>
      <c r="Y538" s="6">
        <v>2.6602000000000001</v>
      </c>
      <c r="Z538" s="6">
        <v>2.2986</v>
      </c>
      <c r="AA538" s="6">
        <v>328</v>
      </c>
      <c r="AN538" s="17">
        <v>535</v>
      </c>
      <c r="AO538" s="6">
        <v>1.0746899999999999</v>
      </c>
      <c r="AP538" s="19">
        <v>-0.70420000000000005</v>
      </c>
      <c r="AQ538" s="6">
        <v>0.54630000000000001</v>
      </c>
      <c r="AR538" s="6">
        <v>328</v>
      </c>
      <c r="AT538" s="17">
        <v>535</v>
      </c>
      <c r="AU538" s="6">
        <v>0.56710000000000005</v>
      </c>
      <c r="AV538" s="19">
        <v>-0.70420000000000005</v>
      </c>
      <c r="AW538" s="6">
        <v>0.54630000000000001</v>
      </c>
      <c r="AX538" s="6">
        <v>328</v>
      </c>
    </row>
    <row r="539" spans="1:50" x14ac:dyDescent="0.25">
      <c r="A539" s="31" t="s">
        <v>11</v>
      </c>
      <c r="B539" s="32">
        <v>3</v>
      </c>
      <c r="C539" s="32">
        <v>1</v>
      </c>
      <c r="D539" s="32">
        <v>9</v>
      </c>
      <c r="E539" s="11">
        <v>22</v>
      </c>
      <c r="F539" s="2">
        <v>62.6</v>
      </c>
      <c r="G539">
        <v>35.596497940243374</v>
      </c>
      <c r="Q539" s="17">
        <v>537</v>
      </c>
      <c r="R539" s="6">
        <v>2.3900800000000002</v>
      </c>
      <c r="S539" s="19">
        <v>-7.9917999999999996</v>
      </c>
      <c r="T539" s="6">
        <v>2.3024</v>
      </c>
      <c r="U539" s="6">
        <v>328</v>
      </c>
      <c r="W539" s="17">
        <v>537</v>
      </c>
      <c r="X539" s="6">
        <v>4.5293599999999996</v>
      </c>
      <c r="Y539" s="19">
        <v>-7.9917999999999996</v>
      </c>
      <c r="Z539" s="6">
        <v>2.3024</v>
      </c>
      <c r="AA539" s="6">
        <v>328</v>
      </c>
      <c r="AN539" s="17">
        <v>536</v>
      </c>
      <c r="AO539" s="6">
        <v>1.0690200000000001</v>
      </c>
      <c r="AP539" s="19">
        <v>-0.70640000000000003</v>
      </c>
      <c r="AQ539" s="6">
        <v>0.54339999999999999</v>
      </c>
      <c r="AR539" s="6">
        <v>328</v>
      </c>
      <c r="AT539" s="17">
        <v>536</v>
      </c>
      <c r="AU539" s="6">
        <v>0.56411</v>
      </c>
      <c r="AV539" s="19">
        <v>-0.70640000000000003</v>
      </c>
      <c r="AW539" s="6">
        <v>0.54339999999999999</v>
      </c>
      <c r="AX539" s="6">
        <v>328</v>
      </c>
    </row>
    <row r="540" spans="1:50" x14ac:dyDescent="0.25">
      <c r="A540" t="s">
        <v>160</v>
      </c>
      <c r="B540" s="11">
        <v>1</v>
      </c>
      <c r="C540" s="36">
        <v>6</v>
      </c>
      <c r="D540" s="36">
        <v>1</v>
      </c>
      <c r="E540" s="32">
        <v>22</v>
      </c>
      <c r="F540" s="14">
        <v>60.8</v>
      </c>
      <c r="G540">
        <v>93.410021514629946</v>
      </c>
      <c r="Q540" s="17">
        <v>538</v>
      </c>
      <c r="R540" s="6">
        <v>2.3858100000000002</v>
      </c>
      <c r="S540" s="19">
        <v>-6.5476999999999999</v>
      </c>
      <c r="T540" s="6">
        <v>2.2982999999999998</v>
      </c>
      <c r="U540" s="6">
        <v>328</v>
      </c>
      <c r="W540" s="17">
        <v>538</v>
      </c>
      <c r="X540" s="6">
        <v>4.52128</v>
      </c>
      <c r="Y540" s="19">
        <v>-6.5476999999999999</v>
      </c>
      <c r="Z540" s="6">
        <v>2.2982999999999998</v>
      </c>
      <c r="AA540" s="6">
        <v>328</v>
      </c>
      <c r="AN540" s="17">
        <v>537</v>
      </c>
      <c r="AO540" s="6">
        <v>1.0794600000000001</v>
      </c>
      <c r="AP540" s="19">
        <v>-1.4094</v>
      </c>
      <c r="AQ540" s="6">
        <v>0.54869999999999997</v>
      </c>
      <c r="AR540" s="6">
        <v>328</v>
      </c>
      <c r="AT540" s="17">
        <v>537</v>
      </c>
      <c r="AU540" s="6">
        <v>0.56962000000000002</v>
      </c>
      <c r="AV540" s="19">
        <v>-1.4094</v>
      </c>
      <c r="AW540" s="6">
        <v>0.54869999999999997</v>
      </c>
      <c r="AX540" s="6">
        <v>328</v>
      </c>
    </row>
    <row r="541" spans="1:50" x14ac:dyDescent="0.25">
      <c r="A541" t="s">
        <v>160</v>
      </c>
      <c r="B541" s="11">
        <v>2</v>
      </c>
      <c r="C541" s="36">
        <v>23</v>
      </c>
      <c r="D541" s="36">
        <v>4</v>
      </c>
      <c r="E541" s="32">
        <v>22</v>
      </c>
      <c r="F541" s="14">
        <v>60.7</v>
      </c>
      <c r="G541">
        <v>85.215435027143343</v>
      </c>
      <c r="Q541" s="17">
        <v>539</v>
      </c>
      <c r="R541" s="6">
        <v>2.3878200000000001</v>
      </c>
      <c r="S541" s="19">
        <v>-4.2445000000000004</v>
      </c>
      <c r="T541" s="6">
        <v>2.3001999999999998</v>
      </c>
      <c r="U541" s="6">
        <v>328</v>
      </c>
      <c r="W541" s="17">
        <v>539</v>
      </c>
      <c r="X541" s="6">
        <v>4.5250899999999996</v>
      </c>
      <c r="Y541" s="19">
        <v>-4.2445000000000004</v>
      </c>
      <c r="Z541" s="6">
        <v>2.3001999999999998</v>
      </c>
      <c r="AA541" s="6">
        <v>328</v>
      </c>
      <c r="AN541" s="17">
        <v>538</v>
      </c>
      <c r="AO541" s="6">
        <v>1.0739300000000001</v>
      </c>
      <c r="AP541" s="19">
        <v>-1.0637000000000001</v>
      </c>
      <c r="AQ541" s="6">
        <v>0.54590000000000005</v>
      </c>
      <c r="AR541" s="6">
        <v>328</v>
      </c>
      <c r="AT541" s="17">
        <v>538</v>
      </c>
      <c r="AU541" s="6">
        <v>0.56669999999999998</v>
      </c>
      <c r="AV541" s="19">
        <v>-1.0637000000000001</v>
      </c>
      <c r="AW541" s="6">
        <v>0.54590000000000005</v>
      </c>
      <c r="AX541" s="6">
        <v>328</v>
      </c>
    </row>
    <row r="542" spans="1:50" x14ac:dyDescent="0.25">
      <c r="A542" t="s">
        <v>160</v>
      </c>
      <c r="B542" s="11">
        <v>3</v>
      </c>
      <c r="C542" s="36">
        <v>18</v>
      </c>
      <c r="D542" s="36">
        <v>6</v>
      </c>
      <c r="E542" s="32">
        <v>22</v>
      </c>
      <c r="F542" s="14">
        <v>59.3</v>
      </c>
      <c r="G542">
        <v>78.754670624281857</v>
      </c>
      <c r="Q542" s="17">
        <v>540</v>
      </c>
      <c r="R542" s="6">
        <v>2.3910499999999999</v>
      </c>
      <c r="S542" s="19">
        <v>-2.2176999999999998</v>
      </c>
      <c r="T542" s="6">
        <v>2.3033999999999999</v>
      </c>
      <c r="U542" s="6">
        <v>328</v>
      </c>
      <c r="W542" s="17">
        <v>540</v>
      </c>
      <c r="X542" s="6">
        <v>4.5312099999999997</v>
      </c>
      <c r="Y542" s="19">
        <v>-2.2176999999999998</v>
      </c>
      <c r="Z542" s="6">
        <v>2.3033999999999999</v>
      </c>
      <c r="AA542" s="6">
        <v>328</v>
      </c>
      <c r="AN542" s="17">
        <v>539</v>
      </c>
      <c r="AO542" s="6">
        <v>1.0732900000000001</v>
      </c>
      <c r="AP542" s="19">
        <v>-2.1347999999999998</v>
      </c>
      <c r="AQ542" s="6">
        <v>0.54559999999999997</v>
      </c>
      <c r="AR542" s="6">
        <v>328</v>
      </c>
      <c r="AT542" s="17">
        <v>539</v>
      </c>
      <c r="AU542" s="6">
        <v>0.56635999999999997</v>
      </c>
      <c r="AV542" s="19">
        <v>-2.1347999999999998</v>
      </c>
      <c r="AW542" s="6">
        <v>0.54559999999999997</v>
      </c>
      <c r="AX542" s="6">
        <v>328</v>
      </c>
    </row>
    <row r="543" spans="1:50" x14ac:dyDescent="0.25">
      <c r="A543" s="31" t="s">
        <v>116</v>
      </c>
      <c r="B543" s="32">
        <v>1</v>
      </c>
      <c r="C543" s="32">
        <v>8</v>
      </c>
      <c r="D543" s="32">
        <v>4</v>
      </c>
      <c r="E543" s="32">
        <v>23</v>
      </c>
      <c r="F543" s="12">
        <v>56.9</v>
      </c>
      <c r="G543">
        <v>53.134046901893278</v>
      </c>
      <c r="Q543" s="17">
        <v>541</v>
      </c>
      <c r="R543" s="6">
        <v>2.3978600000000001</v>
      </c>
      <c r="S543" s="19">
        <v>-6.2180999999999997</v>
      </c>
      <c r="T543" s="6">
        <v>2.3098999999999998</v>
      </c>
      <c r="U543" s="6">
        <v>328</v>
      </c>
      <c r="W543" s="17">
        <v>541</v>
      </c>
      <c r="X543" s="6">
        <v>4.5441200000000004</v>
      </c>
      <c r="Y543" s="19">
        <v>-6.2180999999999997</v>
      </c>
      <c r="Z543" s="6">
        <v>2.3098999999999998</v>
      </c>
      <c r="AA543" s="6">
        <v>328</v>
      </c>
      <c r="AN543" s="17">
        <v>540</v>
      </c>
      <c r="AO543" s="6">
        <v>1.0785899999999999</v>
      </c>
      <c r="AP543" s="19">
        <v>-1.823</v>
      </c>
      <c r="AQ543" s="6">
        <v>0.54830000000000001</v>
      </c>
      <c r="AR543" s="6">
        <v>328</v>
      </c>
      <c r="AT543" s="17">
        <v>540</v>
      </c>
      <c r="AU543" s="6">
        <v>0.56916</v>
      </c>
      <c r="AV543" s="19">
        <v>-1.823</v>
      </c>
      <c r="AW543" s="6">
        <v>0.54830000000000001</v>
      </c>
      <c r="AX543" s="6">
        <v>328</v>
      </c>
    </row>
    <row r="544" spans="1:50" x14ac:dyDescent="0.25">
      <c r="A544" s="31" t="s">
        <v>116</v>
      </c>
      <c r="B544" s="32">
        <v>2</v>
      </c>
      <c r="C544" s="32">
        <v>1</v>
      </c>
      <c r="D544" s="32">
        <v>6</v>
      </c>
      <c r="E544" s="32">
        <v>23</v>
      </c>
      <c r="F544" s="12">
        <v>58</v>
      </c>
      <c r="G544">
        <v>57.240276779836357</v>
      </c>
      <c r="Q544" s="17">
        <v>542</v>
      </c>
      <c r="R544" s="6">
        <v>2.4001000000000001</v>
      </c>
      <c r="S544" s="19">
        <v>-3.9984999999999999</v>
      </c>
      <c r="T544" s="6">
        <v>2.3121</v>
      </c>
      <c r="U544" s="6">
        <v>328</v>
      </c>
      <c r="W544" s="17">
        <v>542</v>
      </c>
      <c r="X544" s="6">
        <v>4.5483599999999997</v>
      </c>
      <c r="Y544" s="19">
        <v>-3.9984999999999999</v>
      </c>
      <c r="Z544" s="6">
        <v>2.3121</v>
      </c>
      <c r="AA544" s="6">
        <v>328</v>
      </c>
      <c r="AN544" s="17">
        <v>541</v>
      </c>
      <c r="AO544" s="6">
        <v>1.0927500000000001</v>
      </c>
      <c r="AP544" s="19">
        <v>-0.76859999999999995</v>
      </c>
      <c r="AQ544" s="6">
        <v>0.55549999999999999</v>
      </c>
      <c r="AR544" s="6">
        <v>328</v>
      </c>
      <c r="AT544" s="17">
        <v>541</v>
      </c>
      <c r="AU544" s="6">
        <v>0.57662999999999998</v>
      </c>
      <c r="AV544" s="19">
        <v>-0.76859999999999995</v>
      </c>
      <c r="AW544" s="6">
        <v>0.55549999999999999</v>
      </c>
      <c r="AX544" s="6">
        <v>328</v>
      </c>
    </row>
    <row r="545" spans="1:50" x14ac:dyDescent="0.25">
      <c r="A545" s="31" t="s">
        <v>116</v>
      </c>
      <c r="B545" s="32">
        <v>3</v>
      </c>
      <c r="C545" s="32">
        <v>4</v>
      </c>
      <c r="D545" s="32">
        <v>9</v>
      </c>
      <c r="E545" s="32">
        <v>23</v>
      </c>
      <c r="F545" s="12">
        <v>58.8</v>
      </c>
      <c r="G545">
        <v>63.904626488597465</v>
      </c>
      <c r="Q545" s="17">
        <v>543</v>
      </c>
      <c r="R545" s="6">
        <v>2.4011399999999998</v>
      </c>
      <c r="S545" s="19">
        <v>-12.6312</v>
      </c>
      <c r="T545" s="6">
        <v>2.3130999999999999</v>
      </c>
      <c r="U545" s="6">
        <v>328</v>
      </c>
      <c r="W545" s="17">
        <v>543</v>
      </c>
      <c r="X545" s="6">
        <v>4.5503299999999998</v>
      </c>
      <c r="Y545" s="19">
        <v>-12.6312</v>
      </c>
      <c r="Z545" s="6">
        <v>2.3130999999999999</v>
      </c>
      <c r="AA545" s="6">
        <v>328</v>
      </c>
      <c r="AN545" s="17">
        <v>542</v>
      </c>
      <c r="AO545" s="6">
        <v>1.08318</v>
      </c>
      <c r="AP545" s="19">
        <v>-0.85909999999999997</v>
      </c>
      <c r="AQ545" s="6">
        <v>0.55059999999999998</v>
      </c>
      <c r="AR545" s="6">
        <v>328</v>
      </c>
      <c r="AT545" s="17">
        <v>542</v>
      </c>
      <c r="AU545" s="6">
        <v>0.57157999999999998</v>
      </c>
      <c r="AV545" s="19">
        <v>-0.85909999999999997</v>
      </c>
      <c r="AW545" s="6">
        <v>0.55059999999999998</v>
      </c>
      <c r="AX545" s="6">
        <v>328</v>
      </c>
    </row>
    <row r="546" spans="1:50" x14ac:dyDescent="0.25">
      <c r="A546" s="34" t="s">
        <v>97</v>
      </c>
      <c r="B546" s="35">
        <v>1</v>
      </c>
      <c r="C546" s="35">
        <v>20</v>
      </c>
      <c r="D546" s="35">
        <v>1</v>
      </c>
      <c r="E546" s="35">
        <v>23</v>
      </c>
      <c r="F546" s="2">
        <v>60.3</v>
      </c>
      <c r="G546">
        <v>75.803027142857133</v>
      </c>
      <c r="Q546" s="17">
        <v>544</v>
      </c>
      <c r="R546" s="6">
        <v>2.4029600000000002</v>
      </c>
      <c r="S546" s="19">
        <v>-5.7095000000000002</v>
      </c>
      <c r="T546" s="6">
        <v>2.3148</v>
      </c>
      <c r="U546" s="6">
        <v>328</v>
      </c>
      <c r="W546" s="17">
        <v>544</v>
      </c>
      <c r="X546" s="6">
        <v>4.5537799999999997</v>
      </c>
      <c r="Y546" s="19">
        <v>-5.7095000000000002</v>
      </c>
      <c r="Z546" s="6">
        <v>2.3148</v>
      </c>
      <c r="AA546" s="6">
        <v>328</v>
      </c>
      <c r="AN546" s="17">
        <v>543</v>
      </c>
      <c r="AO546" s="6">
        <v>1.0849200000000001</v>
      </c>
      <c r="AP546" s="19">
        <v>-1.1523000000000001</v>
      </c>
      <c r="AQ546" s="6">
        <v>0.55149999999999999</v>
      </c>
      <c r="AR546" s="6">
        <v>328</v>
      </c>
      <c r="AT546" s="17">
        <v>543</v>
      </c>
      <c r="AU546" s="6">
        <v>0.57249000000000005</v>
      </c>
      <c r="AV546" s="19">
        <v>-1.1523000000000001</v>
      </c>
      <c r="AW546" s="6">
        <v>0.55149999999999999</v>
      </c>
      <c r="AX546" s="6">
        <v>328</v>
      </c>
    </row>
    <row r="547" spans="1:50" x14ac:dyDescent="0.25">
      <c r="A547" s="34" t="s">
        <v>97</v>
      </c>
      <c r="B547" s="35">
        <v>2</v>
      </c>
      <c r="C547" s="35">
        <v>19</v>
      </c>
      <c r="D547" s="35">
        <v>3</v>
      </c>
      <c r="E547" s="35">
        <v>23</v>
      </c>
      <c r="F547" s="2">
        <v>61.1</v>
      </c>
      <c r="G547">
        <v>71.091492299522045</v>
      </c>
      <c r="Q547" s="17">
        <v>545</v>
      </c>
      <c r="R547" s="6">
        <v>2.38388</v>
      </c>
      <c r="S547" s="19">
        <v>-3.0089000000000001</v>
      </c>
      <c r="T547" s="6">
        <v>2.2964000000000002</v>
      </c>
      <c r="U547" s="6">
        <v>328</v>
      </c>
      <c r="W547" s="17">
        <v>545</v>
      </c>
      <c r="X547" s="6">
        <v>4.5176100000000003</v>
      </c>
      <c r="Y547" s="19">
        <v>-3.0089000000000001</v>
      </c>
      <c r="Z547" s="6">
        <v>2.2964000000000002</v>
      </c>
      <c r="AA547" s="6">
        <v>328</v>
      </c>
      <c r="AN547" s="17">
        <v>544</v>
      </c>
      <c r="AO547" s="6">
        <v>1.0764100000000001</v>
      </c>
      <c r="AP547" s="19">
        <v>-1.1789000000000001</v>
      </c>
      <c r="AQ547" s="6">
        <v>0.54720000000000002</v>
      </c>
      <c r="AR547" s="6">
        <v>328</v>
      </c>
      <c r="AT547" s="17">
        <v>544</v>
      </c>
      <c r="AU547" s="6">
        <v>0.56799999999999995</v>
      </c>
      <c r="AV547" s="19">
        <v>-1.1789000000000001</v>
      </c>
      <c r="AW547" s="6">
        <v>0.54720000000000002</v>
      </c>
      <c r="AX547" s="6">
        <v>328</v>
      </c>
    </row>
    <row r="548" spans="1:50" x14ac:dyDescent="0.25">
      <c r="A548" s="34" t="s">
        <v>97</v>
      </c>
      <c r="B548" s="35">
        <v>3</v>
      </c>
      <c r="C548" s="35">
        <v>4</v>
      </c>
      <c r="D548" s="35">
        <v>6</v>
      </c>
      <c r="E548" s="35">
        <v>23</v>
      </c>
      <c r="F548" s="2">
        <v>60.2</v>
      </c>
      <c r="G548">
        <v>78.079759202746516</v>
      </c>
      <c r="Q548" s="17">
        <v>546</v>
      </c>
      <c r="R548" s="6">
        <v>2.3902199999999998</v>
      </c>
      <c r="S548" s="19">
        <v>-4.0039999999999996</v>
      </c>
      <c r="T548" s="6">
        <v>2.3025000000000002</v>
      </c>
      <c r="U548" s="6">
        <v>328</v>
      </c>
      <c r="W548" s="17">
        <v>546</v>
      </c>
      <c r="X548" s="6">
        <v>4.52963</v>
      </c>
      <c r="Y548" s="19">
        <v>-4.0039999999999996</v>
      </c>
      <c r="Z548" s="6">
        <v>2.3025000000000002</v>
      </c>
      <c r="AA548" s="6">
        <v>328</v>
      </c>
      <c r="AN548" s="17">
        <v>545</v>
      </c>
      <c r="AO548" s="6">
        <v>1.0706100000000001</v>
      </c>
      <c r="AP548" s="6">
        <v>0.2006</v>
      </c>
      <c r="AQ548" s="6">
        <v>0.54420000000000002</v>
      </c>
      <c r="AR548" s="6">
        <v>328</v>
      </c>
      <c r="AT548" s="17">
        <v>545</v>
      </c>
      <c r="AU548" s="6">
        <v>0.56494999999999995</v>
      </c>
      <c r="AV548" s="6">
        <v>0.2006</v>
      </c>
      <c r="AW548" s="6">
        <v>0.54420000000000002</v>
      </c>
      <c r="AX548" s="6">
        <v>328</v>
      </c>
    </row>
    <row r="549" spans="1:50" x14ac:dyDescent="0.25">
      <c r="A549" s="31" t="s">
        <v>132</v>
      </c>
      <c r="B549" s="32">
        <v>1</v>
      </c>
      <c r="C549" s="32">
        <v>6</v>
      </c>
      <c r="D549" s="32">
        <v>1</v>
      </c>
      <c r="E549" s="32">
        <v>23</v>
      </c>
      <c r="F549" s="2">
        <v>60.6</v>
      </c>
      <c r="G549">
        <v>64.391287787474084</v>
      </c>
      <c r="Q549" s="17">
        <v>547</v>
      </c>
      <c r="R549" s="6">
        <v>2.3888799999999999</v>
      </c>
      <c r="S549" s="19">
        <v>-0.93510000000000004</v>
      </c>
      <c r="T549" s="6">
        <v>2.3012999999999999</v>
      </c>
      <c r="U549" s="6">
        <v>328</v>
      </c>
      <c r="W549" s="17">
        <v>547</v>
      </c>
      <c r="X549" s="6">
        <v>4.5270999999999999</v>
      </c>
      <c r="Y549" s="19">
        <v>-0.93510000000000004</v>
      </c>
      <c r="Z549" s="6">
        <v>2.3012999999999999</v>
      </c>
      <c r="AA549" s="6">
        <v>328</v>
      </c>
      <c r="AN549" s="17">
        <v>546</v>
      </c>
      <c r="AO549" s="6">
        <v>1.0771299999999999</v>
      </c>
      <c r="AP549" s="19">
        <v>-1.2750999999999999</v>
      </c>
      <c r="AQ549" s="6">
        <v>0.54749999999999999</v>
      </c>
      <c r="AR549" s="6">
        <v>328</v>
      </c>
      <c r="AT549" s="17">
        <v>546</v>
      </c>
      <c r="AU549" s="6">
        <v>0.56838</v>
      </c>
      <c r="AV549" s="19">
        <v>-1.2750999999999999</v>
      </c>
      <c r="AW549" s="6">
        <v>0.54749999999999999</v>
      </c>
      <c r="AX549" s="6">
        <v>328</v>
      </c>
    </row>
    <row r="550" spans="1:50" x14ac:dyDescent="0.25">
      <c r="A550" s="31" t="s">
        <v>132</v>
      </c>
      <c r="B550" s="32">
        <v>2</v>
      </c>
      <c r="C550" s="32">
        <v>14</v>
      </c>
      <c r="D550" s="32">
        <v>3</v>
      </c>
      <c r="E550" s="32">
        <v>23</v>
      </c>
      <c r="F550" s="2">
        <v>61.8</v>
      </c>
      <c r="G550">
        <v>70.543653184165223</v>
      </c>
      <c r="Q550" s="17">
        <v>548</v>
      </c>
      <c r="R550" s="6">
        <v>2.3858199999999998</v>
      </c>
      <c r="S550" s="19">
        <v>-0.81720000000000004</v>
      </c>
      <c r="T550" s="6">
        <v>2.2982999999999998</v>
      </c>
      <c r="U550" s="6">
        <v>328</v>
      </c>
      <c r="W550" s="17">
        <v>548</v>
      </c>
      <c r="X550" s="6">
        <v>4.5212899999999996</v>
      </c>
      <c r="Y550" s="19">
        <v>-0.81720000000000004</v>
      </c>
      <c r="Z550" s="6">
        <v>2.2982999999999998</v>
      </c>
      <c r="AA550" s="6">
        <v>328</v>
      </c>
      <c r="AN550" s="17">
        <v>547</v>
      </c>
      <c r="AO550" s="6">
        <v>1.0755399999999999</v>
      </c>
      <c r="AP550" s="19">
        <v>-1.2682</v>
      </c>
      <c r="AQ550" s="6">
        <v>0.54669999999999996</v>
      </c>
      <c r="AR550" s="6">
        <v>328</v>
      </c>
      <c r="AT550" s="17">
        <v>547</v>
      </c>
      <c r="AU550" s="6">
        <v>0.56755</v>
      </c>
      <c r="AV550" s="19">
        <v>-1.2682</v>
      </c>
      <c r="AW550" s="6">
        <v>0.54669999999999996</v>
      </c>
      <c r="AX550" s="6">
        <v>328</v>
      </c>
    </row>
    <row r="551" spans="1:50" x14ac:dyDescent="0.25">
      <c r="A551" s="31" t="s">
        <v>132</v>
      </c>
      <c r="B551" s="32">
        <v>3</v>
      </c>
      <c r="C551" s="32">
        <v>5</v>
      </c>
      <c r="D551" s="32">
        <v>5</v>
      </c>
      <c r="E551" s="32">
        <v>23</v>
      </c>
      <c r="F551" s="2">
        <v>61.1</v>
      </c>
      <c r="G551">
        <v>68.768840358573328</v>
      </c>
      <c r="Q551" s="17">
        <v>549</v>
      </c>
      <c r="R551" s="6">
        <v>2.4023099999999999</v>
      </c>
      <c r="S551" s="19">
        <v>-9.4410000000000007</v>
      </c>
      <c r="T551" s="6">
        <v>2.3142</v>
      </c>
      <c r="U551" s="6">
        <v>328</v>
      </c>
      <c r="W551" s="17">
        <v>549</v>
      </c>
      <c r="X551" s="6">
        <v>4.5525399999999996</v>
      </c>
      <c r="Y551" s="19">
        <v>-9.4410000000000007</v>
      </c>
      <c r="Z551" s="6">
        <v>2.3142</v>
      </c>
      <c r="AA551" s="6">
        <v>328</v>
      </c>
      <c r="AN551" s="17">
        <v>548</v>
      </c>
      <c r="AO551" s="6">
        <v>1.0770500000000001</v>
      </c>
      <c r="AP551" s="19">
        <v>-0.70169999999999999</v>
      </c>
      <c r="AQ551" s="6">
        <v>0.54749999999999999</v>
      </c>
      <c r="AR551" s="6">
        <v>328</v>
      </c>
      <c r="AT551" s="17">
        <v>548</v>
      </c>
      <c r="AU551" s="6">
        <v>0.56833999999999996</v>
      </c>
      <c r="AV551" s="19">
        <v>-0.70169999999999999</v>
      </c>
      <c r="AW551" s="6">
        <v>0.54749999999999999</v>
      </c>
      <c r="AX551" s="6">
        <v>328</v>
      </c>
    </row>
    <row r="552" spans="1:50" x14ac:dyDescent="0.25">
      <c r="A552" s="31" t="s">
        <v>13</v>
      </c>
      <c r="B552" s="32">
        <v>1</v>
      </c>
      <c r="C552" s="36">
        <v>12</v>
      </c>
      <c r="D552" s="36">
        <v>2</v>
      </c>
      <c r="E552" s="32">
        <v>23</v>
      </c>
      <c r="F552" s="12">
        <v>59</v>
      </c>
      <c r="G552">
        <v>67.355199999999982</v>
      </c>
      <c r="Q552" s="17">
        <v>550</v>
      </c>
      <c r="R552" s="6">
        <v>2.3774199999999999</v>
      </c>
      <c r="S552" s="19">
        <v>-5.7752999999999997</v>
      </c>
      <c r="T552" s="6">
        <v>2.2902</v>
      </c>
      <c r="U552" s="6">
        <v>328</v>
      </c>
      <c r="W552" s="17">
        <v>550</v>
      </c>
      <c r="X552" s="6">
        <v>4.5053700000000001</v>
      </c>
      <c r="Y552" s="19">
        <v>-5.7752999999999997</v>
      </c>
      <c r="Z552" s="6">
        <v>2.2902</v>
      </c>
      <c r="AA552" s="6">
        <v>328</v>
      </c>
      <c r="AN552" s="17">
        <v>549</v>
      </c>
      <c r="AO552" s="6">
        <v>1.0840799999999999</v>
      </c>
      <c r="AP552" s="19">
        <v>-3.0912000000000002</v>
      </c>
      <c r="AQ552" s="6">
        <v>0.55110000000000003</v>
      </c>
      <c r="AR552" s="6">
        <v>328</v>
      </c>
      <c r="AT552" s="17">
        <v>549</v>
      </c>
      <c r="AU552" s="6">
        <v>0.57204999999999995</v>
      </c>
      <c r="AV552" s="19">
        <v>-3.0912000000000002</v>
      </c>
      <c r="AW552" s="6">
        <v>0.55110000000000003</v>
      </c>
      <c r="AX552" s="6">
        <v>328</v>
      </c>
    </row>
    <row r="553" spans="1:50" x14ac:dyDescent="0.25">
      <c r="A553" s="31" t="s">
        <v>13</v>
      </c>
      <c r="B553" s="32">
        <v>2</v>
      </c>
      <c r="C553" s="36">
        <v>15</v>
      </c>
      <c r="D553" s="36">
        <v>4</v>
      </c>
      <c r="E553" s="32">
        <v>23</v>
      </c>
      <c r="F553" s="12">
        <v>58.2</v>
      </c>
      <c r="G553">
        <v>70.058339999999987</v>
      </c>
      <c r="Q553" s="17">
        <v>551</v>
      </c>
      <c r="R553" s="6">
        <v>2.3858000000000001</v>
      </c>
      <c r="S553" s="19">
        <v>-4.0791000000000004</v>
      </c>
      <c r="T553" s="6">
        <v>2.2982999999999998</v>
      </c>
      <c r="U553" s="6">
        <v>328</v>
      </c>
      <c r="W553" s="17">
        <v>551</v>
      </c>
      <c r="X553" s="6">
        <v>4.5212599999999998</v>
      </c>
      <c r="Y553" s="19">
        <v>-4.0791000000000004</v>
      </c>
      <c r="Z553" s="6">
        <v>2.2982999999999998</v>
      </c>
      <c r="AA553" s="6">
        <v>328</v>
      </c>
      <c r="AN553" s="17">
        <v>550</v>
      </c>
      <c r="AO553" s="6">
        <v>1.0707500000000001</v>
      </c>
      <c r="AP553" s="19">
        <v>-1.0201</v>
      </c>
      <c r="AQ553" s="6">
        <v>0.54430000000000001</v>
      </c>
      <c r="AR553" s="6">
        <v>328</v>
      </c>
      <c r="AT553" s="17">
        <v>550</v>
      </c>
      <c r="AU553" s="6">
        <v>0.56501999999999997</v>
      </c>
      <c r="AV553" s="19">
        <v>-1.0201</v>
      </c>
      <c r="AW553" s="6">
        <v>0.54430000000000001</v>
      </c>
      <c r="AX553" s="6">
        <v>328</v>
      </c>
    </row>
    <row r="554" spans="1:50" x14ac:dyDescent="0.25">
      <c r="A554" s="31" t="s">
        <v>13</v>
      </c>
      <c r="B554" s="32">
        <v>3</v>
      </c>
      <c r="C554" s="36">
        <v>20</v>
      </c>
      <c r="D554" s="36">
        <v>5</v>
      </c>
      <c r="E554" s="32">
        <v>23</v>
      </c>
      <c r="F554" s="12">
        <v>58</v>
      </c>
      <c r="G554" t="s">
        <v>12</v>
      </c>
      <c r="Q554" s="17">
        <v>552</v>
      </c>
      <c r="R554" s="6">
        <v>2.3981400000000002</v>
      </c>
      <c r="S554" s="19">
        <v>-5.4729999999999999</v>
      </c>
      <c r="T554" s="6">
        <v>2.3102</v>
      </c>
      <c r="U554" s="6">
        <v>328</v>
      </c>
      <c r="W554" s="17">
        <v>552</v>
      </c>
      <c r="X554" s="6">
        <v>4.5446400000000002</v>
      </c>
      <c r="Y554" s="19">
        <v>-5.4729999999999999</v>
      </c>
      <c r="Z554" s="6">
        <v>2.3102</v>
      </c>
      <c r="AA554" s="6">
        <v>328</v>
      </c>
      <c r="AN554" s="17">
        <v>551</v>
      </c>
      <c r="AO554" s="6">
        <v>1.07646</v>
      </c>
      <c r="AP554" s="19">
        <v>-0.80669999999999997</v>
      </c>
      <c r="AQ554" s="6">
        <v>0.54720000000000002</v>
      </c>
      <c r="AR554" s="6">
        <v>328</v>
      </c>
      <c r="AT554" s="17">
        <v>551</v>
      </c>
      <c r="AU554" s="6">
        <v>0.56803000000000003</v>
      </c>
      <c r="AV554" s="19">
        <v>-0.80669999999999997</v>
      </c>
      <c r="AW554" s="6">
        <v>0.54720000000000002</v>
      </c>
      <c r="AX554" s="6">
        <v>328</v>
      </c>
    </row>
    <row r="555" spans="1:50" x14ac:dyDescent="0.25">
      <c r="A555" t="s">
        <v>7</v>
      </c>
      <c r="B555" s="11">
        <v>1</v>
      </c>
      <c r="C555" s="11">
        <v>5</v>
      </c>
      <c r="D555" s="11">
        <v>4</v>
      </c>
      <c r="E555" s="11">
        <v>23</v>
      </c>
      <c r="F555" s="12">
        <v>57.6</v>
      </c>
      <c r="G555">
        <v>49.264756331448247</v>
      </c>
      <c r="Q555" s="17">
        <v>553</v>
      </c>
      <c r="R555" s="6">
        <v>2.3866800000000001</v>
      </c>
      <c r="S555" s="19">
        <v>-4.4062999999999999</v>
      </c>
      <c r="T555" s="6">
        <v>2.2991000000000001</v>
      </c>
      <c r="U555" s="6">
        <v>328</v>
      </c>
      <c r="W555" s="17">
        <v>553</v>
      </c>
      <c r="X555" s="6">
        <v>4.5229299999999997</v>
      </c>
      <c r="Y555" s="19">
        <v>-4.4062999999999999</v>
      </c>
      <c r="Z555" s="6">
        <v>2.2991000000000001</v>
      </c>
      <c r="AA555" s="6">
        <v>328</v>
      </c>
      <c r="AN555" s="17">
        <v>552</v>
      </c>
      <c r="AO555" s="6">
        <v>1.0844800000000001</v>
      </c>
      <c r="AP555" s="19">
        <v>-1.0959000000000001</v>
      </c>
      <c r="AQ555" s="6">
        <v>0.55130000000000001</v>
      </c>
      <c r="AR555" s="6">
        <v>328</v>
      </c>
      <c r="AT555" s="17">
        <v>552</v>
      </c>
      <c r="AU555" s="6">
        <v>0.57226999999999995</v>
      </c>
      <c r="AV555" s="19">
        <v>-1.0959000000000001</v>
      </c>
      <c r="AW555" s="6">
        <v>0.55130000000000001</v>
      </c>
      <c r="AX555" s="6">
        <v>328</v>
      </c>
    </row>
    <row r="556" spans="1:50" x14ac:dyDescent="0.25">
      <c r="A556" t="s">
        <v>7</v>
      </c>
      <c r="B556" s="11">
        <v>2</v>
      </c>
      <c r="C556" s="11">
        <v>10</v>
      </c>
      <c r="D556" s="11">
        <v>8</v>
      </c>
      <c r="E556" s="11">
        <v>23</v>
      </c>
      <c r="F556" s="12">
        <v>56.2</v>
      </c>
      <c r="G556">
        <v>55.562593793871315</v>
      </c>
      <c r="Q556" s="17">
        <v>554</v>
      </c>
      <c r="R556" s="6">
        <v>2.3765299999999998</v>
      </c>
      <c r="S556" s="19">
        <v>-5.9748999999999999</v>
      </c>
      <c r="T556" s="6">
        <v>2.2894000000000001</v>
      </c>
      <c r="U556" s="6">
        <v>328</v>
      </c>
      <c r="W556" s="17">
        <v>554</v>
      </c>
      <c r="X556" s="6">
        <v>4.5036800000000001</v>
      </c>
      <c r="Y556" s="19">
        <v>-5.9748999999999999</v>
      </c>
      <c r="Z556" s="6">
        <v>2.2894000000000001</v>
      </c>
      <c r="AA556" s="6">
        <v>328</v>
      </c>
      <c r="AN556" s="17">
        <v>553</v>
      </c>
      <c r="AO556" s="6">
        <v>1.07663</v>
      </c>
      <c r="AP556" s="19">
        <v>-2.1764000000000001</v>
      </c>
      <c r="AQ556" s="6">
        <v>0.54730000000000001</v>
      </c>
      <c r="AR556" s="6">
        <v>328</v>
      </c>
      <c r="AT556" s="17">
        <v>553</v>
      </c>
      <c r="AU556" s="6">
        <v>0.56811999999999996</v>
      </c>
      <c r="AV556" s="19">
        <v>-2.1764000000000001</v>
      </c>
      <c r="AW556" s="6">
        <v>0.54730000000000001</v>
      </c>
      <c r="AX556" s="6">
        <v>328</v>
      </c>
    </row>
    <row r="557" spans="1:50" x14ac:dyDescent="0.25">
      <c r="A557" t="s">
        <v>7</v>
      </c>
      <c r="B557" s="11">
        <v>3</v>
      </c>
      <c r="C557" s="11">
        <v>3</v>
      </c>
      <c r="D557" s="11">
        <v>11</v>
      </c>
      <c r="E557" s="11">
        <v>23</v>
      </c>
      <c r="F557" s="2">
        <v>55.7</v>
      </c>
      <c r="G557">
        <v>45.637214237484322</v>
      </c>
      <c r="Q557" s="17">
        <v>555</v>
      </c>
      <c r="R557" s="6">
        <v>2.39357</v>
      </c>
      <c r="S557" s="19">
        <v>-5.4718</v>
      </c>
      <c r="T557" s="6">
        <v>2.3058000000000001</v>
      </c>
      <c r="U557" s="6">
        <v>328</v>
      </c>
      <c r="W557" s="17">
        <v>555</v>
      </c>
      <c r="X557" s="6">
        <v>4.5359699999999998</v>
      </c>
      <c r="Y557" s="19">
        <v>-5.4718</v>
      </c>
      <c r="Z557" s="6">
        <v>2.3058000000000001</v>
      </c>
      <c r="AA557" s="6">
        <v>328</v>
      </c>
      <c r="AN557" s="17">
        <v>554</v>
      </c>
      <c r="AO557" s="6">
        <v>1.06769</v>
      </c>
      <c r="AP557" s="19">
        <v>-1.8369</v>
      </c>
      <c r="AQ557" s="6">
        <v>0.54269999999999996</v>
      </c>
      <c r="AR557" s="6">
        <v>328</v>
      </c>
      <c r="AT557" s="17">
        <v>554</v>
      </c>
      <c r="AU557" s="6">
        <v>0.56340000000000001</v>
      </c>
      <c r="AV557" s="19">
        <v>-1.8369</v>
      </c>
      <c r="AW557" s="6">
        <v>0.54269999999999996</v>
      </c>
      <c r="AX557" s="6">
        <v>328</v>
      </c>
    </row>
    <row r="558" spans="1:50" x14ac:dyDescent="0.25">
      <c r="A558" s="31" t="s">
        <v>156</v>
      </c>
      <c r="B558" s="32">
        <v>1</v>
      </c>
      <c r="C558" s="32">
        <v>5</v>
      </c>
      <c r="D558" s="32">
        <v>2</v>
      </c>
      <c r="E558" s="32">
        <v>23</v>
      </c>
      <c r="F558" s="2">
        <v>50.2</v>
      </c>
      <c r="G558">
        <v>29.808967985298384</v>
      </c>
      <c r="Q558" s="17">
        <v>556</v>
      </c>
      <c r="R558" s="6">
        <v>2.3969900000000002</v>
      </c>
      <c r="S558" s="6">
        <v>1.8252999999999999</v>
      </c>
      <c r="T558" s="6">
        <v>2.3090999999999999</v>
      </c>
      <c r="U558" s="6">
        <v>328</v>
      </c>
      <c r="W558" s="17">
        <v>556</v>
      </c>
      <c r="X558" s="6">
        <v>4.5424600000000002</v>
      </c>
      <c r="Y558" s="6">
        <v>1.8252999999999999</v>
      </c>
      <c r="Z558" s="6">
        <v>2.3090999999999999</v>
      </c>
      <c r="AA558" s="6">
        <v>328</v>
      </c>
      <c r="AN558" s="17">
        <v>555</v>
      </c>
      <c r="AO558" s="6">
        <v>1.0776300000000001</v>
      </c>
      <c r="AP558" s="19">
        <v>-2.3637000000000001</v>
      </c>
      <c r="AQ558" s="6">
        <v>0.54779999999999995</v>
      </c>
      <c r="AR558" s="6">
        <v>328</v>
      </c>
      <c r="AT558" s="17">
        <v>555</v>
      </c>
      <c r="AU558" s="6">
        <v>0.56864999999999999</v>
      </c>
      <c r="AV558" s="19">
        <v>-2.3637000000000001</v>
      </c>
      <c r="AW558" s="6">
        <v>0.54779999999999995</v>
      </c>
      <c r="AX558" s="6">
        <v>328</v>
      </c>
    </row>
    <row r="559" spans="1:50" x14ac:dyDescent="0.25">
      <c r="A559" s="31" t="s">
        <v>156</v>
      </c>
      <c r="B559" s="32">
        <v>2</v>
      </c>
      <c r="C559" s="32">
        <v>20</v>
      </c>
      <c r="D559" s="32">
        <v>3</v>
      </c>
      <c r="E559" s="32">
        <v>23</v>
      </c>
      <c r="F559" s="2">
        <v>56.2</v>
      </c>
      <c r="G559">
        <v>34.622974398534296</v>
      </c>
      <c r="Q559" s="17">
        <v>557</v>
      </c>
      <c r="R559" s="6">
        <v>2.39608</v>
      </c>
      <c r="S559" s="19">
        <v>-3.6675</v>
      </c>
      <c r="T559" s="6">
        <v>2.3081999999999998</v>
      </c>
      <c r="U559" s="6">
        <v>328</v>
      </c>
      <c r="W559" s="17">
        <v>557</v>
      </c>
      <c r="X559" s="6">
        <v>4.5407299999999999</v>
      </c>
      <c r="Y559" s="19">
        <v>-3.6675</v>
      </c>
      <c r="Z559" s="6">
        <v>2.3081999999999998</v>
      </c>
      <c r="AA559" s="6">
        <v>328</v>
      </c>
      <c r="AN559" s="17">
        <v>556</v>
      </c>
      <c r="AO559" s="6">
        <v>1.0873699999999999</v>
      </c>
      <c r="AP559" s="19">
        <v>-0.57399999999999995</v>
      </c>
      <c r="AQ559" s="6">
        <v>0.55269999999999997</v>
      </c>
      <c r="AR559" s="6">
        <v>328</v>
      </c>
      <c r="AT559" s="17">
        <v>556</v>
      </c>
      <c r="AU559" s="6">
        <v>0.57379000000000002</v>
      </c>
      <c r="AV559" s="19">
        <v>-0.57399999999999995</v>
      </c>
      <c r="AW559" s="6">
        <v>0.55269999999999997</v>
      </c>
      <c r="AX559" s="6">
        <v>328</v>
      </c>
    </row>
    <row r="560" spans="1:50" x14ac:dyDescent="0.25">
      <c r="A560" s="31" t="s">
        <v>156</v>
      </c>
      <c r="B560" s="32">
        <v>3</v>
      </c>
      <c r="C560" s="32">
        <v>9</v>
      </c>
      <c r="D560" s="32">
        <v>6</v>
      </c>
      <c r="E560" s="32">
        <v>23</v>
      </c>
      <c r="F560" s="2">
        <v>58.5</v>
      </c>
      <c r="G560">
        <v>39.406303312977819</v>
      </c>
      <c r="Q560" s="17">
        <v>558</v>
      </c>
      <c r="R560" s="6">
        <v>2.4051300000000002</v>
      </c>
      <c r="S560" s="6">
        <v>6.0510000000000002</v>
      </c>
      <c r="T560" s="6">
        <v>2.3169</v>
      </c>
      <c r="U560" s="6">
        <v>328</v>
      </c>
      <c r="W560" s="17">
        <v>558</v>
      </c>
      <c r="X560" s="6">
        <v>4.5578799999999999</v>
      </c>
      <c r="Y560" s="6">
        <v>6.0510000000000002</v>
      </c>
      <c r="Z560" s="6">
        <v>2.3169</v>
      </c>
      <c r="AA560" s="6">
        <v>328</v>
      </c>
      <c r="AN560" s="17">
        <v>557</v>
      </c>
      <c r="AO560" s="6">
        <v>1.0786899999999999</v>
      </c>
      <c r="AP560" s="19">
        <v>-2.2925</v>
      </c>
      <c r="AQ560" s="6">
        <v>0.54830000000000001</v>
      </c>
      <c r="AR560" s="6">
        <v>328</v>
      </c>
      <c r="AT560" s="17">
        <v>557</v>
      </c>
      <c r="AU560" s="6">
        <v>0.56920999999999999</v>
      </c>
      <c r="AV560" s="19">
        <v>-2.2925</v>
      </c>
      <c r="AW560" s="6">
        <v>0.54830000000000001</v>
      </c>
      <c r="AX560" s="6">
        <v>328</v>
      </c>
    </row>
    <row r="561" spans="1:50" x14ac:dyDescent="0.25">
      <c r="A561" s="31" t="s">
        <v>10</v>
      </c>
      <c r="B561" s="32">
        <v>1</v>
      </c>
      <c r="C561" s="32">
        <v>2</v>
      </c>
      <c r="D561" s="32">
        <v>1</v>
      </c>
      <c r="E561" s="32">
        <v>23</v>
      </c>
      <c r="F561" s="2">
        <v>53.6</v>
      </c>
      <c r="G561">
        <v>44.768842105263154</v>
      </c>
      <c r="Q561" s="17">
        <v>559</v>
      </c>
      <c r="R561" s="6">
        <v>2.3879999999999999</v>
      </c>
      <c r="S561" s="6">
        <v>1.2743</v>
      </c>
      <c r="T561" s="6">
        <v>2.3003999999999998</v>
      </c>
      <c r="U561" s="6">
        <v>328</v>
      </c>
      <c r="W561" s="17">
        <v>559</v>
      </c>
      <c r="X561" s="6">
        <v>4.5254200000000004</v>
      </c>
      <c r="Y561" s="6">
        <v>1.2743</v>
      </c>
      <c r="Z561" s="6">
        <v>2.3003999999999998</v>
      </c>
      <c r="AA561" s="6">
        <v>328</v>
      </c>
      <c r="AN561" s="17">
        <v>558</v>
      </c>
      <c r="AO561" s="6">
        <v>1.0882499999999999</v>
      </c>
      <c r="AP561" s="6">
        <v>0.2185</v>
      </c>
      <c r="AQ561" s="6">
        <v>0.55320000000000003</v>
      </c>
      <c r="AR561" s="6">
        <v>328</v>
      </c>
      <c r="AT561" s="17">
        <v>558</v>
      </c>
      <c r="AU561" s="6">
        <v>0.57425000000000004</v>
      </c>
      <c r="AV561" s="6">
        <v>0.2185</v>
      </c>
      <c r="AW561" s="6">
        <v>0.55320000000000003</v>
      </c>
      <c r="AX561" s="6">
        <v>328</v>
      </c>
    </row>
    <row r="562" spans="1:50" x14ac:dyDescent="0.25">
      <c r="A562" s="31" t="s">
        <v>10</v>
      </c>
      <c r="B562" s="32">
        <v>2</v>
      </c>
      <c r="C562" s="32">
        <v>8</v>
      </c>
      <c r="D562" s="32">
        <v>6</v>
      </c>
      <c r="E562" s="32">
        <v>23</v>
      </c>
      <c r="F562" s="2">
        <v>56.4</v>
      </c>
      <c r="G562">
        <v>53.002054380664653</v>
      </c>
      <c r="Q562" s="17">
        <v>560</v>
      </c>
      <c r="R562" s="6">
        <v>2.3938700000000002</v>
      </c>
      <c r="S562" s="19">
        <v>-4.7042999999999999</v>
      </c>
      <c r="T562" s="6">
        <v>2.3060999999999998</v>
      </c>
      <c r="U562" s="6">
        <v>328</v>
      </c>
      <c r="W562" s="17">
        <v>560</v>
      </c>
      <c r="X562" s="6">
        <v>4.5365500000000001</v>
      </c>
      <c r="Y562" s="19">
        <v>-4.7042999999999999</v>
      </c>
      <c r="Z562" s="6">
        <v>2.3060999999999998</v>
      </c>
      <c r="AA562" s="6">
        <v>328</v>
      </c>
      <c r="AN562" s="17">
        <v>559</v>
      </c>
      <c r="AO562" s="6">
        <v>1.0753900000000001</v>
      </c>
      <c r="AP562" s="19">
        <v>-0.65310000000000001</v>
      </c>
      <c r="AQ562" s="6">
        <v>0.54669999999999996</v>
      </c>
      <c r="AR562" s="6">
        <v>328</v>
      </c>
      <c r="AT562" s="17">
        <v>559</v>
      </c>
      <c r="AU562" s="6">
        <v>0.56747000000000003</v>
      </c>
      <c r="AV562" s="19">
        <v>-0.65310000000000001</v>
      </c>
      <c r="AW562" s="6">
        <v>0.54669999999999996</v>
      </c>
      <c r="AX562" s="6">
        <v>328</v>
      </c>
    </row>
    <row r="563" spans="1:50" x14ac:dyDescent="0.25">
      <c r="A563" s="31" t="s">
        <v>10</v>
      </c>
      <c r="B563" s="32">
        <v>3</v>
      </c>
      <c r="C563" s="32">
        <v>10</v>
      </c>
      <c r="D563" s="32">
        <v>10</v>
      </c>
      <c r="E563" s="32">
        <v>23</v>
      </c>
      <c r="F563" s="2">
        <v>59.4</v>
      </c>
      <c r="G563">
        <v>59.532679421190622</v>
      </c>
      <c r="Q563" s="17">
        <v>561</v>
      </c>
      <c r="R563" s="6">
        <v>2.3814700000000002</v>
      </c>
      <c r="S563" s="19">
        <v>-2.7025999999999999</v>
      </c>
      <c r="T563" s="6">
        <v>2.2940999999999998</v>
      </c>
      <c r="U563" s="6">
        <v>328</v>
      </c>
      <c r="W563" s="17">
        <v>561</v>
      </c>
      <c r="X563" s="6">
        <v>4.5130600000000003</v>
      </c>
      <c r="Y563" s="19">
        <v>-2.7025999999999999</v>
      </c>
      <c r="Z563" s="6">
        <v>2.2940999999999998</v>
      </c>
      <c r="AA563" s="6">
        <v>328</v>
      </c>
      <c r="AN563" s="17">
        <v>560</v>
      </c>
      <c r="AO563" s="6">
        <v>1.0784400000000001</v>
      </c>
      <c r="AP563" s="19">
        <v>-1.101</v>
      </c>
      <c r="AQ563" s="6">
        <v>0.54820000000000002</v>
      </c>
      <c r="AR563" s="6">
        <v>328</v>
      </c>
      <c r="AT563" s="17">
        <v>560</v>
      </c>
      <c r="AU563" s="6">
        <v>0.56908000000000003</v>
      </c>
      <c r="AV563" s="19">
        <v>-1.101</v>
      </c>
      <c r="AW563" s="6">
        <v>0.54820000000000002</v>
      </c>
      <c r="AX563" s="6">
        <v>328</v>
      </c>
    </row>
    <row r="564" spans="1:50" x14ac:dyDescent="0.25">
      <c r="A564" s="31" t="s">
        <v>11</v>
      </c>
      <c r="B564" s="32">
        <v>1</v>
      </c>
      <c r="C564" s="32">
        <v>6</v>
      </c>
      <c r="D564" s="32">
        <v>1</v>
      </c>
      <c r="E564" s="11">
        <v>23</v>
      </c>
      <c r="F564" s="2" t="s">
        <v>12</v>
      </c>
      <c r="G564">
        <v>18.10205951961327</v>
      </c>
      <c r="Q564" s="17">
        <v>562</v>
      </c>
      <c r="R564" s="6">
        <v>2.3845800000000001</v>
      </c>
      <c r="S564" s="6">
        <v>1.4440999999999999</v>
      </c>
      <c r="T564" s="6">
        <v>2.2970999999999999</v>
      </c>
      <c r="U564" s="6">
        <v>328</v>
      </c>
      <c r="W564" s="17">
        <v>562</v>
      </c>
      <c r="X564" s="6">
        <v>4.5189500000000002</v>
      </c>
      <c r="Y564" s="6">
        <v>1.4440999999999999</v>
      </c>
      <c r="Z564" s="6">
        <v>2.2970999999999999</v>
      </c>
      <c r="AA564" s="6">
        <v>328</v>
      </c>
      <c r="AN564" s="17">
        <v>561</v>
      </c>
      <c r="AO564" s="6">
        <v>1.0759799999999999</v>
      </c>
      <c r="AP564" s="19">
        <v>-1.1031</v>
      </c>
      <c r="AQ564" s="6">
        <v>0.54700000000000004</v>
      </c>
      <c r="AR564" s="6">
        <v>328</v>
      </c>
      <c r="AT564" s="17">
        <v>561</v>
      </c>
      <c r="AU564" s="6">
        <v>0.56777999999999995</v>
      </c>
      <c r="AV564" s="19">
        <v>-1.1031</v>
      </c>
      <c r="AW564" s="6">
        <v>0.54700000000000004</v>
      </c>
      <c r="AX564" s="6">
        <v>328</v>
      </c>
    </row>
    <row r="565" spans="1:50" x14ac:dyDescent="0.25">
      <c r="A565" s="31" t="s">
        <v>11</v>
      </c>
      <c r="B565" s="32">
        <v>2</v>
      </c>
      <c r="C565" s="32">
        <v>18</v>
      </c>
      <c r="D565" s="32">
        <v>6</v>
      </c>
      <c r="E565" s="11">
        <v>23</v>
      </c>
      <c r="F565" s="2">
        <v>59.8</v>
      </c>
      <c r="G565">
        <v>26.734624367458149</v>
      </c>
      <c r="Q565" s="17">
        <v>563</v>
      </c>
      <c r="R565" s="6">
        <v>2.3849300000000002</v>
      </c>
      <c r="S565" s="6">
        <v>3.7473000000000001</v>
      </c>
      <c r="T565" s="6">
        <v>2.2974999999999999</v>
      </c>
      <c r="U565" s="6">
        <v>328</v>
      </c>
      <c r="W565" s="17">
        <v>563</v>
      </c>
      <c r="X565" s="6">
        <v>4.5195999999999996</v>
      </c>
      <c r="Y565" s="6">
        <v>3.7473000000000001</v>
      </c>
      <c r="Z565" s="6">
        <v>2.2974999999999999</v>
      </c>
      <c r="AA565" s="6">
        <v>328</v>
      </c>
      <c r="AN565" s="17">
        <v>562</v>
      </c>
      <c r="AO565" s="6">
        <v>1.0708</v>
      </c>
      <c r="AP565" s="6">
        <v>0.34570000000000001</v>
      </c>
      <c r="AQ565" s="6">
        <v>0.54430000000000001</v>
      </c>
      <c r="AR565" s="6">
        <v>328</v>
      </c>
      <c r="AT565" s="17">
        <v>562</v>
      </c>
      <c r="AU565" s="6">
        <v>0.56505000000000005</v>
      </c>
      <c r="AV565" s="6">
        <v>0.34570000000000001</v>
      </c>
      <c r="AW565" s="6">
        <v>0.54430000000000001</v>
      </c>
      <c r="AX565" s="6">
        <v>328</v>
      </c>
    </row>
    <row r="566" spans="1:50" x14ac:dyDescent="0.25">
      <c r="A566" s="31" t="s">
        <v>11</v>
      </c>
      <c r="B566" s="32">
        <v>3</v>
      </c>
      <c r="C566" s="32">
        <v>13</v>
      </c>
      <c r="D566" s="32">
        <v>8</v>
      </c>
      <c r="E566" s="11">
        <v>23</v>
      </c>
      <c r="F566" s="2">
        <v>61.1</v>
      </c>
      <c r="G566">
        <v>30.539415584415583</v>
      </c>
      <c r="Q566" s="17">
        <v>564</v>
      </c>
      <c r="R566" s="6">
        <v>2.3932099999999998</v>
      </c>
      <c r="S566" s="6">
        <v>5.7740999999999998</v>
      </c>
      <c r="T566" s="6">
        <v>2.3054000000000001</v>
      </c>
      <c r="U566" s="6">
        <v>328</v>
      </c>
      <c r="W566" s="17">
        <v>564</v>
      </c>
      <c r="X566" s="6">
        <v>4.5353000000000003</v>
      </c>
      <c r="Y566" s="6">
        <v>5.7740999999999998</v>
      </c>
      <c r="Z566" s="6">
        <v>2.3054000000000001</v>
      </c>
      <c r="AA566" s="6">
        <v>328</v>
      </c>
      <c r="AN566" s="17">
        <v>563</v>
      </c>
      <c r="AO566" s="6">
        <v>1.06901</v>
      </c>
      <c r="AP566" s="19">
        <v>-0.72540000000000004</v>
      </c>
      <c r="AQ566" s="6">
        <v>0.54339999999999999</v>
      </c>
      <c r="AR566" s="6">
        <v>328</v>
      </c>
      <c r="AT566" s="17">
        <v>563</v>
      </c>
      <c r="AU566" s="6">
        <v>0.56410000000000005</v>
      </c>
      <c r="AV566" s="19">
        <v>-0.72540000000000004</v>
      </c>
      <c r="AW566" s="6">
        <v>0.54339999999999999</v>
      </c>
      <c r="AX566" s="6">
        <v>328</v>
      </c>
    </row>
    <row r="567" spans="1:50" x14ac:dyDescent="0.25">
      <c r="A567" t="s">
        <v>160</v>
      </c>
      <c r="B567">
        <v>1</v>
      </c>
      <c r="C567" s="36">
        <v>18</v>
      </c>
      <c r="D567" s="36">
        <v>1</v>
      </c>
      <c r="E567" s="32">
        <v>23</v>
      </c>
      <c r="F567" s="13">
        <v>61</v>
      </c>
      <c r="G567">
        <v>87.418192771084335</v>
      </c>
      <c r="Q567" s="17">
        <v>565</v>
      </c>
      <c r="R567" s="6">
        <v>2.3876200000000001</v>
      </c>
      <c r="S567" s="6">
        <v>1.7737000000000001</v>
      </c>
      <c r="T567" s="6">
        <v>2.2999999999999998</v>
      </c>
      <c r="U567" s="6">
        <v>328</v>
      </c>
      <c r="W567" s="17">
        <v>565</v>
      </c>
      <c r="X567" s="6">
        <v>4.5247099999999998</v>
      </c>
      <c r="Y567" s="6">
        <v>1.7737000000000001</v>
      </c>
      <c r="Z567" s="6">
        <v>2.2999999999999998</v>
      </c>
      <c r="AA567" s="6">
        <v>328</v>
      </c>
      <c r="AN567" s="17">
        <v>564</v>
      </c>
      <c r="AO567" s="6">
        <v>1.0770200000000001</v>
      </c>
      <c r="AP567" s="19">
        <v>-0.41349999999999998</v>
      </c>
      <c r="AQ567" s="6">
        <v>0.54749999999999999</v>
      </c>
      <c r="AR567" s="6">
        <v>328</v>
      </c>
      <c r="AT567" s="17">
        <v>564</v>
      </c>
      <c r="AU567" s="6">
        <v>0.56833</v>
      </c>
      <c r="AV567" s="19">
        <v>-0.41349999999999998</v>
      </c>
      <c r="AW567" s="6">
        <v>0.54749999999999999</v>
      </c>
      <c r="AX567" s="6">
        <v>328</v>
      </c>
    </row>
    <row r="568" spans="1:50" x14ac:dyDescent="0.25">
      <c r="A568" t="s">
        <v>160</v>
      </c>
      <c r="B568">
        <v>2</v>
      </c>
      <c r="C568" s="36">
        <v>22</v>
      </c>
      <c r="D568" s="36">
        <v>4</v>
      </c>
      <c r="E568" s="32">
        <v>23</v>
      </c>
      <c r="F568" s="13">
        <v>60.6</v>
      </c>
      <c r="G568">
        <v>84.477062649777466</v>
      </c>
      <c r="Q568" s="17">
        <v>566</v>
      </c>
      <c r="R568" s="6">
        <v>2.3973499999999999</v>
      </c>
      <c r="S568" s="6">
        <v>3.9933000000000001</v>
      </c>
      <c r="T568" s="6">
        <v>2.3094000000000001</v>
      </c>
      <c r="U568" s="6">
        <v>328</v>
      </c>
      <c r="W568" s="17">
        <v>566</v>
      </c>
      <c r="X568" s="6">
        <v>4.5431400000000002</v>
      </c>
      <c r="Y568" s="6">
        <v>3.9933000000000001</v>
      </c>
      <c r="Z568" s="6">
        <v>2.3094000000000001</v>
      </c>
      <c r="AA568" s="6">
        <v>328</v>
      </c>
      <c r="AN568" s="17">
        <v>565</v>
      </c>
      <c r="AO568" s="6">
        <v>1.08432</v>
      </c>
      <c r="AP568" s="6">
        <v>0.64080000000000004</v>
      </c>
      <c r="AQ568" s="6">
        <v>0.55120000000000002</v>
      </c>
      <c r="AR568" s="6">
        <v>328</v>
      </c>
      <c r="AT568" s="17">
        <v>565</v>
      </c>
      <c r="AU568" s="6">
        <v>0.57218000000000002</v>
      </c>
      <c r="AV568" s="6">
        <v>0.64080000000000004</v>
      </c>
      <c r="AW568" s="6">
        <v>0.55120000000000002</v>
      </c>
      <c r="AX568" s="6">
        <v>328</v>
      </c>
    </row>
    <row r="569" spans="1:50" x14ac:dyDescent="0.25">
      <c r="A569" t="s">
        <v>160</v>
      </c>
      <c r="B569">
        <v>3</v>
      </c>
      <c r="C569" s="36">
        <v>4</v>
      </c>
      <c r="D569" s="36">
        <v>5</v>
      </c>
      <c r="E569" s="32">
        <v>23</v>
      </c>
      <c r="F569" s="13">
        <v>60.2</v>
      </c>
      <c r="G569">
        <v>81.858751813521607</v>
      </c>
      <c r="Q569" s="17">
        <v>567</v>
      </c>
      <c r="R569" s="6">
        <v>2.3934899999999999</v>
      </c>
      <c r="S569" s="19">
        <v>-4.6394000000000002</v>
      </c>
      <c r="T569" s="6">
        <v>2.3056999999999999</v>
      </c>
      <c r="U569" s="6">
        <v>328</v>
      </c>
      <c r="W569" s="17">
        <v>567</v>
      </c>
      <c r="X569" s="6">
        <v>4.5358200000000002</v>
      </c>
      <c r="Y569" s="19">
        <v>-4.6394000000000002</v>
      </c>
      <c r="Z569" s="6">
        <v>2.3056999999999999</v>
      </c>
      <c r="AA569" s="6">
        <v>328</v>
      </c>
      <c r="AN569" s="17">
        <v>566</v>
      </c>
      <c r="AO569" s="6">
        <v>1.07605</v>
      </c>
      <c r="AP569" s="6">
        <v>0.5504</v>
      </c>
      <c r="AQ569" s="6">
        <v>0.54700000000000004</v>
      </c>
      <c r="AR569" s="6">
        <v>328</v>
      </c>
      <c r="AT569" s="17">
        <v>566</v>
      </c>
      <c r="AU569" s="6">
        <v>0.56781999999999999</v>
      </c>
      <c r="AV569" s="6">
        <v>0.5504</v>
      </c>
      <c r="AW569" s="6">
        <v>0.54700000000000004</v>
      </c>
      <c r="AX569" s="6">
        <v>328</v>
      </c>
    </row>
    <row r="570" spans="1:50" x14ac:dyDescent="0.25">
      <c r="A570" s="31" t="s">
        <v>116</v>
      </c>
      <c r="B570" s="32">
        <v>1</v>
      </c>
      <c r="C570" s="32">
        <v>8</v>
      </c>
      <c r="D570" s="32">
        <v>3</v>
      </c>
      <c r="E570" s="32">
        <v>24</v>
      </c>
      <c r="F570" s="12">
        <v>56.9</v>
      </c>
      <c r="G570">
        <v>61.309328861985477</v>
      </c>
      <c r="Q570" s="17">
        <v>568</v>
      </c>
      <c r="R570" s="6">
        <v>2.3934899999999999</v>
      </c>
      <c r="S570" s="6">
        <v>2.2823000000000002</v>
      </c>
      <c r="T570" s="6">
        <v>2.3056999999999999</v>
      </c>
      <c r="U570" s="6">
        <v>328</v>
      </c>
      <c r="W570" s="17">
        <v>568</v>
      </c>
      <c r="X570" s="6">
        <v>4.5358299999999998</v>
      </c>
      <c r="Y570" s="6">
        <v>2.2823000000000002</v>
      </c>
      <c r="Z570" s="6">
        <v>2.3056999999999999</v>
      </c>
      <c r="AA570" s="6">
        <v>328</v>
      </c>
      <c r="AN570" s="17">
        <v>567</v>
      </c>
      <c r="AO570" s="6">
        <v>1.0791299999999999</v>
      </c>
      <c r="AP570" s="6">
        <v>0.2571</v>
      </c>
      <c r="AQ570" s="6">
        <v>0.54859999999999998</v>
      </c>
      <c r="AR570" s="6">
        <v>328</v>
      </c>
      <c r="AT570" s="17">
        <v>567</v>
      </c>
      <c r="AU570" s="6">
        <v>0.56943999999999995</v>
      </c>
      <c r="AV570" s="6">
        <v>0.2571</v>
      </c>
      <c r="AW570" s="6">
        <v>0.54859999999999998</v>
      </c>
      <c r="AX570" s="6">
        <v>328</v>
      </c>
    </row>
    <row r="571" spans="1:50" x14ac:dyDescent="0.25">
      <c r="A571" s="31" t="s">
        <v>116</v>
      </c>
      <c r="B571" s="32">
        <v>2</v>
      </c>
      <c r="C571" s="32">
        <v>7</v>
      </c>
      <c r="D571" s="32">
        <v>5</v>
      </c>
      <c r="E571" s="32">
        <v>24</v>
      </c>
      <c r="F571" s="12">
        <v>56.6</v>
      </c>
      <c r="G571">
        <v>64.908860585197928</v>
      </c>
      <c r="Q571" s="17">
        <v>569</v>
      </c>
      <c r="R571" s="6">
        <v>2.39249</v>
      </c>
      <c r="S571" s="6">
        <v>4.9828999999999999</v>
      </c>
      <c r="T571" s="6">
        <v>2.3047</v>
      </c>
      <c r="U571" s="6">
        <v>328</v>
      </c>
      <c r="W571" s="17">
        <v>569</v>
      </c>
      <c r="X571" s="6">
        <v>4.5339299999999998</v>
      </c>
      <c r="Y571" s="6">
        <v>4.9828999999999999</v>
      </c>
      <c r="Z571" s="6">
        <v>2.3047</v>
      </c>
      <c r="AA571" s="6">
        <v>328</v>
      </c>
      <c r="AN571" s="17">
        <v>568</v>
      </c>
      <c r="AO571" s="6">
        <v>1.06856</v>
      </c>
      <c r="AP571" s="6">
        <v>0.23050000000000001</v>
      </c>
      <c r="AQ571" s="6">
        <v>0.54320000000000002</v>
      </c>
      <c r="AR571" s="6">
        <v>328</v>
      </c>
      <c r="AT571" s="17">
        <v>568</v>
      </c>
      <c r="AU571" s="6">
        <v>0.56386000000000003</v>
      </c>
      <c r="AV571" s="6">
        <v>0.23050000000000001</v>
      </c>
      <c r="AW571" s="6">
        <v>0.54320000000000002</v>
      </c>
      <c r="AX571" s="6">
        <v>328</v>
      </c>
    </row>
    <row r="572" spans="1:50" x14ac:dyDescent="0.25">
      <c r="A572" s="31" t="s">
        <v>116</v>
      </c>
      <c r="B572" s="32">
        <v>3</v>
      </c>
      <c r="C572" s="32">
        <v>5</v>
      </c>
      <c r="D572" s="32">
        <v>10</v>
      </c>
      <c r="E572" s="32">
        <v>24</v>
      </c>
      <c r="F572" s="12">
        <v>56.3</v>
      </c>
      <c r="G572">
        <v>70.372499207683077</v>
      </c>
      <c r="Q572" s="17">
        <v>570</v>
      </c>
      <c r="R572" s="6">
        <v>2.3796900000000001</v>
      </c>
      <c r="S572" s="6">
        <v>3.9878</v>
      </c>
      <c r="T572" s="6">
        <v>2.2924000000000002</v>
      </c>
      <c r="U572" s="6">
        <v>328</v>
      </c>
      <c r="W572" s="17">
        <v>570</v>
      </c>
      <c r="X572" s="6">
        <v>4.5096800000000004</v>
      </c>
      <c r="Y572" s="6">
        <v>3.9878</v>
      </c>
      <c r="Z572" s="6">
        <v>2.2924000000000002</v>
      </c>
      <c r="AA572" s="6">
        <v>328</v>
      </c>
      <c r="AN572" s="17">
        <v>569</v>
      </c>
      <c r="AO572" s="6">
        <v>1.0750900000000001</v>
      </c>
      <c r="AP572" s="6">
        <v>1.61</v>
      </c>
      <c r="AQ572" s="6">
        <v>0.54649999999999999</v>
      </c>
      <c r="AR572" s="6">
        <v>328</v>
      </c>
      <c r="AT572" s="17">
        <v>569</v>
      </c>
      <c r="AU572" s="6">
        <v>0.56730999999999998</v>
      </c>
      <c r="AV572" s="6">
        <v>1.61</v>
      </c>
      <c r="AW572" s="6">
        <v>0.54649999999999999</v>
      </c>
      <c r="AX572" s="6">
        <v>328</v>
      </c>
    </row>
    <row r="573" spans="1:50" x14ac:dyDescent="0.25">
      <c r="A573" s="34" t="s">
        <v>97</v>
      </c>
      <c r="B573" s="35">
        <v>1</v>
      </c>
      <c r="C573" s="35">
        <v>1</v>
      </c>
      <c r="D573" s="35">
        <v>1</v>
      </c>
      <c r="E573" s="35">
        <v>24</v>
      </c>
      <c r="F573" s="2" t="s">
        <v>12</v>
      </c>
      <c r="G573" t="s">
        <v>12</v>
      </c>
      <c r="Q573" s="17">
        <v>571</v>
      </c>
      <c r="R573" s="6">
        <v>2.3802699999999999</v>
      </c>
      <c r="S573" s="6">
        <v>7.0567000000000002</v>
      </c>
      <c r="T573" s="6">
        <v>2.2930000000000001</v>
      </c>
      <c r="U573" s="6">
        <v>328</v>
      </c>
      <c r="W573" s="17">
        <v>571</v>
      </c>
      <c r="X573" s="6">
        <v>4.5107699999999999</v>
      </c>
      <c r="Y573" s="6">
        <v>7.0567000000000002</v>
      </c>
      <c r="Z573" s="6">
        <v>2.2930000000000001</v>
      </c>
      <c r="AA573" s="6">
        <v>328</v>
      </c>
      <c r="AN573" s="17">
        <v>570</v>
      </c>
      <c r="AO573" s="6">
        <v>1.0692600000000001</v>
      </c>
      <c r="AP573" s="6">
        <v>0.1343</v>
      </c>
      <c r="AQ573" s="6">
        <v>0.54349999999999998</v>
      </c>
      <c r="AR573" s="6">
        <v>328</v>
      </c>
      <c r="AT573" s="17">
        <v>570</v>
      </c>
      <c r="AU573" s="6">
        <v>0.56423000000000001</v>
      </c>
      <c r="AV573" s="6">
        <v>0.1343</v>
      </c>
      <c r="AW573" s="6">
        <v>0.54349999999999998</v>
      </c>
      <c r="AX573" s="6">
        <v>328</v>
      </c>
    </row>
    <row r="574" spans="1:50" x14ac:dyDescent="0.25">
      <c r="A574" s="34" t="s">
        <v>97</v>
      </c>
      <c r="B574" s="35">
        <v>2</v>
      </c>
      <c r="C574" s="35">
        <v>10</v>
      </c>
      <c r="D574" s="35">
        <v>3</v>
      </c>
      <c r="E574" s="35">
        <v>24</v>
      </c>
      <c r="F574" s="2">
        <v>59.7</v>
      </c>
      <c r="G574">
        <v>78.11694105151355</v>
      </c>
      <c r="Q574" s="17">
        <v>572</v>
      </c>
      <c r="R574" s="6">
        <v>2.3898899999999998</v>
      </c>
      <c r="S574" s="6">
        <v>7.1745999999999999</v>
      </c>
      <c r="T574" s="6">
        <v>2.3022</v>
      </c>
      <c r="U574" s="6">
        <v>328</v>
      </c>
      <c r="W574" s="17">
        <v>572</v>
      </c>
      <c r="X574" s="6">
        <v>4.5289999999999999</v>
      </c>
      <c r="Y574" s="6">
        <v>7.1745999999999999</v>
      </c>
      <c r="Z574" s="6">
        <v>2.3022</v>
      </c>
      <c r="AA574" s="6">
        <v>328</v>
      </c>
      <c r="AN574" s="17">
        <v>571</v>
      </c>
      <c r="AO574" s="6">
        <v>1.0662</v>
      </c>
      <c r="AP574" s="6">
        <v>0.14119999999999999</v>
      </c>
      <c r="AQ574" s="6">
        <v>0.54200000000000004</v>
      </c>
      <c r="AR574" s="6">
        <v>328</v>
      </c>
      <c r="AT574" s="17">
        <v>571</v>
      </c>
      <c r="AU574" s="6">
        <v>0.56262000000000001</v>
      </c>
      <c r="AV574" s="6">
        <v>0.14119999999999999</v>
      </c>
      <c r="AW574" s="6">
        <v>0.54200000000000004</v>
      </c>
      <c r="AX574" s="6">
        <v>328</v>
      </c>
    </row>
    <row r="575" spans="1:50" x14ac:dyDescent="0.25">
      <c r="A575" s="34" t="s">
        <v>97</v>
      </c>
      <c r="B575" s="35">
        <v>3</v>
      </c>
      <c r="C575" s="35">
        <v>6</v>
      </c>
      <c r="D575" s="35">
        <v>5</v>
      </c>
      <c r="E575" s="35">
        <v>24</v>
      </c>
      <c r="F575" s="2">
        <v>57.2</v>
      </c>
      <c r="G575">
        <v>89.908096651123358</v>
      </c>
      <c r="Q575" s="17">
        <v>573</v>
      </c>
      <c r="R575" s="6">
        <v>2.3946200000000002</v>
      </c>
      <c r="S575" s="19">
        <v>-1.4492</v>
      </c>
      <c r="T575" s="6">
        <v>2.3068</v>
      </c>
      <c r="U575" s="6">
        <v>328</v>
      </c>
      <c r="W575" s="17">
        <v>573</v>
      </c>
      <c r="X575" s="6">
        <v>4.5379800000000001</v>
      </c>
      <c r="Y575" s="19">
        <v>-1.4492</v>
      </c>
      <c r="Z575" s="6">
        <v>2.3068</v>
      </c>
      <c r="AA575" s="6">
        <v>328</v>
      </c>
      <c r="AN575" s="17">
        <v>572</v>
      </c>
      <c r="AO575" s="6">
        <v>1.0723499999999999</v>
      </c>
      <c r="AP575" s="6">
        <v>0.7077</v>
      </c>
      <c r="AQ575" s="6">
        <v>0.54510000000000003</v>
      </c>
      <c r="AR575" s="6">
        <v>328</v>
      </c>
      <c r="AT575" s="17">
        <v>572</v>
      </c>
      <c r="AU575" s="6">
        <v>0.56586000000000003</v>
      </c>
      <c r="AV575" s="6">
        <v>0.7077</v>
      </c>
      <c r="AW575" s="6">
        <v>0.54510000000000003</v>
      </c>
      <c r="AX575" s="6">
        <v>328</v>
      </c>
    </row>
    <row r="576" spans="1:50" x14ac:dyDescent="0.25">
      <c r="A576" s="31" t="s">
        <v>132</v>
      </c>
      <c r="B576" s="32">
        <v>1</v>
      </c>
      <c r="C576" s="32">
        <v>12</v>
      </c>
      <c r="D576" s="32">
        <v>2</v>
      </c>
      <c r="E576" s="32">
        <v>24</v>
      </c>
      <c r="F576" s="2">
        <v>60.7</v>
      </c>
      <c r="G576">
        <v>64.116831396750399</v>
      </c>
      <c r="Q576" s="17">
        <v>574</v>
      </c>
      <c r="R576" s="6">
        <v>2.3887100000000001</v>
      </c>
      <c r="S576" s="6">
        <v>2.2164999999999999</v>
      </c>
      <c r="T576" s="6">
        <v>2.3010999999999999</v>
      </c>
      <c r="U576" s="6">
        <v>328</v>
      </c>
      <c r="W576" s="17">
        <v>574</v>
      </c>
      <c r="X576" s="6">
        <v>4.5267799999999996</v>
      </c>
      <c r="Y576" s="6">
        <v>2.2164999999999999</v>
      </c>
      <c r="Z576" s="6">
        <v>2.3010999999999999</v>
      </c>
      <c r="AA576" s="6">
        <v>328</v>
      </c>
      <c r="AN576" s="17">
        <v>573</v>
      </c>
      <c r="AO576" s="6">
        <v>1.0707</v>
      </c>
      <c r="AP576" s="19">
        <v>-1.6818</v>
      </c>
      <c r="AQ576" s="6">
        <v>0.54430000000000001</v>
      </c>
      <c r="AR576" s="6">
        <v>328</v>
      </c>
      <c r="AT576" s="17">
        <v>573</v>
      </c>
      <c r="AU576" s="6">
        <v>0.56498999999999999</v>
      </c>
      <c r="AV576" s="19">
        <v>-1.6818</v>
      </c>
      <c r="AW576" s="6">
        <v>0.54430000000000001</v>
      </c>
      <c r="AX576" s="6">
        <v>328</v>
      </c>
    </row>
    <row r="577" spans="1:50" x14ac:dyDescent="0.25">
      <c r="A577" s="31" t="s">
        <v>132</v>
      </c>
      <c r="B577" s="32">
        <v>2</v>
      </c>
      <c r="C577" s="32">
        <v>17</v>
      </c>
      <c r="D577" s="32">
        <v>3</v>
      </c>
      <c r="E577" s="32">
        <v>24</v>
      </c>
      <c r="F577" s="2">
        <v>61.5</v>
      </c>
      <c r="G577">
        <v>69.816867469879497</v>
      </c>
      <c r="Q577" s="17">
        <v>575</v>
      </c>
      <c r="R577" s="6">
        <v>2.3869899999999999</v>
      </c>
      <c r="S577" s="6">
        <v>3.9127000000000001</v>
      </c>
      <c r="T577" s="6">
        <v>2.2993999999999999</v>
      </c>
      <c r="U577" s="6">
        <v>328</v>
      </c>
      <c r="W577" s="17">
        <v>575</v>
      </c>
      <c r="X577" s="6">
        <v>4.5235099999999999</v>
      </c>
      <c r="Y577" s="6">
        <v>3.9127000000000001</v>
      </c>
      <c r="Z577" s="6">
        <v>2.2993999999999999</v>
      </c>
      <c r="AA577" s="6">
        <v>328</v>
      </c>
      <c r="AN577" s="17">
        <v>574</v>
      </c>
      <c r="AO577" s="6">
        <v>1.06925</v>
      </c>
      <c r="AP577" s="6">
        <v>0.38940000000000002</v>
      </c>
      <c r="AQ577" s="6">
        <v>0.54349999999999998</v>
      </c>
      <c r="AR577" s="6">
        <v>328</v>
      </c>
      <c r="AT577" s="17">
        <v>574</v>
      </c>
      <c r="AU577" s="6">
        <v>0.56423000000000001</v>
      </c>
      <c r="AV577" s="6">
        <v>0.38940000000000002</v>
      </c>
      <c r="AW577" s="6">
        <v>0.54349999999999998</v>
      </c>
      <c r="AX577" s="6">
        <v>328</v>
      </c>
    </row>
    <row r="578" spans="1:50" x14ac:dyDescent="0.25">
      <c r="A578" s="31" t="s">
        <v>132</v>
      </c>
      <c r="B578" s="32">
        <v>3</v>
      </c>
      <c r="C578" s="32">
        <v>15</v>
      </c>
      <c r="D578" s="32">
        <v>5</v>
      </c>
      <c r="E578" s="32">
        <v>24</v>
      </c>
      <c r="F578" s="2">
        <v>61</v>
      </c>
      <c r="G578">
        <v>66.521938775510208</v>
      </c>
      <c r="Q578" s="17">
        <v>576</v>
      </c>
      <c r="R578" s="6">
        <v>2.3966400000000001</v>
      </c>
      <c r="S578" s="6">
        <v>2.5188000000000001</v>
      </c>
      <c r="T578" s="6">
        <v>2.3087</v>
      </c>
      <c r="U578" s="6">
        <v>328</v>
      </c>
      <c r="W578" s="17">
        <v>576</v>
      </c>
      <c r="X578" s="6">
        <v>4.5417899999999998</v>
      </c>
      <c r="Y578" s="6">
        <v>2.5188000000000001</v>
      </c>
      <c r="Z578" s="6">
        <v>2.3087</v>
      </c>
      <c r="AA578" s="6">
        <v>328</v>
      </c>
      <c r="AN578" s="17">
        <v>575</v>
      </c>
      <c r="AO578" s="6">
        <v>1.0744100000000001</v>
      </c>
      <c r="AP578" s="6">
        <v>0.60270000000000001</v>
      </c>
      <c r="AQ578" s="6">
        <v>0.54620000000000002</v>
      </c>
      <c r="AR578" s="6">
        <v>328</v>
      </c>
      <c r="AT578" s="17">
        <v>575</v>
      </c>
      <c r="AU578" s="6">
        <v>0.56694999999999995</v>
      </c>
      <c r="AV578" s="6">
        <v>0.60270000000000001</v>
      </c>
      <c r="AW578" s="6">
        <v>0.54620000000000002</v>
      </c>
      <c r="AX578" s="6">
        <v>328</v>
      </c>
    </row>
    <row r="579" spans="1:50" x14ac:dyDescent="0.25">
      <c r="A579" s="31" t="s">
        <v>13</v>
      </c>
      <c r="B579" s="32">
        <v>1</v>
      </c>
      <c r="C579" s="36">
        <v>2</v>
      </c>
      <c r="D579" s="36">
        <v>2</v>
      </c>
      <c r="E579" s="32">
        <v>24</v>
      </c>
      <c r="F579" s="12">
        <v>57.5</v>
      </c>
      <c r="G579">
        <v>64.414349999999985</v>
      </c>
      <c r="Q579" s="17">
        <v>577</v>
      </c>
      <c r="R579" s="6">
        <v>2.3954800000000001</v>
      </c>
      <c r="S579" s="6">
        <v>3.5855000000000001</v>
      </c>
      <c r="T579" s="6">
        <v>2.3075999999999999</v>
      </c>
      <c r="U579" s="6">
        <v>328</v>
      </c>
      <c r="W579" s="17">
        <v>577</v>
      </c>
      <c r="X579" s="6">
        <v>4.5395899999999996</v>
      </c>
      <c r="Y579" s="6">
        <v>3.5855000000000001</v>
      </c>
      <c r="Z579" s="6">
        <v>2.3075999999999999</v>
      </c>
      <c r="AA579" s="6">
        <v>328</v>
      </c>
      <c r="AN579" s="17">
        <v>576</v>
      </c>
      <c r="AO579" s="6">
        <v>1.0801799999999999</v>
      </c>
      <c r="AP579" s="6">
        <v>0.31359999999999999</v>
      </c>
      <c r="AQ579" s="6">
        <v>0.54910000000000003</v>
      </c>
      <c r="AR579" s="6">
        <v>328</v>
      </c>
      <c r="AT579" s="17">
        <v>576</v>
      </c>
      <c r="AU579" s="6">
        <v>0.56999</v>
      </c>
      <c r="AV579" s="6">
        <v>0.31359999999999999</v>
      </c>
      <c r="AW579" s="6">
        <v>0.54910000000000003</v>
      </c>
      <c r="AX579" s="6">
        <v>328</v>
      </c>
    </row>
    <row r="580" spans="1:50" x14ac:dyDescent="0.25">
      <c r="A580" s="31" t="s">
        <v>13</v>
      </c>
      <c r="B580" s="32">
        <v>2</v>
      </c>
      <c r="C580" s="36">
        <v>4</v>
      </c>
      <c r="D580" s="36">
        <v>4</v>
      </c>
      <c r="E580" s="32">
        <v>24</v>
      </c>
      <c r="F580" s="12">
        <v>57</v>
      </c>
      <c r="G580">
        <v>70.778179999999978</v>
      </c>
      <c r="Q580" s="17">
        <v>578</v>
      </c>
      <c r="R580" s="6">
        <v>2.3889</v>
      </c>
      <c r="S580" s="6">
        <v>2.0169000000000001</v>
      </c>
      <c r="T580" s="6">
        <v>2.3012999999999999</v>
      </c>
      <c r="U580" s="6">
        <v>328</v>
      </c>
      <c r="W580" s="17">
        <v>578</v>
      </c>
      <c r="X580" s="6">
        <v>4.5271299999999997</v>
      </c>
      <c r="Y580" s="6">
        <v>2.0169000000000001</v>
      </c>
      <c r="Z580" s="6">
        <v>2.3012999999999999</v>
      </c>
      <c r="AA580" s="6">
        <v>328</v>
      </c>
      <c r="AN580" s="17">
        <v>577</v>
      </c>
      <c r="AO580" s="6">
        <v>1.0741499999999999</v>
      </c>
      <c r="AP580" s="19">
        <v>-0.76700000000000002</v>
      </c>
      <c r="AQ580" s="6">
        <v>0.54600000000000004</v>
      </c>
      <c r="AR580" s="6">
        <v>328</v>
      </c>
      <c r="AT580" s="17">
        <v>577</v>
      </c>
      <c r="AU580" s="6">
        <v>0.56681000000000004</v>
      </c>
      <c r="AV580" s="19">
        <v>-0.76700000000000002</v>
      </c>
      <c r="AW580" s="6">
        <v>0.54600000000000004</v>
      </c>
      <c r="AX580" s="6">
        <v>328</v>
      </c>
    </row>
    <row r="581" spans="1:50" x14ac:dyDescent="0.25">
      <c r="A581" s="31" t="s">
        <v>13</v>
      </c>
      <c r="B581" s="32">
        <v>3</v>
      </c>
      <c r="C581" s="36">
        <v>13</v>
      </c>
      <c r="D581" s="36">
        <v>5</v>
      </c>
      <c r="E581" s="32">
        <v>24</v>
      </c>
      <c r="F581" s="12">
        <v>57.1</v>
      </c>
      <c r="G581">
        <v>70.728239999999971</v>
      </c>
      <c r="Q581" s="17">
        <v>579</v>
      </c>
      <c r="R581" s="6">
        <v>2.3932799999999999</v>
      </c>
      <c r="S581" s="6">
        <v>2.52</v>
      </c>
      <c r="T581" s="6">
        <v>2.3054999999999999</v>
      </c>
      <c r="U581" s="6">
        <v>328</v>
      </c>
      <c r="W581" s="17">
        <v>579</v>
      </c>
      <c r="X581" s="6">
        <v>4.5354299999999999</v>
      </c>
      <c r="Y581" s="6">
        <v>2.52</v>
      </c>
      <c r="Z581" s="6">
        <v>2.3054999999999999</v>
      </c>
      <c r="AA581" s="6">
        <v>328</v>
      </c>
      <c r="AN581" s="17">
        <v>578</v>
      </c>
      <c r="AO581" s="6">
        <v>1.0682700000000001</v>
      </c>
      <c r="AP581" s="19">
        <v>-0.4274</v>
      </c>
      <c r="AQ581" s="6">
        <v>0.54300000000000004</v>
      </c>
      <c r="AR581" s="6">
        <v>328</v>
      </c>
      <c r="AT581" s="17">
        <v>578</v>
      </c>
      <c r="AU581" s="6">
        <v>0.56371000000000004</v>
      </c>
      <c r="AV581" s="19">
        <v>-0.4274</v>
      </c>
      <c r="AW581" s="6">
        <v>0.54300000000000004</v>
      </c>
      <c r="AX581" s="6">
        <v>328</v>
      </c>
    </row>
    <row r="582" spans="1:50" x14ac:dyDescent="0.25">
      <c r="A582" t="s">
        <v>7</v>
      </c>
      <c r="B582" s="11">
        <v>1</v>
      </c>
      <c r="C582" s="11">
        <v>9</v>
      </c>
      <c r="D582" s="11">
        <v>1</v>
      </c>
      <c r="E582" s="11">
        <v>24</v>
      </c>
      <c r="F582" s="12">
        <v>53.6</v>
      </c>
      <c r="G582">
        <v>52.929406512605027</v>
      </c>
      <c r="Q582" s="17">
        <v>580</v>
      </c>
      <c r="R582" s="6">
        <v>2.4005100000000001</v>
      </c>
      <c r="S582" s="6">
        <v>9.8170999999999999</v>
      </c>
      <c r="T582" s="6">
        <v>2.3125</v>
      </c>
      <c r="U582" s="6">
        <v>328</v>
      </c>
      <c r="W582" s="17">
        <v>580</v>
      </c>
      <c r="X582" s="6">
        <v>4.5491400000000004</v>
      </c>
      <c r="Y582" s="6">
        <v>9.8170999999999999</v>
      </c>
      <c r="Z582" s="6">
        <v>2.3125</v>
      </c>
      <c r="AA582" s="6">
        <v>328</v>
      </c>
      <c r="AN582" s="17">
        <v>579</v>
      </c>
      <c r="AO582" s="6">
        <v>1.0702</v>
      </c>
      <c r="AP582" s="19">
        <v>-0.95430000000000004</v>
      </c>
      <c r="AQ582" s="6">
        <v>0.54400000000000004</v>
      </c>
      <c r="AR582" s="6">
        <v>328</v>
      </c>
      <c r="AT582" s="17">
        <v>579</v>
      </c>
      <c r="AU582" s="6">
        <v>0.56472999999999995</v>
      </c>
      <c r="AV582" s="19">
        <v>-0.95430000000000004</v>
      </c>
      <c r="AW582" s="6">
        <v>0.54400000000000004</v>
      </c>
      <c r="AX582" s="6">
        <v>328</v>
      </c>
    </row>
    <row r="583" spans="1:50" x14ac:dyDescent="0.25">
      <c r="A583" t="s">
        <v>7</v>
      </c>
      <c r="B583" s="11">
        <v>2</v>
      </c>
      <c r="C583" s="11">
        <v>1</v>
      </c>
      <c r="D583" s="11">
        <v>6</v>
      </c>
      <c r="E583" s="11">
        <v>24</v>
      </c>
      <c r="F583" s="12">
        <v>56.7</v>
      </c>
      <c r="G583">
        <v>47.404915023793336</v>
      </c>
      <c r="Q583" s="17">
        <v>581</v>
      </c>
      <c r="R583" s="6">
        <v>2.38748</v>
      </c>
      <c r="S583" s="6">
        <v>4.3243</v>
      </c>
      <c r="T583" s="6">
        <v>2.2999000000000001</v>
      </c>
      <c r="U583" s="6">
        <v>328</v>
      </c>
      <c r="W583" s="17">
        <v>581</v>
      </c>
      <c r="X583" s="6">
        <v>4.5244299999999997</v>
      </c>
      <c r="Y583" s="6">
        <v>4.3243</v>
      </c>
      <c r="Z583" s="6">
        <v>2.2999000000000001</v>
      </c>
      <c r="AA583" s="6">
        <v>328</v>
      </c>
      <c r="AN583" s="17">
        <v>580</v>
      </c>
      <c r="AO583" s="6">
        <v>1.0819300000000001</v>
      </c>
      <c r="AP583" s="6">
        <v>0.83550000000000002</v>
      </c>
      <c r="AQ583" s="6">
        <v>0.55000000000000004</v>
      </c>
      <c r="AR583" s="6">
        <v>328</v>
      </c>
      <c r="AT583" s="17">
        <v>580</v>
      </c>
      <c r="AU583" s="6">
        <v>0.57091999999999998</v>
      </c>
      <c r="AV583" s="6">
        <v>0.83550000000000002</v>
      </c>
      <c r="AW583" s="6">
        <v>0.55000000000000004</v>
      </c>
      <c r="AX583" s="6">
        <v>328</v>
      </c>
    </row>
    <row r="584" spans="1:50" x14ac:dyDescent="0.25">
      <c r="A584" t="s">
        <v>7</v>
      </c>
      <c r="B584" s="11">
        <v>3</v>
      </c>
      <c r="C584" s="11">
        <v>12</v>
      </c>
      <c r="D584" s="11">
        <v>11</v>
      </c>
      <c r="E584" s="11">
        <v>24</v>
      </c>
      <c r="F584" s="2">
        <v>51.7</v>
      </c>
      <c r="G584">
        <v>44.817339153081896</v>
      </c>
      <c r="Q584" s="17">
        <v>582</v>
      </c>
      <c r="R584" s="6">
        <v>2.3920400000000002</v>
      </c>
      <c r="S584" s="6">
        <v>14.0428</v>
      </c>
      <c r="T584" s="6">
        <v>2.3043</v>
      </c>
      <c r="U584" s="6">
        <v>328</v>
      </c>
      <c r="W584" s="17">
        <v>582</v>
      </c>
      <c r="X584" s="6">
        <v>4.53308</v>
      </c>
      <c r="Y584" s="6">
        <v>14.0428</v>
      </c>
      <c r="Z584" s="6">
        <v>2.3043</v>
      </c>
      <c r="AA584" s="6">
        <v>328</v>
      </c>
      <c r="AN584" s="17">
        <v>581</v>
      </c>
      <c r="AO584" s="6">
        <v>1.06982</v>
      </c>
      <c r="AP584" s="19">
        <v>-0.8831</v>
      </c>
      <c r="AQ584" s="6">
        <v>0.54379999999999995</v>
      </c>
      <c r="AR584" s="6">
        <v>328</v>
      </c>
      <c r="AT584" s="17">
        <v>581</v>
      </c>
      <c r="AU584" s="6">
        <v>0.56452999999999998</v>
      </c>
      <c r="AV584" s="19">
        <v>-0.8831</v>
      </c>
      <c r="AW584" s="6">
        <v>0.54379999999999995</v>
      </c>
      <c r="AX584" s="6">
        <v>328</v>
      </c>
    </row>
    <row r="585" spans="1:50" x14ac:dyDescent="0.25">
      <c r="A585" s="31" t="s">
        <v>156</v>
      </c>
      <c r="B585" s="32">
        <v>1</v>
      </c>
      <c r="C585" s="32">
        <v>7</v>
      </c>
      <c r="D585" s="32">
        <v>2</v>
      </c>
      <c r="E585" s="32">
        <v>24</v>
      </c>
      <c r="F585" s="2">
        <v>53.9</v>
      </c>
      <c r="G585">
        <v>44.41872134635846</v>
      </c>
      <c r="Q585" s="17">
        <v>583</v>
      </c>
      <c r="R585" s="6">
        <v>2.3829799999999999</v>
      </c>
      <c r="S585" s="6">
        <v>9.2660999999999998</v>
      </c>
      <c r="T585" s="6">
        <v>2.2955999999999999</v>
      </c>
      <c r="U585" s="6">
        <v>328</v>
      </c>
      <c r="W585" s="17">
        <v>583</v>
      </c>
      <c r="X585" s="6">
        <v>4.5159000000000002</v>
      </c>
      <c r="Y585" s="6">
        <v>9.2660999999999998</v>
      </c>
      <c r="Z585" s="6">
        <v>2.2955999999999999</v>
      </c>
      <c r="AA585" s="6">
        <v>328</v>
      </c>
      <c r="AN585" s="17">
        <v>582</v>
      </c>
      <c r="AO585" s="6">
        <v>1.07742</v>
      </c>
      <c r="AP585" s="6">
        <v>1.6278999999999999</v>
      </c>
      <c r="AQ585" s="6">
        <v>0.54769999999999996</v>
      </c>
      <c r="AR585" s="6">
        <v>328</v>
      </c>
      <c r="AT585" s="17">
        <v>582</v>
      </c>
      <c r="AU585" s="6">
        <v>0.56854000000000005</v>
      </c>
      <c r="AV585" s="6">
        <v>1.6278999999999999</v>
      </c>
      <c r="AW585" s="6">
        <v>0.54769999999999996</v>
      </c>
      <c r="AX585" s="6">
        <v>328</v>
      </c>
    </row>
    <row r="586" spans="1:50" x14ac:dyDescent="0.25">
      <c r="A586" s="31" t="s">
        <v>156</v>
      </c>
      <c r="B586" s="32">
        <v>2</v>
      </c>
      <c r="C586" s="32">
        <v>19</v>
      </c>
      <c r="D586" s="32">
        <v>4</v>
      </c>
      <c r="E586" s="32">
        <v>24</v>
      </c>
      <c r="F586" s="2">
        <v>55.5</v>
      </c>
      <c r="G586">
        <v>38.332599131834371</v>
      </c>
      <c r="Q586" s="17">
        <v>584</v>
      </c>
      <c r="R586" s="6">
        <v>2.3871099999999998</v>
      </c>
      <c r="S586" s="6">
        <v>3.2875000000000001</v>
      </c>
      <c r="T586" s="6">
        <v>2.2995999999999999</v>
      </c>
      <c r="U586" s="6">
        <v>328</v>
      </c>
      <c r="W586" s="17">
        <v>584</v>
      </c>
      <c r="X586" s="6">
        <v>4.5237400000000001</v>
      </c>
      <c r="Y586" s="6">
        <v>3.2875000000000001</v>
      </c>
      <c r="Z586" s="6">
        <v>2.2995999999999999</v>
      </c>
      <c r="AA586" s="6">
        <v>328</v>
      </c>
      <c r="AN586" s="17">
        <v>583</v>
      </c>
      <c r="AO586" s="6">
        <v>1.0696600000000001</v>
      </c>
      <c r="AP586" s="6">
        <v>0.75629999999999997</v>
      </c>
      <c r="AQ586" s="6">
        <v>0.54369999999999996</v>
      </c>
      <c r="AR586" s="6">
        <v>328</v>
      </c>
      <c r="AT586" s="17">
        <v>583</v>
      </c>
      <c r="AU586" s="6">
        <v>0.56445000000000001</v>
      </c>
      <c r="AV586" s="6">
        <v>0.75629999999999997</v>
      </c>
      <c r="AW586" s="6">
        <v>0.54369999999999996</v>
      </c>
      <c r="AX586" s="6">
        <v>328</v>
      </c>
    </row>
    <row r="587" spans="1:50" x14ac:dyDescent="0.25">
      <c r="A587" s="31" t="s">
        <v>156</v>
      </c>
      <c r="B587" s="32">
        <v>3</v>
      </c>
      <c r="C587" s="32">
        <v>24</v>
      </c>
      <c r="D587" s="32">
        <v>5</v>
      </c>
      <c r="E587" s="32">
        <v>24</v>
      </c>
      <c r="F587" s="2">
        <v>57.8</v>
      </c>
      <c r="G587">
        <v>40.975409614082601</v>
      </c>
      <c r="Q587" s="17">
        <v>585</v>
      </c>
      <c r="R587" s="6">
        <v>2.38375</v>
      </c>
      <c r="S587" s="6">
        <v>5.2892000000000001</v>
      </c>
      <c r="T587" s="6">
        <v>2.2963</v>
      </c>
      <c r="U587" s="6">
        <v>328</v>
      </c>
      <c r="W587" s="17">
        <v>585</v>
      </c>
      <c r="X587" s="6">
        <v>4.5173800000000002</v>
      </c>
      <c r="Y587" s="6">
        <v>5.2892000000000001</v>
      </c>
      <c r="Z587" s="6">
        <v>2.2963</v>
      </c>
      <c r="AA587" s="6">
        <v>328</v>
      </c>
      <c r="AN587" s="17">
        <v>584</v>
      </c>
      <c r="AO587" s="6">
        <v>1.07422</v>
      </c>
      <c r="AP587" s="6">
        <v>0.30840000000000001</v>
      </c>
      <c r="AQ587" s="6">
        <v>0.54610000000000003</v>
      </c>
      <c r="AR587" s="6">
        <v>328</v>
      </c>
      <c r="AT587" s="17">
        <v>584</v>
      </c>
      <c r="AU587" s="6">
        <v>0.56684999999999997</v>
      </c>
      <c r="AV587" s="6">
        <v>0.30840000000000001</v>
      </c>
      <c r="AW587" s="6">
        <v>0.54610000000000003</v>
      </c>
      <c r="AX587" s="6">
        <v>328</v>
      </c>
    </row>
    <row r="588" spans="1:50" x14ac:dyDescent="0.25">
      <c r="A588" s="31" t="s">
        <v>10</v>
      </c>
      <c r="B588" s="32">
        <v>1</v>
      </c>
      <c r="C588" s="32">
        <v>11</v>
      </c>
      <c r="D588" s="32">
        <v>4</v>
      </c>
      <c r="E588" s="32">
        <v>24</v>
      </c>
      <c r="F588" s="2">
        <v>59</v>
      </c>
      <c r="G588">
        <v>74.132023689152092</v>
      </c>
      <c r="Q588" s="17">
        <v>586</v>
      </c>
      <c r="R588" s="6">
        <v>2.3874300000000002</v>
      </c>
      <c r="S588" s="6">
        <v>2.3031999999999999</v>
      </c>
      <c r="T588" s="6">
        <v>2.2999000000000001</v>
      </c>
      <c r="U588" s="6">
        <v>328</v>
      </c>
      <c r="W588" s="17">
        <v>586</v>
      </c>
      <c r="X588" s="6">
        <v>4.5243399999999996</v>
      </c>
      <c r="Y588" s="6">
        <v>2.3031999999999999</v>
      </c>
      <c r="Z588" s="6">
        <v>2.2999000000000001</v>
      </c>
      <c r="AA588" s="6">
        <v>328</v>
      </c>
      <c r="AN588" s="17">
        <v>585</v>
      </c>
      <c r="AO588" s="6">
        <v>1.0702400000000001</v>
      </c>
      <c r="AP588" s="6">
        <v>0.30630000000000002</v>
      </c>
      <c r="AQ588" s="6">
        <v>0.54400000000000004</v>
      </c>
      <c r="AR588" s="6">
        <v>328</v>
      </c>
      <c r="AT588" s="17">
        <v>585</v>
      </c>
      <c r="AU588" s="6">
        <v>0.56474999999999997</v>
      </c>
      <c r="AV588" s="6">
        <v>0.30630000000000002</v>
      </c>
      <c r="AW588" s="6">
        <v>0.54400000000000004</v>
      </c>
      <c r="AX588" s="6">
        <v>328</v>
      </c>
    </row>
    <row r="589" spans="1:50" x14ac:dyDescent="0.25">
      <c r="A589" s="31" t="s">
        <v>10</v>
      </c>
      <c r="B589" s="32">
        <v>2</v>
      </c>
      <c r="C589" s="32">
        <v>13</v>
      </c>
      <c r="D589" s="32">
        <v>8</v>
      </c>
      <c r="E589" s="32">
        <v>24</v>
      </c>
      <c r="F589" s="12">
        <v>58</v>
      </c>
      <c r="G589">
        <v>57.233892093654561</v>
      </c>
      <c r="Q589" s="17">
        <v>587</v>
      </c>
      <c r="R589" s="6">
        <v>2.3834399999999998</v>
      </c>
      <c r="S589" s="6">
        <v>4.33</v>
      </c>
      <c r="T589" s="6">
        <v>2.2959999999999998</v>
      </c>
      <c r="U589" s="6">
        <v>328</v>
      </c>
      <c r="W589" s="17">
        <v>587</v>
      </c>
      <c r="X589" s="6">
        <v>4.5167799999999998</v>
      </c>
      <c r="Y589" s="6">
        <v>4.33</v>
      </c>
      <c r="Z589" s="6">
        <v>2.2959999999999998</v>
      </c>
      <c r="AA589" s="6">
        <v>328</v>
      </c>
      <c r="AN589" s="17">
        <v>586</v>
      </c>
      <c r="AO589" s="6">
        <v>1.06887</v>
      </c>
      <c r="AP589" s="19">
        <v>-1.0710999999999999</v>
      </c>
      <c r="AQ589" s="6">
        <v>0.54330000000000001</v>
      </c>
      <c r="AR589" s="6">
        <v>328</v>
      </c>
      <c r="AT589" s="17">
        <v>586</v>
      </c>
      <c r="AU589" s="6">
        <v>0.56403000000000003</v>
      </c>
      <c r="AV589" s="19">
        <v>-1.0710999999999999</v>
      </c>
      <c r="AW589" s="6">
        <v>0.54330000000000001</v>
      </c>
      <c r="AX589" s="6">
        <v>328</v>
      </c>
    </row>
    <row r="590" spans="1:50" x14ac:dyDescent="0.25">
      <c r="A590" s="31" t="s">
        <v>10</v>
      </c>
      <c r="B590" s="32">
        <v>3</v>
      </c>
      <c r="C590" s="32">
        <v>7</v>
      </c>
      <c r="D590" s="32">
        <v>9</v>
      </c>
      <c r="E590" s="32">
        <v>24</v>
      </c>
      <c r="F590" s="2">
        <v>58.5</v>
      </c>
      <c r="G590">
        <v>54.517981598062953</v>
      </c>
      <c r="Q590" s="17">
        <v>588</v>
      </c>
      <c r="R590" s="6">
        <v>2.3766699999999998</v>
      </c>
      <c r="S590" s="6">
        <v>0.3296</v>
      </c>
      <c r="T590" s="6">
        <v>2.2894999999999999</v>
      </c>
      <c r="U590" s="6">
        <v>328</v>
      </c>
      <c r="W590" s="17">
        <v>588</v>
      </c>
      <c r="X590" s="6">
        <v>4.5039499999999997</v>
      </c>
      <c r="Y590" s="6">
        <v>0.3296</v>
      </c>
      <c r="Z590" s="6">
        <v>2.2894999999999999</v>
      </c>
      <c r="AA590" s="6">
        <v>328</v>
      </c>
      <c r="AN590" s="17">
        <v>587</v>
      </c>
      <c r="AO590" s="6">
        <v>1.06928</v>
      </c>
      <c r="AP590" s="19">
        <v>-0.75929999999999997</v>
      </c>
      <c r="AQ590" s="6">
        <v>0.54349999999999998</v>
      </c>
      <c r="AR590" s="6">
        <v>328</v>
      </c>
      <c r="AT590" s="17">
        <v>587</v>
      </c>
      <c r="AU590" s="6">
        <v>0.56423999999999996</v>
      </c>
      <c r="AV590" s="19">
        <v>-0.75929999999999997</v>
      </c>
      <c r="AW590" s="6">
        <v>0.54349999999999998</v>
      </c>
      <c r="AX590" s="6">
        <v>328</v>
      </c>
    </row>
    <row r="591" spans="1:50" x14ac:dyDescent="0.25">
      <c r="A591" s="31" t="s">
        <v>11</v>
      </c>
      <c r="B591" s="32">
        <v>1</v>
      </c>
      <c r="C591" s="32">
        <v>1</v>
      </c>
      <c r="D591" s="32">
        <v>1</v>
      </c>
      <c r="E591" s="11">
        <v>24</v>
      </c>
      <c r="F591" s="2">
        <v>59</v>
      </c>
      <c r="G591">
        <v>24.510962284102916</v>
      </c>
      <c r="Q591" s="17">
        <v>589</v>
      </c>
      <c r="R591" s="6">
        <v>2.38748</v>
      </c>
      <c r="S591" s="6">
        <v>2.5491999999999999</v>
      </c>
      <c r="T591" s="6">
        <v>2.2999000000000001</v>
      </c>
      <c r="U591" s="6">
        <v>328</v>
      </c>
      <c r="W591" s="17">
        <v>589</v>
      </c>
      <c r="X591" s="6">
        <v>4.5244400000000002</v>
      </c>
      <c r="Y591" s="6">
        <v>2.5491999999999999</v>
      </c>
      <c r="Z591" s="6">
        <v>2.2999000000000001</v>
      </c>
      <c r="AA591" s="6">
        <v>328</v>
      </c>
      <c r="AN591" s="17">
        <v>588</v>
      </c>
      <c r="AO591" s="6">
        <v>1.0786899999999999</v>
      </c>
      <c r="AP591" s="6">
        <v>0.29509999999999997</v>
      </c>
      <c r="AQ591" s="6">
        <v>0.54830000000000001</v>
      </c>
      <c r="AR591" s="6">
        <v>328</v>
      </c>
      <c r="AT591" s="17">
        <v>588</v>
      </c>
      <c r="AU591" s="6">
        <v>0.56920999999999999</v>
      </c>
      <c r="AV591" s="6">
        <v>0.29509999999999997</v>
      </c>
      <c r="AW591" s="6">
        <v>0.54830000000000001</v>
      </c>
      <c r="AX591" s="6">
        <v>328</v>
      </c>
    </row>
    <row r="592" spans="1:50" x14ac:dyDescent="0.25">
      <c r="A592" s="31" t="s">
        <v>11</v>
      </c>
      <c r="B592" s="32">
        <v>2</v>
      </c>
      <c r="C592" s="32">
        <v>8</v>
      </c>
      <c r="D592" s="32">
        <v>4</v>
      </c>
      <c r="E592" s="11">
        <v>24</v>
      </c>
      <c r="F592" s="2" t="s">
        <v>12</v>
      </c>
      <c r="G592">
        <v>13.825856994202464</v>
      </c>
      <c r="Q592" s="17">
        <v>590</v>
      </c>
      <c r="R592" s="6">
        <v>2.39656</v>
      </c>
      <c r="S592" s="19">
        <v>-6.0834999999999999</v>
      </c>
      <c r="T592" s="6">
        <v>2.3087</v>
      </c>
      <c r="U592" s="6">
        <v>328</v>
      </c>
      <c r="W592" s="17">
        <v>590</v>
      </c>
      <c r="X592" s="6">
        <v>4.5416400000000001</v>
      </c>
      <c r="Y592" s="19">
        <v>-6.0834999999999999</v>
      </c>
      <c r="Z592" s="6">
        <v>2.3087</v>
      </c>
      <c r="AA592" s="6">
        <v>328</v>
      </c>
      <c r="AN592" s="17">
        <v>589</v>
      </c>
      <c r="AO592" s="6">
        <v>1.0699399999999999</v>
      </c>
      <c r="AP592" s="6">
        <v>0.20469999999999999</v>
      </c>
      <c r="AQ592" s="6">
        <v>0.54390000000000005</v>
      </c>
      <c r="AR592" s="6">
        <v>328</v>
      </c>
      <c r="AT592" s="17">
        <v>589</v>
      </c>
      <c r="AU592" s="6">
        <v>0.56459000000000004</v>
      </c>
      <c r="AV592" s="6">
        <v>0.20469999999999999</v>
      </c>
      <c r="AW592" s="6">
        <v>0.54390000000000005</v>
      </c>
      <c r="AX592" s="6">
        <v>328</v>
      </c>
    </row>
    <row r="593" spans="1:50" x14ac:dyDescent="0.25">
      <c r="A593" s="31" t="s">
        <v>11</v>
      </c>
      <c r="B593" s="32">
        <v>3</v>
      </c>
      <c r="C593" s="32">
        <v>4</v>
      </c>
      <c r="D593" s="32">
        <v>8</v>
      </c>
      <c r="E593" s="11">
        <v>24</v>
      </c>
      <c r="F593" s="2" t="s">
        <v>12</v>
      </c>
      <c r="G593">
        <v>11.673409090909088</v>
      </c>
      <c r="Q593" s="17">
        <v>591</v>
      </c>
      <c r="R593" s="6">
        <v>2.395</v>
      </c>
      <c r="S593" s="6">
        <v>0.83819999999999995</v>
      </c>
      <c r="T593" s="6">
        <v>2.3071999999999999</v>
      </c>
      <c r="U593" s="6">
        <v>328</v>
      </c>
      <c r="W593" s="17">
        <v>591</v>
      </c>
      <c r="X593" s="6">
        <v>4.5386899999999999</v>
      </c>
      <c r="Y593" s="6">
        <v>0.83819999999999995</v>
      </c>
      <c r="Z593" s="6">
        <v>2.3071999999999999</v>
      </c>
      <c r="AA593" s="6">
        <v>328</v>
      </c>
      <c r="AN593" s="17">
        <v>590</v>
      </c>
      <c r="AO593" s="6">
        <v>1.0784100000000001</v>
      </c>
      <c r="AP593" s="19">
        <v>-8.8609999999999994E-2</v>
      </c>
      <c r="AQ593" s="6">
        <v>0.54820000000000002</v>
      </c>
      <c r="AR593" s="6">
        <v>328</v>
      </c>
      <c r="AT593" s="17">
        <v>590</v>
      </c>
      <c r="AU593" s="6">
        <v>0.56906000000000001</v>
      </c>
      <c r="AV593" s="19">
        <v>-8.8609999999999994E-2</v>
      </c>
      <c r="AW593" s="6">
        <v>0.54820000000000002</v>
      </c>
      <c r="AX593" s="6">
        <v>328</v>
      </c>
    </row>
    <row r="594" spans="1:50" x14ac:dyDescent="0.25">
      <c r="A594" t="s">
        <v>160</v>
      </c>
      <c r="B594">
        <v>1</v>
      </c>
      <c r="C594" s="36">
        <v>13</v>
      </c>
      <c r="D594" s="36">
        <v>2</v>
      </c>
      <c r="E594" s="32">
        <v>24</v>
      </c>
      <c r="F594" s="13">
        <v>58.4</v>
      </c>
      <c r="G594">
        <v>90.888280387409196</v>
      </c>
      <c r="Q594" s="17">
        <v>592</v>
      </c>
      <c r="R594" s="6">
        <v>2.3804799999999999</v>
      </c>
      <c r="S594" s="6">
        <v>3.5388000000000002</v>
      </c>
      <c r="T594" s="6">
        <v>2.2932000000000001</v>
      </c>
      <c r="U594" s="6">
        <v>328</v>
      </c>
      <c r="W594" s="17">
        <v>592</v>
      </c>
      <c r="X594" s="6">
        <v>4.5111800000000004</v>
      </c>
      <c r="Y594" s="6">
        <v>3.5388000000000002</v>
      </c>
      <c r="Z594" s="6">
        <v>2.2932000000000001</v>
      </c>
      <c r="AA594" s="6">
        <v>328</v>
      </c>
      <c r="AN594" s="17">
        <v>591</v>
      </c>
      <c r="AO594" s="6">
        <v>1.06697</v>
      </c>
      <c r="AP594" s="19">
        <v>-0.1152</v>
      </c>
      <c r="AQ594" s="6">
        <v>0.54239999999999999</v>
      </c>
      <c r="AR594" s="6">
        <v>328</v>
      </c>
      <c r="AT594" s="17">
        <v>591</v>
      </c>
      <c r="AU594" s="6">
        <v>0.56301999999999996</v>
      </c>
      <c r="AV594" s="19">
        <v>-0.1152</v>
      </c>
      <c r="AW594" s="6">
        <v>0.54239999999999999</v>
      </c>
      <c r="AX594" s="6">
        <v>328</v>
      </c>
    </row>
    <row r="595" spans="1:50" x14ac:dyDescent="0.25">
      <c r="A595" t="s">
        <v>160</v>
      </c>
      <c r="B595">
        <v>2</v>
      </c>
      <c r="C595" s="36">
        <v>22</v>
      </c>
      <c r="D595" s="36">
        <v>3</v>
      </c>
      <c r="E595" s="32">
        <v>24</v>
      </c>
      <c r="F595" s="13">
        <v>57.7</v>
      </c>
      <c r="G595">
        <v>86.992345422817522</v>
      </c>
      <c r="Q595" s="17">
        <v>593</v>
      </c>
      <c r="R595" s="6">
        <v>2.3712599999999999</v>
      </c>
      <c r="S595" s="6">
        <v>2.5436999999999999</v>
      </c>
      <c r="T595" s="6">
        <v>2.2843</v>
      </c>
      <c r="U595" s="6">
        <v>328</v>
      </c>
      <c r="W595" s="17">
        <v>593</v>
      </c>
      <c r="X595" s="6">
        <v>4.49369</v>
      </c>
      <c r="Y595" s="6">
        <v>2.5436999999999999</v>
      </c>
      <c r="Z595" s="6">
        <v>2.2843</v>
      </c>
      <c r="AA595" s="6">
        <v>328</v>
      </c>
      <c r="AN595" s="17">
        <v>592</v>
      </c>
      <c r="AO595" s="6">
        <v>1.0671999999999999</v>
      </c>
      <c r="AP595" s="6">
        <v>1.2643</v>
      </c>
      <c r="AQ595" s="6">
        <v>0.54249999999999998</v>
      </c>
      <c r="AR595" s="6">
        <v>328</v>
      </c>
      <c r="AT595" s="17">
        <v>592</v>
      </c>
      <c r="AU595" s="6">
        <v>0.56315000000000004</v>
      </c>
      <c r="AV595" s="6">
        <v>1.2643</v>
      </c>
      <c r="AW595" s="6">
        <v>0.54249999999999998</v>
      </c>
      <c r="AX595" s="6">
        <v>328</v>
      </c>
    </row>
    <row r="596" spans="1:50" x14ac:dyDescent="0.25">
      <c r="A596" t="s">
        <v>160</v>
      </c>
      <c r="B596">
        <v>3</v>
      </c>
      <c r="C596" s="36">
        <v>15</v>
      </c>
      <c r="D596" s="36">
        <v>5</v>
      </c>
      <c r="E596" s="32">
        <v>24</v>
      </c>
      <c r="F596" s="13">
        <v>58.2</v>
      </c>
      <c r="G596">
        <v>88.174298771641347</v>
      </c>
      <c r="Q596" s="17">
        <v>594</v>
      </c>
      <c r="R596" s="6">
        <v>2.3710200000000001</v>
      </c>
      <c r="S596" s="6">
        <v>5.6125999999999996</v>
      </c>
      <c r="T596" s="6">
        <v>2.2841</v>
      </c>
      <c r="U596" s="6">
        <v>328</v>
      </c>
      <c r="W596" s="17">
        <v>594</v>
      </c>
      <c r="X596" s="6">
        <v>4.4932400000000001</v>
      </c>
      <c r="Y596" s="6">
        <v>5.6125999999999996</v>
      </c>
      <c r="Z596" s="6">
        <v>2.2841</v>
      </c>
      <c r="AA596" s="6">
        <v>328</v>
      </c>
      <c r="AN596" s="17">
        <v>593</v>
      </c>
      <c r="AO596" s="6">
        <v>1.0665199999999999</v>
      </c>
      <c r="AP596" s="19">
        <v>-0.2114</v>
      </c>
      <c r="AQ596" s="6">
        <v>0.54210000000000003</v>
      </c>
      <c r="AR596" s="6">
        <v>328</v>
      </c>
      <c r="AT596" s="17">
        <v>593</v>
      </c>
      <c r="AU596" s="6">
        <v>0.56277999999999995</v>
      </c>
      <c r="AV596" s="19">
        <v>-0.2114</v>
      </c>
      <c r="AW596" s="6">
        <v>0.54210000000000003</v>
      </c>
      <c r="AX596" s="6">
        <v>328</v>
      </c>
    </row>
    <row r="597" spans="1:50" x14ac:dyDescent="0.25">
      <c r="A597" s="31" t="s">
        <v>116</v>
      </c>
      <c r="B597" s="32">
        <v>1</v>
      </c>
      <c r="C597" s="32">
        <v>10</v>
      </c>
      <c r="D597" s="32">
        <v>4</v>
      </c>
      <c r="E597" s="32">
        <v>25</v>
      </c>
      <c r="F597" s="12">
        <v>57.2</v>
      </c>
      <c r="G597">
        <v>58.780753012048194</v>
      </c>
      <c r="Q597" s="17">
        <v>595</v>
      </c>
      <c r="R597" s="6">
        <v>2.38592</v>
      </c>
      <c r="S597" s="6">
        <v>5.7305000000000001</v>
      </c>
      <c r="T597" s="6">
        <v>2.2984</v>
      </c>
      <c r="U597" s="6">
        <v>328</v>
      </c>
      <c r="W597" s="17">
        <v>595</v>
      </c>
      <c r="X597" s="6">
        <v>4.5214800000000004</v>
      </c>
      <c r="Y597" s="6">
        <v>5.7305000000000001</v>
      </c>
      <c r="Z597" s="6">
        <v>2.2984</v>
      </c>
      <c r="AA597" s="6">
        <v>328</v>
      </c>
      <c r="AN597" s="17">
        <v>594</v>
      </c>
      <c r="AO597" s="6">
        <v>1.0616099999999999</v>
      </c>
      <c r="AP597" s="19">
        <v>-0.20449999999999999</v>
      </c>
      <c r="AQ597" s="6">
        <v>0.53959999999999997</v>
      </c>
      <c r="AR597" s="6">
        <v>328</v>
      </c>
      <c r="AT597" s="17">
        <v>594</v>
      </c>
      <c r="AU597" s="6">
        <v>0.56020000000000003</v>
      </c>
      <c r="AV597" s="19">
        <v>-0.20449999999999999</v>
      </c>
      <c r="AW597" s="6">
        <v>0.53959999999999997</v>
      </c>
      <c r="AX597" s="6">
        <v>328</v>
      </c>
    </row>
    <row r="598" spans="1:50" x14ac:dyDescent="0.25">
      <c r="A598" s="31" t="s">
        <v>116</v>
      </c>
      <c r="B598" s="32">
        <v>2</v>
      </c>
      <c r="C598" s="32">
        <v>9</v>
      </c>
      <c r="D598" s="32">
        <v>6</v>
      </c>
      <c r="E598" s="32">
        <v>25</v>
      </c>
      <c r="F598" s="12" t="s">
        <v>12</v>
      </c>
      <c r="G598" t="s">
        <v>12</v>
      </c>
      <c r="Q598" s="17">
        <v>596</v>
      </c>
      <c r="R598" s="6">
        <v>2.3916900000000001</v>
      </c>
      <c r="S598" s="19">
        <v>-2.8933</v>
      </c>
      <c r="T598" s="6">
        <v>2.3039999999999998</v>
      </c>
      <c r="U598" s="6">
        <v>328</v>
      </c>
      <c r="W598" s="17">
        <v>596</v>
      </c>
      <c r="X598" s="6">
        <v>4.5324099999999996</v>
      </c>
      <c r="Y598" s="19">
        <v>-2.8933</v>
      </c>
      <c r="Z598" s="6">
        <v>2.3039999999999998</v>
      </c>
      <c r="AA598" s="6">
        <v>328</v>
      </c>
      <c r="AN598" s="17">
        <v>595</v>
      </c>
      <c r="AO598" s="6">
        <v>1.06704</v>
      </c>
      <c r="AP598" s="6">
        <v>0.36199999999999999</v>
      </c>
      <c r="AQ598" s="6">
        <v>0.54239999999999999</v>
      </c>
      <c r="AR598" s="6">
        <v>328</v>
      </c>
      <c r="AT598" s="17">
        <v>595</v>
      </c>
      <c r="AU598" s="6">
        <v>0.56306</v>
      </c>
      <c r="AV598" s="6">
        <v>0.36199999999999999</v>
      </c>
      <c r="AW598" s="6">
        <v>0.54239999999999999</v>
      </c>
      <c r="AX598" s="6">
        <v>328</v>
      </c>
    </row>
    <row r="599" spans="1:50" x14ac:dyDescent="0.25">
      <c r="A599" s="31" t="s">
        <v>116</v>
      </c>
      <c r="B599" s="32">
        <v>3</v>
      </c>
      <c r="C599" s="32">
        <v>2</v>
      </c>
      <c r="D599" s="32">
        <v>10</v>
      </c>
      <c r="E599" s="32">
        <v>25</v>
      </c>
      <c r="F599" s="12">
        <v>58.3</v>
      </c>
      <c r="G599">
        <v>63.337585354141659</v>
      </c>
      <c r="Q599" s="17">
        <v>597</v>
      </c>
      <c r="R599" s="6">
        <v>2.37812</v>
      </c>
      <c r="S599" s="6">
        <v>0.77239999999999998</v>
      </c>
      <c r="T599" s="6">
        <v>2.2909000000000002</v>
      </c>
      <c r="U599" s="6">
        <v>328</v>
      </c>
      <c r="W599" s="17">
        <v>597</v>
      </c>
      <c r="X599" s="6">
        <v>4.50671</v>
      </c>
      <c r="Y599" s="6">
        <v>0.77239999999999998</v>
      </c>
      <c r="Z599" s="6">
        <v>2.2909000000000002</v>
      </c>
      <c r="AA599" s="6">
        <v>328</v>
      </c>
      <c r="AN599" s="17">
        <v>596</v>
      </c>
      <c r="AO599" s="6">
        <v>1.07006</v>
      </c>
      <c r="AP599" s="19">
        <v>-2.0274999999999999</v>
      </c>
      <c r="AQ599" s="6">
        <v>0.54390000000000005</v>
      </c>
      <c r="AR599" s="6">
        <v>328</v>
      </c>
      <c r="AT599" s="17">
        <v>596</v>
      </c>
      <c r="AU599" s="6">
        <v>0.56464999999999999</v>
      </c>
      <c r="AV599" s="19">
        <v>-2.0274999999999999</v>
      </c>
      <c r="AW599" s="6">
        <v>0.54390000000000005</v>
      </c>
      <c r="AX599" s="6">
        <v>328</v>
      </c>
    </row>
    <row r="600" spans="1:50" x14ac:dyDescent="0.25">
      <c r="A600" s="34" t="s">
        <v>97</v>
      </c>
      <c r="B600" s="35">
        <v>1</v>
      </c>
      <c r="C600" s="35">
        <v>5</v>
      </c>
      <c r="D600" s="35">
        <v>2</v>
      </c>
      <c r="E600" s="35">
        <v>25</v>
      </c>
      <c r="F600" s="2">
        <v>60.2</v>
      </c>
      <c r="G600">
        <v>70.828114979055314</v>
      </c>
      <c r="Q600" s="17">
        <v>598</v>
      </c>
      <c r="R600" s="6">
        <v>2.3903799999999999</v>
      </c>
      <c r="S600" s="6">
        <v>2.4685999999999999</v>
      </c>
      <c r="T600" s="6">
        <v>2.3027000000000002</v>
      </c>
      <c r="U600" s="6">
        <v>328</v>
      </c>
      <c r="W600" s="17">
        <v>598</v>
      </c>
      <c r="X600" s="6">
        <v>4.5299399999999999</v>
      </c>
      <c r="Y600" s="6">
        <v>2.4685999999999999</v>
      </c>
      <c r="Z600" s="6">
        <v>2.3027000000000002</v>
      </c>
      <c r="AA600" s="6">
        <v>328</v>
      </c>
      <c r="AN600" s="17">
        <v>597</v>
      </c>
      <c r="AO600" s="6">
        <v>1.0632999999999999</v>
      </c>
      <c r="AP600" s="6">
        <v>4.3630000000000002E-2</v>
      </c>
      <c r="AQ600" s="6">
        <v>0.54049999999999998</v>
      </c>
      <c r="AR600" s="6">
        <v>328</v>
      </c>
      <c r="AT600" s="17">
        <v>597</v>
      </c>
      <c r="AU600" s="6">
        <v>0.56108999999999998</v>
      </c>
      <c r="AV600" s="6">
        <v>4.3630000000000002E-2</v>
      </c>
      <c r="AW600" s="6">
        <v>0.54049999999999998</v>
      </c>
      <c r="AX600" s="6">
        <v>328</v>
      </c>
    </row>
    <row r="601" spans="1:50" x14ac:dyDescent="0.25">
      <c r="A601" s="34" t="s">
        <v>97</v>
      </c>
      <c r="B601" s="35">
        <v>2</v>
      </c>
      <c r="C601" s="35">
        <v>11</v>
      </c>
      <c r="D601" s="35">
        <v>3</v>
      </c>
      <c r="E601" s="35">
        <v>25</v>
      </c>
      <c r="F601" s="2">
        <v>60.4</v>
      </c>
      <c r="G601">
        <v>67.685353159851289</v>
      </c>
      <c r="Q601" s="17">
        <v>599</v>
      </c>
      <c r="R601" s="6">
        <v>2.3984000000000001</v>
      </c>
      <c r="S601" s="6">
        <v>1.0747</v>
      </c>
      <c r="T601" s="6">
        <v>2.3104</v>
      </c>
      <c r="U601" s="6">
        <v>328</v>
      </c>
      <c r="W601" s="17">
        <v>599</v>
      </c>
      <c r="X601" s="6">
        <v>4.54514</v>
      </c>
      <c r="Y601" s="6">
        <v>1.0747</v>
      </c>
      <c r="Z601" s="6">
        <v>2.3104</v>
      </c>
      <c r="AA601" s="6">
        <v>328</v>
      </c>
      <c r="AN601" s="17">
        <v>598</v>
      </c>
      <c r="AO601" s="6">
        <v>1.0745400000000001</v>
      </c>
      <c r="AP601" s="6">
        <v>0.25700000000000001</v>
      </c>
      <c r="AQ601" s="6">
        <v>0.54620000000000002</v>
      </c>
      <c r="AR601" s="6">
        <v>328</v>
      </c>
      <c r="AT601" s="17">
        <v>598</v>
      </c>
      <c r="AU601" s="6">
        <v>0.56701999999999997</v>
      </c>
      <c r="AV601" s="6">
        <v>0.25700000000000001</v>
      </c>
      <c r="AW601" s="6">
        <v>0.54620000000000002</v>
      </c>
      <c r="AX601" s="6">
        <v>328</v>
      </c>
    </row>
    <row r="602" spans="1:50" x14ac:dyDescent="0.25">
      <c r="A602" s="34" t="s">
        <v>97</v>
      </c>
      <c r="B602" s="35">
        <v>3</v>
      </c>
      <c r="C602" s="35">
        <v>9</v>
      </c>
      <c r="D602" s="35">
        <v>5</v>
      </c>
      <c r="E602" s="35">
        <v>25</v>
      </c>
      <c r="F602" s="2">
        <v>60</v>
      </c>
      <c r="G602">
        <v>75.803476049173383</v>
      </c>
      <c r="Q602" s="17">
        <v>600</v>
      </c>
      <c r="R602" s="6">
        <v>2.3862899999999998</v>
      </c>
      <c r="S602" s="6">
        <v>2.1414</v>
      </c>
      <c r="T602" s="6">
        <v>2.2988</v>
      </c>
      <c r="U602" s="6">
        <v>328</v>
      </c>
      <c r="W602" s="17">
        <v>600</v>
      </c>
      <c r="X602" s="6">
        <v>4.5221900000000002</v>
      </c>
      <c r="Y602" s="6">
        <v>2.1414</v>
      </c>
      <c r="Z602" s="6">
        <v>2.2988</v>
      </c>
      <c r="AA602" s="6">
        <v>328</v>
      </c>
      <c r="AN602" s="17">
        <v>599</v>
      </c>
      <c r="AO602" s="6">
        <v>1.0783799999999999</v>
      </c>
      <c r="AP602" s="19">
        <v>-3.2149999999999998E-2</v>
      </c>
      <c r="AQ602" s="6">
        <v>0.54820000000000002</v>
      </c>
      <c r="AR602" s="6">
        <v>328</v>
      </c>
      <c r="AT602" s="17">
        <v>599</v>
      </c>
      <c r="AU602" s="6">
        <v>0.56903999999999999</v>
      </c>
      <c r="AV602" s="19">
        <v>-3.2149999999999998E-2</v>
      </c>
      <c r="AW602" s="6">
        <v>0.54820000000000002</v>
      </c>
      <c r="AX602" s="6">
        <v>328</v>
      </c>
    </row>
    <row r="603" spans="1:50" x14ac:dyDescent="0.25">
      <c r="A603" s="31" t="s">
        <v>132</v>
      </c>
      <c r="B603" s="32">
        <v>1</v>
      </c>
      <c r="C603" s="32">
        <v>7</v>
      </c>
      <c r="D603" s="32">
        <v>1</v>
      </c>
      <c r="E603" s="32">
        <v>25</v>
      </c>
      <c r="F603" s="2">
        <v>59.5</v>
      </c>
      <c r="G603">
        <v>69.700276746540652</v>
      </c>
      <c r="Q603" s="17">
        <v>601</v>
      </c>
      <c r="R603" s="6">
        <v>2.3749500000000001</v>
      </c>
      <c r="S603" s="6">
        <v>0.57279999999999998</v>
      </c>
      <c r="T603" s="6">
        <v>2.2877999999999998</v>
      </c>
      <c r="U603" s="6">
        <v>328</v>
      </c>
      <c r="W603" s="17">
        <v>601</v>
      </c>
      <c r="X603" s="6">
        <v>4.5007000000000001</v>
      </c>
      <c r="Y603" s="6">
        <v>0.57279999999999998</v>
      </c>
      <c r="Z603" s="6">
        <v>2.2877999999999998</v>
      </c>
      <c r="AA603" s="6">
        <v>328</v>
      </c>
      <c r="AN603" s="17">
        <v>600</v>
      </c>
      <c r="AO603" s="6">
        <v>1.06989</v>
      </c>
      <c r="AP603" s="19">
        <v>-1.1127</v>
      </c>
      <c r="AQ603" s="6">
        <v>0.54390000000000005</v>
      </c>
      <c r="AR603" s="6">
        <v>328</v>
      </c>
      <c r="AT603" s="17">
        <v>600</v>
      </c>
      <c r="AU603" s="6">
        <v>0.56455999999999995</v>
      </c>
      <c r="AV603" s="19">
        <v>-1.1127</v>
      </c>
      <c r="AW603" s="6">
        <v>0.54390000000000005</v>
      </c>
      <c r="AX603" s="6">
        <v>328</v>
      </c>
    </row>
    <row r="604" spans="1:50" x14ac:dyDescent="0.25">
      <c r="A604" s="31" t="s">
        <v>132</v>
      </c>
      <c r="B604" s="32">
        <v>2</v>
      </c>
      <c r="C604" s="32">
        <v>12</v>
      </c>
      <c r="D604" s="32">
        <v>4</v>
      </c>
      <c r="E604" s="32">
        <v>25</v>
      </c>
      <c r="F604" s="2">
        <v>61.4</v>
      </c>
      <c r="G604">
        <v>66.989067751205482</v>
      </c>
      <c r="Q604" s="17">
        <v>602</v>
      </c>
      <c r="R604" s="6">
        <v>2.37914</v>
      </c>
      <c r="S604" s="6">
        <v>1.0759000000000001</v>
      </c>
      <c r="T604" s="6">
        <v>2.2919</v>
      </c>
      <c r="U604" s="6">
        <v>328</v>
      </c>
      <c r="W604" s="17">
        <v>602</v>
      </c>
      <c r="X604" s="6">
        <v>4.5086399999999998</v>
      </c>
      <c r="Y604" s="6">
        <v>1.0759000000000001</v>
      </c>
      <c r="Z604" s="6">
        <v>2.2919</v>
      </c>
      <c r="AA604" s="6">
        <v>328</v>
      </c>
      <c r="AN604" s="17">
        <v>601</v>
      </c>
      <c r="AO604" s="6">
        <v>1.0630200000000001</v>
      </c>
      <c r="AP604" s="19">
        <v>-0.7732</v>
      </c>
      <c r="AQ604" s="6">
        <v>0.54039999999999999</v>
      </c>
      <c r="AR604" s="6">
        <v>328</v>
      </c>
      <c r="AT604" s="17">
        <v>601</v>
      </c>
      <c r="AU604" s="6">
        <v>0.56093999999999999</v>
      </c>
      <c r="AV604" s="19">
        <v>-0.7732</v>
      </c>
      <c r="AW604" s="6">
        <v>0.54039999999999999</v>
      </c>
      <c r="AX604" s="6">
        <v>328</v>
      </c>
    </row>
    <row r="605" spans="1:50" x14ac:dyDescent="0.25">
      <c r="A605" s="31" t="s">
        <v>132</v>
      </c>
      <c r="B605" s="32">
        <v>3</v>
      </c>
      <c r="C605" s="32">
        <v>17</v>
      </c>
      <c r="D605" s="32">
        <v>5</v>
      </c>
      <c r="E605" s="32">
        <v>25</v>
      </c>
      <c r="F605" s="2">
        <v>60.4</v>
      </c>
      <c r="G605">
        <v>68.051406637421323</v>
      </c>
      <c r="Q605" s="17">
        <v>603</v>
      </c>
      <c r="R605" s="6">
        <v>2.3959700000000002</v>
      </c>
      <c r="S605" s="6">
        <v>8.3729999999999993</v>
      </c>
      <c r="T605" s="6">
        <v>2.3081</v>
      </c>
      <c r="U605" s="6">
        <v>328</v>
      </c>
      <c r="W605" s="17">
        <v>603</v>
      </c>
      <c r="X605" s="6">
        <v>4.5405199999999999</v>
      </c>
      <c r="Y605" s="6">
        <v>8.3729999999999993</v>
      </c>
      <c r="Z605" s="6">
        <v>2.3081</v>
      </c>
      <c r="AA605" s="6">
        <v>328</v>
      </c>
      <c r="AN605" s="17">
        <v>602</v>
      </c>
      <c r="AO605" s="6">
        <v>1.0660099999999999</v>
      </c>
      <c r="AP605" s="19">
        <v>-1.3</v>
      </c>
      <c r="AQ605" s="6">
        <v>0.54190000000000005</v>
      </c>
      <c r="AR605" s="6">
        <v>328</v>
      </c>
      <c r="AT605" s="17">
        <v>602</v>
      </c>
      <c r="AU605" s="6">
        <v>0.56252000000000002</v>
      </c>
      <c r="AV605" s="19">
        <v>-1.3</v>
      </c>
      <c r="AW605" s="6">
        <v>0.54190000000000005</v>
      </c>
      <c r="AX605" s="6">
        <v>328</v>
      </c>
    </row>
    <row r="606" spans="1:50" x14ac:dyDescent="0.25">
      <c r="A606" s="31" t="s">
        <v>13</v>
      </c>
      <c r="B606" s="32">
        <v>1</v>
      </c>
      <c r="C606" s="36">
        <v>11</v>
      </c>
      <c r="D606" s="36">
        <v>2</v>
      </c>
      <c r="E606" s="32">
        <v>25</v>
      </c>
      <c r="F606" s="12">
        <v>57.1</v>
      </c>
      <c r="G606">
        <v>69.505424999999988</v>
      </c>
      <c r="Q606" s="17">
        <v>604</v>
      </c>
      <c r="R606" s="6">
        <v>2.39161</v>
      </c>
      <c r="S606" s="6">
        <v>2.8801999999999999</v>
      </c>
      <c r="T606" s="6">
        <v>2.3039000000000001</v>
      </c>
      <c r="U606" s="6">
        <v>328</v>
      </c>
      <c r="W606" s="17">
        <v>604</v>
      </c>
      <c r="X606" s="6">
        <v>4.5322699999999996</v>
      </c>
      <c r="Y606" s="6">
        <v>2.8801999999999999</v>
      </c>
      <c r="Z606" s="6">
        <v>2.3039000000000001</v>
      </c>
      <c r="AA606" s="6">
        <v>328</v>
      </c>
      <c r="AN606" s="17">
        <v>603</v>
      </c>
      <c r="AO606" s="6">
        <v>1.07925</v>
      </c>
      <c r="AP606" s="6">
        <v>0.48980000000000001</v>
      </c>
      <c r="AQ606" s="6">
        <v>0.54859999999999998</v>
      </c>
      <c r="AR606" s="6">
        <v>328</v>
      </c>
      <c r="AT606" s="17">
        <v>603</v>
      </c>
      <c r="AU606" s="6">
        <v>0.56950000000000001</v>
      </c>
      <c r="AV606" s="6">
        <v>0.48980000000000001</v>
      </c>
      <c r="AW606" s="6">
        <v>0.54859999999999998</v>
      </c>
      <c r="AX606" s="6">
        <v>328</v>
      </c>
    </row>
    <row r="607" spans="1:50" x14ac:dyDescent="0.25">
      <c r="A607" s="31" t="s">
        <v>13</v>
      </c>
      <c r="B607" s="32">
        <v>2</v>
      </c>
      <c r="C607" s="36">
        <v>18</v>
      </c>
      <c r="D607" s="36">
        <v>4</v>
      </c>
      <c r="E607" s="32">
        <v>25</v>
      </c>
      <c r="F607" s="12">
        <v>57.1</v>
      </c>
      <c r="G607">
        <v>62.388480000000001</v>
      </c>
      <c r="Q607" s="17">
        <v>605</v>
      </c>
      <c r="R607" s="6">
        <v>2.3823300000000001</v>
      </c>
      <c r="S607" s="6">
        <v>12.598699999999999</v>
      </c>
      <c r="T607" s="6">
        <v>2.2949999999999999</v>
      </c>
      <c r="U607" s="6">
        <v>328</v>
      </c>
      <c r="W607" s="17">
        <v>605</v>
      </c>
      <c r="X607" s="6">
        <v>4.5146800000000002</v>
      </c>
      <c r="Y607" s="6">
        <v>12.598699999999999</v>
      </c>
      <c r="Z607" s="6">
        <v>2.2949999999999999</v>
      </c>
      <c r="AA607" s="6">
        <v>328</v>
      </c>
      <c r="AN607" s="17">
        <v>604</v>
      </c>
      <c r="AO607" s="6">
        <v>1.07229</v>
      </c>
      <c r="AP607" s="19">
        <v>-1.2287999999999999</v>
      </c>
      <c r="AQ607" s="6">
        <v>0.54510000000000003</v>
      </c>
      <c r="AR607" s="6">
        <v>328</v>
      </c>
      <c r="AT607" s="17">
        <v>604</v>
      </c>
      <c r="AU607" s="6">
        <v>0.56583000000000006</v>
      </c>
      <c r="AV607" s="19">
        <v>-1.2287999999999999</v>
      </c>
      <c r="AW607" s="6">
        <v>0.54510000000000003</v>
      </c>
      <c r="AX607" s="6">
        <v>328</v>
      </c>
    </row>
    <row r="608" spans="1:50" x14ac:dyDescent="0.25">
      <c r="A608" s="31" t="s">
        <v>13</v>
      </c>
      <c r="B608" s="32">
        <v>3</v>
      </c>
      <c r="C608" s="36">
        <v>5</v>
      </c>
      <c r="D608" s="36">
        <v>6</v>
      </c>
      <c r="E608" s="32">
        <v>25</v>
      </c>
      <c r="F608" s="12">
        <v>57.3</v>
      </c>
      <c r="G608">
        <v>68.654079999999993</v>
      </c>
      <c r="Q608" s="17">
        <v>606</v>
      </c>
      <c r="R608" s="6">
        <v>2.3790200000000001</v>
      </c>
      <c r="S608" s="6">
        <v>7.8220000000000001</v>
      </c>
      <c r="T608" s="6">
        <v>2.2917999999999998</v>
      </c>
      <c r="U608" s="6">
        <v>328</v>
      </c>
      <c r="W608" s="17">
        <v>606</v>
      </c>
      <c r="X608" s="6">
        <v>4.5084</v>
      </c>
      <c r="Y608" s="6">
        <v>7.8220000000000001</v>
      </c>
      <c r="Z608" s="6">
        <v>2.2917999999999998</v>
      </c>
      <c r="AA608" s="6">
        <v>328</v>
      </c>
      <c r="AN608" s="17">
        <v>605</v>
      </c>
      <c r="AO608" s="6">
        <v>1.0670999999999999</v>
      </c>
      <c r="AP608" s="6">
        <v>1.2822</v>
      </c>
      <c r="AQ608" s="6">
        <v>0.54239999999999999</v>
      </c>
      <c r="AR608" s="6">
        <v>328</v>
      </c>
      <c r="AT608" s="17">
        <v>605</v>
      </c>
      <c r="AU608" s="6">
        <v>0.56308999999999998</v>
      </c>
      <c r="AV608" s="6">
        <v>1.2822</v>
      </c>
      <c r="AW608" s="6">
        <v>0.54239999999999999</v>
      </c>
      <c r="AX608" s="6">
        <v>328</v>
      </c>
    </row>
    <row r="609" spans="1:50" x14ac:dyDescent="0.25">
      <c r="A609" t="s">
        <v>7</v>
      </c>
      <c r="B609" s="11">
        <v>1</v>
      </c>
      <c r="C609" s="11">
        <v>13</v>
      </c>
      <c r="D609" s="11">
        <v>4</v>
      </c>
      <c r="E609" s="11">
        <v>25</v>
      </c>
      <c r="F609" s="12">
        <v>56.6</v>
      </c>
      <c r="G609">
        <v>38.174029997541183</v>
      </c>
      <c r="Q609" s="17">
        <v>607</v>
      </c>
      <c r="R609" s="6">
        <v>2.3823300000000001</v>
      </c>
      <c r="S609" s="6">
        <v>1.8433999999999999</v>
      </c>
      <c r="T609" s="6">
        <v>2.2949999999999999</v>
      </c>
      <c r="U609" s="6">
        <v>328</v>
      </c>
      <c r="W609" s="17">
        <v>607</v>
      </c>
      <c r="X609" s="6">
        <v>4.5146800000000002</v>
      </c>
      <c r="Y609" s="6">
        <v>1.8433999999999999</v>
      </c>
      <c r="Z609" s="6">
        <v>2.2949999999999999</v>
      </c>
      <c r="AA609" s="6">
        <v>328</v>
      </c>
      <c r="AN609" s="17">
        <v>606</v>
      </c>
      <c r="AO609" s="6">
        <v>1.0629900000000001</v>
      </c>
      <c r="AP609" s="6">
        <v>0.41060000000000002</v>
      </c>
      <c r="AQ609" s="6">
        <v>0.5403</v>
      </c>
      <c r="AR609" s="6">
        <v>328</v>
      </c>
      <c r="AT609" s="17">
        <v>606</v>
      </c>
      <c r="AU609" s="6">
        <v>0.56091999999999997</v>
      </c>
      <c r="AV609" s="6">
        <v>0.41060000000000002</v>
      </c>
      <c r="AW609" s="6">
        <v>0.5403</v>
      </c>
      <c r="AX609" s="6">
        <v>328</v>
      </c>
    </row>
    <row r="610" spans="1:50" x14ac:dyDescent="0.25">
      <c r="A610" t="s">
        <v>7</v>
      </c>
      <c r="B610" s="11">
        <v>2</v>
      </c>
      <c r="C610" s="11">
        <v>11</v>
      </c>
      <c r="D610" s="11">
        <v>7</v>
      </c>
      <c r="E610" s="11">
        <v>25</v>
      </c>
      <c r="F610" s="12">
        <v>55.7</v>
      </c>
      <c r="G610">
        <v>44.705476510067108</v>
      </c>
      <c r="Q610" s="17">
        <v>608</v>
      </c>
      <c r="R610" s="6">
        <v>2.37358</v>
      </c>
      <c r="S610" s="6">
        <v>3.8451</v>
      </c>
      <c r="T610" s="6">
        <v>2.2865000000000002</v>
      </c>
      <c r="U610" s="6">
        <v>328</v>
      </c>
      <c r="W610" s="17">
        <v>608</v>
      </c>
      <c r="X610" s="6">
        <v>4.4980900000000004</v>
      </c>
      <c r="Y610" s="6">
        <v>3.8451</v>
      </c>
      <c r="Z610" s="6">
        <v>2.2865000000000002</v>
      </c>
      <c r="AA610" s="6">
        <v>328</v>
      </c>
      <c r="AN610" s="17">
        <v>607</v>
      </c>
      <c r="AO610" s="6">
        <v>1.06718</v>
      </c>
      <c r="AP610" s="19">
        <v>-3.7289999999999997E-2</v>
      </c>
      <c r="AQ610" s="6">
        <v>0.54249999999999998</v>
      </c>
      <c r="AR610" s="6">
        <v>328</v>
      </c>
      <c r="AT610" s="17">
        <v>607</v>
      </c>
      <c r="AU610" s="6">
        <v>0.56313999999999997</v>
      </c>
      <c r="AV610" s="19">
        <v>-3.7289999999999997E-2</v>
      </c>
      <c r="AW610" s="6">
        <v>0.54249999999999998</v>
      </c>
      <c r="AX610" s="6">
        <v>328</v>
      </c>
    </row>
    <row r="611" spans="1:50" x14ac:dyDescent="0.25">
      <c r="A611" t="s">
        <v>7</v>
      </c>
      <c r="B611" s="11">
        <v>3</v>
      </c>
      <c r="C611" s="11">
        <v>12</v>
      </c>
      <c r="D611" s="11">
        <v>12</v>
      </c>
      <c r="E611" s="11">
        <v>25</v>
      </c>
      <c r="F611" s="2">
        <v>50.7</v>
      </c>
      <c r="G611">
        <v>39.553095478838642</v>
      </c>
      <c r="Q611" s="17">
        <v>609</v>
      </c>
      <c r="R611" s="6">
        <v>2.3886799999999999</v>
      </c>
      <c r="S611" s="6">
        <v>2.0268999999999999</v>
      </c>
      <c r="T611" s="6">
        <v>2.3010999999999999</v>
      </c>
      <c r="U611" s="6">
        <v>328</v>
      </c>
      <c r="W611" s="17">
        <v>609</v>
      </c>
      <c r="X611" s="6">
        <v>4.5267099999999996</v>
      </c>
      <c r="Y611" s="6">
        <v>2.0268999999999999</v>
      </c>
      <c r="Z611" s="6">
        <v>2.3010999999999999</v>
      </c>
      <c r="AA611" s="6">
        <v>328</v>
      </c>
      <c r="AN611" s="17">
        <v>608</v>
      </c>
      <c r="AO611" s="6">
        <v>1.0627</v>
      </c>
      <c r="AP611" s="19">
        <v>-3.943E-2</v>
      </c>
      <c r="AQ611" s="6">
        <v>0.54020000000000001</v>
      </c>
      <c r="AR611" s="6">
        <v>328</v>
      </c>
      <c r="AT611" s="17">
        <v>608</v>
      </c>
      <c r="AU611" s="6">
        <v>0.56076999999999999</v>
      </c>
      <c r="AV611" s="19">
        <v>-3.943E-2</v>
      </c>
      <c r="AW611" s="6">
        <v>0.54020000000000001</v>
      </c>
      <c r="AX611" s="6">
        <v>328</v>
      </c>
    </row>
    <row r="612" spans="1:50" x14ac:dyDescent="0.25">
      <c r="A612" s="31" t="s">
        <v>156</v>
      </c>
      <c r="B612" s="32">
        <v>1</v>
      </c>
      <c r="C612" s="32">
        <v>21</v>
      </c>
      <c r="D612" s="32">
        <v>2</v>
      </c>
      <c r="E612" s="32">
        <v>25</v>
      </c>
      <c r="F612" s="2">
        <v>58</v>
      </c>
      <c r="G612">
        <v>50.678156494825416</v>
      </c>
      <c r="Q612" s="17">
        <v>610</v>
      </c>
      <c r="R612" s="6">
        <v>2.39723</v>
      </c>
      <c r="S612" s="19">
        <v>-1.9736</v>
      </c>
      <c r="T612" s="6">
        <v>2.3092999999999999</v>
      </c>
      <c r="U612" s="6">
        <v>328</v>
      </c>
      <c r="W612" s="17">
        <v>610</v>
      </c>
      <c r="X612" s="6">
        <v>4.5429199999999996</v>
      </c>
      <c r="Y612" s="19">
        <v>-1.9736</v>
      </c>
      <c r="Z612" s="6">
        <v>2.3092999999999999</v>
      </c>
      <c r="AA612" s="6">
        <v>328</v>
      </c>
      <c r="AN612" s="17">
        <v>609</v>
      </c>
      <c r="AO612" s="6">
        <v>1.0717399999999999</v>
      </c>
      <c r="AP612" s="6">
        <v>0.31180000000000002</v>
      </c>
      <c r="AQ612" s="6">
        <v>0.54479999999999995</v>
      </c>
      <c r="AR612" s="6">
        <v>328</v>
      </c>
      <c r="AT612" s="17">
        <v>609</v>
      </c>
      <c r="AU612" s="6">
        <v>0.56554000000000004</v>
      </c>
      <c r="AV612" s="6">
        <v>0.31180000000000002</v>
      </c>
      <c r="AW612" s="6">
        <v>0.54479999999999995</v>
      </c>
      <c r="AX612" s="6">
        <v>328</v>
      </c>
    </row>
    <row r="613" spans="1:50" x14ac:dyDescent="0.25">
      <c r="A613" s="31" t="s">
        <v>156</v>
      </c>
      <c r="B613" s="32">
        <v>2</v>
      </c>
      <c r="C613" s="32">
        <v>23</v>
      </c>
      <c r="D613" s="32">
        <v>4</v>
      </c>
      <c r="E613" s="32">
        <v>25</v>
      </c>
      <c r="F613" s="2">
        <v>56.9</v>
      </c>
      <c r="G613">
        <v>53.48433595083646</v>
      </c>
      <c r="Q613" s="17">
        <v>611</v>
      </c>
      <c r="R613" s="6">
        <v>2.3868100000000001</v>
      </c>
      <c r="S613" s="6">
        <v>0.246</v>
      </c>
      <c r="T613" s="6">
        <v>2.2993000000000001</v>
      </c>
      <c r="U613" s="6">
        <v>328</v>
      </c>
      <c r="W613" s="17">
        <v>611</v>
      </c>
      <c r="X613" s="6">
        <v>4.5231700000000004</v>
      </c>
      <c r="Y613" s="6">
        <v>0.246</v>
      </c>
      <c r="Z613" s="6">
        <v>2.2993000000000001</v>
      </c>
      <c r="AA613" s="6">
        <v>328</v>
      </c>
      <c r="AN613" s="17">
        <v>610</v>
      </c>
      <c r="AO613" s="6">
        <v>1.08527</v>
      </c>
      <c r="AP613" s="6">
        <v>1.3662000000000001</v>
      </c>
      <c r="AQ613" s="6">
        <v>0.55169999999999997</v>
      </c>
      <c r="AR613" s="6">
        <v>328</v>
      </c>
      <c r="AT613" s="17">
        <v>610</v>
      </c>
      <c r="AU613" s="6">
        <v>0.57267999999999997</v>
      </c>
      <c r="AV613" s="6">
        <v>1.3662000000000001</v>
      </c>
      <c r="AW613" s="6">
        <v>0.55169999999999997</v>
      </c>
      <c r="AX613" s="6">
        <v>328</v>
      </c>
    </row>
    <row r="614" spans="1:50" x14ac:dyDescent="0.25">
      <c r="A614" s="31" t="s">
        <v>156</v>
      </c>
      <c r="B614" s="32">
        <v>3</v>
      </c>
      <c r="C614" s="32">
        <v>14</v>
      </c>
      <c r="D614" s="32">
        <v>5</v>
      </c>
      <c r="E614" s="32">
        <v>25</v>
      </c>
      <c r="F614" s="2">
        <v>55.4</v>
      </c>
      <c r="G614">
        <v>47.656736628300607</v>
      </c>
      <c r="Q614" s="17">
        <v>612</v>
      </c>
      <c r="R614" s="6">
        <v>2.3871500000000001</v>
      </c>
      <c r="S614" s="19">
        <v>-8.3866999999999994</v>
      </c>
      <c r="T614" s="6">
        <v>2.2995999999999999</v>
      </c>
      <c r="U614" s="6">
        <v>328</v>
      </c>
      <c r="W614" s="17">
        <v>612</v>
      </c>
      <c r="X614" s="6">
        <v>4.5238100000000001</v>
      </c>
      <c r="Y614" s="19">
        <v>-8.3866999999999994</v>
      </c>
      <c r="Z614" s="6">
        <v>2.2995999999999999</v>
      </c>
      <c r="AA614" s="6">
        <v>328</v>
      </c>
      <c r="AN614" s="17">
        <v>611</v>
      </c>
      <c r="AO614" s="6">
        <v>1.07094</v>
      </c>
      <c r="AP614" s="6">
        <v>1.2758</v>
      </c>
      <c r="AQ614" s="6">
        <v>0.5444</v>
      </c>
      <c r="AR614" s="6">
        <v>328</v>
      </c>
      <c r="AT614" s="17">
        <v>611</v>
      </c>
      <c r="AU614" s="6">
        <v>0.56511999999999996</v>
      </c>
      <c r="AV614" s="6">
        <v>1.2758</v>
      </c>
      <c r="AW614" s="6">
        <v>0.5444</v>
      </c>
      <c r="AX614" s="6">
        <v>328</v>
      </c>
    </row>
    <row r="615" spans="1:50" x14ac:dyDescent="0.25">
      <c r="A615" s="31" t="s">
        <v>10</v>
      </c>
      <c r="B615" s="32">
        <v>1</v>
      </c>
      <c r="C615" s="32">
        <v>8</v>
      </c>
      <c r="D615" s="32">
        <v>4</v>
      </c>
      <c r="E615" s="32">
        <v>25</v>
      </c>
      <c r="F615" s="2">
        <v>58</v>
      </c>
      <c r="G615">
        <v>69.112667918532424</v>
      </c>
      <c r="Q615" s="17">
        <v>613</v>
      </c>
      <c r="R615" s="6">
        <v>2.3818700000000002</v>
      </c>
      <c r="S615" s="19">
        <v>-1.4650000000000001</v>
      </c>
      <c r="T615" s="6">
        <v>2.2945000000000002</v>
      </c>
      <c r="U615" s="6">
        <v>328</v>
      </c>
      <c r="W615" s="17">
        <v>613</v>
      </c>
      <c r="X615" s="6">
        <v>4.5137999999999998</v>
      </c>
      <c r="Y615" s="19">
        <v>-1.4650000000000001</v>
      </c>
      <c r="Z615" s="6">
        <v>2.2945000000000002</v>
      </c>
      <c r="AA615" s="6">
        <v>328</v>
      </c>
      <c r="AN615" s="17">
        <v>612</v>
      </c>
      <c r="AO615" s="6">
        <v>1.0713999999999999</v>
      </c>
      <c r="AP615" s="6">
        <v>0.98250000000000004</v>
      </c>
      <c r="AQ615" s="6">
        <v>0.54459999999999997</v>
      </c>
      <c r="AR615" s="6">
        <v>328</v>
      </c>
      <c r="AT615" s="17">
        <v>612</v>
      </c>
      <c r="AU615" s="6">
        <v>0.56535999999999997</v>
      </c>
      <c r="AV615" s="6">
        <v>0.98250000000000004</v>
      </c>
      <c r="AW615" s="6">
        <v>0.54459999999999997</v>
      </c>
      <c r="AX615" s="6">
        <v>328</v>
      </c>
    </row>
    <row r="616" spans="1:50" x14ac:dyDescent="0.25">
      <c r="A616" s="31" t="s">
        <v>10</v>
      </c>
      <c r="B616" s="32">
        <v>2</v>
      </c>
      <c r="C616" s="32">
        <v>12</v>
      </c>
      <c r="D616" s="32">
        <v>8</v>
      </c>
      <c r="E616" s="32">
        <v>25</v>
      </c>
      <c r="F616" s="12">
        <v>55.2</v>
      </c>
      <c r="G616">
        <v>54.715532502787333</v>
      </c>
      <c r="Q616" s="17">
        <v>614</v>
      </c>
      <c r="R616" s="6">
        <v>2.3917199999999998</v>
      </c>
      <c r="S616" s="6">
        <v>1.2356</v>
      </c>
      <c r="T616" s="6">
        <v>2.3039999999999998</v>
      </c>
      <c r="U616" s="6">
        <v>328</v>
      </c>
      <c r="W616" s="17">
        <v>614</v>
      </c>
      <c r="X616" s="6">
        <v>4.5324799999999996</v>
      </c>
      <c r="Y616" s="6">
        <v>1.2356</v>
      </c>
      <c r="Z616" s="6">
        <v>2.3039999999999998</v>
      </c>
      <c r="AA616" s="6">
        <v>328</v>
      </c>
      <c r="AN616" s="17">
        <v>613</v>
      </c>
      <c r="AO616" s="6">
        <v>1.0585599999999999</v>
      </c>
      <c r="AP616" s="6">
        <v>0.95589999999999997</v>
      </c>
      <c r="AQ616" s="6">
        <v>0.53810000000000002</v>
      </c>
      <c r="AR616" s="6">
        <v>328</v>
      </c>
      <c r="AT616" s="17">
        <v>613</v>
      </c>
      <c r="AU616" s="6">
        <v>0.55859000000000003</v>
      </c>
      <c r="AV616" s="6">
        <v>0.95589999999999997</v>
      </c>
      <c r="AW616" s="6">
        <v>0.53810000000000002</v>
      </c>
      <c r="AX616" s="6">
        <v>328</v>
      </c>
    </row>
    <row r="617" spans="1:50" x14ac:dyDescent="0.25">
      <c r="A617" s="31" t="s">
        <v>10</v>
      </c>
      <c r="B617" s="32">
        <v>3</v>
      </c>
      <c r="C617" s="32">
        <v>3</v>
      </c>
      <c r="D617" s="32">
        <v>12</v>
      </c>
      <c r="E617" s="32">
        <v>25</v>
      </c>
      <c r="F617" s="2">
        <v>57.6</v>
      </c>
      <c r="G617">
        <v>67.499868131868112</v>
      </c>
      <c r="Q617" s="17">
        <v>615</v>
      </c>
      <c r="R617" s="6">
        <v>2.3855</v>
      </c>
      <c r="S617" s="6">
        <v>0.24049999999999999</v>
      </c>
      <c r="T617" s="6">
        <v>2.298</v>
      </c>
      <c r="U617" s="6">
        <v>328</v>
      </c>
      <c r="W617" s="17">
        <v>615</v>
      </c>
      <c r="X617" s="6">
        <v>4.5206900000000001</v>
      </c>
      <c r="Y617" s="6">
        <v>0.24049999999999999</v>
      </c>
      <c r="Z617" s="6">
        <v>2.298</v>
      </c>
      <c r="AA617" s="6">
        <v>328</v>
      </c>
      <c r="AN617" s="17">
        <v>614</v>
      </c>
      <c r="AO617" s="6">
        <v>1.07006</v>
      </c>
      <c r="AP617" s="6">
        <v>2.3353999999999999</v>
      </c>
      <c r="AQ617" s="6">
        <v>0.54390000000000005</v>
      </c>
      <c r="AR617" s="6">
        <v>328</v>
      </c>
      <c r="AT617" s="17">
        <v>614</v>
      </c>
      <c r="AU617" s="6">
        <v>0.56466000000000005</v>
      </c>
      <c r="AV617" s="6">
        <v>2.3353999999999999</v>
      </c>
      <c r="AW617" s="6">
        <v>0.54390000000000005</v>
      </c>
      <c r="AX617" s="6">
        <v>328</v>
      </c>
    </row>
    <row r="618" spans="1:50" x14ac:dyDescent="0.25">
      <c r="A618" s="31" t="s">
        <v>11</v>
      </c>
      <c r="B618" s="32">
        <v>1</v>
      </c>
      <c r="C618" s="32">
        <v>13</v>
      </c>
      <c r="D618" s="32">
        <v>2</v>
      </c>
      <c r="E618" s="11">
        <v>25</v>
      </c>
      <c r="F618" s="2">
        <v>58.9</v>
      </c>
      <c r="G618">
        <v>25.030597429663072</v>
      </c>
      <c r="Q618" s="17">
        <v>616</v>
      </c>
      <c r="R618" s="6">
        <v>2.3759600000000001</v>
      </c>
      <c r="S618" s="6">
        <v>3.3094000000000001</v>
      </c>
      <c r="T618" s="6">
        <v>2.2888000000000002</v>
      </c>
      <c r="U618" s="6">
        <v>328</v>
      </c>
      <c r="W618" s="17">
        <v>616</v>
      </c>
      <c r="X618" s="6">
        <v>4.5026000000000002</v>
      </c>
      <c r="Y618" s="6">
        <v>3.3094000000000001</v>
      </c>
      <c r="Z618" s="6">
        <v>2.2888000000000002</v>
      </c>
      <c r="AA618" s="6">
        <v>328</v>
      </c>
      <c r="AN618" s="17">
        <v>615</v>
      </c>
      <c r="AO618" s="6">
        <v>1.06785</v>
      </c>
      <c r="AP618" s="6">
        <v>0.85970000000000002</v>
      </c>
      <c r="AQ618" s="6">
        <v>0.54279999999999995</v>
      </c>
      <c r="AR618" s="6">
        <v>328</v>
      </c>
      <c r="AT618" s="17">
        <v>615</v>
      </c>
      <c r="AU618" s="6">
        <v>0.56349000000000005</v>
      </c>
      <c r="AV618" s="6">
        <v>0.85970000000000002</v>
      </c>
      <c r="AW618" s="6">
        <v>0.54279999999999995</v>
      </c>
      <c r="AX618" s="6">
        <v>328</v>
      </c>
    </row>
    <row r="619" spans="1:50" x14ac:dyDescent="0.25">
      <c r="A619" s="31" t="s">
        <v>11</v>
      </c>
      <c r="B619" s="32">
        <v>2</v>
      </c>
      <c r="C619" s="32">
        <v>3</v>
      </c>
      <c r="D619" s="32">
        <v>6</v>
      </c>
      <c r="E619" s="11">
        <v>25</v>
      </c>
      <c r="F619" s="2" t="s">
        <v>12</v>
      </c>
      <c r="G619" t="s">
        <v>12</v>
      </c>
      <c r="Q619" s="17">
        <v>617</v>
      </c>
      <c r="R619" s="6">
        <v>2.3744800000000001</v>
      </c>
      <c r="S619" s="6">
        <v>3.4272999999999998</v>
      </c>
      <c r="T619" s="6">
        <v>2.2873999999999999</v>
      </c>
      <c r="U619" s="6">
        <v>328</v>
      </c>
      <c r="W619" s="17">
        <v>617</v>
      </c>
      <c r="X619" s="6">
        <v>4.4997999999999996</v>
      </c>
      <c r="Y619" s="6">
        <v>3.4272999999999998</v>
      </c>
      <c r="Z619" s="6">
        <v>2.2873999999999999</v>
      </c>
      <c r="AA619" s="6">
        <v>328</v>
      </c>
      <c r="AN619" s="17">
        <v>616</v>
      </c>
      <c r="AO619" s="6">
        <v>1.06342</v>
      </c>
      <c r="AP619" s="6">
        <v>0.86660000000000004</v>
      </c>
      <c r="AQ619" s="6">
        <v>0.54059999999999997</v>
      </c>
      <c r="AR619" s="6">
        <v>328</v>
      </c>
      <c r="AT619" s="17">
        <v>616</v>
      </c>
      <c r="AU619" s="6">
        <v>0.56115000000000004</v>
      </c>
      <c r="AV619" s="6">
        <v>0.86660000000000004</v>
      </c>
      <c r="AW619" s="6">
        <v>0.54059999999999997</v>
      </c>
      <c r="AX619" s="6">
        <v>328</v>
      </c>
    </row>
    <row r="620" spans="1:50" x14ac:dyDescent="0.25">
      <c r="A620" s="31" t="s">
        <v>11</v>
      </c>
      <c r="B620" s="32">
        <v>3</v>
      </c>
      <c r="C620" s="32">
        <v>8</v>
      </c>
      <c r="D620" s="32">
        <v>9</v>
      </c>
      <c r="E620" s="11">
        <v>25</v>
      </c>
      <c r="F620" s="2">
        <v>57.8</v>
      </c>
      <c r="G620">
        <v>26.958713954259196</v>
      </c>
      <c r="Q620" s="17">
        <v>618</v>
      </c>
      <c r="R620" s="6">
        <v>2.38856</v>
      </c>
      <c r="S620" s="19">
        <v>-5.1965000000000003</v>
      </c>
      <c r="T620" s="6">
        <v>2.3010000000000002</v>
      </c>
      <c r="U620" s="6">
        <v>328</v>
      </c>
      <c r="W620" s="17">
        <v>618</v>
      </c>
      <c r="X620" s="6">
        <v>4.5264800000000003</v>
      </c>
      <c r="Y620" s="19">
        <v>-5.1965000000000003</v>
      </c>
      <c r="Z620" s="6">
        <v>2.3010000000000002</v>
      </c>
      <c r="AA620" s="6">
        <v>328</v>
      </c>
      <c r="AN620" s="17">
        <v>617</v>
      </c>
      <c r="AO620" s="6">
        <v>1.0618399999999999</v>
      </c>
      <c r="AP620" s="6">
        <v>1.4331</v>
      </c>
      <c r="AQ620" s="6">
        <v>0.53979999999999995</v>
      </c>
      <c r="AR620" s="6">
        <v>328</v>
      </c>
      <c r="AT620" s="17">
        <v>617</v>
      </c>
      <c r="AU620" s="6">
        <v>0.56032000000000004</v>
      </c>
      <c r="AV620" s="6">
        <v>1.4331</v>
      </c>
      <c r="AW620" s="6">
        <v>0.53979999999999995</v>
      </c>
      <c r="AX620" s="6">
        <v>328</v>
      </c>
    </row>
    <row r="621" spans="1:50" x14ac:dyDescent="0.25">
      <c r="A621" t="s">
        <v>160</v>
      </c>
      <c r="B621">
        <v>1</v>
      </c>
      <c r="C621" s="36">
        <v>1</v>
      </c>
      <c r="D621" s="36">
        <v>1</v>
      </c>
      <c r="E621" s="32">
        <v>25</v>
      </c>
      <c r="F621" s="13">
        <v>60</v>
      </c>
      <c r="G621">
        <v>93.013567125645437</v>
      </c>
      <c r="Q621" s="17">
        <v>619</v>
      </c>
      <c r="R621" s="6">
        <v>2.3808799999999999</v>
      </c>
      <c r="S621" s="19">
        <v>-1.5307999999999999</v>
      </c>
      <c r="T621" s="6">
        <v>2.2936000000000001</v>
      </c>
      <c r="U621" s="6">
        <v>328</v>
      </c>
      <c r="W621" s="17">
        <v>619</v>
      </c>
      <c r="X621" s="6">
        <v>4.5119300000000004</v>
      </c>
      <c r="Y621" s="19">
        <v>-1.5307999999999999</v>
      </c>
      <c r="Z621" s="6">
        <v>2.2936000000000001</v>
      </c>
      <c r="AA621" s="6">
        <v>328</v>
      </c>
      <c r="AN621" s="17">
        <v>618</v>
      </c>
      <c r="AO621" s="6">
        <v>1.0683100000000001</v>
      </c>
      <c r="AP621" s="19">
        <v>-0.95640000000000003</v>
      </c>
      <c r="AQ621" s="6">
        <v>0.54310000000000003</v>
      </c>
      <c r="AR621" s="6">
        <v>328</v>
      </c>
      <c r="AT621" s="17">
        <v>618</v>
      </c>
      <c r="AU621" s="6">
        <v>0.56372999999999995</v>
      </c>
      <c r="AV621" s="19">
        <v>-0.95640000000000003</v>
      </c>
      <c r="AW621" s="6">
        <v>0.54310000000000003</v>
      </c>
      <c r="AX621" s="6">
        <v>328</v>
      </c>
    </row>
    <row r="622" spans="1:50" x14ac:dyDescent="0.25">
      <c r="A622" t="s">
        <v>160</v>
      </c>
      <c r="B622">
        <v>2</v>
      </c>
      <c r="C622" s="36">
        <v>4</v>
      </c>
      <c r="D622" s="36">
        <v>4</v>
      </c>
      <c r="E622" s="32">
        <v>25</v>
      </c>
      <c r="F622" s="13">
        <v>59.1</v>
      </c>
      <c r="G622">
        <v>82.091514647625573</v>
      </c>
      <c r="Q622" s="17">
        <v>620</v>
      </c>
      <c r="R622" s="6">
        <v>2.3851</v>
      </c>
      <c r="S622" s="6">
        <v>0.16539999999999999</v>
      </c>
      <c r="T622" s="6">
        <v>2.2976000000000001</v>
      </c>
      <c r="U622" s="6">
        <v>328</v>
      </c>
      <c r="W622" s="17">
        <v>620</v>
      </c>
      <c r="X622" s="6">
        <v>4.5199199999999999</v>
      </c>
      <c r="Y622" s="6">
        <v>0.16539999999999999</v>
      </c>
      <c r="Z622" s="6">
        <v>2.2976000000000001</v>
      </c>
      <c r="AA622" s="6">
        <v>328</v>
      </c>
      <c r="AN622" s="17">
        <v>619</v>
      </c>
      <c r="AO622" s="6">
        <v>1.0655699999999999</v>
      </c>
      <c r="AP622" s="6">
        <v>1.1147</v>
      </c>
      <c r="AQ622" s="6">
        <v>0.54169999999999996</v>
      </c>
      <c r="AR622" s="6">
        <v>328</v>
      </c>
      <c r="AT622" s="17">
        <v>619</v>
      </c>
      <c r="AU622" s="6">
        <v>0.56228</v>
      </c>
      <c r="AV622" s="6">
        <v>1.1147</v>
      </c>
      <c r="AW622" s="6">
        <v>0.54169999999999996</v>
      </c>
      <c r="AX622" s="6">
        <v>328</v>
      </c>
    </row>
    <row r="623" spans="1:50" x14ac:dyDescent="0.25">
      <c r="A623" t="s">
        <v>160</v>
      </c>
      <c r="B623">
        <v>3</v>
      </c>
      <c r="C623" s="36">
        <v>16</v>
      </c>
      <c r="D623" s="36">
        <v>5</v>
      </c>
      <c r="E623" s="32">
        <v>25</v>
      </c>
      <c r="F623" s="13">
        <v>56.1</v>
      </c>
      <c r="G623">
        <v>74.093681690685742</v>
      </c>
      <c r="Q623" s="17">
        <v>621</v>
      </c>
      <c r="R623" s="6">
        <v>2.39215</v>
      </c>
      <c r="S623" s="19">
        <v>-1.2284999999999999</v>
      </c>
      <c r="T623" s="6">
        <v>2.3043999999999998</v>
      </c>
      <c r="U623" s="6">
        <v>328</v>
      </c>
      <c r="W623" s="17">
        <v>621</v>
      </c>
      <c r="X623" s="6">
        <v>4.53329</v>
      </c>
      <c r="Y623" s="19">
        <v>-1.2284999999999999</v>
      </c>
      <c r="Z623" s="6">
        <v>2.3043999999999998</v>
      </c>
      <c r="AA623" s="6">
        <v>328</v>
      </c>
      <c r="AN623" s="17">
        <v>620</v>
      </c>
      <c r="AO623" s="6">
        <v>1.06775</v>
      </c>
      <c r="AP623" s="6">
        <v>1.3281000000000001</v>
      </c>
      <c r="AQ623" s="6">
        <v>0.54279999999999995</v>
      </c>
      <c r="AR623" s="6">
        <v>328</v>
      </c>
      <c r="AT623" s="17">
        <v>620</v>
      </c>
      <c r="AU623" s="6">
        <v>0.56342999999999999</v>
      </c>
      <c r="AV623" s="6">
        <v>1.3281000000000001</v>
      </c>
      <c r="AW623" s="6">
        <v>0.54279999999999995</v>
      </c>
      <c r="AX623" s="6">
        <v>328</v>
      </c>
    </row>
    <row r="624" spans="1:50" x14ac:dyDescent="0.25">
      <c r="A624" s="31" t="s">
        <v>116</v>
      </c>
      <c r="B624" s="32">
        <v>1</v>
      </c>
      <c r="C624" s="32">
        <v>11</v>
      </c>
      <c r="D624" s="32">
        <v>2</v>
      </c>
      <c r="E624" s="32">
        <v>26</v>
      </c>
      <c r="F624" s="12">
        <v>56.6</v>
      </c>
      <c r="G624">
        <v>66.763506857142843</v>
      </c>
      <c r="Q624" s="17">
        <v>622</v>
      </c>
      <c r="R624" s="6">
        <v>2.38992</v>
      </c>
      <c r="S624" s="19">
        <v>-0.1618</v>
      </c>
      <c r="T624" s="6">
        <v>2.3022999999999998</v>
      </c>
      <c r="U624" s="6">
        <v>328</v>
      </c>
      <c r="W624" s="17">
        <v>622</v>
      </c>
      <c r="X624" s="6">
        <v>4.5290699999999999</v>
      </c>
      <c r="Y624" s="19">
        <v>-0.1618</v>
      </c>
      <c r="Z624" s="6">
        <v>2.3022999999999998</v>
      </c>
      <c r="AA624" s="6">
        <v>328</v>
      </c>
      <c r="AN624" s="17">
        <v>621</v>
      </c>
      <c r="AO624" s="6">
        <v>1.07362</v>
      </c>
      <c r="AP624" s="6">
        <v>1.0388999999999999</v>
      </c>
      <c r="AQ624" s="6">
        <v>0.54579999999999995</v>
      </c>
      <c r="AR624" s="6">
        <v>328</v>
      </c>
      <c r="AT624" s="17">
        <v>621</v>
      </c>
      <c r="AU624" s="6">
        <v>0.56652999999999998</v>
      </c>
      <c r="AV624" s="6">
        <v>1.0388999999999999</v>
      </c>
      <c r="AW624" s="6">
        <v>0.54579999999999995</v>
      </c>
      <c r="AX624" s="6">
        <v>328</v>
      </c>
    </row>
    <row r="625" spans="1:50" x14ac:dyDescent="0.25">
      <c r="A625" s="31" t="s">
        <v>116</v>
      </c>
      <c r="B625" s="32">
        <v>2</v>
      </c>
      <c r="C625" s="32">
        <v>6</v>
      </c>
      <c r="D625" s="32">
        <v>8</v>
      </c>
      <c r="E625" s="32">
        <v>26</v>
      </c>
      <c r="F625" s="12">
        <v>57.6</v>
      </c>
      <c r="G625">
        <v>76.278610154905337</v>
      </c>
      <c r="Q625" s="17">
        <v>623</v>
      </c>
      <c r="R625" s="6">
        <v>2.38218</v>
      </c>
      <c r="S625" s="19">
        <v>-1.7303999999999999</v>
      </c>
      <c r="T625" s="6">
        <v>2.2948</v>
      </c>
      <c r="U625" s="6">
        <v>328</v>
      </c>
      <c r="W625" s="17">
        <v>623</v>
      </c>
      <c r="X625" s="6">
        <v>4.5144000000000002</v>
      </c>
      <c r="Y625" s="19">
        <v>-1.7303999999999999</v>
      </c>
      <c r="Z625" s="6">
        <v>2.2948</v>
      </c>
      <c r="AA625" s="6">
        <v>328</v>
      </c>
      <c r="AN625" s="17">
        <v>622</v>
      </c>
      <c r="AO625" s="6">
        <v>1.0702</v>
      </c>
      <c r="AP625" s="19">
        <v>-4.1590000000000002E-2</v>
      </c>
      <c r="AQ625" s="6">
        <v>0.54400000000000004</v>
      </c>
      <c r="AR625" s="6">
        <v>328</v>
      </c>
      <c r="AT625" s="17">
        <v>622</v>
      </c>
      <c r="AU625" s="6">
        <v>0.56472999999999995</v>
      </c>
      <c r="AV625" s="19">
        <v>-4.1590000000000002E-2</v>
      </c>
      <c r="AW625" s="6">
        <v>0.54400000000000004</v>
      </c>
      <c r="AX625" s="6">
        <v>328</v>
      </c>
    </row>
    <row r="626" spans="1:50" x14ac:dyDescent="0.25">
      <c r="A626" s="31" t="s">
        <v>116</v>
      </c>
      <c r="B626" s="32">
        <v>3</v>
      </c>
      <c r="C626" s="32">
        <v>7</v>
      </c>
      <c r="D626" s="32">
        <v>9</v>
      </c>
      <c r="E626" s="32">
        <v>26</v>
      </c>
      <c r="F626" s="12">
        <v>56.5</v>
      </c>
      <c r="G626">
        <v>75.948832553878788</v>
      </c>
      <c r="Q626" s="17">
        <v>624</v>
      </c>
      <c r="R626" s="6">
        <v>2.3789699999999998</v>
      </c>
      <c r="S626" s="19">
        <v>-1.2273000000000001</v>
      </c>
      <c r="T626" s="6">
        <v>2.2917000000000001</v>
      </c>
      <c r="U626" s="6">
        <v>328</v>
      </c>
      <c r="W626" s="17">
        <v>624</v>
      </c>
      <c r="X626" s="6">
        <v>4.5083099999999998</v>
      </c>
      <c r="Y626" s="19">
        <v>-1.2273000000000001</v>
      </c>
      <c r="Z626" s="6">
        <v>2.2917000000000001</v>
      </c>
      <c r="AA626" s="6">
        <v>328</v>
      </c>
      <c r="AN626" s="17">
        <v>623</v>
      </c>
      <c r="AO626" s="6">
        <v>1.0646800000000001</v>
      </c>
      <c r="AP626" s="6">
        <v>0.2979</v>
      </c>
      <c r="AQ626" s="6">
        <v>0.54120000000000001</v>
      </c>
      <c r="AR626" s="6">
        <v>328</v>
      </c>
      <c r="AT626" s="17">
        <v>623</v>
      </c>
      <c r="AU626" s="6">
        <v>0.56181000000000003</v>
      </c>
      <c r="AV626" s="6">
        <v>0.2979</v>
      </c>
      <c r="AW626" s="6">
        <v>0.54120000000000001</v>
      </c>
      <c r="AX626" s="6">
        <v>328</v>
      </c>
    </row>
    <row r="627" spans="1:50" x14ac:dyDescent="0.25">
      <c r="A627" s="34" t="s">
        <v>97</v>
      </c>
      <c r="B627" s="35">
        <v>1</v>
      </c>
      <c r="C627" s="35">
        <v>14</v>
      </c>
      <c r="D627" s="35">
        <v>1</v>
      </c>
      <c r="E627" s="35">
        <v>26</v>
      </c>
      <c r="F627" s="2">
        <v>60.1</v>
      </c>
      <c r="G627">
        <v>80.864472857142829</v>
      </c>
      <c r="Q627" s="17">
        <v>625</v>
      </c>
      <c r="R627" s="6">
        <v>2.39689</v>
      </c>
      <c r="S627" s="6">
        <v>6.0697999999999999</v>
      </c>
      <c r="T627" s="6">
        <v>2.3090000000000002</v>
      </c>
      <c r="U627" s="6">
        <v>328</v>
      </c>
      <c r="W627" s="17">
        <v>625</v>
      </c>
      <c r="X627" s="6">
        <v>4.5422700000000003</v>
      </c>
      <c r="Y627" s="6">
        <v>6.0697999999999999</v>
      </c>
      <c r="Z627" s="6">
        <v>2.3090000000000002</v>
      </c>
      <c r="AA627" s="6">
        <v>328</v>
      </c>
      <c r="AN627" s="17">
        <v>624</v>
      </c>
      <c r="AO627" s="6">
        <v>1.0626899999999999</v>
      </c>
      <c r="AP627" s="19">
        <v>-0.22889999999999999</v>
      </c>
      <c r="AQ627" s="6">
        <v>0.54020000000000001</v>
      </c>
      <c r="AR627" s="6">
        <v>328</v>
      </c>
      <c r="AT627" s="17">
        <v>624</v>
      </c>
      <c r="AU627" s="6">
        <v>0.56076000000000004</v>
      </c>
      <c r="AV627" s="19">
        <v>-0.22889999999999999</v>
      </c>
      <c r="AW627" s="6">
        <v>0.54020000000000001</v>
      </c>
      <c r="AX627" s="6">
        <v>328</v>
      </c>
    </row>
    <row r="628" spans="1:50" x14ac:dyDescent="0.25">
      <c r="A628" s="34" t="s">
        <v>97</v>
      </c>
      <c r="B628" s="35">
        <v>2</v>
      </c>
      <c r="C628" s="35">
        <v>20</v>
      </c>
      <c r="D628" s="35">
        <v>4</v>
      </c>
      <c r="E628" s="35">
        <v>26</v>
      </c>
      <c r="F628" s="2" t="s">
        <v>12</v>
      </c>
      <c r="G628" t="s">
        <v>12</v>
      </c>
      <c r="Q628" s="17">
        <v>626</v>
      </c>
      <c r="R628" s="6">
        <v>2.3875099999999998</v>
      </c>
      <c r="S628" s="6">
        <v>0.57699999999999996</v>
      </c>
      <c r="T628" s="6">
        <v>2.2999000000000001</v>
      </c>
      <c r="U628" s="6">
        <v>328</v>
      </c>
      <c r="W628" s="17">
        <v>626</v>
      </c>
      <c r="X628" s="6">
        <v>4.5244999999999997</v>
      </c>
      <c r="Y628" s="6">
        <v>0.57699999999999996</v>
      </c>
      <c r="Z628" s="6">
        <v>2.2999000000000001</v>
      </c>
      <c r="AA628" s="6">
        <v>328</v>
      </c>
      <c r="AN628" s="17">
        <v>625</v>
      </c>
      <c r="AO628" s="6">
        <v>1.0784199999999999</v>
      </c>
      <c r="AP628" s="6">
        <v>1.5609</v>
      </c>
      <c r="AQ628" s="6">
        <v>0.54820000000000002</v>
      </c>
      <c r="AR628" s="6">
        <v>328</v>
      </c>
      <c r="AT628" s="17">
        <v>625</v>
      </c>
      <c r="AU628" s="6">
        <v>0.56906000000000001</v>
      </c>
      <c r="AV628" s="6">
        <v>1.5609</v>
      </c>
      <c r="AW628" s="6">
        <v>0.54820000000000002</v>
      </c>
      <c r="AX628" s="6">
        <v>328</v>
      </c>
    </row>
    <row r="629" spans="1:50" x14ac:dyDescent="0.25">
      <c r="A629" s="34" t="s">
        <v>97</v>
      </c>
      <c r="B629" s="35">
        <v>3</v>
      </c>
      <c r="C629" s="35">
        <v>3</v>
      </c>
      <c r="D629" s="35">
        <v>6</v>
      </c>
      <c r="E629" s="35">
        <v>26</v>
      </c>
      <c r="F629" s="2">
        <v>60</v>
      </c>
      <c r="G629">
        <v>79.668942399389664</v>
      </c>
      <c r="Q629" s="17">
        <v>627</v>
      </c>
      <c r="R629" s="6">
        <v>2.3899599999999999</v>
      </c>
      <c r="S629" s="6">
        <v>10.2956</v>
      </c>
      <c r="T629" s="6">
        <v>2.3022999999999998</v>
      </c>
      <c r="U629" s="6">
        <v>328</v>
      </c>
      <c r="W629" s="17">
        <v>627</v>
      </c>
      <c r="X629" s="6">
        <v>4.5291300000000003</v>
      </c>
      <c r="Y629" s="6">
        <v>10.2956</v>
      </c>
      <c r="Z629" s="6">
        <v>2.3022999999999998</v>
      </c>
      <c r="AA629" s="6">
        <v>328</v>
      </c>
      <c r="AN629" s="17">
        <v>626</v>
      </c>
      <c r="AO629" s="6">
        <v>1.0657700000000001</v>
      </c>
      <c r="AP629" s="19">
        <v>-0.15770000000000001</v>
      </c>
      <c r="AQ629" s="6">
        <v>0.54179999999999995</v>
      </c>
      <c r="AR629" s="6">
        <v>328</v>
      </c>
      <c r="AT629" s="17">
        <v>626</v>
      </c>
      <c r="AU629" s="6">
        <v>0.56238999999999995</v>
      </c>
      <c r="AV629" s="19">
        <v>-0.15770000000000001</v>
      </c>
      <c r="AW629" s="6">
        <v>0.54179999999999995</v>
      </c>
      <c r="AX629" s="6">
        <v>328</v>
      </c>
    </row>
    <row r="630" spans="1:50" x14ac:dyDescent="0.25">
      <c r="A630" s="31" t="s">
        <v>132</v>
      </c>
      <c r="B630" s="32">
        <v>1</v>
      </c>
      <c r="C630" s="32">
        <v>18</v>
      </c>
      <c r="D630" s="32">
        <v>2</v>
      </c>
      <c r="E630" s="32">
        <v>26</v>
      </c>
      <c r="F630" s="2">
        <v>61.7</v>
      </c>
      <c r="G630">
        <v>73.96046044067306</v>
      </c>
      <c r="Q630" s="17">
        <v>628</v>
      </c>
      <c r="R630" s="6">
        <v>2.3846699999999998</v>
      </c>
      <c r="S630" s="6">
        <v>5.5187999999999997</v>
      </c>
      <c r="T630" s="6">
        <v>2.2972000000000001</v>
      </c>
      <c r="U630" s="6">
        <v>328</v>
      </c>
      <c r="W630" s="17">
        <v>628</v>
      </c>
      <c r="X630" s="6">
        <v>4.51912</v>
      </c>
      <c r="Y630" s="6">
        <v>5.5187999999999997</v>
      </c>
      <c r="Z630" s="6">
        <v>2.2972000000000001</v>
      </c>
      <c r="AA630" s="6">
        <v>328</v>
      </c>
      <c r="AN630" s="17">
        <v>627</v>
      </c>
      <c r="AO630" s="6">
        <v>1.0735600000000001</v>
      </c>
      <c r="AP630" s="6">
        <v>2.3532999999999999</v>
      </c>
      <c r="AQ630" s="6">
        <v>0.54569999999999996</v>
      </c>
      <c r="AR630" s="6">
        <v>328</v>
      </c>
      <c r="AT630" s="17">
        <v>627</v>
      </c>
      <c r="AU630" s="6">
        <v>0.5665</v>
      </c>
      <c r="AV630" s="6">
        <v>2.3532999999999999</v>
      </c>
      <c r="AW630" s="6">
        <v>0.54569999999999996</v>
      </c>
      <c r="AX630" s="6">
        <v>328</v>
      </c>
    </row>
    <row r="631" spans="1:50" x14ac:dyDescent="0.25">
      <c r="A631" s="31" t="s">
        <v>132</v>
      </c>
      <c r="B631" s="32">
        <v>2</v>
      </c>
      <c r="C631" s="32">
        <v>3</v>
      </c>
      <c r="D631" s="32">
        <v>4</v>
      </c>
      <c r="E631" s="32">
        <v>26</v>
      </c>
      <c r="F631" s="2" t="s">
        <v>12</v>
      </c>
      <c r="G631" t="s">
        <v>12</v>
      </c>
      <c r="Q631" s="17">
        <v>629</v>
      </c>
      <c r="R631" s="6">
        <v>2.3749099999999999</v>
      </c>
      <c r="S631" s="19">
        <v>-0.4597</v>
      </c>
      <c r="T631" s="6">
        <v>2.2877999999999998</v>
      </c>
      <c r="U631" s="6">
        <v>328</v>
      </c>
      <c r="W631" s="17">
        <v>629</v>
      </c>
      <c r="X631" s="6">
        <v>4.5006199999999996</v>
      </c>
      <c r="Y631" s="19">
        <v>-0.4597</v>
      </c>
      <c r="Z631" s="6">
        <v>2.2877999999999998</v>
      </c>
      <c r="AA631" s="6">
        <v>328</v>
      </c>
      <c r="AN631" s="17">
        <v>628</v>
      </c>
      <c r="AO631" s="6">
        <v>1.0667199999999999</v>
      </c>
      <c r="AP631" s="6">
        <v>1.4817</v>
      </c>
      <c r="AQ631" s="6">
        <v>0.54220000000000002</v>
      </c>
      <c r="AR631" s="6">
        <v>328</v>
      </c>
      <c r="AT631" s="17">
        <v>628</v>
      </c>
      <c r="AU631" s="6">
        <v>0.56289999999999996</v>
      </c>
      <c r="AV631" s="6">
        <v>1.4817</v>
      </c>
      <c r="AW631" s="6">
        <v>0.54220000000000002</v>
      </c>
      <c r="AX631" s="6">
        <v>328</v>
      </c>
    </row>
    <row r="632" spans="1:50" x14ac:dyDescent="0.25">
      <c r="A632" s="31" t="s">
        <v>132</v>
      </c>
      <c r="B632" s="32">
        <v>3</v>
      </c>
      <c r="C632" s="32">
        <v>7</v>
      </c>
      <c r="D632" s="32">
        <v>5</v>
      </c>
      <c r="E632" s="32">
        <v>26</v>
      </c>
      <c r="F632" s="2">
        <v>61.7</v>
      </c>
      <c r="G632">
        <v>77.090844936105285</v>
      </c>
      <c r="Q632" s="17">
        <v>630</v>
      </c>
      <c r="R632" s="6">
        <v>2.3866900000000002</v>
      </c>
      <c r="S632" s="6">
        <v>1.5419</v>
      </c>
      <c r="T632" s="6">
        <v>2.2991000000000001</v>
      </c>
      <c r="U632" s="6">
        <v>328</v>
      </c>
      <c r="W632" s="17">
        <v>630</v>
      </c>
      <c r="X632" s="6">
        <v>4.5229400000000002</v>
      </c>
      <c r="Y632" s="6">
        <v>1.5419</v>
      </c>
      <c r="Z632" s="6">
        <v>2.2991000000000001</v>
      </c>
      <c r="AA632" s="6">
        <v>328</v>
      </c>
      <c r="AN632" s="17">
        <v>629</v>
      </c>
      <c r="AO632" s="6">
        <v>1.0641700000000001</v>
      </c>
      <c r="AP632" s="6">
        <v>1.0338000000000001</v>
      </c>
      <c r="AQ632" s="6">
        <v>0.54090000000000005</v>
      </c>
      <c r="AR632" s="6">
        <v>328</v>
      </c>
      <c r="AT632" s="17">
        <v>629</v>
      </c>
      <c r="AU632" s="6">
        <v>0.56154999999999999</v>
      </c>
      <c r="AV632" s="6">
        <v>1.0338000000000001</v>
      </c>
      <c r="AW632" s="6">
        <v>0.54090000000000005</v>
      </c>
      <c r="AX632" s="6">
        <v>328</v>
      </c>
    </row>
    <row r="633" spans="1:50" x14ac:dyDescent="0.25">
      <c r="A633" s="31" t="s">
        <v>13</v>
      </c>
      <c r="B633" s="32">
        <v>1</v>
      </c>
      <c r="C633" s="36">
        <v>5</v>
      </c>
      <c r="D633" s="36">
        <v>1</v>
      </c>
      <c r="E633" s="32">
        <v>26</v>
      </c>
      <c r="F633" s="12">
        <v>57</v>
      </c>
      <c r="G633">
        <v>80.176964999999996</v>
      </c>
      <c r="Q633" s="17">
        <v>631</v>
      </c>
      <c r="R633" s="6">
        <v>2.39988</v>
      </c>
      <c r="S633" s="19">
        <v>-4.0004</v>
      </c>
      <c r="T633" s="6">
        <v>2.3119000000000001</v>
      </c>
      <c r="U633" s="6">
        <v>328</v>
      </c>
      <c r="W633" s="17">
        <v>631</v>
      </c>
      <c r="X633" s="6">
        <v>4.5479399999999996</v>
      </c>
      <c r="Y633" s="19">
        <v>-4.0004</v>
      </c>
      <c r="Z633" s="6">
        <v>2.3119000000000001</v>
      </c>
      <c r="AA633" s="6">
        <v>328</v>
      </c>
      <c r="AN633" s="17">
        <v>630</v>
      </c>
      <c r="AO633" s="6">
        <v>1.0700799999999999</v>
      </c>
      <c r="AP633" s="6">
        <v>1.0317000000000001</v>
      </c>
      <c r="AQ633" s="6">
        <v>0.54400000000000004</v>
      </c>
      <c r="AR633" s="6">
        <v>328</v>
      </c>
      <c r="AT633" s="17">
        <v>630</v>
      </c>
      <c r="AU633" s="6">
        <v>0.56467000000000001</v>
      </c>
      <c r="AV633" s="6">
        <v>1.0317000000000001</v>
      </c>
      <c r="AW633" s="6">
        <v>0.54400000000000004</v>
      </c>
      <c r="AX633" s="6">
        <v>328</v>
      </c>
    </row>
    <row r="634" spans="1:50" x14ac:dyDescent="0.25">
      <c r="A634" s="31" t="s">
        <v>13</v>
      </c>
      <c r="B634" s="32">
        <v>2</v>
      </c>
      <c r="C634" s="36">
        <v>21</v>
      </c>
      <c r="D634" s="36">
        <v>4</v>
      </c>
      <c r="E634" s="32">
        <v>26</v>
      </c>
      <c r="F634" s="12">
        <v>57</v>
      </c>
      <c r="G634">
        <v>82.161254999999997</v>
      </c>
      <c r="Q634" s="17">
        <v>632</v>
      </c>
      <c r="R634" s="6">
        <v>2.3928699999999998</v>
      </c>
      <c r="S634" s="19">
        <v>-1.7808999999999999</v>
      </c>
      <c r="T634" s="6">
        <v>2.3050999999999999</v>
      </c>
      <c r="U634" s="6">
        <v>328</v>
      </c>
      <c r="W634" s="17">
        <v>632</v>
      </c>
      <c r="X634" s="6">
        <v>4.5346599999999997</v>
      </c>
      <c r="Y634" s="19">
        <v>-1.7808999999999999</v>
      </c>
      <c r="Z634" s="6">
        <v>2.3050999999999999</v>
      </c>
      <c r="AA634" s="6">
        <v>328</v>
      </c>
      <c r="AN634" s="17">
        <v>631</v>
      </c>
      <c r="AO634" s="6">
        <v>1.0882700000000001</v>
      </c>
      <c r="AP634" s="6">
        <v>1.0544</v>
      </c>
      <c r="AQ634" s="6">
        <v>0.55320000000000003</v>
      </c>
      <c r="AR634" s="6">
        <v>328</v>
      </c>
      <c r="AT634" s="17">
        <v>631</v>
      </c>
      <c r="AU634" s="6">
        <v>0.57425999999999999</v>
      </c>
      <c r="AV634" s="6">
        <v>1.0544</v>
      </c>
      <c r="AW634" s="6">
        <v>0.55320000000000003</v>
      </c>
      <c r="AX634" s="6">
        <v>328</v>
      </c>
    </row>
    <row r="635" spans="1:50" x14ac:dyDescent="0.25">
      <c r="A635" s="31" t="s">
        <v>13</v>
      </c>
      <c r="B635" s="32">
        <v>3</v>
      </c>
      <c r="C635" s="36">
        <v>8</v>
      </c>
      <c r="D635" s="36">
        <v>6</v>
      </c>
      <c r="E635" s="32">
        <v>26</v>
      </c>
      <c r="F635" s="12">
        <v>56.9</v>
      </c>
      <c r="G635">
        <v>78.867249999999999</v>
      </c>
      <c r="Q635" s="17">
        <v>633</v>
      </c>
      <c r="R635" s="6">
        <v>2.4029199999999999</v>
      </c>
      <c r="S635" s="19">
        <v>-10.413500000000001</v>
      </c>
      <c r="T635" s="6">
        <v>2.3148</v>
      </c>
      <c r="U635" s="6">
        <v>328</v>
      </c>
      <c r="W635" s="17">
        <v>633</v>
      </c>
      <c r="X635" s="6">
        <v>4.5536899999999996</v>
      </c>
      <c r="Y635" s="19">
        <v>-10.413500000000001</v>
      </c>
      <c r="Z635" s="6">
        <v>2.3148</v>
      </c>
      <c r="AA635" s="6">
        <v>328</v>
      </c>
      <c r="AN635" s="17">
        <v>632</v>
      </c>
      <c r="AO635" s="6">
        <v>1.0764800000000001</v>
      </c>
      <c r="AP635" s="6">
        <v>0.96389999999999998</v>
      </c>
      <c r="AQ635" s="6">
        <v>0.54720000000000002</v>
      </c>
      <c r="AR635" s="6">
        <v>328</v>
      </c>
      <c r="AT635" s="17">
        <v>632</v>
      </c>
      <c r="AU635" s="6">
        <v>0.56803999999999999</v>
      </c>
      <c r="AV635" s="6">
        <v>0.96389999999999998</v>
      </c>
      <c r="AW635" s="6">
        <v>0.54720000000000002</v>
      </c>
      <c r="AX635" s="6">
        <v>328</v>
      </c>
    </row>
    <row r="636" spans="1:50" x14ac:dyDescent="0.25">
      <c r="A636" t="s">
        <v>7</v>
      </c>
      <c r="B636" s="11">
        <v>1</v>
      </c>
      <c r="C636" s="11">
        <v>11</v>
      </c>
      <c r="D636" s="11">
        <v>1</v>
      </c>
      <c r="E636" s="11">
        <v>26</v>
      </c>
      <c r="F636" s="12">
        <v>55.5</v>
      </c>
      <c r="G636">
        <v>59.321864495798316</v>
      </c>
      <c r="Q636" s="17">
        <v>634</v>
      </c>
      <c r="R636" s="6">
        <v>2.3957099999999998</v>
      </c>
      <c r="S636" s="19">
        <v>-3.4918</v>
      </c>
      <c r="T636" s="6">
        <v>2.3077999999999999</v>
      </c>
      <c r="U636" s="6">
        <v>328</v>
      </c>
      <c r="W636" s="17">
        <v>634</v>
      </c>
      <c r="X636" s="6">
        <v>4.5400299999999998</v>
      </c>
      <c r="Y636" s="19">
        <v>-3.4918</v>
      </c>
      <c r="Z636" s="6">
        <v>2.3077999999999999</v>
      </c>
      <c r="AA636" s="6">
        <v>328</v>
      </c>
      <c r="AN636" s="17">
        <v>633</v>
      </c>
      <c r="AO636" s="6">
        <v>1.0827500000000001</v>
      </c>
      <c r="AP636" s="6">
        <v>0.67059999999999997</v>
      </c>
      <c r="AQ636" s="6">
        <v>0.5504</v>
      </c>
      <c r="AR636" s="6">
        <v>328</v>
      </c>
      <c r="AT636" s="17">
        <v>633</v>
      </c>
      <c r="AU636" s="6">
        <v>0.57135000000000002</v>
      </c>
      <c r="AV636" s="6">
        <v>0.67059999999999997</v>
      </c>
      <c r="AW636" s="6">
        <v>0.5504</v>
      </c>
      <c r="AX636" s="6">
        <v>328</v>
      </c>
    </row>
    <row r="637" spans="1:50" x14ac:dyDescent="0.25">
      <c r="A637" t="s">
        <v>7</v>
      </c>
      <c r="B637" s="11">
        <v>2</v>
      </c>
      <c r="C637" s="11">
        <v>3</v>
      </c>
      <c r="D637" s="11">
        <v>6</v>
      </c>
      <c r="E637" s="11">
        <v>26</v>
      </c>
      <c r="F637" s="12">
        <v>56.9</v>
      </c>
      <c r="G637">
        <v>61.636321258618999</v>
      </c>
      <c r="Q637" s="17">
        <v>635</v>
      </c>
      <c r="R637" s="6">
        <v>2.3969499999999999</v>
      </c>
      <c r="S637" s="19">
        <v>-0.79120000000000001</v>
      </c>
      <c r="T637" s="6">
        <v>2.3090000000000002</v>
      </c>
      <c r="U637" s="6">
        <v>328</v>
      </c>
      <c r="W637" s="17">
        <v>635</v>
      </c>
      <c r="X637" s="6">
        <v>4.5423900000000001</v>
      </c>
      <c r="Y637" s="19">
        <v>-0.79120000000000001</v>
      </c>
      <c r="Z637" s="6">
        <v>2.3090000000000002</v>
      </c>
      <c r="AA637" s="6">
        <v>328</v>
      </c>
      <c r="AN637" s="17">
        <v>634</v>
      </c>
      <c r="AO637" s="6">
        <v>1.0706</v>
      </c>
      <c r="AP637" s="6">
        <v>0.64410000000000001</v>
      </c>
      <c r="AQ637" s="6">
        <v>0.54420000000000002</v>
      </c>
      <c r="AR637" s="6">
        <v>328</v>
      </c>
      <c r="AT637" s="17">
        <v>634</v>
      </c>
      <c r="AU637" s="6">
        <v>0.56494</v>
      </c>
      <c r="AV637" s="6">
        <v>0.64410000000000001</v>
      </c>
      <c r="AW637" s="6">
        <v>0.54420000000000002</v>
      </c>
      <c r="AX637" s="6">
        <v>328</v>
      </c>
    </row>
    <row r="638" spans="1:50" x14ac:dyDescent="0.25">
      <c r="A638" t="s">
        <v>7</v>
      </c>
      <c r="B638" s="11">
        <v>3</v>
      </c>
      <c r="C638" s="11">
        <v>7</v>
      </c>
      <c r="D638" s="11">
        <v>10</v>
      </c>
      <c r="E638" s="11">
        <v>26</v>
      </c>
      <c r="F638" s="12">
        <v>54.1</v>
      </c>
      <c r="G638">
        <v>52.751427126968075</v>
      </c>
      <c r="Q638" s="17">
        <v>636</v>
      </c>
      <c r="R638" s="6">
        <v>2.3927499999999999</v>
      </c>
      <c r="S638" s="19">
        <v>-1.7863</v>
      </c>
      <c r="T638" s="6">
        <v>2.3050000000000002</v>
      </c>
      <c r="U638" s="6">
        <v>328</v>
      </c>
      <c r="W638" s="17">
        <v>636</v>
      </c>
      <c r="X638" s="6">
        <v>4.5344199999999999</v>
      </c>
      <c r="Y638" s="19">
        <v>-1.7863</v>
      </c>
      <c r="Z638" s="6">
        <v>2.3050000000000002</v>
      </c>
      <c r="AA638" s="6">
        <v>328</v>
      </c>
      <c r="AN638" s="17">
        <v>635</v>
      </c>
      <c r="AO638" s="6">
        <v>1.07376</v>
      </c>
      <c r="AP638" s="6">
        <v>2.0236000000000001</v>
      </c>
      <c r="AQ638" s="6">
        <v>0.54579999999999995</v>
      </c>
      <c r="AR638" s="6">
        <v>328</v>
      </c>
      <c r="AT638" s="17">
        <v>635</v>
      </c>
      <c r="AU638" s="6">
        <v>0.56660999999999995</v>
      </c>
      <c r="AV638" s="6">
        <v>2.0236000000000001</v>
      </c>
      <c r="AW638" s="6">
        <v>0.54579999999999995</v>
      </c>
      <c r="AX638" s="6">
        <v>328</v>
      </c>
    </row>
    <row r="639" spans="1:50" x14ac:dyDescent="0.25">
      <c r="A639" s="31" t="s">
        <v>156</v>
      </c>
      <c r="B639" s="32">
        <v>1</v>
      </c>
      <c r="C639" s="32">
        <v>10</v>
      </c>
      <c r="D639" s="32">
        <v>2</v>
      </c>
      <c r="E639" s="32">
        <v>26</v>
      </c>
      <c r="F639" s="2">
        <v>58.7</v>
      </c>
      <c r="G639">
        <v>58.362324112583416</v>
      </c>
      <c r="Q639" s="17">
        <v>637</v>
      </c>
      <c r="R639" s="6">
        <v>2.3929499999999999</v>
      </c>
      <c r="S639" s="6">
        <v>1.2826</v>
      </c>
      <c r="T639" s="6">
        <v>2.3052000000000001</v>
      </c>
      <c r="U639" s="6">
        <v>328</v>
      </c>
      <c r="W639" s="17">
        <v>637</v>
      </c>
      <c r="X639" s="6">
        <v>4.5348100000000002</v>
      </c>
      <c r="Y639" s="6">
        <v>1.2826</v>
      </c>
      <c r="Z639" s="6">
        <v>2.3052000000000001</v>
      </c>
      <c r="AA639" s="6">
        <v>328</v>
      </c>
      <c r="AN639" s="17">
        <v>636</v>
      </c>
      <c r="AO639" s="6">
        <v>1.0723499999999999</v>
      </c>
      <c r="AP639" s="6">
        <v>0.54790000000000005</v>
      </c>
      <c r="AQ639" s="6">
        <v>0.54510000000000003</v>
      </c>
      <c r="AR639" s="6">
        <v>328</v>
      </c>
      <c r="AT639" s="17">
        <v>636</v>
      </c>
      <c r="AU639" s="6">
        <v>0.56586000000000003</v>
      </c>
      <c r="AV639" s="6">
        <v>0.54790000000000005</v>
      </c>
      <c r="AW639" s="6">
        <v>0.54510000000000003</v>
      </c>
      <c r="AX639" s="6">
        <v>328</v>
      </c>
    </row>
    <row r="640" spans="1:50" x14ac:dyDescent="0.25">
      <c r="A640" s="31" t="s">
        <v>156</v>
      </c>
      <c r="B640" s="32">
        <v>2</v>
      </c>
      <c r="C640" s="32">
        <v>5</v>
      </c>
      <c r="D640" s="32">
        <v>4</v>
      </c>
      <c r="E640" s="32">
        <v>26</v>
      </c>
      <c r="F640" s="2" t="s">
        <v>12</v>
      </c>
      <c r="G640" t="s">
        <v>12</v>
      </c>
      <c r="Q640" s="17">
        <v>638</v>
      </c>
      <c r="R640" s="6">
        <v>2.38626</v>
      </c>
      <c r="S640" s="6">
        <v>1.4004000000000001</v>
      </c>
      <c r="T640" s="6">
        <v>2.2987000000000002</v>
      </c>
      <c r="U640" s="6">
        <v>328</v>
      </c>
      <c r="W640" s="17">
        <v>638</v>
      </c>
      <c r="X640" s="6">
        <v>4.5221299999999998</v>
      </c>
      <c r="Y640" s="6">
        <v>1.4004000000000001</v>
      </c>
      <c r="Z640" s="6">
        <v>2.2987000000000002</v>
      </c>
      <c r="AA640" s="6">
        <v>328</v>
      </c>
      <c r="AN640" s="17">
        <v>637</v>
      </c>
      <c r="AO640" s="6">
        <v>1.0745800000000001</v>
      </c>
      <c r="AP640" s="6">
        <v>0.55469999999999997</v>
      </c>
      <c r="AQ640" s="6">
        <v>0.54620000000000002</v>
      </c>
      <c r="AR640" s="6">
        <v>328</v>
      </c>
      <c r="AT640" s="17">
        <v>637</v>
      </c>
      <c r="AU640" s="6">
        <v>0.56703999999999999</v>
      </c>
      <c r="AV640" s="6">
        <v>0.55469999999999997</v>
      </c>
      <c r="AW640" s="6">
        <v>0.54620000000000002</v>
      </c>
      <c r="AX640" s="6">
        <v>328</v>
      </c>
    </row>
    <row r="641" spans="1:50" x14ac:dyDescent="0.25">
      <c r="A641" s="31" t="s">
        <v>156</v>
      </c>
      <c r="B641" s="32">
        <v>3</v>
      </c>
      <c r="C641" s="32">
        <v>17</v>
      </c>
      <c r="D641" s="32">
        <v>5</v>
      </c>
      <c r="E641" s="32">
        <v>26</v>
      </c>
      <c r="F641" s="2">
        <v>56.4</v>
      </c>
      <c r="G641">
        <v>49.210009188509517</v>
      </c>
      <c r="Q641" s="17">
        <v>639</v>
      </c>
      <c r="R641" s="6">
        <v>2.4010500000000001</v>
      </c>
      <c r="S641" s="19">
        <v>-7.2233000000000001</v>
      </c>
      <c r="T641" s="6">
        <v>2.3130000000000002</v>
      </c>
      <c r="U641" s="6">
        <v>328</v>
      </c>
      <c r="W641" s="17">
        <v>639</v>
      </c>
      <c r="X641" s="6">
        <v>4.5501500000000004</v>
      </c>
      <c r="Y641" s="19">
        <v>-7.2233000000000001</v>
      </c>
      <c r="Z641" s="6">
        <v>2.3130000000000002</v>
      </c>
      <c r="AA641" s="6">
        <v>328</v>
      </c>
      <c r="AN641" s="17">
        <v>638</v>
      </c>
      <c r="AO641" s="6">
        <v>1.07029</v>
      </c>
      <c r="AP641" s="6">
        <v>1.1212</v>
      </c>
      <c r="AQ641" s="6">
        <v>0.54410000000000003</v>
      </c>
      <c r="AR641" s="6">
        <v>328</v>
      </c>
      <c r="AT641" s="17">
        <v>638</v>
      </c>
      <c r="AU641" s="6">
        <v>0.56476999999999999</v>
      </c>
      <c r="AV641" s="6">
        <v>1.1212</v>
      </c>
      <c r="AW641" s="6">
        <v>0.54410000000000003</v>
      </c>
      <c r="AX641" s="6">
        <v>328</v>
      </c>
    </row>
    <row r="642" spans="1:50" x14ac:dyDescent="0.25">
      <c r="A642" s="31" t="s">
        <v>10</v>
      </c>
      <c r="B642" s="32">
        <v>1</v>
      </c>
      <c r="C642" s="32">
        <v>13</v>
      </c>
      <c r="D642" s="32">
        <v>3</v>
      </c>
      <c r="E642" s="32">
        <v>26</v>
      </c>
      <c r="F642" s="2">
        <v>56.4</v>
      </c>
      <c r="G642">
        <v>71.642740762292703</v>
      </c>
      <c r="Q642" s="17">
        <v>640</v>
      </c>
      <c r="R642" s="6">
        <v>2.3843800000000002</v>
      </c>
      <c r="S642" s="19">
        <v>-3.5575999999999999</v>
      </c>
      <c r="T642" s="6">
        <v>2.2968999999999999</v>
      </c>
      <c r="U642" s="6">
        <v>328</v>
      </c>
      <c r="W642" s="17">
        <v>640</v>
      </c>
      <c r="X642" s="6">
        <v>4.5185599999999999</v>
      </c>
      <c r="Y642" s="19">
        <v>-3.5575999999999999</v>
      </c>
      <c r="Z642" s="6">
        <v>2.2968999999999999</v>
      </c>
      <c r="AA642" s="6">
        <v>328</v>
      </c>
      <c r="AN642" s="17">
        <v>639</v>
      </c>
      <c r="AO642" s="6">
        <v>1.07731</v>
      </c>
      <c r="AP642" s="19">
        <v>-1.2682</v>
      </c>
      <c r="AQ642" s="6">
        <v>0.54759999999999998</v>
      </c>
      <c r="AR642" s="6">
        <v>328</v>
      </c>
      <c r="AT642" s="17">
        <v>639</v>
      </c>
      <c r="AU642" s="6">
        <v>0.56847999999999999</v>
      </c>
      <c r="AV642" s="19">
        <v>-1.2682</v>
      </c>
      <c r="AW642" s="6">
        <v>0.54759999999999998</v>
      </c>
      <c r="AX642" s="6">
        <v>328</v>
      </c>
    </row>
    <row r="643" spans="1:50" x14ac:dyDescent="0.25">
      <c r="A643" s="31" t="s">
        <v>10</v>
      </c>
      <c r="B643" s="32">
        <v>2</v>
      </c>
      <c r="C643" s="32">
        <v>1</v>
      </c>
      <c r="D643" s="32">
        <v>6</v>
      </c>
      <c r="E643" s="32">
        <v>26</v>
      </c>
      <c r="F643" s="2">
        <v>55.2</v>
      </c>
      <c r="G643">
        <v>49.667112645662492</v>
      </c>
      <c r="Q643" s="17">
        <v>641</v>
      </c>
      <c r="R643" s="6">
        <v>2.3916599999999999</v>
      </c>
      <c r="S643" s="19">
        <v>-1.8613999999999999</v>
      </c>
      <c r="T643" s="6">
        <v>2.3039000000000001</v>
      </c>
      <c r="U643" s="6">
        <v>328</v>
      </c>
      <c r="W643" s="17">
        <v>641</v>
      </c>
      <c r="X643" s="6">
        <v>4.5323599999999997</v>
      </c>
      <c r="Y643" s="19">
        <v>-1.8613999999999999</v>
      </c>
      <c r="Z643" s="6">
        <v>2.3039000000000001</v>
      </c>
      <c r="AA643" s="6">
        <v>328</v>
      </c>
      <c r="AN643" s="17">
        <v>640</v>
      </c>
      <c r="AO643" s="6">
        <v>1.06938</v>
      </c>
      <c r="AP643" s="6">
        <v>0.80289999999999995</v>
      </c>
      <c r="AQ643" s="6">
        <v>0.54359999999999997</v>
      </c>
      <c r="AR643" s="6">
        <v>328</v>
      </c>
      <c r="AT643" s="17">
        <v>640</v>
      </c>
      <c r="AU643" s="6">
        <v>0.56430000000000002</v>
      </c>
      <c r="AV643" s="6">
        <v>0.80289999999999995</v>
      </c>
      <c r="AW643" s="6">
        <v>0.54359999999999997</v>
      </c>
      <c r="AX643" s="6">
        <v>328</v>
      </c>
    </row>
    <row r="644" spans="1:50" x14ac:dyDescent="0.25">
      <c r="A644" s="31" t="s">
        <v>10</v>
      </c>
      <c r="B644" s="32">
        <v>3</v>
      </c>
      <c r="C644" s="32">
        <v>10</v>
      </c>
      <c r="D644" s="32">
        <v>11</v>
      </c>
      <c r="E644" s="32">
        <v>26</v>
      </c>
      <c r="F644" s="2">
        <v>57.8</v>
      </c>
      <c r="G644">
        <v>68.128108081744116</v>
      </c>
      <c r="Q644" s="17">
        <v>642</v>
      </c>
      <c r="R644" s="6">
        <v>2.3975</v>
      </c>
      <c r="S644" s="19">
        <v>-3.2553999999999998</v>
      </c>
      <c r="T644" s="6">
        <v>2.3096000000000001</v>
      </c>
      <c r="U644" s="6">
        <v>328</v>
      </c>
      <c r="W644" s="17">
        <v>642</v>
      </c>
      <c r="X644" s="6">
        <v>4.5434299999999999</v>
      </c>
      <c r="Y644" s="19">
        <v>-3.2553999999999998</v>
      </c>
      <c r="Z644" s="6">
        <v>2.3096000000000001</v>
      </c>
      <c r="AA644" s="6">
        <v>328</v>
      </c>
      <c r="AN644" s="17">
        <v>641</v>
      </c>
      <c r="AO644" s="6">
        <v>1.0746599999999999</v>
      </c>
      <c r="AP644" s="6">
        <v>1.0162</v>
      </c>
      <c r="AQ644" s="6">
        <v>0.54630000000000001</v>
      </c>
      <c r="AR644" s="6">
        <v>328</v>
      </c>
      <c r="AT644" s="17">
        <v>641</v>
      </c>
      <c r="AU644" s="6">
        <v>0.56708000000000003</v>
      </c>
      <c r="AV644" s="6">
        <v>1.0162</v>
      </c>
      <c r="AW644" s="6">
        <v>0.54630000000000001</v>
      </c>
      <c r="AX644" s="6">
        <v>328</v>
      </c>
    </row>
    <row r="645" spans="1:50" x14ac:dyDescent="0.25">
      <c r="A645" s="31" t="s">
        <v>11</v>
      </c>
      <c r="B645" s="32">
        <v>1</v>
      </c>
      <c r="C645" s="32">
        <v>5</v>
      </c>
      <c r="D645" s="32">
        <v>2</v>
      </c>
      <c r="E645" s="11">
        <v>26</v>
      </c>
      <c r="F645" s="2">
        <v>59.4</v>
      </c>
      <c r="G645">
        <v>34.906280950726931</v>
      </c>
      <c r="Q645" s="17">
        <v>643</v>
      </c>
      <c r="R645" s="6">
        <v>2.3886400000000001</v>
      </c>
      <c r="S645" s="19">
        <v>-2.1886000000000001</v>
      </c>
      <c r="T645" s="6">
        <v>2.3010000000000002</v>
      </c>
      <c r="U645" s="6">
        <v>328</v>
      </c>
      <c r="W645" s="17">
        <v>643</v>
      </c>
      <c r="X645" s="6">
        <v>4.5266400000000004</v>
      </c>
      <c r="Y645" s="19">
        <v>-2.1886000000000001</v>
      </c>
      <c r="Z645" s="6">
        <v>2.3010000000000002</v>
      </c>
      <c r="AA645" s="6">
        <v>328</v>
      </c>
      <c r="AN645" s="17">
        <v>642</v>
      </c>
      <c r="AO645" s="6">
        <v>1.0817600000000001</v>
      </c>
      <c r="AP645" s="6">
        <v>0.72709999999999997</v>
      </c>
      <c r="AQ645" s="6">
        <v>0.54990000000000006</v>
      </c>
      <c r="AR645" s="6">
        <v>328</v>
      </c>
      <c r="AT645" s="17">
        <v>642</v>
      </c>
      <c r="AU645" s="6">
        <v>0.57082999999999995</v>
      </c>
      <c r="AV645" s="6">
        <v>0.72709999999999997</v>
      </c>
      <c r="AW645" s="6">
        <v>0.54990000000000006</v>
      </c>
      <c r="AX645" s="6">
        <v>328</v>
      </c>
    </row>
    <row r="646" spans="1:50" x14ac:dyDescent="0.25">
      <c r="A646" s="31" t="s">
        <v>11</v>
      </c>
      <c r="B646" s="32">
        <v>2</v>
      </c>
      <c r="C646" s="32">
        <v>12</v>
      </c>
      <c r="D646" s="32">
        <v>6</v>
      </c>
      <c r="E646" s="11">
        <v>26</v>
      </c>
      <c r="F646" s="2">
        <v>58.7</v>
      </c>
      <c r="G646">
        <v>29.339492020241334</v>
      </c>
      <c r="Q646" s="17">
        <v>644</v>
      </c>
      <c r="R646" s="6">
        <v>2.3858999999999999</v>
      </c>
      <c r="S646" s="19">
        <v>-3.7572000000000001</v>
      </c>
      <c r="T646" s="6">
        <v>2.2984</v>
      </c>
      <c r="U646" s="6">
        <v>328</v>
      </c>
      <c r="W646" s="17">
        <v>644</v>
      </c>
      <c r="X646" s="6">
        <v>4.5214400000000001</v>
      </c>
      <c r="Y646" s="19">
        <v>-3.7572000000000001</v>
      </c>
      <c r="Z646" s="6">
        <v>2.2984</v>
      </c>
      <c r="AA646" s="6">
        <v>328</v>
      </c>
      <c r="AN646" s="17">
        <v>643</v>
      </c>
      <c r="AO646" s="6">
        <v>1.0736600000000001</v>
      </c>
      <c r="AP646" s="19">
        <v>-0.35339999999999999</v>
      </c>
      <c r="AQ646" s="6">
        <v>0.54579999999999995</v>
      </c>
      <c r="AR646" s="6">
        <v>328</v>
      </c>
      <c r="AT646" s="17">
        <v>643</v>
      </c>
      <c r="AU646" s="6">
        <v>0.56655</v>
      </c>
      <c r="AV646" s="19">
        <v>-0.35339999999999999</v>
      </c>
      <c r="AW646" s="6">
        <v>0.54579999999999995</v>
      </c>
      <c r="AX646" s="6">
        <v>328</v>
      </c>
    </row>
    <row r="647" spans="1:50" x14ac:dyDescent="0.25">
      <c r="A647" s="31" t="s">
        <v>11</v>
      </c>
      <c r="B647" s="32">
        <v>3</v>
      </c>
      <c r="C647" s="32">
        <v>6</v>
      </c>
      <c r="D647" s="32">
        <v>9</v>
      </c>
      <c r="E647" s="11">
        <v>26</v>
      </c>
      <c r="F647" s="2">
        <v>59.4</v>
      </c>
      <c r="G647">
        <v>49.203079691273246</v>
      </c>
      <c r="Q647" s="17">
        <v>645</v>
      </c>
      <c r="R647" s="6">
        <v>2.3958400000000002</v>
      </c>
      <c r="S647" s="19">
        <v>-3.2542</v>
      </c>
      <c r="T647" s="6">
        <v>2.3079999999999998</v>
      </c>
      <c r="U647" s="6">
        <v>328</v>
      </c>
      <c r="W647" s="17">
        <v>645</v>
      </c>
      <c r="X647" s="6">
        <v>4.5402899999999997</v>
      </c>
      <c r="Y647" s="19">
        <v>-3.2542</v>
      </c>
      <c r="Z647" s="6">
        <v>2.3079999999999998</v>
      </c>
      <c r="AA647" s="6">
        <v>328</v>
      </c>
      <c r="AN647" s="17">
        <v>644</v>
      </c>
      <c r="AO647" s="6">
        <v>1.06934</v>
      </c>
      <c r="AP647" s="19">
        <v>-1.389E-2</v>
      </c>
      <c r="AQ647" s="6">
        <v>0.54359999999999997</v>
      </c>
      <c r="AR647" s="6">
        <v>328</v>
      </c>
      <c r="AT647" s="17">
        <v>644</v>
      </c>
      <c r="AU647" s="6">
        <v>0.56428</v>
      </c>
      <c r="AV647" s="19">
        <v>-1.389E-2</v>
      </c>
      <c r="AW647" s="6">
        <v>0.54359999999999997</v>
      </c>
      <c r="AX647" s="6">
        <v>328</v>
      </c>
    </row>
    <row r="648" spans="1:50" x14ac:dyDescent="0.25">
      <c r="A648" t="s">
        <v>160</v>
      </c>
      <c r="B648">
        <v>1</v>
      </c>
      <c r="C648" s="36">
        <v>7</v>
      </c>
      <c r="D648" s="36">
        <v>1</v>
      </c>
      <c r="E648" s="32">
        <v>26</v>
      </c>
      <c r="F648" s="13">
        <v>57.6</v>
      </c>
      <c r="G648">
        <v>101.91149741824439</v>
      </c>
      <c r="Q648" s="17">
        <v>646</v>
      </c>
      <c r="R648" s="6">
        <v>2.3984100000000002</v>
      </c>
      <c r="S648" s="6">
        <v>4.0430000000000001</v>
      </c>
      <c r="T648" s="6">
        <v>2.3104</v>
      </c>
      <c r="U648" s="6">
        <v>328</v>
      </c>
      <c r="W648" s="17">
        <v>646</v>
      </c>
      <c r="X648" s="6">
        <v>4.5451600000000001</v>
      </c>
      <c r="Y648" s="6">
        <v>4.0430000000000001</v>
      </c>
      <c r="Z648" s="6">
        <v>2.3104</v>
      </c>
      <c r="AA648" s="6">
        <v>328</v>
      </c>
      <c r="AN648" s="17">
        <v>645</v>
      </c>
      <c r="AO648" s="6">
        <v>1.0742100000000001</v>
      </c>
      <c r="AP648" s="19">
        <v>-0.54069999999999996</v>
      </c>
      <c r="AQ648" s="6">
        <v>0.54610000000000003</v>
      </c>
      <c r="AR648" s="6">
        <v>328</v>
      </c>
      <c r="AT648" s="17">
        <v>645</v>
      </c>
      <c r="AU648" s="6">
        <v>0.56684000000000001</v>
      </c>
      <c r="AV648" s="19">
        <v>-0.54069999999999996</v>
      </c>
      <c r="AW648" s="6">
        <v>0.54610000000000003</v>
      </c>
      <c r="AX648" s="6">
        <v>328</v>
      </c>
    </row>
    <row r="649" spans="1:50" x14ac:dyDescent="0.25">
      <c r="A649" t="s">
        <v>160</v>
      </c>
      <c r="B649">
        <v>2</v>
      </c>
      <c r="C649" s="36">
        <v>12</v>
      </c>
      <c r="D649" s="36">
        <v>3</v>
      </c>
      <c r="E649" s="32">
        <v>26</v>
      </c>
      <c r="F649" s="13">
        <v>60.6</v>
      </c>
      <c r="G649">
        <v>93.10659812290713</v>
      </c>
      <c r="Q649" s="17">
        <v>647</v>
      </c>
      <c r="R649" s="6">
        <v>2.38402</v>
      </c>
      <c r="S649" s="19">
        <v>-1.4499</v>
      </c>
      <c r="T649" s="6">
        <v>2.2966000000000002</v>
      </c>
      <c r="U649" s="6">
        <v>328</v>
      </c>
      <c r="W649" s="17">
        <v>647</v>
      </c>
      <c r="X649" s="6">
        <v>4.5178900000000004</v>
      </c>
      <c r="Y649" s="19">
        <v>-1.4499</v>
      </c>
      <c r="Z649" s="6">
        <v>2.2966000000000002</v>
      </c>
      <c r="AA649" s="6">
        <v>328</v>
      </c>
      <c r="AN649" s="17">
        <v>646</v>
      </c>
      <c r="AO649" s="6">
        <v>1.08247</v>
      </c>
      <c r="AP649" s="6">
        <v>1.2490000000000001</v>
      </c>
      <c r="AQ649" s="6">
        <v>0.55030000000000001</v>
      </c>
      <c r="AR649" s="6">
        <v>328</v>
      </c>
      <c r="AT649" s="17">
        <v>646</v>
      </c>
      <c r="AU649" s="6">
        <v>0.57120000000000004</v>
      </c>
      <c r="AV649" s="6">
        <v>1.2490000000000001</v>
      </c>
      <c r="AW649" s="6">
        <v>0.55030000000000001</v>
      </c>
      <c r="AX649" s="6">
        <v>328</v>
      </c>
    </row>
    <row r="650" spans="1:50" x14ac:dyDescent="0.25">
      <c r="A650" t="s">
        <v>160</v>
      </c>
      <c r="B650">
        <v>3</v>
      </c>
      <c r="C650" s="36">
        <v>3</v>
      </c>
      <c r="D650" s="36">
        <v>6</v>
      </c>
      <c r="E650" s="32">
        <v>26</v>
      </c>
      <c r="F650" s="13">
        <v>59.2</v>
      </c>
      <c r="G650">
        <v>85.56096801991572</v>
      </c>
      <c r="Q650" s="17">
        <v>648</v>
      </c>
      <c r="R650" s="6">
        <v>2.3985799999999999</v>
      </c>
      <c r="S650" s="6">
        <v>8.2687000000000008</v>
      </c>
      <c r="T650" s="6">
        <v>2.3106</v>
      </c>
      <c r="U650" s="6">
        <v>328</v>
      </c>
      <c r="W650" s="17">
        <v>648</v>
      </c>
      <c r="X650" s="6">
        <v>4.5454800000000004</v>
      </c>
      <c r="Y650" s="6">
        <v>8.2687000000000008</v>
      </c>
      <c r="Z650" s="6">
        <v>2.3106</v>
      </c>
      <c r="AA650" s="6">
        <v>328</v>
      </c>
      <c r="AN650" s="17">
        <v>647</v>
      </c>
      <c r="AO650" s="6">
        <v>1.0716399999999999</v>
      </c>
      <c r="AP650" s="19">
        <v>-0.46960000000000002</v>
      </c>
      <c r="AQ650" s="6">
        <v>0.54469999999999996</v>
      </c>
      <c r="AR650" s="6">
        <v>328</v>
      </c>
      <c r="AT650" s="17">
        <v>647</v>
      </c>
      <c r="AU650" s="6">
        <v>0.56549000000000005</v>
      </c>
      <c r="AV650" s="19">
        <v>-0.46960000000000002</v>
      </c>
      <c r="AW650" s="6">
        <v>0.54469999999999996</v>
      </c>
      <c r="AX650" s="6">
        <v>328</v>
      </c>
    </row>
    <row r="651" spans="1:50" x14ac:dyDescent="0.25">
      <c r="A651" s="31" t="s">
        <v>116</v>
      </c>
      <c r="B651" s="32">
        <v>1</v>
      </c>
      <c r="C651" s="32">
        <v>4</v>
      </c>
      <c r="D651" s="32">
        <v>4</v>
      </c>
      <c r="E651" s="32">
        <v>27</v>
      </c>
      <c r="F651" s="12">
        <v>56.4</v>
      </c>
      <c r="G651">
        <v>68.484087779690185</v>
      </c>
      <c r="Q651" s="17">
        <v>649</v>
      </c>
      <c r="R651" s="6">
        <v>2.38916</v>
      </c>
      <c r="S651" s="6">
        <v>3.492</v>
      </c>
      <c r="T651" s="6">
        <v>2.3014999999999999</v>
      </c>
      <c r="U651" s="6">
        <v>328</v>
      </c>
      <c r="W651" s="17">
        <v>649</v>
      </c>
      <c r="X651" s="6">
        <v>4.5276100000000001</v>
      </c>
      <c r="Y651" s="6">
        <v>3.492</v>
      </c>
      <c r="Z651" s="6">
        <v>2.3014999999999999</v>
      </c>
      <c r="AA651" s="6">
        <v>328</v>
      </c>
      <c r="AN651" s="17">
        <v>648</v>
      </c>
      <c r="AO651" s="6">
        <v>1.0763199999999999</v>
      </c>
      <c r="AP651" s="6">
        <v>2.0415000000000001</v>
      </c>
      <c r="AQ651" s="6">
        <v>0.54710000000000003</v>
      </c>
      <c r="AR651" s="6">
        <v>328</v>
      </c>
      <c r="AT651" s="17">
        <v>648</v>
      </c>
      <c r="AU651" s="6">
        <v>0.56796000000000002</v>
      </c>
      <c r="AV651" s="6">
        <v>2.0415000000000001</v>
      </c>
      <c r="AW651" s="6">
        <v>0.54710000000000003</v>
      </c>
      <c r="AX651" s="6">
        <v>328</v>
      </c>
    </row>
    <row r="652" spans="1:50" x14ac:dyDescent="0.25">
      <c r="A652" s="31" t="s">
        <v>116</v>
      </c>
      <c r="B652" s="32">
        <v>2</v>
      </c>
      <c r="C652" s="32">
        <v>6</v>
      </c>
      <c r="D652" s="32">
        <v>7</v>
      </c>
      <c r="E652" s="32">
        <v>27</v>
      </c>
      <c r="F652" s="12">
        <v>56.5</v>
      </c>
      <c r="G652">
        <v>75.621933513331101</v>
      </c>
      <c r="Q652" s="17">
        <v>650</v>
      </c>
      <c r="R652" s="6">
        <v>2.3974099999999998</v>
      </c>
      <c r="S652" s="19">
        <v>-2.4866000000000001</v>
      </c>
      <c r="T652" s="6">
        <v>2.3094999999999999</v>
      </c>
      <c r="U652" s="6">
        <v>328</v>
      </c>
      <c r="W652" s="17">
        <v>650</v>
      </c>
      <c r="X652" s="6">
        <v>4.5432499999999996</v>
      </c>
      <c r="Y652" s="19">
        <v>-2.4866000000000001</v>
      </c>
      <c r="Z652" s="6">
        <v>2.3094999999999999</v>
      </c>
      <c r="AA652" s="6">
        <v>328</v>
      </c>
      <c r="AN652" s="17">
        <v>649</v>
      </c>
      <c r="AO652" s="6">
        <v>1.07108</v>
      </c>
      <c r="AP652" s="6">
        <v>1.1698</v>
      </c>
      <c r="AQ652" s="6">
        <v>0.54449999999999998</v>
      </c>
      <c r="AR652" s="6">
        <v>328</v>
      </c>
      <c r="AT652" s="17">
        <v>649</v>
      </c>
      <c r="AU652" s="6">
        <v>0.56518999999999997</v>
      </c>
      <c r="AV652" s="6">
        <v>1.1698</v>
      </c>
      <c r="AW652" s="6">
        <v>0.54449999999999998</v>
      </c>
      <c r="AX652" s="6">
        <v>328</v>
      </c>
    </row>
    <row r="653" spans="1:50" x14ac:dyDescent="0.25">
      <c r="A653" s="31" t="s">
        <v>116</v>
      </c>
      <c r="B653" s="32">
        <v>3</v>
      </c>
      <c r="C653" s="32">
        <v>10</v>
      </c>
      <c r="D653" s="32">
        <v>9</v>
      </c>
      <c r="E653" s="32">
        <v>27</v>
      </c>
      <c r="F653" s="12">
        <v>56.6</v>
      </c>
      <c r="G653">
        <v>75.868872667663069</v>
      </c>
      <c r="Q653" s="17">
        <v>651</v>
      </c>
      <c r="R653" s="6">
        <v>2.3896000000000002</v>
      </c>
      <c r="S653" s="19">
        <v>-0.48499999999999999</v>
      </c>
      <c r="T653" s="6">
        <v>2.302</v>
      </c>
      <c r="U653" s="6">
        <v>328</v>
      </c>
      <c r="W653" s="17">
        <v>651</v>
      </c>
      <c r="X653" s="6">
        <v>4.5284500000000003</v>
      </c>
      <c r="Y653" s="19">
        <v>-0.48499999999999999</v>
      </c>
      <c r="Z653" s="6">
        <v>2.302</v>
      </c>
      <c r="AA653" s="6">
        <v>328</v>
      </c>
      <c r="AN653" s="17">
        <v>650</v>
      </c>
      <c r="AO653" s="6">
        <v>1.0762400000000001</v>
      </c>
      <c r="AP653" s="6">
        <v>0.72199999999999998</v>
      </c>
      <c r="AQ653" s="6">
        <v>0.54710000000000003</v>
      </c>
      <c r="AR653" s="6">
        <v>328</v>
      </c>
      <c r="AT653" s="17">
        <v>650</v>
      </c>
      <c r="AU653" s="6">
        <v>0.56791999999999998</v>
      </c>
      <c r="AV653" s="6">
        <v>0.72199999999999998</v>
      </c>
      <c r="AW653" s="6">
        <v>0.54710000000000003</v>
      </c>
      <c r="AX653" s="6">
        <v>328</v>
      </c>
    </row>
    <row r="654" spans="1:50" x14ac:dyDescent="0.25">
      <c r="A654" s="34" t="s">
        <v>97</v>
      </c>
      <c r="B654" s="35">
        <v>1</v>
      </c>
      <c r="C654" s="35">
        <v>11</v>
      </c>
      <c r="D654" s="35">
        <v>2</v>
      </c>
      <c r="E654" s="35">
        <v>27</v>
      </c>
      <c r="F654" s="2">
        <v>61.1</v>
      </c>
      <c r="G654">
        <v>74.49620106890076</v>
      </c>
      <c r="Q654" s="17">
        <v>652</v>
      </c>
      <c r="R654" s="6">
        <v>2.3881999999999999</v>
      </c>
      <c r="S654" s="6">
        <v>2.2195999999999998</v>
      </c>
      <c r="T654" s="6">
        <v>2.3006000000000002</v>
      </c>
      <c r="U654" s="6">
        <v>328</v>
      </c>
      <c r="W654" s="17">
        <v>652</v>
      </c>
      <c r="X654" s="6">
        <v>4.5258000000000003</v>
      </c>
      <c r="Y654" s="6">
        <v>2.2195999999999998</v>
      </c>
      <c r="Z654" s="6">
        <v>2.3006000000000002</v>
      </c>
      <c r="AA654" s="6">
        <v>328</v>
      </c>
      <c r="AN654" s="17">
        <v>651</v>
      </c>
      <c r="AO654" s="6">
        <v>1.0762700000000001</v>
      </c>
      <c r="AP654" s="6">
        <v>0.7198</v>
      </c>
      <c r="AQ654" s="6">
        <v>0.54710000000000003</v>
      </c>
      <c r="AR654" s="6">
        <v>328</v>
      </c>
      <c r="AT654" s="17">
        <v>651</v>
      </c>
      <c r="AU654" s="6">
        <v>0.56793000000000005</v>
      </c>
      <c r="AV654" s="6">
        <v>0.7198</v>
      </c>
      <c r="AW654" s="6">
        <v>0.54710000000000003</v>
      </c>
      <c r="AX654" s="6">
        <v>328</v>
      </c>
    </row>
    <row r="655" spans="1:50" x14ac:dyDescent="0.25">
      <c r="A655" s="34" t="s">
        <v>97</v>
      </c>
      <c r="B655" s="35">
        <v>2</v>
      </c>
      <c r="C655" s="35">
        <v>18</v>
      </c>
      <c r="D655" s="35">
        <v>3</v>
      </c>
      <c r="E655" s="35">
        <v>27</v>
      </c>
      <c r="F655" s="2">
        <v>60.6</v>
      </c>
      <c r="G655">
        <v>73.774190122145498</v>
      </c>
      <c r="Q655" s="17">
        <v>653</v>
      </c>
      <c r="R655" s="6">
        <v>2.4091</v>
      </c>
      <c r="S655" s="19">
        <v>-6.4131</v>
      </c>
      <c r="T655" s="6">
        <v>2.3207</v>
      </c>
      <c r="U655" s="6">
        <v>328</v>
      </c>
      <c r="W655" s="17">
        <v>653</v>
      </c>
      <c r="X655" s="6">
        <v>4.5654000000000003</v>
      </c>
      <c r="Y655" s="19">
        <v>-6.4131</v>
      </c>
      <c r="Z655" s="6">
        <v>2.3207</v>
      </c>
      <c r="AA655" s="6">
        <v>328</v>
      </c>
      <c r="AN655" s="17">
        <v>652</v>
      </c>
      <c r="AO655" s="6">
        <v>1.0845899999999999</v>
      </c>
      <c r="AP655" s="19">
        <v>-9.0469999999999995E-2</v>
      </c>
      <c r="AQ655" s="6">
        <v>0.55130000000000001</v>
      </c>
      <c r="AR655" s="6">
        <v>328</v>
      </c>
      <c r="AT655" s="17">
        <v>652</v>
      </c>
      <c r="AU655" s="6">
        <v>0.57232000000000005</v>
      </c>
      <c r="AV655" s="19">
        <v>-9.0469999999999995E-2</v>
      </c>
      <c r="AW655" s="6">
        <v>0.55130000000000001</v>
      </c>
      <c r="AX655" s="6">
        <v>328</v>
      </c>
    </row>
    <row r="656" spans="1:50" x14ac:dyDescent="0.25">
      <c r="A656" s="34" t="s">
        <v>97</v>
      </c>
      <c r="B656" s="35">
        <v>3</v>
      </c>
      <c r="C656" s="35">
        <v>17</v>
      </c>
      <c r="D656" s="35">
        <v>6</v>
      </c>
      <c r="E656" s="35">
        <v>27</v>
      </c>
      <c r="F656" s="2">
        <v>58</v>
      </c>
      <c r="G656" t="s">
        <v>12</v>
      </c>
      <c r="Q656" s="17">
        <v>654</v>
      </c>
      <c r="R656" s="6">
        <v>2.4079199999999998</v>
      </c>
      <c r="S656" s="6">
        <v>0.50860000000000005</v>
      </c>
      <c r="T656" s="6">
        <v>2.3195999999999999</v>
      </c>
      <c r="U656" s="6">
        <v>328</v>
      </c>
      <c r="W656" s="17">
        <v>654</v>
      </c>
      <c r="X656" s="6">
        <v>4.56318</v>
      </c>
      <c r="Y656" s="6">
        <v>0.50860000000000005</v>
      </c>
      <c r="Z656" s="6">
        <v>2.3195999999999999</v>
      </c>
      <c r="AA656" s="6">
        <v>328</v>
      </c>
      <c r="AN656" s="17">
        <v>653</v>
      </c>
      <c r="AO656" s="6">
        <v>1.0977300000000001</v>
      </c>
      <c r="AP656" s="19">
        <v>-0.38369999999999999</v>
      </c>
      <c r="AQ656" s="6">
        <v>0.55800000000000005</v>
      </c>
      <c r="AR656" s="6">
        <v>328</v>
      </c>
      <c r="AT656" s="17">
        <v>653</v>
      </c>
      <c r="AU656" s="6">
        <v>0.57926</v>
      </c>
      <c r="AV656" s="19">
        <v>-0.38369999999999999</v>
      </c>
      <c r="AW656" s="6">
        <v>0.55800000000000005</v>
      </c>
      <c r="AX656" s="6">
        <v>328</v>
      </c>
    </row>
    <row r="657" spans="1:50" x14ac:dyDescent="0.25">
      <c r="A657" s="31" t="s">
        <v>132</v>
      </c>
      <c r="B657" s="32">
        <v>1</v>
      </c>
      <c r="C657" s="32">
        <v>11</v>
      </c>
      <c r="D657" s="32">
        <v>1</v>
      </c>
      <c r="E657" s="32">
        <v>27</v>
      </c>
      <c r="F657" s="2">
        <v>61.8</v>
      </c>
      <c r="G657">
        <v>61.50753869148064</v>
      </c>
      <c r="Q657" s="17">
        <v>655</v>
      </c>
      <c r="R657" s="6">
        <v>2.3959199999999998</v>
      </c>
      <c r="S657" s="6">
        <v>3.2092000000000001</v>
      </c>
      <c r="T657" s="6">
        <v>2.3079999999999998</v>
      </c>
      <c r="U657" s="6">
        <v>328</v>
      </c>
      <c r="W657" s="17">
        <v>655</v>
      </c>
      <c r="X657" s="6">
        <v>4.5404400000000003</v>
      </c>
      <c r="Y657" s="6">
        <v>3.2092000000000001</v>
      </c>
      <c r="Z657" s="6">
        <v>2.3079999999999998</v>
      </c>
      <c r="AA657" s="6">
        <v>328</v>
      </c>
      <c r="AN657" s="17">
        <v>654</v>
      </c>
      <c r="AO657" s="6">
        <v>1.08626</v>
      </c>
      <c r="AP657" s="19">
        <v>-0.4103</v>
      </c>
      <c r="AQ657" s="6">
        <v>0.55220000000000002</v>
      </c>
      <c r="AR657" s="6">
        <v>328</v>
      </c>
      <c r="AT657" s="17">
        <v>654</v>
      </c>
      <c r="AU657" s="6">
        <v>0.57321</v>
      </c>
      <c r="AV657" s="19">
        <v>-0.4103</v>
      </c>
      <c r="AW657" s="6">
        <v>0.55220000000000002</v>
      </c>
      <c r="AX657" s="6">
        <v>328</v>
      </c>
    </row>
    <row r="658" spans="1:50" x14ac:dyDescent="0.25">
      <c r="A658" s="31" t="s">
        <v>132</v>
      </c>
      <c r="B658" s="32">
        <v>2</v>
      </c>
      <c r="C658" s="32">
        <v>3</v>
      </c>
      <c r="D658" s="32">
        <v>3</v>
      </c>
      <c r="E658" s="32">
        <v>27</v>
      </c>
      <c r="F658" s="2">
        <v>58.8</v>
      </c>
      <c r="G658" t="s">
        <v>12</v>
      </c>
      <c r="Q658" s="17">
        <v>656</v>
      </c>
      <c r="R658" s="6">
        <v>2.3849399999999998</v>
      </c>
      <c r="S658" s="6">
        <v>2.2141000000000002</v>
      </c>
      <c r="T658" s="6">
        <v>2.2974999999999999</v>
      </c>
      <c r="U658" s="6">
        <v>328</v>
      </c>
      <c r="W658" s="17">
        <v>656</v>
      </c>
      <c r="X658" s="6">
        <v>4.5196300000000003</v>
      </c>
      <c r="Y658" s="6">
        <v>2.2141000000000002</v>
      </c>
      <c r="Z658" s="6">
        <v>2.2974999999999999</v>
      </c>
      <c r="AA658" s="6">
        <v>328</v>
      </c>
      <c r="AN658" s="17">
        <v>655</v>
      </c>
      <c r="AO658" s="6">
        <v>1.0849899999999999</v>
      </c>
      <c r="AP658" s="6">
        <v>0.96919999999999995</v>
      </c>
      <c r="AQ658" s="6">
        <v>0.55149999999999999</v>
      </c>
      <c r="AR658" s="6">
        <v>328</v>
      </c>
      <c r="AT658" s="17">
        <v>655</v>
      </c>
      <c r="AU658" s="6">
        <v>0.57252999999999998</v>
      </c>
      <c r="AV658" s="6">
        <v>0.96919999999999995</v>
      </c>
      <c r="AW658" s="6">
        <v>0.55149999999999999</v>
      </c>
      <c r="AX658" s="6">
        <v>328</v>
      </c>
    </row>
    <row r="659" spans="1:50" x14ac:dyDescent="0.25">
      <c r="A659" s="31" t="s">
        <v>132</v>
      </c>
      <c r="B659" s="32">
        <v>3</v>
      </c>
      <c r="C659" s="32">
        <v>2</v>
      </c>
      <c r="D659" s="32">
        <v>5</v>
      </c>
      <c r="E659" s="32">
        <v>27</v>
      </c>
      <c r="F659" s="2">
        <v>60.8</v>
      </c>
      <c r="G659">
        <v>60.150761014686246</v>
      </c>
      <c r="Q659" s="17">
        <v>657</v>
      </c>
      <c r="R659" s="6">
        <v>2.3897300000000001</v>
      </c>
      <c r="S659" s="6">
        <v>5.2830000000000004</v>
      </c>
      <c r="T659" s="6">
        <v>2.3020999999999998</v>
      </c>
      <c r="U659" s="6">
        <v>328</v>
      </c>
      <c r="W659" s="17">
        <v>657</v>
      </c>
      <c r="X659" s="6">
        <v>4.5286999999999997</v>
      </c>
      <c r="Y659" s="6">
        <v>5.2830000000000004</v>
      </c>
      <c r="Z659" s="6">
        <v>2.3020999999999998</v>
      </c>
      <c r="AA659" s="6">
        <v>328</v>
      </c>
      <c r="AN659" s="17">
        <v>656</v>
      </c>
      <c r="AO659" s="6">
        <v>1.0825899999999999</v>
      </c>
      <c r="AP659" s="19">
        <v>-0.50649999999999995</v>
      </c>
      <c r="AQ659" s="6">
        <v>0.55030000000000001</v>
      </c>
      <c r="AR659" s="6">
        <v>328</v>
      </c>
      <c r="AT659" s="17">
        <v>656</v>
      </c>
      <c r="AU659" s="6">
        <v>0.57126999999999994</v>
      </c>
      <c r="AV659" s="19">
        <v>-0.50649999999999995</v>
      </c>
      <c r="AW659" s="6">
        <v>0.55030000000000001</v>
      </c>
      <c r="AX659" s="6">
        <v>328</v>
      </c>
    </row>
    <row r="660" spans="1:50" x14ac:dyDescent="0.25">
      <c r="A660" s="31" t="s">
        <v>13</v>
      </c>
      <c r="B660" s="32">
        <v>1</v>
      </c>
      <c r="C660" s="36">
        <v>3</v>
      </c>
      <c r="D660" s="36">
        <v>1</v>
      </c>
      <c r="E660" s="32">
        <v>27</v>
      </c>
      <c r="F660" s="12">
        <v>58.8</v>
      </c>
      <c r="G660">
        <v>73.50007500000001</v>
      </c>
      <c r="I660" t="s">
        <v>14</v>
      </c>
      <c r="Q660" s="17">
        <v>658</v>
      </c>
      <c r="R660" s="6">
        <v>2.3913099999999998</v>
      </c>
      <c r="S660" s="6">
        <v>5.4009</v>
      </c>
      <c r="T660" s="6">
        <v>2.3035999999999999</v>
      </c>
      <c r="U660" s="6">
        <v>328</v>
      </c>
      <c r="W660" s="17">
        <v>658</v>
      </c>
      <c r="X660" s="6">
        <v>4.5316999999999998</v>
      </c>
      <c r="Y660" s="6">
        <v>5.4009</v>
      </c>
      <c r="Z660" s="6">
        <v>2.3035999999999999</v>
      </c>
      <c r="AA660" s="6">
        <v>328</v>
      </c>
      <c r="AN660" s="17">
        <v>657</v>
      </c>
      <c r="AO660" s="6">
        <v>1.08413</v>
      </c>
      <c r="AP660" s="19">
        <v>-0.49969999999999998</v>
      </c>
      <c r="AQ660" s="6">
        <v>0.55110000000000003</v>
      </c>
      <c r="AR660" s="6">
        <v>328</v>
      </c>
      <c r="AT660" s="17">
        <v>657</v>
      </c>
      <c r="AU660" s="6">
        <v>0.57208000000000003</v>
      </c>
      <c r="AV660" s="19">
        <v>-0.49969999999999998</v>
      </c>
      <c r="AW660" s="6">
        <v>0.55110000000000003</v>
      </c>
      <c r="AX660" s="6">
        <v>328</v>
      </c>
    </row>
    <row r="661" spans="1:50" x14ac:dyDescent="0.25">
      <c r="A661" s="31" t="s">
        <v>13</v>
      </c>
      <c r="B661" s="32">
        <v>2</v>
      </c>
      <c r="C661" s="36">
        <v>21</v>
      </c>
      <c r="D661" s="36">
        <v>3</v>
      </c>
      <c r="E661" s="32">
        <v>27</v>
      </c>
      <c r="F661" s="12">
        <v>58.5</v>
      </c>
      <c r="G661">
        <v>62.228099999999991</v>
      </c>
      <c r="Q661" s="17">
        <v>659</v>
      </c>
      <c r="R661" s="6">
        <v>2.40611</v>
      </c>
      <c r="S661" s="19">
        <v>-3.2229000000000001</v>
      </c>
      <c r="T661" s="6">
        <v>2.3178999999999998</v>
      </c>
      <c r="U661" s="6">
        <v>328</v>
      </c>
      <c r="W661" s="17">
        <v>659</v>
      </c>
      <c r="X661" s="6">
        <v>4.5597500000000002</v>
      </c>
      <c r="Y661" s="19">
        <v>-3.2229000000000001</v>
      </c>
      <c r="Z661" s="6">
        <v>2.3178999999999998</v>
      </c>
      <c r="AA661" s="6">
        <v>328</v>
      </c>
      <c r="AN661" s="17">
        <v>658</v>
      </c>
      <c r="AO661" s="6">
        <v>1.0827599999999999</v>
      </c>
      <c r="AP661" s="6">
        <v>6.6850000000000007E-2</v>
      </c>
      <c r="AQ661" s="6">
        <v>0.5504</v>
      </c>
      <c r="AR661" s="6">
        <v>328</v>
      </c>
      <c r="AT661" s="17">
        <v>658</v>
      </c>
      <c r="AU661" s="6">
        <v>0.57135999999999998</v>
      </c>
      <c r="AV661" s="6">
        <v>6.6850000000000007E-2</v>
      </c>
      <c r="AW661" s="6">
        <v>0.5504</v>
      </c>
      <c r="AX661" s="6">
        <v>328</v>
      </c>
    </row>
    <row r="662" spans="1:50" x14ac:dyDescent="0.25">
      <c r="A662" s="31" t="s">
        <v>13</v>
      </c>
      <c r="B662" s="32">
        <v>3</v>
      </c>
      <c r="C662" s="36">
        <v>6</v>
      </c>
      <c r="D662" s="36">
        <v>5</v>
      </c>
      <c r="E662" s="32">
        <v>27</v>
      </c>
      <c r="F662" s="12">
        <v>58.1</v>
      </c>
      <c r="G662">
        <v>57.820455000000003</v>
      </c>
      <c r="I662" t="s">
        <v>60</v>
      </c>
      <c r="Q662" s="17">
        <v>660</v>
      </c>
      <c r="R662" s="6">
        <v>2.3915000000000002</v>
      </c>
      <c r="S662" s="6">
        <v>0.44280000000000003</v>
      </c>
      <c r="T662" s="6">
        <v>2.3037999999999998</v>
      </c>
      <c r="U662" s="6">
        <v>328</v>
      </c>
      <c r="W662" s="17">
        <v>660</v>
      </c>
      <c r="X662" s="6">
        <v>4.5320499999999999</v>
      </c>
      <c r="Y662" s="6">
        <v>0.44280000000000003</v>
      </c>
      <c r="Z662" s="6">
        <v>2.3037999999999998</v>
      </c>
      <c r="AA662" s="6">
        <v>328</v>
      </c>
      <c r="AN662" s="17">
        <v>659</v>
      </c>
      <c r="AO662" s="6">
        <v>1.09121</v>
      </c>
      <c r="AP662" s="19">
        <v>-2.3226</v>
      </c>
      <c r="AQ662" s="6">
        <v>0.55469999999999997</v>
      </c>
      <c r="AR662" s="6">
        <v>328</v>
      </c>
      <c r="AT662" s="17">
        <v>659</v>
      </c>
      <c r="AU662" s="6">
        <v>0.57582</v>
      </c>
      <c r="AV662" s="19">
        <v>-2.3226</v>
      </c>
      <c r="AW662" s="6">
        <v>0.55469999999999997</v>
      </c>
      <c r="AX662" s="6">
        <v>328</v>
      </c>
    </row>
    <row r="663" spans="1:50" x14ac:dyDescent="0.25">
      <c r="A663" t="s">
        <v>7</v>
      </c>
      <c r="B663" s="11">
        <v>1</v>
      </c>
      <c r="C663" s="11">
        <v>7</v>
      </c>
      <c r="D663" s="11">
        <v>2</v>
      </c>
      <c r="E663" s="11">
        <v>27</v>
      </c>
      <c r="F663" s="12">
        <v>55.4</v>
      </c>
      <c r="G663">
        <v>41.06519999999999</v>
      </c>
      <c r="I663" t="s">
        <v>61</v>
      </c>
      <c r="Q663" s="17">
        <v>661</v>
      </c>
      <c r="R663" s="6">
        <v>2.40246</v>
      </c>
      <c r="S663" s="6">
        <v>2.1389999999999998</v>
      </c>
      <c r="T663" s="6">
        <v>2.3142999999999998</v>
      </c>
      <c r="U663" s="6">
        <v>328</v>
      </c>
      <c r="W663" s="17">
        <v>661</v>
      </c>
      <c r="X663" s="6">
        <v>4.5528300000000002</v>
      </c>
      <c r="Y663" s="6">
        <v>2.1389999999999998</v>
      </c>
      <c r="Z663" s="6">
        <v>2.3142999999999998</v>
      </c>
      <c r="AA663" s="6">
        <v>328</v>
      </c>
      <c r="AN663" s="17">
        <v>660</v>
      </c>
      <c r="AO663" s="6">
        <v>1.0836300000000001</v>
      </c>
      <c r="AP663" s="19">
        <v>-0.2515</v>
      </c>
      <c r="AQ663" s="6">
        <v>0.55079999999999996</v>
      </c>
      <c r="AR663" s="6">
        <v>328</v>
      </c>
      <c r="AT663" s="17">
        <v>660</v>
      </c>
      <c r="AU663" s="6">
        <v>0.57181999999999999</v>
      </c>
      <c r="AV663" s="19">
        <v>-0.2515</v>
      </c>
      <c r="AW663" s="6">
        <v>0.55079999999999996</v>
      </c>
      <c r="AX663" s="6">
        <v>328</v>
      </c>
    </row>
    <row r="664" spans="1:50" x14ac:dyDescent="0.25">
      <c r="A664" t="s">
        <v>7</v>
      </c>
      <c r="B664" s="11">
        <v>2</v>
      </c>
      <c r="C664" s="11">
        <v>3</v>
      </c>
      <c r="D664" s="11">
        <v>8</v>
      </c>
      <c r="E664" s="11">
        <v>27</v>
      </c>
      <c r="F664" s="12">
        <v>52.7</v>
      </c>
      <c r="G664">
        <v>49.259892530377108</v>
      </c>
      <c r="I664" t="s">
        <v>62</v>
      </c>
      <c r="Q664" s="17">
        <v>662</v>
      </c>
      <c r="R664" s="6">
        <v>2.3934700000000002</v>
      </c>
      <c r="S664" s="6">
        <v>0.74509999999999998</v>
      </c>
      <c r="T664" s="6">
        <v>2.3056999999999999</v>
      </c>
      <c r="U664" s="6">
        <v>328</v>
      </c>
      <c r="W664" s="17">
        <v>662</v>
      </c>
      <c r="X664" s="6">
        <v>4.5357799999999999</v>
      </c>
      <c r="Y664" s="6">
        <v>0.74509999999999998</v>
      </c>
      <c r="Z664" s="6">
        <v>2.3056999999999999</v>
      </c>
      <c r="AA664" s="6">
        <v>328</v>
      </c>
      <c r="AN664" s="17">
        <v>661</v>
      </c>
      <c r="AO664" s="6">
        <v>1.09118</v>
      </c>
      <c r="AP664" s="19">
        <v>-3.8150000000000003E-2</v>
      </c>
      <c r="AQ664" s="6">
        <v>0.55469999999999997</v>
      </c>
      <c r="AR664" s="6">
        <v>328</v>
      </c>
      <c r="AT664" s="17">
        <v>661</v>
      </c>
      <c r="AU664" s="6">
        <v>0.57579999999999998</v>
      </c>
      <c r="AV664" s="19">
        <v>-3.8150000000000003E-2</v>
      </c>
      <c r="AW664" s="6">
        <v>0.55469999999999997</v>
      </c>
      <c r="AX664" s="6">
        <v>328</v>
      </c>
    </row>
    <row r="665" spans="1:50" x14ac:dyDescent="0.25">
      <c r="A665" t="s">
        <v>7</v>
      </c>
      <c r="B665" s="11">
        <v>3</v>
      </c>
      <c r="C665" s="11">
        <v>11</v>
      </c>
      <c r="D665" s="11">
        <v>12</v>
      </c>
      <c r="E665" s="11">
        <v>27</v>
      </c>
      <c r="F665" s="2">
        <v>52.4</v>
      </c>
      <c r="G665">
        <v>49.356998411093443</v>
      </c>
      <c r="I665" t="s">
        <v>63</v>
      </c>
      <c r="Q665" s="17">
        <v>663</v>
      </c>
      <c r="R665" s="6">
        <v>2.39289</v>
      </c>
      <c r="S665" s="6">
        <v>1.8118000000000001</v>
      </c>
      <c r="T665" s="6">
        <v>2.3050999999999999</v>
      </c>
      <c r="U665" s="6">
        <v>328</v>
      </c>
      <c r="W665" s="17">
        <v>663</v>
      </c>
      <c r="X665" s="6">
        <v>4.5346900000000003</v>
      </c>
      <c r="Y665" s="6">
        <v>1.8118000000000001</v>
      </c>
      <c r="Z665" s="6">
        <v>2.3050999999999999</v>
      </c>
      <c r="AA665" s="6">
        <v>328</v>
      </c>
      <c r="AN665" s="17">
        <v>662</v>
      </c>
      <c r="AO665" s="6">
        <v>1.08769</v>
      </c>
      <c r="AP665" s="19">
        <v>-0.32729999999999998</v>
      </c>
      <c r="AQ665" s="6">
        <v>0.55289999999999995</v>
      </c>
      <c r="AR665" s="6">
        <v>328</v>
      </c>
      <c r="AT665" s="17">
        <v>662</v>
      </c>
      <c r="AU665" s="6">
        <v>0.57396000000000003</v>
      </c>
      <c r="AV665" s="19">
        <v>-0.32729999999999998</v>
      </c>
      <c r="AW665" s="6">
        <v>0.55289999999999995</v>
      </c>
      <c r="AX665" s="6">
        <v>328</v>
      </c>
    </row>
    <row r="666" spans="1:50" x14ac:dyDescent="0.25">
      <c r="A666" s="31" t="s">
        <v>156</v>
      </c>
      <c r="B666" s="32">
        <v>1</v>
      </c>
      <c r="C666" s="32">
        <v>23</v>
      </c>
      <c r="D666" s="32">
        <v>2</v>
      </c>
      <c r="E666" s="32">
        <v>27</v>
      </c>
      <c r="F666" s="2">
        <v>58.8</v>
      </c>
      <c r="G666">
        <v>53.485671631685847</v>
      </c>
      <c r="I666" t="s">
        <v>101</v>
      </c>
      <c r="Q666" s="17">
        <v>664</v>
      </c>
      <c r="R666" s="6">
        <v>2.3917000000000002</v>
      </c>
      <c r="S666" s="6">
        <v>0.2432</v>
      </c>
      <c r="T666" s="6">
        <v>2.3039999999999998</v>
      </c>
      <c r="U666" s="6">
        <v>328</v>
      </c>
      <c r="W666" s="17">
        <v>664</v>
      </c>
      <c r="X666" s="6">
        <v>4.5324400000000002</v>
      </c>
      <c r="Y666" s="6">
        <v>0.2432</v>
      </c>
      <c r="Z666" s="6">
        <v>2.3039999999999998</v>
      </c>
      <c r="AA666" s="6">
        <v>328</v>
      </c>
      <c r="AN666" s="17">
        <v>663</v>
      </c>
      <c r="AO666" s="6">
        <v>1.08368</v>
      </c>
      <c r="AP666" s="19">
        <v>-1.4077999999999999</v>
      </c>
      <c r="AQ666" s="6">
        <v>0.55089999999999995</v>
      </c>
      <c r="AR666" s="6">
        <v>328</v>
      </c>
      <c r="AT666" s="17">
        <v>663</v>
      </c>
      <c r="AU666" s="6">
        <v>0.57184000000000001</v>
      </c>
      <c r="AV666" s="19">
        <v>-1.4077999999999999</v>
      </c>
      <c r="AW666" s="6">
        <v>0.55089999999999995</v>
      </c>
      <c r="AX666" s="6">
        <v>328</v>
      </c>
    </row>
    <row r="667" spans="1:50" x14ac:dyDescent="0.25">
      <c r="A667" s="31" t="s">
        <v>156</v>
      </c>
      <c r="B667" s="32">
        <v>2</v>
      </c>
      <c r="C667" s="32">
        <v>1</v>
      </c>
      <c r="D667" s="32">
        <v>4</v>
      </c>
      <c r="E667" s="32">
        <v>27</v>
      </c>
      <c r="F667" s="2">
        <v>55.6</v>
      </c>
      <c r="G667">
        <v>38.203097107740327</v>
      </c>
      <c r="I667" t="s">
        <v>81</v>
      </c>
      <c r="Q667" s="17">
        <v>665</v>
      </c>
      <c r="R667" s="6">
        <v>2.3894500000000001</v>
      </c>
      <c r="S667" s="6">
        <v>0.74629999999999996</v>
      </c>
      <c r="T667" s="6">
        <v>2.3018000000000001</v>
      </c>
      <c r="U667" s="6">
        <v>328</v>
      </c>
      <c r="W667" s="17">
        <v>665</v>
      </c>
      <c r="X667" s="6">
        <v>4.5281799999999999</v>
      </c>
      <c r="Y667" s="6">
        <v>0.74629999999999996</v>
      </c>
      <c r="Z667" s="6">
        <v>2.3018000000000001</v>
      </c>
      <c r="AA667" s="6">
        <v>328</v>
      </c>
      <c r="AN667" s="17">
        <v>664</v>
      </c>
      <c r="AO667" s="6">
        <v>1.0796699999999999</v>
      </c>
      <c r="AP667" s="19">
        <v>-1.0683</v>
      </c>
      <c r="AQ667" s="6">
        <v>0.54879999999999995</v>
      </c>
      <c r="AR667" s="6">
        <v>328</v>
      </c>
      <c r="AT667" s="17">
        <v>664</v>
      </c>
      <c r="AU667" s="6">
        <v>0.56972999999999996</v>
      </c>
      <c r="AV667" s="19">
        <v>-1.0683</v>
      </c>
      <c r="AW667" s="6">
        <v>0.54879999999999995</v>
      </c>
      <c r="AX667" s="6">
        <v>328</v>
      </c>
    </row>
    <row r="668" spans="1:50" x14ac:dyDescent="0.25">
      <c r="A668" s="31" t="s">
        <v>156</v>
      </c>
      <c r="B668" s="32">
        <v>3</v>
      </c>
      <c r="C668" s="32">
        <v>12</v>
      </c>
      <c r="D668" s="32">
        <v>6</v>
      </c>
      <c r="E668" s="32">
        <v>27</v>
      </c>
      <c r="F668" s="2">
        <v>57.9</v>
      </c>
      <c r="G668">
        <v>51.382509015723407</v>
      </c>
      <c r="I668" t="s">
        <v>82</v>
      </c>
      <c r="Q668" s="17">
        <v>666</v>
      </c>
      <c r="R668" s="6">
        <v>2.4009900000000002</v>
      </c>
      <c r="S668" s="6">
        <v>8.0434000000000001</v>
      </c>
      <c r="T668" s="6">
        <v>2.3129</v>
      </c>
      <c r="U668" s="6">
        <v>328</v>
      </c>
      <c r="W668" s="17">
        <v>666</v>
      </c>
      <c r="X668" s="6">
        <v>4.5500400000000001</v>
      </c>
      <c r="Y668" s="6">
        <v>8.0434000000000001</v>
      </c>
      <c r="Z668" s="6">
        <v>2.3129</v>
      </c>
      <c r="AA668" s="6">
        <v>328</v>
      </c>
      <c r="AN668" s="17">
        <v>665</v>
      </c>
      <c r="AO668" s="6">
        <v>1.0840000000000001</v>
      </c>
      <c r="AP668" s="19">
        <v>-1.5951</v>
      </c>
      <c r="AQ668" s="6">
        <v>0.55100000000000005</v>
      </c>
      <c r="AR668" s="6">
        <v>328</v>
      </c>
      <c r="AT668" s="17">
        <v>665</v>
      </c>
      <c r="AU668" s="6">
        <v>0.57201000000000002</v>
      </c>
      <c r="AV668" s="19">
        <v>-1.5951</v>
      </c>
      <c r="AW668" s="6">
        <v>0.55100000000000005</v>
      </c>
      <c r="AX668" s="6">
        <v>328</v>
      </c>
    </row>
    <row r="669" spans="1:50" x14ac:dyDescent="0.25">
      <c r="A669" s="31" t="s">
        <v>10</v>
      </c>
      <c r="B669" s="32">
        <v>1</v>
      </c>
      <c r="C669" s="32">
        <v>5</v>
      </c>
      <c r="D669" s="32">
        <v>4</v>
      </c>
      <c r="E669" s="32">
        <v>27</v>
      </c>
      <c r="F669" s="2">
        <v>58.8</v>
      </c>
      <c r="G669">
        <v>67.605788675429707</v>
      </c>
      <c r="I669" t="s">
        <v>85</v>
      </c>
      <c r="Q669" s="17">
        <v>667</v>
      </c>
      <c r="R669" s="6">
        <v>2.3896899999999999</v>
      </c>
      <c r="S669" s="6">
        <v>2.5506000000000002</v>
      </c>
      <c r="T669" s="6">
        <v>2.302</v>
      </c>
      <c r="U669" s="6">
        <v>328</v>
      </c>
      <c r="W669" s="17">
        <v>667</v>
      </c>
      <c r="X669" s="6">
        <v>4.5286299999999997</v>
      </c>
      <c r="Y669" s="6">
        <v>2.5506000000000002</v>
      </c>
      <c r="Z669" s="6">
        <v>2.302</v>
      </c>
      <c r="AA669" s="6">
        <v>328</v>
      </c>
      <c r="AN669" s="17">
        <v>666</v>
      </c>
      <c r="AO669" s="6">
        <v>1.09362</v>
      </c>
      <c r="AP669" s="6">
        <v>0.1946</v>
      </c>
      <c r="AQ669" s="6">
        <v>0.55589999999999995</v>
      </c>
      <c r="AR669" s="6">
        <v>328</v>
      </c>
      <c r="AT669" s="17">
        <v>666</v>
      </c>
      <c r="AU669" s="6">
        <v>0.57708999999999999</v>
      </c>
      <c r="AV669" s="6">
        <v>0.1946</v>
      </c>
      <c r="AW669" s="6">
        <v>0.55589999999999995</v>
      </c>
      <c r="AX669" s="6">
        <v>328</v>
      </c>
    </row>
    <row r="670" spans="1:50" x14ac:dyDescent="0.25">
      <c r="A670" s="31" t="s">
        <v>10</v>
      </c>
      <c r="B670" s="32">
        <v>2</v>
      </c>
      <c r="C670" s="32">
        <v>3</v>
      </c>
      <c r="D670" s="32">
        <v>8</v>
      </c>
      <c r="E670" s="32">
        <v>27</v>
      </c>
      <c r="F670" s="2">
        <v>60</v>
      </c>
      <c r="G670">
        <v>51.484923845072473</v>
      </c>
      <c r="I670" t="s">
        <v>110</v>
      </c>
      <c r="Q670" s="17">
        <v>668</v>
      </c>
      <c r="R670" s="6">
        <v>2.3929200000000002</v>
      </c>
      <c r="S670" s="6">
        <v>12.2691</v>
      </c>
      <c r="T670" s="6">
        <v>2.3052000000000001</v>
      </c>
      <c r="U670" s="6">
        <v>328</v>
      </c>
      <c r="W670" s="17">
        <v>668</v>
      </c>
      <c r="X670" s="6">
        <v>4.5347499999999998</v>
      </c>
      <c r="Y670" s="6">
        <v>12.2691</v>
      </c>
      <c r="Z670" s="6">
        <v>2.3052000000000001</v>
      </c>
      <c r="AA670" s="6">
        <v>328</v>
      </c>
      <c r="AN670" s="17">
        <v>667</v>
      </c>
      <c r="AO670" s="6">
        <v>1.0839700000000001</v>
      </c>
      <c r="AP670" s="19">
        <v>-1.5239</v>
      </c>
      <c r="AQ670" s="6">
        <v>0.55100000000000005</v>
      </c>
      <c r="AR670" s="6">
        <v>328</v>
      </c>
      <c r="AT670" s="17">
        <v>667</v>
      </c>
      <c r="AU670" s="6">
        <v>0.57199999999999995</v>
      </c>
      <c r="AV670" s="19">
        <v>-1.5239</v>
      </c>
      <c r="AW670" s="6">
        <v>0.55100000000000005</v>
      </c>
      <c r="AX670" s="6">
        <v>328</v>
      </c>
    </row>
    <row r="671" spans="1:50" x14ac:dyDescent="0.25">
      <c r="A671" s="31" t="s">
        <v>10</v>
      </c>
      <c r="B671" s="32">
        <v>3</v>
      </c>
      <c r="C671" s="32">
        <v>7</v>
      </c>
      <c r="D671" s="32">
        <v>11</v>
      </c>
      <c r="E671" s="32">
        <v>27</v>
      </c>
      <c r="F671" s="2">
        <v>57.4</v>
      </c>
      <c r="G671">
        <v>53.657391601229079</v>
      </c>
      <c r="I671" t="s">
        <v>83</v>
      </c>
      <c r="Q671" s="17">
        <v>669</v>
      </c>
      <c r="R671" s="6">
        <v>2.3859599999999999</v>
      </c>
      <c r="S671" s="6">
        <v>7.4923999999999999</v>
      </c>
      <c r="T671" s="6">
        <v>2.2984</v>
      </c>
      <c r="U671" s="6">
        <v>328</v>
      </c>
      <c r="W671" s="17">
        <v>669</v>
      </c>
      <c r="X671" s="6">
        <v>4.52156</v>
      </c>
      <c r="Y671" s="6">
        <v>7.4923999999999999</v>
      </c>
      <c r="Z671" s="6">
        <v>2.2984</v>
      </c>
      <c r="AA671" s="6">
        <v>328</v>
      </c>
      <c r="AN671" s="17">
        <v>668</v>
      </c>
      <c r="AO671" s="6">
        <v>1.08535</v>
      </c>
      <c r="AP671" s="6">
        <v>0.98709999999999998</v>
      </c>
      <c r="AQ671" s="6">
        <v>0.55169999999999997</v>
      </c>
      <c r="AR671" s="6">
        <v>328</v>
      </c>
      <c r="AT671" s="17">
        <v>668</v>
      </c>
      <c r="AU671" s="6">
        <v>0.57272000000000001</v>
      </c>
      <c r="AV671" s="6">
        <v>0.98709999999999998</v>
      </c>
      <c r="AW671" s="6">
        <v>0.55169999999999997</v>
      </c>
      <c r="AX671" s="6">
        <v>328</v>
      </c>
    </row>
    <row r="672" spans="1:50" x14ac:dyDescent="0.25">
      <c r="A672" s="31" t="s">
        <v>11</v>
      </c>
      <c r="B672" s="32">
        <v>1</v>
      </c>
      <c r="C672" s="32">
        <v>13</v>
      </c>
      <c r="D672" s="32">
        <v>1</v>
      </c>
      <c r="E672" s="11">
        <v>27</v>
      </c>
      <c r="F672" s="2">
        <v>57.7</v>
      </c>
      <c r="G672">
        <v>22.662271010624899</v>
      </c>
      <c r="I672" t="s">
        <v>84</v>
      </c>
      <c r="Q672" s="17">
        <v>670</v>
      </c>
      <c r="R672" s="6">
        <v>2.39635</v>
      </c>
      <c r="S672" s="6">
        <v>1.5138</v>
      </c>
      <c r="T672" s="6">
        <v>2.3085</v>
      </c>
      <c r="U672" s="6">
        <v>328</v>
      </c>
      <c r="W672" s="17">
        <v>670</v>
      </c>
      <c r="X672" s="6">
        <v>4.5412499999999998</v>
      </c>
      <c r="Y672" s="6">
        <v>1.5138</v>
      </c>
      <c r="Z672" s="6">
        <v>2.3085</v>
      </c>
      <c r="AA672" s="6">
        <v>328</v>
      </c>
      <c r="AN672" s="17">
        <v>669</v>
      </c>
      <c r="AO672" s="6">
        <v>1.0816600000000001</v>
      </c>
      <c r="AP672" s="6">
        <v>0.11550000000000001</v>
      </c>
      <c r="AQ672" s="6">
        <v>0.54979999999999996</v>
      </c>
      <c r="AR672" s="6">
        <v>328</v>
      </c>
      <c r="AT672" s="17">
        <v>669</v>
      </c>
      <c r="AU672" s="6">
        <v>0.57077999999999995</v>
      </c>
      <c r="AV672" s="6">
        <v>0.11550000000000001</v>
      </c>
      <c r="AW672" s="6">
        <v>0.54979999999999996</v>
      </c>
      <c r="AX672" s="6">
        <v>328</v>
      </c>
    </row>
    <row r="673" spans="1:50" x14ac:dyDescent="0.25">
      <c r="A673" s="31" t="s">
        <v>11</v>
      </c>
      <c r="B673" s="32">
        <v>2</v>
      </c>
      <c r="C673" s="32">
        <v>14</v>
      </c>
      <c r="D673" s="32">
        <v>4</v>
      </c>
      <c r="E673" s="11">
        <v>27</v>
      </c>
      <c r="F673" s="2">
        <v>56.6</v>
      </c>
      <c r="G673">
        <v>18.756774193548381</v>
      </c>
      <c r="I673" t="s">
        <v>85</v>
      </c>
      <c r="Q673" s="17">
        <v>671</v>
      </c>
      <c r="R673" s="6">
        <v>2.38775</v>
      </c>
      <c r="S673" s="6">
        <v>3.5154999999999998</v>
      </c>
      <c r="T673" s="6">
        <v>2.3001999999999998</v>
      </c>
      <c r="U673" s="6">
        <v>328</v>
      </c>
      <c r="W673" s="17">
        <v>671</v>
      </c>
      <c r="X673" s="6">
        <v>4.5249499999999996</v>
      </c>
      <c r="Y673" s="6">
        <v>3.5154999999999998</v>
      </c>
      <c r="Z673" s="6">
        <v>2.3001999999999998</v>
      </c>
      <c r="AA673" s="6">
        <v>328</v>
      </c>
      <c r="AN673" s="17">
        <v>670</v>
      </c>
      <c r="AO673" s="6">
        <v>1.0862700000000001</v>
      </c>
      <c r="AP673" s="19">
        <v>-0.33239999999999997</v>
      </c>
      <c r="AQ673" s="6">
        <v>0.55220000000000002</v>
      </c>
      <c r="AR673" s="6">
        <v>328</v>
      </c>
      <c r="AT673" s="17">
        <v>670</v>
      </c>
      <c r="AU673" s="6">
        <v>0.57321</v>
      </c>
      <c r="AV673" s="19">
        <v>-0.33239999999999997</v>
      </c>
      <c r="AW673" s="6">
        <v>0.55220000000000002</v>
      </c>
      <c r="AX673" s="6">
        <v>328</v>
      </c>
    </row>
    <row r="674" spans="1:50" x14ac:dyDescent="0.25">
      <c r="A674" s="31" t="s">
        <v>11</v>
      </c>
      <c r="B674" s="32">
        <v>3</v>
      </c>
      <c r="C674" s="32">
        <v>1</v>
      </c>
      <c r="D674" s="32">
        <v>8</v>
      </c>
      <c r="E674" s="11">
        <v>27</v>
      </c>
      <c r="F674" s="2">
        <v>58.1</v>
      </c>
      <c r="G674">
        <v>27.634042207792202</v>
      </c>
      <c r="I674" t="s">
        <v>111</v>
      </c>
      <c r="Q674" s="17">
        <v>672</v>
      </c>
      <c r="R674" s="6">
        <v>2.4071500000000001</v>
      </c>
      <c r="S674" s="19">
        <v>-8.6326999999999998</v>
      </c>
      <c r="T674" s="6">
        <v>2.3189000000000002</v>
      </c>
      <c r="U674" s="6">
        <v>328</v>
      </c>
      <c r="W674" s="17">
        <v>672</v>
      </c>
      <c r="X674" s="6">
        <v>4.5617099999999997</v>
      </c>
      <c r="Y674" s="19">
        <v>-8.6326999999999998</v>
      </c>
      <c r="Z674" s="6">
        <v>2.3189000000000002</v>
      </c>
      <c r="AA674" s="6">
        <v>328</v>
      </c>
      <c r="AN674" s="17">
        <v>671</v>
      </c>
      <c r="AO674" s="6">
        <v>1.08406</v>
      </c>
      <c r="AP674" s="19">
        <v>-0.33460000000000001</v>
      </c>
      <c r="AQ674" s="6">
        <v>0.55110000000000003</v>
      </c>
      <c r="AR674" s="6">
        <v>328</v>
      </c>
      <c r="AT674" s="17">
        <v>671</v>
      </c>
      <c r="AU674" s="6">
        <v>0.57203999999999999</v>
      </c>
      <c r="AV674" s="19">
        <v>-0.33460000000000001</v>
      </c>
      <c r="AW674" s="6">
        <v>0.55110000000000003</v>
      </c>
      <c r="AX674" s="6">
        <v>328</v>
      </c>
    </row>
    <row r="675" spans="1:50" x14ac:dyDescent="0.25">
      <c r="A675" t="s">
        <v>160</v>
      </c>
      <c r="B675">
        <v>1</v>
      </c>
      <c r="C675" s="36">
        <v>20</v>
      </c>
      <c r="D675" s="36">
        <v>1</v>
      </c>
      <c r="E675" s="32">
        <v>27</v>
      </c>
      <c r="F675" s="13">
        <v>59.5</v>
      </c>
      <c r="G675">
        <v>96.98222891566266</v>
      </c>
      <c r="I675" t="s">
        <v>87</v>
      </c>
      <c r="Q675" s="17">
        <v>673</v>
      </c>
      <c r="R675" s="6">
        <v>2.3962400000000001</v>
      </c>
      <c r="S675" s="19">
        <v>-1.7110000000000001</v>
      </c>
      <c r="T675" s="6">
        <v>2.3083999999999998</v>
      </c>
      <c r="U675" s="6">
        <v>328</v>
      </c>
      <c r="W675" s="17">
        <v>673</v>
      </c>
      <c r="X675" s="6">
        <v>4.5410500000000003</v>
      </c>
      <c r="Y675" s="19">
        <v>-1.7110000000000001</v>
      </c>
      <c r="Z675" s="6">
        <v>2.3083999999999998</v>
      </c>
      <c r="AA675" s="6">
        <v>328</v>
      </c>
      <c r="AN675" s="17">
        <v>672</v>
      </c>
      <c r="AO675" s="6">
        <v>1.0863400000000001</v>
      </c>
      <c r="AP675" s="19">
        <v>-0.29330000000000001</v>
      </c>
      <c r="AQ675" s="6">
        <v>0.55220000000000002</v>
      </c>
      <c r="AR675" s="6">
        <v>328</v>
      </c>
      <c r="AT675" s="17">
        <v>672</v>
      </c>
      <c r="AU675" s="6">
        <v>0.57323999999999997</v>
      </c>
      <c r="AV675" s="19">
        <v>-0.29330000000000001</v>
      </c>
      <c r="AW675" s="6">
        <v>0.55220000000000002</v>
      </c>
      <c r="AX675" s="6">
        <v>328</v>
      </c>
    </row>
    <row r="676" spans="1:50" x14ac:dyDescent="0.25">
      <c r="A676" t="s">
        <v>160</v>
      </c>
      <c r="B676">
        <v>2</v>
      </c>
      <c r="C676" s="36">
        <v>21</v>
      </c>
      <c r="D676" s="36">
        <v>4</v>
      </c>
      <c r="E676" s="32">
        <v>27</v>
      </c>
      <c r="F676" s="13">
        <v>59</v>
      </c>
      <c r="G676">
        <v>89.77034528292657</v>
      </c>
      <c r="I676" t="s">
        <v>88</v>
      </c>
      <c r="Q676" s="17">
        <v>674</v>
      </c>
      <c r="R676" s="6">
        <v>2.3920599999999999</v>
      </c>
      <c r="S676" s="6">
        <v>0.98960000000000004</v>
      </c>
      <c r="T676" s="6">
        <v>2.3043</v>
      </c>
      <c r="U676" s="6">
        <v>328</v>
      </c>
      <c r="W676" s="17">
        <v>674</v>
      </c>
      <c r="X676" s="6">
        <v>4.5331200000000003</v>
      </c>
      <c r="Y676" s="6">
        <v>0.98960000000000004</v>
      </c>
      <c r="Z676" s="6">
        <v>2.3043</v>
      </c>
      <c r="AA676" s="6">
        <v>328</v>
      </c>
      <c r="AN676" s="17">
        <v>673</v>
      </c>
      <c r="AO676" s="6">
        <v>1.06894</v>
      </c>
      <c r="AP676" s="19">
        <v>-0.31979999999999997</v>
      </c>
      <c r="AQ676" s="6">
        <v>0.54339999999999999</v>
      </c>
      <c r="AR676" s="6">
        <v>328</v>
      </c>
      <c r="AT676" s="17">
        <v>673</v>
      </c>
      <c r="AU676" s="6">
        <v>0.56406000000000001</v>
      </c>
      <c r="AV676" s="19">
        <v>-0.31979999999999997</v>
      </c>
      <c r="AW676" s="6">
        <v>0.54339999999999999</v>
      </c>
      <c r="AX676" s="6">
        <v>328</v>
      </c>
    </row>
    <row r="677" spans="1:50" x14ac:dyDescent="0.25">
      <c r="A677" t="s">
        <v>160</v>
      </c>
      <c r="B677">
        <v>3</v>
      </c>
      <c r="C677" s="36">
        <v>6</v>
      </c>
      <c r="D677" s="36">
        <v>5</v>
      </c>
      <c r="E677" s="32">
        <v>27</v>
      </c>
      <c r="F677" s="13">
        <v>58.6</v>
      </c>
      <c r="G677">
        <v>89.326458071380202</v>
      </c>
      <c r="Q677" s="17">
        <v>675</v>
      </c>
      <c r="R677" s="6">
        <v>2.3853</v>
      </c>
      <c r="S677" s="19">
        <v>-5.4900000000000001E-3</v>
      </c>
      <c r="T677" s="6">
        <v>2.2978000000000001</v>
      </c>
      <c r="U677" s="6">
        <v>328</v>
      </c>
      <c r="W677" s="17">
        <v>675</v>
      </c>
      <c r="X677" s="6">
        <v>4.5202999999999998</v>
      </c>
      <c r="Y677" s="19">
        <v>-5.4900000000000001E-3</v>
      </c>
      <c r="Z677" s="6">
        <v>2.2978000000000001</v>
      </c>
      <c r="AA677" s="6">
        <v>328</v>
      </c>
      <c r="AN677" s="17">
        <v>674</v>
      </c>
      <c r="AO677" s="6">
        <v>1.0739000000000001</v>
      </c>
      <c r="AP677" s="6">
        <v>1.0596000000000001</v>
      </c>
      <c r="AQ677" s="6">
        <v>0.54590000000000005</v>
      </c>
      <c r="AR677" s="6">
        <v>328</v>
      </c>
      <c r="AT677" s="17">
        <v>674</v>
      </c>
      <c r="AU677" s="6">
        <v>0.56667999999999996</v>
      </c>
      <c r="AV677" s="6">
        <v>1.0596000000000001</v>
      </c>
      <c r="AW677" s="6">
        <v>0.54590000000000005</v>
      </c>
      <c r="AX677" s="6">
        <v>328</v>
      </c>
    </row>
    <row r="678" spans="1:50" x14ac:dyDescent="0.25">
      <c r="A678" s="31" t="s">
        <v>116</v>
      </c>
      <c r="B678" s="32">
        <v>1</v>
      </c>
      <c r="C678" s="32">
        <v>6</v>
      </c>
      <c r="D678" s="32">
        <v>4</v>
      </c>
      <c r="E678" s="32">
        <v>28</v>
      </c>
      <c r="F678" s="12">
        <v>55.1</v>
      </c>
      <c r="G678">
        <v>54.963582616178996</v>
      </c>
      <c r="Q678" s="17">
        <v>676</v>
      </c>
      <c r="R678" s="6">
        <v>2.3924699999999999</v>
      </c>
      <c r="S678" s="6">
        <v>3.0634000000000001</v>
      </c>
      <c r="T678" s="6">
        <v>2.3047</v>
      </c>
      <c r="U678" s="6">
        <v>328</v>
      </c>
      <c r="W678" s="17">
        <v>676</v>
      </c>
      <c r="X678" s="6">
        <v>4.5339</v>
      </c>
      <c r="Y678" s="6">
        <v>3.0634000000000001</v>
      </c>
      <c r="Z678" s="6">
        <v>2.3047</v>
      </c>
      <c r="AA678" s="6">
        <v>328</v>
      </c>
      <c r="AN678" s="17">
        <v>675</v>
      </c>
      <c r="AO678" s="6">
        <v>1.0707500000000001</v>
      </c>
      <c r="AP678" s="19">
        <v>-0.41599999999999998</v>
      </c>
      <c r="AQ678" s="6">
        <v>0.54430000000000001</v>
      </c>
      <c r="AR678" s="6">
        <v>328</v>
      </c>
      <c r="AT678" s="17">
        <v>675</v>
      </c>
      <c r="AU678" s="6">
        <v>0.56501999999999997</v>
      </c>
      <c r="AV678" s="19">
        <v>-0.41599999999999998</v>
      </c>
      <c r="AW678" s="6">
        <v>0.54430000000000001</v>
      </c>
      <c r="AX678" s="6">
        <v>328</v>
      </c>
    </row>
    <row r="679" spans="1:50" x14ac:dyDescent="0.25">
      <c r="A679" s="31" t="s">
        <v>116</v>
      </c>
      <c r="B679" s="32">
        <v>2</v>
      </c>
      <c r="C679" s="32">
        <v>10</v>
      </c>
      <c r="D679" s="32">
        <v>7</v>
      </c>
      <c r="E679" s="32">
        <v>28</v>
      </c>
      <c r="F679" s="12">
        <v>55.5</v>
      </c>
      <c r="G679">
        <v>58.476480497565205</v>
      </c>
      <c r="Q679" s="17">
        <v>677</v>
      </c>
      <c r="R679" s="6">
        <v>2.3951600000000002</v>
      </c>
      <c r="S679" s="6">
        <v>3.1812999999999998</v>
      </c>
      <c r="T679" s="6">
        <v>2.3073000000000001</v>
      </c>
      <c r="U679" s="6">
        <v>328</v>
      </c>
      <c r="W679" s="17">
        <v>677</v>
      </c>
      <c r="X679" s="6">
        <v>4.5389799999999996</v>
      </c>
      <c r="Y679" s="6">
        <v>3.1812999999999998</v>
      </c>
      <c r="Z679" s="6">
        <v>2.3073000000000001</v>
      </c>
      <c r="AA679" s="6">
        <v>328</v>
      </c>
      <c r="AN679" s="17">
        <v>676</v>
      </c>
      <c r="AO679" s="6">
        <v>1.0753200000000001</v>
      </c>
      <c r="AP679" s="19">
        <v>-0.40920000000000001</v>
      </c>
      <c r="AQ679" s="6">
        <v>0.54659999999999997</v>
      </c>
      <c r="AR679" s="6">
        <v>328</v>
      </c>
      <c r="AT679" s="17">
        <v>676</v>
      </c>
      <c r="AU679" s="6">
        <v>0.56742999999999999</v>
      </c>
      <c r="AV679" s="19">
        <v>-0.40920000000000001</v>
      </c>
      <c r="AW679" s="6">
        <v>0.54659999999999997</v>
      </c>
      <c r="AX679" s="6">
        <v>328</v>
      </c>
    </row>
    <row r="680" spans="1:50" x14ac:dyDescent="0.25">
      <c r="A680" s="31" t="s">
        <v>116</v>
      </c>
      <c r="B680" s="32">
        <v>3</v>
      </c>
      <c r="C680" s="32">
        <v>3</v>
      </c>
      <c r="D680" s="32">
        <v>10</v>
      </c>
      <c r="E680" s="32">
        <v>28</v>
      </c>
      <c r="F680" s="12">
        <v>55.8</v>
      </c>
      <c r="G680">
        <v>59.626095558223284</v>
      </c>
      <c r="Q680" s="17">
        <v>678</v>
      </c>
      <c r="R680" s="6">
        <v>2.4011499999999999</v>
      </c>
      <c r="S680" s="19">
        <v>-5.4424999999999999</v>
      </c>
      <c r="T680" s="6">
        <v>2.3130999999999999</v>
      </c>
      <c r="U680" s="6">
        <v>328</v>
      </c>
      <c r="W680" s="17">
        <v>678</v>
      </c>
      <c r="X680" s="6">
        <v>4.5503499999999999</v>
      </c>
      <c r="Y680" s="19">
        <v>-5.4424999999999999</v>
      </c>
      <c r="Z680" s="6">
        <v>2.3130999999999999</v>
      </c>
      <c r="AA680" s="6">
        <v>328</v>
      </c>
      <c r="AN680" s="17">
        <v>677</v>
      </c>
      <c r="AO680" s="6">
        <v>1.0744100000000001</v>
      </c>
      <c r="AP680" s="6">
        <v>0.1573</v>
      </c>
      <c r="AQ680" s="6">
        <v>0.54620000000000002</v>
      </c>
      <c r="AR680" s="6">
        <v>328</v>
      </c>
      <c r="AT680" s="17">
        <v>677</v>
      </c>
      <c r="AU680" s="6">
        <v>0.56694999999999995</v>
      </c>
      <c r="AV680" s="6">
        <v>0.1573</v>
      </c>
      <c r="AW680" s="6">
        <v>0.54620000000000002</v>
      </c>
      <c r="AX680" s="6">
        <v>328</v>
      </c>
    </row>
    <row r="681" spans="1:50" x14ac:dyDescent="0.25">
      <c r="A681" s="34" t="s">
        <v>97</v>
      </c>
      <c r="B681" s="35">
        <v>1</v>
      </c>
      <c r="C681" s="35">
        <v>3</v>
      </c>
      <c r="D681" s="35">
        <v>1</v>
      </c>
      <c r="E681" s="35">
        <v>28</v>
      </c>
      <c r="F681" s="2">
        <v>59</v>
      </c>
      <c r="G681">
        <v>83.327168571428558</v>
      </c>
      <c r="Q681" s="17">
        <v>679</v>
      </c>
      <c r="R681" s="6">
        <v>2.3874599999999999</v>
      </c>
      <c r="S681" s="19">
        <v>-1.7767999999999999</v>
      </c>
      <c r="T681" s="6">
        <v>2.2999000000000001</v>
      </c>
      <c r="U681" s="6">
        <v>328</v>
      </c>
      <c r="W681" s="17">
        <v>679</v>
      </c>
      <c r="X681" s="6">
        <v>4.5244</v>
      </c>
      <c r="Y681" s="19">
        <v>-1.7767999999999999</v>
      </c>
      <c r="Z681" s="6">
        <v>2.2999000000000001</v>
      </c>
      <c r="AA681" s="6">
        <v>328</v>
      </c>
      <c r="AN681" s="17">
        <v>678</v>
      </c>
      <c r="AO681" s="6">
        <v>1.0773900000000001</v>
      </c>
      <c r="AP681" s="19">
        <v>-2.2321</v>
      </c>
      <c r="AQ681" s="6">
        <v>0.54769999999999996</v>
      </c>
      <c r="AR681" s="6">
        <v>328</v>
      </c>
      <c r="AT681" s="17">
        <v>678</v>
      </c>
      <c r="AU681" s="6">
        <v>0.56852000000000003</v>
      </c>
      <c r="AV681" s="19">
        <v>-2.2321</v>
      </c>
      <c r="AW681" s="6">
        <v>0.54769999999999996</v>
      </c>
      <c r="AX681" s="6">
        <v>328</v>
      </c>
    </row>
    <row r="682" spans="1:50" x14ac:dyDescent="0.25">
      <c r="A682" s="34" t="s">
        <v>97</v>
      </c>
      <c r="B682" s="35">
        <v>2</v>
      </c>
      <c r="C682" s="35">
        <v>16</v>
      </c>
      <c r="D682" s="35">
        <v>3</v>
      </c>
      <c r="E682" s="35">
        <v>28</v>
      </c>
      <c r="F682" s="2">
        <v>58.5</v>
      </c>
      <c r="G682">
        <v>77.406787041954331</v>
      </c>
      <c r="Q682" s="17">
        <v>680</v>
      </c>
      <c r="R682" s="6">
        <v>2.40238</v>
      </c>
      <c r="S682" s="19">
        <v>-8.0570000000000003E-2</v>
      </c>
      <c r="T682" s="6">
        <v>2.3142999999999998</v>
      </c>
      <c r="U682" s="6">
        <v>328</v>
      </c>
      <c r="W682" s="17">
        <v>680</v>
      </c>
      <c r="X682" s="6">
        <v>4.55267</v>
      </c>
      <c r="Y682" s="19">
        <v>-8.0570000000000003E-2</v>
      </c>
      <c r="Z682" s="6">
        <v>2.3142999999999998</v>
      </c>
      <c r="AA682" s="6">
        <v>328</v>
      </c>
      <c r="AN682" s="17">
        <v>679</v>
      </c>
      <c r="AO682" s="6">
        <v>1.0681099999999999</v>
      </c>
      <c r="AP682" s="19">
        <v>-0.161</v>
      </c>
      <c r="AQ682" s="6">
        <v>0.54300000000000004</v>
      </c>
      <c r="AR682" s="6">
        <v>328</v>
      </c>
      <c r="AT682" s="17">
        <v>679</v>
      </c>
      <c r="AU682" s="6">
        <v>0.56362999999999996</v>
      </c>
      <c r="AV682" s="19">
        <v>-0.161</v>
      </c>
      <c r="AW682" s="6">
        <v>0.54300000000000004</v>
      </c>
      <c r="AX682" s="6">
        <v>328</v>
      </c>
    </row>
    <row r="683" spans="1:50" x14ac:dyDescent="0.25">
      <c r="A683" s="34" t="s">
        <v>97</v>
      </c>
      <c r="B683" s="35">
        <v>3</v>
      </c>
      <c r="C683" s="35">
        <v>7</v>
      </c>
      <c r="D683" s="35">
        <v>6</v>
      </c>
      <c r="E683" s="35">
        <v>28</v>
      </c>
      <c r="F683" s="2">
        <v>56.2</v>
      </c>
      <c r="G683">
        <v>78.902084207514775</v>
      </c>
      <c r="Q683" s="17">
        <v>681</v>
      </c>
      <c r="R683" s="6">
        <v>2.4063099999999999</v>
      </c>
      <c r="S683" s="19">
        <v>-1.4744999999999999</v>
      </c>
      <c r="T683" s="6">
        <v>2.3180000000000001</v>
      </c>
      <c r="U683" s="6">
        <v>328</v>
      </c>
      <c r="W683" s="17">
        <v>681</v>
      </c>
      <c r="X683" s="6">
        <v>4.5601200000000004</v>
      </c>
      <c r="Y683" s="19">
        <v>-1.4744999999999999</v>
      </c>
      <c r="Z683" s="6">
        <v>2.3180000000000001</v>
      </c>
      <c r="AA683" s="6">
        <v>328</v>
      </c>
      <c r="AN683" s="17">
        <v>680</v>
      </c>
      <c r="AO683" s="6">
        <v>1.08209</v>
      </c>
      <c r="AP683" s="6">
        <v>5.2330000000000002E-2</v>
      </c>
      <c r="AQ683" s="6">
        <v>0.55010000000000003</v>
      </c>
      <c r="AR683" s="6">
        <v>328</v>
      </c>
      <c r="AT683" s="17">
        <v>680</v>
      </c>
      <c r="AU683" s="6">
        <v>0.57099999999999995</v>
      </c>
      <c r="AV683" s="6">
        <v>5.2330000000000002E-2</v>
      </c>
      <c r="AW683" s="6">
        <v>0.55010000000000003</v>
      </c>
      <c r="AX683" s="6">
        <v>328</v>
      </c>
    </row>
    <row r="684" spans="1:50" x14ac:dyDescent="0.25">
      <c r="A684" s="31" t="s">
        <v>132</v>
      </c>
      <c r="B684" s="32">
        <v>1</v>
      </c>
      <c r="C684" s="32">
        <v>12</v>
      </c>
      <c r="D684" s="32">
        <v>1</v>
      </c>
      <c r="E684" s="32">
        <v>28</v>
      </c>
      <c r="F684" s="2">
        <v>58.7</v>
      </c>
      <c r="G684">
        <v>65.198428233932788</v>
      </c>
      <c r="Q684" s="17">
        <v>682</v>
      </c>
      <c r="R684" s="6">
        <v>2.3939699999999999</v>
      </c>
      <c r="S684" s="19">
        <v>-0.4078</v>
      </c>
      <c r="T684" s="6">
        <v>2.3062</v>
      </c>
      <c r="U684" s="6">
        <v>328</v>
      </c>
      <c r="W684" s="17">
        <v>682</v>
      </c>
      <c r="X684" s="6">
        <v>4.5367300000000004</v>
      </c>
      <c r="Y684" s="19">
        <v>-0.4078</v>
      </c>
      <c r="Z684" s="6">
        <v>2.3062</v>
      </c>
      <c r="AA684" s="6">
        <v>328</v>
      </c>
      <c r="AN684" s="17">
        <v>681</v>
      </c>
      <c r="AO684" s="6">
        <v>1.0851299999999999</v>
      </c>
      <c r="AP684" s="19">
        <v>-0.23680000000000001</v>
      </c>
      <c r="AQ684" s="6">
        <v>0.55159999999999998</v>
      </c>
      <c r="AR684" s="6">
        <v>328</v>
      </c>
      <c r="AT684" s="17">
        <v>681</v>
      </c>
      <c r="AU684" s="6">
        <v>0.5726</v>
      </c>
      <c r="AV684" s="19">
        <v>-0.23680000000000001</v>
      </c>
      <c r="AW684" s="6">
        <v>0.55159999999999998</v>
      </c>
      <c r="AX684" s="6">
        <v>328</v>
      </c>
    </row>
    <row r="685" spans="1:50" x14ac:dyDescent="0.25">
      <c r="A685" s="31" t="s">
        <v>132</v>
      </c>
      <c r="B685" s="32">
        <v>2</v>
      </c>
      <c r="C685" s="32">
        <v>9</v>
      </c>
      <c r="D685" s="32">
        <v>4</v>
      </c>
      <c r="E685" s="32">
        <v>28</v>
      </c>
      <c r="F685" s="2">
        <v>59.7</v>
      </c>
      <c r="G685">
        <v>69.421224489795932</v>
      </c>
      <c r="Q685" s="17">
        <v>683</v>
      </c>
      <c r="R685" s="6">
        <v>2.3901699999999999</v>
      </c>
      <c r="S685" s="19">
        <v>-1.9763999999999999</v>
      </c>
      <c r="T685" s="6">
        <v>2.3025000000000002</v>
      </c>
      <c r="U685" s="6">
        <v>328</v>
      </c>
      <c r="W685" s="17">
        <v>683</v>
      </c>
      <c r="X685" s="6">
        <v>4.5295500000000004</v>
      </c>
      <c r="Y685" s="19">
        <v>-1.9763999999999999</v>
      </c>
      <c r="Z685" s="6">
        <v>2.3025000000000002</v>
      </c>
      <c r="AA685" s="6">
        <v>328</v>
      </c>
      <c r="AN685" s="17">
        <v>682</v>
      </c>
      <c r="AO685" s="6">
        <v>1.07707</v>
      </c>
      <c r="AP685" s="19">
        <v>-1.3172999999999999</v>
      </c>
      <c r="AQ685" s="6">
        <v>0.54749999999999999</v>
      </c>
      <c r="AR685" s="6">
        <v>328</v>
      </c>
      <c r="AT685" s="17">
        <v>682</v>
      </c>
      <c r="AU685" s="6">
        <v>0.56835000000000002</v>
      </c>
      <c r="AV685" s="19">
        <v>-1.3172999999999999</v>
      </c>
      <c r="AW685" s="6">
        <v>0.54749999999999999</v>
      </c>
      <c r="AX685" s="6">
        <v>328</v>
      </c>
    </row>
    <row r="686" spans="1:50" x14ac:dyDescent="0.25">
      <c r="A686" s="31" t="s">
        <v>132</v>
      </c>
      <c r="B686" s="32">
        <v>3</v>
      </c>
      <c r="C686" s="32">
        <v>4</v>
      </c>
      <c r="D686" s="32">
        <v>6</v>
      </c>
      <c r="E686" s="32">
        <v>28</v>
      </c>
      <c r="F686" s="12">
        <v>56.9</v>
      </c>
      <c r="G686">
        <v>64.925581395348829</v>
      </c>
      <c r="Q686" s="17">
        <v>684</v>
      </c>
      <c r="R686" s="6">
        <v>2.3903400000000001</v>
      </c>
      <c r="S686" s="19">
        <v>-1.4733000000000001</v>
      </c>
      <c r="T686" s="6">
        <v>2.3027000000000002</v>
      </c>
      <c r="U686" s="6">
        <v>328</v>
      </c>
      <c r="W686" s="17">
        <v>684</v>
      </c>
      <c r="X686" s="6">
        <v>4.5298699999999998</v>
      </c>
      <c r="Y686" s="19">
        <v>-1.4733000000000001</v>
      </c>
      <c r="Z686" s="6">
        <v>2.3027000000000002</v>
      </c>
      <c r="AA686" s="6">
        <v>328</v>
      </c>
      <c r="AN686" s="17">
        <v>683</v>
      </c>
      <c r="AO686" s="6">
        <v>1.0706599999999999</v>
      </c>
      <c r="AP686" s="19">
        <v>-0.9778</v>
      </c>
      <c r="AQ686" s="6">
        <v>0.54430000000000001</v>
      </c>
      <c r="AR686" s="6">
        <v>328</v>
      </c>
      <c r="AT686" s="17">
        <v>683</v>
      </c>
      <c r="AU686" s="6">
        <v>0.56496999999999997</v>
      </c>
      <c r="AV686" s="19">
        <v>-0.9778</v>
      </c>
      <c r="AW686" s="6">
        <v>0.54430000000000001</v>
      </c>
      <c r="AX686" s="6">
        <v>328</v>
      </c>
    </row>
    <row r="687" spans="1:50" x14ac:dyDescent="0.25">
      <c r="A687" s="31" t="s">
        <v>13</v>
      </c>
      <c r="B687" s="32">
        <v>1</v>
      </c>
      <c r="C687" s="36">
        <v>14</v>
      </c>
      <c r="D687" s="36">
        <v>1</v>
      </c>
      <c r="E687" s="32">
        <v>28</v>
      </c>
      <c r="F687" s="12">
        <v>56.2</v>
      </c>
      <c r="G687">
        <v>56.801249999999996</v>
      </c>
      <c r="Q687" s="17">
        <v>685</v>
      </c>
      <c r="R687" s="6">
        <v>2.4015300000000002</v>
      </c>
      <c r="S687" s="6">
        <v>5.8238000000000003</v>
      </c>
      <c r="T687" s="6">
        <v>2.3134000000000001</v>
      </c>
      <c r="U687" s="6">
        <v>328</v>
      </c>
      <c r="W687" s="17">
        <v>685</v>
      </c>
      <c r="X687" s="6">
        <v>4.5510599999999997</v>
      </c>
      <c r="Y687" s="6">
        <v>5.8238000000000003</v>
      </c>
      <c r="Z687" s="6">
        <v>2.3134000000000001</v>
      </c>
      <c r="AA687" s="6">
        <v>328</v>
      </c>
      <c r="AN687" s="17">
        <v>684</v>
      </c>
      <c r="AO687" s="6">
        <v>1.0718399999999999</v>
      </c>
      <c r="AP687" s="19">
        <v>-1.5046999999999999</v>
      </c>
      <c r="AQ687" s="6">
        <v>0.54479999999999995</v>
      </c>
      <c r="AR687" s="6">
        <v>328</v>
      </c>
      <c r="AT687" s="17">
        <v>684</v>
      </c>
      <c r="AU687" s="6">
        <v>0.56559000000000004</v>
      </c>
      <c r="AV687" s="19">
        <v>-1.5046999999999999</v>
      </c>
      <c r="AW687" s="6">
        <v>0.54479999999999995</v>
      </c>
      <c r="AX687" s="6">
        <v>328</v>
      </c>
    </row>
    <row r="688" spans="1:50" x14ac:dyDescent="0.25">
      <c r="A688" s="31" t="s">
        <v>13</v>
      </c>
      <c r="B688" s="32">
        <v>2</v>
      </c>
      <c r="C688" s="36">
        <v>12</v>
      </c>
      <c r="D688" s="36">
        <v>3</v>
      </c>
      <c r="E688" s="32">
        <v>28</v>
      </c>
      <c r="F688" s="12">
        <v>56.9</v>
      </c>
      <c r="G688">
        <v>71.055104999999983</v>
      </c>
      <c r="Q688" s="17">
        <v>686</v>
      </c>
      <c r="R688" s="6">
        <v>2.3946299999999998</v>
      </c>
      <c r="S688" s="6">
        <v>0.33100000000000002</v>
      </c>
      <c r="T688" s="6">
        <v>2.3068</v>
      </c>
      <c r="U688" s="6">
        <v>328</v>
      </c>
      <c r="W688" s="17">
        <v>686</v>
      </c>
      <c r="X688" s="6">
        <v>4.5379899999999997</v>
      </c>
      <c r="Y688" s="6">
        <v>0.33100000000000002</v>
      </c>
      <c r="Z688" s="6">
        <v>2.3068</v>
      </c>
      <c r="AA688" s="6">
        <v>328</v>
      </c>
      <c r="AN688" s="17">
        <v>685</v>
      </c>
      <c r="AO688" s="6">
        <v>1.0843</v>
      </c>
      <c r="AP688" s="6">
        <v>0.28510000000000002</v>
      </c>
      <c r="AQ688" s="6">
        <v>0.55120000000000002</v>
      </c>
      <c r="AR688" s="6">
        <v>328</v>
      </c>
      <c r="AT688" s="17">
        <v>685</v>
      </c>
      <c r="AU688" s="6">
        <v>0.57216999999999996</v>
      </c>
      <c r="AV688" s="6">
        <v>0.28510000000000002</v>
      </c>
      <c r="AW688" s="6">
        <v>0.55120000000000002</v>
      </c>
      <c r="AX688" s="6">
        <v>328</v>
      </c>
    </row>
    <row r="689" spans="1:50" x14ac:dyDescent="0.25">
      <c r="A689" s="31" t="s">
        <v>13</v>
      </c>
      <c r="B689" s="32">
        <v>3</v>
      </c>
      <c r="C689" s="36">
        <v>11</v>
      </c>
      <c r="D689" s="36">
        <v>5</v>
      </c>
      <c r="E689" s="32">
        <v>28</v>
      </c>
      <c r="F689" s="12">
        <v>56.5</v>
      </c>
      <c r="G689">
        <v>60.86849999999999</v>
      </c>
      <c r="Q689" s="17">
        <v>687</v>
      </c>
      <c r="R689" s="6">
        <v>2.39385</v>
      </c>
      <c r="S689" s="6">
        <v>10.0496</v>
      </c>
      <c r="T689" s="6">
        <v>2.3060999999999998</v>
      </c>
      <c r="U689" s="6">
        <v>328</v>
      </c>
      <c r="W689" s="17">
        <v>687</v>
      </c>
      <c r="X689" s="6">
        <v>4.5365200000000003</v>
      </c>
      <c r="Y689" s="6">
        <v>10.0496</v>
      </c>
      <c r="Z689" s="6">
        <v>2.3060999999999998</v>
      </c>
      <c r="AA689" s="6">
        <v>328</v>
      </c>
      <c r="AN689" s="17">
        <v>686</v>
      </c>
      <c r="AO689" s="6">
        <v>1.0746</v>
      </c>
      <c r="AP689" s="19">
        <v>-1.4335</v>
      </c>
      <c r="AQ689" s="6">
        <v>0.54630000000000001</v>
      </c>
      <c r="AR689" s="6">
        <v>328</v>
      </c>
      <c r="AT689" s="17">
        <v>686</v>
      </c>
      <c r="AU689" s="6">
        <v>0.56705000000000005</v>
      </c>
      <c r="AV689" s="19">
        <v>-1.4335</v>
      </c>
      <c r="AW689" s="6">
        <v>0.54630000000000001</v>
      </c>
      <c r="AX689" s="6">
        <v>328</v>
      </c>
    </row>
    <row r="690" spans="1:50" x14ac:dyDescent="0.25">
      <c r="A690" t="s">
        <v>7</v>
      </c>
      <c r="B690" s="11">
        <v>1</v>
      </c>
      <c r="C690" s="11">
        <v>13</v>
      </c>
      <c r="D690" s="11">
        <v>2</v>
      </c>
      <c r="E690" s="11">
        <v>28</v>
      </c>
      <c r="F690" s="12">
        <v>54.5</v>
      </c>
      <c r="G690">
        <v>37.490152980877383</v>
      </c>
      <c r="Q690" s="17">
        <v>688</v>
      </c>
      <c r="R690" s="6">
        <v>2.38001</v>
      </c>
      <c r="S690" s="6">
        <v>5.2728000000000002</v>
      </c>
      <c r="T690" s="6">
        <v>2.2927</v>
      </c>
      <c r="U690" s="6">
        <v>328</v>
      </c>
      <c r="W690" s="17">
        <v>688</v>
      </c>
      <c r="X690" s="6">
        <v>4.5102799999999998</v>
      </c>
      <c r="Y690" s="6">
        <v>5.2728000000000002</v>
      </c>
      <c r="Z690" s="6">
        <v>2.2927</v>
      </c>
      <c r="AA690" s="6">
        <v>328</v>
      </c>
      <c r="AN690" s="17">
        <v>687</v>
      </c>
      <c r="AO690" s="6">
        <v>1.07935</v>
      </c>
      <c r="AP690" s="6">
        <v>1.0774999999999999</v>
      </c>
      <c r="AQ690" s="6">
        <v>0.54869999999999997</v>
      </c>
      <c r="AR690" s="6">
        <v>328</v>
      </c>
      <c r="AT690" s="17">
        <v>687</v>
      </c>
      <c r="AU690" s="6">
        <v>0.56955999999999996</v>
      </c>
      <c r="AV690" s="6">
        <v>1.0774999999999999</v>
      </c>
      <c r="AW690" s="6">
        <v>0.54869999999999997</v>
      </c>
      <c r="AX690" s="6">
        <v>328</v>
      </c>
    </row>
    <row r="691" spans="1:50" x14ac:dyDescent="0.25">
      <c r="A691" t="s">
        <v>7</v>
      </c>
      <c r="B691" s="11">
        <v>2</v>
      </c>
      <c r="C691" s="11">
        <v>6</v>
      </c>
      <c r="D691" s="11">
        <v>7</v>
      </c>
      <c r="E691" s="11">
        <v>28</v>
      </c>
      <c r="F691" s="12">
        <v>50.6</v>
      </c>
      <c r="G691">
        <v>40.006298657718119</v>
      </c>
      <c r="Q691" s="17">
        <v>689</v>
      </c>
      <c r="R691" s="6">
        <v>2.3936099999999998</v>
      </c>
      <c r="S691" s="19">
        <v>-0.70569999999999999</v>
      </c>
      <c r="T691" s="6">
        <v>2.3058000000000001</v>
      </c>
      <c r="U691" s="6">
        <v>328</v>
      </c>
      <c r="W691" s="17">
        <v>689</v>
      </c>
      <c r="X691" s="6">
        <v>4.53606</v>
      </c>
      <c r="Y691" s="19">
        <v>-0.70569999999999999</v>
      </c>
      <c r="Z691" s="6">
        <v>2.3058000000000001</v>
      </c>
      <c r="AA691" s="6">
        <v>328</v>
      </c>
      <c r="AN691" s="17">
        <v>688</v>
      </c>
      <c r="AO691" s="6">
        <v>1.0706800000000001</v>
      </c>
      <c r="AP691" s="6">
        <v>0.2059</v>
      </c>
      <c r="AQ691" s="6">
        <v>0.54430000000000001</v>
      </c>
      <c r="AR691" s="6">
        <v>328</v>
      </c>
      <c r="AT691" s="17">
        <v>688</v>
      </c>
      <c r="AU691" s="6">
        <v>0.56498000000000004</v>
      </c>
      <c r="AV691" s="6">
        <v>0.2059</v>
      </c>
      <c r="AW691" s="6">
        <v>0.54430000000000001</v>
      </c>
      <c r="AX691" s="6">
        <v>328</v>
      </c>
    </row>
    <row r="692" spans="1:50" x14ac:dyDescent="0.25">
      <c r="A692" t="s">
        <v>7</v>
      </c>
      <c r="B692" s="11">
        <v>3</v>
      </c>
      <c r="C692" s="11">
        <v>2</v>
      </c>
      <c r="D692" s="11">
        <v>9</v>
      </c>
      <c r="E692" s="11">
        <v>28</v>
      </c>
      <c r="F692" s="12">
        <v>49.4</v>
      </c>
      <c r="G692">
        <v>37.942276391181885</v>
      </c>
      <c r="Q692" s="17">
        <v>690</v>
      </c>
      <c r="R692" s="6">
        <v>2.4026900000000002</v>
      </c>
      <c r="S692" s="6">
        <v>1.2959000000000001</v>
      </c>
      <c r="T692" s="6">
        <v>2.3146</v>
      </c>
      <c r="U692" s="6">
        <v>328</v>
      </c>
      <c r="W692" s="17">
        <v>690</v>
      </c>
      <c r="X692" s="6">
        <v>4.5532599999999999</v>
      </c>
      <c r="Y692" s="6">
        <v>1.2959000000000001</v>
      </c>
      <c r="Z692" s="6">
        <v>2.3146</v>
      </c>
      <c r="AA692" s="6">
        <v>328</v>
      </c>
      <c r="AN692" s="17">
        <v>689</v>
      </c>
      <c r="AO692" s="6">
        <v>1.0764100000000001</v>
      </c>
      <c r="AP692" s="19">
        <v>-0.2419</v>
      </c>
      <c r="AQ692" s="6">
        <v>0.54720000000000002</v>
      </c>
      <c r="AR692" s="6">
        <v>328</v>
      </c>
      <c r="AT692" s="17">
        <v>689</v>
      </c>
      <c r="AU692" s="6">
        <v>0.56801000000000001</v>
      </c>
      <c r="AV692" s="19">
        <v>-0.2419</v>
      </c>
      <c r="AW692" s="6">
        <v>0.54720000000000002</v>
      </c>
      <c r="AX692" s="6">
        <v>328</v>
      </c>
    </row>
    <row r="693" spans="1:50" x14ac:dyDescent="0.25">
      <c r="A693" s="31" t="s">
        <v>156</v>
      </c>
      <c r="B693" s="32">
        <v>1</v>
      </c>
      <c r="C693" s="32">
        <v>25</v>
      </c>
      <c r="D693" s="32">
        <v>1</v>
      </c>
      <c r="E693" s="32">
        <v>28</v>
      </c>
      <c r="F693" s="12">
        <v>55.2</v>
      </c>
      <c r="G693">
        <v>45.142014367677554</v>
      </c>
      <c r="Q693" s="17">
        <v>691</v>
      </c>
      <c r="R693" s="6">
        <v>2.40916</v>
      </c>
      <c r="S693" s="6">
        <v>6.9217000000000004</v>
      </c>
      <c r="T693" s="6">
        <v>2.3208000000000002</v>
      </c>
      <c r="U693" s="6">
        <v>328</v>
      </c>
      <c r="W693" s="17">
        <v>691</v>
      </c>
      <c r="X693" s="6">
        <v>4.5655299999999999</v>
      </c>
      <c r="Y693" s="6">
        <v>6.9217000000000004</v>
      </c>
      <c r="Z693" s="6">
        <v>2.3208000000000002</v>
      </c>
      <c r="AA693" s="6">
        <v>328</v>
      </c>
      <c r="AN693" s="17">
        <v>690</v>
      </c>
      <c r="AO693" s="6">
        <v>1.08263</v>
      </c>
      <c r="AP693" s="19">
        <v>-0.24410000000000001</v>
      </c>
      <c r="AQ693" s="6">
        <v>0.55030000000000001</v>
      </c>
      <c r="AR693" s="6">
        <v>328</v>
      </c>
      <c r="AT693" s="17">
        <v>690</v>
      </c>
      <c r="AU693" s="6">
        <v>0.57128999999999996</v>
      </c>
      <c r="AV693" s="19">
        <v>-0.24410000000000001</v>
      </c>
      <c r="AW693" s="6">
        <v>0.55030000000000001</v>
      </c>
      <c r="AX693" s="6">
        <v>328</v>
      </c>
    </row>
    <row r="694" spans="1:50" x14ac:dyDescent="0.25">
      <c r="A694" s="31" t="s">
        <v>156</v>
      </c>
      <c r="B694" s="32">
        <v>2</v>
      </c>
      <c r="C694" s="32">
        <v>4</v>
      </c>
      <c r="D694" s="32">
        <v>4</v>
      </c>
      <c r="E694" s="32">
        <v>28</v>
      </c>
      <c r="F694" s="12">
        <v>52.8</v>
      </c>
      <c r="G694">
        <v>30.528291469541038</v>
      </c>
      <c r="Q694" s="17">
        <v>692</v>
      </c>
      <c r="R694" s="6">
        <v>2.4045899999999998</v>
      </c>
      <c r="S694" s="6">
        <v>9.6222999999999992</v>
      </c>
      <c r="T694" s="6">
        <v>2.3163999999999998</v>
      </c>
      <c r="U694" s="6">
        <v>328</v>
      </c>
      <c r="W694" s="17">
        <v>692</v>
      </c>
      <c r="X694" s="6">
        <v>4.55687</v>
      </c>
      <c r="Y694" s="6">
        <v>9.6222999999999992</v>
      </c>
      <c r="Z694" s="6">
        <v>2.3163999999999998</v>
      </c>
      <c r="AA694" s="6">
        <v>328</v>
      </c>
      <c r="AN694" s="17">
        <v>691</v>
      </c>
      <c r="AO694" s="6">
        <v>1.07728</v>
      </c>
      <c r="AP694" s="19">
        <v>-2.6579999999999999E-2</v>
      </c>
      <c r="AQ694" s="6">
        <v>0.54759999999999998</v>
      </c>
      <c r="AR694" s="6">
        <v>328</v>
      </c>
      <c r="AT694" s="17">
        <v>691</v>
      </c>
      <c r="AU694" s="6">
        <v>0.56847000000000003</v>
      </c>
      <c r="AV694" s="19">
        <v>-2.6579999999999999E-2</v>
      </c>
      <c r="AW694" s="6">
        <v>0.54759999999999998</v>
      </c>
      <c r="AX694" s="6">
        <v>328</v>
      </c>
    </row>
    <row r="695" spans="1:50" x14ac:dyDescent="0.25">
      <c r="A695" s="31" t="s">
        <v>156</v>
      </c>
      <c r="B695" s="32">
        <v>3</v>
      </c>
      <c r="C695" s="32">
        <v>21</v>
      </c>
      <c r="D695" s="32">
        <v>6</v>
      </c>
      <c r="E695" s="32">
        <v>28</v>
      </c>
      <c r="F695" s="12">
        <v>55.4</v>
      </c>
      <c r="G695">
        <v>49.735292205606576</v>
      </c>
      <c r="Q695" s="17">
        <v>693</v>
      </c>
      <c r="R695" s="6">
        <v>2.3881100000000002</v>
      </c>
      <c r="S695" s="6">
        <v>8.6272000000000002</v>
      </c>
      <c r="T695" s="6">
        <v>2.3005</v>
      </c>
      <c r="U695" s="6">
        <v>328</v>
      </c>
      <c r="W695" s="17">
        <v>693</v>
      </c>
      <c r="X695" s="6">
        <v>4.52562</v>
      </c>
      <c r="Y695" s="6">
        <v>8.6272000000000002</v>
      </c>
      <c r="Z695" s="6">
        <v>2.3005</v>
      </c>
      <c r="AA695" s="6">
        <v>328</v>
      </c>
      <c r="AN695" s="17">
        <v>692</v>
      </c>
      <c r="AO695" s="6">
        <v>1.0821700000000001</v>
      </c>
      <c r="AP695" s="6">
        <v>1.3529</v>
      </c>
      <c r="AQ695" s="6">
        <v>0.55010000000000003</v>
      </c>
      <c r="AR695" s="6">
        <v>328</v>
      </c>
      <c r="AT695" s="17">
        <v>692</v>
      </c>
      <c r="AU695" s="6">
        <v>0.57103999999999999</v>
      </c>
      <c r="AV695" s="6">
        <v>1.3529</v>
      </c>
      <c r="AW695" s="6">
        <v>0.55010000000000003</v>
      </c>
      <c r="AX695" s="6">
        <v>328</v>
      </c>
    </row>
    <row r="696" spans="1:50" x14ac:dyDescent="0.25">
      <c r="A696" s="31" t="s">
        <v>10</v>
      </c>
      <c r="B696" s="32">
        <v>1</v>
      </c>
      <c r="C696" s="32">
        <v>7</v>
      </c>
      <c r="D696" s="32">
        <v>1</v>
      </c>
      <c r="E696" s="32">
        <v>28</v>
      </c>
      <c r="F696" s="2">
        <v>56.6</v>
      </c>
      <c r="G696">
        <v>53.842105263157876</v>
      </c>
      <c r="Q696" s="17">
        <v>694</v>
      </c>
      <c r="R696" s="6">
        <v>2.4001100000000002</v>
      </c>
      <c r="S696" s="6">
        <v>11.696099999999999</v>
      </c>
      <c r="T696" s="6">
        <v>2.3121</v>
      </c>
      <c r="U696" s="6">
        <v>328</v>
      </c>
      <c r="W696" s="17">
        <v>694</v>
      </c>
      <c r="X696" s="6">
        <v>4.5483700000000002</v>
      </c>
      <c r="Y696" s="6">
        <v>11.696099999999999</v>
      </c>
      <c r="Z696" s="6">
        <v>2.3121</v>
      </c>
      <c r="AA696" s="6">
        <v>328</v>
      </c>
      <c r="AN696" s="17">
        <v>693</v>
      </c>
      <c r="AO696" s="6">
        <v>1.0712999999999999</v>
      </c>
      <c r="AP696" s="19">
        <v>-0.12280000000000001</v>
      </c>
      <c r="AQ696" s="6">
        <v>0.54459999999999997</v>
      </c>
      <c r="AR696" s="6">
        <v>328</v>
      </c>
      <c r="AT696" s="17">
        <v>693</v>
      </c>
      <c r="AU696" s="6">
        <v>0.56530999999999998</v>
      </c>
      <c r="AV696" s="19">
        <v>-0.12280000000000001</v>
      </c>
      <c r="AW696" s="6">
        <v>0.54459999999999997</v>
      </c>
      <c r="AX696" s="6">
        <v>328</v>
      </c>
    </row>
    <row r="697" spans="1:50" x14ac:dyDescent="0.25">
      <c r="A697" s="31" t="s">
        <v>10</v>
      </c>
      <c r="B697" s="32">
        <v>2</v>
      </c>
      <c r="C697" s="32">
        <v>5</v>
      </c>
      <c r="D697" s="32">
        <v>6</v>
      </c>
      <c r="E697" s="32">
        <v>28</v>
      </c>
      <c r="F697" s="2">
        <v>58.7</v>
      </c>
      <c r="G697">
        <v>59.252447129909349</v>
      </c>
      <c r="Q697" s="17">
        <v>695</v>
      </c>
      <c r="R697" s="6">
        <v>2.4001899999999998</v>
      </c>
      <c r="S697" s="6">
        <v>11.814</v>
      </c>
      <c r="T697" s="6">
        <v>2.3121999999999998</v>
      </c>
      <c r="U697" s="6">
        <v>328</v>
      </c>
      <c r="W697" s="17">
        <v>695</v>
      </c>
      <c r="X697" s="6">
        <v>4.5485300000000004</v>
      </c>
      <c r="Y697" s="6">
        <v>11.814</v>
      </c>
      <c r="Z697" s="6">
        <v>2.3121999999999998</v>
      </c>
      <c r="AA697" s="6">
        <v>328</v>
      </c>
      <c r="AN697" s="17">
        <v>694</v>
      </c>
      <c r="AO697" s="6">
        <v>1.07986</v>
      </c>
      <c r="AP697" s="19">
        <v>-0.1159</v>
      </c>
      <c r="AQ697" s="6">
        <v>0.54890000000000005</v>
      </c>
      <c r="AR697" s="6">
        <v>328</v>
      </c>
      <c r="AT697" s="17">
        <v>694</v>
      </c>
      <c r="AU697" s="6">
        <v>0.56982999999999995</v>
      </c>
      <c r="AV697" s="19">
        <v>-0.1159</v>
      </c>
      <c r="AW697" s="6">
        <v>0.54890000000000005</v>
      </c>
      <c r="AX697" s="6">
        <v>328</v>
      </c>
    </row>
    <row r="698" spans="1:50" x14ac:dyDescent="0.25">
      <c r="A698" s="31" t="s">
        <v>10</v>
      </c>
      <c r="B698" s="32">
        <v>3</v>
      </c>
      <c r="C698" s="32">
        <v>13</v>
      </c>
      <c r="D698" s="32">
        <v>12</v>
      </c>
      <c r="E698" s="32">
        <v>28</v>
      </c>
      <c r="F698" s="2">
        <v>54.6</v>
      </c>
      <c r="G698">
        <v>55.801428571428552</v>
      </c>
      <c r="Q698" s="17">
        <v>696</v>
      </c>
      <c r="R698" s="6">
        <v>2.40503</v>
      </c>
      <c r="S698" s="6">
        <v>3.1901999999999999</v>
      </c>
      <c r="T698" s="6">
        <v>2.3168000000000002</v>
      </c>
      <c r="U698" s="6">
        <v>328</v>
      </c>
      <c r="W698" s="17">
        <v>696</v>
      </c>
      <c r="X698" s="6">
        <v>4.5576999999999996</v>
      </c>
      <c r="Y698" s="6">
        <v>3.1901999999999999</v>
      </c>
      <c r="Z698" s="6">
        <v>2.3168000000000002</v>
      </c>
      <c r="AA698" s="6">
        <v>328</v>
      </c>
      <c r="AN698" s="17">
        <v>695</v>
      </c>
      <c r="AO698" s="6">
        <v>1.0790999999999999</v>
      </c>
      <c r="AP698" s="6">
        <v>0.4506</v>
      </c>
      <c r="AQ698" s="6">
        <v>0.54849999999999999</v>
      </c>
      <c r="AR698" s="6">
        <v>328</v>
      </c>
      <c r="AT698" s="17">
        <v>695</v>
      </c>
      <c r="AU698" s="6">
        <v>0.56942999999999999</v>
      </c>
      <c r="AV698" s="6">
        <v>0.4506</v>
      </c>
      <c r="AW698" s="6">
        <v>0.54849999999999999</v>
      </c>
      <c r="AX698" s="6">
        <v>328</v>
      </c>
    </row>
    <row r="699" spans="1:50" x14ac:dyDescent="0.25">
      <c r="A699" s="31" t="s">
        <v>11</v>
      </c>
      <c r="B699" s="32">
        <v>1</v>
      </c>
      <c r="C699" s="32">
        <v>16</v>
      </c>
      <c r="D699" s="32">
        <v>2</v>
      </c>
      <c r="E699" s="11">
        <v>28</v>
      </c>
      <c r="F699" s="2">
        <v>60.4</v>
      </c>
      <c r="G699">
        <v>32.236871929737504</v>
      </c>
      <c r="Q699" s="17">
        <v>697</v>
      </c>
      <c r="R699" s="6">
        <v>2.3914</v>
      </c>
      <c r="S699" s="6">
        <v>6.8559000000000001</v>
      </c>
      <c r="T699" s="6">
        <v>2.3037000000000001</v>
      </c>
      <c r="U699" s="6">
        <v>328</v>
      </c>
      <c r="W699" s="17">
        <v>697</v>
      </c>
      <c r="X699" s="6">
        <v>4.5318699999999996</v>
      </c>
      <c r="Y699" s="6">
        <v>6.8559000000000001</v>
      </c>
      <c r="Z699" s="6">
        <v>2.3037000000000001</v>
      </c>
      <c r="AA699" s="6">
        <v>328</v>
      </c>
      <c r="AN699" s="17">
        <v>696</v>
      </c>
      <c r="AO699" s="6">
        <v>1.07958</v>
      </c>
      <c r="AP699" s="19">
        <v>-1.9389000000000001</v>
      </c>
      <c r="AQ699" s="6">
        <v>0.54879999999999995</v>
      </c>
      <c r="AR699" s="6">
        <v>328</v>
      </c>
      <c r="AT699" s="17">
        <v>696</v>
      </c>
      <c r="AU699" s="6">
        <v>0.56967999999999996</v>
      </c>
      <c r="AV699" s="19">
        <v>-1.9389000000000001</v>
      </c>
      <c r="AW699" s="6">
        <v>0.54879999999999995</v>
      </c>
      <c r="AX699" s="6">
        <v>328</v>
      </c>
    </row>
    <row r="700" spans="1:50" x14ac:dyDescent="0.25">
      <c r="A700" s="31" t="s">
        <v>11</v>
      </c>
      <c r="B700" s="32">
        <v>2</v>
      </c>
      <c r="C700" s="32">
        <v>17</v>
      </c>
      <c r="D700" s="32">
        <v>5</v>
      </c>
      <c r="E700" s="11">
        <v>28</v>
      </c>
      <c r="F700" s="2">
        <v>61.7</v>
      </c>
      <c r="G700">
        <v>26.77542023849432</v>
      </c>
      <c r="Q700" s="17">
        <v>698</v>
      </c>
      <c r="R700" s="6">
        <v>2.4083600000000001</v>
      </c>
      <c r="S700" s="6">
        <v>8.5520999999999994</v>
      </c>
      <c r="T700" s="6">
        <v>2.3199999999999998</v>
      </c>
      <c r="U700" s="6">
        <v>328</v>
      </c>
      <c r="W700" s="17">
        <v>698</v>
      </c>
      <c r="X700" s="6">
        <v>4.5640099999999997</v>
      </c>
      <c r="Y700" s="6">
        <v>8.5520999999999994</v>
      </c>
      <c r="Z700" s="6">
        <v>2.3199999999999998</v>
      </c>
      <c r="AA700" s="6">
        <v>328</v>
      </c>
      <c r="AN700" s="17">
        <v>697</v>
      </c>
      <c r="AO700" s="6">
        <v>1.07697</v>
      </c>
      <c r="AP700" s="6">
        <v>0.13220000000000001</v>
      </c>
      <c r="AQ700" s="6">
        <v>0.54749999999999999</v>
      </c>
      <c r="AR700" s="6">
        <v>328</v>
      </c>
      <c r="AT700" s="17">
        <v>697</v>
      </c>
      <c r="AU700" s="6">
        <v>0.56830000000000003</v>
      </c>
      <c r="AV700" s="6">
        <v>0.13220000000000001</v>
      </c>
      <c r="AW700" s="6">
        <v>0.54749999999999999</v>
      </c>
      <c r="AX700" s="6">
        <v>328</v>
      </c>
    </row>
    <row r="701" spans="1:50" x14ac:dyDescent="0.25">
      <c r="A701" s="31" t="s">
        <v>11</v>
      </c>
      <c r="B701" s="32">
        <v>3</v>
      </c>
      <c r="C701" s="32">
        <v>10</v>
      </c>
      <c r="D701" s="32">
        <v>8</v>
      </c>
      <c r="E701" s="11">
        <v>28</v>
      </c>
      <c r="F701" s="2">
        <v>60.2</v>
      </c>
      <c r="G701">
        <v>44.774512987012983</v>
      </c>
      <c r="Q701" s="17">
        <v>699</v>
      </c>
      <c r="R701" s="6">
        <v>2.4034599999999999</v>
      </c>
      <c r="S701" s="6">
        <v>7.1581999999999999</v>
      </c>
      <c r="T701" s="6">
        <v>2.3153000000000001</v>
      </c>
      <c r="U701" s="6">
        <v>328</v>
      </c>
      <c r="W701" s="17">
        <v>699</v>
      </c>
      <c r="X701" s="6">
        <v>4.5547199999999997</v>
      </c>
      <c r="Y701" s="6">
        <v>7.1581999999999999</v>
      </c>
      <c r="Z701" s="6">
        <v>2.3153000000000001</v>
      </c>
      <c r="AA701" s="6">
        <v>328</v>
      </c>
      <c r="AN701" s="17">
        <v>698</v>
      </c>
      <c r="AO701" s="6">
        <v>1.08633</v>
      </c>
      <c r="AP701" s="6">
        <v>0.34560000000000002</v>
      </c>
      <c r="AQ701" s="6">
        <v>0.55220000000000002</v>
      </c>
      <c r="AR701" s="6">
        <v>328</v>
      </c>
      <c r="AT701" s="17">
        <v>698</v>
      </c>
      <c r="AU701" s="6">
        <v>0.57323999999999997</v>
      </c>
      <c r="AV701" s="6">
        <v>0.34560000000000002</v>
      </c>
      <c r="AW701" s="6">
        <v>0.55220000000000002</v>
      </c>
      <c r="AX701" s="6">
        <v>328</v>
      </c>
    </row>
    <row r="702" spans="1:50" x14ac:dyDescent="0.25">
      <c r="A702" t="s">
        <v>160</v>
      </c>
      <c r="B702">
        <v>1</v>
      </c>
      <c r="C702" s="36">
        <v>2</v>
      </c>
      <c r="D702" s="36">
        <v>2</v>
      </c>
      <c r="E702" s="32">
        <v>28</v>
      </c>
      <c r="F702" s="13">
        <v>58.3</v>
      </c>
      <c r="G702">
        <v>95.417398547215484</v>
      </c>
      <c r="Q702" s="17">
        <v>700</v>
      </c>
      <c r="R702" s="6">
        <v>2.3978999999999999</v>
      </c>
      <c r="S702" s="6">
        <v>8.2248999999999999</v>
      </c>
      <c r="T702" s="6">
        <v>2.31</v>
      </c>
      <c r="U702" s="6">
        <v>328</v>
      </c>
      <c r="W702" s="17">
        <v>700</v>
      </c>
      <c r="X702" s="6">
        <v>4.5441900000000004</v>
      </c>
      <c r="Y702" s="6">
        <v>8.2248999999999999</v>
      </c>
      <c r="Z702" s="6">
        <v>2.31</v>
      </c>
      <c r="AA702" s="6">
        <v>328</v>
      </c>
      <c r="AN702" s="17">
        <v>699</v>
      </c>
      <c r="AO702" s="6">
        <v>1.0866</v>
      </c>
      <c r="AP702" s="6">
        <v>5.6460000000000003E-2</v>
      </c>
      <c r="AQ702" s="6">
        <v>0.5524</v>
      </c>
      <c r="AR702" s="6">
        <v>328</v>
      </c>
      <c r="AT702" s="17">
        <v>699</v>
      </c>
      <c r="AU702" s="6">
        <v>0.57338</v>
      </c>
      <c r="AV702" s="6">
        <v>5.6460000000000003E-2</v>
      </c>
      <c r="AW702" s="6">
        <v>0.5524</v>
      </c>
      <c r="AX702" s="6">
        <v>328</v>
      </c>
    </row>
    <row r="703" spans="1:50" x14ac:dyDescent="0.25">
      <c r="A703" t="s">
        <v>160</v>
      </c>
      <c r="B703">
        <v>2</v>
      </c>
      <c r="C703" s="36">
        <v>19</v>
      </c>
      <c r="D703" s="36">
        <v>3</v>
      </c>
      <c r="E703" s="32">
        <v>28</v>
      </c>
      <c r="F703" s="13">
        <v>58.7</v>
      </c>
      <c r="G703">
        <v>84.881422440220732</v>
      </c>
      <c r="Q703" s="17">
        <v>701</v>
      </c>
      <c r="R703" s="6">
        <v>2.3936099999999998</v>
      </c>
      <c r="S703" s="6">
        <v>6.6562999999999999</v>
      </c>
      <c r="T703" s="6">
        <v>2.3058000000000001</v>
      </c>
      <c r="U703" s="6">
        <v>328</v>
      </c>
      <c r="W703" s="17">
        <v>701</v>
      </c>
      <c r="X703" s="6">
        <v>4.53606</v>
      </c>
      <c r="Y703" s="6">
        <v>6.6562999999999999</v>
      </c>
      <c r="Z703" s="6">
        <v>2.3058000000000001</v>
      </c>
      <c r="AA703" s="6">
        <v>328</v>
      </c>
      <c r="AN703" s="17">
        <v>700</v>
      </c>
      <c r="AO703" s="6">
        <v>1.0801700000000001</v>
      </c>
      <c r="AP703" s="19">
        <v>-1.0241</v>
      </c>
      <c r="AQ703" s="6">
        <v>0.54910000000000003</v>
      </c>
      <c r="AR703" s="6">
        <v>328</v>
      </c>
      <c r="AT703" s="17">
        <v>700</v>
      </c>
      <c r="AU703" s="6">
        <v>0.56999</v>
      </c>
      <c r="AV703" s="19">
        <v>-1.0241</v>
      </c>
      <c r="AW703" s="6">
        <v>0.54910000000000003</v>
      </c>
      <c r="AX703" s="6">
        <v>328</v>
      </c>
    </row>
    <row r="704" spans="1:50" x14ac:dyDescent="0.25">
      <c r="A704" t="s">
        <v>160</v>
      </c>
      <c r="B704">
        <v>3</v>
      </c>
      <c r="C704" s="36">
        <v>6</v>
      </c>
      <c r="D704" s="36">
        <v>6</v>
      </c>
      <c r="E704" s="32">
        <v>28</v>
      </c>
      <c r="F704" s="13">
        <v>56.6</v>
      </c>
      <c r="G704">
        <v>81.881407985446174</v>
      </c>
      <c r="Q704" s="17">
        <v>702</v>
      </c>
      <c r="R704" s="6">
        <v>2.4012500000000001</v>
      </c>
      <c r="S704" s="6">
        <v>7.1593999999999998</v>
      </c>
      <c r="T704" s="6">
        <v>2.3132000000000001</v>
      </c>
      <c r="U704" s="6">
        <v>328</v>
      </c>
      <c r="W704" s="17">
        <v>702</v>
      </c>
      <c r="X704" s="6">
        <v>4.5505399999999998</v>
      </c>
      <c r="Y704" s="6">
        <v>7.1593999999999998</v>
      </c>
      <c r="Z704" s="6">
        <v>2.3132000000000001</v>
      </c>
      <c r="AA704" s="6">
        <v>328</v>
      </c>
      <c r="AN704" s="17">
        <v>701</v>
      </c>
      <c r="AO704" s="6">
        <v>1.0743199999999999</v>
      </c>
      <c r="AP704" s="19">
        <v>-0.6845</v>
      </c>
      <c r="AQ704" s="6">
        <v>0.54610000000000003</v>
      </c>
      <c r="AR704" s="6">
        <v>328</v>
      </c>
      <c r="AT704" s="17">
        <v>701</v>
      </c>
      <c r="AU704" s="6">
        <v>0.56689999999999996</v>
      </c>
      <c r="AV704" s="19">
        <v>-0.6845</v>
      </c>
      <c r="AW704" s="6">
        <v>0.54610000000000003</v>
      </c>
      <c r="AX704" s="6">
        <v>328</v>
      </c>
    </row>
    <row r="705" spans="1:50" x14ac:dyDescent="0.25">
      <c r="A705" s="31" t="s">
        <v>116</v>
      </c>
      <c r="B705" s="32">
        <v>1</v>
      </c>
      <c r="C705" s="32">
        <v>6</v>
      </c>
      <c r="D705" s="32">
        <v>3</v>
      </c>
      <c r="E705" s="32">
        <v>29</v>
      </c>
      <c r="F705" s="12">
        <v>55.9</v>
      </c>
      <c r="G705">
        <v>63.548449975786916</v>
      </c>
      <c r="Q705" s="17">
        <v>703</v>
      </c>
      <c r="R705" s="6">
        <v>2.4148000000000001</v>
      </c>
      <c r="S705" s="6">
        <v>14.4565</v>
      </c>
      <c r="T705" s="6">
        <v>2.3262</v>
      </c>
      <c r="U705" s="6">
        <v>328</v>
      </c>
      <c r="W705" s="17">
        <v>703</v>
      </c>
      <c r="X705" s="6">
        <v>4.5762200000000002</v>
      </c>
      <c r="Y705" s="6">
        <v>14.4565</v>
      </c>
      <c r="Z705" s="6">
        <v>2.3262</v>
      </c>
      <c r="AA705" s="6">
        <v>328</v>
      </c>
      <c r="AN705" s="17">
        <v>702</v>
      </c>
      <c r="AO705" s="6">
        <v>1.0783499999999999</v>
      </c>
      <c r="AP705" s="19">
        <v>-1.2114</v>
      </c>
      <c r="AQ705" s="6">
        <v>0.54820000000000002</v>
      </c>
      <c r="AR705" s="6">
        <v>328</v>
      </c>
      <c r="AT705" s="17">
        <v>702</v>
      </c>
      <c r="AU705" s="6">
        <v>0.56903000000000004</v>
      </c>
      <c r="AV705" s="19">
        <v>-1.2114</v>
      </c>
      <c r="AW705" s="6">
        <v>0.54820000000000002</v>
      </c>
      <c r="AX705" s="6">
        <v>328</v>
      </c>
    </row>
    <row r="706" spans="1:50" x14ac:dyDescent="0.25">
      <c r="A706" s="31" t="s">
        <v>116</v>
      </c>
      <c r="B706" s="32">
        <v>2</v>
      </c>
      <c r="C706" s="32">
        <v>7</v>
      </c>
      <c r="D706" s="32">
        <v>8</v>
      </c>
      <c r="E706" s="32">
        <v>29</v>
      </c>
      <c r="F706" s="12">
        <v>55.9</v>
      </c>
      <c r="G706">
        <v>65.814107573149727</v>
      </c>
      <c r="Q706" s="17">
        <v>704</v>
      </c>
      <c r="R706" s="6">
        <v>2.39791</v>
      </c>
      <c r="S706" s="6">
        <v>8.9636999999999993</v>
      </c>
      <c r="T706" s="6">
        <v>2.31</v>
      </c>
      <c r="U706" s="6">
        <v>328</v>
      </c>
      <c r="W706" s="17">
        <v>704</v>
      </c>
      <c r="X706" s="6">
        <v>4.5442</v>
      </c>
      <c r="Y706" s="6">
        <v>8.9636999999999993</v>
      </c>
      <c r="Z706" s="6">
        <v>2.31</v>
      </c>
      <c r="AA706" s="6">
        <v>328</v>
      </c>
      <c r="AN706" s="17">
        <v>703</v>
      </c>
      <c r="AO706" s="6">
        <v>1.0939099999999999</v>
      </c>
      <c r="AP706" s="6">
        <v>0.57840000000000003</v>
      </c>
      <c r="AQ706" s="6">
        <v>0.55610000000000004</v>
      </c>
      <c r="AR706" s="6">
        <v>328</v>
      </c>
      <c r="AT706" s="17">
        <v>703</v>
      </c>
      <c r="AU706" s="6">
        <v>0.57723999999999998</v>
      </c>
      <c r="AV706" s="6">
        <v>0.57840000000000003</v>
      </c>
      <c r="AW706" s="6">
        <v>0.55610000000000004</v>
      </c>
      <c r="AX706" s="6">
        <v>328</v>
      </c>
    </row>
    <row r="707" spans="1:50" x14ac:dyDescent="0.25">
      <c r="A707" s="31" t="s">
        <v>116</v>
      </c>
      <c r="B707" s="32">
        <v>3</v>
      </c>
      <c r="C707" s="32">
        <v>2</v>
      </c>
      <c r="D707" s="32">
        <v>12</v>
      </c>
      <c r="E707" s="32">
        <v>29</v>
      </c>
      <c r="F707" s="2">
        <v>58.7</v>
      </c>
      <c r="G707">
        <v>66.507432929782084</v>
      </c>
      <c r="Q707" s="17">
        <v>705</v>
      </c>
      <c r="R707" s="6">
        <v>2.3992900000000001</v>
      </c>
      <c r="S707" s="6">
        <v>18.682200000000002</v>
      </c>
      <c r="T707" s="6">
        <v>2.3113000000000001</v>
      </c>
      <c r="U707" s="6">
        <v>328</v>
      </c>
      <c r="W707" s="17">
        <v>705</v>
      </c>
      <c r="X707" s="6">
        <v>4.5468299999999999</v>
      </c>
      <c r="Y707" s="6">
        <v>18.682200000000002</v>
      </c>
      <c r="Z707" s="6">
        <v>2.3113000000000001</v>
      </c>
      <c r="AA707" s="6">
        <v>328</v>
      </c>
      <c r="AN707" s="17">
        <v>704</v>
      </c>
      <c r="AO707" s="6">
        <v>1.0806100000000001</v>
      </c>
      <c r="AP707" s="19">
        <v>-1.1402000000000001</v>
      </c>
      <c r="AQ707" s="6">
        <v>0.54930000000000001</v>
      </c>
      <c r="AR707" s="6">
        <v>328</v>
      </c>
      <c r="AT707" s="17">
        <v>704</v>
      </c>
      <c r="AU707" s="6">
        <v>0.57021999999999995</v>
      </c>
      <c r="AV707" s="19">
        <v>-1.1402000000000001</v>
      </c>
      <c r="AW707" s="6">
        <v>0.54930000000000001</v>
      </c>
      <c r="AX707" s="6">
        <v>328</v>
      </c>
    </row>
    <row r="708" spans="1:50" x14ac:dyDescent="0.25">
      <c r="A708" s="34" t="s">
        <v>97</v>
      </c>
      <c r="B708" s="35">
        <v>1</v>
      </c>
      <c r="C708" s="35">
        <v>8</v>
      </c>
      <c r="D708" s="35">
        <v>1</v>
      </c>
      <c r="E708" s="35">
        <v>29</v>
      </c>
      <c r="F708" s="2">
        <v>60.2</v>
      </c>
      <c r="G708">
        <v>69.954531428571428</v>
      </c>
      <c r="Q708" s="17">
        <v>706</v>
      </c>
      <c r="R708" s="6">
        <v>2.3991099999999999</v>
      </c>
      <c r="S708" s="6">
        <v>13.9055</v>
      </c>
      <c r="T708" s="6">
        <v>2.3111000000000002</v>
      </c>
      <c r="U708" s="6">
        <v>328</v>
      </c>
      <c r="W708" s="17">
        <v>706</v>
      </c>
      <c r="X708" s="6">
        <v>4.5464900000000004</v>
      </c>
      <c r="Y708" s="6">
        <v>13.9055</v>
      </c>
      <c r="Z708" s="6">
        <v>2.3111000000000002</v>
      </c>
      <c r="AA708" s="6">
        <v>328</v>
      </c>
      <c r="AN708" s="17">
        <v>705</v>
      </c>
      <c r="AO708" s="6">
        <v>1.0845499999999999</v>
      </c>
      <c r="AP708" s="6">
        <v>1.3708</v>
      </c>
      <c r="AQ708" s="6">
        <v>0.55130000000000001</v>
      </c>
      <c r="AR708" s="6">
        <v>328</v>
      </c>
      <c r="AT708" s="17">
        <v>705</v>
      </c>
      <c r="AU708" s="6">
        <v>0.57230000000000003</v>
      </c>
      <c r="AV708" s="6">
        <v>1.3708</v>
      </c>
      <c r="AW708" s="6">
        <v>0.55130000000000001</v>
      </c>
      <c r="AX708" s="6">
        <v>328</v>
      </c>
    </row>
    <row r="709" spans="1:50" x14ac:dyDescent="0.25">
      <c r="A709" s="34" t="s">
        <v>97</v>
      </c>
      <c r="B709" s="35">
        <v>2</v>
      </c>
      <c r="C709" s="35">
        <v>17</v>
      </c>
      <c r="D709" s="35">
        <v>3</v>
      </c>
      <c r="E709" s="35">
        <v>29</v>
      </c>
      <c r="F709" s="2">
        <v>59.5</v>
      </c>
      <c r="G709">
        <v>68.498268720127442</v>
      </c>
      <c r="Q709" s="17">
        <v>707</v>
      </c>
      <c r="R709" s="6">
        <v>2.40299</v>
      </c>
      <c r="S709" s="6">
        <v>7.9268999999999998</v>
      </c>
      <c r="T709" s="6">
        <v>2.3148</v>
      </c>
      <c r="U709" s="6">
        <v>328</v>
      </c>
      <c r="W709" s="17">
        <v>707</v>
      </c>
      <c r="X709" s="6">
        <v>4.55382</v>
      </c>
      <c r="Y709" s="6">
        <v>7.9268999999999998</v>
      </c>
      <c r="Z709" s="6">
        <v>2.3148</v>
      </c>
      <c r="AA709" s="6">
        <v>328</v>
      </c>
      <c r="AN709" s="17">
        <v>706</v>
      </c>
      <c r="AO709" s="6">
        <v>1.0802700000000001</v>
      </c>
      <c r="AP709" s="6">
        <v>0.49919999999999998</v>
      </c>
      <c r="AQ709" s="6">
        <v>0.54910000000000003</v>
      </c>
      <c r="AR709" s="6">
        <v>328</v>
      </c>
      <c r="AT709" s="17">
        <v>706</v>
      </c>
      <c r="AU709" s="6">
        <v>0.57003999999999999</v>
      </c>
      <c r="AV709" s="6">
        <v>0.49919999999999998</v>
      </c>
      <c r="AW709" s="6">
        <v>0.54910000000000003</v>
      </c>
      <c r="AX709" s="6">
        <v>328</v>
      </c>
    </row>
    <row r="710" spans="1:50" x14ac:dyDescent="0.25">
      <c r="A710" s="34" t="s">
        <v>97</v>
      </c>
      <c r="B710" s="35">
        <v>3</v>
      </c>
      <c r="C710" s="35">
        <v>9</v>
      </c>
      <c r="D710" s="35">
        <v>6</v>
      </c>
      <c r="E710" s="35">
        <v>29</v>
      </c>
      <c r="F710" s="2">
        <v>60</v>
      </c>
      <c r="G710">
        <v>66.548940492084682</v>
      </c>
      <c r="Q710" s="17">
        <v>708</v>
      </c>
      <c r="R710" s="6">
        <v>2.3944899999999998</v>
      </c>
      <c r="S710" s="6">
        <v>9.9285999999999994</v>
      </c>
      <c r="T710" s="6">
        <v>2.3067000000000002</v>
      </c>
      <c r="U710" s="6">
        <v>328</v>
      </c>
      <c r="W710" s="17">
        <v>708</v>
      </c>
      <c r="X710" s="6">
        <v>4.5377200000000002</v>
      </c>
      <c r="Y710" s="6">
        <v>9.9285999999999994</v>
      </c>
      <c r="Z710" s="6">
        <v>2.3067000000000002</v>
      </c>
      <c r="AA710" s="6">
        <v>328</v>
      </c>
      <c r="AN710" s="17">
        <v>707</v>
      </c>
      <c r="AO710" s="6">
        <v>1.08504</v>
      </c>
      <c r="AP710" s="6">
        <v>5.1319999999999998E-2</v>
      </c>
      <c r="AQ710" s="6">
        <v>0.55159999999999998</v>
      </c>
      <c r="AR710" s="6">
        <v>328</v>
      </c>
      <c r="AT710" s="17">
        <v>707</v>
      </c>
      <c r="AU710" s="6">
        <v>0.57255999999999996</v>
      </c>
      <c r="AV710" s="6">
        <v>5.1319999999999998E-2</v>
      </c>
      <c r="AW710" s="6">
        <v>0.55159999999999998</v>
      </c>
      <c r="AX710" s="6">
        <v>328</v>
      </c>
    </row>
    <row r="711" spans="1:50" x14ac:dyDescent="0.25">
      <c r="A711" s="31" t="s">
        <v>132</v>
      </c>
      <c r="B711" s="32">
        <v>1</v>
      </c>
      <c r="C711" s="32">
        <v>17</v>
      </c>
      <c r="D711" s="32">
        <v>1</v>
      </c>
      <c r="E711" s="32">
        <v>29</v>
      </c>
      <c r="F711" s="2">
        <v>61.5</v>
      </c>
      <c r="G711">
        <v>61.129361650836508</v>
      </c>
      <c r="Q711" s="17">
        <v>709</v>
      </c>
      <c r="R711" s="6">
        <v>2.3948700000000001</v>
      </c>
      <c r="S711" s="6">
        <v>2.7006000000000001</v>
      </c>
      <c r="T711" s="6">
        <v>2.3069999999999999</v>
      </c>
      <c r="U711" s="6">
        <v>328</v>
      </c>
      <c r="W711" s="17">
        <v>709</v>
      </c>
      <c r="X711" s="6">
        <v>4.5384399999999996</v>
      </c>
      <c r="Y711" s="6">
        <v>2.7006000000000001</v>
      </c>
      <c r="Z711" s="6">
        <v>2.3069999999999999</v>
      </c>
      <c r="AA711" s="6">
        <v>328</v>
      </c>
      <c r="AN711" s="17">
        <v>708</v>
      </c>
      <c r="AO711" s="6">
        <v>1.0816699999999999</v>
      </c>
      <c r="AP711" s="6">
        <v>4.9180000000000001E-2</v>
      </c>
      <c r="AQ711" s="6">
        <v>0.54979999999999996</v>
      </c>
      <c r="AR711" s="6">
        <v>328</v>
      </c>
      <c r="AT711" s="17">
        <v>708</v>
      </c>
      <c r="AU711" s="6">
        <v>0.57077999999999995</v>
      </c>
      <c r="AV711" s="6">
        <v>4.9180000000000001E-2</v>
      </c>
      <c r="AW711" s="6">
        <v>0.54979999999999996</v>
      </c>
      <c r="AX711" s="6">
        <v>328</v>
      </c>
    </row>
    <row r="712" spans="1:50" x14ac:dyDescent="0.25">
      <c r="A712" s="31" t="s">
        <v>132</v>
      </c>
      <c r="B712" s="32">
        <v>2</v>
      </c>
      <c r="C712" s="32">
        <v>7</v>
      </c>
      <c r="D712" s="32">
        <v>4</v>
      </c>
      <c r="E712" s="32">
        <v>29</v>
      </c>
      <c r="F712" s="2">
        <v>60.8</v>
      </c>
      <c r="G712">
        <v>62.499662948711709</v>
      </c>
      <c r="Q712" s="17">
        <v>710</v>
      </c>
      <c r="R712" s="6">
        <v>2.3920300000000001</v>
      </c>
      <c r="S712" s="6">
        <v>1.7055</v>
      </c>
      <c r="T712" s="6">
        <v>2.3043</v>
      </c>
      <c r="U712" s="6">
        <v>328</v>
      </c>
      <c r="W712" s="17">
        <v>710</v>
      </c>
      <c r="X712" s="6">
        <v>4.5330599999999999</v>
      </c>
      <c r="Y712" s="6">
        <v>1.7055</v>
      </c>
      <c r="Z712" s="6">
        <v>2.3043</v>
      </c>
      <c r="AA712" s="6">
        <v>328</v>
      </c>
      <c r="AN712" s="17">
        <v>709</v>
      </c>
      <c r="AO712" s="6">
        <v>1.06552</v>
      </c>
      <c r="AP712" s="6">
        <v>1.3794999999999999</v>
      </c>
      <c r="AQ712" s="6">
        <v>0.54159999999999997</v>
      </c>
      <c r="AR712" s="6">
        <v>328</v>
      </c>
      <c r="AT712" s="17">
        <v>709</v>
      </c>
      <c r="AU712" s="6">
        <v>0.56225999999999998</v>
      </c>
      <c r="AV712" s="6">
        <v>1.3794999999999999</v>
      </c>
      <c r="AW712" s="6">
        <v>0.54159999999999997</v>
      </c>
      <c r="AX712" s="6">
        <v>328</v>
      </c>
    </row>
    <row r="713" spans="1:50" x14ac:dyDescent="0.25">
      <c r="A713" s="31" t="s">
        <v>132</v>
      </c>
      <c r="B713" s="32">
        <v>3</v>
      </c>
      <c r="C713" s="32">
        <v>11</v>
      </c>
      <c r="D713" s="32">
        <v>5</v>
      </c>
      <c r="E713" s="32">
        <v>29</v>
      </c>
      <c r="F713" s="2">
        <v>62</v>
      </c>
      <c r="G713">
        <v>62.430423421705129</v>
      </c>
      <c r="Q713" s="17">
        <v>711</v>
      </c>
      <c r="R713" s="6">
        <v>2.3935300000000002</v>
      </c>
      <c r="S713" s="6">
        <v>4.7744</v>
      </c>
      <c r="T713" s="6">
        <v>2.3056999999999999</v>
      </c>
      <c r="U713" s="6">
        <v>328</v>
      </c>
      <c r="W713" s="17">
        <v>711</v>
      </c>
      <c r="X713" s="6">
        <v>4.5358999999999998</v>
      </c>
      <c r="Y713" s="6">
        <v>4.7744</v>
      </c>
      <c r="Z713" s="6">
        <v>2.3056999999999999</v>
      </c>
      <c r="AA713" s="6">
        <v>328</v>
      </c>
      <c r="AN713" s="17">
        <v>710</v>
      </c>
      <c r="AO713" s="6">
        <v>1.0660799999999999</v>
      </c>
      <c r="AP713" s="19">
        <v>-9.6189999999999998E-2</v>
      </c>
      <c r="AQ713" s="6">
        <v>0.54190000000000005</v>
      </c>
      <c r="AR713" s="6">
        <v>328</v>
      </c>
      <c r="AT713" s="17">
        <v>710</v>
      </c>
      <c r="AU713" s="6">
        <v>0.56254999999999999</v>
      </c>
      <c r="AV713" s="19">
        <v>-9.6189999999999998E-2</v>
      </c>
      <c r="AW713" s="6">
        <v>0.54190000000000005</v>
      </c>
      <c r="AX713" s="6">
        <v>328</v>
      </c>
    </row>
    <row r="714" spans="1:50" x14ac:dyDescent="0.25">
      <c r="A714" s="31" t="s">
        <v>13</v>
      </c>
      <c r="B714" s="32">
        <v>1</v>
      </c>
      <c r="C714" s="36">
        <v>16</v>
      </c>
      <c r="D714" s="36">
        <v>1</v>
      </c>
      <c r="E714" s="32">
        <v>29</v>
      </c>
      <c r="F714" s="12">
        <v>57.8</v>
      </c>
      <c r="G714">
        <v>64.639574999999994</v>
      </c>
      <c r="Q714" s="17">
        <v>712</v>
      </c>
      <c r="R714" s="6">
        <v>2.3951699999999998</v>
      </c>
      <c r="S714" s="6">
        <v>4.8922999999999996</v>
      </c>
      <c r="T714" s="6">
        <v>2.3073000000000001</v>
      </c>
      <c r="U714" s="6">
        <v>328</v>
      </c>
      <c r="W714" s="17">
        <v>712</v>
      </c>
      <c r="X714" s="6">
        <v>4.5390100000000002</v>
      </c>
      <c r="Y714" s="6">
        <v>4.8922999999999996</v>
      </c>
      <c r="Z714" s="6">
        <v>2.3073000000000001</v>
      </c>
      <c r="AA714" s="6">
        <v>328</v>
      </c>
      <c r="AN714" s="17">
        <v>711</v>
      </c>
      <c r="AO714" s="6">
        <v>1.0650599999999999</v>
      </c>
      <c r="AP714" s="19">
        <v>-8.9340000000000003E-2</v>
      </c>
      <c r="AQ714" s="6">
        <v>0.54139999999999999</v>
      </c>
      <c r="AR714" s="6">
        <v>328</v>
      </c>
      <c r="AT714" s="17">
        <v>711</v>
      </c>
      <c r="AU714" s="6">
        <v>0.56201999999999996</v>
      </c>
      <c r="AV714" s="19">
        <v>-8.9340000000000003E-2</v>
      </c>
      <c r="AW714" s="6">
        <v>0.54139999999999999</v>
      </c>
      <c r="AX714" s="6">
        <v>328</v>
      </c>
    </row>
    <row r="715" spans="1:50" x14ac:dyDescent="0.25">
      <c r="A715" s="31" t="s">
        <v>13</v>
      </c>
      <c r="B715" s="32">
        <v>2</v>
      </c>
      <c r="C715" s="36">
        <v>14</v>
      </c>
      <c r="D715" s="36">
        <v>3</v>
      </c>
      <c r="E715" s="32">
        <v>29</v>
      </c>
      <c r="F715" s="12">
        <v>57.5</v>
      </c>
      <c r="G715">
        <v>69.678619999999981</v>
      </c>
      <c r="Q715" s="17">
        <v>713</v>
      </c>
      <c r="R715" s="6">
        <v>2.4068100000000001</v>
      </c>
      <c r="S715" s="19">
        <v>-3.7315</v>
      </c>
      <c r="T715" s="6">
        <v>2.3184999999999998</v>
      </c>
      <c r="U715" s="6">
        <v>328</v>
      </c>
      <c r="W715" s="17">
        <v>713</v>
      </c>
      <c r="X715" s="6">
        <v>4.5610600000000003</v>
      </c>
      <c r="Y715" s="19">
        <v>-3.7315</v>
      </c>
      <c r="Z715" s="6">
        <v>2.3184999999999998</v>
      </c>
      <c r="AA715" s="6">
        <v>328</v>
      </c>
      <c r="AN715" s="17">
        <v>712</v>
      </c>
      <c r="AO715" s="6">
        <v>1.06568</v>
      </c>
      <c r="AP715" s="6">
        <v>0.47720000000000001</v>
      </c>
      <c r="AQ715" s="6">
        <v>0.54169999999999996</v>
      </c>
      <c r="AR715" s="6">
        <v>328</v>
      </c>
      <c r="AT715" s="17">
        <v>712</v>
      </c>
      <c r="AU715" s="6">
        <v>0.56233999999999995</v>
      </c>
      <c r="AV715" s="6">
        <v>0.47720000000000001</v>
      </c>
      <c r="AW715" s="6">
        <v>0.54169999999999996</v>
      </c>
      <c r="AX715" s="6">
        <v>328</v>
      </c>
    </row>
    <row r="716" spans="1:50" x14ac:dyDescent="0.25">
      <c r="A716" s="31" t="s">
        <v>13</v>
      </c>
      <c r="B716" s="32">
        <v>3</v>
      </c>
      <c r="C716" s="36">
        <v>21</v>
      </c>
      <c r="D716" s="36">
        <v>5</v>
      </c>
      <c r="E716" s="32">
        <v>29</v>
      </c>
      <c r="F716" s="12">
        <v>57.6</v>
      </c>
      <c r="G716">
        <v>55.23265</v>
      </c>
      <c r="Q716" s="17">
        <v>714</v>
      </c>
      <c r="R716" s="6">
        <v>2.3887200000000002</v>
      </c>
      <c r="S716" s="19">
        <v>-6.5790000000000001E-2</v>
      </c>
      <c r="T716" s="6">
        <v>2.3010999999999999</v>
      </c>
      <c r="U716" s="6">
        <v>328</v>
      </c>
      <c r="W716" s="17">
        <v>714</v>
      </c>
      <c r="X716" s="6">
        <v>4.5267900000000001</v>
      </c>
      <c r="Y716" s="19">
        <v>-6.5790000000000001E-2</v>
      </c>
      <c r="Z716" s="6">
        <v>2.3010999999999999</v>
      </c>
      <c r="AA716" s="6">
        <v>328</v>
      </c>
      <c r="AN716" s="17">
        <v>713</v>
      </c>
      <c r="AO716" s="6">
        <v>1.071</v>
      </c>
      <c r="AP716" s="19">
        <v>-1.9123000000000001</v>
      </c>
      <c r="AQ716" s="6">
        <v>0.5444</v>
      </c>
      <c r="AR716" s="6">
        <v>328</v>
      </c>
      <c r="AT716" s="17">
        <v>713</v>
      </c>
      <c r="AU716" s="6">
        <v>0.56515000000000004</v>
      </c>
      <c r="AV716" s="19">
        <v>-1.9123000000000001</v>
      </c>
      <c r="AW716" s="6">
        <v>0.5444</v>
      </c>
      <c r="AX716" s="6">
        <v>328</v>
      </c>
    </row>
    <row r="717" spans="1:50" x14ac:dyDescent="0.25">
      <c r="A717" t="s">
        <v>7</v>
      </c>
      <c r="B717" s="11">
        <v>1</v>
      </c>
      <c r="C717" s="11">
        <v>3</v>
      </c>
      <c r="D717" s="11">
        <v>2</v>
      </c>
      <c r="E717" s="11">
        <v>29</v>
      </c>
      <c r="F717" s="12">
        <v>55.7</v>
      </c>
      <c r="G717">
        <v>47.6359046119235</v>
      </c>
      <c r="Q717" s="17">
        <v>715</v>
      </c>
      <c r="R717" s="6">
        <v>2.3875899999999999</v>
      </c>
      <c r="S717" s="6">
        <v>1.6304000000000001</v>
      </c>
      <c r="T717" s="6">
        <v>2.2999999999999998</v>
      </c>
      <c r="U717" s="6">
        <v>328</v>
      </c>
      <c r="W717" s="17">
        <v>715</v>
      </c>
      <c r="X717" s="6">
        <v>4.5246399999999998</v>
      </c>
      <c r="Y717" s="6">
        <v>1.6304000000000001</v>
      </c>
      <c r="Z717" s="6">
        <v>2.2999999999999998</v>
      </c>
      <c r="AA717" s="6">
        <v>328</v>
      </c>
      <c r="AN717" s="17">
        <v>714</v>
      </c>
      <c r="AO717" s="6">
        <v>1.06358</v>
      </c>
      <c r="AP717" s="6">
        <v>0.1588</v>
      </c>
      <c r="AQ717" s="6">
        <v>0.54069999999999996</v>
      </c>
      <c r="AR717" s="6">
        <v>328</v>
      </c>
      <c r="AT717" s="17">
        <v>714</v>
      </c>
      <c r="AU717" s="6">
        <v>0.56123999999999996</v>
      </c>
      <c r="AV717" s="6">
        <v>0.1588</v>
      </c>
      <c r="AW717" s="6">
        <v>0.54069999999999996</v>
      </c>
      <c r="AX717" s="6">
        <v>328</v>
      </c>
    </row>
    <row r="718" spans="1:50" x14ac:dyDescent="0.25">
      <c r="A718" t="s">
        <v>7</v>
      </c>
      <c r="B718" s="11">
        <v>2</v>
      </c>
      <c r="C718" s="11">
        <v>13</v>
      </c>
      <c r="D718" s="11">
        <v>6</v>
      </c>
      <c r="E718" s="11">
        <v>29</v>
      </c>
      <c r="F718" s="12">
        <v>55.9</v>
      </c>
      <c r="G718">
        <v>44.153211615033506</v>
      </c>
      <c r="Q718" s="17">
        <v>716</v>
      </c>
      <c r="R718" s="6">
        <v>2.4089299999999998</v>
      </c>
      <c r="S718" s="6">
        <v>0.23649999999999999</v>
      </c>
      <c r="T718" s="6">
        <v>2.3206000000000002</v>
      </c>
      <c r="U718" s="6">
        <v>328</v>
      </c>
      <c r="W718" s="17">
        <v>716</v>
      </c>
      <c r="X718" s="6">
        <v>4.5650899999999996</v>
      </c>
      <c r="Y718" s="6">
        <v>0.23649999999999999</v>
      </c>
      <c r="Z718" s="6">
        <v>2.3206000000000002</v>
      </c>
      <c r="AA718" s="6">
        <v>328</v>
      </c>
      <c r="AN718" s="17">
        <v>715</v>
      </c>
      <c r="AO718" s="6">
        <v>1.0643400000000001</v>
      </c>
      <c r="AP718" s="6">
        <v>0.37219999999999998</v>
      </c>
      <c r="AQ718" s="6">
        <v>0.54100000000000004</v>
      </c>
      <c r="AR718" s="6">
        <v>328</v>
      </c>
      <c r="AT718" s="17">
        <v>715</v>
      </c>
      <c r="AU718" s="6">
        <v>0.56164000000000003</v>
      </c>
      <c r="AV718" s="6">
        <v>0.37219999999999998</v>
      </c>
      <c r="AW718" s="6">
        <v>0.54100000000000004</v>
      </c>
      <c r="AX718" s="6">
        <v>328</v>
      </c>
    </row>
    <row r="719" spans="1:50" x14ac:dyDescent="0.25">
      <c r="A719" t="s">
        <v>7</v>
      </c>
      <c r="B719" s="11">
        <v>3</v>
      </c>
      <c r="C719" s="11">
        <v>4</v>
      </c>
      <c r="D719" s="11">
        <v>12</v>
      </c>
      <c r="E719" s="11">
        <v>29</v>
      </c>
      <c r="F719" s="2">
        <v>49.5</v>
      </c>
      <c r="G719">
        <v>37.581913910154555</v>
      </c>
      <c r="Q719" s="17">
        <v>717</v>
      </c>
      <c r="R719" s="6">
        <v>2.39968</v>
      </c>
      <c r="S719" s="6">
        <v>1.3031999999999999</v>
      </c>
      <c r="T719" s="6">
        <v>2.3117000000000001</v>
      </c>
      <c r="U719" s="6">
        <v>328</v>
      </c>
      <c r="W719" s="17">
        <v>717</v>
      </c>
      <c r="X719" s="6">
        <v>4.5475599999999998</v>
      </c>
      <c r="Y719" s="6">
        <v>1.3031999999999999</v>
      </c>
      <c r="Z719" s="6">
        <v>2.3117000000000001</v>
      </c>
      <c r="AA719" s="6">
        <v>328</v>
      </c>
      <c r="AN719" s="17">
        <v>716</v>
      </c>
      <c r="AO719" s="6">
        <v>1.0785199999999999</v>
      </c>
      <c r="AP719" s="6">
        <v>8.3040000000000003E-2</v>
      </c>
      <c r="AQ719" s="6">
        <v>0.54820000000000002</v>
      </c>
      <c r="AR719" s="6">
        <v>328</v>
      </c>
      <c r="AT719" s="17">
        <v>716</v>
      </c>
      <c r="AU719" s="6">
        <v>0.56911999999999996</v>
      </c>
      <c r="AV719" s="6">
        <v>8.3040000000000003E-2</v>
      </c>
      <c r="AW719" s="6">
        <v>0.54820000000000002</v>
      </c>
      <c r="AX719" s="6">
        <v>328</v>
      </c>
    </row>
    <row r="720" spans="1:50" x14ac:dyDescent="0.25">
      <c r="A720" s="31" t="s">
        <v>156</v>
      </c>
      <c r="B720" s="32">
        <v>1</v>
      </c>
      <c r="C720" s="32">
        <v>1</v>
      </c>
      <c r="D720" s="32">
        <v>1</v>
      </c>
      <c r="E720" s="32">
        <v>29</v>
      </c>
      <c r="F720" s="2">
        <v>55.2</v>
      </c>
      <c r="G720">
        <v>33.919468685212863</v>
      </c>
      <c r="Q720" s="17">
        <v>718</v>
      </c>
      <c r="R720" s="6">
        <v>2.3898700000000002</v>
      </c>
      <c r="S720" s="19">
        <v>-0.26540000000000002</v>
      </c>
      <c r="T720" s="6">
        <v>2.3022</v>
      </c>
      <c r="U720" s="6">
        <v>328</v>
      </c>
      <c r="W720" s="17">
        <v>718</v>
      </c>
      <c r="X720" s="6">
        <v>4.5289599999999997</v>
      </c>
      <c r="Y720" s="19">
        <v>-0.26540000000000002</v>
      </c>
      <c r="Z720" s="6">
        <v>2.3022</v>
      </c>
      <c r="AA720" s="6">
        <v>328</v>
      </c>
      <c r="AN720" s="17">
        <v>717</v>
      </c>
      <c r="AO720" s="6">
        <v>1.06934</v>
      </c>
      <c r="AP720" s="19">
        <v>-0.99750000000000005</v>
      </c>
      <c r="AQ720" s="6">
        <v>0.54359999999999997</v>
      </c>
      <c r="AR720" s="6">
        <v>328</v>
      </c>
      <c r="AT720" s="17">
        <v>717</v>
      </c>
      <c r="AU720" s="6">
        <v>0.56427000000000005</v>
      </c>
      <c r="AV720" s="19">
        <v>-0.99750000000000005</v>
      </c>
      <c r="AW720" s="6">
        <v>0.54359999999999997</v>
      </c>
      <c r="AX720" s="6">
        <v>328</v>
      </c>
    </row>
    <row r="721" spans="1:50" x14ac:dyDescent="0.25">
      <c r="A721" s="31" t="s">
        <v>156</v>
      </c>
      <c r="B721" s="32">
        <v>2</v>
      </c>
      <c r="C721" s="32">
        <v>10</v>
      </c>
      <c r="D721" s="32">
        <v>4</v>
      </c>
      <c r="E721" s="32">
        <v>29</v>
      </c>
      <c r="F721" s="2">
        <v>56.6</v>
      </c>
      <c r="G721">
        <v>48.658429985855733</v>
      </c>
      <c r="Q721" s="17">
        <v>719</v>
      </c>
      <c r="R721" s="6">
        <v>2.40083</v>
      </c>
      <c r="S721" s="6">
        <v>0.23769999999999999</v>
      </c>
      <c r="T721" s="6">
        <v>2.3128000000000002</v>
      </c>
      <c r="U721" s="6">
        <v>328</v>
      </c>
      <c r="W721" s="17">
        <v>719</v>
      </c>
      <c r="X721" s="6">
        <v>4.5497399999999999</v>
      </c>
      <c r="Y721" s="6">
        <v>0.23769999999999999</v>
      </c>
      <c r="Z721" s="6">
        <v>2.3128000000000002</v>
      </c>
      <c r="AA721" s="6">
        <v>328</v>
      </c>
      <c r="AN721" s="17">
        <v>718</v>
      </c>
      <c r="AO721" s="6">
        <v>1.0637000000000001</v>
      </c>
      <c r="AP721" s="19">
        <v>-0.65800000000000003</v>
      </c>
      <c r="AQ721" s="6">
        <v>0.54069999999999996</v>
      </c>
      <c r="AR721" s="6">
        <v>328</v>
      </c>
      <c r="AT721" s="17">
        <v>718</v>
      </c>
      <c r="AU721" s="6">
        <v>0.56130000000000002</v>
      </c>
      <c r="AV721" s="19">
        <v>-0.65800000000000003</v>
      </c>
      <c r="AW721" s="6">
        <v>0.54069999999999996</v>
      </c>
      <c r="AX721" s="6">
        <v>328</v>
      </c>
    </row>
    <row r="722" spans="1:50" x14ac:dyDescent="0.25">
      <c r="A722" s="31" t="s">
        <v>156</v>
      </c>
      <c r="B722" s="32">
        <v>3</v>
      </c>
      <c r="C722" s="32">
        <v>4</v>
      </c>
      <c r="D722" s="32">
        <v>6</v>
      </c>
      <c r="E722" s="32">
        <v>29</v>
      </c>
      <c r="F722" s="2">
        <v>56.8</v>
      </c>
      <c r="G722">
        <v>46.727695340674124</v>
      </c>
      <c r="Q722" s="17">
        <v>720</v>
      </c>
      <c r="R722" s="6">
        <v>2.4083299999999999</v>
      </c>
      <c r="S722" s="6">
        <v>7.5347999999999997</v>
      </c>
      <c r="T722" s="6">
        <v>2.3199999999999998</v>
      </c>
      <c r="U722" s="6">
        <v>328</v>
      </c>
      <c r="W722" s="17">
        <v>720</v>
      </c>
      <c r="X722" s="6">
        <v>4.5639500000000002</v>
      </c>
      <c r="Y722" s="6">
        <v>7.5347999999999997</v>
      </c>
      <c r="Z722" s="6">
        <v>2.3199999999999998</v>
      </c>
      <c r="AA722" s="6">
        <v>328</v>
      </c>
      <c r="AN722" s="17">
        <v>719</v>
      </c>
      <c r="AO722" s="6">
        <v>1.07009</v>
      </c>
      <c r="AP722" s="19">
        <v>-1.1848000000000001</v>
      </c>
      <c r="AQ722" s="6">
        <v>0.54400000000000004</v>
      </c>
      <c r="AR722" s="6">
        <v>328</v>
      </c>
      <c r="AT722" s="17">
        <v>719</v>
      </c>
      <c r="AU722" s="6">
        <v>0.56467000000000001</v>
      </c>
      <c r="AV722" s="19">
        <v>-1.1848000000000001</v>
      </c>
      <c r="AW722" s="6">
        <v>0.54400000000000004</v>
      </c>
      <c r="AX722" s="6">
        <v>328</v>
      </c>
    </row>
    <row r="723" spans="1:50" x14ac:dyDescent="0.25">
      <c r="A723" s="31" t="s">
        <v>10</v>
      </c>
      <c r="B723" s="32">
        <v>1</v>
      </c>
      <c r="C723" s="32">
        <v>13</v>
      </c>
      <c r="D723" s="32">
        <v>4</v>
      </c>
      <c r="E723" s="32">
        <v>29</v>
      </c>
      <c r="F723" s="2">
        <v>58.5</v>
      </c>
      <c r="G723">
        <v>69.681861909576767</v>
      </c>
      <c r="Q723" s="17">
        <v>721</v>
      </c>
      <c r="R723" s="6">
        <v>2.3913500000000001</v>
      </c>
      <c r="S723" s="6">
        <v>2.0419999999999998</v>
      </c>
      <c r="T723" s="6">
        <v>2.3035999999999999</v>
      </c>
      <c r="U723" s="6">
        <v>328</v>
      </c>
      <c r="W723" s="17">
        <v>721</v>
      </c>
      <c r="X723" s="6">
        <v>4.5317699999999999</v>
      </c>
      <c r="Y723" s="6">
        <v>2.0419999999999998</v>
      </c>
      <c r="Z723" s="6">
        <v>2.3035999999999999</v>
      </c>
      <c r="AA723" s="6">
        <v>328</v>
      </c>
      <c r="AN723" s="17">
        <v>720</v>
      </c>
      <c r="AO723" s="6">
        <v>1.0775999999999999</v>
      </c>
      <c r="AP723" s="6">
        <v>0.60489999999999999</v>
      </c>
      <c r="AQ723" s="6">
        <v>0.54779999999999995</v>
      </c>
      <c r="AR723" s="6">
        <v>328</v>
      </c>
      <c r="AT723" s="17">
        <v>720</v>
      </c>
      <c r="AU723" s="6">
        <v>0.56864000000000003</v>
      </c>
      <c r="AV723" s="6">
        <v>0.60489999999999999</v>
      </c>
      <c r="AW723" s="6">
        <v>0.54779999999999995</v>
      </c>
      <c r="AX723" s="6">
        <v>328</v>
      </c>
    </row>
    <row r="724" spans="1:50" x14ac:dyDescent="0.25">
      <c r="A724" s="31" t="s">
        <v>10</v>
      </c>
      <c r="B724" s="32">
        <v>2</v>
      </c>
      <c r="C724" s="32">
        <v>5</v>
      </c>
      <c r="D724" s="32">
        <v>5</v>
      </c>
      <c r="E724" s="32">
        <v>29</v>
      </c>
      <c r="F724" s="2">
        <v>59.4</v>
      </c>
      <c r="G724">
        <v>59.808025990783413</v>
      </c>
      <c r="Q724" s="17">
        <v>722</v>
      </c>
      <c r="R724" s="6">
        <v>2.4062999999999999</v>
      </c>
      <c r="S724" s="6">
        <v>11.7605</v>
      </c>
      <c r="T724" s="6">
        <v>2.3180000000000001</v>
      </c>
      <c r="U724" s="6">
        <v>328</v>
      </c>
      <c r="W724" s="17">
        <v>722</v>
      </c>
      <c r="X724" s="6">
        <v>4.5601000000000003</v>
      </c>
      <c r="Y724" s="6">
        <v>11.7605</v>
      </c>
      <c r="Z724" s="6">
        <v>2.3180000000000001</v>
      </c>
      <c r="AA724" s="6">
        <v>328</v>
      </c>
      <c r="AN724" s="17">
        <v>721</v>
      </c>
      <c r="AO724" s="6">
        <v>1.06545</v>
      </c>
      <c r="AP724" s="19">
        <v>-1.1135999999999999</v>
      </c>
      <c r="AQ724" s="6">
        <v>0.54159999999999997</v>
      </c>
      <c r="AR724" s="6">
        <v>328</v>
      </c>
      <c r="AT724" s="17">
        <v>721</v>
      </c>
      <c r="AU724" s="6">
        <v>0.56222000000000005</v>
      </c>
      <c r="AV724" s="19">
        <v>-1.1135999999999999</v>
      </c>
      <c r="AW724" s="6">
        <v>0.54159999999999997</v>
      </c>
      <c r="AX724" s="6">
        <v>328</v>
      </c>
    </row>
    <row r="725" spans="1:50" x14ac:dyDescent="0.25">
      <c r="A725" s="31" t="s">
        <v>10</v>
      </c>
      <c r="B725" s="32">
        <v>3</v>
      </c>
      <c r="C725" s="32">
        <v>6</v>
      </c>
      <c r="D725" s="32">
        <v>12</v>
      </c>
      <c r="E725" s="32">
        <v>29</v>
      </c>
      <c r="F725" s="2">
        <v>57.4</v>
      </c>
      <c r="G725">
        <v>71.929846153846128</v>
      </c>
      <c r="Q725" s="17">
        <v>723</v>
      </c>
      <c r="R725" s="6">
        <v>2.3980199999999998</v>
      </c>
      <c r="S725" s="6">
        <v>6.9837999999999996</v>
      </c>
      <c r="T725" s="6">
        <v>2.3100999999999998</v>
      </c>
      <c r="U725" s="6">
        <v>328</v>
      </c>
      <c r="W725" s="17">
        <v>723</v>
      </c>
      <c r="X725" s="6">
        <v>4.5444100000000001</v>
      </c>
      <c r="Y725" s="6">
        <v>6.9837999999999996</v>
      </c>
      <c r="Z725" s="6">
        <v>2.3100999999999998</v>
      </c>
      <c r="AA725" s="6">
        <v>328</v>
      </c>
      <c r="AN725" s="17">
        <v>722</v>
      </c>
      <c r="AO725" s="6">
        <v>1.0759700000000001</v>
      </c>
      <c r="AP725" s="6">
        <v>1.3974</v>
      </c>
      <c r="AQ725" s="6">
        <v>0.54700000000000004</v>
      </c>
      <c r="AR725" s="6">
        <v>328</v>
      </c>
      <c r="AT725" s="17">
        <v>722</v>
      </c>
      <c r="AU725" s="6">
        <v>0.56777999999999995</v>
      </c>
      <c r="AV725" s="6">
        <v>1.3974</v>
      </c>
      <c r="AW725" s="6">
        <v>0.54700000000000004</v>
      </c>
      <c r="AX725" s="6">
        <v>328</v>
      </c>
    </row>
    <row r="726" spans="1:50" x14ac:dyDescent="0.25">
      <c r="A726" s="31" t="s">
        <v>11</v>
      </c>
      <c r="B726" s="32">
        <v>1</v>
      </c>
      <c r="C726" s="32">
        <v>12</v>
      </c>
      <c r="D726" s="32">
        <v>2</v>
      </c>
      <c r="E726" s="11">
        <v>29</v>
      </c>
      <c r="F726" s="2">
        <v>57.5</v>
      </c>
      <c r="G726">
        <v>23.538941100580551</v>
      </c>
      <c r="Q726" s="17">
        <v>724</v>
      </c>
      <c r="R726" s="6">
        <v>2.3988499999999999</v>
      </c>
      <c r="S726" s="6">
        <v>1.0052000000000001</v>
      </c>
      <c r="T726" s="6">
        <v>2.3109000000000002</v>
      </c>
      <c r="U726" s="6">
        <v>328</v>
      </c>
      <c r="W726" s="17">
        <v>724</v>
      </c>
      <c r="X726" s="6">
        <v>4.5459899999999998</v>
      </c>
      <c r="Y726" s="6">
        <v>1.0052000000000001</v>
      </c>
      <c r="Z726" s="6">
        <v>2.3109000000000002</v>
      </c>
      <c r="AA726" s="6">
        <v>328</v>
      </c>
      <c r="AN726" s="17">
        <v>723</v>
      </c>
      <c r="AO726" s="6">
        <v>1.06792</v>
      </c>
      <c r="AP726" s="6">
        <v>0.52580000000000005</v>
      </c>
      <c r="AQ726" s="6">
        <v>0.54290000000000005</v>
      </c>
      <c r="AR726" s="6">
        <v>328</v>
      </c>
      <c r="AT726" s="17">
        <v>723</v>
      </c>
      <c r="AU726" s="6">
        <v>0.56352999999999998</v>
      </c>
      <c r="AV726" s="6">
        <v>0.52580000000000005</v>
      </c>
      <c r="AW726" s="6">
        <v>0.54290000000000005</v>
      </c>
      <c r="AX726" s="6">
        <v>328</v>
      </c>
    </row>
    <row r="727" spans="1:50" x14ac:dyDescent="0.25">
      <c r="A727" s="31" t="s">
        <v>11</v>
      </c>
      <c r="B727" s="32">
        <v>2</v>
      </c>
      <c r="C727" s="32">
        <v>7</v>
      </c>
      <c r="D727" s="32">
        <v>4</v>
      </c>
      <c r="E727" s="11">
        <v>29</v>
      </c>
      <c r="F727" s="2">
        <v>58.7</v>
      </c>
      <c r="G727">
        <v>21.265990783410135</v>
      </c>
      <c r="Q727" s="17">
        <v>725</v>
      </c>
      <c r="R727" s="6">
        <v>2.39717</v>
      </c>
      <c r="S727" s="6">
        <v>3.0068999999999999</v>
      </c>
      <c r="T727" s="6">
        <v>2.3092000000000001</v>
      </c>
      <c r="U727" s="6">
        <v>328</v>
      </c>
      <c r="W727" s="17">
        <v>725</v>
      </c>
      <c r="X727" s="6">
        <v>4.5427999999999997</v>
      </c>
      <c r="Y727" s="6">
        <v>3.0068999999999999</v>
      </c>
      <c r="Z727" s="6">
        <v>2.3092000000000001</v>
      </c>
      <c r="AA727" s="6">
        <v>328</v>
      </c>
      <c r="AN727" s="17">
        <v>724</v>
      </c>
      <c r="AO727" s="6">
        <v>1.0699799999999999</v>
      </c>
      <c r="AP727" s="6">
        <v>7.7899999999999997E-2</v>
      </c>
      <c r="AQ727" s="6">
        <v>0.54390000000000005</v>
      </c>
      <c r="AR727" s="6">
        <v>328</v>
      </c>
      <c r="AT727" s="17">
        <v>724</v>
      </c>
      <c r="AU727" s="6">
        <v>0.56460999999999995</v>
      </c>
      <c r="AV727" s="6">
        <v>7.7899999999999997E-2</v>
      </c>
      <c r="AW727" s="6">
        <v>0.54390000000000005</v>
      </c>
      <c r="AX727" s="6">
        <v>328</v>
      </c>
    </row>
    <row r="728" spans="1:50" x14ac:dyDescent="0.25">
      <c r="A728" s="31" t="s">
        <v>11</v>
      </c>
      <c r="B728" s="32">
        <v>3</v>
      </c>
      <c r="C728" s="32">
        <v>10</v>
      </c>
      <c r="D728" s="32">
        <v>9</v>
      </c>
      <c r="E728" s="11">
        <v>29</v>
      </c>
      <c r="F728" s="2">
        <v>63.5</v>
      </c>
      <c r="G728">
        <v>29.770597092665366</v>
      </c>
      <c r="Q728" s="17">
        <v>726</v>
      </c>
      <c r="R728" s="6">
        <v>2.37182</v>
      </c>
      <c r="S728" s="19">
        <v>-0.99509999999999998</v>
      </c>
      <c r="T728" s="6">
        <v>2.2848000000000002</v>
      </c>
      <c r="U728" s="6">
        <v>328</v>
      </c>
      <c r="W728" s="17">
        <v>726</v>
      </c>
      <c r="X728" s="6">
        <v>4.4947699999999999</v>
      </c>
      <c r="Y728" s="19">
        <v>-0.99509999999999998</v>
      </c>
      <c r="Z728" s="6">
        <v>2.2848000000000002</v>
      </c>
      <c r="AA728" s="6">
        <v>328</v>
      </c>
      <c r="AN728" s="17">
        <v>725</v>
      </c>
      <c r="AO728" s="6">
        <v>1.0703</v>
      </c>
      <c r="AP728" s="6">
        <v>7.5759999999999994E-2</v>
      </c>
      <c r="AQ728" s="6">
        <v>0.54410000000000003</v>
      </c>
      <c r="AR728" s="6">
        <v>328</v>
      </c>
      <c r="AT728" s="17">
        <v>725</v>
      </c>
      <c r="AU728" s="6">
        <v>0.56477999999999995</v>
      </c>
      <c r="AV728" s="6">
        <v>7.5759999999999994E-2</v>
      </c>
      <c r="AW728" s="6">
        <v>0.54410000000000003</v>
      </c>
      <c r="AX728" s="6">
        <v>328</v>
      </c>
    </row>
    <row r="729" spans="1:50" x14ac:dyDescent="0.25">
      <c r="A729" t="s">
        <v>160</v>
      </c>
      <c r="B729" s="11">
        <v>1</v>
      </c>
      <c r="C729" s="36">
        <v>22</v>
      </c>
      <c r="D729" s="36">
        <v>2</v>
      </c>
      <c r="E729" s="32">
        <v>29</v>
      </c>
      <c r="F729" s="2">
        <v>60.1</v>
      </c>
      <c r="G729">
        <v>91.588759322033894</v>
      </c>
      <c r="Q729" s="17">
        <v>727</v>
      </c>
      <c r="R729" s="6">
        <v>2.3814199999999999</v>
      </c>
      <c r="S729" s="6">
        <v>2.0737999999999999</v>
      </c>
      <c r="T729" s="6">
        <v>2.2940999999999998</v>
      </c>
      <c r="U729" s="6">
        <v>328</v>
      </c>
      <c r="W729" s="17">
        <v>727</v>
      </c>
      <c r="X729" s="6">
        <v>4.5129599999999996</v>
      </c>
      <c r="Y729" s="6">
        <v>2.0737999999999999</v>
      </c>
      <c r="Z729" s="6">
        <v>2.2940999999999998</v>
      </c>
      <c r="AA729" s="6">
        <v>328</v>
      </c>
      <c r="AN729" s="17">
        <v>726</v>
      </c>
      <c r="AO729" s="6">
        <v>1.05959</v>
      </c>
      <c r="AP729" s="19">
        <v>-1.4757</v>
      </c>
      <c r="AQ729" s="6">
        <v>0.53859999999999997</v>
      </c>
      <c r="AR729" s="6">
        <v>328</v>
      </c>
      <c r="AT729" s="17">
        <v>726</v>
      </c>
      <c r="AU729" s="6">
        <v>0.55913000000000002</v>
      </c>
      <c r="AV729" s="19">
        <v>-1.4757</v>
      </c>
      <c r="AW729" s="6">
        <v>0.53859999999999997</v>
      </c>
      <c r="AX729" s="6">
        <v>328</v>
      </c>
    </row>
    <row r="730" spans="1:50" x14ac:dyDescent="0.25">
      <c r="A730" t="s">
        <v>160</v>
      </c>
      <c r="B730" s="11">
        <v>2</v>
      </c>
      <c r="C730" s="36">
        <v>18</v>
      </c>
      <c r="D730" s="36">
        <v>3</v>
      </c>
      <c r="E730" s="32">
        <v>29</v>
      </c>
      <c r="F730" s="2">
        <v>59.6</v>
      </c>
      <c r="G730">
        <v>88.064289015705327</v>
      </c>
      <c r="Q730" s="17">
        <v>728</v>
      </c>
      <c r="R730" s="6">
        <v>2.3920400000000002</v>
      </c>
      <c r="S730" s="6">
        <v>2.1917</v>
      </c>
      <c r="T730" s="6">
        <v>2.3043</v>
      </c>
      <c r="U730" s="6">
        <v>328</v>
      </c>
      <c r="W730" s="17">
        <v>728</v>
      </c>
      <c r="X730" s="6">
        <v>4.5330899999999996</v>
      </c>
      <c r="Y730" s="6">
        <v>2.1917</v>
      </c>
      <c r="Z730" s="6">
        <v>2.3043</v>
      </c>
      <c r="AA730" s="6">
        <v>328</v>
      </c>
      <c r="AN730" s="17">
        <v>727</v>
      </c>
      <c r="AO730" s="6">
        <v>1.0649900000000001</v>
      </c>
      <c r="AP730" s="19">
        <v>-1.4688000000000001</v>
      </c>
      <c r="AQ730" s="6">
        <v>0.54139999999999999</v>
      </c>
      <c r="AR730" s="6">
        <v>328</v>
      </c>
      <c r="AT730" s="17">
        <v>727</v>
      </c>
      <c r="AU730" s="6">
        <v>0.56198000000000004</v>
      </c>
      <c r="AV730" s="19">
        <v>-1.4688000000000001</v>
      </c>
      <c r="AW730" s="6">
        <v>0.54139999999999999</v>
      </c>
      <c r="AX730" s="6">
        <v>328</v>
      </c>
    </row>
    <row r="731" spans="1:50" x14ac:dyDescent="0.25">
      <c r="A731" t="s">
        <v>160</v>
      </c>
      <c r="B731" s="11">
        <v>3</v>
      </c>
      <c r="C731" s="36">
        <v>4</v>
      </c>
      <c r="D731" s="36">
        <v>6</v>
      </c>
      <c r="E731" s="32">
        <v>29</v>
      </c>
      <c r="F731" s="2">
        <v>59.4</v>
      </c>
      <c r="G731">
        <v>82.248487169666774</v>
      </c>
      <c r="Q731" s="17">
        <v>729</v>
      </c>
      <c r="R731" s="6">
        <v>2.3919199999999998</v>
      </c>
      <c r="S731" s="19">
        <v>-6.4321000000000002</v>
      </c>
      <c r="T731" s="6">
        <v>2.3041999999999998</v>
      </c>
      <c r="U731" s="6">
        <v>328</v>
      </c>
      <c r="W731" s="17">
        <v>729</v>
      </c>
      <c r="X731" s="6">
        <v>4.5328600000000003</v>
      </c>
      <c r="Y731" s="19">
        <v>-6.4321000000000002</v>
      </c>
      <c r="Z731" s="6">
        <v>2.3041999999999998</v>
      </c>
      <c r="AA731" s="6">
        <v>328</v>
      </c>
      <c r="AN731" s="17">
        <v>728</v>
      </c>
      <c r="AO731" s="6">
        <v>1.07063</v>
      </c>
      <c r="AP731" s="19">
        <v>-0.90229999999999999</v>
      </c>
      <c r="AQ731" s="6">
        <v>0.54420000000000002</v>
      </c>
      <c r="AR731" s="6">
        <v>328</v>
      </c>
      <c r="AT731" s="17">
        <v>728</v>
      </c>
      <c r="AU731" s="6">
        <v>0.56494999999999995</v>
      </c>
      <c r="AV731" s="19">
        <v>-0.90229999999999999</v>
      </c>
      <c r="AW731" s="6">
        <v>0.54420000000000002</v>
      </c>
      <c r="AX731" s="6">
        <v>328</v>
      </c>
    </row>
    <row r="732" spans="1:50" x14ac:dyDescent="0.25">
      <c r="A732" s="31" t="s">
        <v>116</v>
      </c>
      <c r="B732" s="32">
        <v>1</v>
      </c>
      <c r="C732" s="32">
        <v>8</v>
      </c>
      <c r="D732" s="32">
        <v>2</v>
      </c>
      <c r="E732" s="32">
        <v>30</v>
      </c>
      <c r="F732" s="12">
        <v>55.9</v>
      </c>
      <c r="G732">
        <v>46.95786857142857</v>
      </c>
      <c r="Q732" s="17">
        <v>730</v>
      </c>
      <c r="R732" s="6">
        <v>2.39418</v>
      </c>
      <c r="S732" s="19">
        <v>-2.7664</v>
      </c>
      <c r="T732" s="6">
        <v>2.3064</v>
      </c>
      <c r="U732" s="6">
        <v>328</v>
      </c>
      <c r="W732" s="17">
        <v>730</v>
      </c>
      <c r="X732" s="6">
        <v>4.53714</v>
      </c>
      <c r="Y732" s="19">
        <v>-2.7664</v>
      </c>
      <c r="Z732" s="6">
        <v>2.3064</v>
      </c>
      <c r="AA732" s="6">
        <v>328</v>
      </c>
      <c r="AN732" s="17">
        <v>729</v>
      </c>
      <c r="AO732" s="6">
        <v>1.0705800000000001</v>
      </c>
      <c r="AP732" s="19">
        <v>-3.2917999999999998</v>
      </c>
      <c r="AQ732" s="6">
        <v>0.54420000000000002</v>
      </c>
      <c r="AR732" s="6">
        <v>328</v>
      </c>
      <c r="AT732" s="17">
        <v>729</v>
      </c>
      <c r="AU732" s="6">
        <v>0.56493000000000004</v>
      </c>
      <c r="AV732" s="19">
        <v>-3.2917999999999998</v>
      </c>
      <c r="AW732" s="6">
        <v>0.54420000000000002</v>
      </c>
      <c r="AX732" s="6">
        <v>328</v>
      </c>
    </row>
    <row r="733" spans="1:50" x14ac:dyDescent="0.25">
      <c r="A733" s="31" t="s">
        <v>116</v>
      </c>
      <c r="B733" s="32">
        <v>2</v>
      </c>
      <c r="C733" s="32">
        <v>11</v>
      </c>
      <c r="D733" s="32">
        <v>7</v>
      </c>
      <c r="E733" s="32">
        <v>30</v>
      </c>
      <c r="F733" s="12">
        <v>55.9</v>
      </c>
      <c r="G733">
        <v>52.34300544814618</v>
      </c>
      <c r="Q733" s="17">
        <v>731</v>
      </c>
      <c r="R733" s="6">
        <v>2.3884799999999999</v>
      </c>
      <c r="S733" s="19">
        <v>-1.0702</v>
      </c>
      <c r="T733" s="6">
        <v>2.3008999999999999</v>
      </c>
      <c r="U733" s="6">
        <v>328</v>
      </c>
      <c r="W733" s="17">
        <v>731</v>
      </c>
      <c r="X733" s="6">
        <v>4.5263400000000003</v>
      </c>
      <c r="Y733" s="19">
        <v>-1.0702</v>
      </c>
      <c r="Z733" s="6">
        <v>2.3008999999999999</v>
      </c>
      <c r="AA733" s="6">
        <v>328</v>
      </c>
      <c r="AN733" s="17">
        <v>730</v>
      </c>
      <c r="AO733" s="6">
        <v>1.0717300000000001</v>
      </c>
      <c r="AP733" s="19">
        <v>-1.2206999999999999</v>
      </c>
      <c r="AQ733" s="6">
        <v>0.54479999999999995</v>
      </c>
      <c r="AR733" s="6">
        <v>328</v>
      </c>
      <c r="AT733" s="17">
        <v>730</v>
      </c>
      <c r="AU733" s="6">
        <v>0.56554000000000004</v>
      </c>
      <c r="AV733" s="19">
        <v>-1.2206999999999999</v>
      </c>
      <c r="AW733" s="6">
        <v>0.54479999999999995</v>
      </c>
      <c r="AX733" s="6">
        <v>328</v>
      </c>
    </row>
    <row r="734" spans="1:50" x14ac:dyDescent="0.25">
      <c r="A734" s="31" t="s">
        <v>116</v>
      </c>
      <c r="B734" s="32">
        <v>3</v>
      </c>
      <c r="C734" s="32">
        <v>9</v>
      </c>
      <c r="D734" s="32">
        <v>12</v>
      </c>
      <c r="E734" s="32">
        <v>30</v>
      </c>
      <c r="F734" s="2">
        <v>56.5</v>
      </c>
      <c r="G734">
        <v>55.561048474576261</v>
      </c>
      <c r="Q734" s="17">
        <v>732</v>
      </c>
      <c r="R734" s="6">
        <v>2.3944200000000002</v>
      </c>
      <c r="S734" s="19">
        <v>-2.4641000000000002</v>
      </c>
      <c r="T734" s="6">
        <v>2.3066</v>
      </c>
      <c r="U734" s="6">
        <v>328</v>
      </c>
      <c r="W734" s="17">
        <v>732</v>
      </c>
      <c r="X734" s="6">
        <v>4.5375899999999998</v>
      </c>
      <c r="Y734" s="19">
        <v>-2.4641000000000002</v>
      </c>
      <c r="Z734" s="6">
        <v>2.3066</v>
      </c>
      <c r="AA734" s="6">
        <v>328</v>
      </c>
      <c r="AN734" s="17">
        <v>731</v>
      </c>
      <c r="AO734" s="6">
        <v>1.06985</v>
      </c>
      <c r="AP734" s="19">
        <v>-1.0073000000000001</v>
      </c>
      <c r="AQ734" s="6">
        <v>0.54379999999999995</v>
      </c>
      <c r="AR734" s="6">
        <v>328</v>
      </c>
      <c r="AT734" s="17">
        <v>731</v>
      </c>
      <c r="AU734" s="6">
        <v>0.56454000000000004</v>
      </c>
      <c r="AV734" s="19">
        <v>-1.0073000000000001</v>
      </c>
      <c r="AW734" s="6">
        <v>0.54379999999999995</v>
      </c>
      <c r="AX734" s="6">
        <v>328</v>
      </c>
    </row>
    <row r="735" spans="1:50" x14ac:dyDescent="0.25">
      <c r="A735" s="34" t="s">
        <v>97</v>
      </c>
      <c r="B735" s="35">
        <v>1</v>
      </c>
      <c r="C735" s="35">
        <v>9</v>
      </c>
      <c r="D735" s="35">
        <v>2</v>
      </c>
      <c r="E735" s="35">
        <v>30</v>
      </c>
      <c r="F735" s="2">
        <v>60.6</v>
      </c>
      <c r="G735">
        <v>69.003033367037403</v>
      </c>
      <c r="Q735" s="17">
        <v>733</v>
      </c>
      <c r="R735" s="6">
        <v>2.3898600000000001</v>
      </c>
      <c r="S735" s="19">
        <v>-1.3974</v>
      </c>
      <c r="T735" s="6">
        <v>2.3022</v>
      </c>
      <c r="U735" s="6">
        <v>328</v>
      </c>
      <c r="W735" s="17">
        <v>733</v>
      </c>
      <c r="X735" s="6">
        <v>4.5289599999999997</v>
      </c>
      <c r="Y735" s="19">
        <v>-1.3974</v>
      </c>
      <c r="Z735" s="6">
        <v>2.3022</v>
      </c>
      <c r="AA735" s="6">
        <v>328</v>
      </c>
      <c r="AN735" s="17">
        <v>732</v>
      </c>
      <c r="AO735" s="6">
        <v>1.0767599999999999</v>
      </c>
      <c r="AP735" s="19">
        <v>-1.2964</v>
      </c>
      <c r="AQ735" s="6">
        <v>0.5474</v>
      </c>
      <c r="AR735" s="6">
        <v>328</v>
      </c>
      <c r="AT735" s="17">
        <v>732</v>
      </c>
      <c r="AU735" s="6">
        <v>0.56818999999999997</v>
      </c>
      <c r="AV735" s="19">
        <v>-1.2964</v>
      </c>
      <c r="AW735" s="6">
        <v>0.5474</v>
      </c>
      <c r="AX735" s="6">
        <v>328</v>
      </c>
    </row>
    <row r="736" spans="1:50" x14ac:dyDescent="0.25">
      <c r="A736" s="34" t="s">
        <v>97</v>
      </c>
      <c r="B736" s="35">
        <v>2</v>
      </c>
      <c r="C736" s="35">
        <v>2</v>
      </c>
      <c r="D736" s="35">
        <v>3</v>
      </c>
      <c r="E736" s="35">
        <v>30</v>
      </c>
      <c r="F736" s="2">
        <v>60.4</v>
      </c>
      <c r="G736">
        <v>54.535841741901223</v>
      </c>
      <c r="Q736" s="17">
        <v>734</v>
      </c>
      <c r="R736" s="6">
        <v>2.3853200000000001</v>
      </c>
      <c r="S736" s="19">
        <v>-2.9660000000000002</v>
      </c>
      <c r="T736" s="6">
        <v>2.2978000000000001</v>
      </c>
      <c r="U736" s="6">
        <v>328</v>
      </c>
      <c r="W736" s="17">
        <v>734</v>
      </c>
      <c r="X736" s="6">
        <v>4.52034</v>
      </c>
      <c r="Y736" s="19">
        <v>-2.9660000000000002</v>
      </c>
      <c r="Z736" s="6">
        <v>2.2978000000000001</v>
      </c>
      <c r="AA736" s="6">
        <v>328</v>
      </c>
      <c r="AN736" s="17">
        <v>733</v>
      </c>
      <c r="AO736" s="6">
        <v>1.0685199999999999</v>
      </c>
      <c r="AP736" s="19">
        <v>-2.3769999999999998</v>
      </c>
      <c r="AQ736" s="6">
        <v>0.54320000000000002</v>
      </c>
      <c r="AR736" s="6">
        <v>328</v>
      </c>
      <c r="AT736" s="17">
        <v>733</v>
      </c>
      <c r="AU736" s="6">
        <v>0.56384000000000001</v>
      </c>
      <c r="AV736" s="19">
        <v>-2.3769999999999998</v>
      </c>
      <c r="AW736" s="6">
        <v>0.54320000000000002</v>
      </c>
      <c r="AX736" s="6">
        <v>328</v>
      </c>
    </row>
    <row r="737" spans="1:50" x14ac:dyDescent="0.25">
      <c r="A737" s="34" t="s">
        <v>97</v>
      </c>
      <c r="B737" s="35">
        <v>3</v>
      </c>
      <c r="C737" s="35">
        <v>14</v>
      </c>
      <c r="D737" s="35">
        <v>6</v>
      </c>
      <c r="E737" s="35">
        <v>30</v>
      </c>
      <c r="F737" s="2">
        <v>59.5</v>
      </c>
      <c r="G737">
        <v>68.768840358573328</v>
      </c>
      <c r="Q737" s="17">
        <v>735</v>
      </c>
      <c r="R737" s="6">
        <v>2.37541</v>
      </c>
      <c r="S737" s="19">
        <v>-2.4628999999999999</v>
      </c>
      <c r="T737" s="6">
        <v>2.2883</v>
      </c>
      <c r="U737" s="6">
        <v>328</v>
      </c>
      <c r="W737" s="17">
        <v>735</v>
      </c>
      <c r="X737" s="6">
        <v>4.5015700000000001</v>
      </c>
      <c r="Y737" s="19">
        <v>-2.4628999999999999</v>
      </c>
      <c r="Z737" s="6">
        <v>2.2883</v>
      </c>
      <c r="AA737" s="6">
        <v>328</v>
      </c>
      <c r="AN737" s="17">
        <v>734</v>
      </c>
      <c r="AO737" s="6">
        <v>1.0666</v>
      </c>
      <c r="AP737" s="19">
        <v>-2.0373999999999999</v>
      </c>
      <c r="AQ737" s="6">
        <v>0.54220000000000002</v>
      </c>
      <c r="AR737" s="6">
        <v>328</v>
      </c>
      <c r="AT737" s="17">
        <v>734</v>
      </c>
      <c r="AU737" s="6">
        <v>0.56283000000000005</v>
      </c>
      <c r="AV737" s="19">
        <v>-2.0373999999999999</v>
      </c>
      <c r="AW737" s="6">
        <v>0.54220000000000002</v>
      </c>
      <c r="AX737" s="6">
        <v>328</v>
      </c>
    </row>
    <row r="738" spans="1:50" x14ac:dyDescent="0.25">
      <c r="A738" s="31" t="s">
        <v>132</v>
      </c>
      <c r="B738" s="32">
        <v>1</v>
      </c>
      <c r="C738" s="32">
        <v>15</v>
      </c>
      <c r="D738" s="32">
        <v>1</v>
      </c>
      <c r="E738" s="32">
        <v>30</v>
      </c>
      <c r="F738" s="2">
        <v>61.3</v>
      </c>
      <c r="G738">
        <v>58.526464972759271</v>
      </c>
      <c r="Q738" s="17">
        <v>736</v>
      </c>
      <c r="R738" s="6">
        <v>2.4060899999999998</v>
      </c>
      <c r="S738" s="6">
        <v>4.8342000000000001</v>
      </c>
      <c r="T738" s="6">
        <v>2.3178000000000001</v>
      </c>
      <c r="U738" s="6">
        <v>328</v>
      </c>
      <c r="W738" s="17">
        <v>736</v>
      </c>
      <c r="X738" s="6">
        <v>4.5597000000000003</v>
      </c>
      <c r="Y738" s="6">
        <v>4.8342000000000001</v>
      </c>
      <c r="Z738" s="6">
        <v>2.3178000000000001</v>
      </c>
      <c r="AA738" s="6">
        <v>328</v>
      </c>
      <c r="AN738" s="17">
        <v>735</v>
      </c>
      <c r="AO738" s="6">
        <v>1.0645500000000001</v>
      </c>
      <c r="AP738" s="19">
        <v>-2.5642999999999998</v>
      </c>
      <c r="AQ738" s="6">
        <v>0.54110000000000003</v>
      </c>
      <c r="AR738" s="6">
        <v>328</v>
      </c>
      <c r="AT738" s="17">
        <v>735</v>
      </c>
      <c r="AU738" s="6">
        <v>0.56174999999999997</v>
      </c>
      <c r="AV738" s="19">
        <v>-2.5642999999999998</v>
      </c>
      <c r="AW738" s="6">
        <v>0.54110000000000003</v>
      </c>
      <c r="AX738" s="6">
        <v>328</v>
      </c>
    </row>
    <row r="739" spans="1:50" x14ac:dyDescent="0.25">
      <c r="A739" s="31" t="s">
        <v>132</v>
      </c>
      <c r="B739" s="32">
        <v>2</v>
      </c>
      <c r="C739" s="32">
        <v>9</v>
      </c>
      <c r="D739" s="32">
        <v>3</v>
      </c>
      <c r="E739" s="32">
        <v>30</v>
      </c>
      <c r="F739" s="2">
        <v>61.4</v>
      </c>
      <c r="G739">
        <v>66.803463855421668</v>
      </c>
      <c r="Q739" s="17">
        <v>737</v>
      </c>
      <c r="R739" s="6">
        <v>2.39446</v>
      </c>
      <c r="S739" s="19">
        <v>-0.65859999999999996</v>
      </c>
      <c r="T739" s="6">
        <v>2.3066</v>
      </c>
      <c r="U739" s="6">
        <v>328</v>
      </c>
      <c r="W739" s="17">
        <v>737</v>
      </c>
      <c r="X739" s="6">
        <v>4.5376799999999999</v>
      </c>
      <c r="Y739" s="19">
        <v>-0.65859999999999996</v>
      </c>
      <c r="Z739" s="6">
        <v>2.3066</v>
      </c>
      <c r="AA739" s="6">
        <v>328</v>
      </c>
      <c r="AN739" s="17">
        <v>736</v>
      </c>
      <c r="AO739" s="6">
        <v>1.0828199999999999</v>
      </c>
      <c r="AP739" s="19">
        <v>-0.77449999999999997</v>
      </c>
      <c r="AQ739" s="6">
        <v>0.5504</v>
      </c>
      <c r="AR739" s="6">
        <v>328</v>
      </c>
      <c r="AT739" s="17">
        <v>736</v>
      </c>
      <c r="AU739" s="6">
        <v>0.57138999999999995</v>
      </c>
      <c r="AV739" s="19">
        <v>-0.77449999999999997</v>
      </c>
      <c r="AW739" s="6">
        <v>0.5504</v>
      </c>
      <c r="AX739" s="6">
        <v>328</v>
      </c>
    </row>
    <row r="740" spans="1:50" x14ac:dyDescent="0.25">
      <c r="A740" s="31" t="s">
        <v>132</v>
      </c>
      <c r="B740" s="32">
        <v>3</v>
      </c>
      <c r="C740" s="32">
        <v>18</v>
      </c>
      <c r="D740" s="32">
        <v>5</v>
      </c>
      <c r="E740" s="32">
        <v>30</v>
      </c>
      <c r="F740" s="2">
        <v>61.2</v>
      </c>
      <c r="G740">
        <v>61.069669082586302</v>
      </c>
      <c r="Q740" s="17">
        <v>738</v>
      </c>
      <c r="R740" s="6">
        <v>2.3898700000000002</v>
      </c>
      <c r="S740" s="6">
        <v>9.0599000000000007</v>
      </c>
      <c r="T740" s="6">
        <v>2.3022</v>
      </c>
      <c r="U740" s="6">
        <v>328</v>
      </c>
      <c r="W740" s="17">
        <v>738</v>
      </c>
      <c r="X740" s="6">
        <v>4.5289599999999997</v>
      </c>
      <c r="Y740" s="6">
        <v>9.0599000000000007</v>
      </c>
      <c r="Z740" s="6">
        <v>2.3022</v>
      </c>
      <c r="AA740" s="6">
        <v>328</v>
      </c>
      <c r="AN740" s="17">
        <v>737</v>
      </c>
      <c r="AO740" s="6">
        <v>1.0726</v>
      </c>
      <c r="AP740" s="19">
        <v>-2.4931000000000001</v>
      </c>
      <c r="AQ740" s="6">
        <v>0.54520000000000002</v>
      </c>
      <c r="AR740" s="6">
        <v>328</v>
      </c>
      <c r="AT740" s="17">
        <v>737</v>
      </c>
      <c r="AU740" s="6">
        <v>0.56599999999999995</v>
      </c>
      <c r="AV740" s="19">
        <v>-2.4931000000000001</v>
      </c>
      <c r="AW740" s="6">
        <v>0.54520000000000002</v>
      </c>
      <c r="AX740" s="6">
        <v>328</v>
      </c>
    </row>
    <row r="741" spans="1:50" x14ac:dyDescent="0.25">
      <c r="A741" s="31" t="s">
        <v>13</v>
      </c>
      <c r="B741" s="32">
        <v>1</v>
      </c>
      <c r="C741" s="36">
        <v>7</v>
      </c>
      <c r="D741" s="36">
        <v>2</v>
      </c>
      <c r="E741" s="32">
        <v>30</v>
      </c>
      <c r="F741" s="12">
        <v>57.2</v>
      </c>
      <c r="G741">
        <v>62.851799999999983</v>
      </c>
      <c r="Q741" s="17">
        <v>739</v>
      </c>
      <c r="R741" s="6">
        <v>2.3838400000000002</v>
      </c>
      <c r="S741" s="6">
        <v>4.2831999999999999</v>
      </c>
      <c r="T741" s="6">
        <v>2.2964000000000002</v>
      </c>
      <c r="U741" s="6">
        <v>328</v>
      </c>
      <c r="W741" s="17">
        <v>739</v>
      </c>
      <c r="X741" s="6">
        <v>4.51755</v>
      </c>
      <c r="Y741" s="6">
        <v>4.2831999999999999</v>
      </c>
      <c r="Z741" s="6">
        <v>2.2964000000000002</v>
      </c>
      <c r="AA741" s="6">
        <v>328</v>
      </c>
      <c r="AN741" s="17">
        <v>738</v>
      </c>
      <c r="AO741" s="6">
        <v>1.07467</v>
      </c>
      <c r="AP741" s="6">
        <v>1.7899999999999999E-2</v>
      </c>
      <c r="AQ741" s="6">
        <v>0.54630000000000001</v>
      </c>
      <c r="AR741" s="6">
        <v>328</v>
      </c>
      <c r="AT741" s="17">
        <v>738</v>
      </c>
      <c r="AU741" s="6">
        <v>0.56708999999999998</v>
      </c>
      <c r="AV741" s="6">
        <v>1.7899999999999999E-2</v>
      </c>
      <c r="AW741" s="6">
        <v>0.54630000000000001</v>
      </c>
      <c r="AX741" s="6">
        <v>328</v>
      </c>
    </row>
    <row r="742" spans="1:50" x14ac:dyDescent="0.25">
      <c r="A742" s="31" t="s">
        <v>13</v>
      </c>
      <c r="B742" s="32">
        <v>2</v>
      </c>
      <c r="C742" s="36">
        <v>3</v>
      </c>
      <c r="D742" s="36">
        <v>3</v>
      </c>
      <c r="E742" s="32">
        <v>30</v>
      </c>
      <c r="F742" s="12">
        <v>57.9</v>
      </c>
      <c r="G742">
        <v>67.114959999999996</v>
      </c>
      <c r="Q742" s="17">
        <v>740</v>
      </c>
      <c r="R742" s="6">
        <v>2.3829899999999999</v>
      </c>
      <c r="S742" s="19">
        <v>-1.6954</v>
      </c>
      <c r="T742" s="6">
        <v>2.2955999999999999</v>
      </c>
      <c r="U742" s="6">
        <v>328</v>
      </c>
      <c r="W742" s="17">
        <v>740</v>
      </c>
      <c r="X742" s="6">
        <v>4.51593</v>
      </c>
      <c r="Y742" s="19">
        <v>-1.6954</v>
      </c>
      <c r="Z742" s="6">
        <v>2.2955999999999999</v>
      </c>
      <c r="AA742" s="6">
        <v>328</v>
      </c>
      <c r="AN742" s="17">
        <v>739</v>
      </c>
      <c r="AO742" s="6">
        <v>1.0667899999999999</v>
      </c>
      <c r="AP742" s="19">
        <v>-0.85370000000000001</v>
      </c>
      <c r="AQ742" s="6">
        <v>0.5423</v>
      </c>
      <c r="AR742" s="6">
        <v>328</v>
      </c>
      <c r="AT742" s="17">
        <v>739</v>
      </c>
      <c r="AU742" s="6">
        <v>0.56293000000000004</v>
      </c>
      <c r="AV742" s="19">
        <v>-0.85370000000000001</v>
      </c>
      <c r="AW742" s="6">
        <v>0.5423</v>
      </c>
      <c r="AX742" s="6">
        <v>328</v>
      </c>
    </row>
    <row r="743" spans="1:50" x14ac:dyDescent="0.25">
      <c r="A743" s="31" t="s">
        <v>13</v>
      </c>
      <c r="B743" s="32">
        <v>3</v>
      </c>
      <c r="C743" s="36">
        <v>16</v>
      </c>
      <c r="D743" s="36">
        <v>6</v>
      </c>
      <c r="E743" s="32">
        <v>30</v>
      </c>
      <c r="F743" s="12">
        <v>56.4</v>
      </c>
      <c r="G743">
        <v>60.80415</v>
      </c>
      <c r="Q743" s="17">
        <v>741</v>
      </c>
      <c r="R743" s="6">
        <v>2.3856600000000001</v>
      </c>
      <c r="S743" s="6">
        <v>0.30630000000000002</v>
      </c>
      <c r="T743" s="6">
        <v>2.2982</v>
      </c>
      <c r="U743" s="6">
        <v>328</v>
      </c>
      <c r="W743" s="17">
        <v>741</v>
      </c>
      <c r="X743" s="6">
        <v>4.5209799999999998</v>
      </c>
      <c r="Y743" s="6">
        <v>0.30630000000000002</v>
      </c>
      <c r="Z743" s="6">
        <v>2.2982</v>
      </c>
      <c r="AA743" s="6">
        <v>328</v>
      </c>
      <c r="AN743" s="17">
        <v>740</v>
      </c>
      <c r="AO743" s="6">
        <v>1.0680400000000001</v>
      </c>
      <c r="AP743" s="19">
        <v>-1.3016000000000001</v>
      </c>
      <c r="AQ743" s="6">
        <v>0.54290000000000005</v>
      </c>
      <c r="AR743" s="6">
        <v>328</v>
      </c>
      <c r="AT743" s="17">
        <v>740</v>
      </c>
      <c r="AU743" s="6">
        <v>0.56359000000000004</v>
      </c>
      <c r="AV743" s="19">
        <v>-1.3016000000000001</v>
      </c>
      <c r="AW743" s="6">
        <v>0.54290000000000005</v>
      </c>
      <c r="AX743" s="6">
        <v>328</v>
      </c>
    </row>
    <row r="744" spans="1:50" x14ac:dyDescent="0.25">
      <c r="A744" t="s">
        <v>7</v>
      </c>
      <c r="B744" s="11">
        <v>1</v>
      </c>
      <c r="C744" s="11">
        <v>8</v>
      </c>
      <c r="D744" s="11">
        <v>3</v>
      </c>
      <c r="E744" s="11">
        <v>30</v>
      </c>
      <c r="F744" s="12">
        <v>54.4</v>
      </c>
      <c r="G744">
        <v>46.421241287753055</v>
      </c>
      <c r="Q744" s="17">
        <v>742</v>
      </c>
      <c r="R744" s="6">
        <v>2.3854199999999999</v>
      </c>
      <c r="S744" s="6">
        <v>3.0689000000000002</v>
      </c>
      <c r="T744" s="6">
        <v>2.2978999999999998</v>
      </c>
      <c r="U744" s="6">
        <v>328</v>
      </c>
      <c r="W744" s="17">
        <v>742</v>
      </c>
      <c r="X744" s="6">
        <v>4.5205299999999999</v>
      </c>
      <c r="Y744" s="6">
        <v>3.0689000000000002</v>
      </c>
      <c r="Z744" s="6">
        <v>2.2978999999999998</v>
      </c>
      <c r="AA744" s="6">
        <v>328</v>
      </c>
      <c r="AN744" s="17">
        <v>741</v>
      </c>
      <c r="AO744" s="6">
        <v>1.0727100000000001</v>
      </c>
      <c r="AP744" s="19">
        <v>-1.3037000000000001</v>
      </c>
      <c r="AQ744" s="6">
        <v>0.54530000000000001</v>
      </c>
      <c r="AR744" s="6">
        <v>328</v>
      </c>
      <c r="AT744" s="17">
        <v>741</v>
      </c>
      <c r="AU744" s="6">
        <v>0.56606000000000001</v>
      </c>
      <c r="AV744" s="19">
        <v>-1.3037000000000001</v>
      </c>
      <c r="AW744" s="6">
        <v>0.54530000000000001</v>
      </c>
      <c r="AX744" s="6">
        <v>328</v>
      </c>
    </row>
    <row r="745" spans="1:50" x14ac:dyDescent="0.25">
      <c r="A745" t="s">
        <v>7</v>
      </c>
      <c r="B745" s="11">
        <v>2</v>
      </c>
      <c r="C745" s="11">
        <v>6</v>
      </c>
      <c r="D745" s="11">
        <v>5</v>
      </c>
      <c r="E745" s="11">
        <v>30</v>
      </c>
      <c r="F745" s="12">
        <v>53.1</v>
      </c>
      <c r="G745">
        <v>35.747777831348536</v>
      </c>
      <c r="Q745" s="17">
        <v>743</v>
      </c>
      <c r="R745" s="6">
        <v>2.3828900000000002</v>
      </c>
      <c r="S745" s="6">
        <v>3.1867999999999999</v>
      </c>
      <c r="T745" s="6">
        <v>2.2955000000000001</v>
      </c>
      <c r="U745" s="6">
        <v>328</v>
      </c>
      <c r="W745" s="17">
        <v>743</v>
      </c>
      <c r="X745" s="6">
        <v>4.5157400000000001</v>
      </c>
      <c r="Y745" s="6">
        <v>3.1867999999999999</v>
      </c>
      <c r="Z745" s="6">
        <v>2.2955000000000001</v>
      </c>
      <c r="AA745" s="6">
        <v>328</v>
      </c>
      <c r="AN745" s="17">
        <v>742</v>
      </c>
      <c r="AO745" s="6">
        <v>1.0720499999999999</v>
      </c>
      <c r="AP745" s="6">
        <v>6.8490000000000001E-3</v>
      </c>
      <c r="AQ745" s="6">
        <v>0.54500000000000004</v>
      </c>
      <c r="AR745" s="6">
        <v>328</v>
      </c>
      <c r="AT745" s="17">
        <v>742</v>
      </c>
      <c r="AU745" s="6">
        <v>0.56571000000000005</v>
      </c>
      <c r="AV745" s="6">
        <v>6.8490000000000001E-3</v>
      </c>
      <c r="AW745" s="6">
        <v>0.54500000000000004</v>
      </c>
      <c r="AX745" s="6">
        <v>328</v>
      </c>
    </row>
    <row r="746" spans="1:50" x14ac:dyDescent="0.25">
      <c r="A746" t="s">
        <v>7</v>
      </c>
      <c r="B746" s="11">
        <v>3</v>
      </c>
      <c r="C746" s="11">
        <v>12</v>
      </c>
      <c r="D746" s="11">
        <v>9</v>
      </c>
      <c r="E746" s="11">
        <v>30</v>
      </c>
      <c r="F746" s="12">
        <v>53.8</v>
      </c>
      <c r="G746">
        <v>39.783203360201995</v>
      </c>
      <c r="Q746" s="17">
        <v>744</v>
      </c>
      <c r="R746" s="6">
        <v>2.39357</v>
      </c>
      <c r="S746" s="19">
        <v>-5.4370000000000003</v>
      </c>
      <c r="T746" s="6">
        <v>2.3058000000000001</v>
      </c>
      <c r="U746" s="6">
        <v>328</v>
      </c>
      <c r="W746" s="17">
        <v>744</v>
      </c>
      <c r="X746" s="6">
        <v>4.5359800000000003</v>
      </c>
      <c r="Y746" s="19">
        <v>-5.4370000000000003</v>
      </c>
      <c r="Z746" s="6">
        <v>2.3058000000000001</v>
      </c>
      <c r="AA746" s="6">
        <v>328</v>
      </c>
      <c r="AN746" s="17">
        <v>743</v>
      </c>
      <c r="AO746" s="6">
        <v>1.0668200000000001</v>
      </c>
      <c r="AP746" s="6">
        <v>0.57340000000000002</v>
      </c>
      <c r="AQ746" s="6">
        <v>0.5423</v>
      </c>
      <c r="AR746" s="6">
        <v>328</v>
      </c>
      <c r="AT746" s="17">
        <v>743</v>
      </c>
      <c r="AU746" s="6">
        <v>0.56294999999999995</v>
      </c>
      <c r="AV746" s="6">
        <v>0.57340000000000002</v>
      </c>
      <c r="AW746" s="6">
        <v>0.5423</v>
      </c>
      <c r="AX746" s="6">
        <v>328</v>
      </c>
    </row>
    <row r="747" spans="1:50" x14ac:dyDescent="0.25">
      <c r="A747" s="31" t="s">
        <v>156</v>
      </c>
      <c r="B747" s="32">
        <v>1</v>
      </c>
      <c r="C747" s="32">
        <v>23</v>
      </c>
      <c r="D747" s="32">
        <v>1</v>
      </c>
      <c r="E747" s="32">
        <v>30</v>
      </c>
      <c r="F747" s="2">
        <v>58.5</v>
      </c>
      <c r="G747">
        <v>54.077684393230797</v>
      </c>
      <c r="Q747" s="17">
        <v>745</v>
      </c>
      <c r="R747" s="6">
        <v>2.3854500000000001</v>
      </c>
      <c r="S747" s="19">
        <v>-1.7713000000000001</v>
      </c>
      <c r="T747" s="6">
        <v>2.298</v>
      </c>
      <c r="U747" s="6">
        <v>328</v>
      </c>
      <c r="W747" s="17">
        <v>745</v>
      </c>
      <c r="X747" s="6">
        <v>4.5206</v>
      </c>
      <c r="Y747" s="19">
        <v>-1.7713000000000001</v>
      </c>
      <c r="Z747" s="6">
        <v>2.298</v>
      </c>
      <c r="AA747" s="6">
        <v>328</v>
      </c>
      <c r="AN747" s="17">
        <v>744</v>
      </c>
      <c r="AO747" s="6">
        <v>1.0722700000000001</v>
      </c>
      <c r="AP747" s="19">
        <v>-1.8161</v>
      </c>
      <c r="AQ747" s="6">
        <v>0.54510000000000003</v>
      </c>
      <c r="AR747" s="6">
        <v>328</v>
      </c>
      <c r="AT747" s="17">
        <v>744</v>
      </c>
      <c r="AU747" s="6">
        <v>0.56581999999999999</v>
      </c>
      <c r="AV747" s="19">
        <v>-1.8161</v>
      </c>
      <c r="AW747" s="6">
        <v>0.54510000000000003</v>
      </c>
      <c r="AX747" s="6">
        <v>328</v>
      </c>
    </row>
    <row r="748" spans="1:50" x14ac:dyDescent="0.25">
      <c r="A748" s="31" t="s">
        <v>156</v>
      </c>
      <c r="B748" s="32">
        <v>2</v>
      </c>
      <c r="C748" s="32">
        <v>24</v>
      </c>
      <c r="D748" s="32">
        <v>3</v>
      </c>
      <c r="E748" s="32">
        <v>30</v>
      </c>
      <c r="F748" s="2">
        <v>58.3</v>
      </c>
      <c r="G748">
        <v>50.038325924497371</v>
      </c>
      <c r="Q748" s="17">
        <v>746</v>
      </c>
      <c r="R748" s="6">
        <v>2.3931399999999998</v>
      </c>
      <c r="S748" s="19">
        <v>-7.5090000000000004E-2</v>
      </c>
      <c r="T748" s="6">
        <v>2.3054000000000001</v>
      </c>
      <c r="U748" s="6">
        <v>328</v>
      </c>
      <c r="W748" s="17">
        <v>746</v>
      </c>
      <c r="X748" s="6">
        <v>4.5351600000000003</v>
      </c>
      <c r="Y748" s="19">
        <v>-7.5090000000000004E-2</v>
      </c>
      <c r="Z748" s="6">
        <v>2.3054000000000001</v>
      </c>
      <c r="AA748" s="6">
        <v>328</v>
      </c>
      <c r="AN748" s="17">
        <v>745</v>
      </c>
      <c r="AO748" s="6">
        <v>1.0696300000000001</v>
      </c>
      <c r="AP748" s="6">
        <v>0.255</v>
      </c>
      <c r="AQ748" s="6">
        <v>0.54369999999999996</v>
      </c>
      <c r="AR748" s="6">
        <v>328</v>
      </c>
      <c r="AT748" s="17">
        <v>745</v>
      </c>
      <c r="AU748" s="6">
        <v>0.56442999999999999</v>
      </c>
      <c r="AV748" s="6">
        <v>0.255</v>
      </c>
      <c r="AW748" s="6">
        <v>0.54369999999999996</v>
      </c>
      <c r="AX748" s="6">
        <v>328</v>
      </c>
    </row>
    <row r="749" spans="1:50" x14ac:dyDescent="0.25">
      <c r="A749" s="31" t="s">
        <v>156</v>
      </c>
      <c r="B749" s="32">
        <v>3</v>
      </c>
      <c r="C749" s="32">
        <v>15</v>
      </c>
      <c r="D749" s="32">
        <v>6</v>
      </c>
      <c r="E749" s="32">
        <v>30</v>
      </c>
      <c r="F749" s="2">
        <v>57.5</v>
      </c>
      <c r="G749">
        <v>51.807318363225463</v>
      </c>
      <c r="Q749" s="17">
        <v>747</v>
      </c>
      <c r="R749" s="6">
        <v>2.39486</v>
      </c>
      <c r="S749" s="19">
        <v>-1.4690000000000001</v>
      </c>
      <c r="T749" s="6">
        <v>2.3069999999999999</v>
      </c>
      <c r="U749" s="6">
        <v>328</v>
      </c>
      <c r="W749" s="17">
        <v>747</v>
      </c>
      <c r="X749" s="6">
        <v>4.53843</v>
      </c>
      <c r="Y749" s="19">
        <v>-1.4690000000000001</v>
      </c>
      <c r="Z749" s="6">
        <v>2.3069999999999999</v>
      </c>
      <c r="AA749" s="6">
        <v>328</v>
      </c>
      <c r="AN749" s="17">
        <v>746</v>
      </c>
      <c r="AO749" s="6">
        <v>1.0758300000000001</v>
      </c>
      <c r="AP749" s="6">
        <v>0.46839999999999998</v>
      </c>
      <c r="AQ749" s="6">
        <v>0.54690000000000005</v>
      </c>
      <c r="AR749" s="6">
        <v>328</v>
      </c>
      <c r="AT749" s="17">
        <v>746</v>
      </c>
      <c r="AU749" s="6">
        <v>0.56769999999999998</v>
      </c>
      <c r="AV749" s="6">
        <v>0.46839999999999998</v>
      </c>
      <c r="AW749" s="6">
        <v>0.54690000000000005</v>
      </c>
      <c r="AX749" s="6">
        <v>328</v>
      </c>
    </row>
    <row r="750" spans="1:50" x14ac:dyDescent="0.25">
      <c r="A750" s="31" t="s">
        <v>10</v>
      </c>
      <c r="B750" s="32">
        <v>1</v>
      </c>
      <c r="C750" s="32">
        <v>9</v>
      </c>
      <c r="D750" s="32">
        <v>3</v>
      </c>
      <c r="E750" s="32">
        <v>30</v>
      </c>
      <c r="F750" s="2">
        <v>57.7</v>
      </c>
      <c r="G750">
        <v>55.526182135583355</v>
      </c>
      <c r="Q750" s="17">
        <v>748</v>
      </c>
      <c r="R750" s="6">
        <v>2.3885800000000001</v>
      </c>
      <c r="S750" s="19">
        <v>-0.40229999999999999</v>
      </c>
      <c r="T750" s="6">
        <v>2.3010000000000002</v>
      </c>
      <c r="U750" s="6">
        <v>328</v>
      </c>
      <c r="W750" s="17">
        <v>748</v>
      </c>
      <c r="X750" s="6">
        <v>4.5265300000000002</v>
      </c>
      <c r="Y750" s="19">
        <v>-0.40229999999999999</v>
      </c>
      <c r="Z750" s="6">
        <v>2.3010000000000002</v>
      </c>
      <c r="AA750" s="6">
        <v>328</v>
      </c>
      <c r="AN750" s="17">
        <v>747</v>
      </c>
      <c r="AO750" s="6">
        <v>1.0765100000000001</v>
      </c>
      <c r="AP750" s="6">
        <v>0.1792</v>
      </c>
      <c r="AQ750" s="6">
        <v>0.54720000000000002</v>
      </c>
      <c r="AR750" s="6">
        <v>328</v>
      </c>
      <c r="AT750" s="17">
        <v>747</v>
      </c>
      <c r="AU750" s="6">
        <v>0.56806000000000001</v>
      </c>
      <c r="AV750" s="6">
        <v>0.1792</v>
      </c>
      <c r="AW750" s="6">
        <v>0.54720000000000002</v>
      </c>
      <c r="AX750" s="6">
        <v>328</v>
      </c>
    </row>
    <row r="751" spans="1:50" x14ac:dyDescent="0.25">
      <c r="A751" s="31" t="s">
        <v>10</v>
      </c>
      <c r="B751" s="32">
        <v>2</v>
      </c>
      <c r="C751" s="32">
        <v>2</v>
      </c>
      <c r="D751" s="32">
        <v>8</v>
      </c>
      <c r="E751" s="32">
        <v>30</v>
      </c>
      <c r="F751" s="2">
        <v>57.3</v>
      </c>
      <c r="G751">
        <v>43.3689682485821</v>
      </c>
      <c r="Q751" s="17">
        <v>749</v>
      </c>
      <c r="R751" s="6">
        <v>2.3759299999999999</v>
      </c>
      <c r="S751" s="19">
        <v>-1.9709000000000001</v>
      </c>
      <c r="T751" s="6">
        <v>2.2888000000000002</v>
      </c>
      <c r="U751" s="6">
        <v>328</v>
      </c>
      <c r="W751" s="17">
        <v>749</v>
      </c>
      <c r="X751" s="6">
        <v>4.5025500000000003</v>
      </c>
      <c r="Y751" s="19">
        <v>-1.9709000000000001</v>
      </c>
      <c r="Z751" s="6">
        <v>2.2888000000000002</v>
      </c>
      <c r="AA751" s="6">
        <v>328</v>
      </c>
      <c r="AN751" s="17">
        <v>748</v>
      </c>
      <c r="AO751" s="6">
        <v>1.0698300000000001</v>
      </c>
      <c r="AP751" s="19">
        <v>-0.90129999999999999</v>
      </c>
      <c r="AQ751" s="6">
        <v>0.54379999999999995</v>
      </c>
      <c r="AR751" s="6">
        <v>328</v>
      </c>
      <c r="AT751" s="17">
        <v>748</v>
      </c>
      <c r="AU751" s="6">
        <v>0.56452999999999998</v>
      </c>
      <c r="AV751" s="19">
        <v>-0.90129999999999999</v>
      </c>
      <c r="AW751" s="6">
        <v>0.54379999999999995</v>
      </c>
      <c r="AX751" s="6">
        <v>328</v>
      </c>
    </row>
    <row r="752" spans="1:50" x14ac:dyDescent="0.25">
      <c r="A752" s="31" t="s">
        <v>10</v>
      </c>
      <c r="B752" s="32">
        <v>3</v>
      </c>
      <c r="C752" s="32">
        <v>6</v>
      </c>
      <c r="D752" s="32">
        <v>9</v>
      </c>
      <c r="E752" s="32">
        <v>30</v>
      </c>
      <c r="F752" s="2">
        <v>59.5</v>
      </c>
      <c r="G752">
        <v>58.613992736077478</v>
      </c>
      <c r="Q752" s="17">
        <v>750</v>
      </c>
      <c r="R752" s="6">
        <v>2.3848600000000002</v>
      </c>
      <c r="S752" s="19">
        <v>-1.4678</v>
      </c>
      <c r="T752" s="6">
        <v>2.2974000000000001</v>
      </c>
      <c r="U752" s="6">
        <v>328</v>
      </c>
      <c r="W752" s="17">
        <v>750</v>
      </c>
      <c r="X752" s="6">
        <v>4.5194700000000001</v>
      </c>
      <c r="Y752" s="19">
        <v>-1.4678</v>
      </c>
      <c r="Z752" s="6">
        <v>2.2974000000000001</v>
      </c>
      <c r="AA752" s="6">
        <v>328</v>
      </c>
      <c r="AN752" s="17">
        <v>749</v>
      </c>
      <c r="AO752" s="6">
        <v>1.06532</v>
      </c>
      <c r="AP752" s="19">
        <v>-0.56179999999999997</v>
      </c>
      <c r="AQ752" s="6">
        <v>0.54149999999999998</v>
      </c>
      <c r="AR752" s="6">
        <v>328</v>
      </c>
      <c r="AT752" s="17">
        <v>749</v>
      </c>
      <c r="AU752" s="6">
        <v>0.56215000000000004</v>
      </c>
      <c r="AV752" s="19">
        <v>-0.56179999999999997</v>
      </c>
      <c r="AW752" s="6">
        <v>0.54149999999999998</v>
      </c>
      <c r="AX752" s="6">
        <v>328</v>
      </c>
    </row>
    <row r="753" spans="1:50" x14ac:dyDescent="0.25">
      <c r="A753" s="31" t="s">
        <v>11</v>
      </c>
      <c r="B753" s="32">
        <v>1</v>
      </c>
      <c r="C753" s="32">
        <v>5</v>
      </c>
      <c r="D753" s="32">
        <v>3</v>
      </c>
      <c r="E753" s="11">
        <v>30</v>
      </c>
      <c r="F753" s="2">
        <v>58.7</v>
      </c>
      <c r="G753">
        <v>33.919317101008183</v>
      </c>
      <c r="Q753" s="17">
        <v>751</v>
      </c>
      <c r="R753" s="6">
        <v>2.4007200000000002</v>
      </c>
      <c r="S753" s="6">
        <v>5.8292999999999999</v>
      </c>
      <c r="T753" s="6">
        <v>2.3127</v>
      </c>
      <c r="U753" s="6">
        <v>328</v>
      </c>
      <c r="W753" s="17">
        <v>751</v>
      </c>
      <c r="X753" s="6">
        <v>4.5495200000000002</v>
      </c>
      <c r="Y753" s="6">
        <v>5.8292999999999999</v>
      </c>
      <c r="Z753" s="6">
        <v>2.3127</v>
      </c>
      <c r="AA753" s="6">
        <v>328</v>
      </c>
      <c r="AN753" s="17">
        <v>750</v>
      </c>
      <c r="AO753" s="6">
        <v>1.07013</v>
      </c>
      <c r="AP753" s="19">
        <v>-1.0886</v>
      </c>
      <c r="AQ753" s="6">
        <v>0.54400000000000004</v>
      </c>
      <c r="AR753" s="6">
        <v>328</v>
      </c>
      <c r="AT753" s="17">
        <v>750</v>
      </c>
      <c r="AU753" s="6">
        <v>0.56469000000000003</v>
      </c>
      <c r="AV753" s="19">
        <v>-1.0886</v>
      </c>
      <c r="AW753" s="6">
        <v>0.54400000000000004</v>
      </c>
      <c r="AX753" s="6">
        <v>328</v>
      </c>
    </row>
    <row r="754" spans="1:50" x14ac:dyDescent="0.25">
      <c r="A754" s="31" t="s">
        <v>11</v>
      </c>
      <c r="B754" s="32">
        <v>2</v>
      </c>
      <c r="C754" s="32">
        <v>4</v>
      </c>
      <c r="D754" s="32">
        <v>5</v>
      </c>
      <c r="E754" s="11">
        <v>30</v>
      </c>
      <c r="F754" s="2">
        <v>60.6</v>
      </c>
      <c r="G754">
        <v>27.661778650447772</v>
      </c>
      <c r="Q754" s="17">
        <v>752</v>
      </c>
      <c r="R754" s="6">
        <v>2.3892799999999998</v>
      </c>
      <c r="S754" s="6">
        <v>0.33650000000000002</v>
      </c>
      <c r="T754" s="6">
        <v>2.3016000000000001</v>
      </c>
      <c r="U754" s="6">
        <v>328</v>
      </c>
      <c r="W754" s="17">
        <v>752</v>
      </c>
      <c r="X754" s="6">
        <v>4.5278400000000003</v>
      </c>
      <c r="Y754" s="6">
        <v>0.33650000000000002</v>
      </c>
      <c r="Z754" s="6">
        <v>2.3016000000000001</v>
      </c>
      <c r="AA754" s="6">
        <v>328</v>
      </c>
      <c r="AN754" s="17">
        <v>751</v>
      </c>
      <c r="AO754" s="6">
        <v>1.08263</v>
      </c>
      <c r="AP754" s="6">
        <v>0.70109999999999995</v>
      </c>
      <c r="AQ754" s="6">
        <v>0.55030000000000001</v>
      </c>
      <c r="AR754" s="6">
        <v>328</v>
      </c>
      <c r="AT754" s="17">
        <v>751</v>
      </c>
      <c r="AU754" s="6">
        <v>0.57128999999999996</v>
      </c>
      <c r="AV754" s="6">
        <v>0.70109999999999995</v>
      </c>
      <c r="AW754" s="6">
        <v>0.55030000000000001</v>
      </c>
      <c r="AX754" s="6">
        <v>328</v>
      </c>
    </row>
    <row r="755" spans="1:50" x14ac:dyDescent="0.25">
      <c r="A755" s="31" t="s">
        <v>11</v>
      </c>
      <c r="B755" s="32">
        <v>3</v>
      </c>
      <c r="C755" s="32">
        <v>3</v>
      </c>
      <c r="D755" s="32">
        <v>9</v>
      </c>
      <c r="E755" s="11">
        <v>30</v>
      </c>
      <c r="F755" s="2">
        <v>59.2</v>
      </c>
      <c r="G755">
        <v>41.210701264264394</v>
      </c>
      <c r="Q755" s="17">
        <v>753</v>
      </c>
      <c r="R755" s="6">
        <v>2.38436</v>
      </c>
      <c r="S755" s="6">
        <v>10.055</v>
      </c>
      <c r="T755" s="6">
        <v>2.2968999999999999</v>
      </c>
      <c r="U755" s="6">
        <v>328</v>
      </c>
      <c r="W755" s="17">
        <v>753</v>
      </c>
      <c r="X755" s="6">
        <v>4.5185199999999996</v>
      </c>
      <c r="Y755" s="6">
        <v>10.055</v>
      </c>
      <c r="Z755" s="6">
        <v>2.2968999999999999</v>
      </c>
      <c r="AA755" s="6">
        <v>328</v>
      </c>
      <c r="AN755" s="17">
        <v>752</v>
      </c>
      <c r="AO755" s="6">
        <v>1.0706500000000001</v>
      </c>
      <c r="AP755" s="19">
        <v>-1.0174000000000001</v>
      </c>
      <c r="AQ755" s="6">
        <v>0.54420000000000002</v>
      </c>
      <c r="AR755" s="6">
        <v>328</v>
      </c>
      <c r="AT755" s="17">
        <v>752</v>
      </c>
      <c r="AU755" s="6">
        <v>0.56496000000000002</v>
      </c>
      <c r="AV755" s="19">
        <v>-1.0174000000000001</v>
      </c>
      <c r="AW755" s="6">
        <v>0.54420000000000002</v>
      </c>
      <c r="AX755" s="6">
        <v>328</v>
      </c>
    </row>
    <row r="756" spans="1:50" x14ac:dyDescent="0.25">
      <c r="A756" t="s">
        <v>160</v>
      </c>
      <c r="B756" s="11">
        <v>1</v>
      </c>
      <c r="C756" s="36">
        <v>14</v>
      </c>
      <c r="D756" s="36">
        <v>1</v>
      </c>
      <c r="E756" s="32">
        <v>30</v>
      </c>
      <c r="F756" s="2">
        <v>61.3</v>
      </c>
      <c r="G756">
        <v>81.49012048192769</v>
      </c>
      <c r="Q756" s="17">
        <v>754</v>
      </c>
      <c r="R756" s="6">
        <v>2.3813900000000001</v>
      </c>
      <c r="S756" s="6">
        <v>5.2782999999999998</v>
      </c>
      <c r="T756" s="6">
        <v>2.294</v>
      </c>
      <c r="U756" s="6">
        <v>328</v>
      </c>
      <c r="W756" s="17">
        <v>754</v>
      </c>
      <c r="X756" s="6">
        <v>4.5128899999999996</v>
      </c>
      <c r="Y756" s="6">
        <v>5.2782999999999998</v>
      </c>
      <c r="Z756" s="6">
        <v>2.294</v>
      </c>
      <c r="AA756" s="6">
        <v>328</v>
      </c>
      <c r="AN756" s="17">
        <v>753</v>
      </c>
      <c r="AO756" s="6">
        <v>1.0718700000000001</v>
      </c>
      <c r="AP756" s="6">
        <v>1.4936</v>
      </c>
      <c r="AQ756" s="6">
        <v>0.54490000000000005</v>
      </c>
      <c r="AR756" s="6">
        <v>328</v>
      </c>
      <c r="AT756" s="17">
        <v>753</v>
      </c>
      <c r="AU756" s="6">
        <v>0.56560999999999995</v>
      </c>
      <c r="AV756" s="6">
        <v>1.4936</v>
      </c>
      <c r="AW756" s="6">
        <v>0.54490000000000005</v>
      </c>
      <c r="AX756" s="6">
        <v>328</v>
      </c>
    </row>
    <row r="757" spans="1:50" x14ac:dyDescent="0.25">
      <c r="A757" t="s">
        <v>160</v>
      </c>
      <c r="B757" s="11">
        <v>2</v>
      </c>
      <c r="C757" s="36">
        <v>19</v>
      </c>
      <c r="D757" s="36">
        <v>4</v>
      </c>
      <c r="E757" s="32">
        <v>30</v>
      </c>
      <c r="F757" s="2">
        <v>61.1</v>
      </c>
      <c r="G757">
        <v>82.735084853523745</v>
      </c>
      <c r="Q757" s="17">
        <v>755</v>
      </c>
      <c r="R757" s="6">
        <v>2.3894199999999999</v>
      </c>
      <c r="S757" s="19">
        <v>-0.70030000000000003</v>
      </c>
      <c r="T757" s="6">
        <v>2.3018000000000001</v>
      </c>
      <c r="U757" s="6">
        <v>328</v>
      </c>
      <c r="W757" s="17">
        <v>755</v>
      </c>
      <c r="X757" s="6">
        <v>4.5281099999999999</v>
      </c>
      <c r="Y757" s="19">
        <v>-0.70030000000000003</v>
      </c>
      <c r="Z757" s="6">
        <v>2.3018000000000001</v>
      </c>
      <c r="AA757" s="6">
        <v>328</v>
      </c>
      <c r="AN757" s="17">
        <v>754</v>
      </c>
      <c r="AO757" s="6">
        <v>1.0678399999999999</v>
      </c>
      <c r="AP757" s="6">
        <v>0.622</v>
      </c>
      <c r="AQ757" s="6">
        <v>0.54279999999999995</v>
      </c>
      <c r="AR757" s="6">
        <v>328</v>
      </c>
      <c r="AT757" s="17">
        <v>754</v>
      </c>
      <c r="AU757" s="6">
        <v>0.56347999999999998</v>
      </c>
      <c r="AV757" s="6">
        <v>0.622</v>
      </c>
      <c r="AW757" s="6">
        <v>0.54279999999999995</v>
      </c>
      <c r="AX757" s="6">
        <v>328</v>
      </c>
    </row>
    <row r="758" spans="1:50" x14ac:dyDescent="0.25">
      <c r="A758" t="s">
        <v>160</v>
      </c>
      <c r="B758" s="11">
        <v>3</v>
      </c>
      <c r="C758" s="36">
        <v>24</v>
      </c>
      <c r="D758" s="36">
        <v>6</v>
      </c>
      <c r="E758" s="32">
        <v>30</v>
      </c>
      <c r="F758" s="2">
        <v>61</v>
      </c>
      <c r="G758">
        <v>74.991267713519704</v>
      </c>
      <c r="Q758" s="17">
        <v>756</v>
      </c>
      <c r="R758" s="6">
        <v>2.38958</v>
      </c>
      <c r="S758" s="6">
        <v>1.3013999999999999</v>
      </c>
      <c r="T758" s="6">
        <v>2.3018999999999998</v>
      </c>
      <c r="U758" s="6">
        <v>328</v>
      </c>
      <c r="W758" s="17">
        <v>756</v>
      </c>
      <c r="X758" s="6">
        <v>4.5284199999999997</v>
      </c>
      <c r="Y758" s="6">
        <v>1.3013999999999999</v>
      </c>
      <c r="Z758" s="6">
        <v>2.3018999999999998</v>
      </c>
      <c r="AA758" s="6">
        <v>328</v>
      </c>
      <c r="AN758" s="17">
        <v>755</v>
      </c>
      <c r="AO758" s="6">
        <v>1.0727500000000001</v>
      </c>
      <c r="AP758" s="6">
        <v>0.1741</v>
      </c>
      <c r="AQ758" s="6">
        <v>0.54530000000000001</v>
      </c>
      <c r="AR758" s="6">
        <v>328</v>
      </c>
      <c r="AT758" s="17">
        <v>755</v>
      </c>
      <c r="AU758" s="6">
        <v>0.56608000000000003</v>
      </c>
      <c r="AV758" s="6">
        <v>0.1741</v>
      </c>
      <c r="AW758" s="6">
        <v>0.54530000000000001</v>
      </c>
      <c r="AX758" s="6">
        <v>328</v>
      </c>
    </row>
    <row r="759" spans="1:50" x14ac:dyDescent="0.25">
      <c r="A759" s="31" t="s">
        <v>116</v>
      </c>
      <c r="B759" s="32">
        <v>1</v>
      </c>
      <c r="C759" s="32">
        <v>7</v>
      </c>
      <c r="D759" s="32">
        <v>1</v>
      </c>
      <c r="E759" s="32">
        <v>31</v>
      </c>
      <c r="F759" s="12">
        <v>57.2</v>
      </c>
      <c r="G759">
        <v>60.873412445520586</v>
      </c>
      <c r="Q759" s="17">
        <v>757</v>
      </c>
      <c r="R759" s="6">
        <v>2.38374</v>
      </c>
      <c r="S759" s="6">
        <v>0.1179</v>
      </c>
      <c r="T759" s="6">
        <v>2.2963</v>
      </c>
      <c r="U759" s="6">
        <v>328</v>
      </c>
      <c r="W759" s="17">
        <v>757</v>
      </c>
      <c r="X759" s="6">
        <v>4.5173500000000004</v>
      </c>
      <c r="Y759" s="6">
        <v>0.1179</v>
      </c>
      <c r="Z759" s="6">
        <v>2.2963</v>
      </c>
      <c r="AA759" s="6">
        <v>328</v>
      </c>
      <c r="AN759" s="17">
        <v>756</v>
      </c>
      <c r="AO759" s="6">
        <v>1.07298</v>
      </c>
      <c r="AP759" s="6">
        <v>0.1719</v>
      </c>
      <c r="AQ759" s="6">
        <v>0.5454</v>
      </c>
      <c r="AR759" s="6">
        <v>328</v>
      </c>
      <c r="AT759" s="17">
        <v>756</v>
      </c>
      <c r="AU759" s="6">
        <v>0.56620000000000004</v>
      </c>
      <c r="AV759" s="6">
        <v>0.1719</v>
      </c>
      <c r="AW759" s="6">
        <v>0.5454</v>
      </c>
      <c r="AX759" s="6">
        <v>328</v>
      </c>
    </row>
    <row r="760" spans="1:50" x14ac:dyDescent="0.25">
      <c r="A760" s="31" t="s">
        <v>116</v>
      </c>
      <c r="B760" s="32">
        <v>2</v>
      </c>
      <c r="C760" s="32">
        <v>5</v>
      </c>
      <c r="D760" s="32">
        <v>6</v>
      </c>
      <c r="E760" s="32">
        <v>31</v>
      </c>
      <c r="F760" s="12">
        <v>56.6</v>
      </c>
      <c r="G760">
        <v>62.56386142198815</v>
      </c>
      <c r="Q760" s="17">
        <v>758</v>
      </c>
      <c r="R760" s="6">
        <v>2.3911600000000002</v>
      </c>
      <c r="S760" s="19">
        <v>-8.5059000000000005</v>
      </c>
      <c r="T760" s="6">
        <v>2.3035000000000001</v>
      </c>
      <c r="U760" s="6">
        <v>328</v>
      </c>
      <c r="W760" s="17">
        <v>758</v>
      </c>
      <c r="X760" s="6">
        <v>4.5314100000000002</v>
      </c>
      <c r="Y760" s="19">
        <v>-8.5059000000000005</v>
      </c>
      <c r="Z760" s="6">
        <v>2.3035000000000001</v>
      </c>
      <c r="AA760" s="6">
        <v>328</v>
      </c>
      <c r="AN760" s="17">
        <v>757</v>
      </c>
      <c r="AO760" s="6">
        <v>1.06677</v>
      </c>
      <c r="AP760" s="6">
        <v>0.5665</v>
      </c>
      <c r="AQ760" s="6">
        <v>0.5423</v>
      </c>
      <c r="AR760" s="6">
        <v>328</v>
      </c>
      <c r="AT760" s="17">
        <v>757</v>
      </c>
      <c r="AU760" s="6">
        <v>0.56291999999999998</v>
      </c>
      <c r="AV760" s="6">
        <v>0.5665</v>
      </c>
      <c r="AW760" s="6">
        <v>0.5423</v>
      </c>
      <c r="AX760" s="6">
        <v>328</v>
      </c>
    </row>
    <row r="761" spans="1:50" x14ac:dyDescent="0.25">
      <c r="A761" s="31" t="s">
        <v>116</v>
      </c>
      <c r="B761" s="32">
        <v>3</v>
      </c>
      <c r="C761" s="32">
        <v>10</v>
      </c>
      <c r="D761" s="32">
        <v>10</v>
      </c>
      <c r="E761" s="32">
        <v>31</v>
      </c>
      <c r="F761" s="12">
        <v>55.6</v>
      </c>
      <c r="G761">
        <v>68.827462184873951</v>
      </c>
      <c r="Q761" s="17">
        <v>759</v>
      </c>
      <c r="R761" s="6">
        <v>2.38469</v>
      </c>
      <c r="S761" s="19">
        <v>-4.8402000000000003</v>
      </c>
      <c r="T761" s="6">
        <v>2.2972000000000001</v>
      </c>
      <c r="U761" s="6">
        <v>328</v>
      </c>
      <c r="W761" s="17">
        <v>759</v>
      </c>
      <c r="X761" s="6">
        <v>4.5191499999999998</v>
      </c>
      <c r="Y761" s="19">
        <v>-4.8402000000000003</v>
      </c>
      <c r="Z761" s="6">
        <v>2.2972000000000001</v>
      </c>
      <c r="AA761" s="6">
        <v>328</v>
      </c>
      <c r="AN761" s="17">
        <v>758</v>
      </c>
      <c r="AO761" s="6">
        <v>1.0715600000000001</v>
      </c>
      <c r="AP761" s="19">
        <v>-1.823</v>
      </c>
      <c r="AQ761" s="6">
        <v>0.54469999999999996</v>
      </c>
      <c r="AR761" s="6">
        <v>328</v>
      </c>
      <c r="AT761" s="17">
        <v>758</v>
      </c>
      <c r="AU761" s="6">
        <v>0.56545000000000001</v>
      </c>
      <c r="AV761" s="19">
        <v>-1.823</v>
      </c>
      <c r="AW761" s="6">
        <v>0.54469999999999996</v>
      </c>
      <c r="AX761" s="6">
        <v>328</v>
      </c>
    </row>
    <row r="762" spans="1:50" x14ac:dyDescent="0.25">
      <c r="A762" s="34" t="s">
        <v>97</v>
      </c>
      <c r="B762" s="35">
        <v>1</v>
      </c>
      <c r="C762" s="35">
        <v>20</v>
      </c>
      <c r="D762" s="35">
        <v>2</v>
      </c>
      <c r="E762" s="35">
        <v>31</v>
      </c>
      <c r="F762" s="2">
        <v>58.3</v>
      </c>
      <c r="G762">
        <v>62.957021522461361</v>
      </c>
      <c r="Q762" s="17">
        <v>760</v>
      </c>
      <c r="R762" s="6">
        <v>2.3841899999999998</v>
      </c>
      <c r="S762" s="19">
        <v>-3.1440000000000001</v>
      </c>
      <c r="T762" s="6">
        <v>2.2967</v>
      </c>
      <c r="U762" s="6">
        <v>328</v>
      </c>
      <c r="W762" s="17">
        <v>760</v>
      </c>
      <c r="X762" s="6">
        <v>4.5182099999999998</v>
      </c>
      <c r="Y762" s="19">
        <v>-3.1440000000000001</v>
      </c>
      <c r="Z762" s="6">
        <v>2.2967</v>
      </c>
      <c r="AA762" s="6">
        <v>328</v>
      </c>
      <c r="AN762" s="17">
        <v>759</v>
      </c>
      <c r="AO762" s="6">
        <v>1.0678799999999999</v>
      </c>
      <c r="AP762" s="6">
        <v>0.2482</v>
      </c>
      <c r="AQ762" s="6">
        <v>0.54279999999999995</v>
      </c>
      <c r="AR762" s="6">
        <v>328</v>
      </c>
      <c r="AT762" s="17">
        <v>759</v>
      </c>
      <c r="AU762" s="6">
        <v>0.5635</v>
      </c>
      <c r="AV762" s="6">
        <v>0.2482</v>
      </c>
      <c r="AW762" s="6">
        <v>0.54279999999999995</v>
      </c>
      <c r="AX762" s="6">
        <v>328</v>
      </c>
    </row>
    <row r="763" spans="1:50" x14ac:dyDescent="0.25">
      <c r="A763" s="34" t="s">
        <v>97</v>
      </c>
      <c r="B763" s="35">
        <v>2</v>
      </c>
      <c r="C763" s="35">
        <v>15</v>
      </c>
      <c r="D763" s="35">
        <v>4</v>
      </c>
      <c r="E763" s="35">
        <v>31</v>
      </c>
      <c r="F763" s="2">
        <v>60.1</v>
      </c>
      <c r="G763">
        <v>65.286608341323117</v>
      </c>
      <c r="Q763" s="17">
        <v>761</v>
      </c>
      <c r="R763" s="6">
        <v>2.3986999999999998</v>
      </c>
      <c r="S763" s="19">
        <v>-4.5378999999999996</v>
      </c>
      <c r="T763" s="6">
        <v>2.3107000000000002</v>
      </c>
      <c r="U763" s="6">
        <v>328</v>
      </c>
      <c r="W763" s="17">
        <v>761</v>
      </c>
      <c r="X763" s="6">
        <v>4.5457000000000001</v>
      </c>
      <c r="Y763" s="19">
        <v>-4.5378999999999996</v>
      </c>
      <c r="Z763" s="6">
        <v>2.3107000000000002</v>
      </c>
      <c r="AA763" s="6">
        <v>328</v>
      </c>
      <c r="AN763" s="17">
        <v>760</v>
      </c>
      <c r="AO763" s="6">
        <v>1.0703100000000001</v>
      </c>
      <c r="AP763" s="6">
        <v>0.46150000000000002</v>
      </c>
      <c r="AQ763" s="6">
        <v>0.54410000000000003</v>
      </c>
      <c r="AR763" s="6">
        <v>328</v>
      </c>
      <c r="AT763" s="17">
        <v>760</v>
      </c>
      <c r="AU763" s="6">
        <v>0.56479000000000001</v>
      </c>
      <c r="AV763" s="6">
        <v>0.46150000000000002</v>
      </c>
      <c r="AW763" s="6">
        <v>0.54410000000000003</v>
      </c>
      <c r="AX763" s="6">
        <v>328</v>
      </c>
    </row>
    <row r="764" spans="1:50" x14ac:dyDescent="0.25">
      <c r="A764" s="34" t="s">
        <v>97</v>
      </c>
      <c r="B764" s="35">
        <v>3</v>
      </c>
      <c r="C764" s="35">
        <v>8</v>
      </c>
      <c r="D764" s="35">
        <v>5</v>
      </c>
      <c r="E764" s="35">
        <v>31</v>
      </c>
      <c r="F764" s="2">
        <v>59.3</v>
      </c>
      <c r="G764">
        <v>69.896769817719374</v>
      </c>
      <c r="Q764" s="17">
        <v>762</v>
      </c>
      <c r="R764" s="6">
        <v>2.38693</v>
      </c>
      <c r="S764" s="19">
        <v>-3.4712000000000001</v>
      </c>
      <c r="T764" s="6">
        <v>2.2993999999999999</v>
      </c>
      <c r="U764" s="6">
        <v>328</v>
      </c>
      <c r="W764" s="17">
        <v>762</v>
      </c>
      <c r="X764" s="6">
        <v>4.52339</v>
      </c>
      <c r="Y764" s="19">
        <v>-3.4712000000000001</v>
      </c>
      <c r="Z764" s="6">
        <v>2.2993999999999999</v>
      </c>
      <c r="AA764" s="6">
        <v>328</v>
      </c>
      <c r="AN764" s="17">
        <v>761</v>
      </c>
      <c r="AO764" s="6">
        <v>1.0808800000000001</v>
      </c>
      <c r="AP764" s="6">
        <v>0.1724</v>
      </c>
      <c r="AQ764" s="6">
        <v>0.5494</v>
      </c>
      <c r="AR764" s="6">
        <v>328</v>
      </c>
      <c r="AT764" s="17">
        <v>761</v>
      </c>
      <c r="AU764" s="6">
        <v>0.57035999999999998</v>
      </c>
      <c r="AV764" s="6">
        <v>0.1724</v>
      </c>
      <c r="AW764" s="6">
        <v>0.5494</v>
      </c>
      <c r="AX764" s="6">
        <v>328</v>
      </c>
    </row>
    <row r="765" spans="1:50" x14ac:dyDescent="0.25">
      <c r="A765" s="31" t="s">
        <v>132</v>
      </c>
      <c r="B765" s="32">
        <v>1</v>
      </c>
      <c r="C765" s="32">
        <v>4</v>
      </c>
      <c r="D765" s="32">
        <v>1</v>
      </c>
      <c r="E765" s="32">
        <v>31</v>
      </c>
      <c r="F765" s="2">
        <v>60</v>
      </c>
      <c r="G765">
        <v>63.805812641627689</v>
      </c>
      <c r="Q765" s="17">
        <v>763</v>
      </c>
      <c r="R765" s="6">
        <v>2.37479</v>
      </c>
      <c r="S765" s="19">
        <v>-5.0397999999999996</v>
      </c>
      <c r="T765" s="6">
        <v>2.2877000000000001</v>
      </c>
      <c r="U765" s="6">
        <v>328</v>
      </c>
      <c r="W765" s="17">
        <v>763</v>
      </c>
      <c r="X765" s="6">
        <v>4.5003900000000003</v>
      </c>
      <c r="Y765" s="19">
        <v>-5.0397999999999996</v>
      </c>
      <c r="Z765" s="6">
        <v>2.2877000000000001</v>
      </c>
      <c r="AA765" s="6">
        <v>328</v>
      </c>
      <c r="AN765" s="17">
        <v>762</v>
      </c>
      <c r="AO765" s="6">
        <v>1.06752</v>
      </c>
      <c r="AP765" s="19">
        <v>-0.90820000000000001</v>
      </c>
      <c r="AQ765" s="6">
        <v>0.54269999999999996</v>
      </c>
      <c r="AR765" s="6">
        <v>328</v>
      </c>
      <c r="AT765" s="17">
        <v>762</v>
      </c>
      <c r="AU765" s="6">
        <v>0.56332000000000004</v>
      </c>
      <c r="AV765" s="19">
        <v>-0.90820000000000001</v>
      </c>
      <c r="AW765" s="6">
        <v>0.54269999999999996</v>
      </c>
      <c r="AX765" s="6">
        <v>328</v>
      </c>
    </row>
    <row r="766" spans="1:50" x14ac:dyDescent="0.25">
      <c r="A766" s="31" t="s">
        <v>132</v>
      </c>
      <c r="B766" s="32">
        <v>2</v>
      </c>
      <c r="C766" s="32">
        <v>19</v>
      </c>
      <c r="D766" s="32">
        <v>4</v>
      </c>
      <c r="E766" s="32">
        <v>31</v>
      </c>
      <c r="F766" s="2">
        <v>61.8</v>
      </c>
      <c r="G766">
        <v>57.785023622814272</v>
      </c>
      <c r="Q766" s="17">
        <v>764</v>
      </c>
      <c r="R766" s="6">
        <v>2.3754599999999999</v>
      </c>
      <c r="S766" s="19">
        <v>-4.5366999999999997</v>
      </c>
      <c r="T766" s="6">
        <v>2.2883</v>
      </c>
      <c r="U766" s="6">
        <v>328</v>
      </c>
      <c r="W766" s="17">
        <v>764</v>
      </c>
      <c r="X766" s="6">
        <v>4.5016600000000002</v>
      </c>
      <c r="Y766" s="19">
        <v>-4.5366999999999997</v>
      </c>
      <c r="Z766" s="6">
        <v>2.2883</v>
      </c>
      <c r="AA766" s="6">
        <v>328</v>
      </c>
      <c r="AN766" s="17">
        <v>763</v>
      </c>
      <c r="AO766" s="6">
        <v>1.0618099999999999</v>
      </c>
      <c r="AP766" s="19">
        <v>-0.56859999999999999</v>
      </c>
      <c r="AQ766" s="6">
        <v>0.53979999999999995</v>
      </c>
      <c r="AR766" s="6">
        <v>328</v>
      </c>
      <c r="AT766" s="17">
        <v>763</v>
      </c>
      <c r="AU766" s="6">
        <v>0.56030000000000002</v>
      </c>
      <c r="AV766" s="19">
        <v>-0.56859999999999999</v>
      </c>
      <c r="AW766" s="6">
        <v>0.53979999999999995</v>
      </c>
      <c r="AX766" s="6">
        <v>328</v>
      </c>
    </row>
    <row r="767" spans="1:50" x14ac:dyDescent="0.25">
      <c r="A767" s="31" t="s">
        <v>132</v>
      </c>
      <c r="B767" s="32">
        <v>3</v>
      </c>
      <c r="C767" s="32">
        <v>8</v>
      </c>
      <c r="D767" s="32">
        <v>6</v>
      </c>
      <c r="E767" s="32">
        <v>31</v>
      </c>
      <c r="F767" s="12">
        <v>59.9</v>
      </c>
      <c r="G767">
        <v>58.02890076556406</v>
      </c>
      <c r="Q767" s="17">
        <v>765</v>
      </c>
      <c r="R767" s="6">
        <v>2.39385</v>
      </c>
      <c r="S767" s="6">
        <v>2.7604000000000002</v>
      </c>
      <c r="T767" s="6">
        <v>2.306</v>
      </c>
      <c r="U767" s="6">
        <v>328</v>
      </c>
      <c r="W767" s="17">
        <v>765</v>
      </c>
      <c r="X767" s="6">
        <v>4.5365000000000002</v>
      </c>
      <c r="Y767" s="6">
        <v>2.7604000000000002</v>
      </c>
      <c r="Z767" s="6">
        <v>2.306</v>
      </c>
      <c r="AA767" s="6">
        <v>328</v>
      </c>
      <c r="AN767" s="17">
        <v>764</v>
      </c>
      <c r="AO767" s="6">
        <v>1.0636300000000001</v>
      </c>
      <c r="AP767" s="19">
        <v>-1.0954999999999999</v>
      </c>
      <c r="AQ767" s="6">
        <v>0.54069999999999996</v>
      </c>
      <c r="AR767" s="6">
        <v>328</v>
      </c>
      <c r="AT767" s="17">
        <v>764</v>
      </c>
      <c r="AU767" s="6">
        <v>0.56125999999999998</v>
      </c>
      <c r="AV767" s="19">
        <v>-1.0954999999999999</v>
      </c>
      <c r="AW767" s="6">
        <v>0.54069999999999996</v>
      </c>
      <c r="AX767" s="6">
        <v>328</v>
      </c>
    </row>
    <row r="768" spans="1:50" x14ac:dyDescent="0.25">
      <c r="A768" s="31" t="s">
        <v>13</v>
      </c>
      <c r="B768" s="32">
        <v>1</v>
      </c>
      <c r="C768" s="36">
        <v>16</v>
      </c>
      <c r="D768" s="36">
        <v>2</v>
      </c>
      <c r="E768" s="32">
        <v>31</v>
      </c>
      <c r="F768" s="12">
        <v>57.1</v>
      </c>
      <c r="G768">
        <v>63.494199999999999</v>
      </c>
      <c r="Q768" s="17">
        <v>766</v>
      </c>
      <c r="R768" s="6">
        <v>2.3835899999999999</v>
      </c>
      <c r="S768" s="19">
        <v>-2.7324000000000002</v>
      </c>
      <c r="T768" s="6">
        <v>2.2961999999999998</v>
      </c>
      <c r="U768" s="6">
        <v>328</v>
      </c>
      <c r="W768" s="17">
        <v>766</v>
      </c>
      <c r="X768" s="6">
        <v>4.5170700000000004</v>
      </c>
      <c r="Y768" s="19">
        <v>-2.7324000000000002</v>
      </c>
      <c r="Z768" s="6">
        <v>2.2961999999999998</v>
      </c>
      <c r="AA768" s="6">
        <v>328</v>
      </c>
      <c r="AN768" s="17">
        <v>765</v>
      </c>
      <c r="AO768" s="6">
        <v>1.0767199999999999</v>
      </c>
      <c r="AP768" s="6">
        <v>0.69430000000000003</v>
      </c>
      <c r="AQ768" s="6">
        <v>0.54730000000000001</v>
      </c>
      <c r="AR768" s="6">
        <v>328</v>
      </c>
      <c r="AT768" s="17">
        <v>765</v>
      </c>
      <c r="AU768" s="6">
        <v>0.56816999999999995</v>
      </c>
      <c r="AV768" s="6">
        <v>0.69430000000000003</v>
      </c>
      <c r="AW768" s="6">
        <v>0.54730000000000001</v>
      </c>
      <c r="AX768" s="6">
        <v>328</v>
      </c>
    </row>
    <row r="769" spans="1:50" x14ac:dyDescent="0.25">
      <c r="A769" s="31" t="s">
        <v>13</v>
      </c>
      <c r="B769" s="32">
        <v>2</v>
      </c>
      <c r="C769" s="36">
        <v>14</v>
      </c>
      <c r="D769" s="36">
        <v>4</v>
      </c>
      <c r="E769" s="32">
        <v>31</v>
      </c>
      <c r="F769" s="12">
        <v>56.9</v>
      </c>
      <c r="G769">
        <v>56.328799999999994</v>
      </c>
      <c r="Q769" s="17">
        <v>767</v>
      </c>
      <c r="R769" s="6">
        <v>2.39621</v>
      </c>
      <c r="S769" s="6">
        <v>6.9861000000000004</v>
      </c>
      <c r="T769" s="6">
        <v>2.3083</v>
      </c>
      <c r="U769" s="6">
        <v>328</v>
      </c>
      <c r="W769" s="17">
        <v>767</v>
      </c>
      <c r="X769" s="6">
        <v>4.5409899999999999</v>
      </c>
      <c r="Y769" s="6">
        <v>6.9861000000000004</v>
      </c>
      <c r="Z769" s="6">
        <v>2.3083</v>
      </c>
      <c r="AA769" s="6">
        <v>328</v>
      </c>
      <c r="AN769" s="17">
        <v>766</v>
      </c>
      <c r="AO769" s="6">
        <v>1.0672999999999999</v>
      </c>
      <c r="AP769" s="19">
        <v>-1.0243</v>
      </c>
      <c r="AQ769" s="6">
        <v>0.54249999999999998</v>
      </c>
      <c r="AR769" s="6">
        <v>328</v>
      </c>
      <c r="AT769" s="17">
        <v>766</v>
      </c>
      <c r="AU769" s="6">
        <v>0.56320000000000003</v>
      </c>
      <c r="AV769" s="19">
        <v>-1.0243</v>
      </c>
      <c r="AW769" s="6">
        <v>0.54249999999999998</v>
      </c>
      <c r="AX769" s="6">
        <v>328</v>
      </c>
    </row>
    <row r="770" spans="1:50" x14ac:dyDescent="0.25">
      <c r="A770" s="31" t="s">
        <v>13</v>
      </c>
      <c r="B770" s="32">
        <v>3</v>
      </c>
      <c r="C770" s="36">
        <v>4</v>
      </c>
      <c r="D770" s="36">
        <v>5</v>
      </c>
      <c r="E770" s="32">
        <v>31</v>
      </c>
      <c r="F770" s="12">
        <v>57.5</v>
      </c>
      <c r="G770">
        <v>54.189629999999994</v>
      </c>
      <c r="Q770" s="17">
        <v>768</v>
      </c>
      <c r="R770" s="6">
        <v>2.3827500000000001</v>
      </c>
      <c r="S770" s="6">
        <v>2.2094</v>
      </c>
      <c r="T770" s="6">
        <v>2.2953999999999999</v>
      </c>
      <c r="U770" s="6">
        <v>328</v>
      </c>
      <c r="W770" s="17">
        <v>768</v>
      </c>
      <c r="X770" s="6">
        <v>4.5154699999999997</v>
      </c>
      <c r="Y770" s="6">
        <v>2.2094</v>
      </c>
      <c r="Z770" s="6">
        <v>2.2953999999999999</v>
      </c>
      <c r="AA770" s="6">
        <v>328</v>
      </c>
      <c r="AN770" s="17">
        <v>767</v>
      </c>
      <c r="AO770" s="6">
        <v>1.0775600000000001</v>
      </c>
      <c r="AP770" s="6">
        <v>1.4866999999999999</v>
      </c>
      <c r="AQ770" s="6">
        <v>0.54779999999999995</v>
      </c>
      <c r="AR770" s="6">
        <v>328</v>
      </c>
      <c r="AT770" s="17">
        <v>767</v>
      </c>
      <c r="AU770" s="6">
        <v>0.56860999999999995</v>
      </c>
      <c r="AV770" s="6">
        <v>1.4866999999999999</v>
      </c>
      <c r="AW770" s="6">
        <v>0.54779999999999995</v>
      </c>
      <c r="AX770" s="6">
        <v>328</v>
      </c>
    </row>
    <row r="771" spans="1:50" x14ac:dyDescent="0.25">
      <c r="A771" t="s">
        <v>7</v>
      </c>
      <c r="B771" s="11">
        <v>1</v>
      </c>
      <c r="C771" s="11">
        <v>9</v>
      </c>
      <c r="D771" s="11">
        <v>4</v>
      </c>
      <c r="E771" s="11">
        <v>31</v>
      </c>
      <c r="F771" s="12">
        <v>55.3</v>
      </c>
      <c r="G771">
        <v>44.32580772067864</v>
      </c>
      <c r="Q771" s="17">
        <v>769</v>
      </c>
      <c r="R771" s="6">
        <v>2.3785099999999999</v>
      </c>
      <c r="S771" s="19">
        <v>-3.7692000000000001</v>
      </c>
      <c r="T771" s="6">
        <v>2.2913000000000001</v>
      </c>
      <c r="U771" s="6">
        <v>328</v>
      </c>
      <c r="W771" s="17">
        <v>769</v>
      </c>
      <c r="X771" s="6">
        <v>4.5074500000000004</v>
      </c>
      <c r="Y771" s="19">
        <v>-3.7692000000000001</v>
      </c>
      <c r="Z771" s="6">
        <v>2.2913000000000001</v>
      </c>
      <c r="AA771" s="6">
        <v>328</v>
      </c>
      <c r="AN771" s="17">
        <v>768</v>
      </c>
      <c r="AO771" s="6">
        <v>1.0670599999999999</v>
      </c>
      <c r="AP771" s="6">
        <v>0.61509999999999998</v>
      </c>
      <c r="AQ771" s="6">
        <v>0.54239999999999999</v>
      </c>
      <c r="AR771" s="6">
        <v>328</v>
      </c>
      <c r="AT771" s="17">
        <v>768</v>
      </c>
      <c r="AU771" s="6">
        <v>0.56306999999999996</v>
      </c>
      <c r="AV771" s="6">
        <v>0.61509999999999998</v>
      </c>
      <c r="AW771" s="6">
        <v>0.54239999999999999</v>
      </c>
      <c r="AX771" s="6">
        <v>328</v>
      </c>
    </row>
    <row r="772" spans="1:50" x14ac:dyDescent="0.25">
      <c r="A772" t="s">
        <v>7</v>
      </c>
      <c r="B772" s="11">
        <v>2</v>
      </c>
      <c r="C772" s="11">
        <v>7</v>
      </c>
      <c r="D772" s="11">
        <v>8</v>
      </c>
      <c r="E772" s="11">
        <v>31</v>
      </c>
      <c r="F772" s="12">
        <v>52.1</v>
      </c>
      <c r="G772">
        <v>44.542763227961466</v>
      </c>
      <c r="Q772" s="17">
        <v>770</v>
      </c>
      <c r="R772" s="6">
        <v>2.3835700000000002</v>
      </c>
      <c r="S772" s="19">
        <v>-1.7675000000000001</v>
      </c>
      <c r="T772" s="6">
        <v>2.2961</v>
      </c>
      <c r="U772" s="6">
        <v>328</v>
      </c>
      <c r="W772" s="17">
        <v>770</v>
      </c>
      <c r="X772" s="6">
        <v>4.5170300000000001</v>
      </c>
      <c r="Y772" s="19">
        <v>-1.7675000000000001</v>
      </c>
      <c r="Z772" s="6">
        <v>2.2961</v>
      </c>
      <c r="AA772" s="6">
        <v>328</v>
      </c>
      <c r="AN772" s="17">
        <v>769</v>
      </c>
      <c r="AO772" s="6">
        <v>1.06846</v>
      </c>
      <c r="AP772" s="6">
        <v>0.16719999999999999</v>
      </c>
      <c r="AQ772" s="6">
        <v>0.54310000000000003</v>
      </c>
      <c r="AR772" s="6">
        <v>328</v>
      </c>
      <c r="AT772" s="17">
        <v>769</v>
      </c>
      <c r="AU772" s="6">
        <v>0.56381000000000003</v>
      </c>
      <c r="AV772" s="6">
        <v>0.16719999999999999</v>
      </c>
      <c r="AW772" s="6">
        <v>0.54310000000000003</v>
      </c>
      <c r="AX772" s="6">
        <v>328</v>
      </c>
    </row>
    <row r="773" spans="1:50" x14ac:dyDescent="0.25">
      <c r="A773" t="s">
        <v>7</v>
      </c>
      <c r="B773" s="11">
        <v>3</v>
      </c>
      <c r="C773" s="11">
        <v>8</v>
      </c>
      <c r="D773" s="11">
        <v>9</v>
      </c>
      <c r="E773" s="11">
        <v>31</v>
      </c>
      <c r="F773" s="12">
        <v>51</v>
      </c>
      <c r="G773">
        <v>46.078601534427492</v>
      </c>
      <c r="Q773" s="17">
        <v>771</v>
      </c>
      <c r="R773" s="6">
        <v>2.3713199999999999</v>
      </c>
      <c r="S773" s="19">
        <v>-8.6237999999999992</v>
      </c>
      <c r="T773" s="6">
        <v>2.2843</v>
      </c>
      <c r="U773" s="6">
        <v>328</v>
      </c>
      <c r="W773" s="17">
        <v>771</v>
      </c>
      <c r="X773" s="6">
        <v>4.4938099999999999</v>
      </c>
      <c r="Y773" s="19">
        <v>-8.6237999999999992</v>
      </c>
      <c r="Z773" s="6">
        <v>2.2843</v>
      </c>
      <c r="AA773" s="6">
        <v>328</v>
      </c>
      <c r="AN773" s="17">
        <v>770</v>
      </c>
      <c r="AO773" s="6">
        <v>1.0707800000000001</v>
      </c>
      <c r="AP773" s="6">
        <v>0.1651</v>
      </c>
      <c r="AQ773" s="6">
        <v>0.54430000000000001</v>
      </c>
      <c r="AR773" s="6">
        <v>328</v>
      </c>
      <c r="AT773" s="17">
        <v>770</v>
      </c>
      <c r="AU773" s="6">
        <v>0.56503000000000003</v>
      </c>
      <c r="AV773" s="6">
        <v>0.1651</v>
      </c>
      <c r="AW773" s="6">
        <v>0.54430000000000001</v>
      </c>
      <c r="AX773" s="6">
        <v>328</v>
      </c>
    </row>
    <row r="774" spans="1:50" x14ac:dyDescent="0.25">
      <c r="A774" s="31" t="s">
        <v>156</v>
      </c>
      <c r="B774" s="32">
        <v>1</v>
      </c>
      <c r="C774" s="32">
        <v>13</v>
      </c>
      <c r="D774" s="32">
        <v>1</v>
      </c>
      <c r="E774" s="32">
        <v>31</v>
      </c>
      <c r="F774" s="2">
        <v>56.4</v>
      </c>
      <c r="G774">
        <v>44.860016392652241</v>
      </c>
      <c r="Q774" s="17">
        <v>772</v>
      </c>
      <c r="R774" s="6">
        <v>2.3741099999999999</v>
      </c>
      <c r="S774" s="19">
        <v>-4.9581</v>
      </c>
      <c r="T774" s="6">
        <v>2.2869999999999999</v>
      </c>
      <c r="U774" s="6">
        <v>328</v>
      </c>
      <c r="W774" s="17">
        <v>772</v>
      </c>
      <c r="X774" s="6">
        <v>4.4991000000000003</v>
      </c>
      <c r="Y774" s="19">
        <v>-4.9581</v>
      </c>
      <c r="Z774" s="6">
        <v>2.2869999999999999</v>
      </c>
      <c r="AA774" s="6">
        <v>328</v>
      </c>
      <c r="AN774" s="17">
        <v>771</v>
      </c>
      <c r="AO774" s="6">
        <v>1.0570200000000001</v>
      </c>
      <c r="AP774" s="19">
        <v>-2.3895</v>
      </c>
      <c r="AQ774" s="6">
        <v>0.5373</v>
      </c>
      <c r="AR774" s="6">
        <v>328</v>
      </c>
      <c r="AT774" s="17">
        <v>771</v>
      </c>
      <c r="AU774" s="6">
        <v>0.55776999999999999</v>
      </c>
      <c r="AV774" s="19">
        <v>-2.3895</v>
      </c>
      <c r="AW774" s="6">
        <v>0.5373</v>
      </c>
      <c r="AX774" s="6">
        <v>328</v>
      </c>
    </row>
    <row r="775" spans="1:50" x14ac:dyDescent="0.25">
      <c r="A775" s="31" t="s">
        <v>156</v>
      </c>
      <c r="B775" s="32">
        <v>2</v>
      </c>
      <c r="C775" s="32">
        <v>23</v>
      </c>
      <c r="D775" s="32">
        <v>3</v>
      </c>
      <c r="E775" s="32">
        <v>31</v>
      </c>
      <c r="F775" s="2">
        <v>58.6</v>
      </c>
      <c r="G775">
        <v>44.320268068077723</v>
      </c>
      <c r="Q775" s="17">
        <v>773</v>
      </c>
      <c r="R775" s="6">
        <v>2.39235</v>
      </c>
      <c r="S775" s="19">
        <v>-3.2618999999999998</v>
      </c>
      <c r="T775" s="6">
        <v>2.3046000000000002</v>
      </c>
      <c r="U775" s="6">
        <v>328</v>
      </c>
      <c r="W775" s="17">
        <v>773</v>
      </c>
      <c r="X775" s="6">
        <v>4.5336699999999999</v>
      </c>
      <c r="Y775" s="19">
        <v>-3.2618999999999998</v>
      </c>
      <c r="Z775" s="6">
        <v>2.3046000000000002</v>
      </c>
      <c r="AA775" s="6">
        <v>328</v>
      </c>
      <c r="AN775" s="17">
        <v>772</v>
      </c>
      <c r="AO775" s="6">
        <v>1.06328</v>
      </c>
      <c r="AP775" s="19">
        <v>-0.31830000000000003</v>
      </c>
      <c r="AQ775" s="6">
        <v>0.54049999999999998</v>
      </c>
      <c r="AR775" s="6">
        <v>328</v>
      </c>
      <c r="AT775" s="17">
        <v>772</v>
      </c>
      <c r="AU775" s="6">
        <v>0.56108000000000002</v>
      </c>
      <c r="AV775" s="19">
        <v>-0.31830000000000003</v>
      </c>
      <c r="AW775" s="6">
        <v>0.54049999999999998</v>
      </c>
      <c r="AX775" s="6">
        <v>328</v>
      </c>
    </row>
    <row r="776" spans="1:50" x14ac:dyDescent="0.25">
      <c r="A776" s="31" t="s">
        <v>156</v>
      </c>
      <c r="B776" s="32">
        <v>3</v>
      </c>
      <c r="C776" s="32">
        <v>5</v>
      </c>
      <c r="D776" s="32">
        <v>5</v>
      </c>
      <c r="E776" s="32">
        <v>31</v>
      </c>
      <c r="F776" s="2">
        <v>50</v>
      </c>
      <c r="G776">
        <v>27.89025050778605</v>
      </c>
      <c r="Q776" s="17">
        <v>774</v>
      </c>
      <c r="R776" s="6">
        <v>2.39595</v>
      </c>
      <c r="S776" s="19">
        <v>-4.6558000000000002</v>
      </c>
      <c r="T776" s="6">
        <v>2.3081</v>
      </c>
      <c r="U776" s="6">
        <v>328</v>
      </c>
      <c r="W776" s="17">
        <v>774</v>
      </c>
      <c r="X776" s="6">
        <v>4.5404999999999998</v>
      </c>
      <c r="Y776" s="19">
        <v>-4.6558000000000002</v>
      </c>
      <c r="Z776" s="6">
        <v>2.3081</v>
      </c>
      <c r="AA776" s="6">
        <v>328</v>
      </c>
      <c r="AN776" s="17">
        <v>773</v>
      </c>
      <c r="AO776" s="6">
        <v>1.0742</v>
      </c>
      <c r="AP776" s="19">
        <v>-0.105</v>
      </c>
      <c r="AQ776" s="6">
        <v>0.54600000000000004</v>
      </c>
      <c r="AR776" s="6">
        <v>328</v>
      </c>
      <c r="AT776" s="17">
        <v>773</v>
      </c>
      <c r="AU776" s="6">
        <v>0.56684000000000001</v>
      </c>
      <c r="AV776" s="19">
        <v>-0.105</v>
      </c>
      <c r="AW776" s="6">
        <v>0.54600000000000004</v>
      </c>
      <c r="AX776" s="6">
        <v>328</v>
      </c>
    </row>
    <row r="777" spans="1:50" x14ac:dyDescent="0.25">
      <c r="A777" s="31" t="s">
        <v>10</v>
      </c>
      <c r="B777" s="32">
        <v>1</v>
      </c>
      <c r="C777" s="32">
        <v>12</v>
      </c>
      <c r="D777" s="32">
        <v>3</v>
      </c>
      <c r="E777" s="32">
        <v>31</v>
      </c>
      <c r="F777" s="2">
        <v>54.8</v>
      </c>
      <c r="G777">
        <v>44.50852196683153</v>
      </c>
      <c r="Q777" s="17">
        <v>775</v>
      </c>
      <c r="R777" s="6">
        <v>2.39134</v>
      </c>
      <c r="S777" s="19">
        <v>-3.5891000000000002</v>
      </c>
      <c r="T777" s="6">
        <v>2.3035999999999999</v>
      </c>
      <c r="U777" s="6">
        <v>328</v>
      </c>
      <c r="W777" s="17">
        <v>775</v>
      </c>
      <c r="X777" s="6">
        <v>4.5317600000000002</v>
      </c>
      <c r="Y777" s="19">
        <v>-3.5891000000000002</v>
      </c>
      <c r="Z777" s="6">
        <v>2.3035999999999999</v>
      </c>
      <c r="AA777" s="6">
        <v>328</v>
      </c>
      <c r="AN777" s="17">
        <v>774</v>
      </c>
      <c r="AO777" s="6">
        <v>1.07745</v>
      </c>
      <c r="AP777" s="19">
        <v>-0.39410000000000001</v>
      </c>
      <c r="AQ777" s="6">
        <v>0.54769999999999996</v>
      </c>
      <c r="AR777" s="6">
        <v>328</v>
      </c>
      <c r="AT777" s="17">
        <v>774</v>
      </c>
      <c r="AU777" s="6">
        <v>0.56855</v>
      </c>
      <c r="AV777" s="19">
        <v>-0.39410000000000001</v>
      </c>
      <c r="AW777" s="6">
        <v>0.54769999999999996</v>
      </c>
      <c r="AX777" s="6">
        <v>328</v>
      </c>
    </row>
    <row r="778" spans="1:50" x14ac:dyDescent="0.25">
      <c r="A778" s="31" t="s">
        <v>10</v>
      </c>
      <c r="B778" s="32">
        <v>2</v>
      </c>
      <c r="C778" s="32">
        <v>13</v>
      </c>
      <c r="D778" s="32">
        <v>7</v>
      </c>
      <c r="E778" s="32">
        <v>31</v>
      </c>
      <c r="F778" s="12">
        <v>57.8</v>
      </c>
      <c r="G778">
        <v>59.100057526366243</v>
      </c>
      <c r="Q778" s="17">
        <v>776</v>
      </c>
      <c r="R778" s="6">
        <v>2.37534</v>
      </c>
      <c r="S778" s="19">
        <v>-5.1577000000000002</v>
      </c>
      <c r="T778" s="6">
        <v>2.2881999999999998</v>
      </c>
      <c r="U778" s="6">
        <v>328</v>
      </c>
      <c r="W778" s="17">
        <v>776</v>
      </c>
      <c r="X778" s="6">
        <v>4.5014399999999997</v>
      </c>
      <c r="Y778" s="19">
        <v>-5.1577000000000002</v>
      </c>
      <c r="Z778" s="6">
        <v>2.2881999999999998</v>
      </c>
      <c r="AA778" s="6">
        <v>328</v>
      </c>
      <c r="AN778" s="17">
        <v>775</v>
      </c>
      <c r="AO778" s="6">
        <v>1.06941</v>
      </c>
      <c r="AP778" s="19">
        <v>-1.4746999999999999</v>
      </c>
      <c r="AQ778" s="6">
        <v>0.54359999999999997</v>
      </c>
      <c r="AR778" s="6">
        <v>328</v>
      </c>
      <c r="AT778" s="17">
        <v>775</v>
      </c>
      <c r="AU778" s="6">
        <v>0.56430999999999998</v>
      </c>
      <c r="AV778" s="19">
        <v>-1.4746999999999999</v>
      </c>
      <c r="AW778" s="6">
        <v>0.54359999999999997</v>
      </c>
      <c r="AX778" s="6">
        <v>328</v>
      </c>
    </row>
    <row r="779" spans="1:50" x14ac:dyDescent="0.25">
      <c r="A779" s="31" t="s">
        <v>10</v>
      </c>
      <c r="B779" s="32">
        <v>3</v>
      </c>
      <c r="C779" s="32">
        <v>5</v>
      </c>
      <c r="D779" s="32">
        <v>11</v>
      </c>
      <c r="E779" s="32">
        <v>31</v>
      </c>
      <c r="F779" s="2">
        <v>59</v>
      </c>
      <c r="G779">
        <v>69.187803540945225</v>
      </c>
      <c r="Q779" s="17">
        <v>777</v>
      </c>
      <c r="R779" s="6">
        <v>2.38714</v>
      </c>
      <c r="S779" s="19">
        <v>-4.6546000000000003</v>
      </c>
      <c r="T779" s="6">
        <v>2.2995999999999999</v>
      </c>
      <c r="U779" s="6">
        <v>328</v>
      </c>
      <c r="W779" s="17">
        <v>777</v>
      </c>
      <c r="X779" s="6">
        <v>4.52379</v>
      </c>
      <c r="Y779" s="19">
        <v>-4.6546000000000003</v>
      </c>
      <c r="Z779" s="6">
        <v>2.2995999999999999</v>
      </c>
      <c r="AA779" s="6">
        <v>328</v>
      </c>
      <c r="AN779" s="17">
        <v>776</v>
      </c>
      <c r="AO779" s="6">
        <v>1.0623800000000001</v>
      </c>
      <c r="AP779" s="19">
        <v>-1.1351</v>
      </c>
      <c r="AQ779" s="6">
        <v>0.54</v>
      </c>
      <c r="AR779" s="6">
        <v>328</v>
      </c>
      <c r="AT779" s="17">
        <v>776</v>
      </c>
      <c r="AU779" s="6">
        <v>0.56059999999999999</v>
      </c>
      <c r="AV779" s="19">
        <v>-1.1351</v>
      </c>
      <c r="AW779" s="6">
        <v>0.54</v>
      </c>
      <c r="AX779" s="6">
        <v>328</v>
      </c>
    </row>
    <row r="780" spans="1:50" x14ac:dyDescent="0.25">
      <c r="A780" s="31" t="s">
        <v>11</v>
      </c>
      <c r="B780" s="32">
        <v>1</v>
      </c>
      <c r="C780" s="32">
        <v>7</v>
      </c>
      <c r="D780" s="32">
        <v>2</v>
      </c>
      <c r="E780" s="11">
        <v>31</v>
      </c>
      <c r="F780" s="2">
        <v>59.5</v>
      </c>
      <c r="G780">
        <v>26.008021634496099</v>
      </c>
      <c r="Q780" s="17">
        <v>778</v>
      </c>
      <c r="R780" s="6">
        <v>2.3987500000000002</v>
      </c>
      <c r="S780" s="6">
        <v>2.6425000000000001</v>
      </c>
      <c r="T780" s="6">
        <v>2.3108</v>
      </c>
      <c r="U780" s="6">
        <v>328</v>
      </c>
      <c r="W780" s="17">
        <v>778</v>
      </c>
      <c r="X780" s="6">
        <v>4.5457900000000002</v>
      </c>
      <c r="Y780" s="6">
        <v>2.6425000000000001</v>
      </c>
      <c r="Z780" s="6">
        <v>2.3108</v>
      </c>
      <c r="AA780" s="6">
        <v>328</v>
      </c>
      <c r="AN780" s="17">
        <v>777</v>
      </c>
      <c r="AO780" s="6">
        <v>1.0684</v>
      </c>
      <c r="AP780" s="19">
        <v>-1.6619999999999999</v>
      </c>
      <c r="AQ780" s="6">
        <v>0.54310000000000003</v>
      </c>
      <c r="AR780" s="6">
        <v>328</v>
      </c>
      <c r="AT780" s="17">
        <v>777</v>
      </c>
      <c r="AU780" s="6">
        <v>0.56377999999999995</v>
      </c>
      <c r="AV780" s="19">
        <v>-1.6619999999999999</v>
      </c>
      <c r="AW780" s="6">
        <v>0.54310000000000003</v>
      </c>
      <c r="AX780" s="6">
        <v>328</v>
      </c>
    </row>
    <row r="781" spans="1:50" x14ac:dyDescent="0.25">
      <c r="A781" s="31" t="s">
        <v>11</v>
      </c>
      <c r="B781" s="32">
        <v>2</v>
      </c>
      <c r="C781" s="32">
        <v>6</v>
      </c>
      <c r="D781" s="32">
        <v>4</v>
      </c>
      <c r="E781" s="11">
        <v>31</v>
      </c>
      <c r="F781" s="2">
        <v>60.2</v>
      </c>
      <c r="G781">
        <v>26.276771220454876</v>
      </c>
      <c r="Q781" s="17">
        <v>779</v>
      </c>
      <c r="R781" s="6">
        <v>2.3850500000000001</v>
      </c>
      <c r="S781" s="19">
        <v>-2.8502999999999998</v>
      </c>
      <c r="T781" s="6">
        <v>2.2976000000000001</v>
      </c>
      <c r="U781" s="6">
        <v>328</v>
      </c>
      <c r="W781" s="17">
        <v>779</v>
      </c>
      <c r="X781" s="6">
        <v>4.5198299999999998</v>
      </c>
      <c r="Y781" s="19">
        <v>-2.8502999999999998</v>
      </c>
      <c r="Z781" s="6">
        <v>2.2976000000000001</v>
      </c>
      <c r="AA781" s="6">
        <v>328</v>
      </c>
      <c r="AN781" s="17">
        <v>778</v>
      </c>
      <c r="AO781" s="6">
        <v>1.08047</v>
      </c>
      <c r="AP781" s="6">
        <v>0.1278</v>
      </c>
      <c r="AQ781" s="6">
        <v>0.54920000000000002</v>
      </c>
      <c r="AR781" s="6">
        <v>328</v>
      </c>
      <c r="AT781" s="17">
        <v>778</v>
      </c>
      <c r="AU781" s="6">
        <v>0.57015000000000005</v>
      </c>
      <c r="AV781" s="6">
        <v>0.1278</v>
      </c>
      <c r="AW781" s="6">
        <v>0.54920000000000002</v>
      </c>
      <c r="AX781" s="6">
        <v>328</v>
      </c>
    </row>
    <row r="782" spans="1:50" x14ac:dyDescent="0.25">
      <c r="A782" s="31" t="s">
        <v>11</v>
      </c>
      <c r="B782" s="32">
        <v>3</v>
      </c>
      <c r="C782" s="32">
        <v>16</v>
      </c>
      <c r="D782" s="32">
        <v>9</v>
      </c>
      <c r="E782" s="11">
        <v>31</v>
      </c>
      <c r="F782" s="2">
        <v>58.6</v>
      </c>
      <c r="G782">
        <v>24.337902362801263</v>
      </c>
      <c r="Q782" s="17">
        <v>780</v>
      </c>
      <c r="R782" s="6">
        <v>2.3896000000000002</v>
      </c>
      <c r="S782" s="6">
        <v>6.8682999999999996</v>
      </c>
      <c r="T782" s="6">
        <v>2.302</v>
      </c>
      <c r="U782" s="6">
        <v>328</v>
      </c>
      <c r="W782" s="17">
        <v>780</v>
      </c>
      <c r="X782" s="6">
        <v>4.5284599999999999</v>
      </c>
      <c r="Y782" s="6">
        <v>6.8682999999999996</v>
      </c>
      <c r="Z782" s="6">
        <v>2.302</v>
      </c>
      <c r="AA782" s="6">
        <v>328</v>
      </c>
      <c r="AN782" s="17">
        <v>779</v>
      </c>
      <c r="AO782" s="6">
        <v>1.06657</v>
      </c>
      <c r="AP782" s="19">
        <v>-1.5908</v>
      </c>
      <c r="AQ782" s="6">
        <v>0.54220000000000002</v>
      </c>
      <c r="AR782" s="6">
        <v>328</v>
      </c>
      <c r="AT782" s="17">
        <v>779</v>
      </c>
      <c r="AU782" s="6">
        <v>0.56281000000000003</v>
      </c>
      <c r="AV782" s="19">
        <v>-1.5908</v>
      </c>
      <c r="AW782" s="6">
        <v>0.54220000000000002</v>
      </c>
      <c r="AX782" s="6">
        <v>328</v>
      </c>
    </row>
    <row r="783" spans="1:50" x14ac:dyDescent="0.25">
      <c r="A783" t="s">
        <v>160</v>
      </c>
      <c r="B783">
        <v>1</v>
      </c>
      <c r="C783" s="36">
        <v>12</v>
      </c>
      <c r="D783" s="36">
        <v>2</v>
      </c>
      <c r="E783" s="32">
        <v>31</v>
      </c>
      <c r="F783" s="13">
        <v>59.9</v>
      </c>
      <c r="G783">
        <v>86.486639709443097</v>
      </c>
      <c r="Q783" s="17">
        <v>781</v>
      </c>
      <c r="R783" s="6">
        <v>2.3835999999999999</v>
      </c>
      <c r="S783" s="6">
        <v>2.0914999999999999</v>
      </c>
      <c r="T783" s="6">
        <v>2.2961999999999998</v>
      </c>
      <c r="U783" s="6">
        <v>328</v>
      </c>
      <c r="W783" s="17">
        <v>781</v>
      </c>
      <c r="X783" s="6">
        <v>4.51708</v>
      </c>
      <c r="Y783" s="6">
        <v>2.0914999999999999</v>
      </c>
      <c r="Z783" s="6">
        <v>2.2961999999999998</v>
      </c>
      <c r="AA783" s="6">
        <v>328</v>
      </c>
      <c r="AN783" s="17">
        <v>780</v>
      </c>
      <c r="AO783" s="6">
        <v>1.07538</v>
      </c>
      <c r="AP783" s="6">
        <v>0.92020000000000002</v>
      </c>
      <c r="AQ783" s="6">
        <v>0.54659999999999997</v>
      </c>
      <c r="AR783" s="6">
        <v>328</v>
      </c>
      <c r="AT783" s="17">
        <v>780</v>
      </c>
      <c r="AU783" s="6">
        <v>0.56745999999999996</v>
      </c>
      <c r="AV783" s="6">
        <v>0.92020000000000002</v>
      </c>
      <c r="AW783" s="6">
        <v>0.54659999999999997</v>
      </c>
      <c r="AX783" s="6">
        <v>328</v>
      </c>
    </row>
    <row r="784" spans="1:50" x14ac:dyDescent="0.25">
      <c r="A784" t="s">
        <v>160</v>
      </c>
      <c r="B784">
        <v>2</v>
      </c>
      <c r="C784" s="36">
        <v>25</v>
      </c>
      <c r="D784" s="36">
        <v>4</v>
      </c>
      <c r="E784" s="32">
        <v>31</v>
      </c>
      <c r="F784" s="13">
        <v>60.3</v>
      </c>
      <c r="G784">
        <v>78.500846089890942</v>
      </c>
      <c r="Q784" s="17">
        <v>782</v>
      </c>
      <c r="R784" s="6">
        <v>2.3947500000000002</v>
      </c>
      <c r="S784" s="19">
        <v>-3.887</v>
      </c>
      <c r="T784" s="6">
        <v>2.3069000000000002</v>
      </c>
      <c r="U784" s="6">
        <v>328</v>
      </c>
      <c r="W784" s="17">
        <v>782</v>
      </c>
      <c r="X784" s="6">
        <v>4.5382100000000003</v>
      </c>
      <c r="Y784" s="19">
        <v>-3.887</v>
      </c>
      <c r="Z784" s="6">
        <v>2.3069000000000002</v>
      </c>
      <c r="AA784" s="6">
        <v>328</v>
      </c>
      <c r="AN784" s="17">
        <v>781</v>
      </c>
      <c r="AO784" s="6">
        <v>1.0664800000000001</v>
      </c>
      <c r="AP784" s="6">
        <v>4.8599999999999997E-2</v>
      </c>
      <c r="AQ784" s="6">
        <v>0.54210000000000003</v>
      </c>
      <c r="AR784" s="6">
        <v>328</v>
      </c>
      <c r="AT784" s="17">
        <v>781</v>
      </c>
      <c r="AU784" s="6">
        <v>0.56276999999999999</v>
      </c>
      <c r="AV784" s="6">
        <v>4.8599999999999997E-2</v>
      </c>
      <c r="AW784" s="6">
        <v>0.54210000000000003</v>
      </c>
      <c r="AX784" s="6">
        <v>328</v>
      </c>
    </row>
    <row r="785" spans="1:50" x14ac:dyDescent="0.25">
      <c r="A785" t="s">
        <v>160</v>
      </c>
      <c r="B785">
        <v>3</v>
      </c>
      <c r="C785" s="36">
        <v>24</v>
      </c>
      <c r="D785" s="36">
        <v>5</v>
      </c>
      <c r="E785" s="32">
        <v>31</v>
      </c>
      <c r="F785" s="13">
        <v>60.1</v>
      </c>
      <c r="G785">
        <v>73.604426927168959</v>
      </c>
      <c r="Q785" s="17">
        <v>783</v>
      </c>
      <c r="R785" s="6">
        <v>2.38626</v>
      </c>
      <c r="S785" s="19">
        <v>-1.8854</v>
      </c>
      <c r="T785" s="6">
        <v>2.2987000000000002</v>
      </c>
      <c r="U785" s="6">
        <v>328</v>
      </c>
      <c r="W785" s="17">
        <v>783</v>
      </c>
      <c r="X785" s="6">
        <v>4.5221200000000001</v>
      </c>
      <c r="Y785" s="19">
        <v>-1.8854</v>
      </c>
      <c r="Z785" s="6">
        <v>2.2987000000000002</v>
      </c>
      <c r="AA785" s="6">
        <v>328</v>
      </c>
      <c r="AN785" s="17">
        <v>782</v>
      </c>
      <c r="AO785" s="6">
        <v>1.07474</v>
      </c>
      <c r="AP785" s="19">
        <v>-0.39929999999999999</v>
      </c>
      <c r="AQ785" s="6">
        <v>0.54630000000000001</v>
      </c>
      <c r="AR785" s="6">
        <v>328</v>
      </c>
      <c r="AT785" s="17">
        <v>782</v>
      </c>
      <c r="AU785" s="6">
        <v>0.56711999999999996</v>
      </c>
      <c r="AV785" s="19">
        <v>-0.39929999999999999</v>
      </c>
      <c r="AW785" s="6">
        <v>0.54630000000000001</v>
      </c>
      <c r="AX785" s="6">
        <v>328</v>
      </c>
    </row>
    <row r="786" spans="1:50" x14ac:dyDescent="0.25">
      <c r="A786" s="31" t="s">
        <v>116</v>
      </c>
      <c r="B786" s="32">
        <v>1</v>
      </c>
      <c r="C786" s="32">
        <v>3</v>
      </c>
      <c r="D786" s="32">
        <v>3</v>
      </c>
      <c r="E786" s="32">
        <v>32</v>
      </c>
      <c r="F786" s="12">
        <v>59.9</v>
      </c>
      <c r="G786">
        <v>70.182495108958832</v>
      </c>
      <c r="Q786" s="17">
        <v>784</v>
      </c>
      <c r="R786" s="6">
        <v>2.3944299999999998</v>
      </c>
      <c r="S786" s="6">
        <v>3.6657000000000002</v>
      </c>
      <c r="T786" s="6">
        <v>2.3066</v>
      </c>
      <c r="U786" s="6">
        <v>328</v>
      </c>
      <c r="W786" s="17">
        <v>784</v>
      </c>
      <c r="X786" s="6">
        <v>4.5376200000000004</v>
      </c>
      <c r="Y786" s="6">
        <v>3.6657000000000002</v>
      </c>
      <c r="Z786" s="6">
        <v>2.3066</v>
      </c>
      <c r="AA786" s="6">
        <v>328</v>
      </c>
      <c r="AN786" s="17">
        <v>783</v>
      </c>
      <c r="AO786" s="6">
        <v>1.0706199999999999</v>
      </c>
      <c r="AP786" s="19">
        <v>-0.40139999999999998</v>
      </c>
      <c r="AQ786" s="6">
        <v>0.54420000000000002</v>
      </c>
      <c r="AR786" s="6">
        <v>328</v>
      </c>
      <c r="AT786" s="17">
        <v>783</v>
      </c>
      <c r="AU786" s="6">
        <v>0.56494999999999995</v>
      </c>
      <c r="AV786" s="19">
        <v>-0.40139999999999998</v>
      </c>
      <c r="AW786" s="6">
        <v>0.54420000000000002</v>
      </c>
      <c r="AX786" s="6">
        <v>328</v>
      </c>
    </row>
    <row r="787" spans="1:50" x14ac:dyDescent="0.25">
      <c r="A787" s="31" t="s">
        <v>116</v>
      </c>
      <c r="B787" s="32">
        <v>2</v>
      </c>
      <c r="C787" s="32">
        <v>1</v>
      </c>
      <c r="D787" s="32">
        <v>7</v>
      </c>
      <c r="E787" s="32">
        <v>32</v>
      </c>
      <c r="F787" s="12">
        <v>59.4</v>
      </c>
      <c r="G787">
        <v>71.241509281133972</v>
      </c>
      <c r="Q787" s="17">
        <v>785</v>
      </c>
      <c r="R787" s="6">
        <v>2.39961</v>
      </c>
      <c r="S787" s="6">
        <v>5.3619000000000003</v>
      </c>
      <c r="T787" s="6">
        <v>2.3115999999999999</v>
      </c>
      <c r="U787" s="6">
        <v>328</v>
      </c>
      <c r="W787" s="17">
        <v>785</v>
      </c>
      <c r="X787" s="6">
        <v>4.5474199999999998</v>
      </c>
      <c r="Y787" s="6">
        <v>5.3619000000000003</v>
      </c>
      <c r="Z787" s="6">
        <v>2.3115999999999999</v>
      </c>
      <c r="AA787" s="6">
        <v>328</v>
      </c>
      <c r="AN787" s="17">
        <v>784</v>
      </c>
      <c r="AO787" s="6">
        <v>1.0722400000000001</v>
      </c>
      <c r="AP787" s="6">
        <v>2.0710999999999999</v>
      </c>
      <c r="AQ787" s="6">
        <v>0.54510000000000003</v>
      </c>
      <c r="AR787" s="6">
        <v>328</v>
      </c>
      <c r="AT787" s="17">
        <v>784</v>
      </c>
      <c r="AU787" s="6">
        <v>0.56581000000000004</v>
      </c>
      <c r="AV787" s="6">
        <v>2.0710999999999999</v>
      </c>
      <c r="AW787" s="6">
        <v>0.54510000000000003</v>
      </c>
      <c r="AX787" s="6">
        <v>328</v>
      </c>
    </row>
    <row r="788" spans="1:50" x14ac:dyDescent="0.25">
      <c r="A788" s="31" t="s">
        <v>116</v>
      </c>
      <c r="B788" s="32">
        <v>3</v>
      </c>
      <c r="C788" s="32">
        <v>7</v>
      </c>
      <c r="D788" s="32">
        <v>11</v>
      </c>
      <c r="E788" s="32">
        <v>32</v>
      </c>
      <c r="F788" s="12">
        <v>59.2</v>
      </c>
      <c r="G788">
        <v>73.198110857142851</v>
      </c>
      <c r="Q788" s="17">
        <v>786</v>
      </c>
      <c r="R788" s="6">
        <v>2.4073000000000002</v>
      </c>
      <c r="S788" s="6">
        <v>3.968</v>
      </c>
      <c r="T788" s="6">
        <v>2.319</v>
      </c>
      <c r="U788" s="6">
        <v>328</v>
      </c>
      <c r="W788" s="17">
        <v>786</v>
      </c>
      <c r="X788" s="6">
        <v>4.5620000000000003</v>
      </c>
      <c r="Y788" s="6">
        <v>3.968</v>
      </c>
      <c r="Z788" s="6">
        <v>2.319</v>
      </c>
      <c r="AA788" s="6">
        <v>328</v>
      </c>
      <c r="AN788" s="17">
        <v>785</v>
      </c>
      <c r="AO788" s="6">
        <v>1.0767100000000001</v>
      </c>
      <c r="AP788" s="6">
        <v>2.2845</v>
      </c>
      <c r="AQ788" s="6">
        <v>0.54730000000000001</v>
      </c>
      <c r="AR788" s="6">
        <v>328</v>
      </c>
      <c r="AT788" s="17">
        <v>785</v>
      </c>
      <c r="AU788" s="6">
        <v>0.56816</v>
      </c>
      <c r="AV788" s="6">
        <v>2.2845</v>
      </c>
      <c r="AW788" s="6">
        <v>0.54730000000000001</v>
      </c>
      <c r="AX788" s="6">
        <v>328</v>
      </c>
    </row>
    <row r="789" spans="1:50" x14ac:dyDescent="0.25">
      <c r="A789" s="34" t="s">
        <v>97</v>
      </c>
      <c r="B789" s="35">
        <v>1</v>
      </c>
      <c r="C789" s="35">
        <v>17</v>
      </c>
      <c r="D789" s="35">
        <v>1</v>
      </c>
      <c r="E789" s="35">
        <v>32</v>
      </c>
      <c r="F789" s="2">
        <v>59.7</v>
      </c>
      <c r="G789">
        <v>79.103828571428565</v>
      </c>
      <c r="Q789" s="17">
        <v>787</v>
      </c>
      <c r="R789" s="6">
        <v>2.3963100000000002</v>
      </c>
      <c r="S789" s="6">
        <v>5.0347</v>
      </c>
      <c r="T789" s="6">
        <v>2.3083999999999998</v>
      </c>
      <c r="U789" s="6">
        <v>328</v>
      </c>
      <c r="W789" s="17">
        <v>787</v>
      </c>
      <c r="X789" s="6">
        <v>4.5411799999999998</v>
      </c>
      <c r="Y789" s="6">
        <v>5.0347</v>
      </c>
      <c r="Z789" s="6">
        <v>2.3083999999999998</v>
      </c>
      <c r="AA789" s="6">
        <v>328</v>
      </c>
      <c r="AN789" s="17">
        <v>786</v>
      </c>
      <c r="AO789" s="6">
        <v>1.08507</v>
      </c>
      <c r="AP789" s="6">
        <v>1.9953000000000001</v>
      </c>
      <c r="AQ789" s="6">
        <v>0.55159999999999998</v>
      </c>
      <c r="AR789" s="6">
        <v>328</v>
      </c>
      <c r="AT789" s="17">
        <v>786</v>
      </c>
      <c r="AU789" s="6">
        <v>0.57257999999999998</v>
      </c>
      <c r="AV789" s="6">
        <v>1.9953000000000001</v>
      </c>
      <c r="AW789" s="6">
        <v>0.55159999999999998</v>
      </c>
      <c r="AX789" s="6">
        <v>328</v>
      </c>
    </row>
    <row r="790" spans="1:50" x14ac:dyDescent="0.25">
      <c r="A790" s="34" t="s">
        <v>97</v>
      </c>
      <c r="B790" s="35">
        <v>2</v>
      </c>
      <c r="C790" s="35">
        <v>11</v>
      </c>
      <c r="D790" s="35">
        <v>4</v>
      </c>
      <c r="E790" s="35">
        <v>32</v>
      </c>
      <c r="F790" s="2">
        <v>60.3</v>
      </c>
      <c r="G790">
        <v>84.770007670182167</v>
      </c>
      <c r="Q790" s="17">
        <v>788</v>
      </c>
      <c r="R790" s="6">
        <v>2.3916499999999998</v>
      </c>
      <c r="S790" s="6">
        <v>3.4661</v>
      </c>
      <c r="T790" s="6">
        <v>2.3039000000000001</v>
      </c>
      <c r="U790" s="6">
        <v>328</v>
      </c>
      <c r="W790" s="17">
        <v>788</v>
      </c>
      <c r="X790" s="6">
        <v>4.5323399999999996</v>
      </c>
      <c r="Y790" s="6">
        <v>3.4661</v>
      </c>
      <c r="Z790" s="6">
        <v>2.3039000000000001</v>
      </c>
      <c r="AA790" s="6">
        <v>328</v>
      </c>
      <c r="AN790" s="17">
        <v>787</v>
      </c>
      <c r="AO790" s="6">
        <v>1.07125</v>
      </c>
      <c r="AP790" s="6">
        <v>0.91479999999999995</v>
      </c>
      <c r="AQ790" s="6">
        <v>0.54459999999999997</v>
      </c>
      <c r="AR790" s="6">
        <v>328</v>
      </c>
      <c r="AT790" s="17">
        <v>787</v>
      </c>
      <c r="AU790" s="6">
        <v>0.56528</v>
      </c>
      <c r="AV790" s="6">
        <v>0.91479999999999995</v>
      </c>
      <c r="AW790" s="6">
        <v>0.54459999999999997</v>
      </c>
      <c r="AX790" s="6">
        <v>328</v>
      </c>
    </row>
    <row r="791" spans="1:50" x14ac:dyDescent="0.25">
      <c r="A791" s="34" t="s">
        <v>97</v>
      </c>
      <c r="B791" s="35">
        <v>3</v>
      </c>
      <c r="C791" s="35">
        <v>19</v>
      </c>
      <c r="D791" s="35">
        <v>6</v>
      </c>
      <c r="E791" s="35">
        <v>32</v>
      </c>
      <c r="F791" s="2">
        <v>61.3</v>
      </c>
      <c r="G791">
        <v>89.451116727064644</v>
      </c>
      <c r="Q791" s="17">
        <v>789</v>
      </c>
      <c r="R791" s="6">
        <v>2.3909899999999999</v>
      </c>
      <c r="S791" s="6">
        <v>3.9691999999999998</v>
      </c>
      <c r="T791" s="6">
        <v>2.3033000000000001</v>
      </c>
      <c r="U791" s="6">
        <v>328</v>
      </c>
      <c r="W791" s="17">
        <v>789</v>
      </c>
      <c r="X791" s="6">
        <v>4.5310899999999998</v>
      </c>
      <c r="Y791" s="6">
        <v>3.9691999999999998</v>
      </c>
      <c r="Z791" s="6">
        <v>2.3033000000000001</v>
      </c>
      <c r="AA791" s="6">
        <v>328</v>
      </c>
      <c r="AN791" s="17">
        <v>788</v>
      </c>
      <c r="AO791" s="6">
        <v>1.0708500000000001</v>
      </c>
      <c r="AP791" s="6">
        <v>1.2543</v>
      </c>
      <c r="AQ791" s="6">
        <v>0.54430000000000001</v>
      </c>
      <c r="AR791" s="6">
        <v>328</v>
      </c>
      <c r="AT791" s="17">
        <v>788</v>
      </c>
      <c r="AU791" s="6">
        <v>0.56506999999999996</v>
      </c>
      <c r="AV791" s="6">
        <v>1.2543</v>
      </c>
      <c r="AW791" s="6">
        <v>0.54430000000000001</v>
      </c>
      <c r="AX791" s="6">
        <v>328</v>
      </c>
    </row>
    <row r="792" spans="1:50" x14ac:dyDescent="0.25">
      <c r="A792" s="31" t="s">
        <v>132</v>
      </c>
      <c r="B792" s="32">
        <v>1</v>
      </c>
      <c r="C792" s="32">
        <v>7</v>
      </c>
      <c r="D792" s="32">
        <v>3</v>
      </c>
      <c r="E792" s="32">
        <v>32</v>
      </c>
      <c r="F792" s="2">
        <v>62.1</v>
      </c>
      <c r="G792">
        <v>70.347319277108426</v>
      </c>
      <c r="Q792" s="17">
        <v>790</v>
      </c>
      <c r="R792" s="6">
        <v>2.40727</v>
      </c>
      <c r="S792" s="6">
        <v>11.266299999999999</v>
      </c>
      <c r="T792" s="6">
        <v>2.319</v>
      </c>
      <c r="U792" s="6">
        <v>328</v>
      </c>
      <c r="W792" s="17">
        <v>790</v>
      </c>
      <c r="X792" s="6">
        <v>4.5619399999999999</v>
      </c>
      <c r="Y792" s="6">
        <v>11.266299999999999</v>
      </c>
      <c r="Z792" s="6">
        <v>2.319</v>
      </c>
      <c r="AA792" s="6">
        <v>328</v>
      </c>
      <c r="AN792" s="17">
        <v>789</v>
      </c>
      <c r="AO792" s="6">
        <v>1.07193</v>
      </c>
      <c r="AP792" s="6">
        <v>0.72750000000000004</v>
      </c>
      <c r="AQ792" s="6">
        <v>0.54490000000000005</v>
      </c>
      <c r="AR792" s="6">
        <v>328</v>
      </c>
      <c r="AT792" s="17">
        <v>789</v>
      </c>
      <c r="AU792" s="6">
        <v>0.56564000000000003</v>
      </c>
      <c r="AV792" s="6">
        <v>0.72750000000000004</v>
      </c>
      <c r="AW792" s="6">
        <v>0.54490000000000005</v>
      </c>
      <c r="AX792" s="6">
        <v>328</v>
      </c>
    </row>
    <row r="793" spans="1:50" x14ac:dyDescent="0.25">
      <c r="A793" s="31" t="s">
        <v>132</v>
      </c>
      <c r="B793" s="32">
        <v>2</v>
      </c>
      <c r="C793" s="32">
        <v>10</v>
      </c>
      <c r="D793" s="32">
        <v>4</v>
      </c>
      <c r="E793" s="32">
        <v>32</v>
      </c>
      <c r="F793" s="2">
        <v>64.5</v>
      </c>
      <c r="G793">
        <v>69.225066484827806</v>
      </c>
      <c r="Q793" s="17">
        <v>791</v>
      </c>
      <c r="R793" s="6">
        <v>2.3923899999999998</v>
      </c>
      <c r="S793" s="6">
        <v>5.7735000000000003</v>
      </c>
      <c r="T793" s="6">
        <v>2.3046000000000002</v>
      </c>
      <c r="U793" s="6">
        <v>328</v>
      </c>
      <c r="W793" s="17">
        <v>791</v>
      </c>
      <c r="X793" s="6">
        <v>4.5337300000000003</v>
      </c>
      <c r="Y793" s="6">
        <v>5.7735000000000003</v>
      </c>
      <c r="Z793" s="6">
        <v>2.3046000000000002</v>
      </c>
      <c r="AA793" s="6">
        <v>328</v>
      </c>
      <c r="AN793" s="17">
        <v>790</v>
      </c>
      <c r="AO793" s="6">
        <v>1.0849200000000001</v>
      </c>
      <c r="AP793" s="6">
        <v>2.5171999999999999</v>
      </c>
      <c r="AQ793" s="6">
        <v>0.55149999999999999</v>
      </c>
      <c r="AR793" s="6">
        <v>328</v>
      </c>
      <c r="AT793" s="17">
        <v>790</v>
      </c>
      <c r="AU793" s="6">
        <v>0.57249000000000005</v>
      </c>
      <c r="AV793" s="6">
        <v>2.5171999999999999</v>
      </c>
      <c r="AW793" s="6">
        <v>0.55149999999999999</v>
      </c>
      <c r="AX793" s="6">
        <v>328</v>
      </c>
    </row>
    <row r="794" spans="1:50" x14ac:dyDescent="0.25">
      <c r="A794" s="31" t="s">
        <v>132</v>
      </c>
      <c r="B794" s="32">
        <v>3</v>
      </c>
      <c r="C794" s="32">
        <v>3</v>
      </c>
      <c r="D794" s="32">
        <v>6</v>
      </c>
      <c r="E794" s="32">
        <v>32</v>
      </c>
      <c r="F794" s="12">
        <v>62.4</v>
      </c>
      <c r="G794">
        <v>64.47198035533728</v>
      </c>
      <c r="Q794" s="17">
        <v>792</v>
      </c>
      <c r="R794" s="6">
        <v>2.3927200000000002</v>
      </c>
      <c r="S794" s="6">
        <v>15.492000000000001</v>
      </c>
      <c r="T794" s="6">
        <v>2.3050000000000002</v>
      </c>
      <c r="U794" s="6">
        <v>328</v>
      </c>
      <c r="W794" s="17">
        <v>792</v>
      </c>
      <c r="X794" s="6">
        <v>4.5343600000000004</v>
      </c>
      <c r="Y794" s="6">
        <v>15.492000000000001</v>
      </c>
      <c r="Z794" s="6">
        <v>2.3050000000000002</v>
      </c>
      <c r="AA794" s="6">
        <v>328</v>
      </c>
      <c r="AN794" s="17">
        <v>791</v>
      </c>
      <c r="AO794" s="6">
        <v>1.0719000000000001</v>
      </c>
      <c r="AP794" s="6">
        <v>0.79869999999999997</v>
      </c>
      <c r="AQ794" s="6">
        <v>0.54490000000000005</v>
      </c>
      <c r="AR794" s="6">
        <v>328</v>
      </c>
      <c r="AT794" s="17">
        <v>791</v>
      </c>
      <c r="AU794" s="6">
        <v>0.56562999999999997</v>
      </c>
      <c r="AV794" s="6">
        <v>0.79869999999999997</v>
      </c>
      <c r="AW794" s="6">
        <v>0.54490000000000005</v>
      </c>
      <c r="AX794" s="6">
        <v>328</v>
      </c>
    </row>
    <row r="795" spans="1:50" x14ac:dyDescent="0.25">
      <c r="A795" s="31" t="s">
        <v>13</v>
      </c>
      <c r="B795" s="32">
        <v>1</v>
      </c>
      <c r="C795" s="36">
        <v>14</v>
      </c>
      <c r="D795" s="36">
        <v>2</v>
      </c>
      <c r="E795" s="32">
        <v>32</v>
      </c>
      <c r="F795" s="12">
        <v>59.3</v>
      </c>
      <c r="G795">
        <v>74.324249999999992</v>
      </c>
      <c r="Q795" s="17">
        <v>793</v>
      </c>
      <c r="R795" s="6">
        <v>2.3837100000000002</v>
      </c>
      <c r="S795" s="6">
        <v>10.715299999999999</v>
      </c>
      <c r="T795" s="6">
        <v>2.2963</v>
      </c>
      <c r="U795" s="6">
        <v>328</v>
      </c>
      <c r="W795" s="17">
        <v>793</v>
      </c>
      <c r="X795" s="6">
        <v>4.51729</v>
      </c>
      <c r="Y795" s="6">
        <v>10.715299999999999</v>
      </c>
      <c r="Z795" s="6">
        <v>2.2963</v>
      </c>
      <c r="AA795" s="6">
        <v>328</v>
      </c>
      <c r="AN795" s="17">
        <v>792</v>
      </c>
      <c r="AO795" s="6">
        <v>1.0745499999999999</v>
      </c>
      <c r="AP795" s="6">
        <v>3.3096999999999999</v>
      </c>
      <c r="AQ795" s="6">
        <v>0.54620000000000002</v>
      </c>
      <c r="AR795" s="6">
        <v>328</v>
      </c>
      <c r="AT795" s="17">
        <v>792</v>
      </c>
      <c r="AU795" s="6">
        <v>0.56701999999999997</v>
      </c>
      <c r="AV795" s="6">
        <v>3.3096999999999999</v>
      </c>
      <c r="AW795" s="6">
        <v>0.54620000000000002</v>
      </c>
      <c r="AX795" s="6">
        <v>328</v>
      </c>
    </row>
    <row r="796" spans="1:50" x14ac:dyDescent="0.25">
      <c r="A796" s="31" t="s">
        <v>13</v>
      </c>
      <c r="B796" s="32">
        <v>2</v>
      </c>
      <c r="C796" s="36">
        <v>11</v>
      </c>
      <c r="D796" s="36">
        <v>4</v>
      </c>
      <c r="E796" s="32">
        <v>32</v>
      </c>
      <c r="F796" s="12">
        <v>58.9</v>
      </c>
      <c r="G796">
        <v>75.469239999999999</v>
      </c>
      <c r="Q796" s="17">
        <v>794</v>
      </c>
      <c r="R796" s="6">
        <v>2.39798</v>
      </c>
      <c r="S796" s="6">
        <v>4.7366999999999999</v>
      </c>
      <c r="T796" s="6">
        <v>2.31</v>
      </c>
      <c r="U796" s="6">
        <v>328</v>
      </c>
      <c r="W796" s="17">
        <v>794</v>
      </c>
      <c r="X796" s="6">
        <v>4.5443300000000004</v>
      </c>
      <c r="Y796" s="6">
        <v>4.7366999999999999</v>
      </c>
      <c r="Z796" s="6">
        <v>2.31</v>
      </c>
      <c r="AA796" s="6">
        <v>328</v>
      </c>
      <c r="AN796" s="17">
        <v>793</v>
      </c>
      <c r="AO796" s="6">
        <v>1.06955</v>
      </c>
      <c r="AP796" s="6">
        <v>2.4380999999999999</v>
      </c>
      <c r="AQ796" s="6">
        <v>0.54369999999999996</v>
      </c>
      <c r="AR796" s="6">
        <v>328</v>
      </c>
      <c r="AT796" s="17">
        <v>793</v>
      </c>
      <c r="AU796" s="6">
        <v>0.56438999999999995</v>
      </c>
      <c r="AV796" s="6">
        <v>2.4380999999999999</v>
      </c>
      <c r="AW796" s="6">
        <v>0.54369999999999996</v>
      </c>
      <c r="AX796" s="6">
        <v>328</v>
      </c>
    </row>
    <row r="797" spans="1:50" x14ac:dyDescent="0.25">
      <c r="A797" s="31" t="s">
        <v>13</v>
      </c>
      <c r="B797" s="32">
        <v>3</v>
      </c>
      <c r="C797" s="36">
        <v>9</v>
      </c>
      <c r="D797" s="36">
        <v>6</v>
      </c>
      <c r="E797" s="32">
        <v>32</v>
      </c>
      <c r="F797" s="12">
        <v>59</v>
      </c>
      <c r="G797">
        <v>79.609529999999992</v>
      </c>
      <c r="Q797" s="17">
        <v>795</v>
      </c>
      <c r="R797" s="6">
        <v>2.3889300000000002</v>
      </c>
      <c r="S797" s="6">
        <v>6.7384000000000004</v>
      </c>
      <c r="T797" s="6">
        <v>2.3012999999999999</v>
      </c>
      <c r="U797" s="6">
        <v>328</v>
      </c>
      <c r="W797" s="17">
        <v>795</v>
      </c>
      <c r="X797" s="6">
        <v>4.52719</v>
      </c>
      <c r="Y797" s="6">
        <v>6.7384000000000004</v>
      </c>
      <c r="Z797" s="6">
        <v>2.3012999999999999</v>
      </c>
      <c r="AA797" s="6">
        <v>328</v>
      </c>
      <c r="AN797" s="17">
        <v>794</v>
      </c>
      <c r="AO797" s="6">
        <v>1.0769299999999999</v>
      </c>
      <c r="AP797" s="6">
        <v>1.9902</v>
      </c>
      <c r="AQ797" s="6">
        <v>0.5474</v>
      </c>
      <c r="AR797" s="6">
        <v>328</v>
      </c>
      <c r="AT797" s="17">
        <v>794</v>
      </c>
      <c r="AU797" s="6">
        <v>0.56828000000000001</v>
      </c>
      <c r="AV797" s="6">
        <v>1.9902</v>
      </c>
      <c r="AW797" s="6">
        <v>0.5474</v>
      </c>
      <c r="AX797" s="6">
        <v>328</v>
      </c>
    </row>
    <row r="798" spans="1:50" x14ac:dyDescent="0.25">
      <c r="A798" t="s">
        <v>7</v>
      </c>
      <c r="B798" s="11">
        <v>1</v>
      </c>
      <c r="C798" s="11">
        <v>4</v>
      </c>
      <c r="D798" s="11">
        <v>2</v>
      </c>
      <c r="E798" s="11">
        <v>32</v>
      </c>
      <c r="F798" s="12">
        <v>56.1</v>
      </c>
      <c r="G798">
        <v>48.088743307086609</v>
      </c>
      <c r="Q798" s="17">
        <v>796</v>
      </c>
      <c r="R798" s="6">
        <v>2.3906499999999999</v>
      </c>
      <c r="S798" s="6">
        <v>1.6961999999999999</v>
      </c>
      <c r="T798" s="6">
        <v>2.3029999999999999</v>
      </c>
      <c r="U798" s="6">
        <v>328</v>
      </c>
      <c r="W798" s="17">
        <v>796</v>
      </c>
      <c r="X798" s="6">
        <v>4.5304399999999996</v>
      </c>
      <c r="Y798" s="6">
        <v>1.6961999999999999</v>
      </c>
      <c r="Z798" s="6">
        <v>2.3029999999999999</v>
      </c>
      <c r="AA798" s="6">
        <v>328</v>
      </c>
      <c r="AN798" s="17">
        <v>795</v>
      </c>
      <c r="AO798" s="6">
        <v>1.07474</v>
      </c>
      <c r="AP798" s="6">
        <v>1.9881</v>
      </c>
      <c r="AQ798" s="6">
        <v>0.54630000000000001</v>
      </c>
      <c r="AR798" s="6">
        <v>328</v>
      </c>
      <c r="AT798" s="17">
        <v>795</v>
      </c>
      <c r="AU798" s="6">
        <v>0.56711999999999996</v>
      </c>
      <c r="AV798" s="6">
        <v>1.9881</v>
      </c>
      <c r="AW798" s="6">
        <v>0.54630000000000001</v>
      </c>
      <c r="AX798" s="6">
        <v>328</v>
      </c>
    </row>
    <row r="799" spans="1:50" x14ac:dyDescent="0.25">
      <c r="A799" t="s">
        <v>7</v>
      </c>
      <c r="B799" s="11">
        <v>2</v>
      </c>
      <c r="C799" s="11">
        <v>8</v>
      </c>
      <c r="D799" s="11">
        <v>8</v>
      </c>
      <c r="E799" s="11">
        <v>32</v>
      </c>
      <c r="F799" s="12">
        <v>54.1</v>
      </c>
      <c r="G799">
        <v>51.670696132061771</v>
      </c>
      <c r="Q799" s="17">
        <v>797</v>
      </c>
      <c r="R799" s="6">
        <v>2.3981499999999998</v>
      </c>
      <c r="S799" s="6">
        <v>0.30230000000000001</v>
      </c>
      <c r="T799" s="6">
        <v>2.3102</v>
      </c>
      <c r="U799" s="6">
        <v>328</v>
      </c>
      <c r="W799" s="17">
        <v>797</v>
      </c>
      <c r="X799" s="6">
        <v>4.5446600000000004</v>
      </c>
      <c r="Y799" s="6">
        <v>0.30230000000000001</v>
      </c>
      <c r="Z799" s="6">
        <v>2.3102</v>
      </c>
      <c r="AA799" s="6">
        <v>328</v>
      </c>
      <c r="AN799" s="17">
        <v>796</v>
      </c>
      <c r="AO799" s="6">
        <v>1.0727599999999999</v>
      </c>
      <c r="AP799" s="6">
        <v>0.21329999999999999</v>
      </c>
      <c r="AQ799" s="6">
        <v>0.54530000000000001</v>
      </c>
      <c r="AR799" s="6">
        <v>328</v>
      </c>
      <c r="AT799" s="17">
        <v>796</v>
      </c>
      <c r="AU799" s="6">
        <v>0.56608000000000003</v>
      </c>
      <c r="AV799" s="6">
        <v>0.21329999999999999</v>
      </c>
      <c r="AW799" s="6">
        <v>0.54530000000000001</v>
      </c>
      <c r="AX799" s="6">
        <v>328</v>
      </c>
    </row>
    <row r="800" spans="1:50" x14ac:dyDescent="0.25">
      <c r="A800" t="s">
        <v>7</v>
      </c>
      <c r="B800" s="11">
        <v>3</v>
      </c>
      <c r="C800" s="11">
        <v>7</v>
      </c>
      <c r="D800" s="11">
        <v>9</v>
      </c>
      <c r="E800" s="11">
        <v>32</v>
      </c>
      <c r="F800" s="12">
        <v>55.1</v>
      </c>
      <c r="G800">
        <v>48.980819656210535</v>
      </c>
      <c r="Q800" s="17">
        <v>798</v>
      </c>
      <c r="R800" s="6">
        <v>2.3931200000000001</v>
      </c>
      <c r="S800" s="6">
        <v>1.369</v>
      </c>
      <c r="T800" s="6">
        <v>2.3052999999999999</v>
      </c>
      <c r="U800" s="6">
        <v>328</v>
      </c>
      <c r="W800" s="17">
        <v>798</v>
      </c>
      <c r="X800" s="6">
        <v>4.5351299999999997</v>
      </c>
      <c r="Y800" s="6">
        <v>1.369</v>
      </c>
      <c r="Z800" s="6">
        <v>2.3052999999999999</v>
      </c>
      <c r="AA800" s="6">
        <v>328</v>
      </c>
      <c r="AN800" s="17">
        <v>797</v>
      </c>
      <c r="AO800" s="6">
        <v>1.07775</v>
      </c>
      <c r="AP800" s="19">
        <v>-7.578E-2</v>
      </c>
      <c r="AQ800" s="6">
        <v>0.54790000000000005</v>
      </c>
      <c r="AR800" s="6">
        <v>328</v>
      </c>
      <c r="AT800" s="17">
        <v>797</v>
      </c>
      <c r="AU800" s="6">
        <v>0.56871000000000005</v>
      </c>
      <c r="AV800" s="19">
        <v>-7.578E-2</v>
      </c>
      <c r="AW800" s="6">
        <v>0.54790000000000005</v>
      </c>
      <c r="AX800" s="6">
        <v>328</v>
      </c>
    </row>
    <row r="801" spans="1:50" x14ac:dyDescent="0.25">
      <c r="A801" s="31" t="s">
        <v>156</v>
      </c>
      <c r="B801" s="32">
        <v>1</v>
      </c>
      <c r="C801" s="32">
        <v>13</v>
      </c>
      <c r="D801" s="32">
        <v>2</v>
      </c>
      <c r="E801" s="32">
        <v>32</v>
      </c>
      <c r="F801" s="2">
        <v>61.4</v>
      </c>
      <c r="G801">
        <v>58.020032498307373</v>
      </c>
      <c r="Q801" s="17">
        <v>799</v>
      </c>
      <c r="R801" s="6">
        <v>2.37866</v>
      </c>
      <c r="S801" s="19">
        <v>-0.1996</v>
      </c>
      <c r="T801" s="6">
        <v>2.2913999999999999</v>
      </c>
      <c r="U801" s="6">
        <v>328</v>
      </c>
      <c r="W801" s="17">
        <v>799</v>
      </c>
      <c r="X801" s="6">
        <v>4.5077199999999999</v>
      </c>
      <c r="Y801" s="19">
        <v>-0.1996</v>
      </c>
      <c r="Z801" s="6">
        <v>2.2913999999999999</v>
      </c>
      <c r="AA801" s="6">
        <v>328</v>
      </c>
      <c r="AN801" s="17">
        <v>798</v>
      </c>
      <c r="AO801" s="6">
        <v>1.0721700000000001</v>
      </c>
      <c r="AP801" s="19">
        <v>-1.1563000000000001</v>
      </c>
      <c r="AQ801" s="6">
        <v>0.54500000000000004</v>
      </c>
      <c r="AR801" s="6">
        <v>328</v>
      </c>
      <c r="AT801" s="17">
        <v>798</v>
      </c>
      <c r="AU801" s="6">
        <v>0.56577</v>
      </c>
      <c r="AV801" s="19">
        <v>-1.1563000000000001</v>
      </c>
      <c r="AW801" s="6">
        <v>0.54500000000000004</v>
      </c>
      <c r="AX801" s="6">
        <v>328</v>
      </c>
    </row>
    <row r="802" spans="1:50" x14ac:dyDescent="0.25">
      <c r="A802" s="31" t="s">
        <v>156</v>
      </c>
      <c r="B802" s="32">
        <v>2</v>
      </c>
      <c r="C802" s="32">
        <v>6</v>
      </c>
      <c r="D802" s="32">
        <v>4</v>
      </c>
      <c r="E802" s="32">
        <v>32</v>
      </c>
      <c r="F802" s="2">
        <v>55.7</v>
      </c>
      <c r="G802">
        <v>34.649758571916301</v>
      </c>
      <c r="Q802" s="17">
        <v>800</v>
      </c>
      <c r="R802" s="6">
        <v>2.3887900000000002</v>
      </c>
      <c r="S802" s="6">
        <v>0.30349999999999999</v>
      </c>
      <c r="T802" s="6">
        <v>2.3012000000000001</v>
      </c>
      <c r="U802" s="6">
        <v>328</v>
      </c>
      <c r="W802" s="17">
        <v>800</v>
      </c>
      <c r="X802" s="6">
        <v>4.5269199999999996</v>
      </c>
      <c r="Y802" s="6">
        <v>0.30349999999999999</v>
      </c>
      <c r="Z802" s="6">
        <v>2.3012000000000001</v>
      </c>
      <c r="AA802" s="6">
        <v>328</v>
      </c>
      <c r="AN802" s="17">
        <v>799</v>
      </c>
      <c r="AO802" s="6">
        <v>1.0645199999999999</v>
      </c>
      <c r="AP802" s="19">
        <v>-0.81679999999999997</v>
      </c>
      <c r="AQ802" s="6">
        <v>0.54110000000000003</v>
      </c>
      <c r="AR802" s="6">
        <v>328</v>
      </c>
      <c r="AT802" s="17">
        <v>799</v>
      </c>
      <c r="AU802" s="6">
        <v>0.56172999999999995</v>
      </c>
      <c r="AV802" s="19">
        <v>-0.81679999999999997</v>
      </c>
      <c r="AW802" s="6">
        <v>0.54110000000000003</v>
      </c>
      <c r="AX802" s="6">
        <v>328</v>
      </c>
    </row>
    <row r="803" spans="1:50" x14ac:dyDescent="0.25">
      <c r="A803" s="31" t="s">
        <v>156</v>
      </c>
      <c r="B803" s="32">
        <v>3</v>
      </c>
      <c r="C803" s="32">
        <v>23</v>
      </c>
      <c r="D803" s="32">
        <v>6</v>
      </c>
      <c r="E803" s="32">
        <v>32</v>
      </c>
      <c r="F803" s="2">
        <v>60.2</v>
      </c>
      <c r="G803">
        <v>50.116183007164487</v>
      </c>
      <c r="Q803" s="17">
        <v>801</v>
      </c>
      <c r="R803" s="6">
        <v>2.3899599999999999</v>
      </c>
      <c r="S803" s="6">
        <v>7.6006</v>
      </c>
      <c r="T803" s="6">
        <v>2.3022999999999998</v>
      </c>
      <c r="U803" s="6">
        <v>328</v>
      </c>
      <c r="W803" s="17">
        <v>801</v>
      </c>
      <c r="X803" s="6">
        <v>4.5291300000000003</v>
      </c>
      <c r="Y803" s="6">
        <v>7.6006</v>
      </c>
      <c r="Z803" s="6">
        <v>2.3022999999999998</v>
      </c>
      <c r="AA803" s="6">
        <v>328</v>
      </c>
      <c r="AN803" s="17">
        <v>800</v>
      </c>
      <c r="AO803" s="6">
        <v>1.0679399999999999</v>
      </c>
      <c r="AP803" s="19">
        <v>-1.3435999999999999</v>
      </c>
      <c r="AQ803" s="6">
        <v>0.54290000000000005</v>
      </c>
      <c r="AR803" s="6">
        <v>328</v>
      </c>
      <c r="AT803" s="17">
        <v>800</v>
      </c>
      <c r="AU803" s="6">
        <v>0.56354000000000004</v>
      </c>
      <c r="AV803" s="19">
        <v>-1.3435999999999999</v>
      </c>
      <c r="AW803" s="6">
        <v>0.54290000000000005</v>
      </c>
      <c r="AX803" s="6">
        <v>328</v>
      </c>
    </row>
    <row r="804" spans="1:50" x14ac:dyDescent="0.25">
      <c r="A804" s="31" t="s">
        <v>10</v>
      </c>
      <c r="B804" s="32">
        <v>1</v>
      </c>
      <c r="C804" s="32">
        <v>12</v>
      </c>
      <c r="D804" s="32">
        <v>2</v>
      </c>
      <c r="E804" s="32">
        <v>32</v>
      </c>
      <c r="F804" s="2">
        <v>57.6</v>
      </c>
      <c r="G804">
        <v>55.242657807308966</v>
      </c>
      <c r="Q804" s="17">
        <v>802</v>
      </c>
      <c r="R804" s="6">
        <v>2.3823400000000001</v>
      </c>
      <c r="S804" s="6">
        <v>2.1078000000000001</v>
      </c>
      <c r="T804" s="6">
        <v>2.2949999999999999</v>
      </c>
      <c r="U804" s="6">
        <v>328</v>
      </c>
      <c r="W804" s="17">
        <v>802</v>
      </c>
      <c r="X804" s="6">
        <v>4.5147000000000004</v>
      </c>
      <c r="Y804" s="6">
        <v>2.1078000000000001</v>
      </c>
      <c r="Z804" s="6">
        <v>2.2949999999999999</v>
      </c>
      <c r="AA804" s="6">
        <v>328</v>
      </c>
      <c r="AN804" s="17">
        <v>801</v>
      </c>
      <c r="AO804" s="6">
        <v>1.0747100000000001</v>
      </c>
      <c r="AP804" s="6">
        <v>0.4461</v>
      </c>
      <c r="AQ804" s="6">
        <v>0.54630000000000001</v>
      </c>
      <c r="AR804" s="6">
        <v>328</v>
      </c>
      <c r="AT804" s="17">
        <v>801</v>
      </c>
      <c r="AU804" s="6">
        <v>0.56711</v>
      </c>
      <c r="AV804" s="6">
        <v>0.4461</v>
      </c>
      <c r="AW804" s="6">
        <v>0.54630000000000001</v>
      </c>
      <c r="AX804" s="6">
        <v>328</v>
      </c>
    </row>
    <row r="805" spans="1:50" x14ac:dyDescent="0.25">
      <c r="A805" s="31" t="s">
        <v>10</v>
      </c>
      <c r="B805" s="32">
        <v>2</v>
      </c>
      <c r="C805" s="32">
        <v>4</v>
      </c>
      <c r="D805" s="32">
        <v>7</v>
      </c>
      <c r="E805" s="32">
        <v>32</v>
      </c>
      <c r="F805" s="2">
        <v>59.5</v>
      </c>
      <c r="G805">
        <v>60.150805369127511</v>
      </c>
      <c r="Q805" s="17">
        <v>803</v>
      </c>
      <c r="R805" s="6">
        <v>2.3946299999999998</v>
      </c>
      <c r="S805" s="6">
        <v>11.8263</v>
      </c>
      <c r="T805" s="6">
        <v>2.3068</v>
      </c>
      <c r="U805" s="6">
        <v>328</v>
      </c>
      <c r="W805" s="17">
        <v>803</v>
      </c>
      <c r="X805" s="6">
        <v>4.5380000000000003</v>
      </c>
      <c r="Y805" s="6">
        <v>11.8263</v>
      </c>
      <c r="Z805" s="6">
        <v>2.3068</v>
      </c>
      <c r="AA805" s="6">
        <v>328</v>
      </c>
      <c r="AN805" s="17">
        <v>802</v>
      </c>
      <c r="AO805" s="6">
        <v>1.0640099999999999</v>
      </c>
      <c r="AP805" s="19">
        <v>-1.2725</v>
      </c>
      <c r="AQ805" s="6">
        <v>0.54090000000000005</v>
      </c>
      <c r="AR805" s="6">
        <v>328</v>
      </c>
      <c r="AT805" s="17">
        <v>802</v>
      </c>
      <c r="AU805" s="6">
        <v>0.56145999999999996</v>
      </c>
      <c r="AV805" s="19">
        <v>-1.2725</v>
      </c>
      <c r="AW805" s="6">
        <v>0.54090000000000005</v>
      </c>
      <c r="AX805" s="6">
        <v>328</v>
      </c>
    </row>
    <row r="806" spans="1:50" x14ac:dyDescent="0.25">
      <c r="A806" s="31" t="s">
        <v>10</v>
      </c>
      <c r="B806" s="32">
        <v>3</v>
      </c>
      <c r="C806" s="32">
        <v>2</v>
      </c>
      <c r="D806" s="32">
        <v>11</v>
      </c>
      <c r="E806" s="32">
        <v>32</v>
      </c>
      <c r="F806" s="2">
        <v>60.1</v>
      </c>
      <c r="G806">
        <v>53.234332341608543</v>
      </c>
      <c r="Q806" s="17">
        <v>804</v>
      </c>
      <c r="R806" s="6">
        <v>2.3928199999999999</v>
      </c>
      <c r="S806" s="6">
        <v>7.0495999999999999</v>
      </c>
      <c r="T806" s="6">
        <v>2.3050999999999999</v>
      </c>
      <c r="U806" s="6">
        <v>328</v>
      </c>
      <c r="W806" s="17">
        <v>804</v>
      </c>
      <c r="X806" s="6">
        <v>4.5345700000000004</v>
      </c>
      <c r="Y806" s="6">
        <v>7.0495999999999999</v>
      </c>
      <c r="Z806" s="6">
        <v>2.3050999999999999</v>
      </c>
      <c r="AA806" s="6">
        <v>328</v>
      </c>
      <c r="AN806" s="17">
        <v>803</v>
      </c>
      <c r="AO806" s="6">
        <v>1.07483</v>
      </c>
      <c r="AP806" s="6">
        <v>1.2385999999999999</v>
      </c>
      <c r="AQ806" s="6">
        <v>0.5464</v>
      </c>
      <c r="AR806" s="6">
        <v>328</v>
      </c>
      <c r="AT806" s="17">
        <v>803</v>
      </c>
      <c r="AU806" s="6">
        <v>0.56716999999999995</v>
      </c>
      <c r="AV806" s="6">
        <v>1.2385999999999999</v>
      </c>
      <c r="AW806" s="6">
        <v>0.5464</v>
      </c>
      <c r="AX806" s="6">
        <v>328</v>
      </c>
    </row>
    <row r="807" spans="1:50" x14ac:dyDescent="0.25">
      <c r="A807" s="31" t="s">
        <v>11</v>
      </c>
      <c r="B807" s="32">
        <v>1</v>
      </c>
      <c r="C807" s="32">
        <v>1</v>
      </c>
      <c r="D807" s="32">
        <v>3</v>
      </c>
      <c r="E807" s="11">
        <v>32</v>
      </c>
      <c r="F807" s="2">
        <v>60.6</v>
      </c>
      <c r="G807">
        <v>34.959786950732358</v>
      </c>
      <c r="Q807" s="17">
        <v>805</v>
      </c>
      <c r="R807" s="6">
        <v>2.391</v>
      </c>
      <c r="S807" s="6">
        <v>1.071</v>
      </c>
      <c r="T807" s="6">
        <v>2.3033000000000001</v>
      </c>
      <c r="U807" s="6">
        <v>328</v>
      </c>
      <c r="W807" s="17">
        <v>805</v>
      </c>
      <c r="X807" s="6">
        <v>4.5311199999999996</v>
      </c>
      <c r="Y807" s="6">
        <v>1.071</v>
      </c>
      <c r="Z807" s="6">
        <v>2.3033000000000001</v>
      </c>
      <c r="AA807" s="6">
        <v>328</v>
      </c>
      <c r="AN807" s="17">
        <v>804</v>
      </c>
      <c r="AO807" s="6">
        <v>1.0723199999999999</v>
      </c>
      <c r="AP807" s="6">
        <v>0.3669</v>
      </c>
      <c r="AQ807" s="6">
        <v>0.54510000000000003</v>
      </c>
      <c r="AR807" s="6">
        <v>328</v>
      </c>
      <c r="AT807" s="17">
        <v>804</v>
      </c>
      <c r="AU807" s="6">
        <v>0.56584999999999996</v>
      </c>
      <c r="AV807" s="6">
        <v>0.3669</v>
      </c>
      <c r="AW807" s="6">
        <v>0.54510000000000003</v>
      </c>
      <c r="AX807" s="6">
        <v>328</v>
      </c>
    </row>
    <row r="808" spans="1:50" x14ac:dyDescent="0.25">
      <c r="A808" s="31" t="s">
        <v>11</v>
      </c>
      <c r="B808" s="32">
        <v>2</v>
      </c>
      <c r="C808" s="32">
        <v>9</v>
      </c>
      <c r="D808" s="32">
        <v>6</v>
      </c>
      <c r="E808" s="11">
        <v>32</v>
      </c>
      <c r="F808" s="2">
        <v>59</v>
      </c>
      <c r="G808">
        <v>25.235751265083689</v>
      </c>
      <c r="Q808" s="17">
        <v>806</v>
      </c>
      <c r="R808" s="6">
        <v>2.3841399999999999</v>
      </c>
      <c r="S808" s="6">
        <v>3.0727000000000002</v>
      </c>
      <c r="T808" s="6">
        <v>2.2967</v>
      </c>
      <c r="U808" s="6">
        <v>328</v>
      </c>
      <c r="W808" s="17">
        <v>806</v>
      </c>
      <c r="X808" s="6">
        <v>4.5181100000000001</v>
      </c>
      <c r="Y808" s="6">
        <v>3.0727000000000002</v>
      </c>
      <c r="Z808" s="6">
        <v>2.2967</v>
      </c>
      <c r="AA808" s="6">
        <v>328</v>
      </c>
      <c r="AN808" s="17">
        <v>805</v>
      </c>
      <c r="AO808" s="6">
        <v>1.07003</v>
      </c>
      <c r="AP808" s="19">
        <v>-8.0920000000000006E-2</v>
      </c>
      <c r="AQ808" s="6">
        <v>0.54390000000000005</v>
      </c>
      <c r="AR808" s="6">
        <v>328</v>
      </c>
      <c r="AT808" s="17">
        <v>805</v>
      </c>
      <c r="AU808" s="6">
        <v>0.56464000000000003</v>
      </c>
      <c r="AV808" s="19">
        <v>-8.0920000000000006E-2</v>
      </c>
      <c r="AW808" s="6">
        <v>0.54390000000000005</v>
      </c>
      <c r="AX808" s="6">
        <v>328</v>
      </c>
    </row>
    <row r="809" spans="1:50" x14ac:dyDescent="0.25">
      <c r="A809" s="31" t="s">
        <v>11</v>
      </c>
      <c r="B809" s="32">
        <v>3</v>
      </c>
      <c r="C809" s="32">
        <v>4</v>
      </c>
      <c r="D809" s="32">
        <v>9</v>
      </c>
      <c r="E809" s="11">
        <v>32</v>
      </c>
      <c r="F809" s="14">
        <v>62.1</v>
      </c>
      <c r="G809">
        <v>39.391537004593005</v>
      </c>
      <c r="Q809" s="17">
        <v>807</v>
      </c>
      <c r="R809" s="6">
        <v>2.3939599999999999</v>
      </c>
      <c r="S809" s="19">
        <v>-1.3938999999999999</v>
      </c>
      <c r="T809" s="6">
        <v>2.3062</v>
      </c>
      <c r="U809" s="6">
        <v>328</v>
      </c>
      <c r="W809" s="17">
        <v>807</v>
      </c>
      <c r="X809" s="6">
        <v>4.5367300000000004</v>
      </c>
      <c r="Y809" s="19">
        <v>-1.3938999999999999</v>
      </c>
      <c r="Z809" s="6">
        <v>2.3062</v>
      </c>
      <c r="AA809" s="6">
        <v>328</v>
      </c>
      <c r="AN809" s="17">
        <v>806</v>
      </c>
      <c r="AO809" s="6">
        <v>1.0681400000000001</v>
      </c>
      <c r="AP809" s="19">
        <v>-8.3059999999999995E-2</v>
      </c>
      <c r="AQ809" s="6">
        <v>0.54300000000000004</v>
      </c>
      <c r="AR809" s="6">
        <v>328</v>
      </c>
      <c r="AT809" s="17">
        <v>806</v>
      </c>
      <c r="AU809" s="6">
        <v>0.56364000000000003</v>
      </c>
      <c r="AV809" s="19">
        <v>-8.3059999999999995E-2</v>
      </c>
      <c r="AW809" s="6">
        <v>0.54300000000000004</v>
      </c>
      <c r="AX809" s="6">
        <v>328</v>
      </c>
    </row>
    <row r="810" spans="1:50" x14ac:dyDescent="0.25">
      <c r="A810" t="s">
        <v>160</v>
      </c>
      <c r="B810" s="11">
        <v>1</v>
      </c>
      <c r="C810" s="36">
        <v>15</v>
      </c>
      <c r="D810" s="36">
        <v>2</v>
      </c>
      <c r="E810" s="32">
        <v>32</v>
      </c>
      <c r="F810" s="2" t="s">
        <v>12</v>
      </c>
      <c r="G810" t="s">
        <v>12</v>
      </c>
      <c r="Q810" s="17">
        <v>808</v>
      </c>
      <c r="R810" s="6">
        <v>2.3883200000000002</v>
      </c>
      <c r="S810" s="19">
        <v>-0.32719999999999999</v>
      </c>
      <c r="T810" s="6">
        <v>2.3007</v>
      </c>
      <c r="U810" s="6">
        <v>328</v>
      </c>
      <c r="W810" s="17">
        <v>808</v>
      </c>
      <c r="X810" s="6">
        <v>4.5260400000000001</v>
      </c>
      <c r="Y810" s="19">
        <v>-0.32719999999999999</v>
      </c>
      <c r="Z810" s="6">
        <v>2.3007</v>
      </c>
      <c r="AA810" s="6">
        <v>328</v>
      </c>
      <c r="AN810" s="17">
        <v>807</v>
      </c>
      <c r="AO810" s="6">
        <v>1.0795999999999999</v>
      </c>
      <c r="AP810" s="19">
        <v>-0.28910000000000002</v>
      </c>
      <c r="AQ810" s="6">
        <v>0.54879999999999995</v>
      </c>
      <c r="AR810" s="6">
        <v>328</v>
      </c>
      <c r="AT810" s="17">
        <v>807</v>
      </c>
      <c r="AU810" s="6">
        <v>0.56969000000000003</v>
      </c>
      <c r="AV810" s="19">
        <v>-0.28910000000000002</v>
      </c>
      <c r="AW810" s="6">
        <v>0.54879999999999995</v>
      </c>
      <c r="AX810" s="6">
        <v>328</v>
      </c>
    </row>
    <row r="811" spans="1:50" x14ac:dyDescent="0.25">
      <c r="A811" t="s">
        <v>160</v>
      </c>
      <c r="B811" s="11">
        <v>2</v>
      </c>
      <c r="C811" s="36">
        <v>12</v>
      </c>
      <c r="D811" s="36">
        <v>4</v>
      </c>
      <c r="E811" s="32">
        <v>32</v>
      </c>
      <c r="F811" s="2">
        <v>62.3</v>
      </c>
      <c r="G811">
        <v>93.241179635154296</v>
      </c>
      <c r="Q811" s="17">
        <v>809</v>
      </c>
      <c r="R811" s="6">
        <v>2.3839100000000002</v>
      </c>
      <c r="S811" s="19">
        <v>-1.8957999999999999</v>
      </c>
      <c r="T811" s="6">
        <v>2.2965</v>
      </c>
      <c r="U811" s="6">
        <v>328</v>
      </c>
      <c r="W811" s="17">
        <v>809</v>
      </c>
      <c r="X811" s="6">
        <v>4.5176699999999999</v>
      </c>
      <c r="Y811" s="19">
        <v>-1.8957999999999999</v>
      </c>
      <c r="Z811" s="6">
        <v>2.2965</v>
      </c>
      <c r="AA811" s="6">
        <v>328</v>
      </c>
      <c r="AN811" s="17">
        <v>808</v>
      </c>
      <c r="AO811" s="6">
        <v>1.0703100000000001</v>
      </c>
      <c r="AP811" s="19">
        <v>-1.3696999999999999</v>
      </c>
      <c r="AQ811" s="6">
        <v>0.54410000000000003</v>
      </c>
      <c r="AR811" s="6">
        <v>328</v>
      </c>
      <c r="AT811" s="17">
        <v>808</v>
      </c>
      <c r="AU811" s="6">
        <v>0.56479000000000001</v>
      </c>
      <c r="AV811" s="19">
        <v>-1.3696999999999999</v>
      </c>
      <c r="AW811" s="6">
        <v>0.54410000000000003</v>
      </c>
      <c r="AX811" s="6">
        <v>328</v>
      </c>
    </row>
    <row r="812" spans="1:50" x14ac:dyDescent="0.25">
      <c r="A812" t="s">
        <v>160</v>
      </c>
      <c r="B812" s="11">
        <v>3</v>
      </c>
      <c r="C812" s="36">
        <v>25</v>
      </c>
      <c r="D812" s="36">
        <v>5</v>
      </c>
      <c r="E812" s="32">
        <v>32</v>
      </c>
      <c r="F812" s="2">
        <v>63.4</v>
      </c>
      <c r="G812">
        <v>78.22713995550825</v>
      </c>
      <c r="Q812" s="17">
        <v>810</v>
      </c>
      <c r="R812" s="6">
        <v>2.3955799999999998</v>
      </c>
      <c r="S812" s="19">
        <v>-1.3927</v>
      </c>
      <c r="T812" s="6">
        <v>2.3077000000000001</v>
      </c>
      <c r="U812" s="6">
        <v>328</v>
      </c>
      <c r="W812" s="17">
        <v>810</v>
      </c>
      <c r="X812" s="6">
        <v>4.53979</v>
      </c>
      <c r="Y812" s="19">
        <v>-1.3927</v>
      </c>
      <c r="Z812" s="6">
        <v>2.3077000000000001</v>
      </c>
      <c r="AA812" s="6">
        <v>328</v>
      </c>
      <c r="AN812" s="17">
        <v>809</v>
      </c>
      <c r="AO812" s="6">
        <v>1.06508</v>
      </c>
      <c r="AP812" s="19">
        <v>-1.0301</v>
      </c>
      <c r="AQ812" s="6">
        <v>0.54139999999999999</v>
      </c>
      <c r="AR812" s="6">
        <v>328</v>
      </c>
      <c r="AT812" s="17">
        <v>809</v>
      </c>
      <c r="AU812" s="6">
        <v>0.56203000000000003</v>
      </c>
      <c r="AV812" s="19">
        <v>-1.0301</v>
      </c>
      <c r="AW812" s="6">
        <v>0.54139999999999999</v>
      </c>
      <c r="AX812" s="6">
        <v>328</v>
      </c>
    </row>
    <row r="813" spans="1:50" x14ac:dyDescent="0.25">
      <c r="A813" s="31" t="s">
        <v>116</v>
      </c>
      <c r="B813" s="32">
        <v>1</v>
      </c>
      <c r="C813" s="32">
        <v>4</v>
      </c>
      <c r="D813" s="32">
        <v>1</v>
      </c>
      <c r="E813" s="32">
        <v>33</v>
      </c>
      <c r="F813" s="12">
        <v>57.3</v>
      </c>
      <c r="G813">
        <v>62.267811864406781</v>
      </c>
      <c r="Q813" s="17">
        <v>811</v>
      </c>
      <c r="R813" s="6">
        <v>2.3974199999999999</v>
      </c>
      <c r="S813" s="6">
        <v>5.9043999999999999</v>
      </c>
      <c r="T813" s="6">
        <v>2.3094999999999999</v>
      </c>
      <c r="U813" s="6">
        <v>328</v>
      </c>
      <c r="W813" s="17">
        <v>811</v>
      </c>
      <c r="X813" s="6">
        <v>4.5432699999999997</v>
      </c>
      <c r="Y813" s="6">
        <v>5.9043999999999999</v>
      </c>
      <c r="Z813" s="6">
        <v>2.3094999999999999</v>
      </c>
      <c r="AA813" s="6">
        <v>328</v>
      </c>
      <c r="AN813" s="17">
        <v>810</v>
      </c>
      <c r="AO813" s="6">
        <v>1.07223</v>
      </c>
      <c r="AP813" s="19">
        <v>-1.5569999999999999</v>
      </c>
      <c r="AQ813" s="6">
        <v>0.54500000000000004</v>
      </c>
      <c r="AR813" s="6">
        <v>328</v>
      </c>
      <c r="AT813" s="17">
        <v>810</v>
      </c>
      <c r="AU813" s="6">
        <v>0.56579999999999997</v>
      </c>
      <c r="AV813" s="19">
        <v>-1.5569999999999999</v>
      </c>
      <c r="AW813" s="6">
        <v>0.54500000000000004</v>
      </c>
      <c r="AX813" s="6">
        <v>328</v>
      </c>
    </row>
    <row r="814" spans="1:50" x14ac:dyDescent="0.25">
      <c r="A814" s="31" t="s">
        <v>116</v>
      </c>
      <c r="B814" s="32">
        <v>2</v>
      </c>
      <c r="C814" s="32">
        <v>2</v>
      </c>
      <c r="D814" s="32">
        <v>8</v>
      </c>
      <c r="E814" s="32">
        <v>33</v>
      </c>
      <c r="F814" s="12">
        <v>59</v>
      </c>
      <c r="G814">
        <v>68.295114027538716</v>
      </c>
      <c r="Q814" s="17">
        <v>812</v>
      </c>
      <c r="R814" s="6">
        <v>2.3961299999999999</v>
      </c>
      <c r="S814" s="6">
        <v>0.41160000000000002</v>
      </c>
      <c r="T814" s="6">
        <v>2.3081999999999998</v>
      </c>
      <c r="U814" s="6">
        <v>328</v>
      </c>
      <c r="W814" s="17">
        <v>812</v>
      </c>
      <c r="X814" s="6">
        <v>4.5408299999999997</v>
      </c>
      <c r="Y814" s="6">
        <v>0.41160000000000002</v>
      </c>
      <c r="Z814" s="6">
        <v>2.3081999999999998</v>
      </c>
      <c r="AA814" s="6">
        <v>328</v>
      </c>
      <c r="AN814" s="17">
        <v>811</v>
      </c>
      <c r="AO814" s="6">
        <v>1.0828199999999999</v>
      </c>
      <c r="AP814" s="6">
        <v>0.23280000000000001</v>
      </c>
      <c r="AQ814" s="6">
        <v>0.5504</v>
      </c>
      <c r="AR814" s="6">
        <v>328</v>
      </c>
      <c r="AT814" s="17">
        <v>811</v>
      </c>
      <c r="AU814" s="6">
        <v>0.57138999999999995</v>
      </c>
      <c r="AV814" s="6">
        <v>0.23280000000000001</v>
      </c>
      <c r="AW814" s="6">
        <v>0.5504</v>
      </c>
      <c r="AX814" s="6">
        <v>328</v>
      </c>
    </row>
    <row r="815" spans="1:50" x14ac:dyDescent="0.25">
      <c r="A815" s="31" t="s">
        <v>116</v>
      </c>
      <c r="B815" s="32">
        <v>3</v>
      </c>
      <c r="C815" s="32">
        <v>5</v>
      </c>
      <c r="D815" s="32">
        <v>11</v>
      </c>
      <c r="E815" s="32">
        <v>33</v>
      </c>
      <c r="F815" s="12">
        <v>58</v>
      </c>
      <c r="G815">
        <v>70.251286285714286</v>
      </c>
      <c r="Q815" s="17">
        <v>813</v>
      </c>
      <c r="R815" s="6">
        <v>2.4005200000000002</v>
      </c>
      <c r="S815" s="6">
        <v>10.130100000000001</v>
      </c>
      <c r="T815" s="6">
        <v>2.3125</v>
      </c>
      <c r="U815" s="6">
        <v>328</v>
      </c>
      <c r="W815" s="17">
        <v>813</v>
      </c>
      <c r="X815" s="6">
        <v>4.5491400000000004</v>
      </c>
      <c r="Y815" s="6">
        <v>10.130100000000001</v>
      </c>
      <c r="Z815" s="6">
        <v>2.3125</v>
      </c>
      <c r="AA815" s="6">
        <v>328</v>
      </c>
      <c r="AN815" s="17">
        <v>812</v>
      </c>
      <c r="AO815" s="6">
        <v>1.0764</v>
      </c>
      <c r="AP815" s="19">
        <v>-1.4858</v>
      </c>
      <c r="AQ815" s="6">
        <v>0.54720000000000002</v>
      </c>
      <c r="AR815" s="6">
        <v>328</v>
      </c>
      <c r="AT815" s="17">
        <v>812</v>
      </c>
      <c r="AU815" s="6">
        <v>0.56799999999999995</v>
      </c>
      <c r="AV815" s="19">
        <v>-1.4858</v>
      </c>
      <c r="AW815" s="6">
        <v>0.54720000000000002</v>
      </c>
      <c r="AX815" s="6">
        <v>328</v>
      </c>
    </row>
    <row r="816" spans="1:50" x14ac:dyDescent="0.25">
      <c r="A816" s="34" t="s">
        <v>97</v>
      </c>
      <c r="B816" s="35">
        <v>1</v>
      </c>
      <c r="C816" s="35">
        <v>11</v>
      </c>
      <c r="D816" s="35">
        <v>1</v>
      </c>
      <c r="E816" s="35">
        <v>33</v>
      </c>
      <c r="F816" s="2">
        <v>59.4</v>
      </c>
      <c r="G816">
        <v>81.085808571428558</v>
      </c>
      <c r="Q816" s="17">
        <v>814</v>
      </c>
      <c r="R816" s="6">
        <v>2.3941599999999998</v>
      </c>
      <c r="S816" s="6">
        <v>5.3533999999999997</v>
      </c>
      <c r="T816" s="6">
        <v>2.3064</v>
      </c>
      <c r="U816" s="6">
        <v>328</v>
      </c>
      <c r="W816" s="17">
        <v>814</v>
      </c>
      <c r="X816" s="6">
        <v>4.5370999999999997</v>
      </c>
      <c r="Y816" s="6">
        <v>5.3533999999999997</v>
      </c>
      <c r="Z816" s="6">
        <v>2.3064</v>
      </c>
      <c r="AA816" s="6">
        <v>328</v>
      </c>
      <c r="AN816" s="17">
        <v>813</v>
      </c>
      <c r="AO816" s="6">
        <v>1.08104</v>
      </c>
      <c r="AP816" s="6">
        <v>1.0251999999999999</v>
      </c>
      <c r="AQ816" s="6">
        <v>0.54949999999999999</v>
      </c>
      <c r="AR816" s="6">
        <v>328</v>
      </c>
      <c r="AT816" s="17">
        <v>813</v>
      </c>
      <c r="AU816" s="6">
        <v>0.57045000000000001</v>
      </c>
      <c r="AV816" s="6">
        <v>1.0251999999999999</v>
      </c>
      <c r="AW816" s="6">
        <v>0.54949999999999999</v>
      </c>
      <c r="AX816" s="6">
        <v>328</v>
      </c>
    </row>
    <row r="817" spans="1:50" x14ac:dyDescent="0.25">
      <c r="A817" s="34" t="s">
        <v>97</v>
      </c>
      <c r="B817" s="35">
        <v>2</v>
      </c>
      <c r="C817" s="35">
        <v>14</v>
      </c>
      <c r="D817" s="35">
        <v>4</v>
      </c>
      <c r="E817" s="35">
        <v>33</v>
      </c>
      <c r="F817" s="2">
        <v>60.6</v>
      </c>
      <c r="G817">
        <v>79.523909395973149</v>
      </c>
      <c r="Q817" s="17">
        <v>815</v>
      </c>
      <c r="R817" s="6">
        <v>2.3876300000000001</v>
      </c>
      <c r="S817" s="19">
        <v>-0.62519999999999998</v>
      </c>
      <c r="T817" s="6">
        <v>2.3001</v>
      </c>
      <c r="U817" s="6">
        <v>328</v>
      </c>
      <c r="W817" s="17">
        <v>815</v>
      </c>
      <c r="X817" s="6">
        <v>4.5247299999999999</v>
      </c>
      <c r="Y817" s="19">
        <v>-0.62519999999999998</v>
      </c>
      <c r="Z817" s="6">
        <v>2.3001</v>
      </c>
      <c r="AA817" s="6">
        <v>328</v>
      </c>
      <c r="AN817" s="17">
        <v>814</v>
      </c>
      <c r="AO817" s="6">
        <v>1.0755399999999999</v>
      </c>
      <c r="AP817" s="6">
        <v>0.15359999999999999</v>
      </c>
      <c r="AQ817" s="6">
        <v>0.54669999999999996</v>
      </c>
      <c r="AR817" s="6">
        <v>328</v>
      </c>
      <c r="AT817" s="17">
        <v>814</v>
      </c>
      <c r="AU817" s="6">
        <v>0.56754000000000004</v>
      </c>
      <c r="AV817" s="6">
        <v>0.15359999999999999</v>
      </c>
      <c r="AW817" s="6">
        <v>0.54669999999999996</v>
      </c>
      <c r="AX817" s="6">
        <v>328</v>
      </c>
    </row>
    <row r="818" spans="1:50" x14ac:dyDescent="0.25">
      <c r="A818" s="34" t="s">
        <v>97</v>
      </c>
      <c r="B818" s="35">
        <v>3</v>
      </c>
      <c r="C818" s="35">
        <v>12</v>
      </c>
      <c r="D818" s="35">
        <v>5</v>
      </c>
      <c r="E818" s="35">
        <v>33</v>
      </c>
      <c r="F818" s="2">
        <v>61.5</v>
      </c>
      <c r="G818">
        <v>74.75504874947012</v>
      </c>
      <c r="Q818" s="17">
        <v>816</v>
      </c>
      <c r="R818" s="6">
        <v>2.3846599999999998</v>
      </c>
      <c r="S818" s="6">
        <v>1.3765000000000001</v>
      </c>
      <c r="T818" s="6">
        <v>2.2972000000000001</v>
      </c>
      <c r="U818" s="6">
        <v>328</v>
      </c>
      <c r="W818" s="17">
        <v>816</v>
      </c>
      <c r="X818" s="6">
        <v>4.5190999999999999</v>
      </c>
      <c r="Y818" s="6">
        <v>1.3765000000000001</v>
      </c>
      <c r="Z818" s="6">
        <v>2.2972000000000001</v>
      </c>
      <c r="AA818" s="6">
        <v>328</v>
      </c>
      <c r="AN818" s="17">
        <v>815</v>
      </c>
      <c r="AO818" s="6">
        <v>1.0722100000000001</v>
      </c>
      <c r="AP818" s="19">
        <v>-0.29430000000000001</v>
      </c>
      <c r="AQ818" s="6">
        <v>0.54500000000000004</v>
      </c>
      <c r="AR818" s="6">
        <v>328</v>
      </c>
      <c r="AT818" s="17">
        <v>815</v>
      </c>
      <c r="AU818" s="6">
        <v>0.56579000000000002</v>
      </c>
      <c r="AV818" s="19">
        <v>-0.29430000000000001</v>
      </c>
      <c r="AW818" s="6">
        <v>0.54500000000000004</v>
      </c>
      <c r="AX818" s="6">
        <v>328</v>
      </c>
    </row>
    <row r="819" spans="1:50" x14ac:dyDescent="0.25">
      <c r="A819" s="31" t="s">
        <v>132</v>
      </c>
      <c r="B819" s="32">
        <v>1</v>
      </c>
      <c r="C819" s="32">
        <v>1</v>
      </c>
      <c r="D819" s="32">
        <v>2</v>
      </c>
      <c r="E819" s="32">
        <v>33</v>
      </c>
      <c r="F819" s="2">
        <v>58</v>
      </c>
      <c r="G819">
        <v>64.775192613663762</v>
      </c>
      <c r="Q819" s="17">
        <v>817</v>
      </c>
      <c r="R819" s="6">
        <v>2.3879299999999999</v>
      </c>
      <c r="S819" s="6">
        <v>1.0667</v>
      </c>
      <c r="T819" s="6">
        <v>2.3003</v>
      </c>
      <c r="U819" s="6">
        <v>328</v>
      </c>
      <c r="W819" s="17">
        <v>817</v>
      </c>
      <c r="X819" s="6">
        <v>4.52529</v>
      </c>
      <c r="Y819" s="6">
        <v>1.0667</v>
      </c>
      <c r="Z819" s="6">
        <v>2.3003</v>
      </c>
      <c r="AA819" s="6">
        <v>328</v>
      </c>
      <c r="AN819" s="17">
        <v>816</v>
      </c>
      <c r="AO819" s="6">
        <v>1.0729900000000001</v>
      </c>
      <c r="AP819" s="19">
        <v>-0.2964</v>
      </c>
      <c r="AQ819" s="6">
        <v>0.5454</v>
      </c>
      <c r="AR819" s="6">
        <v>328</v>
      </c>
      <c r="AT819" s="17">
        <v>816</v>
      </c>
      <c r="AU819" s="6">
        <v>0.56620000000000004</v>
      </c>
      <c r="AV819" s="19">
        <v>-0.2964</v>
      </c>
      <c r="AW819" s="6">
        <v>0.5454</v>
      </c>
      <c r="AX819" s="6">
        <v>328</v>
      </c>
    </row>
    <row r="820" spans="1:50" x14ac:dyDescent="0.25">
      <c r="A820" s="31" t="s">
        <v>132</v>
      </c>
      <c r="B820" s="32">
        <v>2</v>
      </c>
      <c r="C820" s="32">
        <v>21</v>
      </c>
      <c r="D820" s="32">
        <v>4</v>
      </c>
      <c r="E820" s="32">
        <v>33</v>
      </c>
      <c r="F820" s="2">
        <v>61.2</v>
      </c>
      <c r="G820">
        <v>66.897787735619303</v>
      </c>
      <c r="Q820" s="17">
        <v>818</v>
      </c>
      <c r="R820" s="6">
        <v>2.3924699999999999</v>
      </c>
      <c r="S820" s="19">
        <v>-0.50190000000000001</v>
      </c>
      <c r="T820" s="6">
        <v>2.3047</v>
      </c>
      <c r="U820" s="6">
        <v>328</v>
      </c>
      <c r="W820" s="17">
        <v>818</v>
      </c>
      <c r="X820" s="6">
        <v>4.5338900000000004</v>
      </c>
      <c r="Y820" s="19">
        <v>-0.50190000000000001</v>
      </c>
      <c r="Z820" s="6">
        <v>2.3047</v>
      </c>
      <c r="AA820" s="6">
        <v>328</v>
      </c>
      <c r="AN820" s="17">
        <v>817</v>
      </c>
      <c r="AO820" s="6">
        <v>1.07325</v>
      </c>
      <c r="AP820" s="19">
        <v>-1.0805</v>
      </c>
      <c r="AQ820" s="6">
        <v>0.54559999999999997</v>
      </c>
      <c r="AR820" s="6">
        <v>328</v>
      </c>
      <c r="AT820" s="17">
        <v>817</v>
      </c>
      <c r="AU820" s="6">
        <v>0.56633999999999995</v>
      </c>
      <c r="AV820" s="19">
        <v>-1.0805</v>
      </c>
      <c r="AW820" s="6">
        <v>0.54559999999999997</v>
      </c>
      <c r="AX820" s="6">
        <v>328</v>
      </c>
    </row>
    <row r="821" spans="1:50" x14ac:dyDescent="0.25">
      <c r="A821" s="31" t="s">
        <v>132</v>
      </c>
      <c r="B821" s="32">
        <v>3</v>
      </c>
      <c r="C821" s="32">
        <v>18</v>
      </c>
      <c r="D821" s="32">
        <v>6</v>
      </c>
      <c r="E821" s="32">
        <v>33</v>
      </c>
      <c r="F821" s="12">
        <v>60.2</v>
      </c>
      <c r="G821">
        <v>60.644113823486919</v>
      </c>
      <c r="Q821" s="17">
        <v>819</v>
      </c>
      <c r="R821" s="6">
        <v>2.3930799999999999</v>
      </c>
      <c r="S821" s="6">
        <v>1.2019999999999999E-3</v>
      </c>
      <c r="T821" s="6">
        <v>2.3052999999999999</v>
      </c>
      <c r="U821" s="6">
        <v>328</v>
      </c>
      <c r="W821" s="17">
        <v>819</v>
      </c>
      <c r="X821" s="6">
        <v>4.53505</v>
      </c>
      <c r="Y821" s="6">
        <v>1.2019999999999999E-3</v>
      </c>
      <c r="Z821" s="6">
        <v>2.3052999999999999</v>
      </c>
      <c r="AA821" s="6">
        <v>328</v>
      </c>
      <c r="AN821" s="17">
        <v>818</v>
      </c>
      <c r="AO821" s="6">
        <v>1.07538</v>
      </c>
      <c r="AP821" s="19">
        <v>-0.74099999999999999</v>
      </c>
      <c r="AQ821" s="6">
        <v>0.54669999999999996</v>
      </c>
      <c r="AR821" s="6">
        <v>328</v>
      </c>
      <c r="AT821" s="17">
        <v>818</v>
      </c>
      <c r="AU821" s="6">
        <v>0.56745999999999996</v>
      </c>
      <c r="AV821" s="19">
        <v>-0.74099999999999999</v>
      </c>
      <c r="AW821" s="6">
        <v>0.54669999999999996</v>
      </c>
      <c r="AX821" s="6">
        <v>328</v>
      </c>
    </row>
    <row r="822" spans="1:50" x14ac:dyDescent="0.25">
      <c r="A822" s="31" t="s">
        <v>13</v>
      </c>
      <c r="B822" s="32">
        <v>1</v>
      </c>
      <c r="C822" s="36">
        <v>8</v>
      </c>
      <c r="D822" s="36">
        <v>2</v>
      </c>
      <c r="E822" s="32">
        <v>33</v>
      </c>
      <c r="F822" s="12">
        <v>58</v>
      </c>
      <c r="G822">
        <v>68.951959999999985</v>
      </c>
      <c r="Q822" s="17">
        <v>820</v>
      </c>
      <c r="R822" s="6">
        <v>2.4090500000000001</v>
      </c>
      <c r="S822" s="6">
        <v>7.2983000000000002</v>
      </c>
      <c r="T822" s="6">
        <v>2.3207</v>
      </c>
      <c r="U822" s="6">
        <v>328</v>
      </c>
      <c r="W822" s="17">
        <v>820</v>
      </c>
      <c r="X822" s="6">
        <v>4.5653100000000002</v>
      </c>
      <c r="Y822" s="6">
        <v>7.2983000000000002</v>
      </c>
      <c r="Z822" s="6">
        <v>2.3207</v>
      </c>
      <c r="AA822" s="6">
        <v>328</v>
      </c>
      <c r="AN822" s="17">
        <v>819</v>
      </c>
      <c r="AO822" s="6">
        <v>1.0775699999999999</v>
      </c>
      <c r="AP822" s="19">
        <v>-1.2679</v>
      </c>
      <c r="AQ822" s="6">
        <v>0.54779999999999995</v>
      </c>
      <c r="AR822" s="6">
        <v>328</v>
      </c>
      <c r="AT822" s="17">
        <v>819</v>
      </c>
      <c r="AU822" s="6">
        <v>0.56862000000000001</v>
      </c>
      <c r="AV822" s="19">
        <v>-1.2679</v>
      </c>
      <c r="AW822" s="6">
        <v>0.54779999999999995</v>
      </c>
      <c r="AX822" s="6">
        <v>328</v>
      </c>
    </row>
    <row r="823" spans="1:50" x14ac:dyDescent="0.25">
      <c r="A823" s="31" t="s">
        <v>13</v>
      </c>
      <c r="B823" s="32">
        <v>2</v>
      </c>
      <c r="C823" s="36">
        <v>5</v>
      </c>
      <c r="D823" s="36">
        <v>4</v>
      </c>
      <c r="E823" s="32">
        <v>33</v>
      </c>
      <c r="F823" s="12">
        <v>57.8</v>
      </c>
      <c r="G823">
        <v>72.478560000000002</v>
      </c>
      <c r="Q823" s="17">
        <v>821</v>
      </c>
      <c r="R823" s="6">
        <v>2.40341</v>
      </c>
      <c r="S823" s="6">
        <v>1.8055000000000001</v>
      </c>
      <c r="T823" s="6">
        <v>2.3153000000000001</v>
      </c>
      <c r="U823" s="6">
        <v>328</v>
      </c>
      <c r="W823" s="17">
        <v>821</v>
      </c>
      <c r="X823" s="6">
        <v>4.5546199999999999</v>
      </c>
      <c r="Y823" s="6">
        <v>1.8055000000000001</v>
      </c>
      <c r="Z823" s="6">
        <v>2.3153000000000001</v>
      </c>
      <c r="AA823" s="6">
        <v>328</v>
      </c>
      <c r="AN823" s="17">
        <v>820</v>
      </c>
      <c r="AO823" s="6">
        <v>1.08927</v>
      </c>
      <c r="AP823" s="6">
        <v>0.52190000000000003</v>
      </c>
      <c r="AQ823" s="6">
        <v>0.55369999999999997</v>
      </c>
      <c r="AR823" s="6">
        <v>328</v>
      </c>
      <c r="AT823" s="17">
        <v>820</v>
      </c>
      <c r="AU823" s="6">
        <v>0.57479000000000002</v>
      </c>
      <c r="AV823" s="6">
        <v>0.52190000000000003</v>
      </c>
      <c r="AW823" s="6">
        <v>0.55369999999999997</v>
      </c>
      <c r="AX823" s="6">
        <v>328</v>
      </c>
    </row>
    <row r="824" spans="1:50" x14ac:dyDescent="0.25">
      <c r="A824" s="31" t="s">
        <v>13</v>
      </c>
      <c r="B824" s="32">
        <v>3</v>
      </c>
      <c r="C824" s="36">
        <v>18</v>
      </c>
      <c r="D824" s="36">
        <v>5</v>
      </c>
      <c r="E824" s="32">
        <v>33</v>
      </c>
      <c r="F824" s="12">
        <v>58</v>
      </c>
      <c r="G824">
        <v>59.103494999999995</v>
      </c>
      <c r="Q824" s="17">
        <v>822</v>
      </c>
      <c r="R824" s="6">
        <v>2.40476</v>
      </c>
      <c r="S824" s="6">
        <v>11.523999999999999</v>
      </c>
      <c r="T824" s="6">
        <v>2.3166000000000002</v>
      </c>
      <c r="U824" s="6">
        <v>328</v>
      </c>
      <c r="W824" s="17">
        <v>822</v>
      </c>
      <c r="X824" s="6">
        <v>4.5571799999999998</v>
      </c>
      <c r="Y824" s="6">
        <v>11.523999999999999</v>
      </c>
      <c r="Z824" s="6">
        <v>2.3166000000000002</v>
      </c>
      <c r="AA824" s="6">
        <v>328</v>
      </c>
      <c r="AN824" s="17">
        <v>821</v>
      </c>
      <c r="AO824" s="6">
        <v>1.0814699999999999</v>
      </c>
      <c r="AP824" s="19">
        <v>-1.1967000000000001</v>
      </c>
      <c r="AQ824" s="6">
        <v>0.54969999999999997</v>
      </c>
      <c r="AR824" s="6">
        <v>328</v>
      </c>
      <c r="AT824" s="17">
        <v>821</v>
      </c>
      <c r="AU824" s="6">
        <v>0.57067000000000001</v>
      </c>
      <c r="AV824" s="19">
        <v>-1.1967000000000001</v>
      </c>
      <c r="AW824" s="6">
        <v>0.54969999999999997</v>
      </c>
      <c r="AX824" s="6">
        <v>328</v>
      </c>
    </row>
    <row r="825" spans="1:50" x14ac:dyDescent="0.25">
      <c r="A825" t="s">
        <v>7</v>
      </c>
      <c r="B825" s="11">
        <v>1</v>
      </c>
      <c r="C825" s="11">
        <v>7</v>
      </c>
      <c r="D825" s="11">
        <v>4</v>
      </c>
      <c r="E825" s="11">
        <v>33</v>
      </c>
      <c r="F825" s="12">
        <v>56.6</v>
      </c>
      <c r="G825">
        <v>43.025930661421192</v>
      </c>
      <c r="Q825" s="17">
        <v>823</v>
      </c>
      <c r="R825" s="6">
        <v>2.3939400000000002</v>
      </c>
      <c r="S825" s="6">
        <v>6.7473000000000001</v>
      </c>
      <c r="T825" s="6">
        <v>2.3060999999999998</v>
      </c>
      <c r="U825" s="6">
        <v>328</v>
      </c>
      <c r="W825" s="17">
        <v>823</v>
      </c>
      <c r="X825" s="6">
        <v>4.5366799999999996</v>
      </c>
      <c r="Y825" s="6">
        <v>6.7473000000000001</v>
      </c>
      <c r="Z825" s="6">
        <v>2.3060999999999998</v>
      </c>
      <c r="AA825" s="6">
        <v>328</v>
      </c>
      <c r="AN825" s="17">
        <v>822</v>
      </c>
      <c r="AO825" s="6">
        <v>1.08693</v>
      </c>
      <c r="AP825" s="6">
        <v>1.3143</v>
      </c>
      <c r="AQ825" s="6">
        <v>0.55249999999999999</v>
      </c>
      <c r="AR825" s="6">
        <v>328</v>
      </c>
      <c r="AT825" s="17">
        <v>822</v>
      </c>
      <c r="AU825" s="6">
        <v>0.57355999999999996</v>
      </c>
      <c r="AV825" s="6">
        <v>1.3143</v>
      </c>
      <c r="AW825" s="6">
        <v>0.55249999999999999</v>
      </c>
      <c r="AX825" s="6">
        <v>328</v>
      </c>
    </row>
    <row r="826" spans="1:50" x14ac:dyDescent="0.25">
      <c r="A826" t="s">
        <v>7</v>
      </c>
      <c r="B826" s="11">
        <v>2</v>
      </c>
      <c r="C826" s="11">
        <v>11</v>
      </c>
      <c r="D826" s="11">
        <v>8</v>
      </c>
      <c r="E826" s="11">
        <v>33</v>
      </c>
      <c r="F826" s="12">
        <v>54.1</v>
      </c>
      <c r="G826">
        <v>53.647676816575498</v>
      </c>
      <c r="Q826" s="17">
        <v>824</v>
      </c>
      <c r="R826" s="6">
        <v>2.3915600000000001</v>
      </c>
      <c r="S826" s="6">
        <v>0.76880000000000004</v>
      </c>
      <c r="T826" s="6">
        <v>2.3037999999999998</v>
      </c>
      <c r="U826" s="6">
        <v>328</v>
      </c>
      <c r="W826" s="17">
        <v>824</v>
      </c>
      <c r="X826" s="6">
        <v>4.5321699999999998</v>
      </c>
      <c r="Y826" s="6">
        <v>0.76880000000000004</v>
      </c>
      <c r="Z826" s="6">
        <v>2.3037999999999998</v>
      </c>
      <c r="AA826" s="6">
        <v>328</v>
      </c>
      <c r="AN826" s="17">
        <v>823</v>
      </c>
      <c r="AO826" s="6">
        <v>1.0760400000000001</v>
      </c>
      <c r="AP826" s="6">
        <v>0.44269999999999998</v>
      </c>
      <c r="AQ826" s="6">
        <v>0.54700000000000004</v>
      </c>
      <c r="AR826" s="6">
        <v>328</v>
      </c>
      <c r="AT826" s="17">
        <v>823</v>
      </c>
      <c r="AU826" s="6">
        <v>0.56781000000000004</v>
      </c>
      <c r="AV826" s="6">
        <v>0.44269999999999998</v>
      </c>
      <c r="AW826" s="6">
        <v>0.54700000000000004</v>
      </c>
      <c r="AX826" s="6">
        <v>328</v>
      </c>
    </row>
    <row r="827" spans="1:50" x14ac:dyDescent="0.25">
      <c r="A827" t="s">
        <v>7</v>
      </c>
      <c r="B827" s="11">
        <v>3</v>
      </c>
      <c r="C827" s="11">
        <v>9</v>
      </c>
      <c r="D827" s="11">
        <v>9</v>
      </c>
      <c r="E827" s="11">
        <v>33</v>
      </c>
      <c r="F827" s="12">
        <v>53.9</v>
      </c>
      <c r="G827">
        <v>49.563695736622307</v>
      </c>
      <c r="Q827" s="17">
        <v>825</v>
      </c>
      <c r="R827" s="6">
        <v>2.3878300000000001</v>
      </c>
      <c r="S827" s="6">
        <v>2.7704</v>
      </c>
      <c r="T827" s="6">
        <v>2.3003</v>
      </c>
      <c r="U827" s="6">
        <v>328</v>
      </c>
      <c r="W827" s="17">
        <v>825</v>
      </c>
      <c r="X827" s="6">
        <v>4.5251099999999997</v>
      </c>
      <c r="Y827" s="6">
        <v>2.7704</v>
      </c>
      <c r="Z827" s="6">
        <v>2.3003</v>
      </c>
      <c r="AA827" s="6">
        <v>328</v>
      </c>
      <c r="AN827" s="17">
        <v>824</v>
      </c>
      <c r="AO827" s="6">
        <v>1.0767199999999999</v>
      </c>
      <c r="AP827" s="19">
        <v>-5.1399999999999996E-3</v>
      </c>
      <c r="AQ827" s="6">
        <v>0.54730000000000001</v>
      </c>
      <c r="AR827" s="6">
        <v>328</v>
      </c>
      <c r="AT827" s="17">
        <v>824</v>
      </c>
      <c r="AU827" s="6">
        <v>0.56816999999999995</v>
      </c>
      <c r="AV827" s="19">
        <v>-5.1399999999999996E-3</v>
      </c>
      <c r="AW827" s="6">
        <v>0.54730000000000001</v>
      </c>
      <c r="AX827" s="6">
        <v>328</v>
      </c>
    </row>
    <row r="828" spans="1:50" x14ac:dyDescent="0.25">
      <c r="A828" s="31" t="s">
        <v>156</v>
      </c>
      <c r="B828" s="32">
        <v>1</v>
      </c>
      <c r="C828" s="32">
        <v>22</v>
      </c>
      <c r="D828" s="32">
        <v>2</v>
      </c>
      <c r="E828" s="32">
        <v>33</v>
      </c>
      <c r="F828" s="2">
        <v>57.9</v>
      </c>
      <c r="G828">
        <v>49.758889931327978</v>
      </c>
      <c r="Q828" s="17">
        <v>826</v>
      </c>
      <c r="R828" s="6">
        <v>2.3827699999999998</v>
      </c>
      <c r="S828" s="19">
        <v>-1.5686</v>
      </c>
      <c r="T828" s="6">
        <v>2.2953999999999999</v>
      </c>
      <c r="U828" s="6">
        <v>328</v>
      </c>
      <c r="W828" s="17">
        <v>826</v>
      </c>
      <c r="X828" s="6">
        <v>4.5155200000000004</v>
      </c>
      <c r="Y828" s="19">
        <v>-1.5686</v>
      </c>
      <c r="Z828" s="6">
        <v>2.2953999999999999</v>
      </c>
      <c r="AA828" s="6">
        <v>328</v>
      </c>
      <c r="AN828" s="17">
        <v>825</v>
      </c>
      <c r="AO828" s="6">
        <v>1.0773299999999999</v>
      </c>
      <c r="AP828" s="19">
        <v>-7.28E-3</v>
      </c>
      <c r="AQ828" s="6">
        <v>0.54759999999999998</v>
      </c>
      <c r="AR828" s="6">
        <v>328</v>
      </c>
      <c r="AT828" s="17">
        <v>825</v>
      </c>
      <c r="AU828" s="6">
        <v>0.56849000000000005</v>
      </c>
      <c r="AV828" s="19">
        <v>-7.28E-3</v>
      </c>
      <c r="AW828" s="6">
        <v>0.54759999999999998</v>
      </c>
      <c r="AX828" s="6">
        <v>328</v>
      </c>
    </row>
    <row r="829" spans="1:50" x14ac:dyDescent="0.25">
      <c r="A829" s="31" t="s">
        <v>156</v>
      </c>
      <c r="B829" s="32">
        <v>2</v>
      </c>
      <c r="C829" s="32">
        <v>17</v>
      </c>
      <c r="D829" s="32">
        <v>3</v>
      </c>
      <c r="E829" s="32">
        <v>33</v>
      </c>
      <c r="F829" s="2">
        <v>56.6</v>
      </c>
      <c r="G829">
        <v>46.026336724362366</v>
      </c>
      <c r="Q829" s="17">
        <v>827</v>
      </c>
      <c r="R829" s="6">
        <v>2.3780199999999998</v>
      </c>
      <c r="S829" s="19">
        <v>-1.0654999999999999</v>
      </c>
      <c r="T829" s="6">
        <v>2.2907999999999999</v>
      </c>
      <c r="U829" s="6">
        <v>328</v>
      </c>
      <c r="W829" s="17">
        <v>827</v>
      </c>
      <c r="X829" s="6">
        <v>4.5065200000000001</v>
      </c>
      <c r="Y829" s="19">
        <v>-1.0654999999999999</v>
      </c>
      <c r="Z829" s="6">
        <v>2.2907999999999999</v>
      </c>
      <c r="AA829" s="6">
        <v>328</v>
      </c>
      <c r="AN829" s="17">
        <v>826</v>
      </c>
      <c r="AO829" s="6">
        <v>1.0654399999999999</v>
      </c>
      <c r="AP829" s="6">
        <v>0.33950000000000002</v>
      </c>
      <c r="AQ829" s="6">
        <v>0.54159999999999997</v>
      </c>
      <c r="AR829" s="6">
        <v>328</v>
      </c>
      <c r="AT829" s="17">
        <v>826</v>
      </c>
      <c r="AU829" s="6">
        <v>0.56220999999999999</v>
      </c>
      <c r="AV829" s="6">
        <v>0.33950000000000002</v>
      </c>
      <c r="AW829" s="6">
        <v>0.54159999999999997</v>
      </c>
      <c r="AX829" s="6">
        <v>328</v>
      </c>
    </row>
    <row r="830" spans="1:50" x14ac:dyDescent="0.25">
      <c r="A830" s="31" t="s">
        <v>156</v>
      </c>
      <c r="B830" s="32">
        <v>3</v>
      </c>
      <c r="C830" s="32">
        <v>10</v>
      </c>
      <c r="D830" s="32">
        <v>6</v>
      </c>
      <c r="E830" s="32">
        <v>33</v>
      </c>
      <c r="F830" s="2">
        <v>55.2</v>
      </c>
      <c r="G830">
        <v>39.920606337452504</v>
      </c>
      <c r="Q830" s="17">
        <v>828</v>
      </c>
      <c r="R830" s="6">
        <v>2.4013399999999998</v>
      </c>
      <c r="S830" s="6">
        <v>6.2316000000000003</v>
      </c>
      <c r="T830" s="6">
        <v>2.3132999999999999</v>
      </c>
      <c r="U830" s="6">
        <v>328</v>
      </c>
      <c r="W830" s="17">
        <v>828</v>
      </c>
      <c r="X830" s="6">
        <v>4.5507</v>
      </c>
      <c r="Y830" s="6">
        <v>6.2316000000000003</v>
      </c>
      <c r="Z830" s="6">
        <v>2.3132999999999999</v>
      </c>
      <c r="AA830" s="6">
        <v>328</v>
      </c>
      <c r="AN830" s="17">
        <v>827</v>
      </c>
      <c r="AO830" s="6">
        <v>1.0630200000000001</v>
      </c>
      <c r="AP830" s="19">
        <v>-0.18729999999999999</v>
      </c>
      <c r="AQ830" s="6">
        <v>0.54039999999999999</v>
      </c>
      <c r="AR830" s="6">
        <v>328</v>
      </c>
      <c r="AT830" s="17">
        <v>827</v>
      </c>
      <c r="AU830" s="6">
        <v>0.56093999999999999</v>
      </c>
      <c r="AV830" s="19">
        <v>-0.18729999999999999</v>
      </c>
      <c r="AW830" s="6">
        <v>0.54039999999999999</v>
      </c>
      <c r="AX830" s="6">
        <v>328</v>
      </c>
    </row>
    <row r="831" spans="1:50" x14ac:dyDescent="0.25">
      <c r="A831" s="31" t="s">
        <v>10</v>
      </c>
      <c r="B831" s="32">
        <v>1</v>
      </c>
      <c r="C831" s="32">
        <v>3</v>
      </c>
      <c r="D831" s="32">
        <v>3</v>
      </c>
      <c r="E831" s="32">
        <v>33</v>
      </c>
      <c r="F831" s="2">
        <v>58</v>
      </c>
      <c r="G831">
        <v>62.900069100960131</v>
      </c>
      <c r="Q831" s="17">
        <v>829</v>
      </c>
      <c r="R831" s="6">
        <v>2.38659</v>
      </c>
      <c r="S831" s="6">
        <v>0.73880000000000001</v>
      </c>
      <c r="T831" s="6">
        <v>2.2991000000000001</v>
      </c>
      <c r="U831" s="6">
        <v>328</v>
      </c>
      <c r="W831" s="17">
        <v>829</v>
      </c>
      <c r="X831" s="6">
        <v>4.5227599999999999</v>
      </c>
      <c r="Y831" s="6">
        <v>0.73880000000000001</v>
      </c>
      <c r="Z831" s="6">
        <v>2.2991000000000001</v>
      </c>
      <c r="AA831" s="6">
        <v>328</v>
      </c>
      <c r="AN831" s="17">
        <v>828</v>
      </c>
      <c r="AO831" s="6">
        <v>1.0818700000000001</v>
      </c>
      <c r="AP831" s="6">
        <v>1.6024</v>
      </c>
      <c r="AQ831" s="6">
        <v>0.54990000000000006</v>
      </c>
      <c r="AR831" s="6">
        <v>328</v>
      </c>
      <c r="AT831" s="17">
        <v>828</v>
      </c>
      <c r="AU831" s="6">
        <v>0.57089000000000001</v>
      </c>
      <c r="AV831" s="6">
        <v>1.6024</v>
      </c>
      <c r="AW831" s="6">
        <v>0.54990000000000006</v>
      </c>
      <c r="AX831" s="6">
        <v>328</v>
      </c>
    </row>
    <row r="832" spans="1:50" x14ac:dyDescent="0.25">
      <c r="A832" s="31" t="s">
        <v>10</v>
      </c>
      <c r="B832" s="32">
        <v>2</v>
      </c>
      <c r="C832" s="32">
        <v>12</v>
      </c>
      <c r="D832" s="32">
        <v>7</v>
      </c>
      <c r="E832" s="32">
        <v>33</v>
      </c>
      <c r="F832" s="2">
        <v>56.5</v>
      </c>
      <c r="G832">
        <v>56.406507670182165</v>
      </c>
      <c r="Q832" s="17">
        <v>830</v>
      </c>
      <c r="R832" s="6">
        <v>2.3994599999999999</v>
      </c>
      <c r="S832" s="6">
        <v>10.4573</v>
      </c>
      <c r="T832" s="6">
        <v>2.3115000000000001</v>
      </c>
      <c r="U832" s="6">
        <v>328</v>
      </c>
      <c r="W832" s="17">
        <v>830</v>
      </c>
      <c r="X832" s="6">
        <v>4.5471399999999997</v>
      </c>
      <c r="Y832" s="6">
        <v>10.4573</v>
      </c>
      <c r="Z832" s="6">
        <v>2.3115000000000001</v>
      </c>
      <c r="AA832" s="6">
        <v>328</v>
      </c>
      <c r="AN832" s="17">
        <v>829</v>
      </c>
      <c r="AO832" s="6">
        <v>1.06856</v>
      </c>
      <c r="AP832" s="19">
        <v>-0.11609999999999999</v>
      </c>
      <c r="AQ832" s="6">
        <v>0.54320000000000002</v>
      </c>
      <c r="AR832" s="6">
        <v>328</v>
      </c>
      <c r="AT832" s="17">
        <v>829</v>
      </c>
      <c r="AU832" s="6">
        <v>0.56386000000000003</v>
      </c>
      <c r="AV832" s="19">
        <v>-0.11609999999999999</v>
      </c>
      <c r="AW832" s="6">
        <v>0.54320000000000002</v>
      </c>
      <c r="AX832" s="6">
        <v>328</v>
      </c>
    </row>
    <row r="833" spans="1:50" x14ac:dyDescent="0.25">
      <c r="A833" s="31" t="s">
        <v>10</v>
      </c>
      <c r="B833" s="32">
        <v>3</v>
      </c>
      <c r="C833" s="32">
        <v>4</v>
      </c>
      <c r="D833" s="32">
        <v>11</v>
      </c>
      <c r="E833" s="32">
        <v>33</v>
      </c>
      <c r="F833" s="2">
        <v>57.4</v>
      </c>
      <c r="G833">
        <v>69.974260352143588</v>
      </c>
      <c r="Q833" s="17">
        <v>831</v>
      </c>
      <c r="R833" s="6">
        <v>2.3852099999999998</v>
      </c>
      <c r="S833" s="6">
        <v>5.6806000000000001</v>
      </c>
      <c r="T833" s="6">
        <v>2.2976999999999999</v>
      </c>
      <c r="U833" s="6">
        <v>328</v>
      </c>
      <c r="W833" s="17">
        <v>831</v>
      </c>
      <c r="X833" s="6">
        <v>4.5201399999999996</v>
      </c>
      <c r="Y833" s="6">
        <v>5.6806000000000001</v>
      </c>
      <c r="Z833" s="6">
        <v>2.2976999999999999</v>
      </c>
      <c r="AA833" s="6">
        <v>328</v>
      </c>
      <c r="AN833" s="17">
        <v>830</v>
      </c>
      <c r="AO833" s="6">
        <v>1.0805899999999999</v>
      </c>
      <c r="AP833" s="6">
        <v>2.3948999999999998</v>
      </c>
      <c r="AQ833" s="6">
        <v>0.54930000000000001</v>
      </c>
      <c r="AR833" s="6">
        <v>328</v>
      </c>
      <c r="AT833" s="17">
        <v>830</v>
      </c>
      <c r="AU833" s="6">
        <v>0.57020999999999999</v>
      </c>
      <c r="AV833" s="6">
        <v>2.3948999999999998</v>
      </c>
      <c r="AW833" s="6">
        <v>0.54930000000000001</v>
      </c>
      <c r="AX833" s="6">
        <v>328</v>
      </c>
    </row>
    <row r="834" spans="1:50" x14ac:dyDescent="0.25">
      <c r="A834" s="31" t="s">
        <v>11</v>
      </c>
      <c r="B834" s="32">
        <v>1</v>
      </c>
      <c r="C834" s="32">
        <v>15</v>
      </c>
      <c r="D834" s="32">
        <v>3</v>
      </c>
      <c r="E834" s="11">
        <v>33</v>
      </c>
      <c r="F834" s="2">
        <v>59.2</v>
      </c>
      <c r="G834">
        <v>21.029119745101767</v>
      </c>
      <c r="Q834" s="17">
        <v>832</v>
      </c>
      <c r="R834" s="6">
        <v>2.39473</v>
      </c>
      <c r="S834" s="19">
        <v>-0.29799999999999999</v>
      </c>
      <c r="T834" s="6">
        <v>2.3069000000000002</v>
      </c>
      <c r="U834" s="6">
        <v>328</v>
      </c>
      <c r="W834" s="17">
        <v>832</v>
      </c>
      <c r="X834" s="6">
        <v>4.5381799999999997</v>
      </c>
      <c r="Y834" s="19">
        <v>-0.29799999999999999</v>
      </c>
      <c r="Z834" s="6">
        <v>2.3069000000000002</v>
      </c>
      <c r="AA834" s="6">
        <v>328</v>
      </c>
      <c r="AN834" s="17">
        <v>831</v>
      </c>
      <c r="AO834" s="6">
        <v>1.0666</v>
      </c>
      <c r="AP834" s="6">
        <v>1.5233000000000001</v>
      </c>
      <c r="AQ834" s="6">
        <v>0.54220000000000002</v>
      </c>
      <c r="AR834" s="6">
        <v>328</v>
      </c>
      <c r="AT834" s="17">
        <v>831</v>
      </c>
      <c r="AU834" s="6">
        <v>0.56283000000000005</v>
      </c>
      <c r="AV834" s="6">
        <v>1.5233000000000001</v>
      </c>
      <c r="AW834" s="6">
        <v>0.54220000000000002</v>
      </c>
      <c r="AX834" s="6">
        <v>328</v>
      </c>
    </row>
    <row r="835" spans="1:50" x14ac:dyDescent="0.25">
      <c r="A835" s="31" t="s">
        <v>11</v>
      </c>
      <c r="B835" s="32">
        <v>2</v>
      </c>
      <c r="C835" s="32">
        <v>10</v>
      </c>
      <c r="D835" s="32">
        <v>4</v>
      </c>
      <c r="E835" s="11">
        <v>33</v>
      </c>
      <c r="F835" s="2">
        <v>58.6</v>
      </c>
      <c r="G835">
        <v>25.110561914672211</v>
      </c>
      <c r="Q835" s="17">
        <v>833</v>
      </c>
      <c r="R835" s="6">
        <v>2.3838699999999999</v>
      </c>
      <c r="S835" s="6">
        <v>1.7037</v>
      </c>
      <c r="T835" s="6">
        <v>2.2964000000000002</v>
      </c>
      <c r="U835" s="6">
        <v>328</v>
      </c>
      <c r="W835" s="17">
        <v>833</v>
      </c>
      <c r="X835" s="6">
        <v>4.5175999999999998</v>
      </c>
      <c r="Y835" s="6">
        <v>1.7037</v>
      </c>
      <c r="Z835" s="6">
        <v>2.2964000000000002</v>
      </c>
      <c r="AA835" s="6">
        <v>328</v>
      </c>
      <c r="AN835" s="17">
        <v>832</v>
      </c>
      <c r="AO835" s="6">
        <v>1.0745199999999999</v>
      </c>
      <c r="AP835" s="6">
        <v>1.0753999999999999</v>
      </c>
      <c r="AQ835" s="6">
        <v>0.54620000000000002</v>
      </c>
      <c r="AR835" s="6">
        <v>328</v>
      </c>
      <c r="AT835" s="17">
        <v>832</v>
      </c>
      <c r="AU835" s="6">
        <v>0.56701000000000001</v>
      </c>
      <c r="AV835" s="6">
        <v>1.0753999999999999</v>
      </c>
      <c r="AW835" s="6">
        <v>0.54620000000000002</v>
      </c>
      <c r="AX835" s="6">
        <v>328</v>
      </c>
    </row>
    <row r="836" spans="1:50" x14ac:dyDescent="0.25">
      <c r="A836" s="31" t="s">
        <v>11</v>
      </c>
      <c r="B836" s="32">
        <v>3</v>
      </c>
      <c r="C836" s="32">
        <v>18</v>
      </c>
      <c r="D836" s="32">
        <v>8</v>
      </c>
      <c r="E836" s="11">
        <v>33</v>
      </c>
      <c r="F836" s="2">
        <v>56.8</v>
      </c>
      <c r="G836">
        <v>31.514025974025976</v>
      </c>
      <c r="Q836" s="17">
        <v>834</v>
      </c>
      <c r="R836" s="6">
        <v>2.3839600000000001</v>
      </c>
      <c r="S836" s="6">
        <v>0.50309999999999999</v>
      </c>
      <c r="T836" s="6">
        <v>2.2965</v>
      </c>
      <c r="U836" s="6">
        <v>328</v>
      </c>
      <c r="W836" s="17">
        <v>834</v>
      </c>
      <c r="X836" s="6">
        <v>4.5177699999999996</v>
      </c>
      <c r="Y836" s="6">
        <v>0.50309999999999999</v>
      </c>
      <c r="Z836" s="6">
        <v>2.2965</v>
      </c>
      <c r="AA836" s="6">
        <v>328</v>
      </c>
      <c r="AN836" s="17">
        <v>833</v>
      </c>
      <c r="AO836" s="6">
        <v>1.0705800000000001</v>
      </c>
      <c r="AP836" s="6">
        <v>1.0732999999999999</v>
      </c>
      <c r="AQ836" s="6">
        <v>0.54420000000000002</v>
      </c>
      <c r="AR836" s="6">
        <v>328</v>
      </c>
      <c r="AT836" s="17">
        <v>833</v>
      </c>
      <c r="AU836" s="6">
        <v>0.56493000000000004</v>
      </c>
      <c r="AV836" s="6">
        <v>1.0732999999999999</v>
      </c>
      <c r="AW836" s="6">
        <v>0.54420000000000002</v>
      </c>
      <c r="AX836" s="6">
        <v>328</v>
      </c>
    </row>
    <row r="837" spans="1:50" x14ac:dyDescent="0.25">
      <c r="A837" t="s">
        <v>160</v>
      </c>
      <c r="B837">
        <v>1</v>
      </c>
      <c r="C837" s="36">
        <v>20</v>
      </c>
      <c r="D837" s="36">
        <v>2</v>
      </c>
      <c r="E837" s="32">
        <v>33</v>
      </c>
      <c r="F837" s="13">
        <v>60.1</v>
      </c>
      <c r="G837">
        <v>92.372944794188868</v>
      </c>
      <c r="Q837" s="17">
        <v>835</v>
      </c>
      <c r="R837" s="6">
        <v>2.4003000000000001</v>
      </c>
      <c r="S837" s="6">
        <v>7.8002000000000002</v>
      </c>
      <c r="T837" s="6">
        <v>2.3123</v>
      </c>
      <c r="U837" s="6">
        <v>328</v>
      </c>
      <c r="W837" s="17">
        <v>835</v>
      </c>
      <c r="X837" s="6">
        <v>4.5487200000000003</v>
      </c>
      <c r="Y837" s="6">
        <v>7.8002000000000002</v>
      </c>
      <c r="Z837" s="6">
        <v>2.3123</v>
      </c>
      <c r="AA837" s="6">
        <v>328</v>
      </c>
      <c r="AN837" s="17">
        <v>834</v>
      </c>
      <c r="AO837" s="6">
        <v>1.06795</v>
      </c>
      <c r="AP837" s="19">
        <v>-0.52690000000000003</v>
      </c>
      <c r="AQ837" s="6">
        <v>0.54290000000000005</v>
      </c>
      <c r="AR837" s="6">
        <v>328</v>
      </c>
      <c r="AT837" s="17">
        <v>834</v>
      </c>
      <c r="AU837" s="6">
        <v>0.56354000000000004</v>
      </c>
      <c r="AV837" s="19">
        <v>-0.52690000000000003</v>
      </c>
      <c r="AW837" s="6">
        <v>0.54290000000000005</v>
      </c>
      <c r="AX837" s="6">
        <v>328</v>
      </c>
    </row>
    <row r="838" spans="1:50" x14ac:dyDescent="0.25">
      <c r="A838" t="s">
        <v>160</v>
      </c>
      <c r="B838">
        <v>2</v>
      </c>
      <c r="C838" s="36">
        <v>11</v>
      </c>
      <c r="D838" s="36">
        <v>3</v>
      </c>
      <c r="E838" s="32">
        <v>33</v>
      </c>
      <c r="F838" s="13">
        <v>60.4</v>
      </c>
      <c r="G838">
        <v>90.189312833089645</v>
      </c>
      <c r="Q838" s="17">
        <v>836</v>
      </c>
      <c r="R838" s="6">
        <v>2.3910200000000001</v>
      </c>
      <c r="S838" s="6">
        <v>2.3073999999999999</v>
      </c>
      <c r="T838" s="6">
        <v>2.3033000000000001</v>
      </c>
      <c r="U838" s="6">
        <v>328</v>
      </c>
      <c r="W838" s="17">
        <v>836</v>
      </c>
      <c r="X838" s="6">
        <v>4.5311399999999997</v>
      </c>
      <c r="Y838" s="6">
        <v>2.3073999999999999</v>
      </c>
      <c r="Z838" s="6">
        <v>2.3033000000000001</v>
      </c>
      <c r="AA838" s="6">
        <v>328</v>
      </c>
      <c r="AN838" s="17">
        <v>835</v>
      </c>
      <c r="AO838" s="6">
        <v>1.08053</v>
      </c>
      <c r="AP838" s="6">
        <v>1.2628999999999999</v>
      </c>
      <c r="AQ838" s="6">
        <v>0.54930000000000001</v>
      </c>
      <c r="AR838" s="6">
        <v>328</v>
      </c>
      <c r="AT838" s="17">
        <v>835</v>
      </c>
      <c r="AU838" s="6">
        <v>0.57018000000000002</v>
      </c>
      <c r="AV838" s="6">
        <v>1.2628999999999999</v>
      </c>
      <c r="AW838" s="6">
        <v>0.54930000000000001</v>
      </c>
      <c r="AX838" s="6">
        <v>328</v>
      </c>
    </row>
    <row r="839" spans="1:50" x14ac:dyDescent="0.25">
      <c r="A839" t="s">
        <v>160</v>
      </c>
      <c r="B839">
        <v>3</v>
      </c>
      <c r="C839" s="36">
        <v>13</v>
      </c>
      <c r="D839" s="36">
        <v>5</v>
      </c>
      <c r="E839" s="32">
        <v>33</v>
      </c>
      <c r="F839" s="13">
        <v>59.7</v>
      </c>
      <c r="G839">
        <v>84.512715929973879</v>
      </c>
      <c r="Q839" s="17">
        <v>837</v>
      </c>
      <c r="R839" s="6">
        <v>2.39398</v>
      </c>
      <c r="S839" s="6">
        <v>12.0259</v>
      </c>
      <c r="T839" s="6">
        <v>2.3062</v>
      </c>
      <c r="U839" s="6">
        <v>328</v>
      </c>
      <c r="W839" s="17">
        <v>837</v>
      </c>
      <c r="X839" s="6">
        <v>4.5367600000000001</v>
      </c>
      <c r="Y839" s="6">
        <v>12.0259</v>
      </c>
      <c r="Z839" s="6">
        <v>2.3062</v>
      </c>
      <c r="AA839" s="6">
        <v>328</v>
      </c>
      <c r="AN839" s="17">
        <v>836</v>
      </c>
      <c r="AO839" s="6">
        <v>1.06979</v>
      </c>
      <c r="AP839" s="19">
        <v>-0.45569999999999999</v>
      </c>
      <c r="AQ839" s="6">
        <v>0.54379999999999995</v>
      </c>
      <c r="AR839" s="6">
        <v>328</v>
      </c>
      <c r="AT839" s="17">
        <v>836</v>
      </c>
      <c r="AU839" s="6">
        <v>0.56450999999999996</v>
      </c>
      <c r="AV839" s="19">
        <v>-0.45569999999999999</v>
      </c>
      <c r="AW839" s="6">
        <v>0.54379999999999995</v>
      </c>
      <c r="AX839" s="6">
        <v>328</v>
      </c>
    </row>
    <row r="840" spans="1:50" x14ac:dyDescent="0.25">
      <c r="A840" s="31" t="s">
        <v>116</v>
      </c>
      <c r="B840" s="32">
        <v>1</v>
      </c>
      <c r="C840" s="32">
        <v>1</v>
      </c>
      <c r="D840" s="32">
        <v>1</v>
      </c>
      <c r="E840" s="32">
        <v>34</v>
      </c>
      <c r="F840" s="12">
        <v>57.4</v>
      </c>
      <c r="G840">
        <v>55.987333365617431</v>
      </c>
      <c r="Q840" s="17">
        <v>838</v>
      </c>
      <c r="R840" s="6">
        <v>2.3811</v>
      </c>
      <c r="S840" s="6">
        <v>7.2492000000000001</v>
      </c>
      <c r="T840" s="6">
        <v>2.2938000000000001</v>
      </c>
      <c r="U840" s="6">
        <v>328</v>
      </c>
      <c r="W840" s="17">
        <v>838</v>
      </c>
      <c r="X840" s="6">
        <v>4.5123600000000001</v>
      </c>
      <c r="Y840" s="6">
        <v>7.2492000000000001</v>
      </c>
      <c r="Z840" s="6">
        <v>2.2938000000000001</v>
      </c>
      <c r="AA840" s="6">
        <v>328</v>
      </c>
      <c r="AN840" s="17">
        <v>837</v>
      </c>
      <c r="AO840" s="6">
        <v>1.0758099999999999</v>
      </c>
      <c r="AP840" s="6">
        <v>2.0552999999999999</v>
      </c>
      <c r="AQ840" s="6">
        <v>0.54690000000000005</v>
      </c>
      <c r="AR840" s="6">
        <v>328</v>
      </c>
      <c r="AT840" s="17">
        <v>837</v>
      </c>
      <c r="AU840" s="6">
        <v>0.56769000000000003</v>
      </c>
      <c r="AV840" s="6">
        <v>2.0552999999999999</v>
      </c>
      <c r="AW840" s="6">
        <v>0.54690000000000005</v>
      </c>
      <c r="AX840" s="6">
        <v>328</v>
      </c>
    </row>
    <row r="841" spans="1:50" x14ac:dyDescent="0.25">
      <c r="A841" s="31" t="s">
        <v>116</v>
      </c>
      <c r="B841" s="32">
        <v>2</v>
      </c>
      <c r="C841" s="32">
        <v>4</v>
      </c>
      <c r="D841" s="32">
        <v>7</v>
      </c>
      <c r="E841" s="32">
        <v>34</v>
      </c>
      <c r="F841" s="12">
        <v>57.5</v>
      </c>
      <c r="G841">
        <v>68.57744462658502</v>
      </c>
      <c r="Q841" s="17">
        <v>839</v>
      </c>
      <c r="R841" s="6">
        <v>2.3876400000000002</v>
      </c>
      <c r="S841" s="6">
        <v>1.2706</v>
      </c>
      <c r="T841" s="6">
        <v>2.3001</v>
      </c>
      <c r="U841" s="6">
        <v>328</v>
      </c>
      <c r="W841" s="17">
        <v>839</v>
      </c>
      <c r="X841" s="6">
        <v>4.5247400000000004</v>
      </c>
      <c r="Y841" s="6">
        <v>1.2706</v>
      </c>
      <c r="Z841" s="6">
        <v>2.3001</v>
      </c>
      <c r="AA841" s="6">
        <v>328</v>
      </c>
      <c r="AN841" s="17">
        <v>838</v>
      </c>
      <c r="AO841" s="6">
        <v>1.06487</v>
      </c>
      <c r="AP841" s="6">
        <v>1.1837</v>
      </c>
      <c r="AQ841" s="6">
        <v>0.5413</v>
      </c>
      <c r="AR841" s="6">
        <v>328</v>
      </c>
      <c r="AT841" s="17">
        <v>838</v>
      </c>
      <c r="AU841" s="6">
        <v>0.56191000000000002</v>
      </c>
      <c r="AV841" s="6">
        <v>1.1837</v>
      </c>
      <c r="AW841" s="6">
        <v>0.5413</v>
      </c>
      <c r="AX841" s="6">
        <v>328</v>
      </c>
    </row>
    <row r="842" spans="1:50" x14ac:dyDescent="0.25">
      <c r="A842" s="31" t="s">
        <v>116</v>
      </c>
      <c r="B842" s="32">
        <v>3</v>
      </c>
      <c r="C842" s="32">
        <v>6</v>
      </c>
      <c r="D842" s="32">
        <v>11</v>
      </c>
      <c r="E842" s="32">
        <v>34</v>
      </c>
      <c r="F842" s="12">
        <v>58.4</v>
      </c>
      <c r="G842">
        <v>73.293660000000017</v>
      </c>
      <c r="Q842" s="17">
        <v>840</v>
      </c>
      <c r="R842" s="6">
        <v>2.3843399999999999</v>
      </c>
      <c r="S842" s="6">
        <v>3.2723</v>
      </c>
      <c r="T842" s="6">
        <v>2.2968999999999999</v>
      </c>
      <c r="U842" s="6">
        <v>328</v>
      </c>
      <c r="W842" s="17">
        <v>840</v>
      </c>
      <c r="X842" s="6">
        <v>4.5185000000000004</v>
      </c>
      <c r="Y842" s="6">
        <v>3.2723</v>
      </c>
      <c r="Z842" s="6">
        <v>2.2968999999999999</v>
      </c>
      <c r="AA842" s="6">
        <v>328</v>
      </c>
      <c r="AN842" s="17">
        <v>839</v>
      </c>
      <c r="AO842" s="6">
        <v>1.0715399999999999</v>
      </c>
      <c r="AP842" s="6">
        <v>0.7359</v>
      </c>
      <c r="AQ842" s="6">
        <v>0.54469999999999996</v>
      </c>
      <c r="AR842" s="6">
        <v>328</v>
      </c>
      <c r="AT842" s="17">
        <v>839</v>
      </c>
      <c r="AU842" s="6">
        <v>0.56544000000000005</v>
      </c>
      <c r="AV842" s="6">
        <v>0.7359</v>
      </c>
      <c r="AW842" s="6">
        <v>0.54469999999999996</v>
      </c>
      <c r="AX842" s="6">
        <v>328</v>
      </c>
    </row>
    <row r="843" spans="1:50" x14ac:dyDescent="0.25">
      <c r="A843" s="34" t="s">
        <v>97</v>
      </c>
      <c r="B843" s="35">
        <v>1</v>
      </c>
      <c r="C843" s="35">
        <v>18</v>
      </c>
      <c r="D843" s="35">
        <v>2</v>
      </c>
      <c r="E843" s="35">
        <v>34</v>
      </c>
      <c r="F843" s="2">
        <v>60.9</v>
      </c>
      <c r="G843">
        <v>77.255607395637725</v>
      </c>
      <c r="Q843" s="17">
        <v>841</v>
      </c>
      <c r="R843" s="6">
        <v>2.40517</v>
      </c>
      <c r="S843" s="6">
        <v>7.2971000000000004</v>
      </c>
      <c r="T843" s="6">
        <v>2.3170000000000002</v>
      </c>
      <c r="U843" s="6">
        <v>328</v>
      </c>
      <c r="W843" s="17">
        <v>841</v>
      </c>
      <c r="X843" s="6">
        <v>4.5579700000000001</v>
      </c>
      <c r="Y843" s="6">
        <v>7.2971000000000004</v>
      </c>
      <c r="Z843" s="6">
        <v>2.3170000000000002</v>
      </c>
      <c r="AA843" s="6">
        <v>328</v>
      </c>
      <c r="AN843" s="17">
        <v>840</v>
      </c>
      <c r="AO843" s="6">
        <v>1.0681499999999999</v>
      </c>
      <c r="AP843" s="6">
        <v>0.73370000000000002</v>
      </c>
      <c r="AQ843" s="6">
        <v>0.54300000000000004</v>
      </c>
      <c r="AR843" s="6">
        <v>328</v>
      </c>
      <c r="AT843" s="17">
        <v>840</v>
      </c>
      <c r="AU843" s="6">
        <v>0.56364999999999998</v>
      </c>
      <c r="AV843" s="6">
        <v>0.73370000000000002</v>
      </c>
      <c r="AW843" s="6">
        <v>0.54300000000000004</v>
      </c>
      <c r="AX843" s="6">
        <v>328</v>
      </c>
    </row>
    <row r="844" spans="1:50" x14ac:dyDescent="0.25">
      <c r="A844" s="34" t="s">
        <v>97</v>
      </c>
      <c r="B844" s="35">
        <v>2</v>
      </c>
      <c r="C844" s="35">
        <v>19</v>
      </c>
      <c r="D844" s="35">
        <v>4</v>
      </c>
      <c r="E844" s="35">
        <v>34</v>
      </c>
      <c r="F844" s="2">
        <v>60</v>
      </c>
      <c r="G844">
        <v>74.215592042185989</v>
      </c>
      <c r="Q844" s="17">
        <v>842</v>
      </c>
      <c r="R844" s="6">
        <v>2.3915500000000001</v>
      </c>
      <c r="S844" s="6">
        <v>1.8043</v>
      </c>
      <c r="T844" s="6">
        <v>2.3037999999999998</v>
      </c>
      <c r="U844" s="6">
        <v>328</v>
      </c>
      <c r="W844" s="17">
        <v>842</v>
      </c>
      <c r="X844" s="6">
        <v>4.5321499999999997</v>
      </c>
      <c r="Y844" s="6">
        <v>1.8043</v>
      </c>
      <c r="Z844" s="6">
        <v>2.3037999999999998</v>
      </c>
      <c r="AA844" s="6">
        <v>328</v>
      </c>
      <c r="AN844" s="17">
        <v>841</v>
      </c>
      <c r="AO844" s="6">
        <v>1.08205</v>
      </c>
      <c r="AP844" s="6">
        <v>1.7898000000000001</v>
      </c>
      <c r="AQ844" s="6">
        <v>0.55000000000000004</v>
      </c>
      <c r="AR844" s="6">
        <v>328</v>
      </c>
      <c r="AT844" s="17">
        <v>841</v>
      </c>
      <c r="AU844" s="6">
        <v>0.57098000000000004</v>
      </c>
      <c r="AV844" s="6">
        <v>1.7898000000000001</v>
      </c>
      <c r="AW844" s="6">
        <v>0.55000000000000004</v>
      </c>
      <c r="AX844" s="6">
        <v>328</v>
      </c>
    </row>
    <row r="845" spans="1:50" x14ac:dyDescent="0.25">
      <c r="A845" s="34" t="s">
        <v>97</v>
      </c>
      <c r="B845" s="35">
        <v>3</v>
      </c>
      <c r="C845" s="35">
        <v>21</v>
      </c>
      <c r="D845" s="35">
        <v>5</v>
      </c>
      <c r="E845" s="35">
        <v>34</v>
      </c>
      <c r="F845" s="2">
        <v>60</v>
      </c>
      <c r="G845">
        <v>74.657498940228919</v>
      </c>
      <c r="Q845" s="17">
        <v>843</v>
      </c>
      <c r="R845" s="6">
        <v>2.3832200000000001</v>
      </c>
      <c r="S845" s="6">
        <v>11.5228</v>
      </c>
      <c r="T845" s="6">
        <v>2.2957999999999998</v>
      </c>
      <c r="U845" s="6">
        <v>328</v>
      </c>
      <c r="W845" s="17">
        <v>843</v>
      </c>
      <c r="X845" s="6">
        <v>4.5163700000000002</v>
      </c>
      <c r="Y845" s="6">
        <v>11.5228</v>
      </c>
      <c r="Z845" s="6">
        <v>2.2957999999999998</v>
      </c>
      <c r="AA845" s="6">
        <v>328</v>
      </c>
      <c r="AN845" s="17">
        <v>842</v>
      </c>
      <c r="AO845" s="6">
        <v>1.0697000000000001</v>
      </c>
      <c r="AP845" s="6">
        <v>7.1190000000000003E-2</v>
      </c>
      <c r="AQ845" s="6">
        <v>0.54379999999999995</v>
      </c>
      <c r="AR845" s="6">
        <v>328</v>
      </c>
      <c r="AT845" s="17">
        <v>842</v>
      </c>
      <c r="AU845" s="6">
        <v>0.56445999999999996</v>
      </c>
      <c r="AV845" s="6">
        <v>7.1190000000000003E-2</v>
      </c>
      <c r="AW845" s="6">
        <v>0.54379999999999995</v>
      </c>
      <c r="AX845" s="6">
        <v>328</v>
      </c>
    </row>
    <row r="846" spans="1:50" x14ac:dyDescent="0.25">
      <c r="A846" s="31" t="s">
        <v>132</v>
      </c>
      <c r="B846" s="32">
        <v>1</v>
      </c>
      <c r="C846" s="32">
        <v>14</v>
      </c>
      <c r="D846" s="32">
        <v>2</v>
      </c>
      <c r="E846" s="32">
        <v>34</v>
      </c>
      <c r="F846" s="2">
        <v>59.3</v>
      </c>
      <c r="G846">
        <v>61.827865098114842</v>
      </c>
      <c r="Q846" s="17">
        <v>844</v>
      </c>
      <c r="R846" s="6">
        <v>2.3807499999999999</v>
      </c>
      <c r="S846" s="6">
        <v>6.7461000000000002</v>
      </c>
      <c r="T846" s="6">
        <v>2.2934000000000001</v>
      </c>
      <c r="U846" s="6">
        <v>328</v>
      </c>
      <c r="W846" s="17">
        <v>844</v>
      </c>
      <c r="X846" s="6">
        <v>4.5116899999999998</v>
      </c>
      <c r="Y846" s="6">
        <v>6.7461000000000002</v>
      </c>
      <c r="Z846" s="6">
        <v>2.2934000000000001</v>
      </c>
      <c r="AA846" s="6">
        <v>328</v>
      </c>
      <c r="AN846" s="17">
        <v>843</v>
      </c>
      <c r="AO846" s="6">
        <v>1.0712299999999999</v>
      </c>
      <c r="AP846" s="6">
        <v>2.5821999999999998</v>
      </c>
      <c r="AQ846" s="6">
        <v>0.54449999999999998</v>
      </c>
      <c r="AR846" s="6">
        <v>328</v>
      </c>
      <c r="AT846" s="17">
        <v>843</v>
      </c>
      <c r="AU846" s="6">
        <v>0.56527000000000005</v>
      </c>
      <c r="AV846" s="6">
        <v>2.5821999999999998</v>
      </c>
      <c r="AW846" s="6">
        <v>0.54449999999999998</v>
      </c>
      <c r="AX846" s="6">
        <v>328</v>
      </c>
    </row>
    <row r="847" spans="1:50" x14ac:dyDescent="0.25">
      <c r="A847" s="31" t="s">
        <v>132</v>
      </c>
      <c r="B847" s="32">
        <v>2</v>
      </c>
      <c r="C847" s="32">
        <v>2</v>
      </c>
      <c r="D847" s="32">
        <v>3</v>
      </c>
      <c r="E847" s="32">
        <v>34</v>
      </c>
      <c r="F847" s="2">
        <v>57.4</v>
      </c>
      <c r="G847">
        <v>79.170843373493952</v>
      </c>
      <c r="Q847" s="17">
        <v>845</v>
      </c>
      <c r="R847" s="6">
        <v>2.3940899999999998</v>
      </c>
      <c r="S847" s="6">
        <v>0.76759999999999995</v>
      </c>
      <c r="T847" s="6">
        <v>2.3062999999999998</v>
      </c>
      <c r="U847" s="6">
        <v>328</v>
      </c>
      <c r="W847" s="17">
        <v>845</v>
      </c>
      <c r="X847" s="6">
        <v>4.5369700000000002</v>
      </c>
      <c r="Y847" s="6">
        <v>0.76759999999999995</v>
      </c>
      <c r="Z847" s="6">
        <v>2.3062999999999998</v>
      </c>
      <c r="AA847" s="6">
        <v>328</v>
      </c>
      <c r="AN847" s="17">
        <v>844</v>
      </c>
      <c r="AO847" s="6">
        <v>1.0656099999999999</v>
      </c>
      <c r="AP847" s="6">
        <v>1.7105999999999999</v>
      </c>
      <c r="AQ847" s="6">
        <v>0.54169999999999996</v>
      </c>
      <c r="AR847" s="6">
        <v>328</v>
      </c>
      <c r="AT847" s="17">
        <v>844</v>
      </c>
      <c r="AU847" s="6">
        <v>0.56230999999999998</v>
      </c>
      <c r="AV847" s="6">
        <v>1.7105999999999999</v>
      </c>
      <c r="AW847" s="6">
        <v>0.54169999999999996</v>
      </c>
      <c r="AX847" s="6">
        <v>328</v>
      </c>
    </row>
    <row r="848" spans="1:50" x14ac:dyDescent="0.25">
      <c r="A848" s="31" t="s">
        <v>132</v>
      </c>
      <c r="B848" s="32">
        <v>3</v>
      </c>
      <c r="C848" s="32">
        <v>1</v>
      </c>
      <c r="D848" s="32">
        <v>5</v>
      </c>
      <c r="E848" s="32">
        <v>34</v>
      </c>
      <c r="F848" s="2">
        <v>58.7</v>
      </c>
      <c r="G848">
        <v>68.320857333587625</v>
      </c>
      <c r="Q848" s="17">
        <v>846</v>
      </c>
      <c r="R848" s="6">
        <v>2.38632</v>
      </c>
      <c r="S848" s="6">
        <v>2.7692000000000001</v>
      </c>
      <c r="T848" s="6">
        <v>2.2988</v>
      </c>
      <c r="U848" s="6">
        <v>328</v>
      </c>
      <c r="W848" s="17">
        <v>846</v>
      </c>
      <c r="X848" s="6">
        <v>4.5222499999999997</v>
      </c>
      <c r="Y848" s="6">
        <v>2.7692000000000001</v>
      </c>
      <c r="Z848" s="6">
        <v>2.2988</v>
      </c>
      <c r="AA848" s="6">
        <v>328</v>
      </c>
      <c r="AN848" s="17">
        <v>845</v>
      </c>
      <c r="AO848" s="6">
        <v>1.07315</v>
      </c>
      <c r="AP848" s="6">
        <v>1.2626999999999999</v>
      </c>
      <c r="AQ848" s="6">
        <v>0.54549999999999998</v>
      </c>
      <c r="AR848" s="6">
        <v>328</v>
      </c>
      <c r="AT848" s="17">
        <v>845</v>
      </c>
      <c r="AU848" s="6">
        <v>0.56628000000000001</v>
      </c>
      <c r="AV848" s="6">
        <v>1.2626999999999999</v>
      </c>
      <c r="AW848" s="6">
        <v>0.54549999999999998</v>
      </c>
      <c r="AX848" s="6">
        <v>328</v>
      </c>
    </row>
    <row r="849" spans="1:50" x14ac:dyDescent="0.25">
      <c r="A849" s="31" t="s">
        <v>13</v>
      </c>
      <c r="B849" s="32">
        <v>1</v>
      </c>
      <c r="C849" s="36">
        <v>21</v>
      </c>
      <c r="D849" s="36">
        <v>2</v>
      </c>
      <c r="E849" s="32">
        <v>34</v>
      </c>
      <c r="F849" s="12">
        <v>55.8</v>
      </c>
      <c r="G849">
        <v>57.906089999999999</v>
      </c>
      <c r="Q849" s="17">
        <v>847</v>
      </c>
      <c r="R849" s="6">
        <v>2.39676</v>
      </c>
      <c r="S849" s="19">
        <v>-5.4927999999999999</v>
      </c>
      <c r="T849" s="6">
        <v>2.3089</v>
      </c>
      <c r="U849" s="6">
        <v>328</v>
      </c>
      <c r="W849" s="17">
        <v>847</v>
      </c>
      <c r="X849" s="6">
        <v>4.5420299999999996</v>
      </c>
      <c r="Y849" s="19">
        <v>-5.4927999999999999</v>
      </c>
      <c r="Z849" s="6">
        <v>2.3089</v>
      </c>
      <c r="AA849" s="6">
        <v>328</v>
      </c>
      <c r="AN849" s="17">
        <v>846</v>
      </c>
      <c r="AO849" s="6">
        <v>1.07267</v>
      </c>
      <c r="AP849" s="6">
        <v>1.2605999999999999</v>
      </c>
      <c r="AQ849" s="6">
        <v>0.54530000000000001</v>
      </c>
      <c r="AR849" s="6">
        <v>328</v>
      </c>
      <c r="AT849" s="17">
        <v>846</v>
      </c>
      <c r="AU849" s="6">
        <v>0.56603000000000003</v>
      </c>
      <c r="AV849" s="6">
        <v>1.2605999999999999</v>
      </c>
      <c r="AW849" s="6">
        <v>0.54530000000000001</v>
      </c>
      <c r="AX849" s="6">
        <v>328</v>
      </c>
    </row>
    <row r="850" spans="1:50" x14ac:dyDescent="0.25">
      <c r="A850" s="31" t="s">
        <v>13</v>
      </c>
      <c r="B850" s="32">
        <v>2</v>
      </c>
      <c r="C850" s="36">
        <v>7</v>
      </c>
      <c r="D850" s="36">
        <v>4</v>
      </c>
      <c r="E850" s="32">
        <v>34</v>
      </c>
      <c r="F850" s="12">
        <v>57.6</v>
      </c>
      <c r="G850">
        <v>73.418730000000011</v>
      </c>
      <c r="Q850" s="17">
        <v>848</v>
      </c>
      <c r="R850" s="6">
        <v>2.4076900000000001</v>
      </c>
      <c r="S850" s="6">
        <v>4.2256999999999998</v>
      </c>
      <c r="T850" s="6">
        <v>2.3193999999999999</v>
      </c>
      <c r="U850" s="6">
        <v>328</v>
      </c>
      <c r="W850" s="17">
        <v>848</v>
      </c>
      <c r="X850" s="6">
        <v>4.5627399999999998</v>
      </c>
      <c r="Y850" s="6">
        <v>4.2256999999999998</v>
      </c>
      <c r="Z850" s="6">
        <v>2.3193999999999999</v>
      </c>
      <c r="AA850" s="6">
        <v>328</v>
      </c>
      <c r="AN850" s="17">
        <v>847</v>
      </c>
      <c r="AO850" s="6">
        <v>1.0813900000000001</v>
      </c>
      <c r="AP850" s="19">
        <v>-1.7185999999999999</v>
      </c>
      <c r="AQ850" s="6">
        <v>0.54969999999999997</v>
      </c>
      <c r="AR850" s="6">
        <v>328</v>
      </c>
      <c r="AT850" s="17">
        <v>847</v>
      </c>
      <c r="AU850" s="6">
        <v>0.57064000000000004</v>
      </c>
      <c r="AV850" s="19">
        <v>-1.7185999999999999</v>
      </c>
      <c r="AW850" s="6">
        <v>0.54969999999999997</v>
      </c>
      <c r="AX850" s="6">
        <v>328</v>
      </c>
    </row>
    <row r="851" spans="1:50" x14ac:dyDescent="0.25">
      <c r="A851" s="31" t="s">
        <v>13</v>
      </c>
      <c r="B851" s="32">
        <v>3</v>
      </c>
      <c r="C851" s="36">
        <v>10</v>
      </c>
      <c r="D851" s="36">
        <v>5</v>
      </c>
      <c r="E851" s="32">
        <v>34</v>
      </c>
      <c r="F851" s="12">
        <v>58</v>
      </c>
      <c r="G851">
        <v>63.072074999999991</v>
      </c>
      <c r="Q851" s="17">
        <v>849</v>
      </c>
      <c r="R851" s="6">
        <v>2.4020600000000001</v>
      </c>
      <c r="S851" s="19">
        <v>-0.55100000000000005</v>
      </c>
      <c r="T851" s="6">
        <v>2.3140000000000001</v>
      </c>
      <c r="U851" s="6">
        <v>328</v>
      </c>
      <c r="W851" s="17">
        <v>849</v>
      </c>
      <c r="X851" s="6">
        <v>4.5520800000000001</v>
      </c>
      <c r="Y851" s="19">
        <v>-0.55100000000000005</v>
      </c>
      <c r="Z851" s="6">
        <v>2.3140000000000001</v>
      </c>
      <c r="AA851" s="6">
        <v>328</v>
      </c>
      <c r="AN851" s="17">
        <v>848</v>
      </c>
      <c r="AO851" s="6">
        <v>1.0876999999999999</v>
      </c>
      <c r="AP851" s="6">
        <v>0.79239999999999999</v>
      </c>
      <c r="AQ851" s="6">
        <v>0.55289999999999995</v>
      </c>
      <c r="AR851" s="6">
        <v>328</v>
      </c>
      <c r="AT851" s="17">
        <v>848</v>
      </c>
      <c r="AU851" s="6">
        <v>0.57396000000000003</v>
      </c>
      <c r="AV851" s="6">
        <v>0.79239999999999999</v>
      </c>
      <c r="AW851" s="6">
        <v>0.55289999999999995</v>
      </c>
      <c r="AX851" s="6">
        <v>328</v>
      </c>
    </row>
    <row r="852" spans="1:50" x14ac:dyDescent="0.25">
      <c r="A852" t="s">
        <v>7</v>
      </c>
      <c r="B852" s="11">
        <v>1</v>
      </c>
      <c r="C852" s="11">
        <v>6</v>
      </c>
      <c r="D852" s="11">
        <v>3</v>
      </c>
      <c r="E852" s="11">
        <v>34</v>
      </c>
      <c r="F852" s="12">
        <v>54.2</v>
      </c>
      <c r="G852">
        <v>51.328667204020668</v>
      </c>
      <c r="Q852" s="17">
        <v>850</v>
      </c>
      <c r="R852" s="6">
        <v>2.3964599999999998</v>
      </c>
      <c r="S852" s="19">
        <v>-6.5296000000000003</v>
      </c>
      <c r="T852" s="6">
        <v>2.3086000000000002</v>
      </c>
      <c r="U852" s="6">
        <v>328</v>
      </c>
      <c r="W852" s="17">
        <v>850</v>
      </c>
      <c r="X852" s="6">
        <v>4.5414599999999998</v>
      </c>
      <c r="Y852" s="19">
        <v>-6.5296000000000003</v>
      </c>
      <c r="Z852" s="6">
        <v>2.3086000000000002</v>
      </c>
      <c r="AA852" s="6">
        <v>328</v>
      </c>
      <c r="AN852" s="17">
        <v>849</v>
      </c>
      <c r="AO852" s="6">
        <v>1.0830299999999999</v>
      </c>
      <c r="AP852" s="19">
        <v>-7.9170000000000004E-2</v>
      </c>
      <c r="AQ852" s="6">
        <v>0.55049999999999999</v>
      </c>
      <c r="AR852" s="6">
        <v>328</v>
      </c>
      <c r="AT852" s="17">
        <v>849</v>
      </c>
      <c r="AU852" s="6">
        <v>0.57150000000000001</v>
      </c>
      <c r="AV852" s="19">
        <v>-7.9170000000000004E-2</v>
      </c>
      <c r="AW852" s="6">
        <v>0.55049999999999999</v>
      </c>
      <c r="AX852" s="6">
        <v>328</v>
      </c>
    </row>
    <row r="853" spans="1:50" x14ac:dyDescent="0.25">
      <c r="A853" t="s">
        <v>7</v>
      </c>
      <c r="B853" s="11">
        <v>2</v>
      </c>
      <c r="C853" s="11">
        <v>10</v>
      </c>
      <c r="D853" s="11">
        <v>5</v>
      </c>
      <c r="E853" s="11">
        <v>34</v>
      </c>
      <c r="F853" s="12">
        <v>54.9</v>
      </c>
      <c r="G853">
        <v>46.200318210308076</v>
      </c>
      <c r="Q853" s="17">
        <v>851</v>
      </c>
      <c r="R853" s="6">
        <v>2.39337</v>
      </c>
      <c r="S853" s="19">
        <v>-4.5278999999999998</v>
      </c>
      <c r="T853" s="6">
        <v>2.3056000000000001</v>
      </c>
      <c r="U853" s="6">
        <v>328</v>
      </c>
      <c r="W853" s="17">
        <v>851</v>
      </c>
      <c r="X853" s="6">
        <v>4.5355999999999996</v>
      </c>
      <c r="Y853" s="19">
        <v>-4.5278999999999998</v>
      </c>
      <c r="Z853" s="6">
        <v>2.3056000000000001</v>
      </c>
      <c r="AA853" s="6">
        <v>328</v>
      </c>
      <c r="AN853" s="17">
        <v>850</v>
      </c>
      <c r="AO853" s="6">
        <v>1.07901</v>
      </c>
      <c r="AP853" s="19">
        <v>-0.52700000000000002</v>
      </c>
      <c r="AQ853" s="6">
        <v>0.54849999999999999</v>
      </c>
      <c r="AR853" s="6">
        <v>328</v>
      </c>
      <c r="AT853" s="17">
        <v>850</v>
      </c>
      <c r="AU853" s="6">
        <v>0.56938</v>
      </c>
      <c r="AV853" s="19">
        <v>-0.52700000000000002</v>
      </c>
      <c r="AW853" s="6">
        <v>0.54849999999999999</v>
      </c>
      <c r="AX853" s="6">
        <v>328</v>
      </c>
    </row>
    <row r="854" spans="1:50" x14ac:dyDescent="0.25">
      <c r="A854" t="s">
        <v>7</v>
      </c>
      <c r="B854" s="11">
        <v>3</v>
      </c>
      <c r="C854" s="11">
        <v>1</v>
      </c>
      <c r="D854" s="11">
        <v>11</v>
      </c>
      <c r="E854" s="11">
        <v>34</v>
      </c>
      <c r="F854" s="12">
        <v>53.5</v>
      </c>
      <c r="G854">
        <v>43.926320054017545</v>
      </c>
      <c r="Q854" s="17">
        <v>852</v>
      </c>
      <c r="R854" s="6">
        <v>2.3953700000000002</v>
      </c>
      <c r="S854" s="6">
        <v>9.7185000000000006</v>
      </c>
      <c r="T854" s="6">
        <v>2.3075000000000001</v>
      </c>
      <c r="U854" s="6">
        <v>328</v>
      </c>
      <c r="W854" s="17">
        <v>852</v>
      </c>
      <c r="X854" s="6">
        <v>4.5393800000000004</v>
      </c>
      <c r="Y854" s="6">
        <v>9.7185000000000006</v>
      </c>
      <c r="Z854" s="6">
        <v>2.3075000000000001</v>
      </c>
      <c r="AA854" s="6">
        <v>328</v>
      </c>
      <c r="AN854" s="17">
        <v>851</v>
      </c>
      <c r="AO854" s="6">
        <v>1.08125</v>
      </c>
      <c r="AP854" s="19">
        <v>-0.5292</v>
      </c>
      <c r="AQ854" s="6">
        <v>0.54959999999999998</v>
      </c>
      <c r="AR854" s="6">
        <v>328</v>
      </c>
      <c r="AT854" s="17">
        <v>851</v>
      </c>
      <c r="AU854" s="6">
        <v>0.57055999999999996</v>
      </c>
      <c r="AV854" s="19">
        <v>-0.5292</v>
      </c>
      <c r="AW854" s="6">
        <v>0.54959999999999998</v>
      </c>
      <c r="AX854" s="6">
        <v>328</v>
      </c>
    </row>
    <row r="855" spans="1:50" x14ac:dyDescent="0.25">
      <c r="A855" s="31" t="s">
        <v>156</v>
      </c>
      <c r="B855" s="32">
        <v>1</v>
      </c>
      <c r="C855" s="32">
        <v>12</v>
      </c>
      <c r="D855" s="32">
        <v>1</v>
      </c>
      <c r="E855" s="32">
        <v>34</v>
      </c>
      <c r="F855" s="2">
        <v>57.2</v>
      </c>
      <c r="G855">
        <v>47.89574273178728</v>
      </c>
      <c r="Q855" s="17">
        <v>853</v>
      </c>
      <c r="R855" s="6">
        <v>2.3879299999999999</v>
      </c>
      <c r="S855" s="6">
        <v>4.9417999999999997</v>
      </c>
      <c r="T855" s="6">
        <v>2.3003</v>
      </c>
      <c r="U855" s="6">
        <v>328</v>
      </c>
      <c r="W855" s="17">
        <v>853</v>
      </c>
      <c r="X855" s="6">
        <v>4.52529</v>
      </c>
      <c r="Y855" s="6">
        <v>4.9417999999999997</v>
      </c>
      <c r="Z855" s="6">
        <v>2.3003</v>
      </c>
      <c r="AA855" s="6">
        <v>328</v>
      </c>
      <c r="AN855" s="17">
        <v>852</v>
      </c>
      <c r="AO855" s="6">
        <v>1.0743100000000001</v>
      </c>
      <c r="AP855" s="6">
        <v>2.5110000000000001</v>
      </c>
      <c r="AQ855" s="6">
        <v>0.54610000000000003</v>
      </c>
      <c r="AR855" s="6">
        <v>328</v>
      </c>
      <c r="AT855" s="17">
        <v>852</v>
      </c>
      <c r="AU855" s="6">
        <v>0.56689999999999996</v>
      </c>
      <c r="AV855" s="6">
        <v>2.5110000000000001</v>
      </c>
      <c r="AW855" s="6">
        <v>0.54610000000000003</v>
      </c>
      <c r="AX855" s="6">
        <v>328</v>
      </c>
    </row>
    <row r="856" spans="1:50" x14ac:dyDescent="0.25">
      <c r="A856" s="31" t="s">
        <v>156</v>
      </c>
      <c r="B856" s="32">
        <v>2</v>
      </c>
      <c r="C856" s="32">
        <v>1</v>
      </c>
      <c r="D856" s="32">
        <v>3</v>
      </c>
      <c r="E856" s="32">
        <v>34</v>
      </c>
      <c r="F856" s="2">
        <v>55.2</v>
      </c>
      <c r="G856">
        <v>33.866820789740125</v>
      </c>
      <c r="Q856" s="17">
        <v>854</v>
      </c>
      <c r="R856" s="6">
        <v>2.3974700000000002</v>
      </c>
      <c r="S856" s="19">
        <v>-1.0367999999999999</v>
      </c>
      <c r="T856" s="6">
        <v>2.3094999999999999</v>
      </c>
      <c r="U856" s="6">
        <v>328</v>
      </c>
      <c r="W856" s="17">
        <v>854</v>
      </c>
      <c r="X856" s="6">
        <v>4.5433599999999998</v>
      </c>
      <c r="Y856" s="19">
        <v>-1.0367999999999999</v>
      </c>
      <c r="Z856" s="6">
        <v>2.3094999999999999</v>
      </c>
      <c r="AA856" s="6">
        <v>328</v>
      </c>
      <c r="AN856" s="17">
        <v>853</v>
      </c>
      <c r="AO856" s="6">
        <v>1.07023</v>
      </c>
      <c r="AP856" s="6">
        <v>1.6394</v>
      </c>
      <c r="AQ856" s="6">
        <v>0.54400000000000004</v>
      </c>
      <c r="AR856" s="6">
        <v>328</v>
      </c>
      <c r="AT856" s="17">
        <v>853</v>
      </c>
      <c r="AU856" s="6">
        <v>0.56474000000000002</v>
      </c>
      <c r="AV856" s="6">
        <v>1.6394</v>
      </c>
      <c r="AW856" s="6">
        <v>0.54400000000000004</v>
      </c>
      <c r="AX856" s="6">
        <v>328</v>
      </c>
    </row>
    <row r="857" spans="1:50" x14ac:dyDescent="0.25">
      <c r="A857" s="31" t="s">
        <v>156</v>
      </c>
      <c r="B857" s="32">
        <v>3</v>
      </c>
      <c r="C857" s="32">
        <v>2</v>
      </c>
      <c r="D857" s="32">
        <v>5</v>
      </c>
      <c r="E857" s="32">
        <v>34</v>
      </c>
      <c r="F857" s="2">
        <v>58.6</v>
      </c>
      <c r="G857">
        <v>34.859222361930549</v>
      </c>
      <c r="Q857" s="17">
        <v>855</v>
      </c>
      <c r="R857" s="6">
        <v>2.3810500000000001</v>
      </c>
      <c r="S857" s="6">
        <v>0.96489999999999998</v>
      </c>
      <c r="T857" s="6">
        <v>2.2936999999999999</v>
      </c>
      <c r="U857" s="6">
        <v>328</v>
      </c>
      <c r="W857" s="17">
        <v>855</v>
      </c>
      <c r="X857" s="6">
        <v>4.5122499999999999</v>
      </c>
      <c r="Y857" s="6">
        <v>0.96489999999999998</v>
      </c>
      <c r="Z857" s="6">
        <v>2.2936999999999999</v>
      </c>
      <c r="AA857" s="6">
        <v>328</v>
      </c>
      <c r="AN857" s="17">
        <v>854</v>
      </c>
      <c r="AO857" s="6">
        <v>1.07453</v>
      </c>
      <c r="AP857" s="6">
        <v>1.1915</v>
      </c>
      <c r="AQ857" s="6">
        <v>0.54620000000000002</v>
      </c>
      <c r="AR857" s="6">
        <v>328</v>
      </c>
      <c r="AT857" s="17">
        <v>854</v>
      </c>
      <c r="AU857" s="6">
        <v>0.56701000000000001</v>
      </c>
      <c r="AV857" s="6">
        <v>1.1915</v>
      </c>
      <c r="AW857" s="6">
        <v>0.54620000000000002</v>
      </c>
      <c r="AX857" s="6">
        <v>328</v>
      </c>
    </row>
    <row r="858" spans="1:50" x14ac:dyDescent="0.25">
      <c r="A858" s="31" t="s">
        <v>10</v>
      </c>
      <c r="B858" s="32">
        <v>1</v>
      </c>
      <c r="C858" s="32">
        <v>1</v>
      </c>
      <c r="D858" s="32">
        <v>1</v>
      </c>
      <c r="E858" s="32">
        <v>34</v>
      </c>
      <c r="F858" s="2">
        <v>56.2</v>
      </c>
      <c r="G858">
        <v>53.905276691729306</v>
      </c>
      <c r="Q858" s="17">
        <v>856</v>
      </c>
      <c r="R858" s="6">
        <v>2.3885000000000001</v>
      </c>
      <c r="S858" s="19">
        <v>-4.7766999999999999</v>
      </c>
      <c r="T858" s="6">
        <v>2.3008999999999999</v>
      </c>
      <c r="U858" s="6">
        <v>328</v>
      </c>
      <c r="W858" s="17">
        <v>856</v>
      </c>
      <c r="X858" s="6">
        <v>4.52637</v>
      </c>
      <c r="Y858" s="19">
        <v>-4.7766999999999999</v>
      </c>
      <c r="Z858" s="6">
        <v>2.3008999999999999</v>
      </c>
      <c r="AA858" s="6">
        <v>328</v>
      </c>
      <c r="AN858" s="17">
        <v>855</v>
      </c>
      <c r="AO858" s="6">
        <v>1.06582</v>
      </c>
      <c r="AP858" s="6">
        <v>1.1894</v>
      </c>
      <c r="AQ858" s="6">
        <v>0.54179999999999995</v>
      </c>
      <c r="AR858" s="6">
        <v>328</v>
      </c>
      <c r="AT858" s="17">
        <v>855</v>
      </c>
      <c r="AU858" s="6">
        <v>0.56242000000000003</v>
      </c>
      <c r="AV858" s="6">
        <v>1.1894</v>
      </c>
      <c r="AW858" s="6">
        <v>0.54179999999999995</v>
      </c>
      <c r="AX858" s="6">
        <v>328</v>
      </c>
    </row>
    <row r="859" spans="1:50" x14ac:dyDescent="0.25">
      <c r="A859" s="31" t="s">
        <v>10</v>
      </c>
      <c r="B859" s="32">
        <v>2</v>
      </c>
      <c r="C859" s="32">
        <v>4</v>
      </c>
      <c r="D859" s="32">
        <v>8</v>
      </c>
      <c r="E859" s="32">
        <v>34</v>
      </c>
      <c r="F859" s="2">
        <v>57</v>
      </c>
      <c r="G859">
        <v>53.766415773910502</v>
      </c>
      <c r="Q859" s="17">
        <v>857</v>
      </c>
      <c r="R859" s="6">
        <v>2.39588</v>
      </c>
      <c r="S859" s="19">
        <v>-10.7553</v>
      </c>
      <c r="T859" s="6">
        <v>2.3079999999999998</v>
      </c>
      <c r="U859" s="6">
        <v>328</v>
      </c>
      <c r="W859" s="17">
        <v>857</v>
      </c>
      <c r="X859" s="6">
        <v>4.5403599999999997</v>
      </c>
      <c r="Y859" s="19">
        <v>-10.7553</v>
      </c>
      <c r="Z859" s="6">
        <v>2.3079999999999998</v>
      </c>
      <c r="AA859" s="6">
        <v>328</v>
      </c>
      <c r="AN859" s="17">
        <v>856</v>
      </c>
      <c r="AO859" s="6">
        <v>1.07436</v>
      </c>
      <c r="AP859" s="19">
        <v>-0.87160000000000004</v>
      </c>
      <c r="AQ859" s="6">
        <v>0.54610000000000003</v>
      </c>
      <c r="AR859" s="6">
        <v>328</v>
      </c>
      <c r="AT859" s="17">
        <v>856</v>
      </c>
      <c r="AU859" s="6">
        <v>0.56691999999999998</v>
      </c>
      <c r="AV859" s="19">
        <v>-0.87160000000000004</v>
      </c>
      <c r="AW859" s="6">
        <v>0.54610000000000003</v>
      </c>
      <c r="AX859" s="6">
        <v>328</v>
      </c>
    </row>
    <row r="860" spans="1:50" x14ac:dyDescent="0.25">
      <c r="A860" s="31" t="s">
        <v>10</v>
      </c>
      <c r="B860" s="32">
        <v>3</v>
      </c>
      <c r="C860" s="32">
        <v>2</v>
      </c>
      <c r="D860" s="32">
        <v>9</v>
      </c>
      <c r="E860" s="32">
        <v>34</v>
      </c>
      <c r="F860" s="2">
        <v>54.5</v>
      </c>
      <c r="G860">
        <v>38.574427118644067</v>
      </c>
      <c r="Q860" s="17">
        <v>858</v>
      </c>
      <c r="R860" s="6">
        <v>2.3915899999999999</v>
      </c>
      <c r="S860" s="19">
        <v>-8.7537000000000003</v>
      </c>
      <c r="T860" s="6">
        <v>2.3039000000000001</v>
      </c>
      <c r="U860" s="6">
        <v>328</v>
      </c>
      <c r="W860" s="17">
        <v>858</v>
      </c>
      <c r="X860" s="6">
        <v>4.5322199999999997</v>
      </c>
      <c r="Y860" s="19">
        <v>-8.7537000000000003</v>
      </c>
      <c r="Z860" s="6">
        <v>2.3039000000000001</v>
      </c>
      <c r="AA860" s="6">
        <v>328</v>
      </c>
      <c r="AN860" s="17">
        <v>857</v>
      </c>
      <c r="AO860" s="6">
        <v>1.0783400000000001</v>
      </c>
      <c r="AP860" s="19">
        <v>-1.3194999999999999</v>
      </c>
      <c r="AQ860" s="6">
        <v>0.54820000000000002</v>
      </c>
      <c r="AR860" s="6">
        <v>328</v>
      </c>
      <c r="AT860" s="17">
        <v>857</v>
      </c>
      <c r="AU860" s="6">
        <v>0.56901999999999997</v>
      </c>
      <c r="AV860" s="19">
        <v>-1.3194999999999999</v>
      </c>
      <c r="AW860" s="6">
        <v>0.54820000000000002</v>
      </c>
      <c r="AX860" s="6">
        <v>328</v>
      </c>
    </row>
    <row r="861" spans="1:50" x14ac:dyDescent="0.25">
      <c r="A861" s="31" t="s">
        <v>11</v>
      </c>
      <c r="B861" s="32">
        <v>1</v>
      </c>
      <c r="C861" s="32">
        <v>2</v>
      </c>
      <c r="D861" s="32">
        <v>2</v>
      </c>
      <c r="E861" s="11">
        <v>34</v>
      </c>
      <c r="F861" s="2">
        <v>58.8</v>
      </c>
      <c r="G861">
        <v>25.619842207115564</v>
      </c>
      <c r="Q861" s="17">
        <v>859</v>
      </c>
      <c r="R861" s="6">
        <v>2.3818999999999999</v>
      </c>
      <c r="S861" s="19">
        <v>-5.9786000000000001</v>
      </c>
      <c r="T861" s="6">
        <v>2.2945000000000002</v>
      </c>
      <c r="U861" s="6">
        <v>328</v>
      </c>
      <c r="W861" s="17">
        <v>859</v>
      </c>
      <c r="X861" s="6">
        <v>4.5138699999999998</v>
      </c>
      <c r="Y861" s="19">
        <v>-5.9786000000000001</v>
      </c>
      <c r="Z861" s="6">
        <v>2.2945000000000002</v>
      </c>
      <c r="AA861" s="6">
        <v>328</v>
      </c>
      <c r="AN861" s="17">
        <v>858</v>
      </c>
      <c r="AO861" s="6">
        <v>1.0793600000000001</v>
      </c>
      <c r="AP861" s="19">
        <v>-1.3216000000000001</v>
      </c>
      <c r="AQ861" s="6">
        <v>0.54869999999999997</v>
      </c>
      <c r="AR861" s="6">
        <v>328</v>
      </c>
      <c r="AT861" s="17">
        <v>858</v>
      </c>
      <c r="AU861" s="6">
        <v>0.56955999999999996</v>
      </c>
      <c r="AV861" s="19">
        <v>-1.3216000000000001</v>
      </c>
      <c r="AW861" s="6">
        <v>0.54869999999999997</v>
      </c>
      <c r="AX861" s="6">
        <v>328</v>
      </c>
    </row>
    <row r="862" spans="1:50" x14ac:dyDescent="0.25">
      <c r="A862" s="31" t="s">
        <v>11</v>
      </c>
      <c r="B862" s="32">
        <v>2</v>
      </c>
      <c r="C862" s="32">
        <v>3</v>
      </c>
      <c r="D862" s="32">
        <v>4</v>
      </c>
      <c r="E862" s="11">
        <v>34</v>
      </c>
      <c r="F862" s="2" t="s">
        <v>12</v>
      </c>
      <c r="G862">
        <v>17.234344432882409</v>
      </c>
      <c r="Q862" s="17">
        <v>860</v>
      </c>
      <c r="R862" s="6">
        <v>2.38327</v>
      </c>
      <c r="S862" s="19">
        <v>-3.9769000000000001</v>
      </c>
      <c r="T862" s="6">
        <v>2.2959000000000001</v>
      </c>
      <c r="U862" s="6">
        <v>328</v>
      </c>
      <c r="W862" s="17">
        <v>860</v>
      </c>
      <c r="X862" s="6">
        <v>4.5164600000000004</v>
      </c>
      <c r="Y862" s="19">
        <v>-3.9769000000000001</v>
      </c>
      <c r="Z862" s="6">
        <v>2.2959000000000001</v>
      </c>
      <c r="AA862" s="6">
        <v>328</v>
      </c>
      <c r="AN862" s="17">
        <v>859</v>
      </c>
      <c r="AO862" s="6">
        <v>1.0680000000000001</v>
      </c>
      <c r="AP862" s="19">
        <v>-0.44790000000000002</v>
      </c>
      <c r="AQ862" s="6">
        <v>0.54290000000000005</v>
      </c>
      <c r="AR862" s="6">
        <v>328</v>
      </c>
      <c r="AT862" s="17">
        <v>859</v>
      </c>
      <c r="AU862" s="6">
        <v>0.56357000000000002</v>
      </c>
      <c r="AV862" s="19">
        <v>-0.44790000000000002</v>
      </c>
      <c r="AW862" s="6">
        <v>0.54290000000000005</v>
      </c>
      <c r="AX862" s="6">
        <v>328</v>
      </c>
    </row>
    <row r="863" spans="1:50" x14ac:dyDescent="0.25">
      <c r="A863" s="31" t="s">
        <v>11</v>
      </c>
      <c r="B863" s="32">
        <v>3</v>
      </c>
      <c r="C863" s="32">
        <v>10</v>
      </c>
      <c r="D863" s="32">
        <v>7</v>
      </c>
      <c r="E863" s="11">
        <v>34</v>
      </c>
      <c r="F863" s="2">
        <v>57.6</v>
      </c>
      <c r="G863">
        <v>21.942560494414071</v>
      </c>
      <c r="Q863" s="17">
        <v>861</v>
      </c>
      <c r="R863" s="6">
        <v>2.3881199999999998</v>
      </c>
      <c r="S863" s="6">
        <v>2.0015999999999998</v>
      </c>
      <c r="T863" s="6">
        <v>2.3005</v>
      </c>
      <c r="U863" s="6">
        <v>328</v>
      </c>
      <c r="W863" s="17">
        <v>861</v>
      </c>
      <c r="X863" s="6">
        <v>4.5256499999999997</v>
      </c>
      <c r="Y863" s="6">
        <v>2.0015999999999998</v>
      </c>
      <c r="Z863" s="6">
        <v>2.3005</v>
      </c>
      <c r="AA863" s="6">
        <v>328</v>
      </c>
      <c r="AN863" s="17">
        <v>860</v>
      </c>
      <c r="AO863" s="6">
        <v>1.0670200000000001</v>
      </c>
      <c r="AP863" s="19">
        <v>-0.45</v>
      </c>
      <c r="AQ863" s="6">
        <v>0.54239999999999999</v>
      </c>
      <c r="AR863" s="6">
        <v>328</v>
      </c>
      <c r="AT863" s="17">
        <v>860</v>
      </c>
      <c r="AU863" s="6">
        <v>0.56305000000000005</v>
      </c>
      <c r="AV863" s="19">
        <v>-0.45</v>
      </c>
      <c r="AW863" s="6">
        <v>0.54239999999999999</v>
      </c>
      <c r="AX863" s="6">
        <v>328</v>
      </c>
    </row>
    <row r="864" spans="1:50" x14ac:dyDescent="0.25">
      <c r="A864" t="s">
        <v>160</v>
      </c>
      <c r="B864">
        <v>1</v>
      </c>
      <c r="C864" s="36">
        <v>2</v>
      </c>
      <c r="D864" s="36">
        <v>1</v>
      </c>
      <c r="E864" s="32">
        <v>34</v>
      </c>
      <c r="F864" s="13">
        <v>60.8</v>
      </c>
      <c r="G864">
        <v>98.020223752151452</v>
      </c>
      <c r="AN864" s="17">
        <v>861</v>
      </c>
      <c r="AO864" s="6">
        <v>1.07453</v>
      </c>
      <c r="AP864" s="19">
        <v>-2.15E-3</v>
      </c>
      <c r="AQ864" s="6">
        <v>0.54620000000000002</v>
      </c>
      <c r="AR864" s="6">
        <v>328</v>
      </c>
      <c r="AT864" s="17">
        <v>861</v>
      </c>
      <c r="AU864" s="6">
        <v>0.56701000000000001</v>
      </c>
      <c r="AV864" s="19">
        <v>-2.15E-3</v>
      </c>
      <c r="AW864" s="6">
        <v>0.54620000000000002</v>
      </c>
      <c r="AX864" s="6">
        <v>328</v>
      </c>
    </row>
    <row r="865" spans="1:7" x14ac:dyDescent="0.25">
      <c r="A865" t="s">
        <v>160</v>
      </c>
      <c r="B865">
        <v>2</v>
      </c>
      <c r="C865" s="36">
        <v>6</v>
      </c>
      <c r="D865" s="36">
        <v>3</v>
      </c>
      <c r="E865" s="32">
        <v>34</v>
      </c>
      <c r="F865" s="13">
        <v>60</v>
      </c>
      <c r="G865">
        <v>92.415377069282641</v>
      </c>
    </row>
    <row r="866" spans="1:7" x14ac:dyDescent="0.25">
      <c r="A866" t="s">
        <v>160</v>
      </c>
      <c r="B866">
        <v>3</v>
      </c>
      <c r="C866" s="36">
        <v>10</v>
      </c>
      <c r="D866" s="36">
        <v>6</v>
      </c>
      <c r="E866" s="32">
        <v>34</v>
      </c>
      <c r="F866" s="13">
        <v>60</v>
      </c>
      <c r="G866">
        <v>88.104217732669468</v>
      </c>
    </row>
    <row r="867" spans="1:7" x14ac:dyDescent="0.25">
      <c r="A867" s="31" t="s">
        <v>116</v>
      </c>
      <c r="B867" s="32">
        <v>1</v>
      </c>
      <c r="C867" s="32">
        <v>9</v>
      </c>
      <c r="D867" s="32">
        <v>3</v>
      </c>
      <c r="E867" s="32">
        <v>35</v>
      </c>
      <c r="F867" s="12">
        <v>57.6</v>
      </c>
      <c r="G867">
        <v>69.413991428571435</v>
      </c>
    </row>
    <row r="868" spans="1:7" x14ac:dyDescent="0.25">
      <c r="A868" s="31" t="s">
        <v>116</v>
      </c>
      <c r="B868" s="32">
        <v>2</v>
      </c>
      <c r="C868" s="32">
        <v>5</v>
      </c>
      <c r="D868" s="32">
        <v>8</v>
      </c>
      <c r="E868" s="32">
        <v>35</v>
      </c>
      <c r="F868" s="12">
        <v>57.5</v>
      </c>
      <c r="G868">
        <v>71.763204819277107</v>
      </c>
    </row>
    <row r="869" spans="1:7" x14ac:dyDescent="0.25">
      <c r="A869" s="31" t="s">
        <v>116</v>
      </c>
      <c r="B869" s="32">
        <v>3</v>
      </c>
      <c r="C869" s="32">
        <v>6</v>
      </c>
      <c r="D869" s="32">
        <v>12</v>
      </c>
      <c r="E869" s="32">
        <v>35</v>
      </c>
      <c r="F869" s="2">
        <v>58.5</v>
      </c>
      <c r="G869">
        <v>80.845403970944304</v>
      </c>
    </row>
    <row r="870" spans="1:7" x14ac:dyDescent="0.25">
      <c r="A870" s="34" t="s">
        <v>97</v>
      </c>
      <c r="B870" s="35">
        <v>1</v>
      </c>
      <c r="C870" s="35">
        <v>15</v>
      </c>
      <c r="D870" s="35">
        <v>1</v>
      </c>
      <c r="E870" s="35">
        <v>35</v>
      </c>
      <c r="F870" s="2">
        <v>60.7</v>
      </c>
      <c r="G870">
        <v>76.461989999999986</v>
      </c>
    </row>
    <row r="871" spans="1:7" x14ac:dyDescent="0.25">
      <c r="A871" s="34" t="s">
        <v>97</v>
      </c>
      <c r="B871" s="35">
        <v>2</v>
      </c>
      <c r="C871" s="35">
        <v>6</v>
      </c>
      <c r="D871" s="35">
        <v>3</v>
      </c>
      <c r="E871" s="35">
        <v>35</v>
      </c>
      <c r="F871" s="2" t="s">
        <v>12</v>
      </c>
      <c r="G871" t="s">
        <v>12</v>
      </c>
    </row>
    <row r="872" spans="1:7" x14ac:dyDescent="0.25">
      <c r="A872" s="34" t="s">
        <v>97</v>
      </c>
      <c r="B872" s="35">
        <v>3</v>
      </c>
      <c r="C872" s="35">
        <v>20</v>
      </c>
      <c r="D872" s="35">
        <v>5</v>
      </c>
      <c r="E872" s="35">
        <v>35</v>
      </c>
      <c r="F872" s="2">
        <v>61.1</v>
      </c>
      <c r="G872">
        <v>77.71269181856718</v>
      </c>
    </row>
    <row r="873" spans="1:7" x14ac:dyDescent="0.25">
      <c r="A873" s="31" t="s">
        <v>132</v>
      </c>
      <c r="B873" s="32">
        <v>1</v>
      </c>
      <c r="C873" s="32">
        <v>11</v>
      </c>
      <c r="D873" s="32">
        <v>2</v>
      </c>
      <c r="E873" s="32">
        <v>35</v>
      </c>
      <c r="F873" s="2">
        <v>61.4</v>
      </c>
      <c r="G873">
        <v>60.12986307314015</v>
      </c>
    </row>
    <row r="874" spans="1:7" x14ac:dyDescent="0.25">
      <c r="A874" s="31" t="s">
        <v>132</v>
      </c>
      <c r="B874" s="32">
        <v>2</v>
      </c>
      <c r="C874" s="32">
        <v>6</v>
      </c>
      <c r="D874" s="32">
        <v>4</v>
      </c>
      <c r="E874" s="32">
        <v>35</v>
      </c>
      <c r="F874" s="2">
        <v>61.5</v>
      </c>
      <c r="G874">
        <v>72.233208319127172</v>
      </c>
    </row>
    <row r="875" spans="1:7" x14ac:dyDescent="0.25">
      <c r="A875" s="31" t="s">
        <v>132</v>
      </c>
      <c r="B875" s="32">
        <v>3</v>
      </c>
      <c r="C875" s="32">
        <v>20</v>
      </c>
      <c r="D875" s="32">
        <v>5</v>
      </c>
      <c r="E875" s="32">
        <v>35</v>
      </c>
      <c r="F875" s="12">
        <v>60.6</v>
      </c>
      <c r="G875">
        <v>65.262016021361802</v>
      </c>
    </row>
    <row r="876" spans="1:7" x14ac:dyDescent="0.25">
      <c r="A876" s="31" t="s">
        <v>13</v>
      </c>
      <c r="B876" s="32">
        <v>1</v>
      </c>
      <c r="C876" s="36">
        <v>19</v>
      </c>
      <c r="D876" s="36">
        <v>2</v>
      </c>
      <c r="E876" s="32">
        <v>35</v>
      </c>
      <c r="F876" s="12">
        <v>57.4</v>
      </c>
      <c r="G876">
        <v>75.403019999999998</v>
      </c>
    </row>
    <row r="877" spans="1:7" x14ac:dyDescent="0.25">
      <c r="A877" s="31" t="s">
        <v>13</v>
      </c>
      <c r="B877" s="32">
        <v>2</v>
      </c>
      <c r="C877" s="36">
        <v>1</v>
      </c>
      <c r="D877" s="36">
        <v>4</v>
      </c>
      <c r="E877" s="32">
        <v>35</v>
      </c>
      <c r="F877" s="12">
        <v>58.1</v>
      </c>
      <c r="G877">
        <v>78.254219999999975</v>
      </c>
    </row>
    <row r="878" spans="1:7" x14ac:dyDescent="0.25">
      <c r="A878" s="31" t="s">
        <v>13</v>
      </c>
      <c r="B878" s="32">
        <v>3</v>
      </c>
      <c r="C878" s="36">
        <v>15</v>
      </c>
      <c r="D878" s="36">
        <v>5</v>
      </c>
      <c r="E878" s="32">
        <v>35</v>
      </c>
      <c r="F878" s="12">
        <v>57.7</v>
      </c>
      <c r="G878">
        <v>69.426719999999989</v>
      </c>
    </row>
    <row r="879" spans="1:7" x14ac:dyDescent="0.25">
      <c r="A879" t="s">
        <v>7</v>
      </c>
      <c r="B879" s="11">
        <v>1</v>
      </c>
      <c r="C879" s="11">
        <v>10</v>
      </c>
      <c r="D879" s="11">
        <v>1</v>
      </c>
      <c r="E879" s="11">
        <v>35</v>
      </c>
      <c r="F879" s="12">
        <v>56.4</v>
      </c>
      <c r="G879">
        <v>47.893235294117638</v>
      </c>
    </row>
    <row r="880" spans="1:7" x14ac:dyDescent="0.25">
      <c r="A880" t="s">
        <v>7</v>
      </c>
      <c r="B880" s="11">
        <v>2</v>
      </c>
      <c r="C880" s="11">
        <v>13</v>
      </c>
      <c r="D880" s="11">
        <v>7</v>
      </c>
      <c r="E880" s="11">
        <v>35</v>
      </c>
      <c r="F880" s="12">
        <v>55.3</v>
      </c>
      <c r="G880">
        <v>40.075731543624158</v>
      </c>
    </row>
    <row r="881" spans="1:7" x14ac:dyDescent="0.25">
      <c r="A881" t="s">
        <v>7</v>
      </c>
      <c r="B881" s="11">
        <v>3</v>
      </c>
      <c r="C881" s="11">
        <v>5</v>
      </c>
      <c r="D881" s="11">
        <v>11</v>
      </c>
      <c r="E881" s="11">
        <v>35</v>
      </c>
      <c r="F881" s="2">
        <v>52.8</v>
      </c>
      <c r="G881">
        <v>35.92409858203915</v>
      </c>
    </row>
    <row r="882" spans="1:7" x14ac:dyDescent="0.25">
      <c r="A882" s="31" t="s">
        <v>156</v>
      </c>
      <c r="B882" s="32">
        <v>1</v>
      </c>
      <c r="C882" s="32">
        <v>14</v>
      </c>
      <c r="D882" s="32">
        <v>2</v>
      </c>
      <c r="E882" s="32">
        <v>35</v>
      </c>
      <c r="F882" s="2">
        <v>51.6</v>
      </c>
      <c r="G882">
        <v>47.520430892736236</v>
      </c>
    </row>
    <row r="883" spans="1:7" x14ac:dyDescent="0.25">
      <c r="A883" s="31" t="s">
        <v>156</v>
      </c>
      <c r="B883" s="32">
        <v>2</v>
      </c>
      <c r="C883" s="32">
        <v>15</v>
      </c>
      <c r="D883" s="32">
        <v>3</v>
      </c>
      <c r="E883" s="32">
        <v>35</v>
      </c>
      <c r="F883" s="2">
        <v>55.9</v>
      </c>
      <c r="G883">
        <v>50.929149317776371</v>
      </c>
    </row>
    <row r="884" spans="1:7" x14ac:dyDescent="0.25">
      <c r="A884" s="31" t="s">
        <v>156</v>
      </c>
      <c r="B884" s="32">
        <v>3</v>
      </c>
      <c r="C884" s="32">
        <v>18</v>
      </c>
      <c r="D884" s="32">
        <v>6</v>
      </c>
      <c r="E884" s="32">
        <v>35</v>
      </c>
      <c r="F884" s="2">
        <v>57.9</v>
      </c>
      <c r="G884">
        <v>46.902403183151414</v>
      </c>
    </row>
    <row r="885" spans="1:7" x14ac:dyDescent="0.25">
      <c r="A885" s="31" t="s">
        <v>10</v>
      </c>
      <c r="B885" s="32">
        <v>1</v>
      </c>
      <c r="C885" s="32">
        <v>8</v>
      </c>
      <c r="D885" s="32">
        <v>1</v>
      </c>
      <c r="E885" s="32">
        <v>35</v>
      </c>
      <c r="F885" s="2">
        <v>55.8</v>
      </c>
      <c r="G885">
        <v>53.23669172932329</v>
      </c>
    </row>
    <row r="886" spans="1:7" x14ac:dyDescent="0.25">
      <c r="A886" s="31" t="s">
        <v>10</v>
      </c>
      <c r="B886" s="32">
        <v>2</v>
      </c>
      <c r="C886" s="32">
        <v>1</v>
      </c>
      <c r="D886" s="32">
        <v>5</v>
      </c>
      <c r="E886" s="32">
        <v>35</v>
      </c>
      <c r="F886" s="2">
        <v>56.2</v>
      </c>
      <c r="G886">
        <v>49.21618479262672</v>
      </c>
    </row>
    <row r="887" spans="1:7" x14ac:dyDescent="0.25">
      <c r="A887" s="31" t="s">
        <v>10</v>
      </c>
      <c r="B887" s="32">
        <v>3</v>
      </c>
      <c r="C887" s="32">
        <v>13</v>
      </c>
      <c r="D887" s="32">
        <v>11</v>
      </c>
      <c r="E887" s="32">
        <v>35</v>
      </c>
      <c r="F887" s="2">
        <v>55.7</v>
      </c>
      <c r="G887">
        <v>50.298161244695898</v>
      </c>
    </row>
    <row r="888" spans="1:7" x14ac:dyDescent="0.25">
      <c r="A888" s="31" t="s">
        <v>11</v>
      </c>
      <c r="B888" s="32">
        <v>1</v>
      </c>
      <c r="C888" s="32">
        <v>9</v>
      </c>
      <c r="D888" s="32">
        <v>3</v>
      </c>
      <c r="E888" s="11">
        <v>35</v>
      </c>
      <c r="F888" s="2" t="s">
        <v>12</v>
      </c>
      <c r="G888">
        <v>15.654786950732355</v>
      </c>
    </row>
    <row r="889" spans="1:7" x14ac:dyDescent="0.25">
      <c r="A889" s="31" t="s">
        <v>11</v>
      </c>
      <c r="B889" s="32">
        <v>2</v>
      </c>
      <c r="C889" s="32">
        <v>11</v>
      </c>
      <c r="D889" s="32">
        <v>5</v>
      </c>
      <c r="E889" s="11">
        <v>35</v>
      </c>
      <c r="F889" s="2">
        <v>59.4</v>
      </c>
      <c r="G889">
        <v>23.413232124898226</v>
      </c>
    </row>
    <row r="890" spans="1:7" x14ac:dyDescent="0.25">
      <c r="A890" s="31" t="s">
        <v>11</v>
      </c>
      <c r="B890" s="32">
        <v>3</v>
      </c>
      <c r="C890" s="32">
        <v>14</v>
      </c>
      <c r="D890" s="32">
        <v>9</v>
      </c>
      <c r="E890" s="11">
        <v>35</v>
      </c>
      <c r="F890" s="2">
        <v>57.7</v>
      </c>
      <c r="G890">
        <v>20.726153226952032</v>
      </c>
    </row>
    <row r="891" spans="1:7" x14ac:dyDescent="0.25">
      <c r="A891" t="s">
        <v>160</v>
      </c>
      <c r="B891">
        <v>1</v>
      </c>
      <c r="C891" s="36">
        <v>16</v>
      </c>
      <c r="D891" s="36">
        <v>2</v>
      </c>
      <c r="E891" s="32">
        <v>35</v>
      </c>
      <c r="F891" s="13">
        <v>60.5</v>
      </c>
      <c r="G891">
        <v>92.16923970944309</v>
      </c>
    </row>
    <row r="892" spans="1:7" x14ac:dyDescent="0.25">
      <c r="A892" t="s">
        <v>160</v>
      </c>
      <c r="B892">
        <v>2</v>
      </c>
      <c r="C892" s="36">
        <v>20</v>
      </c>
      <c r="D892" s="36">
        <v>3</v>
      </c>
      <c r="E892" s="32">
        <v>35</v>
      </c>
      <c r="F892" s="13">
        <v>60.6</v>
      </c>
      <c r="G892">
        <v>90.142341178135169</v>
      </c>
    </row>
    <row r="893" spans="1:7" x14ac:dyDescent="0.25">
      <c r="A893" t="s">
        <v>160</v>
      </c>
      <c r="B893">
        <v>3</v>
      </c>
      <c r="C893" s="36">
        <v>15</v>
      </c>
      <c r="D893" s="36">
        <v>6</v>
      </c>
      <c r="E893" s="32">
        <v>35</v>
      </c>
      <c r="F893" s="13">
        <v>61.2</v>
      </c>
      <c r="G893">
        <v>88.069050172347758</v>
      </c>
    </row>
    <row r="894" spans="1:7" x14ac:dyDescent="0.25">
      <c r="A894" s="31" t="s">
        <v>116</v>
      </c>
      <c r="B894" s="32">
        <v>1</v>
      </c>
      <c r="C894" s="32">
        <v>7</v>
      </c>
      <c r="D894" s="32">
        <v>4</v>
      </c>
      <c r="E894" s="32">
        <v>36</v>
      </c>
      <c r="F894" s="12">
        <v>57</v>
      </c>
      <c r="G894">
        <v>53.901893287435449</v>
      </c>
    </row>
    <row r="895" spans="1:7" x14ac:dyDescent="0.25">
      <c r="A895" s="31" t="s">
        <v>116</v>
      </c>
      <c r="B895" s="32">
        <v>2</v>
      </c>
      <c r="C895" s="32">
        <v>8</v>
      </c>
      <c r="D895" s="32">
        <v>5</v>
      </c>
      <c r="E895" s="32">
        <v>36</v>
      </c>
      <c r="F895" s="12">
        <v>58.4</v>
      </c>
      <c r="G895">
        <v>48.218320137693624</v>
      </c>
    </row>
    <row r="896" spans="1:7" x14ac:dyDescent="0.25">
      <c r="A896" s="31" t="s">
        <v>116</v>
      </c>
      <c r="B896" s="32">
        <v>3</v>
      </c>
      <c r="C896" s="32">
        <v>3</v>
      </c>
      <c r="D896" s="32">
        <v>12</v>
      </c>
      <c r="E896" s="32">
        <v>36</v>
      </c>
      <c r="F896" s="2">
        <v>60.1</v>
      </c>
      <c r="G896">
        <v>53.681376464891045</v>
      </c>
    </row>
    <row r="897" spans="1:7" x14ac:dyDescent="0.25">
      <c r="A897" s="34" t="s">
        <v>97</v>
      </c>
      <c r="B897" s="35">
        <v>1</v>
      </c>
      <c r="C897" s="35">
        <v>16</v>
      </c>
      <c r="D897" s="35">
        <v>1</v>
      </c>
      <c r="E897" s="35">
        <v>36</v>
      </c>
      <c r="F897" s="2">
        <v>59.7</v>
      </c>
      <c r="G897">
        <v>79.529999999999987</v>
      </c>
    </row>
    <row r="898" spans="1:7" x14ac:dyDescent="0.25">
      <c r="A898" s="34" t="s">
        <v>97</v>
      </c>
      <c r="B898" s="35">
        <v>2</v>
      </c>
      <c r="C898" s="35">
        <v>5</v>
      </c>
      <c r="D898" s="35">
        <v>4</v>
      </c>
      <c r="E898" s="35">
        <v>36</v>
      </c>
      <c r="F898" s="2">
        <v>58.7</v>
      </c>
      <c r="G898">
        <v>72.088895493767978</v>
      </c>
    </row>
    <row r="899" spans="1:7" x14ac:dyDescent="0.25">
      <c r="A899" s="34" t="s">
        <v>97</v>
      </c>
      <c r="B899" s="35">
        <v>3</v>
      </c>
      <c r="C899" s="35">
        <v>19</v>
      </c>
      <c r="D899" s="35">
        <v>5</v>
      </c>
      <c r="E899" s="35">
        <v>36</v>
      </c>
      <c r="F899" s="2">
        <v>60.8</v>
      </c>
      <c r="G899">
        <v>75.260330648579881</v>
      </c>
    </row>
    <row r="900" spans="1:7" x14ac:dyDescent="0.25">
      <c r="A900" s="31" t="s">
        <v>132</v>
      </c>
      <c r="B900" s="32">
        <v>1</v>
      </c>
      <c r="C900" s="32">
        <v>19</v>
      </c>
      <c r="D900" s="32">
        <v>2</v>
      </c>
      <c r="E900" s="32">
        <v>36</v>
      </c>
      <c r="F900" s="2">
        <v>63</v>
      </c>
      <c r="G900">
        <v>68.556151583819499</v>
      </c>
    </row>
    <row r="901" spans="1:7" x14ac:dyDescent="0.25">
      <c r="A901" s="31" t="s">
        <v>132</v>
      </c>
      <c r="B901" s="32">
        <v>2</v>
      </c>
      <c r="C901" s="32">
        <v>11</v>
      </c>
      <c r="D901" s="32">
        <v>3</v>
      </c>
      <c r="E901" s="32">
        <v>36</v>
      </c>
      <c r="F901" s="2">
        <v>63.2</v>
      </c>
      <c r="G901">
        <v>68.643029259896736</v>
      </c>
    </row>
    <row r="902" spans="1:7" x14ac:dyDescent="0.25">
      <c r="A902" s="31" t="s">
        <v>132</v>
      </c>
      <c r="B902" s="32">
        <v>3</v>
      </c>
      <c r="C902" s="32">
        <v>20</v>
      </c>
      <c r="D902" s="32">
        <v>6</v>
      </c>
      <c r="E902" s="32">
        <v>36</v>
      </c>
      <c r="F902" s="12">
        <v>62.5</v>
      </c>
      <c r="G902">
        <v>59.229351437238179</v>
      </c>
    </row>
    <row r="903" spans="1:7" x14ac:dyDescent="0.25">
      <c r="A903" s="31" t="s">
        <v>13</v>
      </c>
      <c r="B903" s="32">
        <v>1</v>
      </c>
      <c r="C903" s="36">
        <v>7</v>
      </c>
      <c r="D903" s="36">
        <v>1</v>
      </c>
      <c r="E903" s="32">
        <v>36</v>
      </c>
      <c r="F903" s="12">
        <v>58.9</v>
      </c>
      <c r="G903">
        <v>59.367879999999985</v>
      </c>
    </row>
    <row r="904" spans="1:7" x14ac:dyDescent="0.25">
      <c r="A904" s="31" t="s">
        <v>13</v>
      </c>
      <c r="B904" s="32">
        <v>2</v>
      </c>
      <c r="C904" s="36">
        <v>17</v>
      </c>
      <c r="D904" s="36">
        <v>4</v>
      </c>
      <c r="E904" s="32">
        <v>36</v>
      </c>
      <c r="F904" s="12">
        <v>58.3</v>
      </c>
      <c r="G904">
        <v>61.585589999999989</v>
      </c>
    </row>
    <row r="905" spans="1:7" x14ac:dyDescent="0.25">
      <c r="A905" s="31" t="s">
        <v>13</v>
      </c>
      <c r="B905" s="32">
        <v>3</v>
      </c>
      <c r="C905" s="36">
        <v>16</v>
      </c>
      <c r="D905" s="36">
        <v>5</v>
      </c>
      <c r="E905" s="32">
        <v>36</v>
      </c>
      <c r="F905" s="12">
        <v>58.8</v>
      </c>
      <c r="G905">
        <v>53.317440000000005</v>
      </c>
    </row>
    <row r="906" spans="1:7" x14ac:dyDescent="0.25">
      <c r="A906" t="s">
        <v>7</v>
      </c>
      <c r="B906" s="11">
        <v>1</v>
      </c>
      <c r="C906" s="11">
        <v>12</v>
      </c>
      <c r="D906" s="11">
        <v>3</v>
      </c>
      <c r="E906" s="11">
        <v>36</v>
      </c>
      <c r="F906" s="12">
        <v>55.5</v>
      </c>
      <c r="G906">
        <v>43.724663600587917</v>
      </c>
    </row>
    <row r="907" spans="1:7" x14ac:dyDescent="0.25">
      <c r="A907" t="s">
        <v>7</v>
      </c>
      <c r="B907" s="11">
        <v>2</v>
      </c>
      <c r="C907" s="11">
        <v>2</v>
      </c>
      <c r="D907" s="11">
        <v>7</v>
      </c>
      <c r="E907" s="11">
        <v>36</v>
      </c>
      <c r="F907" s="12">
        <v>51.1</v>
      </c>
      <c r="G907">
        <v>44.553417066155319</v>
      </c>
    </row>
    <row r="908" spans="1:7" x14ac:dyDescent="0.25">
      <c r="A908" t="s">
        <v>7</v>
      </c>
      <c r="B908" s="11">
        <v>3</v>
      </c>
      <c r="C908" s="11">
        <v>6</v>
      </c>
      <c r="D908" s="11">
        <v>10</v>
      </c>
      <c r="E908" s="11">
        <v>36</v>
      </c>
      <c r="F908" s="12">
        <v>51.6</v>
      </c>
      <c r="G908">
        <v>38.722923588039862</v>
      </c>
    </row>
    <row r="909" spans="1:7" x14ac:dyDescent="0.25">
      <c r="A909" s="31" t="s">
        <v>156</v>
      </c>
      <c r="B909" s="32">
        <v>1</v>
      </c>
      <c r="C909" s="32">
        <v>1</v>
      </c>
      <c r="D909" s="32">
        <v>2</v>
      </c>
      <c r="E909" s="32">
        <v>36</v>
      </c>
      <c r="F909" s="2">
        <v>59</v>
      </c>
      <c r="G909">
        <v>53.397951445981235</v>
      </c>
    </row>
    <row r="910" spans="1:7" x14ac:dyDescent="0.25">
      <c r="A910" s="31" t="s">
        <v>156</v>
      </c>
      <c r="B910" s="32">
        <v>2</v>
      </c>
      <c r="C910" s="32">
        <v>8</v>
      </c>
      <c r="D910" s="32">
        <v>3</v>
      </c>
      <c r="E910" s="32">
        <v>36</v>
      </c>
      <c r="F910" s="2">
        <v>58</v>
      </c>
      <c r="G910">
        <v>49.678134130466226</v>
      </c>
    </row>
    <row r="911" spans="1:7" x14ac:dyDescent="0.25">
      <c r="A911" s="31" t="s">
        <v>156</v>
      </c>
      <c r="B911" s="32">
        <v>3</v>
      </c>
      <c r="C911" s="32">
        <v>26</v>
      </c>
      <c r="D911" s="32">
        <v>6</v>
      </c>
      <c r="E911" s="32">
        <v>36</v>
      </c>
      <c r="F911" s="2">
        <v>58.4</v>
      </c>
      <c r="G911">
        <v>51.074674568447357</v>
      </c>
    </row>
    <row r="912" spans="1:7" x14ac:dyDescent="0.25">
      <c r="A912" s="31" t="s">
        <v>10</v>
      </c>
      <c r="B912" s="32">
        <v>1</v>
      </c>
      <c r="C912" s="32">
        <v>10</v>
      </c>
      <c r="D912" s="32">
        <v>2</v>
      </c>
      <c r="E912" s="32">
        <v>36</v>
      </c>
      <c r="F912" s="2">
        <v>59.6</v>
      </c>
      <c r="G912">
        <v>58.27320468005199</v>
      </c>
    </row>
    <row r="913" spans="1:7" x14ac:dyDescent="0.25">
      <c r="A913" s="31" t="s">
        <v>10</v>
      </c>
      <c r="B913" s="32">
        <v>2</v>
      </c>
      <c r="C913" s="32">
        <v>5</v>
      </c>
      <c r="D913" s="32">
        <v>8</v>
      </c>
      <c r="E913" s="32">
        <v>36</v>
      </c>
      <c r="F913" s="2">
        <v>61</v>
      </c>
      <c r="G913">
        <v>56.983380677686753</v>
      </c>
    </row>
    <row r="914" spans="1:7" x14ac:dyDescent="0.25">
      <c r="A914" s="31" t="s">
        <v>10</v>
      </c>
      <c r="B914" s="32">
        <v>3</v>
      </c>
      <c r="C914" s="32">
        <v>2</v>
      </c>
      <c r="D914" s="32">
        <v>10</v>
      </c>
      <c r="E914" s="32">
        <v>36</v>
      </c>
      <c r="F914" s="2">
        <v>57.9</v>
      </c>
      <c r="G914">
        <v>39.279598426726217</v>
      </c>
    </row>
    <row r="915" spans="1:7" x14ac:dyDescent="0.25">
      <c r="A915" s="31" t="s">
        <v>11</v>
      </c>
      <c r="B915" s="32">
        <v>1</v>
      </c>
      <c r="C915" s="32">
        <v>7</v>
      </c>
      <c r="D915" s="32">
        <v>1</v>
      </c>
      <c r="E915" s="11">
        <v>36</v>
      </c>
      <c r="F915" s="2">
        <v>61.3</v>
      </c>
      <c r="G915">
        <v>35.90520972858652</v>
      </c>
    </row>
    <row r="916" spans="1:7" x14ac:dyDescent="0.25">
      <c r="A916" s="31" t="s">
        <v>11</v>
      </c>
      <c r="B916" s="32">
        <v>2</v>
      </c>
      <c r="C916" s="32">
        <v>1</v>
      </c>
      <c r="D916" s="32">
        <v>4</v>
      </c>
      <c r="E916" s="11">
        <v>36</v>
      </c>
      <c r="F916" s="2">
        <v>56.9</v>
      </c>
      <c r="G916">
        <v>31.227114612754566</v>
      </c>
    </row>
    <row r="917" spans="1:7" x14ac:dyDescent="0.25">
      <c r="A917" s="31" t="s">
        <v>11</v>
      </c>
      <c r="B917" s="32">
        <v>3</v>
      </c>
      <c r="C917" s="32">
        <v>15</v>
      </c>
      <c r="D917" s="32">
        <v>8</v>
      </c>
      <c r="E917" s="11">
        <v>36</v>
      </c>
      <c r="F917" s="2">
        <v>60.3</v>
      </c>
      <c r="G917">
        <v>47.96975649350648</v>
      </c>
    </row>
    <row r="918" spans="1:7" x14ac:dyDescent="0.25">
      <c r="A918" t="s">
        <v>160</v>
      </c>
      <c r="B918">
        <v>1</v>
      </c>
      <c r="C918" s="36">
        <v>26</v>
      </c>
      <c r="D918" s="36">
        <v>2</v>
      </c>
      <c r="E918" s="32">
        <v>36</v>
      </c>
      <c r="F918" s="13">
        <v>62.8</v>
      </c>
      <c r="G918">
        <v>84.644999999999996</v>
      </c>
    </row>
    <row r="919" spans="1:7" x14ac:dyDescent="0.25">
      <c r="A919" t="s">
        <v>160</v>
      </c>
      <c r="B919">
        <v>2</v>
      </c>
      <c r="C919" s="36">
        <v>5</v>
      </c>
      <c r="D919" s="36">
        <v>4</v>
      </c>
      <c r="E919" s="32">
        <v>36</v>
      </c>
      <c r="F919" s="13">
        <v>61.1</v>
      </c>
      <c r="G919">
        <v>82.547901403628885</v>
      </c>
    </row>
    <row r="920" spans="1:7" x14ac:dyDescent="0.25">
      <c r="A920" t="s">
        <v>160</v>
      </c>
      <c r="B920">
        <v>3</v>
      </c>
      <c r="C920" s="36">
        <v>1</v>
      </c>
      <c r="D920" s="36">
        <v>6</v>
      </c>
      <c r="E920" s="32">
        <v>36</v>
      </c>
      <c r="F920" s="13">
        <v>62.3</v>
      </c>
      <c r="G920">
        <v>78.338726541554934</v>
      </c>
    </row>
    <row r="921" spans="1:7" x14ac:dyDescent="0.25">
      <c r="A921" s="31" t="s">
        <v>116</v>
      </c>
      <c r="B921" s="32">
        <v>1</v>
      </c>
      <c r="C921" s="32">
        <v>10</v>
      </c>
      <c r="D921" s="32">
        <v>3</v>
      </c>
      <c r="E921" s="32">
        <v>37</v>
      </c>
      <c r="F921" s="12">
        <v>59.3</v>
      </c>
      <c r="G921">
        <v>71.537903389830518</v>
      </c>
    </row>
    <row r="922" spans="1:7" x14ac:dyDescent="0.25">
      <c r="A922" s="31" t="s">
        <v>116</v>
      </c>
      <c r="B922" s="32">
        <v>2</v>
      </c>
      <c r="C922" s="32">
        <v>4</v>
      </c>
      <c r="D922" s="32">
        <v>6</v>
      </c>
      <c r="E922" s="32">
        <v>37</v>
      </c>
      <c r="F922" s="12">
        <v>57.6</v>
      </c>
      <c r="G922">
        <v>66.970581115395476</v>
      </c>
    </row>
    <row r="923" spans="1:7" x14ac:dyDescent="0.25">
      <c r="A923" s="31" t="s">
        <v>116</v>
      </c>
      <c r="B923" s="32">
        <v>3</v>
      </c>
      <c r="C923" s="32">
        <v>9</v>
      </c>
      <c r="D923" s="32">
        <v>9</v>
      </c>
      <c r="E923" s="32">
        <v>37</v>
      </c>
      <c r="F923" s="12">
        <v>58.3</v>
      </c>
      <c r="G923">
        <v>72.153640036642386</v>
      </c>
    </row>
    <row r="924" spans="1:7" x14ac:dyDescent="0.25">
      <c r="A924" s="34" t="s">
        <v>97</v>
      </c>
      <c r="B924" s="35">
        <v>1</v>
      </c>
      <c r="C924" s="35">
        <v>2</v>
      </c>
      <c r="D924" s="35">
        <v>2</v>
      </c>
      <c r="E924" s="35">
        <v>37</v>
      </c>
      <c r="F924" s="2">
        <v>61.8</v>
      </c>
      <c r="G924">
        <v>82.982392026578069</v>
      </c>
    </row>
    <row r="925" spans="1:7" x14ac:dyDescent="0.25">
      <c r="A925" s="34" t="s">
        <v>97</v>
      </c>
      <c r="B925" s="35">
        <v>2</v>
      </c>
      <c r="C925" s="35">
        <v>9</v>
      </c>
      <c r="D925" s="35">
        <v>4</v>
      </c>
      <c r="E925" s="35">
        <v>37</v>
      </c>
      <c r="F925" s="2">
        <v>61.5</v>
      </c>
      <c r="G925">
        <v>78.904328859060399</v>
      </c>
    </row>
    <row r="926" spans="1:7" x14ac:dyDescent="0.25">
      <c r="A926" s="34" t="s">
        <v>97</v>
      </c>
      <c r="B926" s="35">
        <v>3</v>
      </c>
      <c r="C926" s="35">
        <v>16</v>
      </c>
      <c r="D926" s="35">
        <v>6</v>
      </c>
      <c r="E926" s="35">
        <v>37</v>
      </c>
      <c r="F926" s="2">
        <v>61</v>
      </c>
      <c r="G926">
        <v>81.101591169177951</v>
      </c>
    </row>
    <row r="927" spans="1:7" x14ac:dyDescent="0.25">
      <c r="A927" s="31" t="s">
        <v>132</v>
      </c>
      <c r="B927" s="32">
        <v>1</v>
      </c>
      <c r="C927" s="32">
        <v>8</v>
      </c>
      <c r="D927" s="32">
        <v>1</v>
      </c>
      <c r="E927" s="32">
        <v>37</v>
      </c>
      <c r="F927" s="2">
        <v>60.6</v>
      </c>
      <c r="G927">
        <v>66.983397136107229</v>
      </c>
    </row>
    <row r="928" spans="1:7" x14ac:dyDescent="0.25">
      <c r="A928" s="31" t="s">
        <v>132</v>
      </c>
      <c r="B928" s="32">
        <v>2</v>
      </c>
      <c r="C928" s="32">
        <v>18</v>
      </c>
      <c r="D928" s="32">
        <v>4</v>
      </c>
      <c r="E928" s="32">
        <v>37</v>
      </c>
      <c r="F928" s="2">
        <v>60.8</v>
      </c>
      <c r="G928">
        <v>65.795821440748142</v>
      </c>
    </row>
    <row r="929" spans="1:7" x14ac:dyDescent="0.25">
      <c r="A929" s="31" t="s">
        <v>132</v>
      </c>
      <c r="B929" s="32">
        <v>3</v>
      </c>
      <c r="C929" s="32">
        <v>6</v>
      </c>
      <c r="D929" s="32">
        <v>5</v>
      </c>
      <c r="E929" s="32">
        <v>37</v>
      </c>
      <c r="F929" s="2">
        <v>61.3</v>
      </c>
      <c r="G929">
        <v>70.220890711424772</v>
      </c>
    </row>
    <row r="930" spans="1:7" x14ac:dyDescent="0.25">
      <c r="A930" s="31" t="s">
        <v>13</v>
      </c>
      <c r="B930" s="32">
        <v>1</v>
      </c>
      <c r="C930" s="36">
        <v>9</v>
      </c>
      <c r="D930" s="36">
        <v>2</v>
      </c>
      <c r="E930" s="32">
        <v>37</v>
      </c>
      <c r="F930" s="12">
        <v>59.2</v>
      </c>
      <c r="G930">
        <v>68.603040000000007</v>
      </c>
    </row>
    <row r="931" spans="1:7" x14ac:dyDescent="0.25">
      <c r="A931" s="31" t="s">
        <v>13</v>
      </c>
      <c r="B931" s="32">
        <v>2</v>
      </c>
      <c r="C931" s="36">
        <v>4</v>
      </c>
      <c r="D931" s="36">
        <v>3</v>
      </c>
      <c r="E931" s="32">
        <v>37</v>
      </c>
      <c r="F931" s="12">
        <v>58.7</v>
      </c>
      <c r="G931">
        <v>72.454139999999981</v>
      </c>
    </row>
    <row r="932" spans="1:7" x14ac:dyDescent="0.25">
      <c r="A932" s="31" t="s">
        <v>13</v>
      </c>
      <c r="B932" s="32">
        <v>3</v>
      </c>
      <c r="C932" s="36">
        <v>10</v>
      </c>
      <c r="D932" s="36">
        <v>6</v>
      </c>
      <c r="E932" s="32">
        <v>37</v>
      </c>
      <c r="F932" s="12">
        <v>58.7</v>
      </c>
      <c r="G932">
        <v>60.074629999999999</v>
      </c>
    </row>
    <row r="933" spans="1:7" x14ac:dyDescent="0.25">
      <c r="A933" t="s">
        <v>7</v>
      </c>
      <c r="B933" s="11">
        <v>1</v>
      </c>
      <c r="C933" s="11">
        <v>10</v>
      </c>
      <c r="D933" s="11">
        <v>4</v>
      </c>
      <c r="E933" s="11">
        <v>37</v>
      </c>
      <c r="F933" s="12">
        <v>55.9</v>
      </c>
      <c r="G933">
        <v>50.439903614457819</v>
      </c>
    </row>
    <row r="934" spans="1:7" x14ac:dyDescent="0.25">
      <c r="A934" t="s">
        <v>7</v>
      </c>
      <c r="B934" s="11">
        <v>2</v>
      </c>
      <c r="C934" s="11">
        <v>12</v>
      </c>
      <c r="D934" s="11">
        <v>6</v>
      </c>
      <c r="E934" s="11">
        <v>37</v>
      </c>
      <c r="F934" s="12">
        <v>55.6</v>
      </c>
      <c r="G934">
        <v>48.093357774108952</v>
      </c>
    </row>
    <row r="935" spans="1:7" x14ac:dyDescent="0.25">
      <c r="A935" t="s">
        <v>7</v>
      </c>
      <c r="B935" s="11">
        <v>3</v>
      </c>
      <c r="C935" s="11">
        <v>1</v>
      </c>
      <c r="D935" s="11">
        <v>10</v>
      </c>
      <c r="E935" s="11">
        <v>37</v>
      </c>
      <c r="F935" s="12">
        <v>53.5</v>
      </c>
      <c r="G935">
        <v>44.120137223746923</v>
      </c>
    </row>
    <row r="936" spans="1:7" x14ac:dyDescent="0.25">
      <c r="A936" s="31" t="s">
        <v>156</v>
      </c>
      <c r="B936" s="32">
        <v>1</v>
      </c>
      <c r="C936" s="32">
        <v>10</v>
      </c>
      <c r="D936" s="32">
        <v>1</v>
      </c>
      <c r="E936" s="32">
        <v>37</v>
      </c>
      <c r="F936" s="2">
        <v>53.3</v>
      </c>
      <c r="G936">
        <v>43.633296562364393</v>
      </c>
    </row>
    <row r="937" spans="1:7" x14ac:dyDescent="0.25">
      <c r="A937" s="31" t="s">
        <v>156</v>
      </c>
      <c r="B937" s="32">
        <v>2</v>
      </c>
      <c r="C937" s="32">
        <v>16</v>
      </c>
      <c r="D937" s="32">
        <v>3</v>
      </c>
      <c r="E937" s="32">
        <v>37</v>
      </c>
      <c r="F937" s="2">
        <v>60.5</v>
      </c>
      <c r="G937">
        <v>58.805264934188308</v>
      </c>
    </row>
    <row r="938" spans="1:7" x14ac:dyDescent="0.25">
      <c r="A938" s="31" t="s">
        <v>156</v>
      </c>
      <c r="B938" s="32">
        <v>3</v>
      </c>
      <c r="C938" s="32">
        <v>3</v>
      </c>
      <c r="D938" s="32">
        <v>6</v>
      </c>
      <c r="E938" s="32">
        <v>37</v>
      </c>
      <c r="F938" s="2">
        <v>58.5</v>
      </c>
      <c r="G938">
        <v>56.834530461124196</v>
      </c>
    </row>
    <row r="939" spans="1:7" x14ac:dyDescent="0.25">
      <c r="A939" s="31" t="s">
        <v>10</v>
      </c>
      <c r="B939" s="32">
        <v>1</v>
      </c>
      <c r="C939" s="32">
        <v>6</v>
      </c>
      <c r="D939" s="32">
        <v>1</v>
      </c>
      <c r="E939" s="32">
        <v>37</v>
      </c>
      <c r="F939" s="2">
        <v>58.6</v>
      </c>
      <c r="G939">
        <v>60.811526616541336</v>
      </c>
    </row>
    <row r="940" spans="1:7" x14ac:dyDescent="0.25">
      <c r="A940" s="31" t="s">
        <v>10</v>
      </c>
      <c r="B940" s="32">
        <v>2</v>
      </c>
      <c r="C940" s="32">
        <v>7</v>
      </c>
      <c r="D940" s="32">
        <v>5</v>
      </c>
      <c r="E940" s="32">
        <v>37</v>
      </c>
      <c r="F940" s="2">
        <v>58</v>
      </c>
      <c r="G940">
        <v>48.603251612903222</v>
      </c>
    </row>
    <row r="941" spans="1:7" x14ac:dyDescent="0.25">
      <c r="A941" s="31" t="s">
        <v>10</v>
      </c>
      <c r="B941" s="32">
        <v>3</v>
      </c>
      <c r="C941" s="32">
        <v>5</v>
      </c>
      <c r="D941" s="32">
        <v>10</v>
      </c>
      <c r="E941" s="32">
        <v>37</v>
      </c>
      <c r="F941" s="2">
        <v>59.4</v>
      </c>
      <c r="G941">
        <v>58.676849082256958</v>
      </c>
    </row>
    <row r="942" spans="1:7" x14ac:dyDescent="0.25">
      <c r="A942" s="31" t="s">
        <v>11</v>
      </c>
      <c r="B942" s="32">
        <v>1</v>
      </c>
      <c r="C942" s="32">
        <v>1</v>
      </c>
      <c r="D942" s="32">
        <v>2</v>
      </c>
      <c r="E942" s="11">
        <v>37</v>
      </c>
      <c r="F942" s="2">
        <v>60.1</v>
      </c>
      <c r="G942">
        <v>23.317292710762665</v>
      </c>
    </row>
    <row r="943" spans="1:7" x14ac:dyDescent="0.25">
      <c r="A943" s="31" t="s">
        <v>11</v>
      </c>
      <c r="B943" s="32">
        <v>2</v>
      </c>
      <c r="C943" s="32">
        <v>16</v>
      </c>
      <c r="D943" s="32">
        <v>4</v>
      </c>
      <c r="E943" s="11">
        <v>37</v>
      </c>
      <c r="F943" s="2">
        <v>59.1</v>
      </c>
      <c r="G943">
        <v>19.166686487290022</v>
      </c>
    </row>
    <row r="944" spans="1:7" x14ac:dyDescent="0.25">
      <c r="A944" s="31" t="s">
        <v>11</v>
      </c>
      <c r="B944" s="32">
        <v>3</v>
      </c>
      <c r="C944" s="32">
        <v>17</v>
      </c>
      <c r="D944" s="32">
        <v>7</v>
      </c>
      <c r="E944" s="11">
        <v>37</v>
      </c>
      <c r="F944" s="2">
        <v>58.6</v>
      </c>
      <c r="G944">
        <v>23.381978607083429</v>
      </c>
    </row>
    <row r="945" spans="1:7" x14ac:dyDescent="0.25">
      <c r="A945" t="s">
        <v>160</v>
      </c>
      <c r="B945" s="11">
        <v>1</v>
      </c>
      <c r="C945" s="36">
        <v>25</v>
      </c>
      <c r="D945" s="36">
        <v>2</v>
      </c>
      <c r="E945" s="32">
        <v>37</v>
      </c>
      <c r="F945" s="2">
        <v>60.5</v>
      </c>
      <c r="G945">
        <v>92.174033898305083</v>
      </c>
    </row>
    <row r="946" spans="1:7" x14ac:dyDescent="0.25">
      <c r="A946" t="s">
        <v>160</v>
      </c>
      <c r="B946" s="11">
        <v>2</v>
      </c>
      <c r="C946" s="36">
        <v>14</v>
      </c>
      <c r="D946" s="36">
        <v>3</v>
      </c>
      <c r="E946" s="32">
        <v>37</v>
      </c>
      <c r="F946" s="2">
        <v>60.8</v>
      </c>
      <c r="G946">
        <v>83.228636513700877</v>
      </c>
    </row>
    <row r="947" spans="1:7" x14ac:dyDescent="0.25">
      <c r="A947" t="s">
        <v>160</v>
      </c>
      <c r="B947" s="11">
        <v>3</v>
      </c>
      <c r="C947" s="36">
        <v>5</v>
      </c>
      <c r="D947" s="36">
        <v>5</v>
      </c>
      <c r="E947" s="32">
        <v>37</v>
      </c>
      <c r="F947" s="2">
        <v>60.1</v>
      </c>
      <c r="G947">
        <v>88.091040719605374</v>
      </c>
    </row>
    <row r="948" spans="1:7" x14ac:dyDescent="0.25">
      <c r="A948" s="31" t="s">
        <v>116</v>
      </c>
      <c r="B948" s="32">
        <v>1</v>
      </c>
      <c r="C948" s="32">
        <v>9</v>
      </c>
      <c r="D948" s="32">
        <v>2</v>
      </c>
      <c r="E948" s="32">
        <v>40</v>
      </c>
      <c r="F948" s="12">
        <v>58.9</v>
      </c>
      <c r="G948">
        <v>58.878203999999997</v>
      </c>
    </row>
    <row r="949" spans="1:7" x14ac:dyDescent="0.25">
      <c r="A949" s="31" t="s">
        <v>116</v>
      </c>
      <c r="B949" s="32">
        <v>2</v>
      </c>
      <c r="C949" s="32">
        <v>8</v>
      </c>
      <c r="D949" s="32">
        <v>8</v>
      </c>
      <c r="E949" s="32">
        <v>40</v>
      </c>
      <c r="F949" s="12">
        <v>59</v>
      </c>
      <c r="G949">
        <v>67.309728915662632</v>
      </c>
    </row>
    <row r="950" spans="1:7" x14ac:dyDescent="0.25">
      <c r="A950" s="31" t="s">
        <v>116</v>
      </c>
      <c r="B950" s="32">
        <v>3</v>
      </c>
      <c r="C950" s="32">
        <v>6</v>
      </c>
      <c r="D950" s="32">
        <v>10</v>
      </c>
      <c r="E950" s="32">
        <v>40</v>
      </c>
      <c r="F950" s="12">
        <v>58.5</v>
      </c>
      <c r="G950">
        <v>70.20858468187275</v>
      </c>
    </row>
    <row r="951" spans="1:7" x14ac:dyDescent="0.25">
      <c r="A951" s="34" t="s">
        <v>97</v>
      </c>
      <c r="B951" s="35">
        <v>1</v>
      </c>
      <c r="C951" s="35">
        <v>6</v>
      </c>
      <c r="D951" s="35">
        <v>2</v>
      </c>
      <c r="E951" s="35">
        <v>40</v>
      </c>
      <c r="F951" s="2">
        <v>62.5</v>
      </c>
      <c r="G951">
        <v>70.648981655351719</v>
      </c>
    </row>
    <row r="952" spans="1:7" x14ac:dyDescent="0.25">
      <c r="A952" s="34" t="s">
        <v>97</v>
      </c>
      <c r="B952" s="35">
        <v>2</v>
      </c>
      <c r="C952" s="35">
        <v>7</v>
      </c>
      <c r="D952" s="35">
        <v>4</v>
      </c>
      <c r="E952" s="35">
        <v>40</v>
      </c>
      <c r="F952" s="2">
        <v>58.2</v>
      </c>
      <c r="G952">
        <v>74.425978906999035</v>
      </c>
    </row>
    <row r="953" spans="1:7" x14ac:dyDescent="0.25">
      <c r="A953" s="34" t="s">
        <v>97</v>
      </c>
      <c r="B953" s="35">
        <v>3</v>
      </c>
      <c r="C953" s="35">
        <v>2</v>
      </c>
      <c r="D953" s="35">
        <v>5</v>
      </c>
      <c r="E953" s="35">
        <v>40</v>
      </c>
      <c r="F953" s="2">
        <v>61.7</v>
      </c>
      <c r="G953">
        <v>76.56522255192877</v>
      </c>
    </row>
    <row r="954" spans="1:7" x14ac:dyDescent="0.25">
      <c r="A954" s="31" t="s">
        <v>132</v>
      </c>
      <c r="B954" s="32">
        <v>1</v>
      </c>
      <c r="C954" s="32">
        <v>9</v>
      </c>
      <c r="D954" s="32">
        <v>2</v>
      </c>
      <c r="E954" s="32">
        <v>40</v>
      </c>
      <c r="F954" s="2">
        <v>62</v>
      </c>
      <c r="G954">
        <v>66.934424569692879</v>
      </c>
    </row>
    <row r="955" spans="1:7" x14ac:dyDescent="0.25">
      <c r="A955" s="31" t="s">
        <v>132</v>
      </c>
      <c r="B955" s="32">
        <v>2</v>
      </c>
      <c r="C955" s="32">
        <v>19</v>
      </c>
      <c r="D955" s="32">
        <v>3</v>
      </c>
      <c r="E955" s="32">
        <v>40</v>
      </c>
      <c r="F955" s="2">
        <v>61.4</v>
      </c>
      <c r="G955">
        <v>74.680959552495693</v>
      </c>
    </row>
    <row r="956" spans="1:7" x14ac:dyDescent="0.25">
      <c r="A956" s="31" t="s">
        <v>132</v>
      </c>
      <c r="B956" s="32">
        <v>3</v>
      </c>
      <c r="C956" s="32">
        <v>16</v>
      </c>
      <c r="D956" s="32">
        <v>6</v>
      </c>
      <c r="E956" s="32">
        <v>40</v>
      </c>
      <c r="F956" s="12">
        <v>62.3</v>
      </c>
      <c r="G956">
        <v>63.585942510472336</v>
      </c>
    </row>
    <row r="957" spans="1:7" x14ac:dyDescent="0.25">
      <c r="A957" s="31" t="s">
        <v>13</v>
      </c>
      <c r="B957" s="32">
        <v>1</v>
      </c>
      <c r="C957" s="36">
        <v>11</v>
      </c>
      <c r="D957" s="36">
        <v>1</v>
      </c>
      <c r="E957" s="32">
        <v>40</v>
      </c>
      <c r="F957" s="12">
        <v>58.7</v>
      </c>
      <c r="G957">
        <v>80.600849999999994</v>
      </c>
    </row>
    <row r="958" spans="1:7" x14ac:dyDescent="0.25">
      <c r="A958" s="31" t="s">
        <v>13</v>
      </c>
      <c r="B958" s="32">
        <v>2</v>
      </c>
      <c r="C958" s="36">
        <v>16</v>
      </c>
      <c r="D958" s="36">
        <v>4</v>
      </c>
      <c r="E958" s="32">
        <v>40</v>
      </c>
      <c r="F958" s="12">
        <v>59.1</v>
      </c>
      <c r="G958">
        <v>62.79619499999999</v>
      </c>
    </row>
    <row r="959" spans="1:7" x14ac:dyDescent="0.25">
      <c r="A959" s="31" t="s">
        <v>13</v>
      </c>
      <c r="B959" s="32">
        <v>3</v>
      </c>
      <c r="C959" s="36">
        <v>3</v>
      </c>
      <c r="D959" s="36">
        <v>5</v>
      </c>
      <c r="E959" s="32">
        <v>40</v>
      </c>
      <c r="F959" s="12">
        <v>59</v>
      </c>
      <c r="G959">
        <v>60.678639999999994</v>
      </c>
    </row>
    <row r="960" spans="1:7" x14ac:dyDescent="0.25">
      <c r="A960" t="s">
        <v>7</v>
      </c>
      <c r="B960" s="11">
        <v>1</v>
      </c>
      <c r="C960" s="11">
        <v>11</v>
      </c>
      <c r="D960" s="11">
        <v>2</v>
      </c>
      <c r="E960" s="11">
        <v>40</v>
      </c>
      <c r="F960" s="12">
        <v>56.2</v>
      </c>
      <c r="G960">
        <v>46.873214848143974</v>
      </c>
    </row>
    <row r="961" spans="1:7" x14ac:dyDescent="0.25">
      <c r="A961" t="s">
        <v>7</v>
      </c>
      <c r="B961" s="11">
        <v>2</v>
      </c>
      <c r="C961" s="11">
        <v>5</v>
      </c>
      <c r="D961" s="11">
        <v>7</v>
      </c>
      <c r="E961" s="11">
        <v>40</v>
      </c>
      <c r="F961" s="12">
        <v>55.6</v>
      </c>
      <c r="G961">
        <v>48.958062799616499</v>
      </c>
    </row>
    <row r="962" spans="1:7" x14ac:dyDescent="0.25">
      <c r="A962" t="s">
        <v>7</v>
      </c>
      <c r="B962" s="11">
        <v>3</v>
      </c>
      <c r="C962" s="11">
        <v>6</v>
      </c>
      <c r="D962" s="11">
        <v>12</v>
      </c>
      <c r="E962" s="11">
        <v>40</v>
      </c>
      <c r="F962" s="2">
        <v>52.9</v>
      </c>
      <c r="G962">
        <v>40.508346092734357</v>
      </c>
    </row>
    <row r="963" spans="1:7" x14ac:dyDescent="0.25">
      <c r="A963" s="31" t="s">
        <v>156</v>
      </c>
      <c r="B963" s="32">
        <v>1</v>
      </c>
      <c r="C963" s="32">
        <v>26</v>
      </c>
      <c r="D963" s="32">
        <v>1</v>
      </c>
      <c r="E963" s="32">
        <v>40</v>
      </c>
      <c r="F963" s="2">
        <v>58.1</v>
      </c>
      <c r="G963">
        <v>58.575055686803907</v>
      </c>
    </row>
    <row r="964" spans="1:7" x14ac:dyDescent="0.25">
      <c r="A964" s="31" t="s">
        <v>156</v>
      </c>
      <c r="B964" s="32">
        <v>2</v>
      </c>
      <c r="C964" s="32">
        <v>7</v>
      </c>
      <c r="D964" s="32">
        <v>4</v>
      </c>
      <c r="E964" s="32">
        <v>40</v>
      </c>
      <c r="F964" s="2">
        <v>57.5</v>
      </c>
      <c r="G964">
        <v>42.320218504609073</v>
      </c>
    </row>
    <row r="965" spans="1:7" x14ac:dyDescent="0.25">
      <c r="A965" s="31" t="s">
        <v>156</v>
      </c>
      <c r="B965" s="32">
        <v>3</v>
      </c>
      <c r="C965" s="32">
        <v>6</v>
      </c>
      <c r="D965" s="32">
        <v>6</v>
      </c>
      <c r="E965" s="32">
        <v>40</v>
      </c>
      <c r="F965" s="2">
        <v>53.8</v>
      </c>
      <c r="G965">
        <v>32.192446506707689</v>
      </c>
    </row>
    <row r="966" spans="1:7" x14ac:dyDescent="0.25">
      <c r="A966" s="31" t="s">
        <v>10</v>
      </c>
      <c r="B966" s="32">
        <v>1</v>
      </c>
      <c r="C966" s="32">
        <v>13</v>
      </c>
      <c r="D966" s="32">
        <v>1</v>
      </c>
      <c r="E966" s="32">
        <v>40</v>
      </c>
      <c r="F966" s="2">
        <v>59.2</v>
      </c>
      <c r="G966">
        <v>60.799199999999985</v>
      </c>
    </row>
    <row r="967" spans="1:7" x14ac:dyDescent="0.25">
      <c r="A967" s="31" t="s">
        <v>10</v>
      </c>
      <c r="B967" s="32">
        <v>2</v>
      </c>
      <c r="C967" s="32">
        <v>1</v>
      </c>
      <c r="D967" s="32">
        <v>8</v>
      </c>
      <c r="E967" s="32">
        <v>40</v>
      </c>
      <c r="F967" s="2">
        <v>60.2</v>
      </c>
      <c r="G967">
        <v>46.988167143341897</v>
      </c>
    </row>
    <row r="968" spans="1:7" x14ac:dyDescent="0.25">
      <c r="A968" s="31" t="s">
        <v>10</v>
      </c>
      <c r="B968" s="32">
        <v>3</v>
      </c>
      <c r="C968" s="32">
        <v>12</v>
      </c>
      <c r="D968" s="32">
        <v>9</v>
      </c>
      <c r="E968" s="32">
        <v>40</v>
      </c>
      <c r="F968" s="2">
        <v>56.8</v>
      </c>
      <c r="G968">
        <v>58.532635351089581</v>
      </c>
    </row>
    <row r="969" spans="1:7" x14ac:dyDescent="0.25">
      <c r="A969" s="31" t="s">
        <v>11</v>
      </c>
      <c r="B969" s="32">
        <v>1</v>
      </c>
      <c r="C969" s="32">
        <v>8</v>
      </c>
      <c r="D969" s="32">
        <v>3</v>
      </c>
      <c r="E969" s="11">
        <v>40</v>
      </c>
      <c r="F969" s="2">
        <v>58.7</v>
      </c>
      <c r="G969">
        <v>17.38102529960053</v>
      </c>
    </row>
    <row r="970" spans="1:7" x14ac:dyDescent="0.25">
      <c r="A970" s="31" t="s">
        <v>11</v>
      </c>
      <c r="B970" s="32">
        <v>2</v>
      </c>
      <c r="C970" s="32">
        <v>10</v>
      </c>
      <c r="D970" s="32">
        <v>6</v>
      </c>
      <c r="E970" s="11">
        <v>40</v>
      </c>
      <c r="F970" s="2">
        <v>57.9</v>
      </c>
      <c r="G970">
        <v>19.624274036590108</v>
      </c>
    </row>
    <row r="971" spans="1:7" x14ac:dyDescent="0.25">
      <c r="A971" s="31" t="s">
        <v>11</v>
      </c>
      <c r="B971" s="32">
        <v>3</v>
      </c>
      <c r="C971" s="32">
        <v>18</v>
      </c>
      <c r="D971" s="32">
        <v>7</v>
      </c>
      <c r="E971" s="11">
        <v>40</v>
      </c>
      <c r="F971" s="2">
        <v>62.3</v>
      </c>
      <c r="G971">
        <v>28.960712146422626</v>
      </c>
    </row>
    <row r="972" spans="1:7" x14ac:dyDescent="0.25">
      <c r="A972" t="s">
        <v>160</v>
      </c>
      <c r="B972" s="11">
        <v>1</v>
      </c>
      <c r="C972" s="36">
        <v>5</v>
      </c>
      <c r="D972" s="36">
        <v>1</v>
      </c>
      <c r="E972" s="32">
        <v>40</v>
      </c>
      <c r="F972" s="2">
        <v>59.5</v>
      </c>
      <c r="G972">
        <v>91.764754733218567</v>
      </c>
    </row>
    <row r="973" spans="1:7" x14ac:dyDescent="0.25">
      <c r="A973" t="s">
        <v>160</v>
      </c>
      <c r="B973" s="11">
        <v>2</v>
      </c>
      <c r="C973" s="36">
        <v>1</v>
      </c>
      <c r="D973" s="36">
        <v>4</v>
      </c>
      <c r="E973" s="32">
        <v>40</v>
      </c>
      <c r="F973" s="2">
        <v>60.4</v>
      </c>
      <c r="G973">
        <v>84.693635741184522</v>
      </c>
    </row>
    <row r="974" spans="1:7" x14ac:dyDescent="0.25">
      <c r="A974" t="s">
        <v>160</v>
      </c>
      <c r="B974" s="11">
        <v>3</v>
      </c>
      <c r="C974" s="36">
        <v>19</v>
      </c>
      <c r="D974" s="36">
        <v>6</v>
      </c>
      <c r="E974" s="32">
        <v>40</v>
      </c>
      <c r="F974" s="2">
        <v>60.8</v>
      </c>
      <c r="G974">
        <v>89.318114707008789</v>
      </c>
    </row>
    <row r="975" spans="1:7" x14ac:dyDescent="0.25">
      <c r="A975" s="31" t="s">
        <v>116</v>
      </c>
      <c r="B975" s="32">
        <v>1</v>
      </c>
      <c r="C975" s="32">
        <v>2</v>
      </c>
      <c r="D975" s="32">
        <v>2</v>
      </c>
      <c r="E975" s="32">
        <v>41</v>
      </c>
      <c r="F975" s="12">
        <v>57.4</v>
      </c>
      <c r="G975">
        <v>43.247980285714277</v>
      </c>
    </row>
    <row r="976" spans="1:7" x14ac:dyDescent="0.25">
      <c r="A976" s="31" t="s">
        <v>116</v>
      </c>
      <c r="B976" s="32">
        <v>2</v>
      </c>
      <c r="C976" s="32">
        <v>1</v>
      </c>
      <c r="D976" s="32">
        <v>8</v>
      </c>
      <c r="E976" s="32">
        <v>41</v>
      </c>
      <c r="F976" s="12">
        <v>57.9</v>
      </c>
      <c r="G976">
        <v>50.878005593803785</v>
      </c>
    </row>
    <row r="977" spans="1:7" x14ac:dyDescent="0.25">
      <c r="A977" s="31" t="s">
        <v>116</v>
      </c>
      <c r="B977" s="32">
        <v>3</v>
      </c>
      <c r="C977" s="32">
        <v>5</v>
      </c>
      <c r="D977" s="32">
        <v>9</v>
      </c>
      <c r="E977" s="32">
        <v>41</v>
      </c>
      <c r="F977" s="12">
        <v>57</v>
      </c>
      <c r="G977">
        <v>55.026993250084374</v>
      </c>
    </row>
    <row r="978" spans="1:7" x14ac:dyDescent="0.25">
      <c r="A978" s="34" t="s">
        <v>97</v>
      </c>
      <c r="B978" s="35">
        <v>1</v>
      </c>
      <c r="C978" s="35">
        <v>19</v>
      </c>
      <c r="D978" s="35">
        <v>2</v>
      </c>
      <c r="E978" s="35">
        <v>41</v>
      </c>
      <c r="F978" s="2">
        <v>59</v>
      </c>
      <c r="G978">
        <v>69.771094901054454</v>
      </c>
    </row>
    <row r="979" spans="1:7" x14ac:dyDescent="0.25">
      <c r="A979" s="34" t="s">
        <v>97</v>
      </c>
      <c r="B979" s="35">
        <v>2</v>
      </c>
      <c r="C979" s="35">
        <v>6</v>
      </c>
      <c r="D979" s="35">
        <v>4</v>
      </c>
      <c r="E979" s="35">
        <v>41</v>
      </c>
      <c r="F979" s="2" t="s">
        <v>12</v>
      </c>
      <c r="G979" t="s">
        <v>12</v>
      </c>
    </row>
    <row r="980" spans="1:7" x14ac:dyDescent="0.25">
      <c r="A980" s="34" t="s">
        <v>97</v>
      </c>
      <c r="B980" s="35">
        <v>3</v>
      </c>
      <c r="C980" s="35">
        <v>17</v>
      </c>
      <c r="D980" s="35">
        <v>5</v>
      </c>
      <c r="E980" s="35">
        <v>41</v>
      </c>
      <c r="F980" s="2">
        <v>56.9</v>
      </c>
      <c r="G980">
        <v>68.58348452734208</v>
      </c>
    </row>
    <row r="981" spans="1:7" x14ac:dyDescent="0.25">
      <c r="A981" s="31" t="s">
        <v>132</v>
      </c>
      <c r="B981" s="32">
        <v>1</v>
      </c>
      <c r="C981" s="32">
        <v>20</v>
      </c>
      <c r="D981" s="32">
        <v>1</v>
      </c>
      <c r="E981" s="32">
        <v>41</v>
      </c>
      <c r="F981" s="2">
        <v>60.8</v>
      </c>
      <c r="G981">
        <v>61.60352683091461</v>
      </c>
    </row>
    <row r="982" spans="1:7" x14ac:dyDescent="0.25">
      <c r="A982" s="31" t="s">
        <v>132</v>
      </c>
      <c r="B982" s="32">
        <v>2</v>
      </c>
      <c r="C982" s="32">
        <v>5</v>
      </c>
      <c r="D982" s="32">
        <v>4</v>
      </c>
      <c r="E982" s="32">
        <v>41</v>
      </c>
      <c r="F982" s="2">
        <v>57.7</v>
      </c>
      <c r="G982">
        <v>63.945195070868444</v>
      </c>
    </row>
    <row r="983" spans="1:7" x14ac:dyDescent="0.25">
      <c r="A983" s="31" t="s">
        <v>132</v>
      </c>
      <c r="B983" s="32">
        <v>3</v>
      </c>
      <c r="C983" s="32">
        <v>16</v>
      </c>
      <c r="D983" s="32">
        <v>5</v>
      </c>
      <c r="E983" s="32">
        <v>41</v>
      </c>
      <c r="F983" s="2">
        <v>61.3</v>
      </c>
      <c r="G983">
        <v>64.274753957657822</v>
      </c>
    </row>
    <row r="984" spans="1:7" x14ac:dyDescent="0.25">
      <c r="A984" s="31" t="s">
        <v>13</v>
      </c>
      <c r="B984" s="32">
        <v>1</v>
      </c>
      <c r="C984" s="36">
        <v>21</v>
      </c>
      <c r="D984" s="36">
        <v>1</v>
      </c>
      <c r="E984" s="32">
        <v>41</v>
      </c>
      <c r="F984" s="12" t="s">
        <v>12</v>
      </c>
      <c r="G984" t="s">
        <v>12</v>
      </c>
    </row>
    <row r="985" spans="1:7" x14ac:dyDescent="0.25">
      <c r="A985" s="31" t="s">
        <v>13</v>
      </c>
      <c r="B985" s="32">
        <v>2</v>
      </c>
      <c r="C985" s="36">
        <v>18</v>
      </c>
      <c r="D985" s="36">
        <v>3</v>
      </c>
      <c r="E985" s="32">
        <v>41</v>
      </c>
      <c r="F985" s="12">
        <v>56.9</v>
      </c>
      <c r="G985">
        <v>68.888819999999996</v>
      </c>
    </row>
    <row r="986" spans="1:7" x14ac:dyDescent="0.25">
      <c r="A986" s="31" t="s">
        <v>13</v>
      </c>
      <c r="B986" s="32">
        <v>3</v>
      </c>
      <c r="C986" s="36">
        <v>13</v>
      </c>
      <c r="D986" s="36">
        <v>6</v>
      </c>
      <c r="E986" s="32">
        <v>41</v>
      </c>
      <c r="F986" s="12">
        <v>56.5</v>
      </c>
      <c r="G986">
        <v>60.607634999999995</v>
      </c>
    </row>
    <row r="987" spans="1:7" x14ac:dyDescent="0.25">
      <c r="A987" t="s">
        <v>7</v>
      </c>
      <c r="B987" s="11">
        <v>1</v>
      </c>
      <c r="C987" s="11">
        <v>3</v>
      </c>
      <c r="D987" s="11">
        <v>4</v>
      </c>
      <c r="E987" s="11">
        <v>41</v>
      </c>
      <c r="F987" s="12">
        <v>51.7</v>
      </c>
      <c r="G987">
        <v>38.691059749200882</v>
      </c>
    </row>
    <row r="988" spans="1:7" x14ac:dyDescent="0.25">
      <c r="A988" t="s">
        <v>7</v>
      </c>
      <c r="B988" s="11">
        <v>2</v>
      </c>
      <c r="C988" s="11">
        <v>6</v>
      </c>
      <c r="D988" s="11">
        <v>8</v>
      </c>
      <c r="E988" s="11">
        <v>41</v>
      </c>
      <c r="F988" s="12">
        <v>49.9</v>
      </c>
      <c r="G988">
        <v>37.028885123686884</v>
      </c>
    </row>
    <row r="989" spans="1:7" x14ac:dyDescent="0.25">
      <c r="A989" t="s">
        <v>7</v>
      </c>
      <c r="B989" s="11">
        <v>3</v>
      </c>
      <c r="C989" s="11">
        <v>1</v>
      </c>
      <c r="D989" s="11">
        <v>12</v>
      </c>
      <c r="E989" s="11">
        <v>41</v>
      </c>
      <c r="F989" s="2">
        <v>49.6</v>
      </c>
      <c r="G989">
        <v>28.695842842698251</v>
      </c>
    </row>
    <row r="990" spans="1:7" x14ac:dyDescent="0.25">
      <c r="A990" s="31" t="s">
        <v>156</v>
      </c>
      <c r="B990" s="32">
        <v>1</v>
      </c>
      <c r="C990" s="32">
        <v>24</v>
      </c>
      <c r="D990" s="32">
        <v>2</v>
      </c>
      <c r="E990" s="32">
        <v>41</v>
      </c>
      <c r="F990" s="2">
        <v>58.8</v>
      </c>
      <c r="G990">
        <v>44.935218106199819</v>
      </c>
    </row>
    <row r="991" spans="1:7" x14ac:dyDescent="0.25">
      <c r="A991" s="31" t="s">
        <v>156</v>
      </c>
      <c r="B991" s="32">
        <v>2</v>
      </c>
      <c r="C991" s="32">
        <v>12</v>
      </c>
      <c r="D991" s="32">
        <v>3</v>
      </c>
      <c r="E991" s="32">
        <v>41</v>
      </c>
      <c r="F991" s="2">
        <v>58.9</v>
      </c>
      <c r="G991">
        <v>44.802810134516172</v>
      </c>
    </row>
    <row r="992" spans="1:7" x14ac:dyDescent="0.25">
      <c r="A992" s="31" t="s">
        <v>156</v>
      </c>
      <c r="B992" s="32">
        <v>3</v>
      </c>
      <c r="C992" s="32">
        <v>15</v>
      </c>
      <c r="D992" s="32">
        <v>5</v>
      </c>
      <c r="E992" s="32">
        <v>41</v>
      </c>
      <c r="F992" s="2">
        <v>59.7</v>
      </c>
      <c r="G992">
        <v>48.176144307960151</v>
      </c>
    </row>
    <row r="993" spans="1:7" x14ac:dyDescent="0.25">
      <c r="A993" s="31" t="s">
        <v>10</v>
      </c>
      <c r="B993" s="32">
        <v>1</v>
      </c>
      <c r="C993" s="32">
        <v>6</v>
      </c>
      <c r="D993" s="32">
        <v>2</v>
      </c>
      <c r="E993" s="32">
        <v>41</v>
      </c>
      <c r="F993" s="2">
        <v>58.3</v>
      </c>
      <c r="G993">
        <v>59.090830564784042</v>
      </c>
    </row>
    <row r="994" spans="1:7" x14ac:dyDescent="0.25">
      <c r="A994" s="31" t="s">
        <v>10</v>
      </c>
      <c r="B994" s="32">
        <v>2</v>
      </c>
      <c r="C994" s="32">
        <v>9</v>
      </c>
      <c r="D994" s="32">
        <v>7</v>
      </c>
      <c r="E994" s="32">
        <v>41</v>
      </c>
      <c r="F994" s="2">
        <v>57.5</v>
      </c>
      <c r="G994">
        <v>47.604762224352832</v>
      </c>
    </row>
    <row r="995" spans="1:7" x14ac:dyDescent="0.25">
      <c r="A995" s="31" t="s">
        <v>10</v>
      </c>
      <c r="B995" s="32">
        <v>3</v>
      </c>
      <c r="C995" s="32">
        <v>11</v>
      </c>
      <c r="D995" s="32">
        <v>12</v>
      </c>
      <c r="E995" s="32">
        <v>41</v>
      </c>
      <c r="F995" s="2">
        <v>57.3</v>
      </c>
      <c r="G995">
        <v>64.358074725274705</v>
      </c>
    </row>
    <row r="996" spans="1:7" x14ac:dyDescent="0.25">
      <c r="A996" s="31" t="s">
        <v>11</v>
      </c>
      <c r="B996" s="32">
        <v>1</v>
      </c>
      <c r="C996" s="32">
        <v>3</v>
      </c>
      <c r="D996" s="32">
        <v>3</v>
      </c>
      <c r="E996" s="11">
        <v>41</v>
      </c>
      <c r="F996" s="2">
        <v>58.3</v>
      </c>
      <c r="G996">
        <v>27.281966901274487</v>
      </c>
    </row>
    <row r="997" spans="1:7" x14ac:dyDescent="0.25">
      <c r="A997" s="31" t="s">
        <v>11</v>
      </c>
      <c r="B997" s="32">
        <v>2</v>
      </c>
      <c r="C997" s="32">
        <v>17</v>
      </c>
      <c r="D997" s="32">
        <v>6</v>
      </c>
      <c r="E997" s="11">
        <v>41</v>
      </c>
      <c r="F997" s="2" t="s">
        <v>12</v>
      </c>
      <c r="G997">
        <v>16.952064032697546</v>
      </c>
    </row>
    <row r="998" spans="1:7" x14ac:dyDescent="0.25">
      <c r="A998" s="31" t="s">
        <v>11</v>
      </c>
      <c r="B998" s="32">
        <v>3</v>
      </c>
      <c r="C998" s="32">
        <v>18</v>
      </c>
      <c r="D998" s="32">
        <v>9</v>
      </c>
      <c r="E998" s="11">
        <v>41</v>
      </c>
      <c r="F998" s="2">
        <v>58</v>
      </c>
      <c r="G998">
        <v>24.310994838770771</v>
      </c>
    </row>
    <row r="999" spans="1:7" x14ac:dyDescent="0.25">
      <c r="A999" t="s">
        <v>160</v>
      </c>
      <c r="B999" s="11">
        <v>1</v>
      </c>
      <c r="C999" s="36">
        <v>9</v>
      </c>
      <c r="D999" s="36">
        <v>2</v>
      </c>
      <c r="E999" s="32">
        <v>41</v>
      </c>
      <c r="F999" s="2">
        <v>59.9</v>
      </c>
      <c r="G999">
        <v>87.81266440677966</v>
      </c>
    </row>
    <row r="1000" spans="1:7" x14ac:dyDescent="0.25">
      <c r="A1000" t="s">
        <v>160</v>
      </c>
      <c r="B1000" s="11">
        <v>2</v>
      </c>
      <c r="C1000" s="36">
        <v>26</v>
      </c>
      <c r="D1000" s="36">
        <v>3</v>
      </c>
      <c r="E1000" s="32">
        <v>41</v>
      </c>
      <c r="F1000" s="2">
        <v>59.6</v>
      </c>
      <c r="G1000">
        <v>67.897854077253214</v>
      </c>
    </row>
    <row r="1001" spans="1:7" x14ac:dyDescent="0.25">
      <c r="A1001" t="s">
        <v>160</v>
      </c>
      <c r="B1001" s="11">
        <v>3</v>
      </c>
      <c r="C1001" s="36">
        <v>17</v>
      </c>
      <c r="D1001" s="36">
        <v>5</v>
      </c>
      <c r="E1001" s="32">
        <v>41</v>
      </c>
      <c r="F1001" s="2">
        <v>60.2</v>
      </c>
      <c r="G1001">
        <v>75.59007640971079</v>
      </c>
    </row>
    <row r="1002" spans="1:7" x14ac:dyDescent="0.25">
      <c r="A1002" s="31" t="s">
        <v>116</v>
      </c>
      <c r="B1002" s="32">
        <v>1</v>
      </c>
      <c r="C1002" s="32">
        <v>1</v>
      </c>
      <c r="D1002" s="32">
        <v>4</v>
      </c>
      <c r="E1002" s="32">
        <v>42</v>
      </c>
      <c r="F1002" s="12">
        <v>58.3</v>
      </c>
      <c r="G1002">
        <v>62.616771084337344</v>
      </c>
    </row>
    <row r="1003" spans="1:7" x14ac:dyDescent="0.25">
      <c r="A1003" s="31" t="s">
        <v>116</v>
      </c>
      <c r="B1003" s="32">
        <v>2</v>
      </c>
      <c r="C1003" s="32">
        <v>9</v>
      </c>
      <c r="D1003" s="32">
        <v>5</v>
      </c>
      <c r="E1003" s="32">
        <v>42</v>
      </c>
      <c r="F1003" s="12" t="s">
        <v>12</v>
      </c>
      <c r="G1003" t="s">
        <v>12</v>
      </c>
    </row>
    <row r="1004" spans="1:7" x14ac:dyDescent="0.25">
      <c r="A1004" s="31" t="s">
        <v>116</v>
      </c>
      <c r="B1004" s="32">
        <v>3</v>
      </c>
      <c r="C1004" s="32">
        <v>2</v>
      </c>
      <c r="D1004" s="32">
        <v>11</v>
      </c>
      <c r="E1004" s="32">
        <v>42</v>
      </c>
      <c r="F1004" s="12">
        <v>60.3</v>
      </c>
      <c r="G1004">
        <v>67.393095000000002</v>
      </c>
    </row>
    <row r="1005" spans="1:7" x14ac:dyDescent="0.25">
      <c r="A1005" s="34" t="s">
        <v>97</v>
      </c>
      <c r="B1005" s="35">
        <v>1</v>
      </c>
      <c r="C1005" s="35">
        <v>13</v>
      </c>
      <c r="D1005" s="35">
        <v>2</v>
      </c>
      <c r="E1005" s="35">
        <v>42</v>
      </c>
      <c r="F1005" s="2">
        <v>61.8</v>
      </c>
      <c r="G1005">
        <v>78.362296692185438</v>
      </c>
    </row>
    <row r="1006" spans="1:7" x14ac:dyDescent="0.25">
      <c r="A1006" s="34" t="s">
        <v>97</v>
      </c>
      <c r="B1006" s="35">
        <v>2</v>
      </c>
      <c r="C1006" s="35">
        <v>3</v>
      </c>
      <c r="D1006" s="35">
        <v>4</v>
      </c>
      <c r="E1006" s="35">
        <v>42</v>
      </c>
      <c r="F1006" s="2">
        <v>62.5</v>
      </c>
      <c r="G1006">
        <v>72.419022051773723</v>
      </c>
    </row>
    <row r="1007" spans="1:7" x14ac:dyDescent="0.25">
      <c r="A1007" s="34" t="s">
        <v>97</v>
      </c>
      <c r="B1007" s="35">
        <v>3</v>
      </c>
      <c r="C1007" s="35">
        <v>5</v>
      </c>
      <c r="D1007" s="35">
        <v>5</v>
      </c>
      <c r="E1007" s="35">
        <v>42</v>
      </c>
      <c r="F1007" s="2">
        <v>62</v>
      </c>
      <c r="G1007">
        <v>74.389936413734631</v>
      </c>
    </row>
    <row r="1008" spans="1:7" x14ac:dyDescent="0.25">
      <c r="A1008" s="31" t="s">
        <v>132</v>
      </c>
      <c r="B1008" s="32">
        <v>1</v>
      </c>
      <c r="C1008" s="32">
        <v>10</v>
      </c>
      <c r="D1008" s="32">
        <v>1</v>
      </c>
      <c r="E1008" s="32">
        <v>42</v>
      </c>
      <c r="F1008" s="2">
        <v>61.8</v>
      </c>
      <c r="G1008">
        <v>64.004805457788919</v>
      </c>
    </row>
    <row r="1009" spans="1:7" x14ac:dyDescent="0.25">
      <c r="A1009" s="31" t="s">
        <v>132</v>
      </c>
      <c r="B1009" s="32">
        <v>2</v>
      </c>
      <c r="C1009" s="32">
        <v>13</v>
      </c>
      <c r="D1009" s="32">
        <v>4</v>
      </c>
      <c r="E1009" s="32">
        <v>42</v>
      </c>
      <c r="F1009" s="2">
        <v>62.9</v>
      </c>
      <c r="G1009">
        <v>67.349510496322637</v>
      </c>
    </row>
    <row r="1010" spans="1:7" x14ac:dyDescent="0.25">
      <c r="A1010" s="31" t="s">
        <v>132</v>
      </c>
      <c r="B1010" s="32">
        <v>3</v>
      </c>
      <c r="C1010" s="32">
        <v>21</v>
      </c>
      <c r="D1010" s="32">
        <v>6</v>
      </c>
      <c r="E1010" s="32">
        <v>42</v>
      </c>
      <c r="F1010" s="12">
        <v>62.1</v>
      </c>
      <c r="G1010">
        <v>59.414300158890647</v>
      </c>
    </row>
    <row r="1011" spans="1:7" x14ac:dyDescent="0.25">
      <c r="A1011" s="31" t="s">
        <v>13</v>
      </c>
      <c r="B1011" s="32">
        <v>1</v>
      </c>
      <c r="C1011" s="36">
        <v>13</v>
      </c>
      <c r="D1011" s="36">
        <v>2</v>
      </c>
      <c r="E1011" s="32">
        <v>42</v>
      </c>
      <c r="F1011" s="12">
        <v>58.8</v>
      </c>
      <c r="G1011">
        <v>68.127289999999988</v>
      </c>
    </row>
    <row r="1012" spans="1:7" x14ac:dyDescent="0.25">
      <c r="A1012" s="31" t="s">
        <v>13</v>
      </c>
      <c r="B1012" s="32">
        <v>2</v>
      </c>
      <c r="C1012" s="36">
        <v>8</v>
      </c>
      <c r="D1012" s="36">
        <v>3</v>
      </c>
      <c r="E1012" s="32">
        <v>42</v>
      </c>
      <c r="F1012" s="12">
        <v>59.2</v>
      </c>
      <c r="G1012">
        <v>70.618019999999987</v>
      </c>
    </row>
    <row r="1013" spans="1:7" x14ac:dyDescent="0.25">
      <c r="A1013" s="31" t="s">
        <v>13</v>
      </c>
      <c r="B1013" s="32">
        <v>3</v>
      </c>
      <c r="C1013" s="36">
        <v>2</v>
      </c>
      <c r="D1013" s="36">
        <v>5</v>
      </c>
      <c r="E1013" s="32">
        <v>42</v>
      </c>
      <c r="F1013" s="12">
        <v>59.3</v>
      </c>
      <c r="G1013">
        <v>62.124479999999998</v>
      </c>
    </row>
    <row r="1014" spans="1:7" x14ac:dyDescent="0.25">
      <c r="A1014" t="s">
        <v>7</v>
      </c>
      <c r="B1014" s="11">
        <v>1</v>
      </c>
      <c r="C1014" s="11">
        <v>1</v>
      </c>
      <c r="D1014" s="11">
        <v>1</v>
      </c>
      <c r="E1014" s="11">
        <v>42</v>
      </c>
      <c r="F1014" s="12">
        <v>57.6</v>
      </c>
      <c r="G1014">
        <v>54.166433823529403</v>
      </c>
    </row>
    <row r="1015" spans="1:7" x14ac:dyDescent="0.25">
      <c r="A1015" t="s">
        <v>7</v>
      </c>
      <c r="B1015" s="11">
        <v>2</v>
      </c>
      <c r="C1015" s="11">
        <v>5</v>
      </c>
      <c r="D1015" s="11">
        <v>8</v>
      </c>
      <c r="E1015" s="11">
        <v>42</v>
      </c>
      <c r="F1015" s="12">
        <v>55.2</v>
      </c>
      <c r="G1015">
        <v>47.889027448322608</v>
      </c>
    </row>
    <row r="1016" spans="1:7" x14ac:dyDescent="0.25">
      <c r="A1016" t="s">
        <v>7</v>
      </c>
      <c r="B1016" s="11">
        <v>3</v>
      </c>
      <c r="C1016" s="11">
        <v>8</v>
      </c>
      <c r="D1016" s="11">
        <v>10</v>
      </c>
      <c r="E1016" s="11">
        <v>42</v>
      </c>
      <c r="F1016" s="12">
        <v>53.7</v>
      </c>
      <c r="G1016">
        <v>46.688684096489965</v>
      </c>
    </row>
    <row r="1017" spans="1:7" x14ac:dyDescent="0.25">
      <c r="A1017" s="31" t="s">
        <v>156</v>
      </c>
      <c r="B1017" s="32">
        <v>1</v>
      </c>
      <c r="C1017" s="32">
        <v>6</v>
      </c>
      <c r="D1017" s="32">
        <v>2</v>
      </c>
      <c r="E1017" s="32">
        <v>42</v>
      </c>
      <c r="F1017" s="2">
        <v>54.5</v>
      </c>
      <c r="G1017">
        <v>37.986957829577328</v>
      </c>
    </row>
    <row r="1018" spans="1:7" x14ac:dyDescent="0.25">
      <c r="A1018" s="31" t="s">
        <v>156</v>
      </c>
      <c r="B1018" s="32">
        <v>2</v>
      </c>
      <c r="C1018" s="32">
        <v>22</v>
      </c>
      <c r="D1018" s="32">
        <v>3</v>
      </c>
      <c r="E1018" s="32">
        <v>42</v>
      </c>
      <c r="F1018" s="2">
        <v>59.2</v>
      </c>
      <c r="G1018">
        <v>49.012398389662984</v>
      </c>
    </row>
    <row r="1019" spans="1:7" x14ac:dyDescent="0.25">
      <c r="A1019" s="31" t="s">
        <v>156</v>
      </c>
      <c r="B1019" s="32">
        <v>3</v>
      </c>
      <c r="C1019" s="32">
        <v>24</v>
      </c>
      <c r="D1019" s="32">
        <v>6</v>
      </c>
      <c r="E1019" s="32">
        <v>42</v>
      </c>
      <c r="F1019" s="2">
        <v>58.7</v>
      </c>
      <c r="G1019">
        <v>41.554056354281869</v>
      </c>
    </row>
    <row r="1020" spans="1:7" x14ac:dyDescent="0.25">
      <c r="A1020" s="31" t="s">
        <v>10</v>
      </c>
      <c r="B1020" s="32">
        <v>1</v>
      </c>
      <c r="C1020" s="32">
        <v>5</v>
      </c>
      <c r="D1020" s="32">
        <v>3</v>
      </c>
      <c r="E1020" s="32">
        <v>42</v>
      </c>
      <c r="F1020" s="2">
        <v>58</v>
      </c>
      <c r="G1020">
        <v>62.585743380855391</v>
      </c>
    </row>
    <row r="1021" spans="1:7" x14ac:dyDescent="0.25">
      <c r="A1021" s="31" t="s">
        <v>10</v>
      </c>
      <c r="B1021" s="32">
        <v>2</v>
      </c>
      <c r="C1021" s="32">
        <v>10</v>
      </c>
      <c r="D1021" s="32">
        <v>6</v>
      </c>
      <c r="E1021" s="32">
        <v>42</v>
      </c>
      <c r="F1021" s="2">
        <v>57.8</v>
      </c>
      <c r="G1021">
        <v>53.842792403970641</v>
      </c>
    </row>
    <row r="1022" spans="1:7" x14ac:dyDescent="0.25">
      <c r="A1022" s="31" t="s">
        <v>10</v>
      </c>
      <c r="B1022" s="32">
        <v>3</v>
      </c>
      <c r="C1022" s="32">
        <v>1</v>
      </c>
      <c r="D1022" s="32">
        <v>10</v>
      </c>
      <c r="E1022" s="32">
        <v>42</v>
      </c>
      <c r="F1022" s="2">
        <v>57.3</v>
      </c>
      <c r="G1022">
        <v>36.657016606778662</v>
      </c>
    </row>
    <row r="1023" spans="1:7" x14ac:dyDescent="0.25">
      <c r="A1023" s="31" t="s">
        <v>11</v>
      </c>
      <c r="B1023" s="32">
        <v>1</v>
      </c>
      <c r="C1023" s="32">
        <v>4</v>
      </c>
      <c r="D1023" s="32">
        <v>3</v>
      </c>
      <c r="E1023" s="11">
        <v>42</v>
      </c>
      <c r="F1023" s="2">
        <v>59.6</v>
      </c>
      <c r="G1023">
        <v>23.822522351150845</v>
      </c>
    </row>
    <row r="1024" spans="1:7" x14ac:dyDescent="0.25">
      <c r="A1024" s="31" t="s">
        <v>11</v>
      </c>
      <c r="B1024" s="32">
        <v>2</v>
      </c>
      <c r="C1024" s="32">
        <v>6</v>
      </c>
      <c r="D1024" s="32">
        <v>5</v>
      </c>
      <c r="E1024" s="11">
        <v>42</v>
      </c>
      <c r="F1024" s="2">
        <v>59.9</v>
      </c>
      <c r="G1024">
        <v>20.6941813131555</v>
      </c>
    </row>
    <row r="1025" spans="1:7" x14ac:dyDescent="0.25">
      <c r="A1025" s="31" t="s">
        <v>11</v>
      </c>
      <c r="B1025" s="32">
        <v>3</v>
      </c>
      <c r="C1025" s="32">
        <v>5</v>
      </c>
      <c r="D1025" s="32">
        <v>7</v>
      </c>
      <c r="E1025" s="11">
        <v>42</v>
      </c>
      <c r="F1025" s="2">
        <v>59.9</v>
      </c>
      <c r="G1025">
        <v>25.724327549322552</v>
      </c>
    </row>
    <row r="1026" spans="1:7" x14ac:dyDescent="0.25">
      <c r="A1026" t="s">
        <v>160</v>
      </c>
      <c r="B1026">
        <v>1</v>
      </c>
      <c r="C1026" s="36">
        <v>21</v>
      </c>
      <c r="D1026" s="36">
        <v>2</v>
      </c>
      <c r="E1026" s="32">
        <v>42</v>
      </c>
      <c r="F1026" s="13">
        <v>60.4</v>
      </c>
      <c r="G1026">
        <v>88.548428571428573</v>
      </c>
    </row>
    <row r="1027" spans="1:7" x14ac:dyDescent="0.25">
      <c r="A1027" t="s">
        <v>160</v>
      </c>
      <c r="B1027">
        <v>2</v>
      </c>
      <c r="C1027" s="36">
        <v>20</v>
      </c>
      <c r="D1027" s="36">
        <v>4</v>
      </c>
      <c r="E1027" s="32">
        <v>42</v>
      </c>
      <c r="F1027" s="13">
        <v>61.4</v>
      </c>
      <c r="G1027">
        <v>87.254988995940721</v>
      </c>
    </row>
    <row r="1028" spans="1:7" x14ac:dyDescent="0.25">
      <c r="A1028" t="s">
        <v>160</v>
      </c>
      <c r="B1028">
        <v>3</v>
      </c>
      <c r="C1028" s="36">
        <v>18</v>
      </c>
      <c r="D1028" s="36">
        <v>5</v>
      </c>
      <c r="E1028" s="32">
        <v>42</v>
      </c>
      <c r="F1028" s="13">
        <v>60.8</v>
      </c>
      <c r="G1028">
        <v>80.483294322468325</v>
      </c>
    </row>
    <row r="1029" spans="1:7" x14ac:dyDescent="0.25">
      <c r="A1029" s="31" t="s">
        <v>116</v>
      </c>
      <c r="B1029" s="32">
        <v>1</v>
      </c>
      <c r="C1029" s="32">
        <v>1</v>
      </c>
      <c r="D1029" s="32">
        <v>3</v>
      </c>
      <c r="E1029" s="32">
        <v>43</v>
      </c>
      <c r="F1029" s="12">
        <v>56.9</v>
      </c>
      <c r="G1029">
        <v>36.18369937046004</v>
      </c>
    </row>
    <row r="1030" spans="1:7" x14ac:dyDescent="0.25">
      <c r="A1030" s="31" t="s">
        <v>116</v>
      </c>
      <c r="B1030" s="32">
        <v>2</v>
      </c>
      <c r="C1030" s="32">
        <v>11</v>
      </c>
      <c r="D1030" s="32">
        <v>8</v>
      </c>
      <c r="E1030" s="32">
        <v>43</v>
      </c>
      <c r="F1030" s="12">
        <v>54.8</v>
      </c>
      <c r="G1030">
        <v>49.793762478485363</v>
      </c>
    </row>
    <row r="1031" spans="1:7" x14ac:dyDescent="0.25">
      <c r="A1031" s="31" t="s">
        <v>116</v>
      </c>
      <c r="B1031" s="32">
        <v>3</v>
      </c>
      <c r="C1031" s="32">
        <v>7</v>
      </c>
      <c r="D1031" s="32">
        <v>10</v>
      </c>
      <c r="E1031" s="32">
        <v>43</v>
      </c>
      <c r="F1031" s="12">
        <v>55.7</v>
      </c>
      <c r="G1031">
        <v>49.311555342136849</v>
      </c>
    </row>
    <row r="1032" spans="1:7" x14ac:dyDescent="0.25">
      <c r="A1032" s="34" t="s">
        <v>97</v>
      </c>
      <c r="B1032" s="35">
        <v>1</v>
      </c>
      <c r="C1032" s="35">
        <v>6</v>
      </c>
      <c r="D1032" s="35">
        <v>1</v>
      </c>
      <c r="E1032" s="35">
        <v>43</v>
      </c>
      <c r="F1032" s="2">
        <v>57.3</v>
      </c>
      <c r="G1032">
        <v>80.889788571428554</v>
      </c>
    </row>
    <row r="1033" spans="1:7" x14ac:dyDescent="0.25">
      <c r="A1033" s="34" t="s">
        <v>97</v>
      </c>
      <c r="B1033" s="35">
        <v>2</v>
      </c>
      <c r="C1033" s="35">
        <v>12</v>
      </c>
      <c r="D1033" s="35">
        <v>4</v>
      </c>
      <c r="E1033" s="35">
        <v>43</v>
      </c>
      <c r="F1033" s="2">
        <v>59.2</v>
      </c>
      <c r="G1033">
        <v>72.208635186960663</v>
      </c>
    </row>
    <row r="1034" spans="1:7" x14ac:dyDescent="0.25">
      <c r="A1034" s="34" t="s">
        <v>97</v>
      </c>
      <c r="B1034" s="35">
        <v>3</v>
      </c>
      <c r="C1034" s="35">
        <v>1</v>
      </c>
      <c r="D1034" s="35">
        <v>5</v>
      </c>
      <c r="E1034" s="35">
        <v>43</v>
      </c>
      <c r="F1034" s="2">
        <v>59.8</v>
      </c>
      <c r="G1034">
        <v>72.670411191182694</v>
      </c>
    </row>
    <row r="1035" spans="1:7" x14ac:dyDescent="0.25">
      <c r="A1035" s="31" t="s">
        <v>132</v>
      </c>
      <c r="B1035" s="32">
        <v>1</v>
      </c>
      <c r="C1035" s="32">
        <v>17</v>
      </c>
      <c r="D1035" s="32">
        <v>2</v>
      </c>
      <c r="E1035" s="32">
        <v>43</v>
      </c>
      <c r="F1035" s="2">
        <v>61.7</v>
      </c>
      <c r="G1035">
        <v>62.377493852755407</v>
      </c>
    </row>
    <row r="1036" spans="1:7" x14ac:dyDescent="0.25">
      <c r="A1036" s="31" t="s">
        <v>132</v>
      </c>
      <c r="B1036" s="32">
        <v>2</v>
      </c>
      <c r="C1036" s="32">
        <v>14</v>
      </c>
      <c r="D1036" s="32">
        <v>4</v>
      </c>
      <c r="E1036" s="32">
        <v>43</v>
      </c>
      <c r="F1036" s="2">
        <v>61.5</v>
      </c>
      <c r="G1036">
        <v>65.229576737616284</v>
      </c>
    </row>
    <row r="1037" spans="1:7" x14ac:dyDescent="0.25">
      <c r="A1037" s="31" t="s">
        <v>132</v>
      </c>
      <c r="B1037" s="32">
        <v>3</v>
      </c>
      <c r="C1037" s="32">
        <v>12</v>
      </c>
      <c r="D1037" s="32">
        <v>6</v>
      </c>
      <c r="E1037" s="32">
        <v>43</v>
      </c>
      <c r="F1037" s="12" t="s">
        <v>12</v>
      </c>
      <c r="G1037">
        <v>62.125038278203078</v>
      </c>
    </row>
    <row r="1038" spans="1:7" x14ac:dyDescent="0.25">
      <c r="A1038" s="31" t="s">
        <v>13</v>
      </c>
      <c r="B1038" s="32">
        <v>1</v>
      </c>
      <c r="C1038" s="36">
        <v>15</v>
      </c>
      <c r="D1038" s="36">
        <v>1</v>
      </c>
      <c r="E1038" s="32">
        <v>43</v>
      </c>
      <c r="F1038" s="12">
        <v>54.8</v>
      </c>
      <c r="G1038" t="s">
        <v>12</v>
      </c>
    </row>
    <row r="1039" spans="1:7" x14ac:dyDescent="0.25">
      <c r="A1039" s="31" t="s">
        <v>13</v>
      </c>
      <c r="B1039" s="32">
        <v>2</v>
      </c>
      <c r="C1039" s="36">
        <v>11</v>
      </c>
      <c r="D1039" s="36">
        <v>3</v>
      </c>
      <c r="E1039" s="32">
        <v>43</v>
      </c>
      <c r="F1039" s="12">
        <v>55.9</v>
      </c>
      <c r="G1039">
        <v>54.737100000000005</v>
      </c>
    </row>
    <row r="1040" spans="1:7" x14ac:dyDescent="0.25">
      <c r="A1040" s="31" t="s">
        <v>13</v>
      </c>
      <c r="B1040" s="32">
        <v>3</v>
      </c>
      <c r="C1040" s="36">
        <v>7</v>
      </c>
      <c r="D1040" s="36">
        <v>6</v>
      </c>
      <c r="E1040" s="32">
        <v>43</v>
      </c>
      <c r="F1040" s="12">
        <v>55.2</v>
      </c>
      <c r="G1040">
        <v>47.33014</v>
      </c>
    </row>
    <row r="1041" spans="1:7" x14ac:dyDescent="0.25">
      <c r="A1041" t="s">
        <v>7</v>
      </c>
      <c r="B1041" s="11">
        <v>1</v>
      </c>
      <c r="C1041" s="11">
        <v>9</v>
      </c>
      <c r="D1041" s="11">
        <v>2</v>
      </c>
      <c r="E1041" s="11">
        <v>43</v>
      </c>
      <c r="F1041" s="12">
        <v>49.1</v>
      </c>
      <c r="G1041">
        <v>27.214153430821142</v>
      </c>
    </row>
    <row r="1042" spans="1:7" x14ac:dyDescent="0.25">
      <c r="A1042" t="s">
        <v>7</v>
      </c>
      <c r="B1042" s="11">
        <v>2</v>
      </c>
      <c r="C1042" s="11">
        <v>1</v>
      </c>
      <c r="D1042" s="11">
        <v>8</v>
      </c>
      <c r="E1042" s="11">
        <v>43</v>
      </c>
      <c r="F1042" s="12">
        <v>48.6</v>
      </c>
      <c r="G1042">
        <v>26.160020332090816</v>
      </c>
    </row>
    <row r="1043" spans="1:7" x14ac:dyDescent="0.25">
      <c r="A1043" t="s">
        <v>7</v>
      </c>
      <c r="B1043" s="11">
        <v>3</v>
      </c>
      <c r="C1043" s="11">
        <v>7</v>
      </c>
      <c r="D1043" s="11">
        <v>12</v>
      </c>
      <c r="E1043" s="11">
        <v>43</v>
      </c>
      <c r="F1043" s="2" t="s">
        <v>12</v>
      </c>
      <c r="G1043">
        <v>15.933427704752273</v>
      </c>
    </row>
    <row r="1044" spans="1:7" x14ac:dyDescent="0.25">
      <c r="A1044" s="31" t="s">
        <v>156</v>
      </c>
      <c r="B1044" s="32">
        <v>1</v>
      </c>
      <c r="C1044" s="32">
        <v>19</v>
      </c>
      <c r="D1044" s="32">
        <v>1</v>
      </c>
      <c r="E1044" s="32">
        <v>43</v>
      </c>
      <c r="F1044" s="2">
        <v>58.3</v>
      </c>
      <c r="G1044">
        <v>44.314349356347336</v>
      </c>
    </row>
    <row r="1045" spans="1:7" x14ac:dyDescent="0.25">
      <c r="A1045" s="31" t="s">
        <v>156</v>
      </c>
      <c r="B1045" s="32">
        <v>2</v>
      </c>
      <c r="C1045" s="32">
        <v>12</v>
      </c>
      <c r="D1045" s="32">
        <v>4</v>
      </c>
      <c r="E1045" s="32">
        <v>43</v>
      </c>
      <c r="F1045" s="2">
        <v>56.4</v>
      </c>
      <c r="G1045">
        <v>51.658033897478411</v>
      </c>
    </row>
    <row r="1046" spans="1:7" x14ac:dyDescent="0.25">
      <c r="A1046" s="31" t="s">
        <v>156</v>
      </c>
      <c r="B1046" s="32">
        <v>3</v>
      </c>
      <c r="C1046" s="32">
        <v>9</v>
      </c>
      <c r="D1046" s="32">
        <v>5</v>
      </c>
      <c r="E1046" s="32">
        <v>43</v>
      </c>
      <c r="F1046" s="2">
        <v>56.2</v>
      </c>
      <c r="G1046">
        <v>38.902241029113064</v>
      </c>
    </row>
    <row r="1047" spans="1:7" x14ac:dyDescent="0.25">
      <c r="A1047" s="31" t="s">
        <v>10</v>
      </c>
      <c r="B1047" s="32">
        <v>1</v>
      </c>
      <c r="C1047" s="32">
        <v>5</v>
      </c>
      <c r="D1047" s="32">
        <v>1</v>
      </c>
      <c r="E1047" s="32">
        <v>43</v>
      </c>
      <c r="F1047" s="2">
        <v>58.5</v>
      </c>
      <c r="G1047">
        <v>54.405953684210516</v>
      </c>
    </row>
    <row r="1048" spans="1:7" x14ac:dyDescent="0.25">
      <c r="A1048" s="31" t="s">
        <v>10</v>
      </c>
      <c r="B1048" s="32">
        <v>2</v>
      </c>
      <c r="C1048" s="32">
        <v>6</v>
      </c>
      <c r="D1048" s="32">
        <v>6</v>
      </c>
      <c r="E1048" s="32">
        <v>43</v>
      </c>
      <c r="F1048" s="2">
        <v>58.5</v>
      </c>
      <c r="G1048">
        <v>59.545402244281391</v>
      </c>
    </row>
    <row r="1049" spans="1:7" x14ac:dyDescent="0.25">
      <c r="A1049" s="31" t="s">
        <v>10</v>
      </c>
      <c r="B1049" s="32">
        <v>3</v>
      </c>
      <c r="C1049" s="32">
        <v>8</v>
      </c>
      <c r="D1049" s="32">
        <v>12</v>
      </c>
      <c r="E1049" s="32">
        <v>43</v>
      </c>
      <c r="F1049" s="2">
        <v>57.6</v>
      </c>
      <c r="G1049">
        <v>57.185185054945052</v>
      </c>
    </row>
    <row r="1050" spans="1:7" x14ac:dyDescent="0.25">
      <c r="A1050" s="31" t="s">
        <v>11</v>
      </c>
      <c r="B1050" s="32">
        <v>1</v>
      </c>
      <c r="C1050" s="32">
        <v>11</v>
      </c>
      <c r="D1050" s="32">
        <v>3</v>
      </c>
      <c r="E1050" s="11">
        <v>43</v>
      </c>
      <c r="F1050" s="2">
        <v>59.4</v>
      </c>
      <c r="G1050">
        <v>19.12463619935324</v>
      </c>
    </row>
    <row r="1051" spans="1:7" x14ac:dyDescent="0.25">
      <c r="A1051" s="31" t="s">
        <v>11</v>
      </c>
      <c r="B1051" s="32">
        <v>2</v>
      </c>
      <c r="C1051" s="32">
        <v>6</v>
      </c>
      <c r="D1051" s="32">
        <v>6</v>
      </c>
      <c r="E1051" s="11">
        <v>43</v>
      </c>
      <c r="F1051" s="2">
        <v>58.8</v>
      </c>
      <c r="G1051">
        <v>19.097192487349162</v>
      </c>
    </row>
    <row r="1052" spans="1:7" x14ac:dyDescent="0.25">
      <c r="A1052" s="31" t="s">
        <v>11</v>
      </c>
      <c r="B1052" s="32">
        <v>3</v>
      </c>
      <c r="C1052" s="32">
        <v>9</v>
      </c>
      <c r="D1052" s="32">
        <v>9</v>
      </c>
      <c r="E1052" s="11">
        <v>43</v>
      </c>
      <c r="F1052" s="2">
        <v>57.5</v>
      </c>
      <c r="G1052">
        <v>19.906036270656745</v>
      </c>
    </row>
    <row r="1053" spans="1:7" x14ac:dyDescent="0.25">
      <c r="A1053" t="s">
        <v>160</v>
      </c>
      <c r="B1053">
        <v>1</v>
      </c>
      <c r="C1053" s="36">
        <v>11</v>
      </c>
      <c r="D1053" s="36">
        <v>2</v>
      </c>
      <c r="E1053" s="32">
        <v>43</v>
      </c>
      <c r="F1053" s="13">
        <v>58</v>
      </c>
      <c r="G1053">
        <v>78.241737530266349</v>
      </c>
    </row>
    <row r="1054" spans="1:7" x14ac:dyDescent="0.25">
      <c r="A1054" t="s">
        <v>160</v>
      </c>
      <c r="B1054">
        <v>2</v>
      </c>
      <c r="C1054" s="36">
        <v>1</v>
      </c>
      <c r="D1054" s="36">
        <v>3</v>
      </c>
      <c r="E1054" s="32">
        <v>43</v>
      </c>
      <c r="F1054" s="13">
        <v>57.9</v>
      </c>
      <c r="G1054">
        <v>69.028722350610749</v>
      </c>
    </row>
    <row r="1055" spans="1:7" x14ac:dyDescent="0.25">
      <c r="A1055" t="s">
        <v>160</v>
      </c>
      <c r="B1055">
        <v>3</v>
      </c>
      <c r="C1055" s="36">
        <v>22</v>
      </c>
      <c r="D1055" s="36">
        <v>5</v>
      </c>
      <c r="E1055" s="32">
        <v>43</v>
      </c>
      <c r="F1055" s="13">
        <v>58.2</v>
      </c>
      <c r="G1055">
        <v>68.999715639810404</v>
      </c>
    </row>
    <row r="1056" spans="1:7" x14ac:dyDescent="0.25">
      <c r="A1056" s="31" t="s">
        <v>116</v>
      </c>
      <c r="B1056" s="32">
        <v>1</v>
      </c>
      <c r="C1056" s="32">
        <v>5</v>
      </c>
      <c r="D1056" s="32">
        <v>2</v>
      </c>
      <c r="E1056" s="32">
        <v>44</v>
      </c>
      <c r="F1056" s="12">
        <v>55.5</v>
      </c>
      <c r="G1056">
        <v>41.854767428571421</v>
      </c>
    </row>
    <row r="1057" spans="1:7" x14ac:dyDescent="0.25">
      <c r="A1057" s="31" t="s">
        <v>116</v>
      </c>
      <c r="B1057" s="32">
        <v>2</v>
      </c>
      <c r="C1057" s="32">
        <v>8</v>
      </c>
      <c r="D1057" s="32">
        <v>6</v>
      </c>
      <c r="E1057" s="32">
        <v>44</v>
      </c>
      <c r="F1057" s="12">
        <v>55.8</v>
      </c>
      <c r="G1057">
        <v>45.479978980532309</v>
      </c>
    </row>
    <row r="1058" spans="1:7" x14ac:dyDescent="0.25">
      <c r="A1058" s="31" t="s">
        <v>116</v>
      </c>
      <c r="B1058" s="32">
        <v>3</v>
      </c>
      <c r="C1058" s="32">
        <v>4</v>
      </c>
      <c r="D1058" s="32">
        <v>10</v>
      </c>
      <c r="E1058" s="32">
        <v>44</v>
      </c>
      <c r="F1058" s="12">
        <v>57.3</v>
      </c>
      <c r="G1058">
        <v>51.976896806722685</v>
      </c>
    </row>
    <row r="1059" spans="1:7" x14ac:dyDescent="0.25">
      <c r="A1059" s="34" t="s">
        <v>97</v>
      </c>
      <c r="B1059" s="35">
        <v>1</v>
      </c>
      <c r="C1059" s="35">
        <v>9</v>
      </c>
      <c r="D1059" s="35">
        <v>1</v>
      </c>
      <c r="E1059" s="35">
        <v>44</v>
      </c>
      <c r="F1059" s="2">
        <v>59.2</v>
      </c>
      <c r="G1059">
        <v>73.805160000000001</v>
      </c>
    </row>
    <row r="1060" spans="1:7" x14ac:dyDescent="0.25">
      <c r="A1060" s="34" t="s">
        <v>97</v>
      </c>
      <c r="B1060" s="35">
        <v>2</v>
      </c>
      <c r="C1060" s="35">
        <v>12</v>
      </c>
      <c r="D1060" s="35">
        <v>3</v>
      </c>
      <c r="E1060" s="35">
        <v>44</v>
      </c>
      <c r="F1060" s="2">
        <v>58.8</v>
      </c>
      <c r="G1060">
        <v>68.378252788104092</v>
      </c>
    </row>
    <row r="1061" spans="1:7" x14ac:dyDescent="0.25">
      <c r="A1061" s="34" t="s">
        <v>97</v>
      </c>
      <c r="B1061" s="35">
        <v>3</v>
      </c>
      <c r="C1061" s="35">
        <v>13</v>
      </c>
      <c r="D1061" s="35">
        <v>6</v>
      </c>
      <c r="E1061" s="35">
        <v>44</v>
      </c>
      <c r="F1061" s="2">
        <v>58.4</v>
      </c>
      <c r="G1061">
        <v>72.277836162502382</v>
      </c>
    </row>
    <row r="1062" spans="1:7" x14ac:dyDescent="0.25">
      <c r="A1062" s="31" t="s">
        <v>132</v>
      </c>
      <c r="B1062" s="32">
        <v>1</v>
      </c>
      <c r="C1062" s="32">
        <v>3</v>
      </c>
      <c r="D1062" s="32">
        <v>1</v>
      </c>
      <c r="E1062" s="32">
        <v>44</v>
      </c>
      <c r="F1062" s="2">
        <v>58.2</v>
      </c>
      <c r="G1062">
        <v>63.527251337929712</v>
      </c>
    </row>
    <row r="1063" spans="1:7" x14ac:dyDescent="0.25">
      <c r="A1063" s="31" t="s">
        <v>132</v>
      </c>
      <c r="B1063" s="32">
        <v>2</v>
      </c>
      <c r="C1063" s="32">
        <v>13</v>
      </c>
      <c r="D1063" s="32">
        <v>3</v>
      </c>
      <c r="E1063" s="32">
        <v>44</v>
      </c>
      <c r="F1063" s="2">
        <v>60.9</v>
      </c>
      <c r="G1063">
        <v>70.986445783132538</v>
      </c>
    </row>
    <row r="1064" spans="1:7" x14ac:dyDescent="0.25">
      <c r="A1064" s="31" t="s">
        <v>132</v>
      </c>
      <c r="B1064" s="32">
        <v>3</v>
      </c>
      <c r="C1064" s="32">
        <v>11</v>
      </c>
      <c r="D1064" s="32">
        <v>6</v>
      </c>
      <c r="E1064" s="32">
        <v>44</v>
      </c>
      <c r="F1064" s="12">
        <v>60.6</v>
      </c>
      <c r="G1064">
        <v>56.145283836487067</v>
      </c>
    </row>
    <row r="1065" spans="1:7" x14ac:dyDescent="0.25">
      <c r="A1065" s="31" t="s">
        <v>13</v>
      </c>
      <c r="B1065" s="32">
        <v>1</v>
      </c>
      <c r="C1065" s="36">
        <v>15</v>
      </c>
      <c r="D1065" s="36">
        <v>2</v>
      </c>
      <c r="E1065" s="32">
        <v>44</v>
      </c>
      <c r="F1065" s="12">
        <v>56.5</v>
      </c>
      <c r="G1065">
        <v>61.27319</v>
      </c>
    </row>
    <row r="1066" spans="1:7" x14ac:dyDescent="0.25">
      <c r="A1066" s="31" t="s">
        <v>13</v>
      </c>
      <c r="B1066" s="32">
        <v>2</v>
      </c>
      <c r="C1066" s="36">
        <v>19</v>
      </c>
      <c r="D1066" s="36">
        <v>4</v>
      </c>
      <c r="E1066" s="32">
        <v>44</v>
      </c>
      <c r="F1066" s="12">
        <v>56.4</v>
      </c>
      <c r="G1066">
        <v>50.423724999999997</v>
      </c>
    </row>
    <row r="1067" spans="1:7" x14ac:dyDescent="0.25">
      <c r="A1067" s="31" t="s">
        <v>13</v>
      </c>
      <c r="B1067" s="32">
        <v>3</v>
      </c>
      <c r="C1067" s="36">
        <v>1</v>
      </c>
      <c r="D1067" s="36">
        <v>5</v>
      </c>
      <c r="E1067" s="32">
        <v>44</v>
      </c>
      <c r="F1067" s="12">
        <v>57.3</v>
      </c>
      <c r="G1067">
        <v>55.182160000000003</v>
      </c>
    </row>
    <row r="1068" spans="1:7" x14ac:dyDescent="0.25">
      <c r="A1068" t="s">
        <v>7</v>
      </c>
      <c r="B1068" s="11">
        <v>1</v>
      </c>
      <c r="C1068" s="11">
        <v>5</v>
      </c>
      <c r="D1068" s="11">
        <v>2</v>
      </c>
      <c r="E1068" s="11">
        <v>44</v>
      </c>
      <c r="F1068" s="12">
        <v>51</v>
      </c>
      <c r="G1068">
        <v>32.962790551181101</v>
      </c>
    </row>
    <row r="1069" spans="1:7" x14ac:dyDescent="0.25">
      <c r="A1069" t="s">
        <v>7</v>
      </c>
      <c r="B1069" s="11">
        <v>2</v>
      </c>
      <c r="C1069" s="11">
        <v>2</v>
      </c>
      <c r="D1069" s="11">
        <v>5</v>
      </c>
      <c r="E1069" s="11">
        <v>44</v>
      </c>
      <c r="F1069" s="12">
        <v>50.3</v>
      </c>
      <c r="G1069">
        <v>34.579214116966391</v>
      </c>
    </row>
    <row r="1070" spans="1:7" x14ac:dyDescent="0.25">
      <c r="A1070" t="s">
        <v>7</v>
      </c>
      <c r="B1070" s="11">
        <v>3</v>
      </c>
      <c r="C1070" s="11">
        <v>13</v>
      </c>
      <c r="D1070" s="11">
        <v>12</v>
      </c>
      <c r="E1070" s="11">
        <v>44</v>
      </c>
      <c r="F1070" s="2">
        <v>50</v>
      </c>
      <c r="G1070">
        <v>29.639939332659246</v>
      </c>
    </row>
    <row r="1071" spans="1:7" x14ac:dyDescent="0.25">
      <c r="A1071" s="31" t="s">
        <v>156</v>
      </c>
      <c r="B1071" s="32">
        <v>1</v>
      </c>
      <c r="C1071" s="32">
        <v>16</v>
      </c>
      <c r="D1071" s="32">
        <v>1</v>
      </c>
      <c r="E1071" s="32">
        <v>44</v>
      </c>
      <c r="F1071" s="2">
        <v>58.3</v>
      </c>
      <c r="G1071">
        <v>50.964461115664626</v>
      </c>
    </row>
    <row r="1072" spans="1:7" x14ac:dyDescent="0.25">
      <c r="A1072" s="31" t="s">
        <v>156</v>
      </c>
      <c r="B1072" s="32">
        <v>2</v>
      </c>
      <c r="C1072" s="32">
        <v>7</v>
      </c>
      <c r="D1072" s="32">
        <v>3</v>
      </c>
      <c r="E1072" s="32">
        <v>44</v>
      </c>
      <c r="F1072" s="2">
        <v>56.8</v>
      </c>
      <c r="G1072">
        <v>38.788850103659414</v>
      </c>
    </row>
    <row r="1073" spans="1:7" x14ac:dyDescent="0.25">
      <c r="A1073" s="31" t="s">
        <v>156</v>
      </c>
      <c r="B1073" s="32">
        <v>3</v>
      </c>
      <c r="C1073" s="32">
        <v>25</v>
      </c>
      <c r="D1073" s="32">
        <v>5</v>
      </c>
      <c r="E1073" s="32">
        <v>44</v>
      </c>
      <c r="F1073" s="2">
        <v>58.4</v>
      </c>
      <c r="G1073">
        <v>42.587364977270525</v>
      </c>
    </row>
    <row r="1074" spans="1:7" x14ac:dyDescent="0.25">
      <c r="A1074" s="31" t="s">
        <v>10</v>
      </c>
      <c r="B1074" s="32">
        <v>1</v>
      </c>
      <c r="C1074" s="32">
        <v>1</v>
      </c>
      <c r="D1074" s="32">
        <v>4</v>
      </c>
      <c r="E1074" s="32">
        <v>44</v>
      </c>
      <c r="F1074" s="2">
        <v>57.4</v>
      </c>
      <c r="G1074">
        <v>45.716101382488482</v>
      </c>
    </row>
    <row r="1075" spans="1:7" x14ac:dyDescent="0.25">
      <c r="A1075" s="31" t="s">
        <v>10</v>
      </c>
      <c r="B1075" s="32">
        <v>2</v>
      </c>
      <c r="C1075" s="32">
        <v>5</v>
      </c>
      <c r="D1075" s="32">
        <v>7</v>
      </c>
      <c r="E1075" s="32">
        <v>44</v>
      </c>
      <c r="F1075" s="2">
        <v>59.7</v>
      </c>
      <c r="G1075">
        <v>55.00238772770853</v>
      </c>
    </row>
    <row r="1076" spans="1:7" x14ac:dyDescent="0.25">
      <c r="A1076" s="31" t="s">
        <v>10</v>
      </c>
      <c r="B1076" s="32">
        <v>3</v>
      </c>
      <c r="C1076" s="32">
        <v>11</v>
      </c>
      <c r="D1076" s="32">
        <v>9</v>
      </c>
      <c r="E1076" s="32">
        <v>44</v>
      </c>
      <c r="F1076" s="2">
        <v>58.3</v>
      </c>
      <c r="G1076">
        <v>61.590944309927359</v>
      </c>
    </row>
    <row r="1077" spans="1:7" x14ac:dyDescent="0.25">
      <c r="A1077" s="31" t="s">
        <v>11</v>
      </c>
      <c r="B1077" s="32">
        <v>1</v>
      </c>
      <c r="C1077" s="32">
        <v>14</v>
      </c>
      <c r="D1077" s="32">
        <v>2</v>
      </c>
      <c r="E1077" s="11">
        <v>44</v>
      </c>
      <c r="F1077" s="2">
        <v>59</v>
      </c>
      <c r="G1077">
        <v>27.556662035428964</v>
      </c>
    </row>
    <row r="1078" spans="1:7" x14ac:dyDescent="0.25">
      <c r="A1078" s="31" t="s">
        <v>11</v>
      </c>
      <c r="B1078" s="32">
        <v>2</v>
      </c>
      <c r="C1078" s="32">
        <v>7</v>
      </c>
      <c r="D1078" s="32">
        <v>6</v>
      </c>
      <c r="E1078" s="11">
        <v>44</v>
      </c>
      <c r="F1078" s="2">
        <v>59.1</v>
      </c>
      <c r="G1078">
        <v>31.10542234332425</v>
      </c>
    </row>
    <row r="1079" spans="1:7" x14ac:dyDescent="0.25">
      <c r="A1079" s="31" t="s">
        <v>11</v>
      </c>
      <c r="B1079" s="32">
        <v>3</v>
      </c>
      <c r="C1079" s="32">
        <v>5</v>
      </c>
      <c r="D1079" s="32">
        <v>9</v>
      </c>
      <c r="E1079" s="11">
        <v>44</v>
      </c>
      <c r="F1079" s="2">
        <v>60.1</v>
      </c>
      <c r="G1079">
        <v>38.345003077797237</v>
      </c>
    </row>
    <row r="1080" spans="1:7" x14ac:dyDescent="0.25">
      <c r="A1080" t="s">
        <v>160</v>
      </c>
      <c r="B1080">
        <v>1</v>
      </c>
      <c r="C1080" s="36">
        <v>23</v>
      </c>
      <c r="D1080" s="36">
        <v>1</v>
      </c>
      <c r="E1080" s="32">
        <v>44</v>
      </c>
      <c r="F1080" s="13">
        <v>58.8</v>
      </c>
      <c r="G1080">
        <v>82.513253012048182</v>
      </c>
    </row>
    <row r="1081" spans="1:7" x14ac:dyDescent="0.25">
      <c r="A1081" t="s">
        <v>160</v>
      </c>
      <c r="B1081">
        <v>2</v>
      </c>
      <c r="C1081" s="36">
        <v>25</v>
      </c>
      <c r="D1081" s="36">
        <v>3</v>
      </c>
      <c r="E1081" s="32">
        <v>44</v>
      </c>
      <c r="F1081" s="13">
        <v>60.4</v>
      </c>
      <c r="G1081">
        <v>72.892164316370327</v>
      </c>
    </row>
    <row r="1082" spans="1:7" x14ac:dyDescent="0.25">
      <c r="A1082" t="s">
        <v>160</v>
      </c>
      <c r="B1082">
        <v>3</v>
      </c>
      <c r="C1082" s="36">
        <v>8</v>
      </c>
      <c r="D1082" s="36">
        <v>6</v>
      </c>
      <c r="E1082" s="32">
        <v>44</v>
      </c>
      <c r="F1082" s="13">
        <v>60.1</v>
      </c>
      <c r="G1082">
        <v>78.792729318268854</v>
      </c>
    </row>
    <row r="1083" spans="1:7" x14ac:dyDescent="0.25">
      <c r="A1083" s="31" t="s">
        <v>116</v>
      </c>
      <c r="B1083" s="32">
        <v>1</v>
      </c>
      <c r="C1083" s="32">
        <v>1</v>
      </c>
      <c r="D1083" s="32">
        <v>2</v>
      </c>
      <c r="E1083" s="32">
        <v>45</v>
      </c>
      <c r="F1083" s="12">
        <v>57.8</v>
      </c>
      <c r="G1083">
        <v>60.46163828571428</v>
      </c>
    </row>
    <row r="1084" spans="1:7" x14ac:dyDescent="0.25">
      <c r="A1084" s="31" t="s">
        <v>116</v>
      </c>
      <c r="B1084" s="32">
        <v>2</v>
      </c>
      <c r="C1084" s="32">
        <v>10</v>
      </c>
      <c r="D1084" s="32">
        <v>8</v>
      </c>
      <c r="E1084" s="32">
        <v>45</v>
      </c>
      <c r="F1084" s="12">
        <v>57.1</v>
      </c>
      <c r="G1084">
        <v>68.511540447504302</v>
      </c>
    </row>
    <row r="1085" spans="1:7" x14ac:dyDescent="0.25">
      <c r="A1085" s="31" t="s">
        <v>116</v>
      </c>
      <c r="B1085" s="32">
        <v>3</v>
      </c>
      <c r="C1085" s="32">
        <v>8</v>
      </c>
      <c r="D1085" s="32">
        <v>9</v>
      </c>
      <c r="E1085" s="32">
        <v>45</v>
      </c>
      <c r="F1085" s="12">
        <v>58.1</v>
      </c>
      <c r="G1085">
        <v>66.224618292271344</v>
      </c>
    </row>
    <row r="1086" spans="1:7" x14ac:dyDescent="0.25">
      <c r="A1086" s="34" t="s">
        <v>97</v>
      </c>
      <c r="B1086" s="35">
        <v>1</v>
      </c>
      <c r="C1086" s="35">
        <v>16</v>
      </c>
      <c r="D1086" s="35">
        <v>2</v>
      </c>
      <c r="E1086" s="35">
        <v>45</v>
      </c>
      <c r="F1086" s="2">
        <v>60</v>
      </c>
      <c r="G1086">
        <v>71.733982377581967</v>
      </c>
    </row>
    <row r="1087" spans="1:7" x14ac:dyDescent="0.25">
      <c r="A1087" s="34" t="s">
        <v>97</v>
      </c>
      <c r="B1087" s="35">
        <v>2</v>
      </c>
      <c r="C1087" s="35">
        <v>3</v>
      </c>
      <c r="D1087" s="35">
        <v>3</v>
      </c>
      <c r="E1087" s="35">
        <v>45</v>
      </c>
      <c r="F1087" s="2">
        <v>60.4</v>
      </c>
      <c r="G1087">
        <v>66.372586298459893</v>
      </c>
    </row>
    <row r="1088" spans="1:7" x14ac:dyDescent="0.25">
      <c r="A1088" s="34" t="s">
        <v>97</v>
      </c>
      <c r="B1088" s="35">
        <v>3</v>
      </c>
      <c r="C1088" s="35">
        <v>18</v>
      </c>
      <c r="D1088" s="35">
        <v>5</v>
      </c>
      <c r="E1088" s="35">
        <v>45</v>
      </c>
      <c r="F1088" s="2">
        <v>59.5</v>
      </c>
      <c r="G1088">
        <v>72.220059347181007</v>
      </c>
    </row>
    <row r="1089" spans="1:7" x14ac:dyDescent="0.25">
      <c r="A1089" s="31" t="s">
        <v>132</v>
      </c>
      <c r="B1089" s="32">
        <v>1</v>
      </c>
      <c r="C1089" s="32">
        <v>2</v>
      </c>
      <c r="D1089" s="32">
        <v>1</v>
      </c>
      <c r="E1089" s="32">
        <v>45</v>
      </c>
      <c r="F1089" s="2">
        <v>59.4</v>
      </c>
      <c r="G1089">
        <v>71.440759847644742</v>
      </c>
    </row>
    <row r="1090" spans="1:7" x14ac:dyDescent="0.25">
      <c r="A1090" s="31" t="s">
        <v>132</v>
      </c>
      <c r="B1090" s="32">
        <v>2</v>
      </c>
      <c r="C1090" s="32">
        <v>21</v>
      </c>
      <c r="D1090" s="32">
        <v>3</v>
      </c>
      <c r="E1090" s="32">
        <v>45</v>
      </c>
      <c r="F1090" s="2">
        <v>60.9</v>
      </c>
      <c r="G1090">
        <v>74.72838640275387</v>
      </c>
    </row>
    <row r="1091" spans="1:7" x14ac:dyDescent="0.25">
      <c r="A1091" s="31" t="s">
        <v>132</v>
      </c>
      <c r="B1091" s="32">
        <v>3</v>
      </c>
      <c r="C1091" s="32">
        <v>5</v>
      </c>
      <c r="D1091" s="32">
        <v>6</v>
      </c>
      <c r="E1091" s="32">
        <v>45</v>
      </c>
      <c r="F1091" s="12">
        <v>59.7</v>
      </c>
      <c r="G1091">
        <v>62.506995522172467</v>
      </c>
    </row>
    <row r="1092" spans="1:7" x14ac:dyDescent="0.25">
      <c r="A1092" s="31" t="s">
        <v>13</v>
      </c>
      <c r="B1092" s="32">
        <v>1</v>
      </c>
      <c r="C1092" s="36">
        <v>20</v>
      </c>
      <c r="D1092" s="36">
        <v>2</v>
      </c>
      <c r="E1092" s="32">
        <v>45</v>
      </c>
      <c r="F1092" s="12">
        <v>59.5</v>
      </c>
      <c r="G1092">
        <v>65.405339999999995</v>
      </c>
    </row>
    <row r="1093" spans="1:7" x14ac:dyDescent="0.25">
      <c r="A1093" s="31" t="s">
        <v>13</v>
      </c>
      <c r="B1093" s="32">
        <v>2</v>
      </c>
      <c r="C1093" s="36">
        <v>9</v>
      </c>
      <c r="D1093" s="36">
        <v>4</v>
      </c>
      <c r="E1093" s="32">
        <v>45</v>
      </c>
      <c r="F1093" s="12">
        <v>58.6</v>
      </c>
      <c r="G1093">
        <v>69.913799999999995</v>
      </c>
    </row>
    <row r="1094" spans="1:7" x14ac:dyDescent="0.25">
      <c r="A1094" s="31" t="s">
        <v>13</v>
      </c>
      <c r="B1094" s="32">
        <v>3</v>
      </c>
      <c r="C1094" s="36">
        <v>15</v>
      </c>
      <c r="D1094" s="36">
        <v>6</v>
      </c>
      <c r="E1094" s="32">
        <v>45</v>
      </c>
      <c r="F1094" s="12">
        <v>58.5</v>
      </c>
      <c r="G1094">
        <v>68.811049999999994</v>
      </c>
    </row>
    <row r="1095" spans="1:7" x14ac:dyDescent="0.25">
      <c r="A1095" t="s">
        <v>7</v>
      </c>
      <c r="B1095" s="11">
        <v>1</v>
      </c>
      <c r="C1095" s="11">
        <v>7</v>
      </c>
      <c r="D1095" s="11">
        <v>3</v>
      </c>
      <c r="E1095" s="11">
        <v>45</v>
      </c>
      <c r="F1095" s="12">
        <v>58.1</v>
      </c>
      <c r="G1095">
        <v>53.667894836660189</v>
      </c>
    </row>
    <row r="1096" spans="1:7" x14ac:dyDescent="0.25">
      <c r="A1096" t="s">
        <v>7</v>
      </c>
      <c r="B1096" s="11">
        <v>2</v>
      </c>
      <c r="C1096" s="11">
        <v>13</v>
      </c>
      <c r="D1096" s="11">
        <v>5</v>
      </c>
      <c r="E1096" s="11">
        <v>45</v>
      </c>
      <c r="F1096" s="12">
        <v>58.1</v>
      </c>
      <c r="G1096">
        <v>49.072420809025601</v>
      </c>
    </row>
    <row r="1097" spans="1:7" x14ac:dyDescent="0.25">
      <c r="A1097" t="s">
        <v>7</v>
      </c>
      <c r="B1097" s="11">
        <v>3</v>
      </c>
      <c r="C1097" s="11">
        <v>4</v>
      </c>
      <c r="D1097" s="11">
        <v>9</v>
      </c>
      <c r="E1097" s="11">
        <v>45</v>
      </c>
      <c r="F1097" s="12">
        <v>54.9</v>
      </c>
      <c r="G1097">
        <v>58.002828008157699</v>
      </c>
    </row>
    <row r="1098" spans="1:7" x14ac:dyDescent="0.25">
      <c r="A1098" s="31" t="s">
        <v>156</v>
      </c>
      <c r="B1098" s="32">
        <v>1</v>
      </c>
      <c r="C1098" s="32">
        <v>24</v>
      </c>
      <c r="D1098" s="32">
        <v>1</v>
      </c>
      <c r="E1098" s="32">
        <v>45</v>
      </c>
      <c r="F1098" s="2">
        <v>56.3</v>
      </c>
      <c r="G1098">
        <v>47.093423171496063</v>
      </c>
    </row>
    <row r="1099" spans="1:7" x14ac:dyDescent="0.25">
      <c r="A1099" s="31" t="s">
        <v>156</v>
      </c>
      <c r="B1099" s="32">
        <v>2</v>
      </c>
      <c r="C1099" s="32">
        <v>25</v>
      </c>
      <c r="D1099" s="32">
        <v>4</v>
      </c>
      <c r="E1099" s="32">
        <v>45</v>
      </c>
      <c r="F1099" s="2">
        <v>56</v>
      </c>
      <c r="G1099">
        <v>51.974637857874463</v>
      </c>
    </row>
    <row r="1100" spans="1:7" x14ac:dyDescent="0.25">
      <c r="A1100" s="31" t="s">
        <v>156</v>
      </c>
      <c r="B1100" s="32">
        <v>3</v>
      </c>
      <c r="C1100" s="32">
        <v>19</v>
      </c>
      <c r="D1100" s="32">
        <v>6</v>
      </c>
      <c r="E1100" s="32">
        <v>45</v>
      </c>
      <c r="F1100" s="2">
        <v>54.1</v>
      </c>
      <c r="G1100">
        <v>44.351495407991536</v>
      </c>
    </row>
    <row r="1101" spans="1:7" x14ac:dyDescent="0.25">
      <c r="A1101" s="31" t="s">
        <v>10</v>
      </c>
      <c r="B1101" s="32">
        <v>1</v>
      </c>
      <c r="C1101" s="32">
        <v>2</v>
      </c>
      <c r="D1101" s="32">
        <v>4</v>
      </c>
      <c r="E1101" s="32">
        <v>45</v>
      </c>
      <c r="F1101" s="2">
        <v>55.3</v>
      </c>
      <c r="G1101">
        <v>47.238668207424524</v>
      </c>
    </row>
    <row r="1102" spans="1:7" x14ac:dyDescent="0.25">
      <c r="A1102" s="31" t="s">
        <v>10</v>
      </c>
      <c r="B1102" s="32">
        <v>2</v>
      </c>
      <c r="C1102" s="32">
        <v>3</v>
      </c>
      <c r="D1102" s="32">
        <v>5</v>
      </c>
      <c r="E1102" s="32">
        <v>45</v>
      </c>
      <c r="F1102" s="2">
        <v>59.4</v>
      </c>
      <c r="G1102">
        <v>60.445111520737321</v>
      </c>
    </row>
    <row r="1103" spans="1:7" x14ac:dyDescent="0.25">
      <c r="A1103" s="31" t="s">
        <v>10</v>
      </c>
      <c r="B1103" s="32">
        <v>3</v>
      </c>
      <c r="C1103" s="32">
        <v>4</v>
      </c>
      <c r="D1103" s="32">
        <v>10</v>
      </c>
      <c r="E1103" s="32">
        <v>45</v>
      </c>
      <c r="F1103" s="2">
        <v>56.5</v>
      </c>
      <c r="G1103">
        <v>60.545619500825474</v>
      </c>
    </row>
    <row r="1104" spans="1:7" x14ac:dyDescent="0.25">
      <c r="A1104" s="31" t="s">
        <v>11</v>
      </c>
      <c r="B1104" s="32">
        <v>1</v>
      </c>
      <c r="C1104" s="32">
        <v>11</v>
      </c>
      <c r="D1104" s="32">
        <v>2</v>
      </c>
      <c r="E1104" s="11">
        <v>45</v>
      </c>
      <c r="F1104" s="2">
        <v>57.4</v>
      </c>
      <c r="G1104">
        <v>22.386192626407976</v>
      </c>
    </row>
    <row r="1105" spans="1:7" x14ac:dyDescent="0.25">
      <c r="A1105" s="31" t="s">
        <v>11</v>
      </c>
      <c r="B1105" s="32">
        <v>2</v>
      </c>
      <c r="C1105" s="32">
        <v>4</v>
      </c>
      <c r="D1105" s="32">
        <v>6</v>
      </c>
      <c r="E1105" s="11">
        <v>45</v>
      </c>
      <c r="F1105" s="2" t="s">
        <v>12</v>
      </c>
      <c r="G1105" t="s">
        <v>12</v>
      </c>
    </row>
    <row r="1106" spans="1:7" x14ac:dyDescent="0.25">
      <c r="A1106" s="31" t="s">
        <v>11</v>
      </c>
      <c r="B1106" s="32">
        <v>3</v>
      </c>
      <c r="C1106" s="32">
        <v>7</v>
      </c>
      <c r="D1106" s="32">
        <v>9</v>
      </c>
      <c r="E1106" s="11">
        <v>45</v>
      </c>
      <c r="F1106" s="2">
        <v>60.2</v>
      </c>
      <c r="G1106">
        <v>32.4470988209669</v>
      </c>
    </row>
    <row r="1107" spans="1:7" x14ac:dyDescent="0.25">
      <c r="A1107" t="s">
        <v>160</v>
      </c>
      <c r="B1107">
        <v>1</v>
      </c>
      <c r="C1107" s="36">
        <v>13</v>
      </c>
      <c r="D1107" s="36">
        <v>1</v>
      </c>
      <c r="E1107" s="32">
        <v>45</v>
      </c>
      <c r="F1107" s="13">
        <v>57.3</v>
      </c>
      <c r="G1107">
        <v>79.592667814113582</v>
      </c>
    </row>
    <row r="1108" spans="1:7" x14ac:dyDescent="0.25">
      <c r="A1108" t="s">
        <v>160</v>
      </c>
      <c r="B1108">
        <v>2</v>
      </c>
      <c r="C1108" s="36">
        <v>15</v>
      </c>
      <c r="D1108" s="36">
        <v>4</v>
      </c>
      <c r="E1108" s="32">
        <v>45</v>
      </c>
      <c r="F1108" s="13">
        <v>56.2</v>
      </c>
      <c r="G1108">
        <v>86.307354624150236</v>
      </c>
    </row>
    <row r="1109" spans="1:7" x14ac:dyDescent="0.25">
      <c r="A1109" t="s">
        <v>160</v>
      </c>
      <c r="B1109">
        <v>3</v>
      </c>
      <c r="C1109" s="36">
        <v>17</v>
      </c>
      <c r="D1109" s="36">
        <v>6</v>
      </c>
      <c r="E1109" s="32">
        <v>45</v>
      </c>
      <c r="F1109" s="13">
        <v>60.6</v>
      </c>
      <c r="G1109">
        <v>86.266973381846014</v>
      </c>
    </row>
    <row r="1110" spans="1:7" x14ac:dyDescent="0.25">
      <c r="A1110" s="31" t="s">
        <v>116</v>
      </c>
      <c r="B1110" s="32">
        <v>1</v>
      </c>
      <c r="C1110" s="32">
        <v>4</v>
      </c>
      <c r="D1110" s="32">
        <v>3</v>
      </c>
      <c r="E1110" s="32">
        <v>46</v>
      </c>
      <c r="F1110" s="12">
        <v>58</v>
      </c>
      <c r="G1110">
        <v>65.078639999999993</v>
      </c>
    </row>
    <row r="1111" spans="1:7" x14ac:dyDescent="0.25">
      <c r="A1111" s="31" t="s">
        <v>116</v>
      </c>
      <c r="B1111" s="32">
        <v>2</v>
      </c>
      <c r="C1111" s="32">
        <v>5</v>
      </c>
      <c r="D1111" s="32">
        <v>5</v>
      </c>
      <c r="E1111" s="32">
        <v>46</v>
      </c>
      <c r="F1111" s="12">
        <v>57.1</v>
      </c>
      <c r="G1111">
        <v>58.319879518072291</v>
      </c>
    </row>
    <row r="1112" spans="1:7" x14ac:dyDescent="0.25">
      <c r="A1112" s="31" t="s">
        <v>116</v>
      </c>
      <c r="B1112" s="32">
        <v>3</v>
      </c>
      <c r="C1112" s="32">
        <v>1</v>
      </c>
      <c r="D1112" s="32">
        <v>11</v>
      </c>
      <c r="E1112" s="32">
        <v>46</v>
      </c>
      <c r="F1112" s="12">
        <v>58.8</v>
      </c>
      <c r="G1112">
        <v>70.120709999999988</v>
      </c>
    </row>
    <row r="1113" spans="1:7" x14ac:dyDescent="0.25">
      <c r="A1113" s="34" t="s">
        <v>97</v>
      </c>
      <c r="B1113" s="35">
        <v>1</v>
      </c>
      <c r="C1113" s="35">
        <v>13</v>
      </c>
      <c r="D1113" s="35">
        <v>1</v>
      </c>
      <c r="E1113" s="35">
        <v>46</v>
      </c>
      <c r="F1113" s="2">
        <v>57.2</v>
      </c>
      <c r="G1113">
        <v>70.873817142857135</v>
      </c>
    </row>
    <row r="1114" spans="1:7" x14ac:dyDescent="0.25">
      <c r="A1114" s="34" t="s">
        <v>97</v>
      </c>
      <c r="B1114" s="35">
        <v>2</v>
      </c>
      <c r="C1114" s="35">
        <v>21</v>
      </c>
      <c r="D1114" s="35">
        <v>3</v>
      </c>
      <c r="E1114" s="35">
        <v>46</v>
      </c>
      <c r="F1114" s="2">
        <v>59.6</v>
      </c>
      <c r="G1114">
        <v>61.422634094530004</v>
      </c>
    </row>
    <row r="1115" spans="1:7" x14ac:dyDescent="0.25">
      <c r="A1115" s="34" t="s">
        <v>97</v>
      </c>
      <c r="B1115" s="35">
        <v>3</v>
      </c>
      <c r="C1115" s="35">
        <v>6</v>
      </c>
      <c r="D1115" s="35">
        <v>6</v>
      </c>
      <c r="E1115" s="35">
        <v>46</v>
      </c>
      <c r="F1115" s="2">
        <v>57.7</v>
      </c>
      <c r="G1115">
        <v>70.705599847415598</v>
      </c>
    </row>
    <row r="1116" spans="1:7" x14ac:dyDescent="0.25">
      <c r="A1116" s="31" t="s">
        <v>132</v>
      </c>
      <c r="B1116" s="32">
        <v>1</v>
      </c>
      <c r="C1116" s="32">
        <v>10</v>
      </c>
      <c r="D1116" s="32">
        <v>2</v>
      </c>
      <c r="E1116" s="32">
        <v>46</v>
      </c>
      <c r="F1116" s="2">
        <v>61.7</v>
      </c>
      <c r="G1116">
        <v>57.761137360782989</v>
      </c>
    </row>
    <row r="1117" spans="1:7" x14ac:dyDescent="0.25">
      <c r="A1117" s="31" t="s">
        <v>132</v>
      </c>
      <c r="B1117" s="32">
        <v>2</v>
      </c>
      <c r="C1117" s="32">
        <v>16</v>
      </c>
      <c r="D1117" s="32">
        <v>3</v>
      </c>
      <c r="E1117" s="32">
        <v>46</v>
      </c>
      <c r="F1117" s="2">
        <v>60.9</v>
      </c>
      <c r="G1117">
        <v>64.033347676419965</v>
      </c>
    </row>
    <row r="1118" spans="1:7" x14ac:dyDescent="0.25">
      <c r="A1118" s="31" t="s">
        <v>132</v>
      </c>
      <c r="B1118" s="32">
        <v>3</v>
      </c>
      <c r="C1118" s="32">
        <v>9</v>
      </c>
      <c r="D1118" s="32">
        <v>6</v>
      </c>
      <c r="E1118" s="32">
        <v>46</v>
      </c>
      <c r="F1118" s="12">
        <v>62.2</v>
      </c>
      <c r="G1118">
        <v>60.862334248158312</v>
      </c>
    </row>
    <row r="1119" spans="1:7" x14ac:dyDescent="0.25">
      <c r="A1119" s="31" t="s">
        <v>13</v>
      </c>
      <c r="B1119" s="32">
        <v>1</v>
      </c>
      <c r="C1119" s="36">
        <v>6</v>
      </c>
      <c r="D1119" s="36">
        <v>1</v>
      </c>
      <c r="E1119" s="32">
        <v>46</v>
      </c>
      <c r="F1119" s="12">
        <v>58.6</v>
      </c>
      <c r="G1119">
        <v>70.985144999999989</v>
      </c>
    </row>
    <row r="1120" spans="1:7" x14ac:dyDescent="0.25">
      <c r="A1120" s="31" t="s">
        <v>13</v>
      </c>
      <c r="B1120" s="32">
        <v>2</v>
      </c>
      <c r="C1120" s="36">
        <v>17</v>
      </c>
      <c r="D1120" s="36">
        <v>3</v>
      </c>
      <c r="E1120" s="32">
        <v>46</v>
      </c>
      <c r="F1120" s="12">
        <v>58.6</v>
      </c>
      <c r="G1120">
        <v>76.976349999999996</v>
      </c>
    </row>
    <row r="1121" spans="1:7" x14ac:dyDescent="0.25">
      <c r="A1121" s="31" t="s">
        <v>13</v>
      </c>
      <c r="B1121" s="32">
        <v>3</v>
      </c>
      <c r="C1121" s="36">
        <v>8</v>
      </c>
      <c r="D1121" s="36">
        <v>5</v>
      </c>
      <c r="E1121" s="32">
        <v>46</v>
      </c>
      <c r="F1121" s="12">
        <v>58.7</v>
      </c>
      <c r="G1121">
        <v>61.46403999999999</v>
      </c>
    </row>
    <row r="1122" spans="1:7" x14ac:dyDescent="0.25">
      <c r="A1122" t="s">
        <v>7</v>
      </c>
      <c r="B1122" s="11">
        <v>1</v>
      </c>
      <c r="C1122" s="11">
        <v>10</v>
      </c>
      <c r="D1122" s="11">
        <v>3</v>
      </c>
      <c r="E1122" s="11">
        <v>46</v>
      </c>
      <c r="F1122" s="12">
        <v>54.5</v>
      </c>
      <c r="G1122">
        <v>43.619894741833008</v>
      </c>
    </row>
    <row r="1123" spans="1:7" x14ac:dyDescent="0.25">
      <c r="A1123" t="s">
        <v>7</v>
      </c>
      <c r="B1123" s="11">
        <v>2</v>
      </c>
      <c r="C1123" s="11">
        <v>4</v>
      </c>
      <c r="D1123" s="11">
        <v>7</v>
      </c>
      <c r="E1123" s="11">
        <v>46</v>
      </c>
      <c r="F1123" s="12">
        <v>50.3</v>
      </c>
      <c r="G1123">
        <v>44.706425695110262</v>
      </c>
    </row>
    <row r="1124" spans="1:7" x14ac:dyDescent="0.25">
      <c r="A1124" t="s">
        <v>7</v>
      </c>
      <c r="B1124" s="11">
        <v>3</v>
      </c>
      <c r="C1124" s="11">
        <v>8</v>
      </c>
      <c r="D1124" s="11">
        <v>11</v>
      </c>
      <c r="E1124" s="11">
        <v>46</v>
      </c>
      <c r="F1124" s="2">
        <v>52</v>
      </c>
      <c r="G1124">
        <v>42.017941545287925</v>
      </c>
    </row>
    <row r="1125" spans="1:7" x14ac:dyDescent="0.25">
      <c r="A1125" s="31" t="s">
        <v>156</v>
      </c>
      <c r="B1125" s="32">
        <v>1</v>
      </c>
      <c r="C1125" s="32">
        <v>22</v>
      </c>
      <c r="D1125" s="32">
        <v>1</v>
      </c>
      <c r="E1125" s="32">
        <v>46</v>
      </c>
      <c r="F1125" s="12">
        <v>58.7</v>
      </c>
      <c r="G1125">
        <v>54.638229352490235</v>
      </c>
    </row>
    <row r="1126" spans="1:7" x14ac:dyDescent="0.25">
      <c r="A1126" s="31" t="s">
        <v>156</v>
      </c>
      <c r="B1126" s="32">
        <v>2</v>
      </c>
      <c r="C1126" s="32">
        <v>9</v>
      </c>
      <c r="D1126" s="32">
        <v>3</v>
      </c>
      <c r="E1126" s="32">
        <v>46</v>
      </c>
      <c r="F1126" s="12">
        <v>57.2</v>
      </c>
      <c r="G1126">
        <v>49.231032737090779</v>
      </c>
    </row>
    <row r="1127" spans="1:7" x14ac:dyDescent="0.25">
      <c r="A1127" s="31" t="s">
        <v>156</v>
      </c>
      <c r="B1127" s="32">
        <v>3</v>
      </c>
      <c r="C1127" s="32">
        <v>3</v>
      </c>
      <c r="D1127" s="32">
        <v>5</v>
      </c>
      <c r="E1127" s="32">
        <v>46</v>
      </c>
      <c r="F1127" s="12">
        <v>55.8</v>
      </c>
      <c r="G1127">
        <v>44.913960731211908</v>
      </c>
    </row>
    <row r="1128" spans="1:7" x14ac:dyDescent="0.25">
      <c r="A1128" s="31" t="s">
        <v>10</v>
      </c>
      <c r="B1128" s="32">
        <v>1</v>
      </c>
      <c r="C1128" s="32">
        <v>4</v>
      </c>
      <c r="D1128" s="32">
        <v>1</v>
      </c>
      <c r="E1128" s="32">
        <v>46</v>
      </c>
      <c r="F1128" s="2">
        <v>58.2</v>
      </c>
      <c r="G1128">
        <v>72.608336842105231</v>
      </c>
    </row>
    <row r="1129" spans="1:7" x14ac:dyDescent="0.25">
      <c r="A1129" s="31" t="s">
        <v>10</v>
      </c>
      <c r="B1129" s="32">
        <v>2</v>
      </c>
      <c r="C1129" s="32">
        <v>2</v>
      </c>
      <c r="D1129" s="32">
        <v>7</v>
      </c>
      <c r="E1129" s="32">
        <v>46</v>
      </c>
      <c r="F1129" s="2">
        <v>56.5</v>
      </c>
      <c r="G1129">
        <v>43.945843720038361</v>
      </c>
    </row>
    <row r="1130" spans="1:7" x14ac:dyDescent="0.25">
      <c r="A1130" s="31" t="s">
        <v>10</v>
      </c>
      <c r="B1130" s="32">
        <v>3</v>
      </c>
      <c r="C1130" s="32">
        <v>11</v>
      </c>
      <c r="D1130" s="32">
        <v>11</v>
      </c>
      <c r="E1130" s="32">
        <v>46</v>
      </c>
      <c r="F1130" s="2">
        <v>56.8</v>
      </c>
      <c r="G1130">
        <v>61.372660586255677</v>
      </c>
    </row>
    <row r="1131" spans="1:7" x14ac:dyDescent="0.25">
      <c r="A1131" s="31" t="s">
        <v>11</v>
      </c>
      <c r="B1131" s="32">
        <v>1</v>
      </c>
      <c r="C1131" s="32">
        <v>16</v>
      </c>
      <c r="D1131" s="32">
        <v>1</v>
      </c>
      <c r="E1131" s="11">
        <v>46</v>
      </c>
      <c r="F1131" s="2" t="s">
        <v>12</v>
      </c>
      <c r="G1131">
        <v>14.001378719975827</v>
      </c>
    </row>
    <row r="1132" spans="1:7" x14ac:dyDescent="0.25">
      <c r="A1132" s="31" t="s">
        <v>11</v>
      </c>
      <c r="B1132" s="32">
        <v>2</v>
      </c>
      <c r="C1132" s="32">
        <v>7</v>
      </c>
      <c r="D1132" s="32">
        <v>5</v>
      </c>
      <c r="E1132" s="11">
        <v>46</v>
      </c>
      <c r="F1132" s="2">
        <v>58.5</v>
      </c>
      <c r="G1132">
        <v>20.323043915521286</v>
      </c>
    </row>
    <row r="1133" spans="1:7" x14ac:dyDescent="0.25">
      <c r="A1133" s="31" t="s">
        <v>11</v>
      </c>
      <c r="B1133" s="32">
        <v>3</v>
      </c>
      <c r="C1133" s="32">
        <v>11</v>
      </c>
      <c r="D1133" s="32">
        <v>7</v>
      </c>
      <c r="E1133" s="11">
        <v>46</v>
      </c>
      <c r="F1133" s="2">
        <v>60.1</v>
      </c>
      <c r="G1133">
        <v>22.577271214642259</v>
      </c>
    </row>
    <row r="1134" spans="1:7" x14ac:dyDescent="0.25">
      <c r="A1134" t="s">
        <v>160</v>
      </c>
      <c r="B1134">
        <v>1</v>
      </c>
      <c r="C1134" s="36">
        <v>17</v>
      </c>
      <c r="D1134" s="36">
        <v>2</v>
      </c>
      <c r="E1134" s="32">
        <v>46</v>
      </c>
      <c r="F1134" s="13">
        <v>60</v>
      </c>
      <c r="G1134">
        <v>85.756772397094437</v>
      </c>
    </row>
    <row r="1135" spans="1:7" x14ac:dyDescent="0.25">
      <c r="A1135" t="s">
        <v>160</v>
      </c>
      <c r="B1135">
        <v>2</v>
      </c>
      <c r="C1135" s="36">
        <v>11</v>
      </c>
      <c r="D1135" s="36">
        <v>4</v>
      </c>
      <c r="E1135" s="32">
        <v>46</v>
      </c>
      <c r="F1135" s="13">
        <v>60.7</v>
      </c>
      <c r="G1135">
        <v>83.624811463784411</v>
      </c>
    </row>
    <row r="1136" spans="1:7" x14ac:dyDescent="0.25">
      <c r="A1136" t="s">
        <v>160</v>
      </c>
      <c r="B1136">
        <v>3</v>
      </c>
      <c r="C1136" s="36">
        <v>8</v>
      </c>
      <c r="D1136" s="36">
        <v>5</v>
      </c>
      <c r="E1136" s="32">
        <v>46</v>
      </c>
      <c r="F1136" s="13">
        <v>59.8</v>
      </c>
      <c r="G1136">
        <v>82.704211238997956</v>
      </c>
    </row>
    <row r="1197" spans="1:6" x14ac:dyDescent="0.25">
      <c r="B1197" s="11"/>
      <c r="C1197" s="11"/>
      <c r="D1197" s="11"/>
      <c r="E1197" s="11"/>
      <c r="F1197" s="12"/>
    </row>
    <row r="1198" spans="1:6" x14ac:dyDescent="0.25">
      <c r="B1198" s="11"/>
      <c r="C1198" s="11"/>
      <c r="D1198" s="11"/>
      <c r="E1198" s="11"/>
      <c r="F1198" s="12"/>
    </row>
    <row r="1199" spans="1:6" x14ac:dyDescent="0.25">
      <c r="B1199" s="11"/>
      <c r="C1199" s="11"/>
      <c r="D1199" s="11"/>
      <c r="E1199" s="11"/>
      <c r="F1199" s="2"/>
    </row>
    <row r="1200" spans="1:6" x14ac:dyDescent="0.25">
      <c r="A1200" s="31"/>
      <c r="B1200" s="32"/>
      <c r="C1200" s="32"/>
      <c r="D1200" s="32"/>
      <c r="E1200" s="32"/>
      <c r="F1200" s="2"/>
    </row>
    <row r="1201" spans="1:6" x14ac:dyDescent="0.25">
      <c r="A1201" s="31"/>
      <c r="B1201" s="32"/>
      <c r="C1201" s="32"/>
      <c r="D1201" s="32"/>
      <c r="E1201" s="32"/>
      <c r="F1201" s="2"/>
    </row>
    <row r="1202" spans="1:6" x14ac:dyDescent="0.25">
      <c r="A1202" s="31"/>
      <c r="B1202" s="32"/>
      <c r="C1202" s="32"/>
      <c r="D1202" s="32"/>
      <c r="E1202" s="32"/>
      <c r="F1202" s="2"/>
    </row>
    <row r="1203" spans="1:6" x14ac:dyDescent="0.25">
      <c r="A1203" s="31"/>
      <c r="B1203" s="32"/>
      <c r="C1203" s="32"/>
      <c r="D1203" s="32"/>
      <c r="E1203" s="32"/>
      <c r="F1203" s="2"/>
    </row>
    <row r="1204" spans="1:6" x14ac:dyDescent="0.25">
      <c r="A1204" s="31"/>
      <c r="B1204" s="32"/>
      <c r="C1204" s="32"/>
      <c r="D1204" s="32"/>
      <c r="E1204" s="32"/>
      <c r="F1204" s="12"/>
    </row>
    <row r="1205" spans="1:6" x14ac:dyDescent="0.25">
      <c r="A1205" s="31"/>
      <c r="B1205" s="32"/>
      <c r="C1205" s="32"/>
      <c r="D1205" s="32"/>
      <c r="E1205" s="32"/>
      <c r="F1205" s="2"/>
    </row>
    <row r="1206" spans="1:6" x14ac:dyDescent="0.25">
      <c r="A1206" s="31"/>
      <c r="B1206" s="32"/>
      <c r="C1206" s="32"/>
      <c r="D1206" s="32"/>
      <c r="E1206" s="11"/>
      <c r="F1206" s="2"/>
    </row>
    <row r="1207" spans="1:6" x14ac:dyDescent="0.25">
      <c r="A1207" s="31"/>
      <c r="B1207" s="32"/>
      <c r="C1207" s="32"/>
      <c r="D1207" s="32"/>
      <c r="E1207" s="11"/>
      <c r="F1207" s="2"/>
    </row>
    <row r="1208" spans="1:6" x14ac:dyDescent="0.25">
      <c r="A1208" s="31"/>
      <c r="B1208" s="32"/>
      <c r="C1208" s="32"/>
      <c r="D1208" s="32"/>
      <c r="E1208" s="11"/>
      <c r="F1208" s="2"/>
    </row>
    <row r="1209" spans="1:6" x14ac:dyDescent="0.25">
      <c r="C1209" s="36"/>
      <c r="D1209" s="36"/>
      <c r="E1209" s="32"/>
      <c r="F1209" s="13"/>
    </row>
    <row r="1210" spans="1:6" x14ac:dyDescent="0.25">
      <c r="C1210" s="36"/>
      <c r="D1210" s="36"/>
      <c r="E1210" s="32"/>
      <c r="F1210" s="13"/>
    </row>
    <row r="1211" spans="1:6" x14ac:dyDescent="0.25">
      <c r="C1211" s="36"/>
      <c r="D1211" s="36"/>
      <c r="E1211" s="32"/>
      <c r="F1211" s="13"/>
    </row>
    <row r="1212" spans="1:6" x14ac:dyDescent="0.25">
      <c r="B1212" s="11"/>
      <c r="C1212" s="11"/>
      <c r="D1212" s="11"/>
      <c r="E1212" s="11"/>
      <c r="F1212" s="12"/>
    </row>
    <row r="1213" spans="1:6" x14ac:dyDescent="0.25">
      <c r="B1213" s="11"/>
      <c r="C1213" s="11"/>
      <c r="D1213" s="11"/>
      <c r="E1213" s="11"/>
      <c r="F1213" s="12"/>
    </row>
    <row r="1214" spans="1:6" x14ac:dyDescent="0.25">
      <c r="B1214" s="11"/>
      <c r="C1214" s="11"/>
      <c r="D1214" s="11"/>
      <c r="E1214" s="11"/>
      <c r="F1214" s="12"/>
    </row>
    <row r="1215" spans="1:6" x14ac:dyDescent="0.25">
      <c r="A1215" s="31"/>
      <c r="B1215" s="32"/>
      <c r="C1215" s="32"/>
      <c r="D1215" s="32"/>
      <c r="E1215" s="32"/>
      <c r="F1215" s="2"/>
    </row>
    <row r="1216" spans="1:6" x14ac:dyDescent="0.25">
      <c r="A1216" s="31"/>
      <c r="B1216" s="32"/>
      <c r="C1216" s="32"/>
      <c r="D1216" s="32"/>
      <c r="E1216" s="32"/>
      <c r="F1216" s="2"/>
    </row>
    <row r="1217" spans="1:6" x14ac:dyDescent="0.25">
      <c r="A1217" s="31"/>
      <c r="B1217" s="32"/>
      <c r="C1217" s="32"/>
      <c r="D1217" s="32"/>
      <c r="E1217" s="32"/>
      <c r="F1217" s="2"/>
    </row>
    <row r="1218" spans="1:6" x14ac:dyDescent="0.25">
      <c r="A1218" s="31"/>
      <c r="B1218" s="32"/>
      <c r="C1218" s="32"/>
      <c r="D1218" s="32"/>
      <c r="E1218" s="32"/>
      <c r="F1218" s="2"/>
    </row>
    <row r="1219" spans="1:6" x14ac:dyDescent="0.25">
      <c r="A1219" s="31"/>
      <c r="B1219" s="32"/>
      <c r="C1219" s="32"/>
      <c r="D1219" s="32"/>
      <c r="E1219" s="32"/>
      <c r="F1219" s="2"/>
    </row>
    <row r="1220" spans="1:6" x14ac:dyDescent="0.25">
      <c r="A1220" s="31"/>
      <c r="B1220" s="32"/>
      <c r="C1220" s="32"/>
      <c r="D1220" s="32"/>
      <c r="E1220" s="32"/>
      <c r="F1220" s="2"/>
    </row>
    <row r="1221" spans="1:6" x14ac:dyDescent="0.25">
      <c r="A1221" s="31"/>
      <c r="B1221" s="32"/>
      <c r="C1221" s="32"/>
      <c r="D1221" s="32"/>
      <c r="E1221" s="11"/>
      <c r="F1221" s="2"/>
    </row>
    <row r="1222" spans="1:6" x14ac:dyDescent="0.25">
      <c r="A1222" s="31"/>
      <c r="B1222" s="32"/>
      <c r="C1222" s="32"/>
      <c r="D1222" s="32"/>
      <c r="E1222" s="11"/>
      <c r="F1222" s="2"/>
    </row>
    <row r="1223" spans="1:6" x14ac:dyDescent="0.25">
      <c r="A1223" s="31"/>
      <c r="B1223" s="32"/>
      <c r="C1223" s="32"/>
      <c r="D1223" s="32"/>
      <c r="E1223" s="11"/>
      <c r="F1223" s="2"/>
    </row>
    <row r="1224" spans="1:6" x14ac:dyDescent="0.25">
      <c r="C1224" s="36"/>
      <c r="D1224" s="36"/>
      <c r="E1224" s="32"/>
      <c r="F1224" s="13"/>
    </row>
    <row r="1225" spans="1:6" x14ac:dyDescent="0.25">
      <c r="C1225" s="36"/>
      <c r="D1225" s="36"/>
      <c r="E1225" s="32"/>
      <c r="F1225" s="13"/>
    </row>
    <row r="1226" spans="1:6" x14ac:dyDescent="0.25">
      <c r="C1226" s="36"/>
      <c r="D1226" s="36"/>
      <c r="E1226" s="32"/>
      <c r="F1226" s="13"/>
    </row>
    <row r="1227" spans="1:6" x14ac:dyDescent="0.25">
      <c r="B1227" s="11"/>
      <c r="C1227" s="11"/>
      <c r="D1227" s="11"/>
      <c r="E1227" s="11"/>
      <c r="F1227" s="12"/>
    </row>
    <row r="1228" spans="1:6" x14ac:dyDescent="0.25">
      <c r="B1228" s="11"/>
      <c r="C1228" s="11"/>
      <c r="D1228" s="11"/>
      <c r="E1228" s="11"/>
      <c r="F1228" s="12"/>
    </row>
    <row r="1229" spans="1:6" x14ac:dyDescent="0.25">
      <c r="B1229" s="11"/>
      <c r="C1229" s="11"/>
      <c r="D1229" s="11"/>
      <c r="E1229" s="11"/>
      <c r="F1229" s="12"/>
    </row>
    <row r="1230" spans="1:6" x14ac:dyDescent="0.25">
      <c r="A1230" s="31"/>
      <c r="B1230" s="32"/>
      <c r="C1230" s="32"/>
      <c r="D1230" s="32"/>
      <c r="E1230" s="32"/>
      <c r="F1230" s="2"/>
    </row>
    <row r="1231" spans="1:6" x14ac:dyDescent="0.25">
      <c r="A1231" s="31"/>
      <c r="B1231" s="32"/>
      <c r="C1231" s="32"/>
      <c r="D1231" s="32"/>
      <c r="E1231" s="32"/>
      <c r="F1231" s="2"/>
    </row>
    <row r="1232" spans="1:6" x14ac:dyDescent="0.25">
      <c r="A1232" s="31"/>
      <c r="B1232" s="32"/>
      <c r="C1232" s="32"/>
      <c r="D1232" s="32"/>
      <c r="E1232" s="32"/>
      <c r="F1232" s="2"/>
    </row>
    <row r="1233" spans="1:6" x14ac:dyDescent="0.25">
      <c r="A1233" s="31"/>
      <c r="B1233" s="32"/>
      <c r="C1233" s="32"/>
      <c r="D1233" s="32"/>
      <c r="E1233" s="32"/>
      <c r="F1233" s="2"/>
    </row>
    <row r="1234" spans="1:6" x14ac:dyDescent="0.25">
      <c r="A1234" s="31"/>
      <c r="B1234" s="32"/>
      <c r="C1234" s="32"/>
      <c r="D1234" s="32"/>
      <c r="E1234" s="32"/>
      <c r="F1234" s="2"/>
    </row>
    <row r="1235" spans="1:6" x14ac:dyDescent="0.25">
      <c r="A1235" s="31"/>
      <c r="B1235" s="32"/>
      <c r="C1235" s="32"/>
      <c r="D1235" s="32"/>
      <c r="E1235" s="32"/>
      <c r="F1235" s="2"/>
    </row>
    <row r="1236" spans="1:6" x14ac:dyDescent="0.25">
      <c r="A1236" s="31"/>
      <c r="B1236" s="32"/>
      <c r="C1236" s="32"/>
      <c r="D1236" s="32"/>
      <c r="E1236" s="11"/>
      <c r="F1236" s="2"/>
    </row>
    <row r="1237" spans="1:6" x14ac:dyDescent="0.25">
      <c r="A1237" s="31"/>
      <c r="B1237" s="32"/>
      <c r="C1237" s="32"/>
      <c r="D1237" s="32"/>
      <c r="E1237" s="11"/>
      <c r="F1237" s="2"/>
    </row>
    <row r="1238" spans="1:6" x14ac:dyDescent="0.25">
      <c r="A1238" s="31"/>
      <c r="B1238" s="32"/>
      <c r="C1238" s="32"/>
      <c r="D1238" s="32"/>
      <c r="E1238" s="11"/>
      <c r="F1238" s="2"/>
    </row>
    <row r="1239" spans="1:6" x14ac:dyDescent="0.25">
      <c r="C1239" s="36"/>
      <c r="D1239" s="36"/>
      <c r="E1239" s="32"/>
      <c r="F1239" s="13"/>
    </row>
    <row r="1240" spans="1:6" x14ac:dyDescent="0.25">
      <c r="C1240" s="36"/>
      <c r="D1240" s="36"/>
      <c r="E1240" s="32"/>
      <c r="F1240" s="13"/>
    </row>
    <row r="1241" spans="1:6" x14ac:dyDescent="0.25">
      <c r="C1241" s="36"/>
      <c r="D1241" s="36"/>
      <c r="E1241" s="32"/>
      <c r="F1241" s="13"/>
    </row>
    <row r="1242" spans="1:6" x14ac:dyDescent="0.25">
      <c r="B1242" s="11"/>
      <c r="C1242" s="11"/>
      <c r="D1242" s="11"/>
      <c r="E1242" s="11"/>
      <c r="F1242" s="12"/>
    </row>
    <row r="1243" spans="1:6" x14ac:dyDescent="0.25">
      <c r="B1243" s="11"/>
      <c r="C1243" s="11"/>
      <c r="D1243" s="11"/>
      <c r="E1243" s="11"/>
      <c r="F1243" s="12"/>
    </row>
    <row r="1244" spans="1:6" x14ac:dyDescent="0.25">
      <c r="B1244" s="11"/>
      <c r="C1244" s="11"/>
      <c r="D1244" s="11"/>
      <c r="E1244" s="11"/>
      <c r="F1244" s="2"/>
    </row>
    <row r="1245" spans="1:6" x14ac:dyDescent="0.25">
      <c r="A1245" s="31"/>
      <c r="B1245" s="32"/>
      <c r="C1245" s="32"/>
      <c r="D1245" s="32"/>
      <c r="E1245" s="32"/>
      <c r="F1245" s="2"/>
    </row>
    <row r="1246" spans="1:6" x14ac:dyDescent="0.25">
      <c r="A1246" s="31"/>
      <c r="B1246" s="32"/>
      <c r="C1246" s="32"/>
      <c r="D1246" s="32"/>
      <c r="E1246" s="32"/>
      <c r="F1246" s="2"/>
    </row>
    <row r="1247" spans="1:6" x14ac:dyDescent="0.25">
      <c r="A1247" s="31"/>
      <c r="B1247" s="32"/>
      <c r="C1247" s="32"/>
      <c r="D1247" s="32"/>
      <c r="E1247" s="32"/>
      <c r="F1247" s="2"/>
    </row>
    <row r="1248" spans="1:6" x14ac:dyDescent="0.25">
      <c r="A1248" s="31"/>
      <c r="B1248" s="32"/>
      <c r="C1248" s="32"/>
      <c r="D1248" s="32"/>
      <c r="E1248" s="32"/>
      <c r="F1248" s="2"/>
    </row>
    <row r="1249" spans="1:6" x14ac:dyDescent="0.25">
      <c r="A1249" s="31"/>
      <c r="B1249" s="32"/>
      <c r="C1249" s="32"/>
      <c r="D1249" s="32"/>
      <c r="E1249" s="32"/>
      <c r="F1249" s="2"/>
    </row>
    <row r="1250" spans="1:6" x14ac:dyDescent="0.25">
      <c r="A1250" s="31"/>
      <c r="B1250" s="32"/>
      <c r="C1250" s="32"/>
      <c r="D1250" s="32"/>
      <c r="E1250" s="32"/>
      <c r="F1250" s="2"/>
    </row>
    <row r="1251" spans="1:6" x14ac:dyDescent="0.25">
      <c r="A1251" s="31"/>
      <c r="B1251" s="32"/>
      <c r="C1251" s="32"/>
      <c r="D1251" s="32"/>
      <c r="E1251" s="11"/>
      <c r="F1251" s="2"/>
    </row>
    <row r="1252" spans="1:6" x14ac:dyDescent="0.25">
      <c r="A1252" s="31"/>
      <c r="B1252" s="32"/>
      <c r="C1252" s="32"/>
      <c r="D1252" s="32"/>
      <c r="E1252" s="11"/>
      <c r="F1252" s="2"/>
    </row>
    <row r="1253" spans="1:6" x14ac:dyDescent="0.25">
      <c r="A1253" s="31"/>
      <c r="B1253" s="32"/>
      <c r="C1253" s="32"/>
      <c r="D1253" s="32"/>
      <c r="E1253" s="11"/>
      <c r="F1253" s="2"/>
    </row>
    <row r="1254" spans="1:6" x14ac:dyDescent="0.25">
      <c r="C1254" s="36"/>
      <c r="D1254" s="36"/>
      <c r="E1254" s="32"/>
      <c r="F1254" s="13"/>
    </row>
    <row r="1255" spans="1:6" x14ac:dyDescent="0.25">
      <c r="C1255" s="36"/>
      <c r="D1255" s="36"/>
      <c r="E1255" s="32"/>
      <c r="F1255" s="13"/>
    </row>
    <row r="1256" spans="1:6" x14ac:dyDescent="0.25">
      <c r="C1256" s="36"/>
      <c r="D1256" s="36"/>
      <c r="E1256" s="32"/>
      <c r="F1256" s="13"/>
    </row>
    <row r="1257" spans="1:6" x14ac:dyDescent="0.25">
      <c r="B1257" s="11"/>
      <c r="C1257" s="11"/>
      <c r="D1257" s="11"/>
      <c r="E1257" s="11"/>
      <c r="F1257" s="12"/>
    </row>
    <row r="1258" spans="1:6" x14ac:dyDescent="0.25">
      <c r="B1258" s="11"/>
      <c r="C1258" s="11"/>
      <c r="D1258" s="11"/>
      <c r="E1258" s="11"/>
      <c r="F1258" s="12"/>
    </row>
    <row r="1259" spans="1:6" x14ac:dyDescent="0.25">
      <c r="B1259" s="11"/>
      <c r="C1259" s="11"/>
      <c r="D1259" s="11"/>
      <c r="E1259" s="11"/>
      <c r="F1259" s="2"/>
    </row>
    <row r="1260" spans="1:6" x14ac:dyDescent="0.25">
      <c r="A1260" s="31"/>
      <c r="B1260" s="32"/>
      <c r="C1260" s="32"/>
      <c r="D1260" s="32"/>
      <c r="E1260" s="32"/>
      <c r="F1260" s="2"/>
    </row>
    <row r="1261" spans="1:6" x14ac:dyDescent="0.25">
      <c r="A1261" s="31"/>
      <c r="B1261" s="32"/>
      <c r="C1261" s="32"/>
      <c r="D1261" s="32"/>
      <c r="E1261" s="32"/>
      <c r="F1261" s="2"/>
    </row>
    <row r="1262" spans="1:6" x14ac:dyDescent="0.25">
      <c r="A1262" s="31"/>
      <c r="B1262" s="32"/>
      <c r="C1262" s="32"/>
      <c r="D1262" s="32"/>
      <c r="E1262" s="32"/>
      <c r="F1262" s="2"/>
    </row>
    <row r="1263" spans="1:6" x14ac:dyDescent="0.25">
      <c r="A1263" s="31"/>
      <c r="B1263" s="32"/>
      <c r="C1263" s="32"/>
      <c r="D1263" s="32"/>
      <c r="E1263" s="32"/>
      <c r="F1263" s="2"/>
    </row>
    <row r="1264" spans="1:6" x14ac:dyDescent="0.25">
      <c r="A1264" s="31"/>
      <c r="B1264" s="32"/>
      <c r="C1264" s="32"/>
      <c r="D1264" s="32"/>
      <c r="E1264" s="32"/>
      <c r="F1264" s="2"/>
    </row>
    <row r="1265" spans="1:6" x14ac:dyDescent="0.25">
      <c r="A1265" s="31"/>
      <c r="B1265" s="32"/>
      <c r="C1265" s="32"/>
      <c r="D1265" s="32"/>
      <c r="E1265" s="32"/>
      <c r="F1265" s="2"/>
    </row>
    <row r="1266" spans="1:6" x14ac:dyDescent="0.25">
      <c r="A1266" s="31"/>
      <c r="B1266" s="32"/>
      <c r="C1266" s="32"/>
      <c r="D1266" s="32"/>
      <c r="E1266" s="11"/>
      <c r="F1266" s="2"/>
    </row>
    <row r="1267" spans="1:6" x14ac:dyDescent="0.25">
      <c r="A1267" s="31"/>
      <c r="B1267" s="32"/>
      <c r="C1267" s="32"/>
      <c r="D1267" s="32"/>
      <c r="E1267" s="11"/>
      <c r="F1267" s="2"/>
    </row>
    <row r="1268" spans="1:6" x14ac:dyDescent="0.25">
      <c r="A1268" s="31"/>
      <c r="B1268" s="32"/>
      <c r="C1268" s="32"/>
      <c r="D1268" s="32"/>
      <c r="E1268" s="11"/>
      <c r="F1268" s="2"/>
    </row>
    <row r="1269" spans="1:6" x14ac:dyDescent="0.25">
      <c r="C1269" s="36"/>
      <c r="D1269" s="36"/>
      <c r="E1269" s="32"/>
      <c r="F1269" s="13"/>
    </row>
    <row r="1270" spans="1:6" x14ac:dyDescent="0.25">
      <c r="C1270" s="36"/>
      <c r="D1270" s="36"/>
      <c r="E1270" s="32"/>
      <c r="F1270" s="13"/>
    </row>
    <row r="1271" spans="1:6" x14ac:dyDescent="0.25">
      <c r="C1271" s="36"/>
      <c r="D1271" s="36"/>
      <c r="E1271" s="32"/>
      <c r="F1271" s="13"/>
    </row>
    <row r="1275" spans="1:6" x14ac:dyDescent="0.25">
      <c r="A1275" s="62"/>
      <c r="B1275" s="60"/>
      <c r="C1275" s="60"/>
      <c r="D1275" s="60"/>
      <c r="E1275" s="60"/>
    </row>
    <row r="1276" spans="1:6" x14ac:dyDescent="0.25">
      <c r="A1276" s="62"/>
      <c r="B1276" s="60"/>
      <c r="C1276" s="60"/>
      <c r="D1276" s="60"/>
      <c r="E1276" s="60"/>
    </row>
    <row r="1277" spans="1:6" x14ac:dyDescent="0.25">
      <c r="A1277" s="62"/>
      <c r="B1277" s="60"/>
      <c r="C1277" s="60"/>
      <c r="D1277" s="60"/>
      <c r="E1277" s="60"/>
    </row>
    <row r="1278" spans="1:6" x14ac:dyDescent="0.25">
      <c r="A1278" s="62"/>
      <c r="B1278" s="60"/>
      <c r="C1278" s="60"/>
      <c r="D1278" s="60"/>
      <c r="E1278" s="60"/>
    </row>
    <row r="1279" spans="1:6" x14ac:dyDescent="0.25">
      <c r="A1279" s="62"/>
      <c r="B1279" s="60"/>
      <c r="C1279" s="60"/>
      <c r="D1279" s="60"/>
      <c r="E1279" s="60"/>
    </row>
    <row r="1280" spans="1:6" x14ac:dyDescent="0.25">
      <c r="A1280" s="62"/>
      <c r="B1280" s="60"/>
      <c r="C1280" s="60"/>
      <c r="D1280" s="60"/>
      <c r="E1280" s="60"/>
    </row>
    <row r="1281" spans="1:5" x14ac:dyDescent="0.25">
      <c r="A1281" s="62"/>
      <c r="B1281" s="60"/>
      <c r="C1281" s="60"/>
      <c r="D1281" s="60"/>
      <c r="E1281" s="60"/>
    </row>
    <row r="1282" spans="1:5" x14ac:dyDescent="0.25">
      <c r="A1282" s="62"/>
      <c r="B1282" s="60"/>
      <c r="C1282" s="60"/>
      <c r="D1282" s="60"/>
      <c r="E1282" s="60"/>
    </row>
    <row r="1283" spans="1:5" x14ac:dyDescent="0.25">
      <c r="A1283" s="62"/>
      <c r="B1283" s="60"/>
      <c r="C1283" s="60"/>
      <c r="D1283" s="60"/>
      <c r="E1283" s="60"/>
    </row>
    <row r="1284" spans="1:5" x14ac:dyDescent="0.25">
      <c r="A1284" s="62"/>
      <c r="B1284" s="60"/>
      <c r="C1284" s="60"/>
      <c r="D1284" s="60"/>
      <c r="E1284" s="60"/>
    </row>
    <row r="1285" spans="1:5" x14ac:dyDescent="0.25">
      <c r="A1285" s="62"/>
      <c r="B1285" s="60"/>
      <c r="C1285" s="60"/>
      <c r="D1285" s="60"/>
      <c r="E1285" s="60"/>
    </row>
    <row r="1286" spans="1:5" x14ac:dyDescent="0.25">
      <c r="A1286" s="62"/>
      <c r="B1286" s="60"/>
      <c r="C1286" s="60"/>
      <c r="D1286" s="60"/>
      <c r="E1286" s="60"/>
    </row>
    <row r="1287" spans="1:5" x14ac:dyDescent="0.25">
      <c r="A1287" s="62"/>
      <c r="B1287" s="60"/>
      <c r="C1287" s="60"/>
      <c r="D1287" s="60"/>
      <c r="E1287" s="60"/>
    </row>
    <row r="1288" spans="1:5" x14ac:dyDescent="0.25">
      <c r="A1288" s="62"/>
      <c r="B1288" s="60"/>
      <c r="C1288" s="60"/>
      <c r="D1288" s="60"/>
      <c r="E1288" s="60"/>
    </row>
    <row r="1289" spans="1:5" x14ac:dyDescent="0.25">
      <c r="A1289" s="62"/>
      <c r="B1289" s="60"/>
      <c r="C1289" s="60"/>
      <c r="D1289" s="60"/>
      <c r="E1289" s="60"/>
    </row>
    <row r="1290" spans="1:5" x14ac:dyDescent="0.25">
      <c r="A1290" s="62"/>
      <c r="B1290" s="60"/>
      <c r="C1290" s="60"/>
      <c r="D1290" s="60"/>
      <c r="E1290" s="60"/>
    </row>
    <row r="1291" spans="1:5" x14ac:dyDescent="0.25">
      <c r="A1291" s="62"/>
      <c r="B1291" s="60"/>
      <c r="C1291" s="60"/>
      <c r="D1291" s="60"/>
      <c r="E1291" s="60"/>
    </row>
    <row r="1292" spans="1:5" x14ac:dyDescent="0.25">
      <c r="A1292" s="62"/>
      <c r="B1292" s="60"/>
      <c r="C1292" s="60"/>
      <c r="D1292" s="60"/>
      <c r="E1292" s="60"/>
    </row>
    <row r="1293" spans="1:5" x14ac:dyDescent="0.25">
      <c r="A1293" s="62"/>
      <c r="B1293" s="60"/>
      <c r="C1293" s="60"/>
      <c r="D1293" s="60"/>
      <c r="E1293" s="60"/>
    </row>
    <row r="1294" spans="1:5" x14ac:dyDescent="0.25">
      <c r="A1294" s="62"/>
      <c r="B1294" s="60"/>
      <c r="C1294" s="60"/>
      <c r="D1294" s="60"/>
      <c r="E1294" s="60"/>
    </row>
    <row r="1295" spans="1:5" x14ac:dyDescent="0.25">
      <c r="A1295" s="62"/>
      <c r="B1295" s="60"/>
      <c r="C1295" s="60"/>
      <c r="D1295" s="60"/>
      <c r="E1295" s="60"/>
    </row>
    <row r="1296" spans="1:5" x14ac:dyDescent="0.25">
      <c r="A1296" s="62"/>
      <c r="B1296" s="60"/>
      <c r="C1296" s="60"/>
      <c r="D1296" s="60"/>
      <c r="E1296" s="60"/>
    </row>
    <row r="1297" spans="1:5" x14ac:dyDescent="0.25">
      <c r="A1297" s="62"/>
      <c r="B1297" s="60"/>
      <c r="C1297" s="60"/>
      <c r="D1297" s="60"/>
      <c r="E1297" s="60"/>
    </row>
    <row r="1298" spans="1:5" x14ac:dyDescent="0.25">
      <c r="A1298" s="62"/>
      <c r="B1298" s="60"/>
      <c r="C1298" s="60"/>
      <c r="D1298" s="60"/>
      <c r="E1298" s="60"/>
    </row>
    <row r="1299" spans="1:5" x14ac:dyDescent="0.25">
      <c r="A1299" s="62"/>
      <c r="B1299" s="60"/>
      <c r="C1299" s="60"/>
      <c r="D1299" s="60"/>
      <c r="E1299" s="60"/>
    </row>
    <row r="1300" spans="1:5" x14ac:dyDescent="0.25">
      <c r="A1300" s="62"/>
      <c r="B1300" s="60"/>
      <c r="C1300" s="60"/>
      <c r="D1300" s="60"/>
      <c r="E1300" s="60"/>
    </row>
    <row r="1301" spans="1:5" x14ac:dyDescent="0.25">
      <c r="A1301" s="62"/>
      <c r="B1301" s="60"/>
      <c r="C1301" s="60"/>
      <c r="D1301" s="60"/>
      <c r="E1301" s="60"/>
    </row>
    <row r="1302" spans="1:5" x14ac:dyDescent="0.25">
      <c r="A1302" s="62"/>
      <c r="B1302" s="60"/>
      <c r="C1302" s="60"/>
      <c r="D1302" s="60"/>
      <c r="E1302" s="60"/>
    </row>
    <row r="1303" spans="1:5" x14ac:dyDescent="0.25">
      <c r="A1303" s="62"/>
      <c r="B1303" s="60"/>
      <c r="C1303" s="60"/>
      <c r="D1303" s="60"/>
      <c r="E1303" s="60"/>
    </row>
    <row r="1304" spans="1:5" x14ac:dyDescent="0.25">
      <c r="A1304" s="62"/>
      <c r="B1304" s="60"/>
      <c r="C1304" s="60"/>
      <c r="D1304" s="60"/>
      <c r="E1304" s="60"/>
    </row>
    <row r="1305" spans="1:5" x14ac:dyDescent="0.25">
      <c r="A1305" s="62"/>
      <c r="B1305" s="60"/>
      <c r="C1305" s="60"/>
      <c r="D1305" s="60"/>
      <c r="E1305" s="60"/>
    </row>
    <row r="1306" spans="1:5" x14ac:dyDescent="0.25">
      <c r="A1306" s="62"/>
      <c r="B1306" s="60"/>
      <c r="C1306" s="60"/>
      <c r="D1306" s="60"/>
      <c r="E1306" s="60"/>
    </row>
    <row r="1307" spans="1:5" x14ac:dyDescent="0.25">
      <c r="A1307" s="62"/>
      <c r="B1307" s="60"/>
      <c r="C1307" s="60"/>
      <c r="D1307" s="60"/>
      <c r="E1307" s="60"/>
    </row>
    <row r="1308" spans="1:5" x14ac:dyDescent="0.25">
      <c r="A1308" s="62"/>
      <c r="B1308" s="60"/>
      <c r="C1308" s="60"/>
      <c r="D1308" s="60"/>
      <c r="E1308" s="60"/>
    </row>
    <row r="1309" spans="1:5" x14ac:dyDescent="0.25">
      <c r="A1309" s="62"/>
      <c r="B1309" s="60"/>
      <c r="C1309" s="60"/>
      <c r="D1309" s="60"/>
      <c r="E1309" s="60"/>
    </row>
    <row r="1310" spans="1:5" x14ac:dyDescent="0.25">
      <c r="A1310" s="62"/>
      <c r="B1310" s="60"/>
      <c r="C1310" s="60"/>
      <c r="D1310" s="60"/>
      <c r="E1310" s="60"/>
    </row>
    <row r="1311" spans="1:5" x14ac:dyDescent="0.25">
      <c r="A1311" s="62"/>
      <c r="B1311" s="60"/>
      <c r="C1311" s="60"/>
      <c r="D1311" s="60"/>
      <c r="E1311" s="60"/>
    </row>
    <row r="1312" spans="1:5" x14ac:dyDescent="0.25">
      <c r="A1312" s="62"/>
      <c r="B1312" s="60"/>
      <c r="C1312" s="60"/>
      <c r="D1312" s="60"/>
      <c r="E1312" s="60"/>
    </row>
    <row r="1313" spans="1:5" x14ac:dyDescent="0.25">
      <c r="A1313" s="62"/>
      <c r="B1313" s="60"/>
      <c r="C1313" s="60"/>
      <c r="D1313" s="60"/>
      <c r="E1313" s="60"/>
    </row>
    <row r="1314" spans="1:5" x14ac:dyDescent="0.25">
      <c r="A1314" s="62"/>
      <c r="B1314" s="60"/>
      <c r="C1314" s="60"/>
      <c r="D1314" s="60"/>
      <c r="E1314" s="60"/>
    </row>
    <row r="1315" spans="1:5" x14ac:dyDescent="0.25">
      <c r="A1315" s="62"/>
      <c r="B1315" s="60"/>
      <c r="C1315" s="60"/>
      <c r="D1315" s="60"/>
      <c r="E1315" s="60"/>
    </row>
    <row r="1316" spans="1:5" x14ac:dyDescent="0.25">
      <c r="A1316" s="62"/>
      <c r="B1316" s="60"/>
      <c r="C1316" s="60"/>
      <c r="D1316" s="60"/>
      <c r="E1316" s="60"/>
    </row>
    <row r="1317" spans="1:5" x14ac:dyDescent="0.25">
      <c r="A1317" s="62"/>
      <c r="B1317" s="60"/>
      <c r="C1317" s="60"/>
      <c r="D1317" s="60"/>
      <c r="E1317" s="60"/>
    </row>
    <row r="1318" spans="1:5" x14ac:dyDescent="0.25">
      <c r="A1318" s="62"/>
      <c r="B1318" s="60"/>
      <c r="C1318" s="60"/>
      <c r="D1318" s="60"/>
      <c r="E1318" s="60"/>
    </row>
    <row r="1319" spans="1:5" x14ac:dyDescent="0.25">
      <c r="A1319" s="62"/>
      <c r="B1319" s="60"/>
      <c r="C1319" s="60"/>
      <c r="D1319" s="60"/>
      <c r="E1319" s="60"/>
    </row>
    <row r="1320" spans="1:5" x14ac:dyDescent="0.25">
      <c r="A1320" s="62"/>
      <c r="B1320" s="60"/>
      <c r="C1320" s="60"/>
      <c r="D1320" s="60"/>
      <c r="E1320" s="60"/>
    </row>
    <row r="1321" spans="1:5" x14ac:dyDescent="0.25">
      <c r="A1321" s="62"/>
      <c r="B1321" s="60"/>
      <c r="C1321" s="60"/>
      <c r="D1321" s="60"/>
      <c r="E1321" s="60"/>
    </row>
    <row r="1322" spans="1:5" x14ac:dyDescent="0.25">
      <c r="A1322" s="62"/>
      <c r="B1322" s="60"/>
      <c r="C1322" s="60"/>
      <c r="D1322" s="60"/>
      <c r="E1322" s="60"/>
    </row>
    <row r="1323" spans="1:5" x14ac:dyDescent="0.25">
      <c r="A1323" s="62"/>
      <c r="B1323" s="60"/>
      <c r="C1323" s="60"/>
      <c r="D1323" s="60"/>
      <c r="E1323" s="60"/>
    </row>
    <row r="1324" spans="1:5" x14ac:dyDescent="0.25">
      <c r="A1324" s="62"/>
      <c r="B1324" s="60"/>
      <c r="C1324" s="60"/>
      <c r="D1324" s="60"/>
      <c r="E1324" s="60"/>
    </row>
    <row r="1325" spans="1:5" x14ac:dyDescent="0.25">
      <c r="A1325" s="62"/>
      <c r="B1325" s="60"/>
      <c r="C1325" s="60"/>
      <c r="D1325" s="60"/>
      <c r="E1325" s="60"/>
    </row>
    <row r="1326" spans="1:5" x14ac:dyDescent="0.25">
      <c r="A1326" s="62"/>
      <c r="B1326" s="60"/>
      <c r="C1326" s="60"/>
      <c r="D1326" s="60"/>
      <c r="E1326" s="60"/>
    </row>
    <row r="1327" spans="1:5" x14ac:dyDescent="0.25">
      <c r="A1327" s="62"/>
      <c r="B1327" s="60"/>
      <c r="C1327" s="60"/>
      <c r="D1327" s="60"/>
      <c r="E1327" s="60"/>
    </row>
    <row r="1328" spans="1:5" x14ac:dyDescent="0.25">
      <c r="A1328" s="62"/>
      <c r="B1328" s="60"/>
      <c r="C1328" s="60"/>
      <c r="D1328" s="60"/>
      <c r="E1328" s="60"/>
    </row>
    <row r="1329" spans="1:5" x14ac:dyDescent="0.25">
      <c r="A1329" s="62"/>
      <c r="B1329" s="60"/>
      <c r="C1329" s="60"/>
      <c r="D1329" s="60"/>
      <c r="E1329" s="60"/>
    </row>
    <row r="1330" spans="1:5" x14ac:dyDescent="0.25">
      <c r="A1330" s="62"/>
      <c r="B1330" s="60"/>
      <c r="C1330" s="60"/>
      <c r="D1330" s="60"/>
      <c r="E1330" s="60"/>
    </row>
    <row r="1331" spans="1:5" x14ac:dyDescent="0.25">
      <c r="A1331" s="62"/>
      <c r="B1331" s="60"/>
      <c r="C1331" s="60"/>
      <c r="D1331" s="60"/>
      <c r="E1331" s="60"/>
    </row>
    <row r="1332" spans="1:5" x14ac:dyDescent="0.25">
      <c r="A1332" s="62"/>
      <c r="B1332" s="60"/>
      <c r="C1332" s="60"/>
      <c r="D1332" s="60"/>
      <c r="E1332" s="60"/>
    </row>
    <row r="1333" spans="1:5" x14ac:dyDescent="0.25">
      <c r="A1333" s="62"/>
      <c r="B1333" s="60"/>
      <c r="C1333" s="60"/>
      <c r="D1333" s="60"/>
      <c r="E1333" s="60"/>
    </row>
    <row r="1334" spans="1:5" x14ac:dyDescent="0.25">
      <c r="A1334" s="62"/>
      <c r="B1334" s="60"/>
      <c r="C1334" s="60"/>
      <c r="D1334" s="60"/>
      <c r="E1334" s="60"/>
    </row>
    <row r="1335" spans="1:5" x14ac:dyDescent="0.25">
      <c r="A1335" s="62"/>
      <c r="B1335" s="60"/>
      <c r="C1335" s="60"/>
      <c r="D1335" s="60"/>
      <c r="E1335" s="60"/>
    </row>
    <row r="1336" spans="1:5" x14ac:dyDescent="0.25">
      <c r="A1336" s="62"/>
      <c r="B1336" s="60"/>
      <c r="C1336" s="60"/>
      <c r="D1336" s="60"/>
      <c r="E1336" s="60"/>
    </row>
    <row r="1337" spans="1:5" x14ac:dyDescent="0.25">
      <c r="A1337" s="62"/>
      <c r="B1337" s="60"/>
      <c r="C1337" s="60"/>
      <c r="D1337" s="60"/>
      <c r="E1337" s="60"/>
    </row>
    <row r="1338" spans="1:5" x14ac:dyDescent="0.25">
      <c r="A1338" s="62"/>
      <c r="B1338" s="60"/>
      <c r="C1338" s="60"/>
      <c r="D1338" s="60"/>
      <c r="E1338" s="60"/>
    </row>
    <row r="1339" spans="1:5" x14ac:dyDescent="0.25">
      <c r="A1339" s="62"/>
      <c r="B1339" s="60"/>
      <c r="C1339" s="60"/>
      <c r="D1339" s="60"/>
      <c r="E1339" s="60"/>
    </row>
    <row r="1340" spans="1:5" x14ac:dyDescent="0.25">
      <c r="A1340" s="62"/>
      <c r="B1340" s="60"/>
      <c r="C1340" s="60"/>
      <c r="D1340" s="60"/>
      <c r="E1340" s="60"/>
    </row>
    <row r="1341" spans="1:5" x14ac:dyDescent="0.25">
      <c r="A1341" s="62"/>
      <c r="B1341" s="60"/>
      <c r="C1341" s="60"/>
      <c r="D1341" s="60"/>
      <c r="E1341" s="60"/>
    </row>
    <row r="1342" spans="1:5" x14ac:dyDescent="0.25">
      <c r="A1342" s="62"/>
      <c r="B1342" s="60"/>
      <c r="C1342" s="60"/>
      <c r="D1342" s="60"/>
      <c r="E1342" s="60"/>
    </row>
    <row r="1343" spans="1:5" x14ac:dyDescent="0.25">
      <c r="A1343" s="62"/>
      <c r="B1343" s="60"/>
      <c r="C1343" s="60"/>
      <c r="D1343" s="60"/>
      <c r="E1343" s="60"/>
    </row>
    <row r="1344" spans="1:5" x14ac:dyDescent="0.25">
      <c r="A1344" s="62"/>
      <c r="B1344" s="60"/>
      <c r="C1344" s="60"/>
      <c r="D1344" s="60"/>
      <c r="E1344" s="60"/>
    </row>
    <row r="1345" spans="1:5" x14ac:dyDescent="0.25">
      <c r="A1345" s="62"/>
      <c r="B1345" s="60"/>
      <c r="C1345" s="60"/>
      <c r="D1345" s="60"/>
      <c r="E1345" s="60"/>
    </row>
    <row r="1346" spans="1:5" x14ac:dyDescent="0.25">
      <c r="A1346" s="62"/>
      <c r="B1346" s="60"/>
      <c r="C1346" s="60"/>
      <c r="D1346" s="60"/>
      <c r="E1346" s="60"/>
    </row>
    <row r="1347" spans="1:5" x14ac:dyDescent="0.25">
      <c r="A1347" s="62"/>
      <c r="B1347" s="60"/>
      <c r="C1347" s="60"/>
      <c r="D1347" s="60"/>
      <c r="E1347" s="60"/>
    </row>
    <row r="1348" spans="1:5" x14ac:dyDescent="0.25">
      <c r="A1348" s="62"/>
      <c r="B1348" s="60"/>
      <c r="C1348" s="60"/>
      <c r="D1348" s="60"/>
      <c r="E1348" s="60"/>
    </row>
    <row r="1349" spans="1:5" x14ac:dyDescent="0.25">
      <c r="A1349" s="62"/>
      <c r="B1349" s="60"/>
      <c r="C1349" s="60"/>
      <c r="D1349" s="60"/>
      <c r="E1349" s="60"/>
    </row>
    <row r="1350" spans="1:5" x14ac:dyDescent="0.25">
      <c r="A1350" s="62"/>
      <c r="B1350" s="60"/>
      <c r="C1350" s="60"/>
      <c r="D1350" s="60"/>
      <c r="E1350" s="60"/>
    </row>
    <row r="1351" spans="1:5" x14ac:dyDescent="0.25">
      <c r="A1351" s="62"/>
      <c r="B1351" s="60"/>
      <c r="C1351" s="60"/>
      <c r="D1351" s="60"/>
      <c r="E1351" s="60"/>
    </row>
    <row r="1352" spans="1:5" x14ac:dyDescent="0.25">
      <c r="A1352" s="62"/>
      <c r="B1352" s="60"/>
      <c r="C1352" s="60"/>
      <c r="D1352" s="60"/>
      <c r="E1352" s="60"/>
    </row>
    <row r="1353" spans="1:5" x14ac:dyDescent="0.25">
      <c r="A1353" s="62"/>
      <c r="B1353" s="60"/>
      <c r="C1353" s="60"/>
      <c r="D1353" s="60"/>
      <c r="E1353" s="60"/>
    </row>
    <row r="1354" spans="1:5" x14ac:dyDescent="0.25">
      <c r="A1354" s="62"/>
      <c r="B1354" s="60"/>
      <c r="C1354" s="60"/>
      <c r="D1354" s="60"/>
      <c r="E1354" s="60"/>
    </row>
    <row r="1355" spans="1:5" x14ac:dyDescent="0.25">
      <c r="A1355" s="62"/>
      <c r="B1355" s="60"/>
      <c r="C1355" s="60"/>
      <c r="D1355" s="60"/>
      <c r="E1355" s="60"/>
    </row>
    <row r="1356" spans="1:5" x14ac:dyDescent="0.25">
      <c r="A1356" s="62"/>
      <c r="B1356" s="60"/>
      <c r="C1356" s="60"/>
      <c r="D1356" s="60"/>
      <c r="E1356" s="60"/>
    </row>
    <row r="1357" spans="1:5" x14ac:dyDescent="0.25">
      <c r="A1357" s="62"/>
      <c r="B1357" s="60"/>
      <c r="C1357" s="60"/>
      <c r="D1357" s="60"/>
      <c r="E1357" s="60"/>
    </row>
    <row r="1358" spans="1:5" x14ac:dyDescent="0.25">
      <c r="A1358" s="62"/>
      <c r="B1358" s="60"/>
      <c r="C1358" s="60"/>
      <c r="D1358" s="60"/>
      <c r="E1358" s="60"/>
    </row>
    <row r="1359" spans="1:5" x14ac:dyDescent="0.25">
      <c r="A1359" s="62"/>
      <c r="B1359" s="60"/>
      <c r="C1359" s="60"/>
      <c r="D1359" s="60"/>
      <c r="E1359" s="60"/>
    </row>
    <row r="1360" spans="1:5" x14ac:dyDescent="0.25">
      <c r="A1360" s="62"/>
      <c r="B1360" s="60"/>
      <c r="C1360" s="60"/>
      <c r="D1360" s="60"/>
      <c r="E1360" s="60"/>
    </row>
    <row r="1361" spans="1:5" x14ac:dyDescent="0.25">
      <c r="A1361" s="62"/>
      <c r="B1361" s="60"/>
      <c r="C1361" s="60"/>
      <c r="D1361" s="60"/>
      <c r="E1361" s="60"/>
    </row>
    <row r="1362" spans="1:5" x14ac:dyDescent="0.25">
      <c r="A1362" s="62"/>
      <c r="B1362" s="60"/>
      <c r="C1362" s="60"/>
      <c r="D1362" s="60"/>
      <c r="E1362" s="60"/>
    </row>
    <row r="1363" spans="1:5" x14ac:dyDescent="0.25">
      <c r="A1363" s="62"/>
      <c r="B1363" s="60"/>
      <c r="C1363" s="60"/>
      <c r="D1363" s="60"/>
      <c r="E1363" s="60"/>
    </row>
    <row r="1364" spans="1:5" x14ac:dyDescent="0.25">
      <c r="A1364" s="62"/>
      <c r="B1364" s="60"/>
      <c r="C1364" s="60"/>
      <c r="D1364" s="60"/>
      <c r="E1364" s="60"/>
    </row>
    <row r="1365" spans="1:5" x14ac:dyDescent="0.25">
      <c r="A1365" s="62"/>
      <c r="B1365" s="60"/>
      <c r="C1365" s="60"/>
      <c r="D1365" s="60"/>
      <c r="E1365" s="60"/>
    </row>
    <row r="1366" spans="1:5" x14ac:dyDescent="0.25">
      <c r="A1366" s="62"/>
      <c r="B1366" s="60"/>
      <c r="C1366" s="60"/>
      <c r="D1366" s="60"/>
      <c r="E1366" s="60"/>
    </row>
    <row r="1367" spans="1:5" x14ac:dyDescent="0.25">
      <c r="A1367" s="62"/>
      <c r="B1367" s="60"/>
      <c r="C1367" s="60"/>
      <c r="D1367" s="60"/>
      <c r="E1367" s="60"/>
    </row>
    <row r="1368" spans="1:5" x14ac:dyDescent="0.25">
      <c r="A1368" s="62"/>
      <c r="B1368" s="60"/>
      <c r="C1368" s="60"/>
      <c r="D1368" s="60"/>
      <c r="E1368" s="60"/>
    </row>
    <row r="1369" spans="1:5" x14ac:dyDescent="0.25">
      <c r="A1369" s="62"/>
      <c r="B1369" s="60"/>
      <c r="C1369" s="60"/>
      <c r="D1369" s="60"/>
      <c r="E1369" s="60"/>
    </row>
    <row r="1370" spans="1:5" x14ac:dyDescent="0.25">
      <c r="A1370" s="62"/>
      <c r="B1370" s="60"/>
      <c r="C1370" s="60"/>
      <c r="D1370" s="60"/>
      <c r="E1370" s="60"/>
    </row>
    <row r="1371" spans="1:5" x14ac:dyDescent="0.25">
      <c r="A1371" s="62"/>
      <c r="B1371" s="60"/>
      <c r="C1371" s="60"/>
      <c r="D1371" s="60"/>
      <c r="E1371" s="60"/>
    </row>
    <row r="1372" spans="1:5" x14ac:dyDescent="0.25">
      <c r="A1372" s="62"/>
      <c r="B1372" s="60"/>
      <c r="C1372" s="60"/>
      <c r="D1372" s="60"/>
      <c r="E1372" s="60"/>
    </row>
    <row r="1373" spans="1:5" x14ac:dyDescent="0.25">
      <c r="A1373" s="62"/>
      <c r="B1373" s="60"/>
      <c r="C1373" s="60"/>
      <c r="D1373" s="60"/>
      <c r="E1373" s="60"/>
    </row>
    <row r="1374" spans="1:5" x14ac:dyDescent="0.25">
      <c r="A1374" s="62"/>
      <c r="B1374" s="60"/>
      <c r="C1374" s="60"/>
      <c r="D1374" s="60"/>
      <c r="E1374" s="60"/>
    </row>
    <row r="1375" spans="1:5" x14ac:dyDescent="0.25">
      <c r="A1375" s="62"/>
      <c r="B1375" s="60"/>
      <c r="C1375" s="60"/>
      <c r="D1375" s="60"/>
      <c r="E1375" s="60"/>
    </row>
    <row r="1376" spans="1:5" x14ac:dyDescent="0.25">
      <c r="A1376" s="62"/>
      <c r="B1376" s="60"/>
      <c r="C1376" s="60"/>
      <c r="D1376" s="60"/>
      <c r="E1376" s="60"/>
    </row>
    <row r="1377" spans="1:5" x14ac:dyDescent="0.25">
      <c r="A1377" s="62"/>
      <c r="B1377" s="60"/>
      <c r="C1377" s="60"/>
      <c r="D1377" s="60"/>
      <c r="E1377" s="60"/>
    </row>
    <row r="1378" spans="1:5" x14ac:dyDescent="0.25">
      <c r="A1378" s="62"/>
      <c r="B1378" s="60"/>
      <c r="C1378" s="60"/>
      <c r="D1378" s="60"/>
      <c r="E1378" s="60"/>
    </row>
    <row r="1379" spans="1:5" x14ac:dyDescent="0.25">
      <c r="A1379" s="62"/>
      <c r="B1379" s="60"/>
      <c r="C1379" s="60"/>
      <c r="D1379" s="60"/>
      <c r="E1379" s="60"/>
    </row>
    <row r="1380" spans="1:5" x14ac:dyDescent="0.25">
      <c r="A1380" s="62"/>
      <c r="B1380" s="60"/>
      <c r="C1380" s="60"/>
      <c r="D1380" s="60"/>
      <c r="E1380" s="60"/>
    </row>
    <row r="1381" spans="1:5" x14ac:dyDescent="0.25">
      <c r="A1381" s="62"/>
      <c r="B1381" s="60"/>
      <c r="C1381" s="60"/>
      <c r="D1381" s="60"/>
      <c r="E1381" s="60"/>
    </row>
    <row r="1382" spans="1:5" x14ac:dyDescent="0.25">
      <c r="A1382" s="62"/>
      <c r="B1382" s="60"/>
      <c r="C1382" s="60"/>
      <c r="D1382" s="60"/>
      <c r="E1382" s="60"/>
    </row>
    <row r="1383" spans="1:5" x14ac:dyDescent="0.25">
      <c r="A1383" s="62"/>
      <c r="B1383" s="60"/>
      <c r="C1383" s="60"/>
      <c r="D1383" s="60"/>
      <c r="E1383" s="60"/>
    </row>
    <row r="1384" spans="1:5" x14ac:dyDescent="0.25">
      <c r="A1384" s="62"/>
      <c r="B1384" s="60"/>
      <c r="C1384" s="60"/>
      <c r="D1384" s="60"/>
      <c r="E1384" s="60"/>
    </row>
    <row r="1385" spans="1:5" x14ac:dyDescent="0.25">
      <c r="A1385" s="62"/>
      <c r="B1385" s="60"/>
      <c r="C1385" s="60"/>
      <c r="D1385" s="60"/>
      <c r="E1385" s="60"/>
    </row>
    <row r="1386" spans="1:5" x14ac:dyDescent="0.25">
      <c r="A1386" s="62"/>
      <c r="B1386" s="60"/>
      <c r="C1386" s="60"/>
      <c r="D1386" s="60"/>
      <c r="E1386" s="60"/>
    </row>
    <row r="1387" spans="1:5" x14ac:dyDescent="0.25">
      <c r="A1387" s="62"/>
      <c r="B1387" s="60"/>
      <c r="C1387" s="60"/>
      <c r="D1387" s="60"/>
      <c r="E1387" s="60"/>
    </row>
    <row r="1388" spans="1:5" x14ac:dyDescent="0.25">
      <c r="A1388" s="62"/>
      <c r="B1388" s="60"/>
      <c r="C1388" s="60"/>
      <c r="D1388" s="60"/>
      <c r="E1388" s="60"/>
    </row>
    <row r="1389" spans="1:5" x14ac:dyDescent="0.25">
      <c r="A1389" s="62"/>
      <c r="B1389" s="60"/>
      <c r="C1389" s="60"/>
      <c r="D1389" s="60"/>
      <c r="E1389" s="60"/>
    </row>
    <row r="1390" spans="1:5" x14ac:dyDescent="0.25">
      <c r="A1390" s="62"/>
      <c r="B1390" s="60"/>
      <c r="C1390" s="60"/>
      <c r="D1390" s="60"/>
      <c r="E1390" s="60"/>
    </row>
    <row r="1391" spans="1:5" x14ac:dyDescent="0.25">
      <c r="A1391" s="62"/>
      <c r="B1391" s="60"/>
      <c r="C1391" s="60"/>
      <c r="D1391" s="60"/>
      <c r="E1391" s="60"/>
    </row>
    <row r="1392" spans="1:5" x14ac:dyDescent="0.25">
      <c r="A1392" s="62"/>
      <c r="B1392" s="60"/>
      <c r="C1392" s="60"/>
      <c r="D1392" s="60"/>
      <c r="E1392" s="60"/>
    </row>
    <row r="1393" spans="1:5" x14ac:dyDescent="0.25">
      <c r="A1393" s="62"/>
      <c r="B1393" s="60"/>
      <c r="C1393" s="60"/>
      <c r="D1393" s="60"/>
      <c r="E1393" s="60"/>
    </row>
    <row r="1394" spans="1:5" x14ac:dyDescent="0.25">
      <c r="A1394" s="62"/>
      <c r="B1394" s="60"/>
      <c r="C1394" s="60"/>
      <c r="D1394" s="60"/>
      <c r="E1394" s="60"/>
    </row>
    <row r="1395" spans="1:5" x14ac:dyDescent="0.25">
      <c r="A1395" s="62"/>
      <c r="B1395" s="60"/>
      <c r="C1395" s="60"/>
      <c r="D1395" s="60"/>
      <c r="E1395" s="60"/>
    </row>
    <row r="1396" spans="1:5" x14ac:dyDescent="0.25">
      <c r="A1396" s="62"/>
      <c r="B1396" s="60"/>
      <c r="C1396" s="60"/>
      <c r="D1396" s="60"/>
      <c r="E1396" s="60"/>
    </row>
    <row r="1397" spans="1:5" x14ac:dyDescent="0.25">
      <c r="A1397" s="62"/>
      <c r="B1397" s="60"/>
      <c r="C1397" s="60"/>
      <c r="D1397" s="60"/>
      <c r="E1397" s="60"/>
    </row>
    <row r="1398" spans="1:5" x14ac:dyDescent="0.25">
      <c r="A1398" s="62"/>
      <c r="B1398" s="60"/>
      <c r="C1398" s="60"/>
      <c r="D1398" s="60"/>
      <c r="E1398" s="60"/>
    </row>
    <row r="1399" spans="1:5" x14ac:dyDescent="0.25">
      <c r="A1399" s="62"/>
      <c r="B1399" s="60"/>
      <c r="C1399" s="60"/>
      <c r="D1399" s="60"/>
      <c r="E1399" s="60"/>
    </row>
    <row r="1400" spans="1:5" x14ac:dyDescent="0.25">
      <c r="A1400" s="62"/>
      <c r="B1400" s="60"/>
      <c r="C1400" s="60"/>
      <c r="D1400" s="60"/>
      <c r="E1400" s="60"/>
    </row>
    <row r="1401" spans="1:5" x14ac:dyDescent="0.25">
      <c r="A1401" s="62"/>
      <c r="B1401" s="60"/>
      <c r="C1401" s="60"/>
      <c r="D1401" s="60"/>
      <c r="E1401" s="60"/>
    </row>
    <row r="1402" spans="1:5" x14ac:dyDescent="0.25">
      <c r="A1402" s="62"/>
      <c r="B1402" s="60"/>
      <c r="C1402" s="60"/>
      <c r="D1402" s="60"/>
      <c r="E1402" s="60"/>
    </row>
    <row r="1403" spans="1:5" x14ac:dyDescent="0.25">
      <c r="A1403" s="62"/>
      <c r="B1403" s="60"/>
      <c r="C1403" s="60"/>
      <c r="D1403" s="60"/>
      <c r="E1403" s="60"/>
    </row>
    <row r="1404" spans="1:5" x14ac:dyDescent="0.25">
      <c r="A1404" s="62"/>
      <c r="B1404" s="60"/>
      <c r="C1404" s="60"/>
      <c r="D1404" s="60"/>
      <c r="E1404" s="60"/>
    </row>
    <row r="1405" spans="1:5" x14ac:dyDescent="0.25">
      <c r="A1405" s="62"/>
      <c r="B1405" s="60"/>
      <c r="C1405" s="60"/>
      <c r="D1405" s="60"/>
      <c r="E1405" s="60"/>
    </row>
    <row r="1406" spans="1:5" x14ac:dyDescent="0.25">
      <c r="A1406" s="62"/>
      <c r="B1406" s="60"/>
      <c r="C1406" s="60"/>
      <c r="D1406" s="60"/>
      <c r="E1406" s="60"/>
    </row>
    <row r="1407" spans="1:5" x14ac:dyDescent="0.25">
      <c r="A1407" s="62"/>
      <c r="B1407" s="60"/>
      <c r="C1407" s="60"/>
      <c r="D1407" s="60"/>
      <c r="E1407" s="60"/>
    </row>
    <row r="1408" spans="1:5" x14ac:dyDescent="0.25">
      <c r="A1408" s="62"/>
      <c r="B1408" s="60"/>
      <c r="C1408" s="60"/>
      <c r="D1408" s="60"/>
      <c r="E1408" s="60"/>
    </row>
    <row r="1409" spans="1:5" x14ac:dyDescent="0.25">
      <c r="A1409" s="62"/>
      <c r="B1409" s="60"/>
      <c r="C1409" s="60"/>
      <c r="D1409" s="60"/>
      <c r="E1409" s="60"/>
    </row>
    <row r="1410" spans="1:5" x14ac:dyDescent="0.25">
      <c r="A1410" s="62"/>
      <c r="B1410" s="60"/>
      <c r="C1410" s="60"/>
      <c r="D1410" s="60"/>
      <c r="E1410" s="60"/>
    </row>
    <row r="1411" spans="1:5" x14ac:dyDescent="0.25">
      <c r="A1411" s="62"/>
      <c r="B1411" s="60"/>
      <c r="C1411" s="60"/>
      <c r="D1411" s="60"/>
      <c r="E1411" s="60"/>
    </row>
    <row r="1412" spans="1:5" x14ac:dyDescent="0.25">
      <c r="A1412" s="62"/>
      <c r="B1412" s="60"/>
      <c r="C1412" s="60"/>
      <c r="D1412" s="60"/>
      <c r="E1412" s="60"/>
    </row>
    <row r="1413" spans="1:5" x14ac:dyDescent="0.25">
      <c r="A1413" s="62"/>
      <c r="B1413" s="60"/>
      <c r="C1413" s="60"/>
      <c r="D1413" s="60"/>
      <c r="E1413" s="60"/>
    </row>
    <row r="1414" spans="1:5" x14ac:dyDescent="0.25">
      <c r="A1414" s="62"/>
      <c r="B1414" s="60"/>
      <c r="C1414" s="60"/>
      <c r="D1414" s="60"/>
      <c r="E1414" s="60"/>
    </row>
    <row r="1415" spans="1:5" x14ac:dyDescent="0.25">
      <c r="A1415" s="62"/>
      <c r="B1415" s="60"/>
      <c r="C1415" s="60"/>
      <c r="D1415" s="60"/>
      <c r="E1415" s="60"/>
    </row>
    <row r="1416" spans="1:5" x14ac:dyDescent="0.25">
      <c r="A1416" s="62"/>
      <c r="B1416" s="60"/>
      <c r="C1416" s="60"/>
      <c r="D1416" s="60"/>
      <c r="E1416" s="60"/>
    </row>
    <row r="1417" spans="1:5" x14ac:dyDescent="0.25">
      <c r="A1417" s="62"/>
      <c r="B1417" s="60"/>
      <c r="C1417" s="60"/>
      <c r="D1417" s="60"/>
      <c r="E1417" s="60"/>
    </row>
    <row r="1418" spans="1:5" x14ac:dyDescent="0.25">
      <c r="A1418" s="62"/>
      <c r="B1418" s="60"/>
      <c r="C1418" s="60"/>
      <c r="D1418" s="60"/>
      <c r="E1418" s="60"/>
    </row>
    <row r="1419" spans="1:5" x14ac:dyDescent="0.25">
      <c r="A1419" s="62"/>
      <c r="B1419" s="60"/>
      <c r="C1419" s="60"/>
      <c r="D1419" s="60"/>
      <c r="E1419" s="60"/>
    </row>
    <row r="1420" spans="1:5" x14ac:dyDescent="0.25">
      <c r="A1420" s="62"/>
      <c r="B1420" s="60"/>
      <c r="C1420" s="60"/>
      <c r="D1420" s="60"/>
      <c r="E1420" s="60"/>
    </row>
    <row r="1421" spans="1:5" x14ac:dyDescent="0.25">
      <c r="A1421" s="62"/>
      <c r="B1421" s="60"/>
      <c r="C1421" s="60"/>
      <c r="D1421" s="60"/>
      <c r="E1421" s="60"/>
    </row>
    <row r="1422" spans="1:5" x14ac:dyDescent="0.25">
      <c r="A1422" s="62"/>
      <c r="B1422" s="60"/>
      <c r="C1422" s="60"/>
      <c r="D1422" s="60"/>
      <c r="E1422" s="60"/>
    </row>
    <row r="1423" spans="1:5" x14ac:dyDescent="0.25">
      <c r="A1423" s="62"/>
      <c r="B1423" s="60"/>
      <c r="C1423" s="60"/>
      <c r="D1423" s="60"/>
      <c r="E1423" s="60"/>
    </row>
    <row r="1424" spans="1:5" x14ac:dyDescent="0.25">
      <c r="A1424" s="62"/>
      <c r="B1424" s="60"/>
      <c r="C1424" s="60"/>
      <c r="D1424" s="60"/>
      <c r="E1424" s="60"/>
    </row>
    <row r="1425" spans="1:5" x14ac:dyDescent="0.25">
      <c r="A1425" s="62"/>
      <c r="B1425" s="60"/>
      <c r="C1425" s="60"/>
      <c r="D1425" s="60"/>
      <c r="E1425" s="60"/>
    </row>
    <row r="1426" spans="1:5" x14ac:dyDescent="0.25">
      <c r="A1426" s="62"/>
      <c r="B1426" s="60"/>
      <c r="C1426" s="60"/>
      <c r="D1426" s="60"/>
      <c r="E1426" s="60"/>
    </row>
    <row r="1427" spans="1:5" x14ac:dyDescent="0.25">
      <c r="A1427" s="62"/>
      <c r="B1427" s="60"/>
      <c r="C1427" s="60"/>
      <c r="D1427" s="60"/>
      <c r="E1427" s="60"/>
    </row>
    <row r="1428" spans="1:5" x14ac:dyDescent="0.25">
      <c r="A1428" s="62"/>
      <c r="B1428" s="60"/>
      <c r="C1428" s="60"/>
      <c r="D1428" s="60"/>
      <c r="E1428" s="60"/>
    </row>
    <row r="1429" spans="1:5" x14ac:dyDescent="0.25">
      <c r="A1429" s="62"/>
      <c r="B1429" s="60"/>
      <c r="C1429" s="60"/>
      <c r="D1429" s="60"/>
      <c r="E1429" s="60"/>
    </row>
    <row r="1430" spans="1:5" x14ac:dyDescent="0.25">
      <c r="A1430" s="62"/>
      <c r="B1430" s="60"/>
      <c r="C1430" s="60"/>
      <c r="D1430" s="60"/>
      <c r="E1430" s="60"/>
    </row>
  </sheetData>
  <sortState xmlns:xlrd2="http://schemas.microsoft.com/office/spreadsheetml/2017/richdata2" ref="A3:G1274">
    <sortCondition ref="E3:E1274"/>
  </sortState>
  <mergeCells count="18">
    <mergeCell ref="BI3:BI4"/>
    <mergeCell ref="AI2:AI3"/>
    <mergeCell ref="AJ2:AJ3"/>
    <mergeCell ref="AK2:AK3"/>
    <mergeCell ref="AZ3:AZ4"/>
    <mergeCell ref="BA3:BA4"/>
    <mergeCell ref="BB3:BB4"/>
    <mergeCell ref="BD3:BD4"/>
    <mergeCell ref="BE3:BE4"/>
    <mergeCell ref="BF3:BF4"/>
    <mergeCell ref="BG3:BG4"/>
    <mergeCell ref="BH3:BH4"/>
    <mergeCell ref="AL2:AL3"/>
    <mergeCell ref="AC2:AC3"/>
    <mergeCell ref="AD2:AD3"/>
    <mergeCell ref="AG2:AG3"/>
    <mergeCell ref="AH2:AH3"/>
    <mergeCell ref="AE2:AE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8AACB-3BE1-48BC-A3BC-10964A48D0FE}">
  <dimension ref="A1:H1135"/>
  <sheetViews>
    <sheetView tabSelected="1" workbookViewId="0">
      <selection activeCell="H206" sqref="H206"/>
    </sheetView>
  </sheetViews>
  <sheetFormatPr defaultRowHeight="15.75" x14ac:dyDescent="0.25"/>
  <sheetData>
    <row r="1" spans="1:8" x14ac:dyDescent="0.25">
      <c r="A1" t="s">
        <v>182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  <c r="G1" t="s">
        <v>47</v>
      </c>
      <c r="H1" t="s">
        <v>104</v>
      </c>
    </row>
    <row r="2" spans="1:8" x14ac:dyDescent="0.25">
      <c r="A2" s="31" t="s">
        <v>116</v>
      </c>
      <c r="B2">
        <v>2025</v>
      </c>
      <c r="C2" t="str">
        <f>A2&amp;"_"&amp;B2</f>
        <v>Burlington_2025</v>
      </c>
      <c r="D2" s="32">
        <v>1</v>
      </c>
      <c r="E2" s="32">
        <v>10</v>
      </c>
      <c r="F2" s="32">
        <v>2</v>
      </c>
      <c r="G2" s="32">
        <v>1</v>
      </c>
      <c r="H2">
        <v>64.18601357142856</v>
      </c>
    </row>
    <row r="3" spans="1:8" x14ac:dyDescent="0.25">
      <c r="A3" s="31" t="s">
        <v>116</v>
      </c>
      <c r="B3">
        <v>2025</v>
      </c>
      <c r="C3" t="str">
        <f t="shared" ref="C3:C66" si="0">A3&amp;"_"&amp;B3</f>
        <v>Burlington_2025</v>
      </c>
      <c r="D3" s="32">
        <v>2</v>
      </c>
      <c r="E3" s="32">
        <v>4</v>
      </c>
      <c r="F3" s="32">
        <v>5</v>
      </c>
      <c r="G3" s="32">
        <v>1</v>
      </c>
      <c r="H3">
        <v>68.136537005163504</v>
      </c>
    </row>
    <row r="4" spans="1:8" x14ac:dyDescent="0.25">
      <c r="A4" s="31" t="s">
        <v>116</v>
      </c>
      <c r="B4">
        <v>2025</v>
      </c>
      <c r="C4" t="str">
        <f t="shared" si="0"/>
        <v>Burlington_2025</v>
      </c>
      <c r="D4" s="32">
        <v>3</v>
      </c>
      <c r="E4" s="32">
        <v>1</v>
      </c>
      <c r="F4" s="32">
        <v>10</v>
      </c>
      <c r="G4" s="32">
        <v>1</v>
      </c>
      <c r="H4">
        <v>72.197407923169251</v>
      </c>
    </row>
    <row r="5" spans="1:8" x14ac:dyDescent="0.25">
      <c r="A5" s="34" t="s">
        <v>97</v>
      </c>
      <c r="B5">
        <v>2025</v>
      </c>
      <c r="C5" t="str">
        <f t="shared" si="0"/>
        <v>Lamar_2025</v>
      </c>
      <c r="D5" s="35">
        <v>1</v>
      </c>
      <c r="E5" s="35">
        <v>12</v>
      </c>
      <c r="F5" s="35">
        <v>1</v>
      </c>
      <c r="G5" s="35">
        <v>1</v>
      </c>
      <c r="H5">
        <v>84.050057142857142</v>
      </c>
    </row>
    <row r="6" spans="1:8" x14ac:dyDescent="0.25">
      <c r="A6" s="34" t="s">
        <v>97</v>
      </c>
      <c r="B6">
        <v>2025</v>
      </c>
      <c r="C6" t="str">
        <f t="shared" si="0"/>
        <v>Lamar_2025</v>
      </c>
      <c r="D6" s="35">
        <v>2</v>
      </c>
      <c r="E6" s="35">
        <v>14</v>
      </c>
      <c r="F6" s="35">
        <v>3</v>
      </c>
      <c r="G6" s="35">
        <v>1</v>
      </c>
      <c r="H6">
        <v>75.911964949548576</v>
      </c>
    </row>
    <row r="7" spans="1:8" x14ac:dyDescent="0.25">
      <c r="A7" s="34" t="s">
        <v>97</v>
      </c>
      <c r="B7">
        <v>2025</v>
      </c>
      <c r="C7" t="str">
        <f t="shared" si="0"/>
        <v>Lamar_2025</v>
      </c>
      <c r="D7" s="35">
        <v>3</v>
      </c>
      <c r="E7" s="35">
        <v>16</v>
      </c>
      <c r="F7" s="35">
        <v>5</v>
      </c>
      <c r="G7" s="35">
        <v>1</v>
      </c>
      <c r="H7">
        <v>81.859025010597705</v>
      </c>
    </row>
    <row r="8" spans="1:8" x14ac:dyDescent="0.25">
      <c r="A8" s="31" t="s">
        <v>132</v>
      </c>
      <c r="B8">
        <v>2025</v>
      </c>
      <c r="C8" t="str">
        <f t="shared" si="0"/>
        <v>SLake_2025</v>
      </c>
      <c r="D8" s="32">
        <v>1</v>
      </c>
      <c r="E8" s="32">
        <v>16</v>
      </c>
      <c r="F8" s="32">
        <v>2</v>
      </c>
      <c r="G8" s="32">
        <v>1</v>
      </c>
      <c r="H8">
        <v>69.084826189672626</v>
      </c>
    </row>
    <row r="9" spans="1:8" x14ac:dyDescent="0.25">
      <c r="A9" s="31" t="s">
        <v>132</v>
      </c>
      <c r="B9">
        <v>2025</v>
      </c>
      <c r="C9" t="str">
        <f t="shared" si="0"/>
        <v>SLake_2025</v>
      </c>
      <c r="D9" s="32">
        <v>2</v>
      </c>
      <c r="E9" s="32">
        <v>20</v>
      </c>
      <c r="F9" s="32">
        <v>4</v>
      </c>
      <c r="G9" s="32">
        <v>1</v>
      </c>
      <c r="H9">
        <v>63.577760459792508</v>
      </c>
    </row>
    <row r="10" spans="1:8" x14ac:dyDescent="0.25">
      <c r="A10" s="31" t="s">
        <v>132</v>
      </c>
      <c r="B10">
        <v>2025</v>
      </c>
      <c r="C10" t="str">
        <f t="shared" si="0"/>
        <v>SLake_2025</v>
      </c>
      <c r="D10" s="32">
        <v>3</v>
      </c>
      <c r="E10" s="32">
        <v>19</v>
      </c>
      <c r="F10" s="32">
        <v>5</v>
      </c>
      <c r="G10" s="32">
        <v>1</v>
      </c>
      <c r="H10">
        <v>67.374097844745378</v>
      </c>
    </row>
    <row r="11" spans="1:8" x14ac:dyDescent="0.25">
      <c r="A11" s="31" t="s">
        <v>13</v>
      </c>
      <c r="B11">
        <v>2025</v>
      </c>
      <c r="C11" t="str">
        <f t="shared" si="0"/>
        <v>Walsh_2025</v>
      </c>
      <c r="D11" s="32">
        <v>1</v>
      </c>
      <c r="E11" s="36">
        <v>4</v>
      </c>
      <c r="F11" s="36">
        <v>2</v>
      </c>
      <c r="G11" s="32">
        <v>1</v>
      </c>
      <c r="H11">
        <v>70.231754999999993</v>
      </c>
    </row>
    <row r="12" spans="1:8" x14ac:dyDescent="0.25">
      <c r="A12" s="31" t="s">
        <v>13</v>
      </c>
      <c r="B12">
        <v>2025</v>
      </c>
      <c r="C12" t="str">
        <f t="shared" si="0"/>
        <v>Walsh_2025</v>
      </c>
      <c r="D12" s="32">
        <v>2</v>
      </c>
      <c r="E12" s="36">
        <v>10</v>
      </c>
      <c r="F12" s="36">
        <v>4</v>
      </c>
      <c r="G12" s="32">
        <v>1</v>
      </c>
      <c r="H12">
        <v>68.552494999999993</v>
      </c>
    </row>
    <row r="13" spans="1:8" x14ac:dyDescent="0.25">
      <c r="A13" s="31" t="s">
        <v>13</v>
      </c>
      <c r="B13">
        <v>2025</v>
      </c>
      <c r="C13" t="str">
        <f t="shared" si="0"/>
        <v>Walsh_2025</v>
      </c>
      <c r="D13" s="32">
        <v>3</v>
      </c>
      <c r="E13" s="36">
        <v>5</v>
      </c>
      <c r="F13" s="36">
        <v>5</v>
      </c>
      <c r="G13" s="32">
        <v>1</v>
      </c>
      <c r="H13">
        <v>61.182274999999997</v>
      </c>
    </row>
    <row r="14" spans="1:8" x14ac:dyDescent="0.25">
      <c r="A14" t="s">
        <v>7</v>
      </c>
      <c r="B14">
        <v>2025</v>
      </c>
      <c r="C14" t="str">
        <f t="shared" si="0"/>
        <v>Akron_2025</v>
      </c>
      <c r="D14" s="11">
        <v>1</v>
      </c>
      <c r="E14" s="11">
        <v>1</v>
      </c>
      <c r="F14" s="11">
        <v>2</v>
      </c>
      <c r="G14" s="11">
        <v>1</v>
      </c>
      <c r="H14">
        <v>44.912725309336338</v>
      </c>
    </row>
    <row r="15" spans="1:8" x14ac:dyDescent="0.25">
      <c r="A15" t="s">
        <v>7</v>
      </c>
      <c r="B15">
        <v>2025</v>
      </c>
      <c r="C15" t="str">
        <f t="shared" si="0"/>
        <v>Akron_2025</v>
      </c>
      <c r="D15" s="11">
        <v>2</v>
      </c>
      <c r="E15" s="11">
        <v>7</v>
      </c>
      <c r="F15" s="11">
        <v>5</v>
      </c>
      <c r="G15" s="11">
        <v>1</v>
      </c>
      <c r="H15">
        <v>47.429500988380497</v>
      </c>
    </row>
    <row r="16" spans="1:8" x14ac:dyDescent="0.25">
      <c r="A16" t="s">
        <v>7</v>
      </c>
      <c r="B16">
        <v>2025</v>
      </c>
      <c r="C16" t="str">
        <f t="shared" si="0"/>
        <v>Akron_2025</v>
      </c>
      <c r="D16" s="11">
        <v>3</v>
      </c>
      <c r="E16" s="11">
        <v>10</v>
      </c>
      <c r="F16" s="11">
        <v>11</v>
      </c>
      <c r="G16" s="11">
        <v>1</v>
      </c>
      <c r="H16">
        <v>47.942662293816916</v>
      </c>
    </row>
    <row r="17" spans="1:8" x14ac:dyDescent="0.25">
      <c r="A17" s="31" t="s">
        <v>156</v>
      </c>
      <c r="B17">
        <v>2025</v>
      </c>
      <c r="C17" t="str">
        <f t="shared" si="0"/>
        <v>Genoa_2025</v>
      </c>
      <c r="D17" s="32">
        <v>1</v>
      </c>
      <c r="E17" s="32">
        <v>16</v>
      </c>
      <c r="F17" s="32">
        <v>2</v>
      </c>
      <c r="G17" s="32">
        <v>1</v>
      </c>
      <c r="H17">
        <v>70.601545023696659</v>
      </c>
    </row>
    <row r="18" spans="1:8" x14ac:dyDescent="0.25">
      <c r="A18" s="31" t="s">
        <v>156</v>
      </c>
      <c r="B18">
        <v>2025</v>
      </c>
      <c r="C18" t="str">
        <f t="shared" si="0"/>
        <v>Genoa_2025</v>
      </c>
      <c r="D18" s="32">
        <v>2</v>
      </c>
      <c r="E18" s="32">
        <v>26</v>
      </c>
      <c r="F18" s="32">
        <v>3</v>
      </c>
      <c r="G18" s="32">
        <v>1</v>
      </c>
      <c r="H18">
        <v>50.922662600646063</v>
      </c>
    </row>
    <row r="19" spans="1:8" x14ac:dyDescent="0.25">
      <c r="A19" s="31" t="s">
        <v>156</v>
      </c>
      <c r="B19">
        <v>2025</v>
      </c>
      <c r="C19" t="str">
        <f t="shared" si="0"/>
        <v>Genoa_2025</v>
      </c>
      <c r="D19" s="32">
        <v>3</v>
      </c>
      <c r="E19" s="32">
        <v>21</v>
      </c>
      <c r="F19" s="32">
        <v>5</v>
      </c>
      <c r="G19" s="32">
        <v>1</v>
      </c>
      <c r="H19">
        <v>54.297751233194688</v>
      </c>
    </row>
    <row r="20" spans="1:8" x14ac:dyDescent="0.25">
      <c r="A20" s="31" t="s">
        <v>10</v>
      </c>
      <c r="B20">
        <v>2025</v>
      </c>
      <c r="C20" t="str">
        <f t="shared" si="0"/>
        <v>Julesburg_2025</v>
      </c>
      <c r="D20" s="32">
        <v>1</v>
      </c>
      <c r="E20" s="32">
        <v>4</v>
      </c>
      <c r="F20" s="32">
        <v>2</v>
      </c>
      <c r="G20" s="32">
        <v>1</v>
      </c>
      <c r="H20">
        <v>66.133944821609134</v>
      </c>
    </row>
    <row r="21" spans="1:8" x14ac:dyDescent="0.25">
      <c r="A21" s="31" t="s">
        <v>10</v>
      </c>
      <c r="B21">
        <v>2025</v>
      </c>
      <c r="C21" t="str">
        <f t="shared" si="0"/>
        <v>Julesburg_2025</v>
      </c>
      <c r="D21" s="32">
        <v>2</v>
      </c>
      <c r="E21" s="32">
        <v>11</v>
      </c>
      <c r="F21" s="32">
        <v>6</v>
      </c>
      <c r="G21" s="32">
        <v>1</v>
      </c>
      <c r="H21">
        <v>68.463534743202416</v>
      </c>
    </row>
    <row r="22" spans="1:8" x14ac:dyDescent="0.25">
      <c r="A22" s="31" t="s">
        <v>10</v>
      </c>
      <c r="B22">
        <v>2025</v>
      </c>
      <c r="C22" t="str">
        <f t="shared" si="0"/>
        <v>Julesburg_2025</v>
      </c>
      <c r="D22" s="32">
        <v>3</v>
      </c>
      <c r="E22" s="32">
        <v>5</v>
      </c>
      <c r="F22" s="32">
        <v>12</v>
      </c>
      <c r="G22" s="32">
        <v>1</v>
      </c>
      <c r="H22">
        <v>74.19608791208789</v>
      </c>
    </row>
    <row r="23" spans="1:8" x14ac:dyDescent="0.25">
      <c r="A23" s="31" t="s">
        <v>11</v>
      </c>
      <c r="B23">
        <v>2025</v>
      </c>
      <c r="C23" t="str">
        <f t="shared" si="0"/>
        <v>Orchard_2025</v>
      </c>
      <c r="D23" s="32">
        <v>1</v>
      </c>
      <c r="E23" s="32">
        <v>18</v>
      </c>
      <c r="F23" s="32">
        <v>1</v>
      </c>
      <c r="G23" s="11">
        <v>1</v>
      </c>
      <c r="H23">
        <v>25.266810010574545</v>
      </c>
    </row>
    <row r="24" spans="1:8" x14ac:dyDescent="0.25">
      <c r="A24" s="31" t="s">
        <v>11</v>
      </c>
      <c r="B24">
        <v>2025</v>
      </c>
      <c r="C24" t="str">
        <f t="shared" si="0"/>
        <v>Orchard_2025</v>
      </c>
      <c r="D24" s="32">
        <v>2</v>
      </c>
      <c r="E24" s="32">
        <v>12</v>
      </c>
      <c r="F24" s="32">
        <v>5</v>
      </c>
      <c r="G24" s="11">
        <v>1</v>
      </c>
      <c r="H24">
        <v>21.039716488673911</v>
      </c>
    </row>
    <row r="25" spans="1:8" x14ac:dyDescent="0.25">
      <c r="A25" s="31" t="s">
        <v>11</v>
      </c>
      <c r="B25">
        <v>2025</v>
      </c>
      <c r="C25" t="str">
        <f t="shared" si="0"/>
        <v>Orchard_2025</v>
      </c>
      <c r="D25" s="32">
        <v>3</v>
      </c>
      <c r="E25" s="32">
        <v>14</v>
      </c>
      <c r="F25" s="32">
        <v>8</v>
      </c>
      <c r="G25" s="11">
        <v>1</v>
      </c>
      <c r="H25">
        <v>21.68571428571428</v>
      </c>
    </row>
    <row r="26" spans="1:8" x14ac:dyDescent="0.25">
      <c r="A26" t="s">
        <v>160</v>
      </c>
      <c r="B26">
        <v>2025</v>
      </c>
      <c r="C26" t="str">
        <f t="shared" si="0"/>
        <v>Yuma_2025</v>
      </c>
      <c r="D26">
        <v>1</v>
      </c>
      <c r="E26" s="36">
        <v>4</v>
      </c>
      <c r="F26" s="36">
        <v>2</v>
      </c>
      <c r="G26" s="32">
        <v>1</v>
      </c>
      <c r="H26">
        <v>97.245326876513317</v>
      </c>
    </row>
    <row r="27" spans="1:8" x14ac:dyDescent="0.25">
      <c r="A27" t="s">
        <v>160</v>
      </c>
      <c r="B27">
        <v>2025</v>
      </c>
      <c r="C27" t="str">
        <f t="shared" si="0"/>
        <v>Yuma_2025</v>
      </c>
      <c r="D27">
        <v>2</v>
      </c>
      <c r="E27" s="36">
        <v>23</v>
      </c>
      <c r="F27" s="36">
        <v>3</v>
      </c>
      <c r="G27" s="32">
        <v>1</v>
      </c>
      <c r="H27">
        <v>90.784396076026951</v>
      </c>
    </row>
    <row r="28" spans="1:8" x14ac:dyDescent="0.25">
      <c r="A28" t="s">
        <v>160</v>
      </c>
      <c r="B28">
        <v>2025</v>
      </c>
      <c r="C28" t="str">
        <f t="shared" si="0"/>
        <v>Yuma_2025</v>
      </c>
      <c r="D28">
        <v>3</v>
      </c>
      <c r="E28" s="36">
        <v>3</v>
      </c>
      <c r="F28" s="36">
        <v>5</v>
      </c>
      <c r="G28" s="32">
        <v>1</v>
      </c>
      <c r="H28">
        <v>88.392378373150208</v>
      </c>
    </row>
    <row r="29" spans="1:8" x14ac:dyDescent="0.25">
      <c r="A29" s="31" t="s">
        <v>116</v>
      </c>
      <c r="B29">
        <v>2025</v>
      </c>
      <c r="C29" t="str">
        <f t="shared" si="0"/>
        <v>Burlington_2025</v>
      </c>
      <c r="D29" s="32">
        <v>1</v>
      </c>
      <c r="E29" s="32">
        <v>2</v>
      </c>
      <c r="F29" s="32">
        <v>3</v>
      </c>
      <c r="G29" s="32">
        <v>2</v>
      </c>
      <c r="H29">
        <v>67.386351573849879</v>
      </c>
    </row>
    <row r="30" spans="1:8" x14ac:dyDescent="0.25">
      <c r="A30" s="31" t="s">
        <v>116</v>
      </c>
      <c r="B30">
        <v>2025</v>
      </c>
      <c r="C30" t="str">
        <f t="shared" si="0"/>
        <v>Burlington_2025</v>
      </c>
      <c r="D30" s="32">
        <v>2</v>
      </c>
      <c r="E30" s="32">
        <v>6</v>
      </c>
      <c r="F30" s="32">
        <v>6</v>
      </c>
      <c r="G30" s="32">
        <v>2</v>
      </c>
      <c r="H30">
        <v>61.840057180475874</v>
      </c>
    </row>
    <row r="31" spans="1:8" x14ac:dyDescent="0.25">
      <c r="A31" s="31" t="s">
        <v>116</v>
      </c>
      <c r="B31">
        <v>2025</v>
      </c>
      <c r="C31" t="str">
        <f t="shared" si="0"/>
        <v>Burlington_2025</v>
      </c>
      <c r="D31" s="32">
        <v>3</v>
      </c>
      <c r="E31" s="32">
        <v>9</v>
      </c>
      <c r="F31" s="32">
        <v>11</v>
      </c>
      <c r="G31" s="32">
        <v>2</v>
      </c>
      <c r="H31">
        <v>66.217328571428567</v>
      </c>
    </row>
    <row r="32" spans="1:8" x14ac:dyDescent="0.25">
      <c r="A32" s="34" t="s">
        <v>97</v>
      </c>
      <c r="B32">
        <v>2025</v>
      </c>
      <c r="C32" t="str">
        <f t="shared" si="0"/>
        <v>Lamar_2025</v>
      </c>
      <c r="D32" s="35">
        <v>1</v>
      </c>
      <c r="E32" s="35">
        <v>3</v>
      </c>
      <c r="F32" s="35">
        <v>2</v>
      </c>
      <c r="G32" s="35">
        <v>2</v>
      </c>
      <c r="H32">
        <v>82.267813086812055</v>
      </c>
    </row>
    <row r="33" spans="1:8" x14ac:dyDescent="0.25">
      <c r="A33" s="34" t="s">
        <v>97</v>
      </c>
      <c r="B33">
        <v>2025</v>
      </c>
      <c r="C33" t="str">
        <f t="shared" si="0"/>
        <v>Lamar_2025</v>
      </c>
      <c r="D33" s="35">
        <v>2</v>
      </c>
      <c r="E33" s="35">
        <v>1</v>
      </c>
      <c r="F33" s="35">
        <v>3</v>
      </c>
      <c r="G33" s="35">
        <v>2</v>
      </c>
      <c r="H33">
        <v>78.331784386617088</v>
      </c>
    </row>
    <row r="34" spans="1:8" x14ac:dyDescent="0.25">
      <c r="A34" s="34" t="s">
        <v>97</v>
      </c>
      <c r="B34">
        <v>2025</v>
      </c>
      <c r="C34" t="str">
        <f t="shared" si="0"/>
        <v>Lamar_2025</v>
      </c>
      <c r="D34" s="35">
        <v>3</v>
      </c>
      <c r="E34" s="35">
        <v>21</v>
      </c>
      <c r="F34" s="35">
        <v>6</v>
      </c>
      <c r="G34" s="35">
        <v>2</v>
      </c>
      <c r="H34">
        <v>82.979485027655912</v>
      </c>
    </row>
    <row r="35" spans="1:8" x14ac:dyDescent="0.25">
      <c r="A35" s="31" t="s">
        <v>132</v>
      </c>
      <c r="B35">
        <v>2025</v>
      </c>
      <c r="C35" t="str">
        <f t="shared" si="0"/>
        <v>SLake_2025</v>
      </c>
      <c r="D35" s="32">
        <v>1</v>
      </c>
      <c r="E35" s="32">
        <v>21</v>
      </c>
      <c r="F35" s="32">
        <v>1</v>
      </c>
      <c r="G35" s="32">
        <v>2</v>
      </c>
      <c r="H35">
        <v>69.994684923581303</v>
      </c>
    </row>
    <row r="36" spans="1:8" x14ac:dyDescent="0.25">
      <c r="A36" s="31" t="s">
        <v>132</v>
      </c>
      <c r="B36">
        <v>2025</v>
      </c>
      <c r="C36" t="str">
        <f t="shared" si="0"/>
        <v>SLake_2025</v>
      </c>
      <c r="D36" s="32">
        <v>2</v>
      </c>
      <c r="E36" s="32">
        <v>1</v>
      </c>
      <c r="F36" s="32">
        <v>4</v>
      </c>
      <c r="G36" s="32">
        <v>2</v>
      </c>
      <c r="H36">
        <v>67.883399736983094</v>
      </c>
    </row>
    <row r="37" spans="1:8" x14ac:dyDescent="0.25">
      <c r="A37" s="31" t="s">
        <v>132</v>
      </c>
      <c r="B37">
        <v>2025</v>
      </c>
      <c r="C37" t="str">
        <f t="shared" si="0"/>
        <v>SLake_2025</v>
      </c>
      <c r="D37" s="32">
        <v>3</v>
      </c>
      <c r="E37" s="32">
        <v>13</v>
      </c>
      <c r="F37" s="32">
        <v>6</v>
      </c>
      <c r="G37" s="32">
        <v>2</v>
      </c>
      <c r="H37">
        <v>67.247355192835471</v>
      </c>
    </row>
    <row r="38" spans="1:8" x14ac:dyDescent="0.25">
      <c r="A38" s="31" t="s">
        <v>13</v>
      </c>
      <c r="B38">
        <v>2025</v>
      </c>
      <c r="C38" t="str">
        <f t="shared" si="0"/>
        <v>Walsh_2025</v>
      </c>
      <c r="D38" s="32">
        <v>1</v>
      </c>
      <c r="E38" s="36">
        <v>8</v>
      </c>
      <c r="F38" s="36">
        <v>1</v>
      </c>
      <c r="G38" s="32">
        <v>2</v>
      </c>
      <c r="H38">
        <v>73.72475</v>
      </c>
    </row>
    <row r="39" spans="1:8" x14ac:dyDescent="0.25">
      <c r="A39" s="31" t="s">
        <v>13</v>
      </c>
      <c r="B39">
        <v>2025</v>
      </c>
      <c r="C39" t="str">
        <f t="shared" si="0"/>
        <v>Walsh_2025</v>
      </c>
      <c r="D39" s="32">
        <v>2</v>
      </c>
      <c r="E39" s="36">
        <v>13</v>
      </c>
      <c r="F39" s="36">
        <v>3</v>
      </c>
      <c r="G39" s="32">
        <v>2</v>
      </c>
      <c r="H39">
        <v>81.259200000000007</v>
      </c>
    </row>
    <row r="40" spans="1:8" x14ac:dyDescent="0.25">
      <c r="A40" s="31" t="s">
        <v>13</v>
      </c>
      <c r="B40">
        <v>2025</v>
      </c>
      <c r="C40" t="str">
        <f t="shared" si="0"/>
        <v>Walsh_2025</v>
      </c>
      <c r="D40" s="32">
        <v>3</v>
      </c>
      <c r="E40" s="36">
        <v>3</v>
      </c>
      <c r="F40" s="36">
        <v>6</v>
      </c>
      <c r="G40" s="32">
        <v>2</v>
      </c>
      <c r="H40">
        <v>59.835380000000001</v>
      </c>
    </row>
    <row r="41" spans="1:8" x14ac:dyDescent="0.25">
      <c r="A41" t="s">
        <v>7</v>
      </c>
      <c r="B41">
        <v>2025</v>
      </c>
      <c r="C41" t="str">
        <f t="shared" si="0"/>
        <v>Akron_2025</v>
      </c>
      <c r="D41" s="11">
        <v>1</v>
      </c>
      <c r="E41" s="11">
        <v>8</v>
      </c>
      <c r="F41" s="11">
        <v>2</v>
      </c>
      <c r="G41" s="11">
        <v>2</v>
      </c>
      <c r="H41">
        <v>43.136738807649046</v>
      </c>
    </row>
    <row r="42" spans="1:8" x14ac:dyDescent="0.25">
      <c r="A42" t="s">
        <v>7</v>
      </c>
      <c r="B42">
        <v>2025</v>
      </c>
      <c r="C42" t="str">
        <f t="shared" si="0"/>
        <v>Akron_2025</v>
      </c>
      <c r="D42" s="11">
        <v>2</v>
      </c>
      <c r="E42" s="11">
        <v>9</v>
      </c>
      <c r="F42" s="11">
        <v>6</v>
      </c>
      <c r="G42" s="11">
        <v>2</v>
      </c>
      <c r="H42">
        <v>48.780262212294836</v>
      </c>
    </row>
    <row r="43" spans="1:8" x14ac:dyDescent="0.25">
      <c r="A43" t="s">
        <v>7</v>
      </c>
      <c r="B43">
        <v>2025</v>
      </c>
      <c r="C43" t="str">
        <f t="shared" si="0"/>
        <v>Akron_2025</v>
      </c>
      <c r="D43" s="11">
        <v>3</v>
      </c>
      <c r="E43" s="11">
        <v>11</v>
      </c>
      <c r="F43" s="11">
        <v>11</v>
      </c>
      <c r="G43" s="11">
        <v>2</v>
      </c>
      <c r="H43">
        <v>40.98897945403683</v>
      </c>
    </row>
    <row r="44" spans="1:8" x14ac:dyDescent="0.25">
      <c r="A44" s="31" t="s">
        <v>156</v>
      </c>
      <c r="B44">
        <v>2025</v>
      </c>
      <c r="C44" t="str">
        <f t="shared" si="0"/>
        <v>Genoa_2025</v>
      </c>
      <c r="D44" s="32">
        <v>1</v>
      </c>
      <c r="E44" s="32">
        <v>9</v>
      </c>
      <c r="F44" s="32">
        <v>1</v>
      </c>
      <c r="G44" s="32">
        <v>2</v>
      </c>
      <c r="H44">
        <v>45.461815727303403</v>
      </c>
    </row>
    <row r="45" spans="1:8" x14ac:dyDescent="0.25">
      <c r="A45" s="31" t="s">
        <v>156</v>
      </c>
      <c r="B45">
        <v>2025</v>
      </c>
      <c r="C45" t="str">
        <f t="shared" si="0"/>
        <v>Genoa_2025</v>
      </c>
      <c r="D45" s="32">
        <v>2</v>
      </c>
      <c r="E45" s="32">
        <v>6</v>
      </c>
      <c r="F45" s="32">
        <v>3</v>
      </c>
      <c r="G45" s="32">
        <v>2</v>
      </c>
      <c r="H45">
        <v>33.641957475531562</v>
      </c>
    </row>
    <row r="46" spans="1:8" x14ac:dyDescent="0.25">
      <c r="A46" s="31" t="s">
        <v>156</v>
      </c>
      <c r="B46">
        <v>2025</v>
      </c>
      <c r="C46" t="str">
        <f t="shared" si="0"/>
        <v>Genoa_2025</v>
      </c>
      <c r="D46" s="32">
        <v>3</v>
      </c>
      <c r="E46" s="32">
        <v>19</v>
      </c>
      <c r="F46" s="32">
        <v>5</v>
      </c>
      <c r="G46" s="32">
        <v>2</v>
      </c>
      <c r="H46">
        <v>48.178911596866229</v>
      </c>
    </row>
    <row r="47" spans="1:8" x14ac:dyDescent="0.25">
      <c r="A47" s="31" t="s">
        <v>10</v>
      </c>
      <c r="B47">
        <v>2025</v>
      </c>
      <c r="C47" t="str">
        <f t="shared" si="0"/>
        <v>Julesburg_2025</v>
      </c>
      <c r="D47" s="32">
        <v>1</v>
      </c>
      <c r="E47" s="32">
        <v>8</v>
      </c>
      <c r="F47" s="32">
        <v>2</v>
      </c>
      <c r="G47" s="32">
        <v>2</v>
      </c>
      <c r="H47">
        <v>71.660956232847028</v>
      </c>
    </row>
    <row r="48" spans="1:8" x14ac:dyDescent="0.25">
      <c r="A48" s="31" t="s">
        <v>10</v>
      </c>
      <c r="B48">
        <v>2025</v>
      </c>
      <c r="C48" t="str">
        <f t="shared" si="0"/>
        <v>Julesburg_2025</v>
      </c>
      <c r="D48" s="32">
        <v>2</v>
      </c>
      <c r="E48" s="32">
        <v>1</v>
      </c>
      <c r="F48" s="32">
        <v>7</v>
      </c>
      <c r="G48" s="32">
        <v>2</v>
      </c>
      <c r="H48">
        <v>56.645465004793863</v>
      </c>
    </row>
    <row r="49" spans="1:8" x14ac:dyDescent="0.25">
      <c r="A49" s="31" t="s">
        <v>10</v>
      </c>
      <c r="B49">
        <v>2025</v>
      </c>
      <c r="C49" t="str">
        <f t="shared" si="0"/>
        <v>Julesburg_2025</v>
      </c>
      <c r="D49" s="32">
        <v>3</v>
      </c>
      <c r="E49" s="32">
        <v>2</v>
      </c>
      <c r="F49" s="32">
        <v>12</v>
      </c>
      <c r="G49" s="32">
        <v>2</v>
      </c>
      <c r="H49">
        <v>58.051472527472527</v>
      </c>
    </row>
    <row r="50" spans="1:8" x14ac:dyDescent="0.25">
      <c r="A50" s="31" t="s">
        <v>11</v>
      </c>
      <c r="B50">
        <v>2025</v>
      </c>
      <c r="C50" t="str">
        <f t="shared" si="0"/>
        <v>Orchard_2025</v>
      </c>
      <c r="D50" s="32">
        <v>1</v>
      </c>
      <c r="E50" s="32">
        <v>17</v>
      </c>
      <c r="F50" s="32">
        <v>3</v>
      </c>
      <c r="G50" s="11">
        <v>2</v>
      </c>
      <c r="H50">
        <v>10.007436750998666</v>
      </c>
    </row>
    <row r="51" spans="1:8" x14ac:dyDescent="0.25">
      <c r="A51" s="31" t="s">
        <v>11</v>
      </c>
      <c r="B51">
        <v>2025</v>
      </c>
      <c r="C51" t="str">
        <f t="shared" si="0"/>
        <v>Orchard_2025</v>
      </c>
      <c r="D51" s="32">
        <v>2</v>
      </c>
      <c r="E51" s="32">
        <v>14</v>
      </c>
      <c r="F51" s="32">
        <v>6</v>
      </c>
      <c r="G51" s="11">
        <v>2</v>
      </c>
      <c r="H51">
        <v>15.167636239782013</v>
      </c>
    </row>
    <row r="52" spans="1:8" x14ac:dyDescent="0.25">
      <c r="A52" s="31" t="s">
        <v>11</v>
      </c>
      <c r="B52">
        <v>2025</v>
      </c>
      <c r="C52" t="str">
        <f t="shared" si="0"/>
        <v>Orchard_2025</v>
      </c>
      <c r="D52" s="32">
        <v>3</v>
      </c>
      <c r="E52" s="32">
        <v>13</v>
      </c>
      <c r="F52" s="32">
        <v>9</v>
      </c>
      <c r="G52" s="11">
        <v>2</v>
      </c>
      <c r="H52">
        <v>23.070904872389782</v>
      </c>
    </row>
    <row r="53" spans="1:8" x14ac:dyDescent="0.25">
      <c r="A53" t="s">
        <v>160</v>
      </c>
      <c r="B53">
        <v>2025</v>
      </c>
      <c r="C53" t="str">
        <f t="shared" si="0"/>
        <v>Yuma_2025</v>
      </c>
      <c r="D53">
        <v>1</v>
      </c>
      <c r="E53" s="36">
        <v>24</v>
      </c>
      <c r="F53" s="36">
        <v>1</v>
      </c>
      <c r="G53" s="32">
        <v>2</v>
      </c>
      <c r="H53">
        <v>92.573235800344207</v>
      </c>
    </row>
    <row r="54" spans="1:8" x14ac:dyDescent="0.25">
      <c r="A54" t="s">
        <v>160</v>
      </c>
      <c r="B54">
        <v>2025</v>
      </c>
      <c r="C54" t="str">
        <f t="shared" si="0"/>
        <v>Yuma_2025</v>
      </c>
      <c r="D54">
        <v>2</v>
      </c>
      <c r="E54" s="36">
        <v>14</v>
      </c>
      <c r="F54" s="36">
        <v>4</v>
      </c>
      <c r="G54" s="32">
        <v>2</v>
      </c>
      <c r="H54">
        <v>92.568171369883117</v>
      </c>
    </row>
    <row r="55" spans="1:8" x14ac:dyDescent="0.25">
      <c r="A55" t="s">
        <v>160</v>
      </c>
      <c r="B55">
        <v>2025</v>
      </c>
      <c r="C55" t="str">
        <f t="shared" si="0"/>
        <v>Yuma_2025</v>
      </c>
      <c r="D55">
        <v>3</v>
      </c>
      <c r="E55" s="36">
        <v>12</v>
      </c>
      <c r="F55" s="36">
        <v>5</v>
      </c>
      <c r="G55" s="32">
        <v>2</v>
      </c>
      <c r="H55">
        <v>79.459397427217326</v>
      </c>
    </row>
    <row r="56" spans="1:8" x14ac:dyDescent="0.25">
      <c r="A56" s="31" t="s">
        <v>116</v>
      </c>
      <c r="B56">
        <v>2025</v>
      </c>
      <c r="C56" t="str">
        <f t="shared" si="0"/>
        <v>Burlington_2025</v>
      </c>
      <c r="D56" s="32">
        <v>1</v>
      </c>
      <c r="E56" s="32">
        <v>6</v>
      </c>
      <c r="F56" s="32">
        <v>2</v>
      </c>
      <c r="G56" s="32">
        <v>3</v>
      </c>
      <c r="H56">
        <v>52.902035999999974</v>
      </c>
    </row>
    <row r="57" spans="1:8" x14ac:dyDescent="0.25">
      <c r="A57" s="31" t="s">
        <v>116</v>
      </c>
      <c r="B57">
        <v>2025</v>
      </c>
      <c r="C57" t="str">
        <f t="shared" si="0"/>
        <v>Burlington_2025</v>
      </c>
      <c r="D57" s="32">
        <v>2</v>
      </c>
      <c r="E57" s="32">
        <v>11</v>
      </c>
      <c r="F57" s="32">
        <v>5</v>
      </c>
      <c r="G57" s="32">
        <v>3</v>
      </c>
      <c r="H57">
        <v>58.005219879518073</v>
      </c>
    </row>
    <row r="58" spans="1:8" x14ac:dyDescent="0.25">
      <c r="A58" s="31" t="s">
        <v>116</v>
      </c>
      <c r="B58">
        <v>2025</v>
      </c>
      <c r="C58" t="str">
        <f t="shared" si="0"/>
        <v>Burlington_2025</v>
      </c>
      <c r="D58" s="32">
        <v>3</v>
      </c>
      <c r="E58" s="32">
        <v>10</v>
      </c>
      <c r="F58" s="32">
        <v>11</v>
      </c>
      <c r="G58" s="32">
        <v>3</v>
      </c>
      <c r="H58">
        <v>65.072063571428558</v>
      </c>
    </row>
    <row r="59" spans="1:8" x14ac:dyDescent="0.25">
      <c r="A59" s="34" t="s">
        <v>97</v>
      </c>
      <c r="B59">
        <v>2025</v>
      </c>
      <c r="C59" t="str">
        <f t="shared" si="0"/>
        <v>Lamar_2025</v>
      </c>
      <c r="D59" s="35">
        <v>1</v>
      </c>
      <c r="E59" s="35">
        <v>4</v>
      </c>
      <c r="F59" s="35">
        <v>2</v>
      </c>
      <c r="G59" s="35">
        <v>3</v>
      </c>
      <c r="H59">
        <v>67.804203380037563</v>
      </c>
    </row>
    <row r="60" spans="1:8" x14ac:dyDescent="0.25">
      <c r="A60" s="34" t="s">
        <v>97</v>
      </c>
      <c r="B60">
        <v>2025</v>
      </c>
      <c r="C60" t="str">
        <f t="shared" si="0"/>
        <v>Lamar_2025</v>
      </c>
      <c r="D60" s="35">
        <v>2</v>
      </c>
      <c r="E60" s="35">
        <v>15</v>
      </c>
      <c r="F60" s="35">
        <v>3</v>
      </c>
      <c r="G60" s="35">
        <v>3</v>
      </c>
      <c r="H60">
        <v>68.853106744556555</v>
      </c>
    </row>
    <row r="61" spans="1:8" x14ac:dyDescent="0.25">
      <c r="A61" s="34" t="s">
        <v>97</v>
      </c>
      <c r="B61">
        <v>2025</v>
      </c>
      <c r="C61" t="str">
        <f t="shared" si="0"/>
        <v>Lamar_2025</v>
      </c>
      <c r="D61" s="35">
        <v>3</v>
      </c>
      <c r="E61" s="35">
        <v>12</v>
      </c>
      <c r="F61" s="35">
        <v>6</v>
      </c>
      <c r="G61" s="35">
        <v>3</v>
      </c>
      <c r="H61">
        <v>70.020974156017544</v>
      </c>
    </row>
    <row r="62" spans="1:8" x14ac:dyDescent="0.25">
      <c r="A62" s="31" t="s">
        <v>132</v>
      </c>
      <c r="B62">
        <v>2025</v>
      </c>
      <c r="C62" t="str">
        <f t="shared" si="0"/>
        <v>SLake_2025</v>
      </c>
      <c r="D62" s="32">
        <v>1</v>
      </c>
      <c r="E62" s="32">
        <v>1</v>
      </c>
      <c r="F62" s="32">
        <v>1</v>
      </c>
      <c r="G62" s="32">
        <v>3</v>
      </c>
      <c r="H62">
        <v>71.551067450942568</v>
      </c>
    </row>
    <row r="63" spans="1:8" x14ac:dyDescent="0.25">
      <c r="A63" s="31" t="s">
        <v>132</v>
      </c>
      <c r="B63">
        <v>2025</v>
      </c>
      <c r="C63" t="str">
        <f t="shared" si="0"/>
        <v>SLake_2025</v>
      </c>
      <c r="D63" s="32">
        <v>2</v>
      </c>
      <c r="E63" s="32">
        <v>16</v>
      </c>
      <c r="F63" s="32">
        <v>4</v>
      </c>
      <c r="G63" s="32">
        <v>3</v>
      </c>
      <c r="H63">
        <v>66.534596463883872</v>
      </c>
    </row>
    <row r="64" spans="1:8" x14ac:dyDescent="0.25">
      <c r="A64" s="31" t="s">
        <v>132</v>
      </c>
      <c r="B64">
        <v>2025</v>
      </c>
      <c r="C64" t="str">
        <f t="shared" si="0"/>
        <v>SLake_2025</v>
      </c>
      <c r="D64" s="32">
        <v>3</v>
      </c>
      <c r="E64" s="32">
        <v>9</v>
      </c>
      <c r="F64" s="32">
        <v>5</v>
      </c>
      <c r="G64" s="32">
        <v>3</v>
      </c>
      <c r="H64">
        <v>65.452585828724011</v>
      </c>
    </row>
    <row r="65" spans="1:8" x14ac:dyDescent="0.25">
      <c r="A65" s="31" t="s">
        <v>13</v>
      </c>
      <c r="B65">
        <v>2025</v>
      </c>
      <c r="C65" t="str">
        <f t="shared" si="0"/>
        <v>Walsh_2025</v>
      </c>
      <c r="D65" s="32">
        <v>1</v>
      </c>
      <c r="E65" s="36">
        <v>5</v>
      </c>
      <c r="F65" s="36">
        <v>2</v>
      </c>
      <c r="G65" s="32">
        <v>3</v>
      </c>
      <c r="H65">
        <v>64.719269999999995</v>
      </c>
    </row>
    <row r="66" spans="1:8" x14ac:dyDescent="0.25">
      <c r="A66" s="31" t="s">
        <v>13</v>
      </c>
      <c r="B66">
        <v>2025</v>
      </c>
      <c r="C66" t="str">
        <f t="shared" si="0"/>
        <v>Walsh_2025</v>
      </c>
      <c r="D66" s="32">
        <v>2</v>
      </c>
      <c r="E66" s="36">
        <v>15</v>
      </c>
      <c r="F66" s="36">
        <v>3</v>
      </c>
      <c r="G66" s="32">
        <v>3</v>
      </c>
      <c r="H66">
        <v>69.90120499999999</v>
      </c>
    </row>
    <row r="67" spans="1:8" x14ac:dyDescent="0.25">
      <c r="A67" s="31" t="s">
        <v>13</v>
      </c>
      <c r="B67">
        <v>2025</v>
      </c>
      <c r="C67" t="str">
        <f t="shared" ref="C67:C130" si="1">A67&amp;"_"&amp;B67</f>
        <v>Walsh_2025</v>
      </c>
      <c r="D67" s="32">
        <v>3</v>
      </c>
      <c r="E67" s="36">
        <v>20</v>
      </c>
      <c r="F67" s="36">
        <v>6</v>
      </c>
      <c r="G67" s="32">
        <v>3</v>
      </c>
      <c r="H67">
        <v>68.595559999999992</v>
      </c>
    </row>
    <row r="68" spans="1:8" x14ac:dyDescent="0.25">
      <c r="A68" t="s">
        <v>7</v>
      </c>
      <c r="B68">
        <v>2025</v>
      </c>
      <c r="C68" t="str">
        <f t="shared" si="1"/>
        <v>Akron_2025</v>
      </c>
      <c r="D68" s="11">
        <v>1</v>
      </c>
      <c r="E68" s="11">
        <v>7</v>
      </c>
      <c r="F68" s="11">
        <v>1</v>
      </c>
      <c r="G68" s="11">
        <v>3</v>
      </c>
      <c r="H68">
        <v>46.724464285714269</v>
      </c>
    </row>
    <row r="69" spans="1:8" x14ac:dyDescent="0.25">
      <c r="A69" t="s">
        <v>7</v>
      </c>
      <c r="B69">
        <v>2025</v>
      </c>
      <c r="C69" t="str">
        <f t="shared" si="1"/>
        <v>Akron_2025</v>
      </c>
      <c r="D69" s="11">
        <v>2</v>
      </c>
      <c r="E69" s="11">
        <v>11</v>
      </c>
      <c r="F69" s="11">
        <v>5</v>
      </c>
      <c r="G69" s="11">
        <v>3</v>
      </c>
      <c r="H69">
        <v>42.843835880622919</v>
      </c>
    </row>
    <row r="70" spans="1:8" x14ac:dyDescent="0.25">
      <c r="A70" t="s">
        <v>7</v>
      </c>
      <c r="B70">
        <v>2025</v>
      </c>
      <c r="C70" t="str">
        <f t="shared" si="1"/>
        <v>Akron_2025</v>
      </c>
      <c r="D70" s="11">
        <v>3</v>
      </c>
      <c r="E70" s="11">
        <v>13</v>
      </c>
      <c r="F70" s="11">
        <v>10</v>
      </c>
      <c r="G70" s="11">
        <v>3</v>
      </c>
      <c r="H70">
        <v>36.492861476238616</v>
      </c>
    </row>
    <row r="71" spans="1:8" x14ac:dyDescent="0.25">
      <c r="A71" s="31" t="s">
        <v>156</v>
      </c>
      <c r="B71">
        <v>2025</v>
      </c>
      <c r="C71" t="str">
        <f t="shared" si="1"/>
        <v>Genoa_2025</v>
      </c>
      <c r="D71" s="32">
        <v>1</v>
      </c>
      <c r="E71" s="32">
        <v>4</v>
      </c>
      <c r="F71" s="32">
        <v>2</v>
      </c>
      <c r="G71" s="32">
        <v>3</v>
      </c>
      <c r="H71">
        <v>42.897765741367635</v>
      </c>
    </row>
    <row r="72" spans="1:8" x14ac:dyDescent="0.25">
      <c r="A72" s="31" t="s">
        <v>156</v>
      </c>
      <c r="B72">
        <v>2025</v>
      </c>
      <c r="C72" t="str">
        <f t="shared" si="1"/>
        <v>Genoa_2025</v>
      </c>
      <c r="D72" s="32">
        <v>2</v>
      </c>
      <c r="E72" s="32">
        <v>24</v>
      </c>
      <c r="F72" s="32">
        <v>4</v>
      </c>
      <c r="G72" s="32">
        <v>3</v>
      </c>
      <c r="H72">
        <v>51.570390674535432</v>
      </c>
    </row>
    <row r="73" spans="1:8" x14ac:dyDescent="0.25">
      <c r="A73" s="31" t="s">
        <v>156</v>
      </c>
      <c r="B73">
        <v>2025</v>
      </c>
      <c r="C73" t="str">
        <f t="shared" si="1"/>
        <v>Genoa_2025</v>
      </c>
      <c r="D73" s="32">
        <v>3</v>
      </c>
      <c r="E73" s="32">
        <v>17</v>
      </c>
      <c r="F73" s="32">
        <v>6</v>
      </c>
      <c r="G73" s="32">
        <v>3</v>
      </c>
      <c r="H73">
        <v>57.067928066548056</v>
      </c>
    </row>
    <row r="74" spans="1:8" x14ac:dyDescent="0.25">
      <c r="A74" s="31" t="s">
        <v>10</v>
      </c>
      <c r="B74">
        <v>2025</v>
      </c>
      <c r="C74" t="str">
        <f t="shared" si="1"/>
        <v>Julesburg_2025</v>
      </c>
      <c r="D74" s="32">
        <v>1</v>
      </c>
      <c r="E74" s="32">
        <v>6</v>
      </c>
      <c r="F74" s="32">
        <v>3</v>
      </c>
      <c r="G74" s="32">
        <v>3</v>
      </c>
      <c r="H74">
        <v>68.674661041606043</v>
      </c>
    </row>
    <row r="75" spans="1:8" x14ac:dyDescent="0.25">
      <c r="A75" s="31" t="s">
        <v>10</v>
      </c>
      <c r="B75">
        <v>2025</v>
      </c>
      <c r="C75" t="str">
        <f t="shared" si="1"/>
        <v>Julesburg_2025</v>
      </c>
      <c r="D75" s="32">
        <v>2</v>
      </c>
      <c r="E75" s="32">
        <v>2</v>
      </c>
      <c r="F75" s="32">
        <v>6</v>
      </c>
      <c r="G75" s="32">
        <v>3</v>
      </c>
      <c r="H75">
        <v>48.784738886491148</v>
      </c>
    </row>
    <row r="76" spans="1:8" x14ac:dyDescent="0.25">
      <c r="A76" s="31" t="s">
        <v>10</v>
      </c>
      <c r="B76">
        <v>2025</v>
      </c>
      <c r="C76" t="str">
        <f t="shared" si="1"/>
        <v>Julesburg_2025</v>
      </c>
      <c r="D76" s="32">
        <v>3</v>
      </c>
      <c r="E76" s="32">
        <v>4</v>
      </c>
      <c r="F76" s="32">
        <v>12</v>
      </c>
      <c r="G76" s="32">
        <v>3</v>
      </c>
      <c r="H76">
        <v>73.387609670329653</v>
      </c>
    </row>
    <row r="77" spans="1:8" x14ac:dyDescent="0.25">
      <c r="A77" s="31" t="s">
        <v>11</v>
      </c>
      <c r="B77">
        <v>2025</v>
      </c>
      <c r="C77" t="str">
        <f t="shared" si="1"/>
        <v>Orchard_2025</v>
      </c>
      <c r="D77" s="32">
        <v>1</v>
      </c>
      <c r="E77" s="32">
        <v>14</v>
      </c>
      <c r="F77" s="32">
        <v>3</v>
      </c>
      <c r="G77" s="11">
        <v>3</v>
      </c>
      <c r="H77">
        <v>24.525804641430472</v>
      </c>
    </row>
    <row r="78" spans="1:8" x14ac:dyDescent="0.25">
      <c r="A78" s="31" t="s">
        <v>11</v>
      </c>
      <c r="B78">
        <v>2025</v>
      </c>
      <c r="C78" t="str">
        <f t="shared" si="1"/>
        <v>Orchard_2025</v>
      </c>
      <c r="D78" s="32">
        <v>2</v>
      </c>
      <c r="E78" s="32">
        <v>9</v>
      </c>
      <c r="F78" s="32">
        <v>5</v>
      </c>
      <c r="G78" s="11">
        <v>3</v>
      </c>
      <c r="H78">
        <v>30.8522896413007</v>
      </c>
    </row>
    <row r="79" spans="1:8" x14ac:dyDescent="0.25">
      <c r="A79" s="31" t="s">
        <v>11</v>
      </c>
      <c r="B79">
        <v>2025</v>
      </c>
      <c r="C79" t="str">
        <f t="shared" si="1"/>
        <v>Orchard_2025</v>
      </c>
      <c r="D79" s="32">
        <v>3</v>
      </c>
      <c r="E79" s="32">
        <v>8</v>
      </c>
      <c r="F79" s="32">
        <v>7</v>
      </c>
      <c r="G79" s="11">
        <v>3</v>
      </c>
      <c r="H79">
        <v>35.404207273591631</v>
      </c>
    </row>
    <row r="80" spans="1:8" x14ac:dyDescent="0.25">
      <c r="A80" t="s">
        <v>160</v>
      </c>
      <c r="B80">
        <v>2025</v>
      </c>
      <c r="C80" t="str">
        <f t="shared" si="1"/>
        <v>Yuma_2025</v>
      </c>
      <c r="D80">
        <v>1</v>
      </c>
      <c r="E80" s="36">
        <v>10</v>
      </c>
      <c r="F80" s="36">
        <v>2</v>
      </c>
      <c r="G80" s="32">
        <v>3</v>
      </c>
      <c r="H80">
        <v>88.662290556900714</v>
      </c>
    </row>
    <row r="81" spans="1:8" x14ac:dyDescent="0.25">
      <c r="A81" t="s">
        <v>160</v>
      </c>
      <c r="B81">
        <v>2025</v>
      </c>
      <c r="C81" t="str">
        <f t="shared" si="1"/>
        <v>Yuma_2025</v>
      </c>
      <c r="D81">
        <v>2</v>
      </c>
      <c r="E81" s="36">
        <v>4</v>
      </c>
      <c r="F81" s="36">
        <v>3</v>
      </c>
      <c r="G81" s="32">
        <v>3</v>
      </c>
      <c r="H81">
        <v>80.443628260151854</v>
      </c>
    </row>
    <row r="82" spans="1:8" x14ac:dyDescent="0.25">
      <c r="A82" t="s">
        <v>160</v>
      </c>
      <c r="B82">
        <v>2025</v>
      </c>
      <c r="C82" t="str">
        <f t="shared" si="1"/>
        <v>Yuma_2025</v>
      </c>
      <c r="D82">
        <v>3</v>
      </c>
      <c r="E82" s="36">
        <v>11</v>
      </c>
      <c r="F82" s="36">
        <v>6</v>
      </c>
      <c r="G82" s="32">
        <v>3</v>
      </c>
      <c r="H82">
        <v>84.015064630409782</v>
      </c>
    </row>
    <row r="83" spans="1:8" x14ac:dyDescent="0.25">
      <c r="A83" s="31" t="s">
        <v>116</v>
      </c>
      <c r="B83">
        <v>2025</v>
      </c>
      <c r="C83" t="str">
        <f t="shared" si="1"/>
        <v>Burlington_2025</v>
      </c>
      <c r="D83" s="32">
        <v>1</v>
      </c>
      <c r="E83" s="32">
        <v>5</v>
      </c>
      <c r="F83" s="32">
        <v>1</v>
      </c>
      <c r="G83" s="32">
        <v>4</v>
      </c>
      <c r="H83">
        <v>49.276667506053265</v>
      </c>
    </row>
    <row r="84" spans="1:8" x14ac:dyDescent="0.25">
      <c r="A84" s="31" t="s">
        <v>116</v>
      </c>
      <c r="B84">
        <v>2025</v>
      </c>
      <c r="C84" t="str">
        <f t="shared" si="1"/>
        <v>Burlington_2025</v>
      </c>
      <c r="D84" s="32">
        <v>2</v>
      </c>
      <c r="E84" s="32">
        <v>10</v>
      </c>
      <c r="F84" s="32">
        <v>6</v>
      </c>
      <c r="G84" s="32">
        <v>4</v>
      </c>
      <c r="H84">
        <v>54.581103075331519</v>
      </c>
    </row>
    <row r="85" spans="1:8" x14ac:dyDescent="0.25">
      <c r="A85" s="31" t="s">
        <v>116</v>
      </c>
      <c r="B85">
        <v>2025</v>
      </c>
      <c r="C85" t="str">
        <f t="shared" si="1"/>
        <v>Burlington_2025</v>
      </c>
      <c r="D85" s="32">
        <v>3</v>
      </c>
      <c r="E85" s="32">
        <v>4</v>
      </c>
      <c r="F85" s="32">
        <v>12</v>
      </c>
      <c r="G85" s="32">
        <v>4</v>
      </c>
      <c r="H85">
        <v>62.331152687651333</v>
      </c>
    </row>
    <row r="86" spans="1:8" x14ac:dyDescent="0.25">
      <c r="A86" s="34" t="s">
        <v>97</v>
      </c>
      <c r="B86">
        <v>2025</v>
      </c>
      <c r="C86" t="str">
        <f t="shared" si="1"/>
        <v>Lamar_2025</v>
      </c>
      <c r="D86" s="35">
        <v>1</v>
      </c>
      <c r="E86" s="35">
        <v>10</v>
      </c>
      <c r="F86" s="35">
        <v>1</v>
      </c>
      <c r="G86" s="35">
        <v>4</v>
      </c>
      <c r="H86">
        <v>84.207137142857135</v>
      </c>
    </row>
    <row r="87" spans="1:8" x14ac:dyDescent="0.25">
      <c r="A87" s="34" t="s">
        <v>97</v>
      </c>
      <c r="B87">
        <v>2025</v>
      </c>
      <c r="C87" t="str">
        <f t="shared" si="1"/>
        <v>Lamar_2025</v>
      </c>
      <c r="D87" s="35">
        <v>2</v>
      </c>
      <c r="E87" s="35">
        <v>7</v>
      </c>
      <c r="F87" s="35">
        <v>3</v>
      </c>
      <c r="G87" s="35">
        <v>4</v>
      </c>
      <c r="H87">
        <v>76.858231545406269</v>
      </c>
    </row>
    <row r="88" spans="1:8" x14ac:dyDescent="0.25">
      <c r="A88" s="34" t="s">
        <v>97</v>
      </c>
      <c r="B88">
        <v>2025</v>
      </c>
      <c r="C88" t="str">
        <f t="shared" si="1"/>
        <v>Lamar_2025</v>
      </c>
      <c r="D88" s="35">
        <v>3</v>
      </c>
      <c r="E88" s="35">
        <v>3</v>
      </c>
      <c r="F88" s="35">
        <v>5</v>
      </c>
      <c r="G88" s="35">
        <v>4</v>
      </c>
      <c r="H88">
        <v>80.092123781263226</v>
      </c>
    </row>
    <row r="89" spans="1:8" x14ac:dyDescent="0.25">
      <c r="A89" s="31" t="s">
        <v>132</v>
      </c>
      <c r="B89">
        <v>2025</v>
      </c>
      <c r="C89" t="str">
        <f t="shared" si="1"/>
        <v>SLake_2025</v>
      </c>
      <c r="D89" s="32">
        <v>1</v>
      </c>
      <c r="E89" s="32">
        <v>3</v>
      </c>
      <c r="F89" s="32">
        <v>2</v>
      </c>
      <c r="G89" s="32">
        <v>4</v>
      </c>
      <c r="H89">
        <v>65.799654790029408</v>
      </c>
    </row>
    <row r="90" spans="1:8" x14ac:dyDescent="0.25">
      <c r="A90" s="31" t="s">
        <v>132</v>
      </c>
      <c r="B90">
        <v>2025</v>
      </c>
      <c r="C90" t="str">
        <f t="shared" si="1"/>
        <v>SLake_2025</v>
      </c>
      <c r="D90" s="32">
        <v>2</v>
      </c>
      <c r="E90" s="32">
        <v>8</v>
      </c>
      <c r="F90" s="32">
        <v>3</v>
      </c>
      <c r="G90" s="32">
        <v>4</v>
      </c>
      <c r="H90">
        <v>69.882706540447487</v>
      </c>
    </row>
    <row r="91" spans="1:8" x14ac:dyDescent="0.25">
      <c r="A91" s="31" t="s">
        <v>132</v>
      </c>
      <c r="B91">
        <v>2025</v>
      </c>
      <c r="C91" t="str">
        <f t="shared" si="1"/>
        <v>SLake_2025</v>
      </c>
      <c r="D91" s="32">
        <v>3</v>
      </c>
      <c r="E91" s="32">
        <v>13</v>
      </c>
      <c r="F91" s="32">
        <v>5</v>
      </c>
      <c r="G91" s="32">
        <v>4</v>
      </c>
      <c r="H91">
        <v>64.97859240892619</v>
      </c>
    </row>
    <row r="92" spans="1:8" x14ac:dyDescent="0.25">
      <c r="A92" s="31" t="s">
        <v>13</v>
      </c>
      <c r="B92">
        <v>2025</v>
      </c>
      <c r="C92" t="str">
        <f t="shared" si="1"/>
        <v>Walsh_2025</v>
      </c>
      <c r="D92" s="32">
        <v>1</v>
      </c>
      <c r="E92" s="36">
        <v>9</v>
      </c>
      <c r="F92" s="36">
        <v>1</v>
      </c>
      <c r="G92" s="32">
        <v>4</v>
      </c>
      <c r="H92">
        <v>74.826729999999998</v>
      </c>
    </row>
    <row r="93" spans="1:8" x14ac:dyDescent="0.25">
      <c r="A93" s="31" t="s">
        <v>13</v>
      </c>
      <c r="B93">
        <v>2025</v>
      </c>
      <c r="C93" t="str">
        <f t="shared" si="1"/>
        <v>Walsh_2025</v>
      </c>
      <c r="D93" s="32">
        <v>2</v>
      </c>
      <c r="E93" s="36">
        <v>7</v>
      </c>
      <c r="F93" s="36">
        <v>3</v>
      </c>
      <c r="G93" s="32">
        <v>4</v>
      </c>
      <c r="H93">
        <v>67.366199999999992</v>
      </c>
    </row>
    <row r="94" spans="1:8" x14ac:dyDescent="0.25">
      <c r="A94" s="31" t="s">
        <v>13</v>
      </c>
      <c r="B94">
        <v>2025</v>
      </c>
      <c r="C94" t="str">
        <f t="shared" si="1"/>
        <v>Walsh_2025</v>
      </c>
      <c r="D94" s="32">
        <v>3</v>
      </c>
      <c r="E94" s="36">
        <v>2</v>
      </c>
      <c r="F94" s="36">
        <v>6</v>
      </c>
      <c r="G94" s="32">
        <v>4</v>
      </c>
      <c r="H94">
        <v>58.226300000000009</v>
      </c>
    </row>
    <row r="95" spans="1:8" x14ac:dyDescent="0.25">
      <c r="A95" t="s">
        <v>7</v>
      </c>
      <c r="B95">
        <v>2025</v>
      </c>
      <c r="C95" t="str">
        <f t="shared" si="1"/>
        <v>Akron_2025</v>
      </c>
      <c r="D95" s="11">
        <v>1</v>
      </c>
      <c r="E95" s="11">
        <v>2</v>
      </c>
      <c r="F95" s="11">
        <v>2</v>
      </c>
      <c r="G95" s="11">
        <v>4</v>
      </c>
      <c r="H95">
        <v>45.954307761529805</v>
      </c>
    </row>
    <row r="96" spans="1:8" x14ac:dyDescent="0.25">
      <c r="A96" t="s">
        <v>7</v>
      </c>
      <c r="B96">
        <v>2025</v>
      </c>
      <c r="C96" t="str">
        <f t="shared" si="1"/>
        <v>Akron_2025</v>
      </c>
      <c r="D96" s="11">
        <v>2</v>
      </c>
      <c r="E96" s="11">
        <v>4</v>
      </c>
      <c r="F96" s="11">
        <v>5</v>
      </c>
      <c r="G96" s="11">
        <v>4</v>
      </c>
      <c r="H96">
        <v>48.350433441010566</v>
      </c>
    </row>
    <row r="97" spans="1:8" x14ac:dyDescent="0.25">
      <c r="A97" t="s">
        <v>7</v>
      </c>
      <c r="B97">
        <v>2025</v>
      </c>
      <c r="C97" t="str">
        <f t="shared" si="1"/>
        <v>Akron_2025</v>
      </c>
      <c r="D97" s="11">
        <v>3</v>
      </c>
      <c r="E97" s="11">
        <v>1</v>
      </c>
      <c r="F97" s="11">
        <v>9</v>
      </c>
      <c r="G97" s="11">
        <v>4</v>
      </c>
      <c r="H97">
        <v>50.427986792269586</v>
      </c>
    </row>
    <row r="98" spans="1:8" x14ac:dyDescent="0.25">
      <c r="A98" s="31" t="s">
        <v>156</v>
      </c>
      <c r="B98">
        <v>2025</v>
      </c>
      <c r="C98" t="str">
        <f t="shared" si="1"/>
        <v>Genoa_2025</v>
      </c>
      <c r="D98" s="32">
        <v>1</v>
      </c>
      <c r="E98" s="32">
        <v>20</v>
      </c>
      <c r="F98" s="32">
        <v>1</v>
      </c>
      <c r="G98" s="32">
        <v>4</v>
      </c>
      <c r="H98">
        <v>46.872975025312179</v>
      </c>
    </row>
    <row r="99" spans="1:8" x14ac:dyDescent="0.25">
      <c r="A99" s="31" t="s">
        <v>156</v>
      </c>
      <c r="B99">
        <v>2025</v>
      </c>
      <c r="C99" t="str">
        <f t="shared" si="1"/>
        <v>Genoa_2025</v>
      </c>
      <c r="D99" s="32">
        <v>2</v>
      </c>
      <c r="E99" s="32">
        <v>18</v>
      </c>
      <c r="F99" s="32">
        <v>4</v>
      </c>
      <c r="G99" s="32">
        <v>4</v>
      </c>
      <c r="H99">
        <v>39.410816953616539</v>
      </c>
    </row>
    <row r="100" spans="1:8" x14ac:dyDescent="0.25">
      <c r="A100" s="31" t="s">
        <v>156</v>
      </c>
      <c r="B100">
        <v>2025</v>
      </c>
      <c r="C100" t="str">
        <f t="shared" si="1"/>
        <v>Genoa_2025</v>
      </c>
      <c r="D100" s="32">
        <v>3</v>
      </c>
      <c r="E100" s="32">
        <v>14</v>
      </c>
      <c r="F100" s="32">
        <v>6</v>
      </c>
      <c r="G100" s="32">
        <v>4</v>
      </c>
      <c r="H100">
        <v>42.360937058229531</v>
      </c>
    </row>
    <row r="101" spans="1:8" x14ac:dyDescent="0.25">
      <c r="A101" s="31" t="s">
        <v>10</v>
      </c>
      <c r="B101">
        <v>2025</v>
      </c>
      <c r="C101" t="str">
        <f t="shared" si="1"/>
        <v>Julesburg_2025</v>
      </c>
      <c r="D101" s="32">
        <v>1</v>
      </c>
      <c r="E101" s="32">
        <v>3</v>
      </c>
      <c r="F101" s="32">
        <v>2</v>
      </c>
      <c r="G101" s="32">
        <v>4</v>
      </c>
      <c r="H101">
        <v>62.849198324425821</v>
      </c>
    </row>
    <row r="102" spans="1:8" x14ac:dyDescent="0.25">
      <c r="A102" s="31" t="s">
        <v>10</v>
      </c>
      <c r="B102">
        <v>2025</v>
      </c>
      <c r="C102" t="str">
        <f t="shared" si="1"/>
        <v>Julesburg_2025</v>
      </c>
      <c r="D102" s="32">
        <v>2</v>
      </c>
      <c r="E102" s="32">
        <v>7</v>
      </c>
      <c r="F102" s="32">
        <v>8</v>
      </c>
      <c r="G102" s="32">
        <v>4</v>
      </c>
      <c r="H102">
        <v>36.382320034902321</v>
      </c>
    </row>
    <row r="103" spans="1:8" x14ac:dyDescent="0.25">
      <c r="A103" s="31" t="s">
        <v>10</v>
      </c>
      <c r="B103">
        <v>2025</v>
      </c>
      <c r="C103" t="str">
        <f t="shared" si="1"/>
        <v>Julesburg_2025</v>
      </c>
      <c r="D103" s="32">
        <v>3</v>
      </c>
      <c r="E103" s="32">
        <v>13</v>
      </c>
      <c r="F103" s="32">
        <v>10</v>
      </c>
      <c r="G103" s="32">
        <v>4</v>
      </c>
      <c r="H103">
        <v>54.805398174225495</v>
      </c>
    </row>
    <row r="104" spans="1:8" x14ac:dyDescent="0.25">
      <c r="A104" s="31" t="s">
        <v>11</v>
      </c>
      <c r="B104">
        <v>2025</v>
      </c>
      <c r="C104" t="str">
        <f t="shared" si="1"/>
        <v>Orchard_2025</v>
      </c>
      <c r="D104" s="32">
        <v>1</v>
      </c>
      <c r="E104" s="32">
        <v>5</v>
      </c>
      <c r="F104" s="32">
        <v>1</v>
      </c>
      <c r="G104" s="11">
        <v>4</v>
      </c>
      <c r="H104">
        <v>36.883095825570258</v>
      </c>
    </row>
    <row r="105" spans="1:8" x14ac:dyDescent="0.25">
      <c r="A105" s="31" t="s">
        <v>11</v>
      </c>
      <c r="B105">
        <v>2025</v>
      </c>
      <c r="C105" t="str">
        <f t="shared" si="1"/>
        <v>Orchard_2025</v>
      </c>
      <c r="D105" s="32">
        <v>2</v>
      </c>
      <c r="E105" s="32">
        <v>2</v>
      </c>
      <c r="F105" s="32">
        <v>6</v>
      </c>
      <c r="G105" s="11">
        <v>4</v>
      </c>
      <c r="H105">
        <v>45.214222946671853</v>
      </c>
    </row>
    <row r="106" spans="1:8" x14ac:dyDescent="0.25">
      <c r="A106" s="31" t="s">
        <v>11</v>
      </c>
      <c r="B106">
        <v>2025</v>
      </c>
      <c r="C106" t="str">
        <f t="shared" si="1"/>
        <v>Orchard_2025</v>
      </c>
      <c r="D106" s="32">
        <v>3</v>
      </c>
      <c r="E106" s="32">
        <v>1</v>
      </c>
      <c r="F106" s="32">
        <v>7</v>
      </c>
      <c r="G106" s="11">
        <v>4</v>
      </c>
      <c r="H106">
        <v>39.808871880199661</v>
      </c>
    </row>
    <row r="107" spans="1:8" x14ac:dyDescent="0.25">
      <c r="A107" t="s">
        <v>160</v>
      </c>
      <c r="B107">
        <v>2025</v>
      </c>
      <c r="C107" t="str">
        <f t="shared" si="1"/>
        <v>Yuma_2025</v>
      </c>
      <c r="D107">
        <v>1</v>
      </c>
      <c r="E107" s="36">
        <v>16</v>
      </c>
      <c r="F107" s="36">
        <v>1</v>
      </c>
      <c r="G107" s="32">
        <v>4</v>
      </c>
      <c r="H107">
        <v>85.214595524956962</v>
      </c>
    </row>
    <row r="108" spans="1:8" x14ac:dyDescent="0.25">
      <c r="A108" t="s">
        <v>160</v>
      </c>
      <c r="B108">
        <v>2025</v>
      </c>
      <c r="C108" t="str">
        <f t="shared" si="1"/>
        <v>Yuma_2025</v>
      </c>
      <c r="D108">
        <v>2</v>
      </c>
      <c r="E108" s="36">
        <v>2</v>
      </c>
      <c r="F108" s="36">
        <v>4</v>
      </c>
      <c r="G108" s="32">
        <v>4</v>
      </c>
      <c r="H108">
        <v>77.0748916711498</v>
      </c>
    </row>
    <row r="109" spans="1:8" x14ac:dyDescent="0.25">
      <c r="A109" t="s">
        <v>160</v>
      </c>
      <c r="B109">
        <v>2025</v>
      </c>
      <c r="C109" t="str">
        <f t="shared" si="1"/>
        <v>Yuma_2025</v>
      </c>
      <c r="D109">
        <v>3</v>
      </c>
      <c r="E109" s="36">
        <v>26</v>
      </c>
      <c r="F109" s="36">
        <v>5</v>
      </c>
      <c r="G109" s="32">
        <v>4</v>
      </c>
      <c r="H109">
        <v>71.225037237643889</v>
      </c>
    </row>
    <row r="110" spans="1:8" x14ac:dyDescent="0.25">
      <c r="A110" s="31" t="s">
        <v>116</v>
      </c>
      <c r="B110">
        <v>2025</v>
      </c>
      <c r="C110" t="str">
        <f t="shared" si="1"/>
        <v>Burlington_2025</v>
      </c>
      <c r="D110" s="32">
        <v>1</v>
      </c>
      <c r="E110" s="32">
        <v>7</v>
      </c>
      <c r="F110" s="32">
        <v>3</v>
      </c>
      <c r="G110" s="32">
        <v>5</v>
      </c>
      <c r="H110">
        <v>54.414973656174332</v>
      </c>
    </row>
    <row r="111" spans="1:8" x14ac:dyDescent="0.25">
      <c r="A111" s="31" t="s">
        <v>116</v>
      </c>
      <c r="B111">
        <v>2025</v>
      </c>
      <c r="C111" t="str">
        <f t="shared" si="1"/>
        <v>Burlington_2025</v>
      </c>
      <c r="D111" s="32">
        <v>2</v>
      </c>
      <c r="E111" s="32">
        <v>2</v>
      </c>
      <c r="F111" s="32">
        <v>6</v>
      </c>
      <c r="G111" s="32">
        <v>5</v>
      </c>
      <c r="H111">
        <v>54.993648076742211</v>
      </c>
    </row>
    <row r="112" spans="1:8" x14ac:dyDescent="0.25">
      <c r="A112" s="31" t="s">
        <v>116</v>
      </c>
      <c r="B112">
        <v>2025</v>
      </c>
      <c r="C112" t="str">
        <f t="shared" si="1"/>
        <v>Burlington_2025</v>
      </c>
      <c r="D112" s="32">
        <v>3</v>
      </c>
      <c r="E112" s="32">
        <v>10</v>
      </c>
      <c r="F112" s="32">
        <v>12</v>
      </c>
      <c r="G112" s="32">
        <v>5</v>
      </c>
      <c r="H112">
        <v>64.437887070217911</v>
      </c>
    </row>
    <row r="113" spans="1:8" x14ac:dyDescent="0.25">
      <c r="A113" s="34" t="s">
        <v>97</v>
      </c>
      <c r="B113">
        <v>2025</v>
      </c>
      <c r="C113" t="str">
        <f t="shared" si="1"/>
        <v>Lamar_2025</v>
      </c>
      <c r="D113" s="35">
        <v>1</v>
      </c>
      <c r="E113" s="35">
        <v>12</v>
      </c>
      <c r="F113" s="35">
        <v>2</v>
      </c>
      <c r="G113" s="35">
        <v>5</v>
      </c>
      <c r="H113">
        <v>83.243226924743595</v>
      </c>
    </row>
    <row r="114" spans="1:8" x14ac:dyDescent="0.25">
      <c r="A114" s="34" t="s">
        <v>97</v>
      </c>
      <c r="B114">
        <v>2025</v>
      </c>
      <c r="C114" t="str">
        <f t="shared" si="1"/>
        <v>Lamar_2025</v>
      </c>
      <c r="D114" s="35">
        <v>2</v>
      </c>
      <c r="E114" s="35">
        <v>5</v>
      </c>
      <c r="F114" s="35">
        <v>3</v>
      </c>
      <c r="G114" s="35">
        <v>5</v>
      </c>
      <c r="H114">
        <v>84.341232076473702</v>
      </c>
    </row>
    <row r="115" spans="1:8" x14ac:dyDescent="0.25">
      <c r="A115" s="34" t="s">
        <v>97</v>
      </c>
      <c r="B115">
        <v>2025</v>
      </c>
      <c r="C115" t="str">
        <f t="shared" si="1"/>
        <v>Lamar_2025</v>
      </c>
      <c r="D115" s="35">
        <v>3</v>
      </c>
      <c r="E115" s="35">
        <v>7</v>
      </c>
      <c r="F115" s="35">
        <v>5</v>
      </c>
      <c r="G115" s="35">
        <v>5</v>
      </c>
      <c r="H115">
        <v>85.566850360322164</v>
      </c>
    </row>
    <row r="116" spans="1:8" x14ac:dyDescent="0.25">
      <c r="A116" s="31" t="s">
        <v>132</v>
      </c>
      <c r="B116">
        <v>2025</v>
      </c>
      <c r="C116" t="str">
        <f t="shared" si="1"/>
        <v>SLake_2025</v>
      </c>
      <c r="D116" s="32">
        <v>1</v>
      </c>
      <c r="E116" s="32">
        <v>14</v>
      </c>
      <c r="F116" s="32">
        <v>1</v>
      </c>
      <c r="G116" s="32">
        <v>5</v>
      </c>
      <c r="H116">
        <v>61.341910226122167</v>
      </c>
    </row>
    <row r="117" spans="1:8" x14ac:dyDescent="0.25">
      <c r="A117" s="31" t="s">
        <v>132</v>
      </c>
      <c r="B117">
        <v>2025</v>
      </c>
      <c r="C117" t="str">
        <f t="shared" si="1"/>
        <v>SLake_2025</v>
      </c>
      <c r="D117" s="32">
        <v>2</v>
      </c>
      <c r="E117" s="32">
        <v>15</v>
      </c>
      <c r="F117" s="32">
        <v>3</v>
      </c>
      <c r="G117" s="32">
        <v>5</v>
      </c>
      <c r="H117">
        <v>72.141824440619615</v>
      </c>
    </row>
    <row r="118" spans="1:8" x14ac:dyDescent="0.25">
      <c r="A118" s="31" t="s">
        <v>132</v>
      </c>
      <c r="B118">
        <v>2025</v>
      </c>
      <c r="C118" t="str">
        <f t="shared" si="1"/>
        <v>SLake_2025</v>
      </c>
      <c r="D118" s="32">
        <v>3</v>
      </c>
      <c r="E118" s="32">
        <v>10</v>
      </c>
      <c r="F118" s="32">
        <v>5</v>
      </c>
      <c r="G118" s="32">
        <v>5</v>
      </c>
      <c r="H118">
        <v>65.055490654205599</v>
      </c>
    </row>
    <row r="119" spans="1:8" x14ac:dyDescent="0.25">
      <c r="A119" s="31" t="s">
        <v>13</v>
      </c>
      <c r="B119">
        <v>2025</v>
      </c>
      <c r="C119" t="str">
        <f t="shared" si="1"/>
        <v>Walsh_2025</v>
      </c>
      <c r="D119" s="32">
        <v>1</v>
      </c>
      <c r="E119" s="36">
        <v>10</v>
      </c>
      <c r="F119" s="36">
        <v>1</v>
      </c>
      <c r="G119" s="32">
        <v>5</v>
      </c>
      <c r="H119">
        <v>76.936859999999996</v>
      </c>
    </row>
    <row r="120" spans="1:8" x14ac:dyDescent="0.25">
      <c r="A120" s="31" t="s">
        <v>13</v>
      </c>
      <c r="B120">
        <v>2025</v>
      </c>
      <c r="C120" t="str">
        <f t="shared" si="1"/>
        <v>Walsh_2025</v>
      </c>
      <c r="D120" s="32">
        <v>2</v>
      </c>
      <c r="E120" s="36">
        <v>20</v>
      </c>
      <c r="F120" s="36">
        <v>3</v>
      </c>
      <c r="G120" s="32">
        <v>5</v>
      </c>
      <c r="H120">
        <v>52.842239999999997</v>
      </c>
    </row>
    <row r="121" spans="1:8" x14ac:dyDescent="0.25">
      <c r="A121" s="31" t="s">
        <v>13</v>
      </c>
      <c r="B121">
        <v>2025</v>
      </c>
      <c r="C121" t="str">
        <f t="shared" si="1"/>
        <v>Walsh_2025</v>
      </c>
      <c r="D121" s="32">
        <v>3</v>
      </c>
      <c r="E121" s="36">
        <v>19</v>
      </c>
      <c r="F121" s="36">
        <v>6</v>
      </c>
      <c r="G121" s="32">
        <v>5</v>
      </c>
      <c r="H121">
        <v>67.670459999999991</v>
      </c>
    </row>
    <row r="122" spans="1:8" x14ac:dyDescent="0.25">
      <c r="A122" t="s">
        <v>7</v>
      </c>
      <c r="B122">
        <v>2025</v>
      </c>
      <c r="C122" t="str">
        <f t="shared" si="1"/>
        <v>Akron_2025</v>
      </c>
      <c r="D122" s="11">
        <v>1</v>
      </c>
      <c r="E122" s="11">
        <v>5</v>
      </c>
      <c r="F122" s="11">
        <v>1</v>
      </c>
      <c r="G122" s="11">
        <v>5</v>
      </c>
      <c r="H122">
        <v>49.395110294117636</v>
      </c>
    </row>
    <row r="123" spans="1:8" x14ac:dyDescent="0.25">
      <c r="A123" t="s">
        <v>7</v>
      </c>
      <c r="B123">
        <v>2025</v>
      </c>
      <c r="C123" t="str">
        <f t="shared" si="1"/>
        <v>Akron_2025</v>
      </c>
      <c r="D123" s="11">
        <v>2</v>
      </c>
      <c r="E123" s="11">
        <v>8</v>
      </c>
      <c r="F123" s="11">
        <v>6</v>
      </c>
      <c r="G123" s="11">
        <v>5</v>
      </c>
      <c r="H123">
        <v>51.197623579683395</v>
      </c>
    </row>
    <row r="124" spans="1:8" x14ac:dyDescent="0.25">
      <c r="A124" t="s">
        <v>7</v>
      </c>
      <c r="B124">
        <v>2025</v>
      </c>
      <c r="C124" t="str">
        <f t="shared" si="1"/>
        <v>Akron_2025</v>
      </c>
      <c r="D124" s="11">
        <v>3</v>
      </c>
      <c r="E124" s="11">
        <v>9</v>
      </c>
      <c r="F124" s="11">
        <v>11</v>
      </c>
      <c r="G124" s="11">
        <v>5</v>
      </c>
      <c r="H124">
        <v>40.270615896594947</v>
      </c>
    </row>
    <row r="125" spans="1:8" x14ac:dyDescent="0.25">
      <c r="A125" s="31" t="s">
        <v>156</v>
      </c>
      <c r="B125">
        <v>2025</v>
      </c>
      <c r="C125" t="str">
        <f t="shared" si="1"/>
        <v>Genoa_2025</v>
      </c>
      <c r="D125" s="32">
        <v>1</v>
      </c>
      <c r="E125" s="32">
        <v>15</v>
      </c>
      <c r="F125" s="32">
        <v>2</v>
      </c>
      <c r="G125" s="32">
        <v>5</v>
      </c>
      <c r="H125">
        <v>44.928228068478568</v>
      </c>
    </row>
    <row r="126" spans="1:8" x14ac:dyDescent="0.25">
      <c r="A126" s="31" t="s">
        <v>156</v>
      </c>
      <c r="B126">
        <v>2025</v>
      </c>
      <c r="C126" t="str">
        <f t="shared" si="1"/>
        <v>Genoa_2025</v>
      </c>
      <c r="D126" s="32">
        <v>2</v>
      </c>
      <c r="E126" s="32">
        <v>14</v>
      </c>
      <c r="F126" s="32">
        <v>3</v>
      </c>
      <c r="G126" s="32">
        <v>5</v>
      </c>
      <c r="H126">
        <v>47.063495492020635</v>
      </c>
    </row>
    <row r="127" spans="1:8" x14ac:dyDescent="0.25">
      <c r="A127" s="31" t="s">
        <v>156</v>
      </c>
      <c r="B127">
        <v>2025</v>
      </c>
      <c r="C127" t="str">
        <f t="shared" si="1"/>
        <v>Genoa_2025</v>
      </c>
      <c r="D127" s="32">
        <v>3</v>
      </c>
      <c r="E127" s="32">
        <v>8</v>
      </c>
      <c r="F127" s="32">
        <v>6</v>
      </c>
      <c r="G127" s="32">
        <v>5</v>
      </c>
      <c r="H127">
        <v>46.689136894744422</v>
      </c>
    </row>
    <row r="128" spans="1:8" x14ac:dyDescent="0.25">
      <c r="A128" s="31" t="s">
        <v>10</v>
      </c>
      <c r="B128">
        <v>2025</v>
      </c>
      <c r="C128" t="str">
        <f t="shared" si="1"/>
        <v>Julesburg_2025</v>
      </c>
      <c r="D128" s="32">
        <v>1</v>
      </c>
      <c r="E128" s="32">
        <v>4</v>
      </c>
      <c r="F128" s="32">
        <v>3</v>
      </c>
      <c r="G128" s="32">
        <v>5</v>
      </c>
      <c r="H128">
        <v>61.098487052662207</v>
      </c>
    </row>
    <row r="129" spans="1:8" x14ac:dyDescent="0.25">
      <c r="A129" s="31" t="s">
        <v>10</v>
      </c>
      <c r="B129">
        <v>2025</v>
      </c>
      <c r="C129" t="str">
        <f t="shared" si="1"/>
        <v>Julesburg_2025</v>
      </c>
      <c r="D129" s="32">
        <v>2</v>
      </c>
      <c r="E129" s="32">
        <v>10</v>
      </c>
      <c r="F129" s="32">
        <v>8</v>
      </c>
      <c r="G129" s="32">
        <v>5</v>
      </c>
      <c r="H129">
        <v>52.076428329051332</v>
      </c>
    </row>
    <row r="130" spans="1:8" x14ac:dyDescent="0.25">
      <c r="A130" s="31" t="s">
        <v>10</v>
      </c>
      <c r="B130">
        <v>2025</v>
      </c>
      <c r="C130" t="str">
        <f t="shared" si="1"/>
        <v>Julesburg_2025</v>
      </c>
      <c r="D130" s="32">
        <v>3</v>
      </c>
      <c r="E130" s="32">
        <v>9</v>
      </c>
      <c r="F130" s="32">
        <v>12</v>
      </c>
      <c r="G130" s="32">
        <v>5</v>
      </c>
      <c r="H130">
        <v>73.417674725274722</v>
      </c>
    </row>
    <row r="131" spans="1:8" x14ac:dyDescent="0.25">
      <c r="A131" s="31" t="s">
        <v>11</v>
      </c>
      <c r="B131">
        <v>2025</v>
      </c>
      <c r="C131" t="str">
        <f t="shared" ref="C131:C194" si="2">A131&amp;"_"&amp;B131</f>
        <v>Orchard_2025</v>
      </c>
      <c r="D131" s="32">
        <v>1</v>
      </c>
      <c r="E131" s="32">
        <v>10</v>
      </c>
      <c r="F131" s="32">
        <v>2</v>
      </c>
      <c r="G131" s="11">
        <v>5</v>
      </c>
      <c r="H131">
        <v>44.34603632213566</v>
      </c>
    </row>
    <row r="132" spans="1:8" x14ac:dyDescent="0.25">
      <c r="A132" s="31" t="s">
        <v>11</v>
      </c>
      <c r="B132">
        <v>2025</v>
      </c>
      <c r="C132" t="str">
        <f t="shared" si="2"/>
        <v>Orchard_2025</v>
      </c>
      <c r="D132" s="32">
        <v>2</v>
      </c>
      <c r="E132" s="32">
        <v>12</v>
      </c>
      <c r="F132" s="32">
        <v>4</v>
      </c>
      <c r="G132" s="11">
        <v>5</v>
      </c>
      <c r="H132">
        <v>44.955742530102562</v>
      </c>
    </row>
    <row r="133" spans="1:8" x14ac:dyDescent="0.25">
      <c r="A133" s="31" t="s">
        <v>11</v>
      </c>
      <c r="B133">
        <v>2025</v>
      </c>
      <c r="C133" t="str">
        <f t="shared" si="2"/>
        <v>Orchard_2025</v>
      </c>
      <c r="D133" s="32">
        <v>3</v>
      </c>
      <c r="E133" s="32">
        <v>2</v>
      </c>
      <c r="F133" s="32">
        <v>7</v>
      </c>
      <c r="G133" s="11">
        <v>5</v>
      </c>
      <c r="H133">
        <v>39.41437794152602</v>
      </c>
    </row>
    <row r="134" spans="1:8" x14ac:dyDescent="0.25">
      <c r="A134" t="s">
        <v>160</v>
      </c>
      <c r="B134">
        <v>2025</v>
      </c>
      <c r="C134" t="str">
        <f t="shared" si="2"/>
        <v>Yuma_2025</v>
      </c>
      <c r="D134">
        <v>1</v>
      </c>
      <c r="E134" s="36">
        <v>8</v>
      </c>
      <c r="F134" s="36">
        <v>2</v>
      </c>
      <c r="G134" s="32">
        <v>5</v>
      </c>
      <c r="H134">
        <v>92.140762227602906</v>
      </c>
    </row>
    <row r="135" spans="1:8" x14ac:dyDescent="0.25">
      <c r="A135" t="s">
        <v>160</v>
      </c>
      <c r="B135">
        <v>2025</v>
      </c>
      <c r="C135" t="str">
        <f t="shared" si="2"/>
        <v>Yuma_2025</v>
      </c>
      <c r="D135">
        <v>2</v>
      </c>
      <c r="E135" s="36">
        <v>13</v>
      </c>
      <c r="F135" s="36">
        <v>4</v>
      </c>
      <c r="G135" s="32">
        <v>5</v>
      </c>
      <c r="H135">
        <v>90.250602044309673</v>
      </c>
    </row>
    <row r="136" spans="1:8" x14ac:dyDescent="0.25">
      <c r="A136" t="s">
        <v>160</v>
      </c>
      <c r="B136">
        <v>2025</v>
      </c>
      <c r="C136" t="str">
        <f t="shared" si="2"/>
        <v>Yuma_2025</v>
      </c>
      <c r="D136">
        <v>3</v>
      </c>
      <c r="E136" s="36">
        <v>7</v>
      </c>
      <c r="F136" s="36">
        <v>5</v>
      </c>
      <c r="G136" s="32">
        <v>5</v>
      </c>
      <c r="H136">
        <v>83.75463197601313</v>
      </c>
    </row>
    <row r="137" spans="1:8" x14ac:dyDescent="0.25">
      <c r="A137" s="31" t="s">
        <v>116</v>
      </c>
      <c r="B137">
        <v>2025</v>
      </c>
      <c r="C137" t="str">
        <f t="shared" si="2"/>
        <v>Burlington_2025</v>
      </c>
      <c r="D137" s="32">
        <v>1</v>
      </c>
      <c r="E137" s="32">
        <v>11</v>
      </c>
      <c r="F137" s="32">
        <v>1</v>
      </c>
      <c r="G137" s="32">
        <v>6</v>
      </c>
      <c r="H137">
        <v>50.398919999999997</v>
      </c>
    </row>
    <row r="138" spans="1:8" x14ac:dyDescent="0.25">
      <c r="A138" s="31" t="s">
        <v>116</v>
      </c>
      <c r="B138">
        <v>2025</v>
      </c>
      <c r="C138" t="str">
        <f t="shared" si="2"/>
        <v>Burlington_2025</v>
      </c>
      <c r="D138" s="32">
        <v>2</v>
      </c>
      <c r="E138" s="32">
        <v>10</v>
      </c>
      <c r="F138" s="32">
        <v>5</v>
      </c>
      <c r="G138" s="32">
        <v>6</v>
      </c>
      <c r="H138">
        <v>46.49379087779689</v>
      </c>
    </row>
    <row r="139" spans="1:8" x14ac:dyDescent="0.25">
      <c r="A139" s="31" t="s">
        <v>116</v>
      </c>
      <c r="B139">
        <v>2025</v>
      </c>
      <c r="C139" t="str">
        <f t="shared" si="2"/>
        <v>Burlington_2025</v>
      </c>
      <c r="D139" s="32">
        <v>3</v>
      </c>
      <c r="E139" s="32">
        <v>8</v>
      </c>
      <c r="F139" s="32">
        <v>11</v>
      </c>
      <c r="G139" s="32">
        <v>6</v>
      </c>
      <c r="H139">
        <v>56.270279999999993</v>
      </c>
    </row>
    <row r="140" spans="1:8" x14ac:dyDescent="0.25">
      <c r="A140" s="34" t="s">
        <v>97</v>
      </c>
      <c r="B140">
        <v>2025</v>
      </c>
      <c r="C140" t="str">
        <f t="shared" si="2"/>
        <v>Lamar_2025</v>
      </c>
      <c r="D140" s="35">
        <v>1</v>
      </c>
      <c r="E140" s="35">
        <v>1</v>
      </c>
      <c r="F140" s="35">
        <v>2</v>
      </c>
      <c r="G140" s="35">
        <v>6</v>
      </c>
      <c r="H140">
        <v>62.140863787375409</v>
      </c>
    </row>
    <row r="141" spans="1:8" x14ac:dyDescent="0.25">
      <c r="A141" s="34" t="s">
        <v>97</v>
      </c>
      <c r="B141">
        <v>2025</v>
      </c>
      <c r="C141" t="str">
        <f t="shared" si="2"/>
        <v>Lamar_2025</v>
      </c>
      <c r="D141" s="35">
        <v>2</v>
      </c>
      <c r="E141" s="35">
        <v>13</v>
      </c>
      <c r="F141" s="35">
        <v>3</v>
      </c>
      <c r="G141" s="35">
        <v>6</v>
      </c>
      <c r="H141">
        <v>56.063069569835363</v>
      </c>
    </row>
    <row r="142" spans="1:8" x14ac:dyDescent="0.25">
      <c r="A142" s="34" t="s">
        <v>97</v>
      </c>
      <c r="B142">
        <v>2025</v>
      </c>
      <c r="C142" t="str">
        <f t="shared" si="2"/>
        <v>Lamar_2025</v>
      </c>
      <c r="D142" s="35">
        <v>3</v>
      </c>
      <c r="E142" s="35">
        <v>2</v>
      </c>
      <c r="F142" s="35">
        <v>6</v>
      </c>
      <c r="G142" s="35">
        <v>6</v>
      </c>
      <c r="H142">
        <v>57.299530802975397</v>
      </c>
    </row>
    <row r="143" spans="1:8" x14ac:dyDescent="0.25">
      <c r="A143" s="31" t="s">
        <v>132</v>
      </c>
      <c r="B143">
        <v>2025</v>
      </c>
      <c r="C143" t="str">
        <f t="shared" si="2"/>
        <v>SLake_2025</v>
      </c>
      <c r="D143" s="32">
        <v>1</v>
      </c>
      <c r="E143" s="32">
        <v>21</v>
      </c>
      <c r="F143" s="32">
        <v>2</v>
      </c>
      <c r="G143" s="32">
        <v>6</v>
      </c>
      <c r="H143">
        <v>55.558660623885054</v>
      </c>
    </row>
    <row r="144" spans="1:8" x14ac:dyDescent="0.25">
      <c r="A144" s="31" t="s">
        <v>132</v>
      </c>
      <c r="B144">
        <v>2025</v>
      </c>
      <c r="C144" t="str">
        <f t="shared" si="2"/>
        <v>SLake_2025</v>
      </c>
      <c r="D144" s="32">
        <v>2</v>
      </c>
      <c r="E144" s="32">
        <v>20</v>
      </c>
      <c r="F144" s="32">
        <v>3</v>
      </c>
      <c r="G144" s="32">
        <v>6</v>
      </c>
      <c r="H144">
        <v>62.276140275387256</v>
      </c>
    </row>
    <row r="145" spans="1:8" x14ac:dyDescent="0.25">
      <c r="A145" s="31" t="s">
        <v>132</v>
      </c>
      <c r="B145">
        <v>2025</v>
      </c>
      <c r="C145" t="str">
        <f t="shared" si="2"/>
        <v>SLake_2025</v>
      </c>
      <c r="D145" s="32">
        <v>3</v>
      </c>
      <c r="E145" s="32">
        <v>1</v>
      </c>
      <c r="F145" s="32">
        <v>6</v>
      </c>
      <c r="G145" s="32">
        <v>6</v>
      </c>
      <c r="H145">
        <v>55.881445904954496</v>
      </c>
    </row>
    <row r="146" spans="1:8" x14ac:dyDescent="0.25">
      <c r="A146" s="31" t="s">
        <v>13</v>
      </c>
      <c r="B146">
        <v>2025</v>
      </c>
      <c r="C146" t="str">
        <f t="shared" si="2"/>
        <v>Walsh_2025</v>
      </c>
      <c r="D146" s="32">
        <v>1</v>
      </c>
      <c r="E146" s="36">
        <v>2</v>
      </c>
      <c r="F146" s="36">
        <v>1</v>
      </c>
      <c r="G146" s="32">
        <v>6</v>
      </c>
      <c r="H146">
        <v>61.439399999999992</v>
      </c>
    </row>
    <row r="147" spans="1:8" x14ac:dyDescent="0.25">
      <c r="A147" s="31" t="s">
        <v>13</v>
      </c>
      <c r="B147">
        <v>2025</v>
      </c>
      <c r="C147" t="str">
        <f t="shared" si="2"/>
        <v>Walsh_2025</v>
      </c>
      <c r="D147" s="32">
        <v>2</v>
      </c>
      <c r="E147" s="36">
        <v>9</v>
      </c>
      <c r="F147" s="36">
        <v>3</v>
      </c>
      <c r="G147" s="32">
        <v>6</v>
      </c>
      <c r="H147">
        <v>62.391559999999998</v>
      </c>
    </row>
    <row r="148" spans="1:8" x14ac:dyDescent="0.25">
      <c r="A148" s="31" t="s">
        <v>13</v>
      </c>
      <c r="B148">
        <v>2025</v>
      </c>
      <c r="C148" t="str">
        <f t="shared" si="2"/>
        <v>Walsh_2025</v>
      </c>
      <c r="D148" s="32">
        <v>3</v>
      </c>
      <c r="E148" s="36">
        <v>6</v>
      </c>
      <c r="F148" s="36">
        <v>6</v>
      </c>
      <c r="G148" s="32">
        <v>6</v>
      </c>
      <c r="H148">
        <v>56.618099999999998</v>
      </c>
    </row>
    <row r="149" spans="1:8" x14ac:dyDescent="0.25">
      <c r="A149" t="s">
        <v>7</v>
      </c>
      <c r="B149">
        <v>2025</v>
      </c>
      <c r="C149" t="str">
        <f t="shared" si="2"/>
        <v>Akron_2025</v>
      </c>
      <c r="D149" s="11">
        <v>1</v>
      </c>
      <c r="E149" s="11">
        <v>12</v>
      </c>
      <c r="F149" s="11">
        <v>1</v>
      </c>
      <c r="G149" s="11">
        <v>6</v>
      </c>
      <c r="H149">
        <v>43.668387605042007</v>
      </c>
    </row>
    <row r="150" spans="1:8" x14ac:dyDescent="0.25">
      <c r="A150" t="s">
        <v>7</v>
      </c>
      <c r="B150">
        <v>2025</v>
      </c>
      <c r="C150" t="str">
        <f t="shared" si="2"/>
        <v>Akron_2025</v>
      </c>
      <c r="D150" s="11">
        <v>2</v>
      </c>
      <c r="E150" s="11">
        <v>3</v>
      </c>
      <c r="F150" s="11">
        <v>7</v>
      </c>
      <c r="G150" s="11">
        <v>6</v>
      </c>
      <c r="H150">
        <v>39.559517257909867</v>
      </c>
    </row>
    <row r="151" spans="1:8" x14ac:dyDescent="0.25">
      <c r="A151" t="s">
        <v>7</v>
      </c>
      <c r="B151">
        <v>2025</v>
      </c>
      <c r="C151" t="str">
        <f t="shared" si="2"/>
        <v>Akron_2025</v>
      </c>
      <c r="D151" s="11">
        <v>3</v>
      </c>
      <c r="E151" s="11">
        <v>10</v>
      </c>
      <c r="F151" s="11">
        <v>12</v>
      </c>
      <c r="G151" s="11">
        <v>6</v>
      </c>
      <c r="H151">
        <v>32.178789542106017</v>
      </c>
    </row>
    <row r="152" spans="1:8" x14ac:dyDescent="0.25">
      <c r="A152" s="31" t="s">
        <v>156</v>
      </c>
      <c r="B152">
        <v>2025</v>
      </c>
      <c r="C152" t="str">
        <f t="shared" si="2"/>
        <v>Genoa_2025</v>
      </c>
      <c r="D152" s="32">
        <v>1</v>
      </c>
      <c r="E152" s="32">
        <v>7</v>
      </c>
      <c r="F152" s="32">
        <v>1</v>
      </c>
      <c r="G152" s="32">
        <v>6</v>
      </c>
      <c r="H152">
        <v>24.670145123185957</v>
      </c>
    </row>
    <row r="153" spans="1:8" x14ac:dyDescent="0.25">
      <c r="A153" s="31" t="s">
        <v>156</v>
      </c>
      <c r="B153">
        <v>2025</v>
      </c>
      <c r="C153" t="str">
        <f t="shared" si="2"/>
        <v>Genoa_2025</v>
      </c>
      <c r="D153" s="32">
        <v>2</v>
      </c>
      <c r="E153" s="32">
        <v>9</v>
      </c>
      <c r="F153" s="32">
        <v>4</v>
      </c>
      <c r="G153" s="32">
        <v>6</v>
      </c>
      <c r="H153">
        <v>34.34497975905964</v>
      </c>
    </row>
    <row r="154" spans="1:8" x14ac:dyDescent="0.25">
      <c r="A154" s="31" t="s">
        <v>156</v>
      </c>
      <c r="B154">
        <v>2025</v>
      </c>
      <c r="C154" t="str">
        <f t="shared" si="2"/>
        <v>Genoa_2025</v>
      </c>
      <c r="D154" s="32">
        <v>3</v>
      </c>
      <c r="E154" s="32">
        <v>11</v>
      </c>
      <c r="F154" s="32">
        <v>5</v>
      </c>
      <c r="G154" s="32">
        <v>6</v>
      </c>
      <c r="H154">
        <v>41.220807815069158</v>
      </c>
    </row>
    <row r="155" spans="1:8" x14ac:dyDescent="0.25">
      <c r="A155" s="31" t="s">
        <v>10</v>
      </c>
      <c r="B155">
        <v>2025</v>
      </c>
      <c r="C155" t="str">
        <f t="shared" si="2"/>
        <v>Julesburg_2025</v>
      </c>
      <c r="D155" s="32">
        <v>1</v>
      </c>
      <c r="E155" s="32">
        <v>1</v>
      </c>
      <c r="F155" s="32">
        <v>2</v>
      </c>
      <c r="G155" s="32">
        <v>6</v>
      </c>
      <c r="H155">
        <v>53.325292503250026</v>
      </c>
    </row>
    <row r="156" spans="1:8" x14ac:dyDescent="0.25">
      <c r="A156" s="31" t="s">
        <v>10</v>
      </c>
      <c r="B156">
        <v>2025</v>
      </c>
      <c r="C156" t="str">
        <f t="shared" si="2"/>
        <v>Julesburg_2025</v>
      </c>
      <c r="D156" s="32">
        <v>2</v>
      </c>
      <c r="E156" s="32">
        <v>13</v>
      </c>
      <c r="F156" s="32">
        <v>6</v>
      </c>
      <c r="G156" s="32">
        <v>6</v>
      </c>
      <c r="H156">
        <v>48.025135951661618</v>
      </c>
    </row>
    <row r="157" spans="1:8" x14ac:dyDescent="0.25">
      <c r="A157" s="31" t="s">
        <v>10</v>
      </c>
      <c r="B157">
        <v>2025</v>
      </c>
      <c r="C157" t="str">
        <f t="shared" si="2"/>
        <v>Julesburg_2025</v>
      </c>
      <c r="D157" s="32">
        <v>3</v>
      </c>
      <c r="E157" s="32">
        <v>9</v>
      </c>
      <c r="F157" s="32">
        <v>9</v>
      </c>
      <c r="G157" s="32">
        <v>6</v>
      </c>
      <c r="H157">
        <v>51.017648426150117</v>
      </c>
    </row>
    <row r="158" spans="1:8" x14ac:dyDescent="0.25">
      <c r="A158" s="31" t="s">
        <v>11</v>
      </c>
      <c r="B158">
        <v>2025</v>
      </c>
      <c r="C158" t="str">
        <f t="shared" si="2"/>
        <v>Orchard_2025</v>
      </c>
      <c r="D158" s="32">
        <v>1</v>
      </c>
      <c r="E158" s="32">
        <v>4</v>
      </c>
      <c r="F158" s="32">
        <v>2</v>
      </c>
      <c r="G158" s="11">
        <v>6</v>
      </c>
      <c r="H158">
        <v>32.998542648737164</v>
      </c>
    </row>
    <row r="159" spans="1:8" x14ac:dyDescent="0.25">
      <c r="A159" s="31" t="s">
        <v>11</v>
      </c>
      <c r="B159">
        <v>2025</v>
      </c>
      <c r="C159" t="str">
        <f t="shared" si="2"/>
        <v>Orchard_2025</v>
      </c>
      <c r="D159" s="32">
        <v>2</v>
      </c>
      <c r="E159" s="32">
        <v>2</v>
      </c>
      <c r="F159" s="32">
        <v>5</v>
      </c>
      <c r="G159" s="11">
        <v>6</v>
      </c>
      <c r="H159">
        <v>42.66098271155596</v>
      </c>
    </row>
    <row r="160" spans="1:8" x14ac:dyDescent="0.25">
      <c r="A160" s="31" t="s">
        <v>11</v>
      </c>
      <c r="B160">
        <v>2025</v>
      </c>
      <c r="C160" t="str">
        <f t="shared" si="2"/>
        <v>Orchard_2025</v>
      </c>
      <c r="D160" s="32">
        <v>3</v>
      </c>
      <c r="E160" s="32">
        <v>11</v>
      </c>
      <c r="F160" s="32">
        <v>8</v>
      </c>
      <c r="G160" s="11">
        <v>6</v>
      </c>
      <c r="H160">
        <v>50.071120129870124</v>
      </c>
    </row>
    <row r="161" spans="1:8" x14ac:dyDescent="0.25">
      <c r="A161" t="s">
        <v>160</v>
      </c>
      <c r="B161">
        <v>2025</v>
      </c>
      <c r="C161" t="str">
        <f t="shared" si="2"/>
        <v>Yuma_2025</v>
      </c>
      <c r="D161">
        <v>1</v>
      </c>
      <c r="E161" s="36">
        <v>15</v>
      </c>
      <c r="F161" s="36">
        <v>1</v>
      </c>
      <c r="G161" s="32">
        <v>6</v>
      </c>
      <c r="H161">
        <v>74.346652323580017</v>
      </c>
    </row>
    <row r="162" spans="1:8" x14ac:dyDescent="0.25">
      <c r="A162" t="s">
        <v>160</v>
      </c>
      <c r="B162">
        <v>2025</v>
      </c>
      <c r="C162" t="str">
        <f t="shared" si="2"/>
        <v>Yuma_2025</v>
      </c>
      <c r="D162">
        <v>2</v>
      </c>
      <c r="E162" s="36">
        <v>9</v>
      </c>
      <c r="F162" s="36">
        <v>4</v>
      </c>
      <c r="G162" s="32">
        <v>6</v>
      </c>
      <c r="H162">
        <v>70.49640534063677</v>
      </c>
    </row>
    <row r="163" spans="1:8" x14ac:dyDescent="0.25">
      <c r="A163" t="s">
        <v>160</v>
      </c>
      <c r="B163">
        <v>2025</v>
      </c>
      <c r="C163" t="str">
        <f t="shared" si="2"/>
        <v>Yuma_2025</v>
      </c>
      <c r="D163">
        <v>3</v>
      </c>
      <c r="E163" s="36">
        <v>7</v>
      </c>
      <c r="F163" s="36">
        <v>6</v>
      </c>
      <c r="G163" s="32">
        <v>6</v>
      </c>
      <c r="H163">
        <v>74.412282650325537</v>
      </c>
    </row>
    <row r="164" spans="1:8" x14ac:dyDescent="0.25">
      <c r="A164" s="31" t="s">
        <v>116</v>
      </c>
      <c r="B164">
        <v>2025</v>
      </c>
      <c r="C164" t="str">
        <f t="shared" si="2"/>
        <v>Burlington_2025</v>
      </c>
      <c r="D164" s="32">
        <v>1</v>
      </c>
      <c r="E164" s="32">
        <v>10</v>
      </c>
      <c r="F164" s="32">
        <v>1</v>
      </c>
      <c r="G164" s="32">
        <v>8</v>
      </c>
      <c r="H164">
        <v>61.575075544794188</v>
      </c>
    </row>
    <row r="165" spans="1:8" x14ac:dyDescent="0.25">
      <c r="A165" s="31" t="s">
        <v>116</v>
      </c>
      <c r="B165">
        <v>2025</v>
      </c>
      <c r="C165" t="str">
        <f t="shared" si="2"/>
        <v>Burlington_2025</v>
      </c>
      <c r="D165" s="32">
        <v>2</v>
      </c>
      <c r="E165" s="32">
        <v>5</v>
      </c>
      <c r="F165" s="32">
        <v>7</v>
      </c>
      <c r="G165" s="32">
        <v>8</v>
      </c>
      <c r="H165">
        <v>71.209185478038648</v>
      </c>
    </row>
    <row r="166" spans="1:8" x14ac:dyDescent="0.25">
      <c r="A166" s="31" t="s">
        <v>116</v>
      </c>
      <c r="B166">
        <v>2025</v>
      </c>
      <c r="C166" t="str">
        <f t="shared" si="2"/>
        <v>Burlington_2025</v>
      </c>
      <c r="D166" s="32">
        <v>3</v>
      </c>
      <c r="E166" s="32">
        <v>3</v>
      </c>
      <c r="F166" s="32">
        <v>11</v>
      </c>
      <c r="G166" s="32">
        <v>8</v>
      </c>
      <c r="H166">
        <v>63.804250714285708</v>
      </c>
    </row>
    <row r="167" spans="1:8" x14ac:dyDescent="0.25">
      <c r="A167" s="34" t="s">
        <v>97</v>
      </c>
      <c r="B167">
        <v>2025</v>
      </c>
      <c r="C167" t="str">
        <f t="shared" si="2"/>
        <v>Lamar_2025</v>
      </c>
      <c r="D167" s="35">
        <v>1</v>
      </c>
      <c r="E167" s="35">
        <v>8</v>
      </c>
      <c r="F167" s="35">
        <v>2</v>
      </c>
      <c r="G167" s="35">
        <v>8</v>
      </c>
      <c r="H167">
        <v>82.458148201646679</v>
      </c>
    </row>
    <row r="168" spans="1:8" x14ac:dyDescent="0.25">
      <c r="A168" s="34" t="s">
        <v>97</v>
      </c>
      <c r="B168">
        <v>2025</v>
      </c>
      <c r="C168" t="str">
        <f t="shared" si="2"/>
        <v>Lamar_2025</v>
      </c>
      <c r="D168" s="35">
        <v>2</v>
      </c>
      <c r="E168" s="35">
        <v>17</v>
      </c>
      <c r="F168" s="35">
        <v>4</v>
      </c>
      <c r="G168" s="35">
        <v>8</v>
      </c>
      <c r="H168">
        <v>79.414325982742085</v>
      </c>
    </row>
    <row r="169" spans="1:8" x14ac:dyDescent="0.25">
      <c r="A169" s="34" t="s">
        <v>97</v>
      </c>
      <c r="B169">
        <v>2025</v>
      </c>
      <c r="C169" t="str">
        <f t="shared" si="2"/>
        <v>Lamar_2025</v>
      </c>
      <c r="D169" s="35">
        <v>3</v>
      </c>
      <c r="E169" s="35">
        <v>10</v>
      </c>
      <c r="F169" s="35">
        <v>6</v>
      </c>
      <c r="G169" s="35">
        <v>8</v>
      </c>
      <c r="H169">
        <v>82.103156589738703</v>
      </c>
    </row>
    <row r="170" spans="1:8" x14ac:dyDescent="0.25">
      <c r="A170" s="31" t="s">
        <v>132</v>
      </c>
      <c r="B170">
        <v>2025</v>
      </c>
      <c r="C170" t="str">
        <f t="shared" si="2"/>
        <v>SLake_2025</v>
      </c>
      <c r="D170" s="32">
        <v>1</v>
      </c>
      <c r="E170" s="32">
        <v>2</v>
      </c>
      <c r="F170" s="32">
        <v>2</v>
      </c>
      <c r="G170" s="32">
        <v>8</v>
      </c>
      <c r="H170">
        <v>66.08375295308808</v>
      </c>
    </row>
    <row r="171" spans="1:8" x14ac:dyDescent="0.25">
      <c r="A171" s="31" t="s">
        <v>132</v>
      </c>
      <c r="B171">
        <v>2025</v>
      </c>
      <c r="C171" t="str">
        <f t="shared" si="2"/>
        <v>SLake_2025</v>
      </c>
      <c r="D171" s="32">
        <v>2</v>
      </c>
      <c r="E171" s="32">
        <v>5</v>
      </c>
      <c r="F171" s="32">
        <v>3</v>
      </c>
      <c r="G171" s="32">
        <v>8</v>
      </c>
      <c r="H171">
        <v>72.684487951807228</v>
      </c>
    </row>
    <row r="172" spans="1:8" x14ac:dyDescent="0.25">
      <c r="A172" s="31" t="s">
        <v>132</v>
      </c>
      <c r="B172">
        <v>2025</v>
      </c>
      <c r="C172" t="str">
        <f t="shared" si="2"/>
        <v>SLake_2025</v>
      </c>
      <c r="D172" s="32">
        <v>3</v>
      </c>
      <c r="E172" s="32">
        <v>4</v>
      </c>
      <c r="F172" s="32">
        <v>5</v>
      </c>
      <c r="G172" s="32">
        <v>8</v>
      </c>
      <c r="H172">
        <v>68.342383177570085</v>
      </c>
    </row>
    <row r="173" spans="1:8" x14ac:dyDescent="0.25">
      <c r="A173" s="31" t="s">
        <v>13</v>
      </c>
      <c r="B173">
        <v>2025</v>
      </c>
      <c r="C173" t="str">
        <f t="shared" si="2"/>
        <v>Walsh_2025</v>
      </c>
      <c r="D173" s="32">
        <v>1</v>
      </c>
      <c r="E173" s="36">
        <v>10</v>
      </c>
      <c r="F173" s="36">
        <v>2</v>
      </c>
      <c r="G173" s="32">
        <v>8</v>
      </c>
      <c r="H173">
        <v>72.662810000000007</v>
      </c>
    </row>
    <row r="174" spans="1:8" x14ac:dyDescent="0.25">
      <c r="A174" s="31" t="s">
        <v>13</v>
      </c>
      <c r="B174">
        <v>2025</v>
      </c>
      <c r="C174" t="str">
        <f t="shared" si="2"/>
        <v>Walsh_2025</v>
      </c>
      <c r="D174" s="32">
        <v>2</v>
      </c>
      <c r="E174" s="36">
        <v>12</v>
      </c>
      <c r="F174" s="36">
        <v>4</v>
      </c>
      <c r="G174" s="32">
        <v>8</v>
      </c>
      <c r="H174">
        <v>72.56832</v>
      </c>
    </row>
    <row r="175" spans="1:8" x14ac:dyDescent="0.25">
      <c r="A175" s="31" t="s">
        <v>13</v>
      </c>
      <c r="B175">
        <v>2025</v>
      </c>
      <c r="C175" t="str">
        <f t="shared" si="2"/>
        <v>Walsh_2025</v>
      </c>
      <c r="D175" s="32">
        <v>3</v>
      </c>
      <c r="E175" s="36">
        <v>4</v>
      </c>
      <c r="F175" s="36">
        <v>6</v>
      </c>
      <c r="G175" s="32">
        <v>8</v>
      </c>
      <c r="H175">
        <v>71.162520000000001</v>
      </c>
    </row>
    <row r="176" spans="1:8" x14ac:dyDescent="0.25">
      <c r="A176" t="s">
        <v>7</v>
      </c>
      <c r="B176">
        <v>2025</v>
      </c>
      <c r="C176" t="str">
        <f t="shared" si="2"/>
        <v>Akron_2025</v>
      </c>
      <c r="D176" s="11">
        <v>1</v>
      </c>
      <c r="E176" s="11">
        <v>12</v>
      </c>
      <c r="F176" s="11">
        <v>2</v>
      </c>
      <c r="G176" s="11">
        <v>8</v>
      </c>
      <c r="H176">
        <v>49.135092013498308</v>
      </c>
    </row>
    <row r="177" spans="1:8" x14ac:dyDescent="0.25">
      <c r="A177" t="s">
        <v>7</v>
      </c>
      <c r="B177">
        <v>2025</v>
      </c>
      <c r="C177" t="str">
        <f t="shared" si="2"/>
        <v>Akron_2025</v>
      </c>
      <c r="D177" s="11">
        <v>2</v>
      </c>
      <c r="E177" s="11">
        <v>13</v>
      </c>
      <c r="F177" s="11">
        <v>8</v>
      </c>
      <c r="G177" s="11">
        <v>8</v>
      </c>
      <c r="H177">
        <v>53.385188071840055</v>
      </c>
    </row>
    <row r="178" spans="1:8" x14ac:dyDescent="0.25">
      <c r="A178" t="s">
        <v>7</v>
      </c>
      <c r="B178">
        <v>2025</v>
      </c>
      <c r="C178" t="str">
        <f t="shared" si="2"/>
        <v>Akron_2025</v>
      </c>
      <c r="D178" s="11">
        <v>3</v>
      </c>
      <c r="E178" s="11">
        <v>5</v>
      </c>
      <c r="F178" s="11">
        <v>12</v>
      </c>
      <c r="G178" s="11">
        <v>8</v>
      </c>
      <c r="H178">
        <v>40.212046800520007</v>
      </c>
    </row>
    <row r="179" spans="1:8" x14ac:dyDescent="0.25">
      <c r="A179" s="31" t="s">
        <v>156</v>
      </c>
      <c r="B179">
        <v>2025</v>
      </c>
      <c r="C179" t="str">
        <f t="shared" si="2"/>
        <v>Genoa_2025</v>
      </c>
      <c r="D179" s="32">
        <v>1</v>
      </c>
      <c r="E179" s="32">
        <v>19</v>
      </c>
      <c r="F179" s="32">
        <v>2</v>
      </c>
      <c r="G179" s="32">
        <v>8</v>
      </c>
      <c r="H179">
        <v>55.307131830931411</v>
      </c>
    </row>
    <row r="180" spans="1:8" x14ac:dyDescent="0.25">
      <c r="A180" s="31" t="s">
        <v>156</v>
      </c>
      <c r="B180">
        <v>2025</v>
      </c>
      <c r="C180" t="str">
        <f t="shared" si="2"/>
        <v>Genoa_2025</v>
      </c>
      <c r="D180" s="32">
        <v>2</v>
      </c>
      <c r="E180" s="32">
        <v>13</v>
      </c>
      <c r="F180" s="32">
        <v>4</v>
      </c>
      <c r="G180" s="32">
        <v>8</v>
      </c>
      <c r="H180">
        <v>50.562283568258302</v>
      </c>
    </row>
    <row r="181" spans="1:8" x14ac:dyDescent="0.25">
      <c r="A181" s="31" t="s">
        <v>156</v>
      </c>
      <c r="B181">
        <v>2025</v>
      </c>
      <c r="C181" t="str">
        <f t="shared" si="2"/>
        <v>Genoa_2025</v>
      </c>
      <c r="D181" s="32">
        <v>3</v>
      </c>
      <c r="E181" s="32">
        <v>18</v>
      </c>
      <c r="F181" s="32">
        <v>5</v>
      </c>
      <c r="G181" s="32">
        <v>8</v>
      </c>
      <c r="H181">
        <v>56.125981236096329</v>
      </c>
    </row>
    <row r="182" spans="1:8" x14ac:dyDescent="0.25">
      <c r="A182" s="31" t="s">
        <v>10</v>
      </c>
      <c r="B182">
        <v>2025</v>
      </c>
      <c r="C182" t="str">
        <f t="shared" si="2"/>
        <v>Julesburg_2025</v>
      </c>
      <c r="D182" s="32">
        <v>1</v>
      </c>
      <c r="E182" s="32">
        <v>2</v>
      </c>
      <c r="F182" s="32">
        <v>3</v>
      </c>
      <c r="G182" s="32">
        <v>8</v>
      </c>
      <c r="H182">
        <v>63.889421006691883</v>
      </c>
    </row>
    <row r="183" spans="1:8" x14ac:dyDescent="0.25">
      <c r="A183" s="31" t="s">
        <v>10</v>
      </c>
      <c r="B183">
        <v>2025</v>
      </c>
      <c r="C183" t="str">
        <f t="shared" si="2"/>
        <v>Julesburg_2025</v>
      </c>
      <c r="D183" s="32">
        <v>2</v>
      </c>
      <c r="E183" s="32">
        <v>6</v>
      </c>
      <c r="F183" s="32">
        <v>5</v>
      </c>
      <c r="G183" s="32">
        <v>8</v>
      </c>
      <c r="H183">
        <v>63.907853225806448</v>
      </c>
    </row>
    <row r="184" spans="1:8" x14ac:dyDescent="0.25">
      <c r="A184" s="31" t="s">
        <v>10</v>
      </c>
      <c r="B184">
        <v>2025</v>
      </c>
      <c r="C184" t="str">
        <f t="shared" si="2"/>
        <v>Julesburg_2025</v>
      </c>
      <c r="D184" s="32">
        <v>3</v>
      </c>
      <c r="E184" s="32">
        <v>8</v>
      </c>
      <c r="F184" s="32">
        <v>9</v>
      </c>
      <c r="G184" s="32">
        <v>8</v>
      </c>
      <c r="H184">
        <v>62.375666731234865</v>
      </c>
    </row>
    <row r="185" spans="1:8" x14ac:dyDescent="0.25">
      <c r="A185" s="31" t="s">
        <v>11</v>
      </c>
      <c r="B185">
        <v>2025</v>
      </c>
      <c r="C185" t="str">
        <f t="shared" si="2"/>
        <v>Orchard_2025</v>
      </c>
      <c r="D185" s="32">
        <v>1</v>
      </c>
      <c r="E185" s="32">
        <v>16</v>
      </c>
      <c r="F185" s="32">
        <v>3</v>
      </c>
      <c r="G185" s="11">
        <v>8</v>
      </c>
      <c r="H185">
        <v>20.969940079893469</v>
      </c>
    </row>
    <row r="186" spans="1:8" x14ac:dyDescent="0.25">
      <c r="A186" s="31" t="s">
        <v>11</v>
      </c>
      <c r="B186">
        <v>2025</v>
      </c>
      <c r="C186" t="str">
        <f t="shared" si="2"/>
        <v>Orchard_2025</v>
      </c>
      <c r="D186" s="32">
        <v>2</v>
      </c>
      <c r="E186" s="32">
        <v>10</v>
      </c>
      <c r="F186" s="32">
        <v>5</v>
      </c>
      <c r="G186" s="11">
        <v>8</v>
      </c>
      <c r="H186">
        <v>32.182704372395953</v>
      </c>
    </row>
    <row r="187" spans="1:8" x14ac:dyDescent="0.25">
      <c r="A187" s="31" t="s">
        <v>11</v>
      </c>
      <c r="B187">
        <v>2025</v>
      </c>
      <c r="C187" t="str">
        <f t="shared" si="2"/>
        <v>Orchard_2025</v>
      </c>
      <c r="D187" s="32">
        <v>3</v>
      </c>
      <c r="E187" s="32">
        <v>6</v>
      </c>
      <c r="F187" s="32">
        <v>7</v>
      </c>
      <c r="G187" s="11">
        <v>8</v>
      </c>
      <c r="H187">
        <v>39.413530782029945</v>
      </c>
    </row>
    <row r="188" spans="1:8" x14ac:dyDescent="0.25">
      <c r="A188" t="s">
        <v>160</v>
      </c>
      <c r="B188">
        <v>2025</v>
      </c>
      <c r="C188" t="str">
        <f t="shared" si="2"/>
        <v>Yuma_2025</v>
      </c>
      <c r="D188">
        <v>1</v>
      </c>
      <c r="E188" s="36">
        <v>3</v>
      </c>
      <c r="F188" s="36">
        <v>1</v>
      </c>
      <c r="G188" s="32">
        <v>8</v>
      </c>
      <c r="H188">
        <v>99.62047762478484</v>
      </c>
    </row>
    <row r="189" spans="1:8" x14ac:dyDescent="0.25">
      <c r="A189" t="s">
        <v>160</v>
      </c>
      <c r="B189">
        <v>2025</v>
      </c>
      <c r="C189" t="str">
        <f t="shared" si="2"/>
        <v>Yuma_2025</v>
      </c>
      <c r="D189">
        <v>2</v>
      </c>
      <c r="E189" s="36">
        <v>24</v>
      </c>
      <c r="F189" s="36">
        <v>3</v>
      </c>
      <c r="G189" s="32">
        <v>8</v>
      </c>
      <c r="H189">
        <v>81.807627222562843</v>
      </c>
    </row>
    <row r="190" spans="1:8" x14ac:dyDescent="0.25">
      <c r="A190" t="s">
        <v>160</v>
      </c>
      <c r="B190">
        <v>2025</v>
      </c>
      <c r="C190" t="str">
        <f t="shared" si="2"/>
        <v>Yuma_2025</v>
      </c>
      <c r="D190">
        <v>3</v>
      </c>
      <c r="E190" s="36">
        <v>20</v>
      </c>
      <c r="F190" s="36">
        <v>5</v>
      </c>
      <c r="G190" s="32">
        <v>8</v>
      </c>
      <c r="H190">
        <v>81.786266079891661</v>
      </c>
    </row>
    <row r="191" spans="1:8" x14ac:dyDescent="0.25">
      <c r="A191" s="31" t="s">
        <v>116</v>
      </c>
      <c r="B191">
        <v>2025</v>
      </c>
      <c r="C191" t="str">
        <f t="shared" si="2"/>
        <v>Burlington_2025</v>
      </c>
      <c r="D191" s="32">
        <v>1</v>
      </c>
      <c r="E191" s="32">
        <v>2</v>
      </c>
      <c r="F191" s="32">
        <v>1</v>
      </c>
      <c r="G191" s="32">
        <v>9</v>
      </c>
      <c r="H191">
        <v>44.851985956416463</v>
      </c>
    </row>
    <row r="192" spans="1:8" x14ac:dyDescent="0.25">
      <c r="A192" s="31" t="s">
        <v>116</v>
      </c>
      <c r="B192">
        <v>2025</v>
      </c>
      <c r="C192" t="str">
        <f t="shared" si="2"/>
        <v>Burlington_2025</v>
      </c>
      <c r="D192" s="32">
        <v>2</v>
      </c>
      <c r="E192" s="32">
        <v>4</v>
      </c>
      <c r="F192" s="32">
        <v>8</v>
      </c>
      <c r="G192" s="32">
        <v>9</v>
      </c>
      <c r="H192">
        <v>53.053946643717723</v>
      </c>
    </row>
    <row r="193" spans="1:8" x14ac:dyDescent="0.25">
      <c r="A193" s="31" t="s">
        <v>116</v>
      </c>
      <c r="B193">
        <v>2025</v>
      </c>
      <c r="C193" t="str">
        <f t="shared" si="2"/>
        <v>Burlington_2025</v>
      </c>
      <c r="D193" s="32">
        <v>3</v>
      </c>
      <c r="E193" s="32">
        <v>11</v>
      </c>
      <c r="F193" s="32">
        <v>12</v>
      </c>
      <c r="G193" s="32">
        <v>9</v>
      </c>
      <c r="H193">
        <v>57.729335447941892</v>
      </c>
    </row>
    <row r="194" spans="1:8" x14ac:dyDescent="0.25">
      <c r="A194" s="34" t="s">
        <v>97</v>
      </c>
      <c r="B194">
        <v>2025</v>
      </c>
      <c r="C194" t="str">
        <f t="shared" si="2"/>
        <v>Lamar_2025</v>
      </c>
      <c r="D194" s="35">
        <v>1</v>
      </c>
      <c r="E194" s="35">
        <v>7</v>
      </c>
      <c r="F194" s="35">
        <v>1</v>
      </c>
      <c r="G194" s="35">
        <v>9</v>
      </c>
      <c r="H194">
        <v>73.927542857142853</v>
      </c>
    </row>
    <row r="195" spans="1:8" x14ac:dyDescent="0.25">
      <c r="A195" s="34" t="s">
        <v>97</v>
      </c>
      <c r="B195">
        <v>2025</v>
      </c>
      <c r="C195" t="str">
        <f t="shared" ref="C195:C258" si="3">A195&amp;"_"&amp;B195</f>
        <v>Lamar_2025</v>
      </c>
      <c r="D195" s="35">
        <v>2</v>
      </c>
      <c r="E195" s="35">
        <v>13</v>
      </c>
      <c r="F195" s="35">
        <v>4</v>
      </c>
      <c r="G195" s="35">
        <v>9</v>
      </c>
      <c r="H195">
        <v>73.087627996164898</v>
      </c>
    </row>
    <row r="196" spans="1:8" x14ac:dyDescent="0.25">
      <c r="A196" s="34" t="s">
        <v>97</v>
      </c>
      <c r="B196">
        <v>2025</v>
      </c>
      <c r="C196" t="str">
        <f t="shared" si="3"/>
        <v>Lamar_2025</v>
      </c>
      <c r="D196" s="35">
        <v>3</v>
      </c>
      <c r="E196" s="35">
        <v>15</v>
      </c>
      <c r="F196" s="35">
        <v>5</v>
      </c>
      <c r="G196" s="35">
        <v>9</v>
      </c>
      <c r="H196">
        <v>71.359597286986002</v>
      </c>
    </row>
    <row r="197" spans="1:8" x14ac:dyDescent="0.25">
      <c r="A197" s="31" t="s">
        <v>132</v>
      </c>
      <c r="B197">
        <v>2025</v>
      </c>
      <c r="C197" t="str">
        <f t="shared" si="3"/>
        <v>SLake_2025</v>
      </c>
      <c r="D197" s="32">
        <v>1</v>
      </c>
      <c r="E197" s="32">
        <v>13</v>
      </c>
      <c r="F197" s="32">
        <v>1</v>
      </c>
      <c r="G197" s="32">
        <v>9</v>
      </c>
      <c r="H197">
        <v>61.132273275155484</v>
      </c>
    </row>
    <row r="198" spans="1:8" x14ac:dyDescent="0.25">
      <c r="A198" s="31" t="s">
        <v>132</v>
      </c>
      <c r="B198">
        <v>2025</v>
      </c>
      <c r="C198" t="str">
        <f t="shared" si="3"/>
        <v>SLake_2025</v>
      </c>
      <c r="D198" s="32">
        <v>2</v>
      </c>
      <c r="E198" s="32">
        <v>1</v>
      </c>
      <c r="F198" s="32">
        <v>3</v>
      </c>
      <c r="G198" s="32">
        <v>9</v>
      </c>
      <c r="H198">
        <v>74.446428571428569</v>
      </c>
    </row>
    <row r="199" spans="1:8" x14ac:dyDescent="0.25">
      <c r="A199" s="31" t="s">
        <v>132</v>
      </c>
      <c r="B199">
        <v>2025</v>
      </c>
      <c r="C199" t="str">
        <f t="shared" si="3"/>
        <v>SLake_2025</v>
      </c>
      <c r="D199" s="32">
        <v>3</v>
      </c>
      <c r="E199" s="32">
        <v>12</v>
      </c>
      <c r="F199" s="32">
        <v>5</v>
      </c>
      <c r="G199" s="32">
        <v>9</v>
      </c>
      <c r="H199">
        <v>60.12399532710279</v>
      </c>
    </row>
    <row r="200" spans="1:8" x14ac:dyDescent="0.25">
      <c r="A200" s="31" t="s">
        <v>13</v>
      </c>
      <c r="B200">
        <v>2025</v>
      </c>
      <c r="C200" t="str">
        <f t="shared" si="3"/>
        <v>Walsh_2025</v>
      </c>
      <c r="D200" s="32">
        <v>1</v>
      </c>
      <c r="E200" s="36">
        <v>13</v>
      </c>
      <c r="F200" s="36">
        <v>1</v>
      </c>
      <c r="G200" s="32">
        <v>9</v>
      </c>
      <c r="H200">
        <v>68.363514999999992</v>
      </c>
    </row>
    <row r="201" spans="1:8" x14ac:dyDescent="0.25">
      <c r="A201" s="31" t="s">
        <v>13</v>
      </c>
      <c r="B201">
        <v>2025</v>
      </c>
      <c r="C201" t="str">
        <f t="shared" si="3"/>
        <v>Walsh_2025</v>
      </c>
      <c r="D201" s="32">
        <v>2</v>
      </c>
      <c r="E201" s="36">
        <v>20</v>
      </c>
      <c r="F201" s="36">
        <v>4</v>
      </c>
      <c r="G201" s="32">
        <v>9</v>
      </c>
      <c r="H201">
        <v>63.861270000000005</v>
      </c>
    </row>
    <row r="202" spans="1:8" x14ac:dyDescent="0.25">
      <c r="A202" s="31" t="s">
        <v>13</v>
      </c>
      <c r="B202">
        <v>2025</v>
      </c>
      <c r="C202" t="str">
        <f t="shared" si="3"/>
        <v>Walsh_2025</v>
      </c>
      <c r="D202" s="32">
        <v>3</v>
      </c>
      <c r="E202" s="36">
        <v>17</v>
      </c>
      <c r="F202" s="36">
        <v>6</v>
      </c>
      <c r="G202" s="32">
        <v>9</v>
      </c>
      <c r="H202">
        <v>63.512624999999986</v>
      </c>
    </row>
    <row r="203" spans="1:8" x14ac:dyDescent="0.25">
      <c r="A203" t="s">
        <v>7</v>
      </c>
      <c r="B203">
        <v>2025</v>
      </c>
      <c r="C203" t="str">
        <f t="shared" si="3"/>
        <v>Akron_2025</v>
      </c>
      <c r="D203" s="11">
        <v>1</v>
      </c>
      <c r="E203" s="11">
        <v>6</v>
      </c>
      <c r="F203" s="11">
        <v>4</v>
      </c>
      <c r="G203" s="11">
        <v>9</v>
      </c>
      <c r="H203">
        <v>43.81914777477256</v>
      </c>
    </row>
    <row r="204" spans="1:8" x14ac:dyDescent="0.25">
      <c r="A204" t="s">
        <v>7</v>
      </c>
      <c r="B204">
        <v>2025</v>
      </c>
      <c r="C204" t="str">
        <f t="shared" si="3"/>
        <v>Akron_2025</v>
      </c>
      <c r="D204" s="11">
        <v>2</v>
      </c>
      <c r="E204" s="11">
        <v>8</v>
      </c>
      <c r="F204" s="11">
        <v>5</v>
      </c>
      <c r="G204" s="11">
        <v>9</v>
      </c>
      <c r="H204">
        <v>42.315447664047056</v>
      </c>
    </row>
    <row r="205" spans="1:8" x14ac:dyDescent="0.25">
      <c r="A205" t="s">
        <v>7</v>
      </c>
      <c r="B205">
        <v>2025</v>
      </c>
      <c r="C205" t="str">
        <f t="shared" si="3"/>
        <v>Akron_2025</v>
      </c>
      <c r="D205" s="11">
        <v>3</v>
      </c>
      <c r="E205" s="11">
        <v>11</v>
      </c>
      <c r="F205" s="11">
        <v>10</v>
      </c>
      <c r="G205" s="11">
        <v>9</v>
      </c>
      <c r="H205">
        <v>37.27384082045355</v>
      </c>
    </row>
    <row r="206" spans="1:8" x14ac:dyDescent="0.25">
      <c r="A206" s="31" t="s">
        <v>156</v>
      </c>
      <c r="B206">
        <v>2025</v>
      </c>
      <c r="C206" t="str">
        <f t="shared" si="3"/>
        <v>Genoa_2025</v>
      </c>
      <c r="D206" s="32">
        <v>1</v>
      </c>
      <c r="E206" s="32">
        <v>5</v>
      </c>
      <c r="F206" s="32">
        <v>1</v>
      </c>
      <c r="G206" s="32">
        <v>9</v>
      </c>
    </row>
    <row r="207" spans="1:8" x14ac:dyDescent="0.25">
      <c r="A207" s="31" t="s">
        <v>156</v>
      </c>
      <c r="B207">
        <v>2025</v>
      </c>
      <c r="C207" t="str">
        <f t="shared" si="3"/>
        <v>Genoa_2025</v>
      </c>
      <c r="D207" s="32">
        <v>2</v>
      </c>
      <c r="E207" s="32">
        <v>21</v>
      </c>
      <c r="F207" s="32">
        <v>3</v>
      </c>
      <c r="G207" s="32">
        <v>9</v>
      </c>
      <c r="H207">
        <v>41.146311171110362</v>
      </c>
    </row>
    <row r="208" spans="1:8" x14ac:dyDescent="0.25">
      <c r="A208" s="31" t="s">
        <v>156</v>
      </c>
      <c r="B208">
        <v>2025</v>
      </c>
      <c r="C208" t="str">
        <f t="shared" si="3"/>
        <v>Genoa_2025</v>
      </c>
      <c r="D208" s="32">
        <v>3</v>
      </c>
      <c r="E208" s="32">
        <v>22</v>
      </c>
      <c r="F208" s="32">
        <v>5</v>
      </c>
      <c r="G208" s="32">
        <v>9</v>
      </c>
      <c r="H208">
        <v>41.801239481574619</v>
      </c>
    </row>
    <row r="209" spans="1:8" x14ac:dyDescent="0.25">
      <c r="A209" s="31" t="s">
        <v>10</v>
      </c>
      <c r="B209">
        <v>2025</v>
      </c>
      <c r="C209" t="str">
        <f t="shared" si="3"/>
        <v>Julesburg_2025</v>
      </c>
      <c r="D209" s="32">
        <v>1</v>
      </c>
      <c r="E209" s="32">
        <v>13</v>
      </c>
      <c r="F209" s="32">
        <v>2</v>
      </c>
      <c r="G209" s="32">
        <v>9</v>
      </c>
      <c r="H209">
        <v>57.360368337425967</v>
      </c>
    </row>
    <row r="210" spans="1:8" x14ac:dyDescent="0.25">
      <c r="A210" s="31" t="s">
        <v>10</v>
      </c>
      <c r="B210">
        <v>2025</v>
      </c>
      <c r="C210" t="str">
        <f t="shared" si="3"/>
        <v>Julesburg_2025</v>
      </c>
      <c r="D210" s="32">
        <v>2</v>
      </c>
      <c r="E210" s="32">
        <v>7</v>
      </c>
      <c r="F210" s="32">
        <v>7</v>
      </c>
      <c r="G210" s="32">
        <v>9</v>
      </c>
      <c r="H210">
        <v>46.977208533077665</v>
      </c>
    </row>
    <row r="211" spans="1:8" x14ac:dyDescent="0.25">
      <c r="A211" s="31" t="s">
        <v>10</v>
      </c>
      <c r="B211">
        <v>2025</v>
      </c>
      <c r="C211" t="str">
        <f t="shared" si="3"/>
        <v>Julesburg_2025</v>
      </c>
      <c r="D211" s="32">
        <v>3</v>
      </c>
      <c r="E211" s="32">
        <v>12</v>
      </c>
      <c r="F211" s="32">
        <v>10</v>
      </c>
      <c r="G211" s="32">
        <v>9</v>
      </c>
      <c r="H211">
        <v>62.577383703991437</v>
      </c>
    </row>
    <row r="212" spans="1:8" x14ac:dyDescent="0.25">
      <c r="A212" s="31" t="s">
        <v>11</v>
      </c>
      <c r="B212">
        <v>2025</v>
      </c>
      <c r="C212" t="str">
        <f t="shared" si="3"/>
        <v>Orchard_2025</v>
      </c>
      <c r="D212" s="32">
        <v>1</v>
      </c>
      <c r="E212" s="32">
        <v>6</v>
      </c>
      <c r="F212" s="32">
        <v>2</v>
      </c>
      <c r="G212" s="11">
        <v>9</v>
      </c>
      <c r="H212">
        <v>40.433834168610126</v>
      </c>
    </row>
    <row r="213" spans="1:8" x14ac:dyDescent="0.25">
      <c r="A213" s="31" t="s">
        <v>11</v>
      </c>
      <c r="B213">
        <v>2025</v>
      </c>
      <c r="C213" t="str">
        <f t="shared" si="3"/>
        <v>Orchard_2025</v>
      </c>
      <c r="D213" s="32">
        <v>2</v>
      </c>
      <c r="E213" s="32">
        <v>5</v>
      </c>
      <c r="F213" s="32">
        <v>4</v>
      </c>
      <c r="G213" s="11">
        <v>9</v>
      </c>
      <c r="H213">
        <v>30.764025568604126</v>
      </c>
    </row>
    <row r="214" spans="1:8" x14ac:dyDescent="0.25">
      <c r="A214" s="31" t="s">
        <v>11</v>
      </c>
      <c r="B214">
        <v>2025</v>
      </c>
      <c r="C214" t="str">
        <f t="shared" si="3"/>
        <v>Orchard_2025</v>
      </c>
      <c r="D214" s="32">
        <v>3</v>
      </c>
      <c r="E214" s="32">
        <v>4</v>
      </c>
      <c r="F214" s="32">
        <v>7</v>
      </c>
      <c r="G214" s="11">
        <v>9</v>
      </c>
      <c r="H214">
        <v>35.62188019966721</v>
      </c>
    </row>
    <row r="215" spans="1:8" x14ac:dyDescent="0.25">
      <c r="A215" t="s">
        <v>160</v>
      </c>
      <c r="B215">
        <v>2025</v>
      </c>
      <c r="C215" t="str">
        <f t="shared" si="3"/>
        <v>Yuma_2025</v>
      </c>
      <c r="D215">
        <v>1</v>
      </c>
      <c r="E215" s="36">
        <v>6</v>
      </c>
      <c r="F215" s="36">
        <v>2</v>
      </c>
      <c r="G215" s="32">
        <v>9</v>
      </c>
      <c r="H215">
        <v>83.201421791767544</v>
      </c>
    </row>
    <row r="216" spans="1:8" x14ac:dyDescent="0.25">
      <c r="A216" t="s">
        <v>160</v>
      </c>
      <c r="B216">
        <v>2025</v>
      </c>
      <c r="C216" t="str">
        <f t="shared" si="3"/>
        <v>Yuma_2025</v>
      </c>
      <c r="D216">
        <v>2</v>
      </c>
      <c r="E216" s="36">
        <v>3</v>
      </c>
      <c r="F216" s="36">
        <v>4</v>
      </c>
      <c r="G216" s="32">
        <v>9</v>
      </c>
      <c r="H216">
        <v>73.673827456350566</v>
      </c>
    </row>
    <row r="217" spans="1:8" x14ac:dyDescent="0.25">
      <c r="A217" t="s">
        <v>160</v>
      </c>
      <c r="B217">
        <v>2025</v>
      </c>
      <c r="C217" t="str">
        <f t="shared" si="3"/>
        <v>Yuma_2025</v>
      </c>
      <c r="D217">
        <v>3</v>
      </c>
      <c r="E217" s="36">
        <v>5</v>
      </c>
      <c r="F217" s="36">
        <v>6</v>
      </c>
      <c r="G217" s="32">
        <v>9</v>
      </c>
      <c r="H217">
        <v>77.746091535810038</v>
      </c>
    </row>
    <row r="218" spans="1:8" x14ac:dyDescent="0.25">
      <c r="A218" s="31" t="s">
        <v>116</v>
      </c>
      <c r="B218">
        <v>2025</v>
      </c>
      <c r="C218" t="str">
        <f t="shared" si="3"/>
        <v>Burlington_2025</v>
      </c>
      <c r="D218" s="32">
        <v>1</v>
      </c>
      <c r="E218" s="32">
        <v>7</v>
      </c>
      <c r="F218" s="32">
        <v>2</v>
      </c>
      <c r="G218" s="32">
        <v>10</v>
      </c>
      <c r="H218">
        <v>47.099165142857132</v>
      </c>
    </row>
    <row r="219" spans="1:8" x14ac:dyDescent="0.25">
      <c r="A219" s="31" t="s">
        <v>116</v>
      </c>
      <c r="B219">
        <v>2025</v>
      </c>
      <c r="C219" t="str">
        <f t="shared" si="3"/>
        <v>Burlington_2025</v>
      </c>
      <c r="D219" s="32">
        <v>2</v>
      </c>
      <c r="E219" s="32">
        <v>8</v>
      </c>
      <c r="F219" s="32">
        <v>7</v>
      </c>
      <c r="G219" s="32">
        <v>10</v>
      </c>
      <c r="H219">
        <v>47.086673930861572</v>
      </c>
    </row>
    <row r="220" spans="1:8" x14ac:dyDescent="0.25">
      <c r="A220" s="31" t="s">
        <v>116</v>
      </c>
      <c r="B220">
        <v>2025</v>
      </c>
      <c r="C220" t="str">
        <f t="shared" si="3"/>
        <v>Burlington_2025</v>
      </c>
      <c r="D220" s="32">
        <v>3</v>
      </c>
      <c r="E220" s="32">
        <v>9</v>
      </c>
      <c r="F220" s="32">
        <v>10</v>
      </c>
      <c r="G220" s="32">
        <v>10</v>
      </c>
      <c r="H220">
        <v>47.059907899159661</v>
      </c>
    </row>
    <row r="221" spans="1:8" x14ac:dyDescent="0.25">
      <c r="A221" s="34" t="s">
        <v>97</v>
      </c>
      <c r="B221">
        <v>2025</v>
      </c>
      <c r="C221" t="str">
        <f t="shared" si="3"/>
        <v>Lamar_2025</v>
      </c>
      <c r="D221" s="35">
        <v>1</v>
      </c>
      <c r="E221" s="35">
        <v>19</v>
      </c>
      <c r="F221" s="35">
        <v>1</v>
      </c>
      <c r="G221" s="35">
        <v>10</v>
      </c>
      <c r="H221">
        <v>67.385245714285702</v>
      </c>
    </row>
    <row r="222" spans="1:8" x14ac:dyDescent="0.25">
      <c r="A222" s="34" t="s">
        <v>97</v>
      </c>
      <c r="B222">
        <v>2025</v>
      </c>
      <c r="C222" t="str">
        <f t="shared" si="3"/>
        <v>Lamar_2025</v>
      </c>
      <c r="D222" s="35">
        <v>2</v>
      </c>
      <c r="E222" s="35">
        <v>16</v>
      </c>
      <c r="F222" s="35">
        <v>4</v>
      </c>
      <c r="G222" s="35">
        <v>10</v>
      </c>
      <c r="H222">
        <v>64.38521476510067</v>
      </c>
    </row>
    <row r="223" spans="1:8" x14ac:dyDescent="0.25">
      <c r="A223" s="34" t="s">
        <v>97</v>
      </c>
      <c r="B223">
        <v>2025</v>
      </c>
      <c r="C223" t="str">
        <f t="shared" si="3"/>
        <v>Lamar_2025</v>
      </c>
      <c r="D223" s="35">
        <v>3</v>
      </c>
      <c r="E223" s="35">
        <v>18</v>
      </c>
      <c r="F223" s="35">
        <v>6</v>
      </c>
      <c r="G223" s="35">
        <v>10</v>
      </c>
      <c r="H223">
        <v>68.818123211901579</v>
      </c>
    </row>
    <row r="224" spans="1:8" x14ac:dyDescent="0.25">
      <c r="A224" s="31" t="s">
        <v>132</v>
      </c>
      <c r="B224">
        <v>2025</v>
      </c>
      <c r="C224" t="str">
        <f t="shared" si="3"/>
        <v>SLake_2025</v>
      </c>
      <c r="D224" s="32">
        <v>1</v>
      </c>
      <c r="E224" s="32">
        <v>15</v>
      </c>
      <c r="F224" s="32">
        <v>2</v>
      </c>
      <c r="G224" s="32">
        <v>10</v>
      </c>
      <c r="H224">
        <v>58.640877489031382</v>
      </c>
    </row>
    <row r="225" spans="1:8" x14ac:dyDescent="0.25">
      <c r="A225" s="31" t="s">
        <v>132</v>
      </c>
      <c r="B225">
        <v>2025</v>
      </c>
      <c r="C225" t="str">
        <f t="shared" si="3"/>
        <v>SLake_2025</v>
      </c>
      <c r="D225" s="32">
        <v>2</v>
      </c>
      <c r="E225" s="32">
        <v>11</v>
      </c>
      <c r="F225" s="32">
        <v>4</v>
      </c>
      <c r="G225" s="32">
        <v>10</v>
      </c>
      <c r="H225">
        <v>58.04092591690614</v>
      </c>
    </row>
    <row r="226" spans="1:8" x14ac:dyDescent="0.25">
      <c r="A226" s="31" t="s">
        <v>132</v>
      </c>
      <c r="B226">
        <v>2025</v>
      </c>
      <c r="C226" t="str">
        <f t="shared" si="3"/>
        <v>SLake_2025</v>
      </c>
      <c r="D226" s="32">
        <v>3</v>
      </c>
      <c r="E226" s="32">
        <v>10</v>
      </c>
      <c r="F226" s="32">
        <v>6</v>
      </c>
      <c r="G226" s="32">
        <v>10</v>
      </c>
      <c r="H226">
        <v>52.194721941354892</v>
      </c>
    </row>
    <row r="227" spans="1:8" x14ac:dyDescent="0.25">
      <c r="A227" s="31" t="s">
        <v>13</v>
      </c>
      <c r="B227">
        <v>2025</v>
      </c>
      <c r="C227" t="str">
        <f t="shared" si="3"/>
        <v>Walsh_2025</v>
      </c>
      <c r="D227" s="32">
        <v>1</v>
      </c>
      <c r="E227" s="36">
        <v>3</v>
      </c>
      <c r="F227" s="36">
        <v>2</v>
      </c>
      <c r="G227" s="32">
        <v>10</v>
      </c>
      <c r="H227">
        <v>54.89528</v>
      </c>
    </row>
    <row r="228" spans="1:8" x14ac:dyDescent="0.25">
      <c r="A228" s="31" t="s">
        <v>13</v>
      </c>
      <c r="B228">
        <v>2025</v>
      </c>
      <c r="C228" t="str">
        <f t="shared" si="3"/>
        <v>Walsh_2025</v>
      </c>
      <c r="D228" s="32">
        <v>2</v>
      </c>
      <c r="E228" s="36">
        <v>6</v>
      </c>
      <c r="F228" s="36">
        <v>3</v>
      </c>
      <c r="G228" s="32">
        <v>10</v>
      </c>
      <c r="H228">
        <v>59.206729999999986</v>
      </c>
    </row>
    <row r="229" spans="1:8" x14ac:dyDescent="0.25">
      <c r="A229" s="31" t="s">
        <v>13</v>
      </c>
      <c r="B229">
        <v>2025</v>
      </c>
      <c r="C229" t="str">
        <f t="shared" si="3"/>
        <v>Walsh_2025</v>
      </c>
      <c r="D229" s="32">
        <v>3</v>
      </c>
      <c r="E229" s="36">
        <v>12</v>
      </c>
      <c r="F229" s="36">
        <v>5</v>
      </c>
      <c r="G229" s="32">
        <v>10</v>
      </c>
      <c r="H229">
        <v>55.525029999999987</v>
      </c>
    </row>
    <row r="230" spans="1:8" x14ac:dyDescent="0.25">
      <c r="A230" t="s">
        <v>7</v>
      </c>
      <c r="B230">
        <v>2025</v>
      </c>
      <c r="C230" t="str">
        <f t="shared" si="3"/>
        <v>Akron_2025</v>
      </c>
      <c r="D230" s="11">
        <v>1</v>
      </c>
      <c r="E230" s="11">
        <v>13</v>
      </c>
      <c r="F230" s="11">
        <v>1</v>
      </c>
      <c r="G230" s="11">
        <v>10</v>
      </c>
      <c r="H230">
        <v>43.636575630252089</v>
      </c>
    </row>
    <row r="231" spans="1:8" x14ac:dyDescent="0.25">
      <c r="A231" t="s">
        <v>7</v>
      </c>
      <c r="B231">
        <v>2025</v>
      </c>
      <c r="C231" t="str">
        <f t="shared" si="3"/>
        <v>Akron_2025</v>
      </c>
      <c r="D231" s="11">
        <v>2</v>
      </c>
      <c r="E231" s="11">
        <v>1</v>
      </c>
      <c r="F231" s="11">
        <v>5</v>
      </c>
      <c r="G231" s="11">
        <v>10</v>
      </c>
      <c r="H231">
        <v>37.501339376114942</v>
      </c>
    </row>
    <row r="232" spans="1:8" x14ac:dyDescent="0.25">
      <c r="A232" t="s">
        <v>7</v>
      </c>
      <c r="B232">
        <v>2025</v>
      </c>
      <c r="C232" t="str">
        <f t="shared" si="3"/>
        <v>Akron_2025</v>
      </c>
      <c r="D232" s="11">
        <v>3</v>
      </c>
      <c r="E232" s="11">
        <v>10</v>
      </c>
      <c r="F232" s="11">
        <v>10</v>
      </c>
      <c r="G232" s="11">
        <v>10</v>
      </c>
      <c r="H232">
        <v>35.372491694352156</v>
      </c>
    </row>
    <row r="233" spans="1:8" x14ac:dyDescent="0.25">
      <c r="A233" s="31" t="s">
        <v>156</v>
      </c>
      <c r="B233">
        <v>2025</v>
      </c>
      <c r="C233" t="str">
        <f t="shared" si="3"/>
        <v>Genoa_2025</v>
      </c>
      <c r="D233" s="32">
        <v>1</v>
      </c>
      <c r="E233" s="32">
        <v>20</v>
      </c>
      <c r="F233" s="32">
        <v>2</v>
      </c>
      <c r="G233" s="32">
        <v>10</v>
      </c>
      <c r="H233">
        <v>49.524541735177479</v>
      </c>
    </row>
    <row r="234" spans="1:8" x14ac:dyDescent="0.25">
      <c r="A234" s="31" t="s">
        <v>156</v>
      </c>
      <c r="B234">
        <v>2025</v>
      </c>
      <c r="C234" t="str">
        <f t="shared" si="3"/>
        <v>Genoa_2025</v>
      </c>
      <c r="D234" s="32">
        <v>2</v>
      </c>
      <c r="E234" s="32">
        <v>2</v>
      </c>
      <c r="F234" s="32">
        <v>3</v>
      </c>
      <c r="G234" s="32">
        <v>10</v>
      </c>
      <c r="H234">
        <v>35.708074731208711</v>
      </c>
    </row>
    <row r="235" spans="1:8" x14ac:dyDescent="0.25">
      <c r="A235" s="31" t="s">
        <v>156</v>
      </c>
      <c r="B235">
        <v>2025</v>
      </c>
      <c r="C235" t="str">
        <f t="shared" si="3"/>
        <v>Genoa_2025</v>
      </c>
      <c r="D235" s="32">
        <v>3</v>
      </c>
      <c r="E235" s="32">
        <v>25</v>
      </c>
      <c r="F235" s="32">
        <v>6</v>
      </c>
      <c r="G235" s="32">
        <v>10</v>
      </c>
      <c r="H235">
        <v>31.504916093667351</v>
      </c>
    </row>
    <row r="236" spans="1:8" x14ac:dyDescent="0.25">
      <c r="A236" s="31" t="s">
        <v>10</v>
      </c>
      <c r="B236">
        <v>2025</v>
      </c>
      <c r="C236" t="str">
        <f t="shared" si="3"/>
        <v>Julesburg_2025</v>
      </c>
      <c r="D236" s="32">
        <v>1</v>
      </c>
      <c r="E236" s="32">
        <v>6</v>
      </c>
      <c r="F236" s="32">
        <v>4</v>
      </c>
      <c r="G236" s="32">
        <v>10</v>
      </c>
      <c r="H236">
        <v>55.913144590495449</v>
      </c>
    </row>
    <row r="237" spans="1:8" x14ac:dyDescent="0.25">
      <c r="A237" s="31" t="s">
        <v>10</v>
      </c>
      <c r="B237">
        <v>2025</v>
      </c>
      <c r="C237" t="str">
        <f t="shared" si="3"/>
        <v>Julesburg_2025</v>
      </c>
      <c r="D237" s="32">
        <v>2</v>
      </c>
      <c r="E237" s="32">
        <v>10</v>
      </c>
      <c r="F237" s="32">
        <v>7</v>
      </c>
      <c r="G237" s="32">
        <v>10</v>
      </c>
      <c r="H237">
        <v>40.917943432406517</v>
      </c>
    </row>
    <row r="238" spans="1:8" x14ac:dyDescent="0.25">
      <c r="A238" s="31" t="s">
        <v>10</v>
      </c>
      <c r="B238">
        <v>2025</v>
      </c>
      <c r="C238" t="str">
        <f t="shared" si="3"/>
        <v>Julesburg_2025</v>
      </c>
      <c r="D238" s="32">
        <v>3</v>
      </c>
      <c r="E238" s="32">
        <v>9</v>
      </c>
      <c r="F238" s="32">
        <v>10</v>
      </c>
      <c r="G238" s="32">
        <v>10</v>
      </c>
      <c r="H238">
        <v>54.607196270758472</v>
      </c>
    </row>
    <row r="239" spans="1:8" x14ac:dyDescent="0.25">
      <c r="A239" s="31" t="s">
        <v>11</v>
      </c>
      <c r="B239">
        <v>2025</v>
      </c>
      <c r="C239" t="str">
        <f t="shared" si="3"/>
        <v>Orchard_2025</v>
      </c>
      <c r="D239" s="32">
        <v>1</v>
      </c>
      <c r="E239" s="32">
        <v>18</v>
      </c>
      <c r="F239" s="32">
        <v>2</v>
      </c>
      <c r="G239" s="11">
        <v>10</v>
      </c>
      <c r="H239">
        <v>38.736396566268049</v>
      </c>
    </row>
    <row r="240" spans="1:8" x14ac:dyDescent="0.25">
      <c r="A240" s="31" t="s">
        <v>11</v>
      </c>
      <c r="B240">
        <v>2025</v>
      </c>
      <c r="C240" t="str">
        <f t="shared" si="3"/>
        <v>Orchard_2025</v>
      </c>
      <c r="D240" s="32">
        <v>2</v>
      </c>
      <c r="E240" s="32">
        <v>13</v>
      </c>
      <c r="F240" s="32">
        <v>5</v>
      </c>
      <c r="G240" s="11">
        <v>10</v>
      </c>
      <c r="H240">
        <v>30.993007039892717</v>
      </c>
    </row>
    <row r="241" spans="1:8" x14ac:dyDescent="0.25">
      <c r="A241" s="31" t="s">
        <v>11</v>
      </c>
      <c r="B241">
        <v>2025</v>
      </c>
      <c r="C241" t="str">
        <f t="shared" si="3"/>
        <v>Orchard_2025</v>
      </c>
      <c r="D241" s="32">
        <v>3</v>
      </c>
      <c r="E241" s="32">
        <v>6</v>
      </c>
      <c r="F241" s="32">
        <v>8</v>
      </c>
      <c r="G241" s="11">
        <v>10</v>
      </c>
      <c r="H241">
        <v>38.706331168831163</v>
      </c>
    </row>
    <row r="242" spans="1:8" x14ac:dyDescent="0.25">
      <c r="A242" t="s">
        <v>160</v>
      </c>
      <c r="B242">
        <v>2025</v>
      </c>
      <c r="C242" t="str">
        <f t="shared" si="3"/>
        <v>Yuma_2025</v>
      </c>
      <c r="D242">
        <v>1</v>
      </c>
      <c r="E242" s="36">
        <v>4</v>
      </c>
      <c r="F242" s="36">
        <v>1</v>
      </c>
      <c r="G242" s="32">
        <v>10</v>
      </c>
      <c r="H242">
        <v>82.391135972461271</v>
      </c>
    </row>
    <row r="243" spans="1:8" x14ac:dyDescent="0.25">
      <c r="A243" t="s">
        <v>160</v>
      </c>
      <c r="B243">
        <v>2025</v>
      </c>
      <c r="C243" t="str">
        <f t="shared" si="3"/>
        <v>Yuma_2025</v>
      </c>
      <c r="D243">
        <v>2</v>
      </c>
      <c r="E243" s="36">
        <v>6</v>
      </c>
      <c r="F243" s="36">
        <v>4</v>
      </c>
      <c r="G243" s="32">
        <v>10</v>
      </c>
      <c r="H243">
        <v>73.578928449161225</v>
      </c>
    </row>
    <row r="244" spans="1:8" x14ac:dyDescent="0.25">
      <c r="A244" t="s">
        <v>160</v>
      </c>
      <c r="B244">
        <v>2025</v>
      </c>
      <c r="C244" t="str">
        <f t="shared" si="3"/>
        <v>Yuma_2025</v>
      </c>
      <c r="D244">
        <v>3</v>
      </c>
      <c r="E244" s="36">
        <v>23</v>
      </c>
      <c r="F244" s="36">
        <v>6</v>
      </c>
      <c r="G244" s="32">
        <v>10</v>
      </c>
      <c r="H244">
        <v>66.801112600536172</v>
      </c>
    </row>
    <row r="245" spans="1:8" x14ac:dyDescent="0.25">
      <c r="A245" s="31" t="s">
        <v>116</v>
      </c>
      <c r="B245">
        <v>2025</v>
      </c>
      <c r="C245" t="str">
        <f t="shared" si="3"/>
        <v>Burlington_2025</v>
      </c>
      <c r="D245" s="32">
        <v>1</v>
      </c>
      <c r="E245" s="32">
        <v>3</v>
      </c>
      <c r="F245" s="32">
        <v>1</v>
      </c>
      <c r="G245" s="32">
        <v>11</v>
      </c>
      <c r="H245">
        <v>66.940348184019371</v>
      </c>
    </row>
    <row r="246" spans="1:8" x14ac:dyDescent="0.25">
      <c r="A246" s="31" t="s">
        <v>116</v>
      </c>
      <c r="B246">
        <v>2025</v>
      </c>
      <c r="C246" t="str">
        <f t="shared" si="3"/>
        <v>Burlington_2025</v>
      </c>
      <c r="D246" s="32">
        <v>2</v>
      </c>
      <c r="E246" s="32">
        <v>1</v>
      </c>
      <c r="F246" s="32">
        <v>5</v>
      </c>
      <c r="G246" s="32">
        <v>11</v>
      </c>
      <c r="H246">
        <v>69.302820998278833</v>
      </c>
    </row>
    <row r="247" spans="1:8" x14ac:dyDescent="0.25">
      <c r="A247" s="31" t="s">
        <v>116</v>
      </c>
      <c r="B247">
        <v>2025</v>
      </c>
      <c r="C247" t="str">
        <f t="shared" si="3"/>
        <v>Burlington_2025</v>
      </c>
      <c r="D247" s="32">
        <v>3</v>
      </c>
      <c r="E247" s="32">
        <v>11</v>
      </c>
      <c r="F247" s="32">
        <v>9</v>
      </c>
      <c r="G247" s="32">
        <v>11</v>
      </c>
      <c r="H247">
        <v>74.131124584156993</v>
      </c>
    </row>
    <row r="248" spans="1:8" x14ac:dyDescent="0.25">
      <c r="A248" s="34" t="s">
        <v>97</v>
      </c>
      <c r="B248">
        <v>2025</v>
      </c>
      <c r="C248" t="str">
        <f t="shared" si="3"/>
        <v>Lamar_2025</v>
      </c>
      <c r="D248" s="35">
        <v>1</v>
      </c>
      <c r="E248" s="35">
        <v>21</v>
      </c>
      <c r="F248" s="35">
        <v>2</v>
      </c>
      <c r="G248" s="35">
        <v>11</v>
      </c>
      <c r="H248">
        <v>63.320388559872875</v>
      </c>
    </row>
    <row r="249" spans="1:8" x14ac:dyDescent="0.25">
      <c r="A249" s="34" t="s">
        <v>97</v>
      </c>
      <c r="B249">
        <v>2025</v>
      </c>
      <c r="C249" t="str">
        <f t="shared" si="3"/>
        <v>Lamar_2025</v>
      </c>
      <c r="D249" s="35">
        <v>2</v>
      </c>
      <c r="E249" s="35">
        <v>1</v>
      </c>
      <c r="F249" s="35">
        <v>4</v>
      </c>
      <c r="G249" s="35">
        <v>11</v>
      </c>
      <c r="H249">
        <v>70.221895973154361</v>
      </c>
    </row>
    <row r="250" spans="1:8" x14ac:dyDescent="0.25">
      <c r="A250" s="34" t="s">
        <v>97</v>
      </c>
      <c r="B250">
        <v>2025</v>
      </c>
      <c r="C250" t="str">
        <f t="shared" si="3"/>
        <v>Lamar_2025</v>
      </c>
      <c r="D250" s="35">
        <v>3</v>
      </c>
      <c r="E250" s="35">
        <v>4</v>
      </c>
      <c r="F250" s="35">
        <v>5</v>
      </c>
      <c r="G250" s="35">
        <v>11</v>
      </c>
      <c r="H250">
        <v>76.298219584569722</v>
      </c>
    </row>
    <row r="251" spans="1:8" x14ac:dyDescent="0.25">
      <c r="A251" s="31" t="s">
        <v>132</v>
      </c>
      <c r="B251">
        <v>2025</v>
      </c>
      <c r="C251" t="str">
        <f t="shared" si="3"/>
        <v>SLake_2025</v>
      </c>
      <c r="D251" s="32">
        <v>1</v>
      </c>
      <c r="E251" s="32">
        <v>4</v>
      </c>
      <c r="F251" s="32">
        <v>2</v>
      </c>
      <c r="G251" s="32">
        <v>11</v>
      </c>
      <c r="H251">
        <v>65.447968757533403</v>
      </c>
    </row>
    <row r="252" spans="1:8" x14ac:dyDescent="0.25">
      <c r="A252" s="31" t="s">
        <v>132</v>
      </c>
      <c r="B252">
        <v>2025</v>
      </c>
      <c r="C252" t="str">
        <f t="shared" si="3"/>
        <v>SLake_2025</v>
      </c>
      <c r="D252" s="32">
        <v>2</v>
      </c>
      <c r="E252" s="32">
        <v>18</v>
      </c>
      <c r="F252" s="32">
        <v>3</v>
      </c>
      <c r="G252" s="32">
        <v>11</v>
      </c>
      <c r="H252">
        <v>72.277099827882964</v>
      </c>
    </row>
    <row r="253" spans="1:8" x14ac:dyDescent="0.25">
      <c r="A253" s="31" t="s">
        <v>132</v>
      </c>
      <c r="B253">
        <v>2025</v>
      </c>
      <c r="C253" t="str">
        <f t="shared" si="3"/>
        <v>SLake_2025</v>
      </c>
      <c r="D253" s="32">
        <v>3</v>
      </c>
      <c r="E253" s="32">
        <v>21</v>
      </c>
      <c r="F253" s="32">
        <v>5</v>
      </c>
      <c r="G253" s="32">
        <v>11</v>
      </c>
      <c r="H253">
        <v>69.602022696929239</v>
      </c>
    </row>
    <row r="254" spans="1:8" x14ac:dyDescent="0.25">
      <c r="A254" s="31" t="s">
        <v>13</v>
      </c>
      <c r="B254">
        <v>2025</v>
      </c>
      <c r="C254" t="str">
        <f t="shared" si="3"/>
        <v>Walsh_2025</v>
      </c>
      <c r="D254" s="32">
        <v>1</v>
      </c>
      <c r="E254" s="36">
        <v>20</v>
      </c>
      <c r="F254" s="36">
        <v>1</v>
      </c>
      <c r="G254" s="32">
        <v>11</v>
      </c>
      <c r="H254">
        <v>74.686700000000002</v>
      </c>
    </row>
    <row r="255" spans="1:8" x14ac:dyDescent="0.25">
      <c r="A255" s="31" t="s">
        <v>13</v>
      </c>
      <c r="B255">
        <v>2025</v>
      </c>
      <c r="C255" t="str">
        <f t="shared" si="3"/>
        <v>Walsh_2025</v>
      </c>
      <c r="D255" s="32">
        <v>2</v>
      </c>
      <c r="E255" s="36">
        <v>3</v>
      </c>
      <c r="F255" s="36">
        <v>4</v>
      </c>
      <c r="G255" s="32">
        <v>11</v>
      </c>
      <c r="H255">
        <v>70.16069499999999</v>
      </c>
    </row>
    <row r="256" spans="1:8" x14ac:dyDescent="0.25">
      <c r="A256" s="31" t="s">
        <v>13</v>
      </c>
      <c r="B256">
        <v>2025</v>
      </c>
      <c r="C256" t="str">
        <f t="shared" si="3"/>
        <v>Walsh_2025</v>
      </c>
      <c r="D256" s="32">
        <v>3</v>
      </c>
      <c r="E256" s="36">
        <v>11</v>
      </c>
      <c r="F256" s="36">
        <v>6</v>
      </c>
      <c r="G256" s="32">
        <v>11</v>
      </c>
      <c r="H256">
        <v>68.628559999999993</v>
      </c>
    </row>
    <row r="257" spans="1:8" x14ac:dyDescent="0.25">
      <c r="A257" t="s">
        <v>7</v>
      </c>
      <c r="B257">
        <v>2025</v>
      </c>
      <c r="C257" t="str">
        <f t="shared" si="3"/>
        <v>Akron_2025</v>
      </c>
      <c r="D257" s="11">
        <v>1</v>
      </c>
      <c r="E257" s="11">
        <v>4</v>
      </c>
      <c r="F257" s="11">
        <v>1</v>
      </c>
      <c r="G257" s="11">
        <v>11</v>
      </c>
      <c r="H257">
        <v>52.804852941176456</v>
      </c>
    </row>
    <row r="258" spans="1:8" x14ac:dyDescent="0.25">
      <c r="A258" t="s">
        <v>7</v>
      </c>
      <c r="B258">
        <v>2025</v>
      </c>
      <c r="C258" t="str">
        <f t="shared" si="3"/>
        <v>Akron_2025</v>
      </c>
      <c r="D258" s="11">
        <v>2</v>
      </c>
      <c r="E258" s="11">
        <v>5</v>
      </c>
      <c r="F258" s="11">
        <v>6</v>
      </c>
      <c r="G258" s="11">
        <v>11</v>
      </c>
      <c r="H258">
        <v>51.073933670000962</v>
      </c>
    </row>
    <row r="259" spans="1:8" x14ac:dyDescent="0.25">
      <c r="A259" t="s">
        <v>7</v>
      </c>
      <c r="B259">
        <v>2025</v>
      </c>
      <c r="C259" t="str">
        <f t="shared" ref="C259:C322" si="4">A259&amp;"_"&amp;B259</f>
        <v>Akron_2025</v>
      </c>
      <c r="D259" s="11">
        <v>3</v>
      </c>
      <c r="E259" s="11">
        <v>3</v>
      </c>
      <c r="F259" s="11">
        <v>12</v>
      </c>
      <c r="G259" s="11">
        <v>11</v>
      </c>
      <c r="H259">
        <v>43.442166690741004</v>
      </c>
    </row>
    <row r="260" spans="1:8" x14ac:dyDescent="0.25">
      <c r="A260" s="31" t="s">
        <v>156</v>
      </c>
      <c r="B260">
        <v>2025</v>
      </c>
      <c r="C260" t="str">
        <f t="shared" si="4"/>
        <v>Genoa_2025</v>
      </c>
      <c r="D260" s="32">
        <v>1</v>
      </c>
      <c r="E260" s="32">
        <v>18</v>
      </c>
      <c r="F260" s="32">
        <v>1</v>
      </c>
      <c r="G260" s="32">
        <v>11</v>
      </c>
      <c r="H260">
        <v>46.60985487681404</v>
      </c>
    </row>
    <row r="261" spans="1:8" x14ac:dyDescent="0.25">
      <c r="A261" s="31" t="s">
        <v>156</v>
      </c>
      <c r="B261">
        <v>2025</v>
      </c>
      <c r="C261" t="str">
        <f t="shared" si="4"/>
        <v>Genoa_2025</v>
      </c>
      <c r="D261" s="32">
        <v>2</v>
      </c>
      <c r="E261" s="32">
        <v>4</v>
      </c>
      <c r="F261" s="32">
        <v>3</v>
      </c>
      <c r="G261" s="32">
        <v>11</v>
      </c>
      <c r="H261">
        <v>40.075024347909938</v>
      </c>
    </row>
    <row r="262" spans="1:8" x14ac:dyDescent="0.25">
      <c r="A262" s="31" t="s">
        <v>156</v>
      </c>
      <c r="B262">
        <v>2025</v>
      </c>
      <c r="C262" t="str">
        <f t="shared" si="4"/>
        <v>Genoa_2025</v>
      </c>
      <c r="D262" s="32">
        <v>3</v>
      </c>
      <c r="E262" s="32">
        <v>10</v>
      </c>
      <c r="F262" s="32">
        <v>5</v>
      </c>
      <c r="G262" s="32">
        <v>11</v>
      </c>
      <c r="H262">
        <v>45.120932875519877</v>
      </c>
    </row>
    <row r="263" spans="1:8" x14ac:dyDescent="0.25">
      <c r="A263" s="31" t="s">
        <v>10</v>
      </c>
      <c r="B263">
        <v>2025</v>
      </c>
      <c r="C263" t="str">
        <f t="shared" si="4"/>
        <v>Julesburg_2025</v>
      </c>
      <c r="D263" s="32">
        <v>1</v>
      </c>
      <c r="E263" s="32">
        <v>7</v>
      </c>
      <c r="F263" s="32">
        <v>2</v>
      </c>
      <c r="G263" s="32">
        <v>11</v>
      </c>
      <c r="H263">
        <v>63.282493138812647</v>
      </c>
    </row>
    <row r="264" spans="1:8" x14ac:dyDescent="0.25">
      <c r="A264" s="31" t="s">
        <v>10</v>
      </c>
      <c r="B264">
        <v>2025</v>
      </c>
      <c r="C264" t="str">
        <f t="shared" si="4"/>
        <v>Julesburg_2025</v>
      </c>
      <c r="D264" s="32">
        <v>2</v>
      </c>
      <c r="E264" s="32">
        <v>9</v>
      </c>
      <c r="F264" s="32">
        <v>8</v>
      </c>
      <c r="G264" s="32">
        <v>11</v>
      </c>
      <c r="H264">
        <v>56.271438751272477</v>
      </c>
    </row>
    <row r="265" spans="1:8" x14ac:dyDescent="0.25">
      <c r="A265" s="31" t="s">
        <v>10</v>
      </c>
      <c r="B265">
        <v>2025</v>
      </c>
      <c r="C265" t="str">
        <f t="shared" si="4"/>
        <v>Julesburg_2025</v>
      </c>
      <c r="D265" s="32">
        <v>3</v>
      </c>
      <c r="E265" s="32">
        <v>3</v>
      </c>
      <c r="F265" s="32">
        <v>11</v>
      </c>
      <c r="G265" s="32">
        <v>11</v>
      </c>
      <c r="H265">
        <v>69.842991074476913</v>
      </c>
    </row>
    <row r="266" spans="1:8" x14ac:dyDescent="0.25">
      <c r="A266" s="31" t="s">
        <v>11</v>
      </c>
      <c r="B266">
        <v>2025</v>
      </c>
      <c r="C266" t="str">
        <f t="shared" si="4"/>
        <v>Orchard_2025</v>
      </c>
      <c r="D266" s="32">
        <v>1</v>
      </c>
      <c r="E266" s="32">
        <v>17</v>
      </c>
      <c r="F266" s="32">
        <v>1</v>
      </c>
      <c r="G266" s="11">
        <v>11</v>
      </c>
      <c r="H266">
        <v>27.122580190341903</v>
      </c>
    </row>
    <row r="267" spans="1:8" x14ac:dyDescent="0.25">
      <c r="A267" s="31" t="s">
        <v>11</v>
      </c>
      <c r="B267">
        <v>2025</v>
      </c>
      <c r="C267" t="str">
        <f t="shared" si="4"/>
        <v>Orchard_2025</v>
      </c>
      <c r="D267" s="32">
        <v>2</v>
      </c>
      <c r="E267" s="32">
        <v>9</v>
      </c>
      <c r="F267" s="32">
        <v>4</v>
      </c>
      <c r="G267" s="11">
        <v>11</v>
      </c>
      <c r="H267">
        <v>27.887379218076401</v>
      </c>
    </row>
    <row r="268" spans="1:8" x14ac:dyDescent="0.25">
      <c r="A268" s="31" t="s">
        <v>11</v>
      </c>
      <c r="B268">
        <v>2025</v>
      </c>
      <c r="C268" t="str">
        <f t="shared" si="4"/>
        <v>Orchard_2025</v>
      </c>
      <c r="D268" s="32">
        <v>3</v>
      </c>
      <c r="E268" s="32">
        <v>12</v>
      </c>
      <c r="F268" s="32">
        <v>7</v>
      </c>
      <c r="G268" s="11">
        <v>11</v>
      </c>
      <c r="H268">
        <v>30.787658664131211</v>
      </c>
    </row>
    <row r="269" spans="1:8" x14ac:dyDescent="0.25">
      <c r="A269" t="s">
        <v>160</v>
      </c>
      <c r="B269">
        <v>2025</v>
      </c>
      <c r="C269" t="str">
        <f t="shared" si="4"/>
        <v>Yuma_2025</v>
      </c>
      <c r="D269">
        <v>1</v>
      </c>
      <c r="E269" s="36">
        <v>3</v>
      </c>
      <c r="F269" s="36">
        <v>2</v>
      </c>
      <c r="G269" s="32">
        <v>11</v>
      </c>
      <c r="H269">
        <v>89.513882324455196</v>
      </c>
    </row>
    <row r="270" spans="1:8" x14ac:dyDescent="0.25">
      <c r="A270" t="s">
        <v>160</v>
      </c>
      <c r="B270">
        <v>2025</v>
      </c>
      <c r="C270" t="str">
        <f t="shared" si="4"/>
        <v>Yuma_2025</v>
      </c>
      <c r="D270">
        <v>2</v>
      </c>
      <c r="E270" s="36">
        <v>2</v>
      </c>
      <c r="F270" s="36">
        <v>3</v>
      </c>
      <c r="G270" s="32">
        <v>11</v>
      </c>
      <c r="H270">
        <v>83.712033674479997</v>
      </c>
    </row>
    <row r="271" spans="1:8" x14ac:dyDescent="0.25">
      <c r="A271" t="s">
        <v>160</v>
      </c>
      <c r="B271">
        <v>2025</v>
      </c>
      <c r="C271" t="str">
        <f t="shared" si="4"/>
        <v>Yuma_2025</v>
      </c>
      <c r="D271">
        <v>3</v>
      </c>
      <c r="E271" s="36">
        <v>21</v>
      </c>
      <c r="F271" s="36">
        <v>5</v>
      </c>
      <c r="G271" s="32">
        <v>11</v>
      </c>
      <c r="H271">
        <v>83.08358835477317</v>
      </c>
    </row>
    <row r="272" spans="1:8" x14ac:dyDescent="0.25">
      <c r="A272" s="31" t="s">
        <v>116</v>
      </c>
      <c r="B272">
        <v>2025</v>
      </c>
      <c r="C272" t="str">
        <f t="shared" si="4"/>
        <v>Burlington_2025</v>
      </c>
      <c r="D272" s="32">
        <v>1</v>
      </c>
      <c r="E272" s="32">
        <v>2</v>
      </c>
      <c r="F272" s="32">
        <v>4</v>
      </c>
      <c r="G272" s="32">
        <v>12</v>
      </c>
      <c r="H272">
        <v>55.833955249569698</v>
      </c>
    </row>
    <row r="273" spans="1:8" x14ac:dyDescent="0.25">
      <c r="A273" s="31" t="s">
        <v>116</v>
      </c>
      <c r="B273">
        <v>2025</v>
      </c>
      <c r="C273" t="str">
        <f t="shared" si="4"/>
        <v>Burlington_2025</v>
      </c>
      <c r="D273" s="32">
        <v>2</v>
      </c>
      <c r="E273" s="32">
        <v>7</v>
      </c>
      <c r="F273" s="32">
        <v>7</v>
      </c>
      <c r="G273" s="32">
        <v>12</v>
      </c>
      <c r="H273">
        <v>63.734826286099995</v>
      </c>
    </row>
    <row r="274" spans="1:8" x14ac:dyDescent="0.25">
      <c r="A274" s="31" t="s">
        <v>116</v>
      </c>
      <c r="B274">
        <v>2025</v>
      </c>
      <c r="C274" t="str">
        <f t="shared" si="4"/>
        <v>Burlington_2025</v>
      </c>
      <c r="D274" s="32">
        <v>3</v>
      </c>
      <c r="E274" s="32">
        <v>3</v>
      </c>
      <c r="F274" s="32">
        <v>9</v>
      </c>
      <c r="G274" s="32">
        <v>12</v>
      </c>
      <c r="H274">
        <v>60.601212091991712</v>
      </c>
    </row>
    <row r="275" spans="1:8" x14ac:dyDescent="0.25">
      <c r="A275" s="34" t="s">
        <v>97</v>
      </c>
      <c r="B275">
        <v>2025</v>
      </c>
      <c r="C275" t="str">
        <f t="shared" si="4"/>
        <v>Lamar_2025</v>
      </c>
      <c r="D275" s="35">
        <v>1</v>
      </c>
      <c r="E275" s="35">
        <v>7</v>
      </c>
      <c r="F275" s="35">
        <v>2</v>
      </c>
      <c r="G275" s="35">
        <v>12</v>
      </c>
      <c r="H275">
        <v>67.975566950743882</v>
      </c>
    </row>
    <row r="276" spans="1:8" x14ac:dyDescent="0.25">
      <c r="A276" s="34" t="s">
        <v>97</v>
      </c>
      <c r="B276">
        <v>2025</v>
      </c>
      <c r="C276" t="str">
        <f t="shared" si="4"/>
        <v>Lamar_2025</v>
      </c>
      <c r="D276" s="35">
        <v>2</v>
      </c>
      <c r="E276" s="35">
        <v>4</v>
      </c>
      <c r="F276" s="35">
        <v>4</v>
      </c>
      <c r="G276" s="35">
        <v>12</v>
      </c>
      <c r="H276">
        <v>68.994837008628949</v>
      </c>
    </row>
    <row r="277" spans="1:8" x14ac:dyDescent="0.25">
      <c r="A277" s="34" t="s">
        <v>97</v>
      </c>
      <c r="B277">
        <v>2025</v>
      </c>
      <c r="C277" t="str">
        <f t="shared" si="4"/>
        <v>Lamar_2025</v>
      </c>
      <c r="D277" s="35">
        <v>3</v>
      </c>
      <c r="E277" s="35">
        <v>10</v>
      </c>
      <c r="F277" s="35">
        <v>5</v>
      </c>
      <c r="G277" s="35">
        <v>12</v>
      </c>
      <c r="H277">
        <v>72.425604069520972</v>
      </c>
    </row>
    <row r="278" spans="1:8" x14ac:dyDescent="0.25">
      <c r="A278" s="31" t="s">
        <v>132</v>
      </c>
      <c r="B278">
        <v>2025</v>
      </c>
      <c r="C278" t="str">
        <f t="shared" si="4"/>
        <v>SLake_2025</v>
      </c>
      <c r="D278" s="32">
        <v>1</v>
      </c>
      <c r="E278" s="32">
        <v>19</v>
      </c>
      <c r="F278" s="32">
        <v>1</v>
      </c>
      <c r="G278" s="32">
        <v>12</v>
      </c>
      <c r="H278">
        <v>56.831088182826285</v>
      </c>
    </row>
    <row r="279" spans="1:8" x14ac:dyDescent="0.25">
      <c r="A279" s="31" t="s">
        <v>132</v>
      </c>
      <c r="B279">
        <v>2025</v>
      </c>
      <c r="C279" t="str">
        <f t="shared" si="4"/>
        <v>SLake_2025</v>
      </c>
      <c r="D279" s="32">
        <v>2</v>
      </c>
      <c r="E279" s="32">
        <v>4</v>
      </c>
      <c r="F279" s="32">
        <v>3</v>
      </c>
      <c r="G279" s="32">
        <v>12</v>
      </c>
      <c r="H279">
        <v>58.588016351118753</v>
      </c>
    </row>
    <row r="280" spans="1:8" x14ac:dyDescent="0.25">
      <c r="A280" s="31" t="s">
        <v>132</v>
      </c>
      <c r="B280">
        <v>2025</v>
      </c>
      <c r="C280" t="str">
        <f t="shared" si="4"/>
        <v>SLake_2025</v>
      </c>
      <c r="D280" s="32">
        <v>3</v>
      </c>
      <c r="E280" s="32">
        <v>6</v>
      </c>
      <c r="F280" s="32">
        <v>6</v>
      </c>
      <c r="G280" s="32">
        <v>12</v>
      </c>
      <c r="H280">
        <v>57.695564061822907</v>
      </c>
    </row>
    <row r="281" spans="1:8" x14ac:dyDescent="0.25">
      <c r="A281" s="31" t="s">
        <v>13</v>
      </c>
      <c r="B281">
        <v>2025</v>
      </c>
      <c r="C281" t="str">
        <f t="shared" si="4"/>
        <v>Walsh_2025</v>
      </c>
      <c r="D281" s="32">
        <v>1</v>
      </c>
      <c r="E281" s="36">
        <v>17</v>
      </c>
      <c r="F281" s="36">
        <v>2</v>
      </c>
      <c r="G281" s="32">
        <v>12</v>
      </c>
      <c r="H281">
        <v>69.254019999999983</v>
      </c>
    </row>
    <row r="282" spans="1:8" x14ac:dyDescent="0.25">
      <c r="A282" s="31" t="s">
        <v>13</v>
      </c>
      <c r="B282">
        <v>2025</v>
      </c>
      <c r="C282" t="str">
        <f t="shared" si="4"/>
        <v>Walsh_2025</v>
      </c>
      <c r="D282" s="32">
        <v>2</v>
      </c>
      <c r="E282" s="36">
        <v>2</v>
      </c>
      <c r="F282" s="36">
        <v>4</v>
      </c>
      <c r="G282" s="32">
        <v>12</v>
      </c>
      <c r="H282">
        <v>60.567044999999986</v>
      </c>
    </row>
    <row r="283" spans="1:8" x14ac:dyDescent="0.25">
      <c r="A283" s="31" t="s">
        <v>13</v>
      </c>
      <c r="B283">
        <v>2025</v>
      </c>
      <c r="C283" t="str">
        <f t="shared" si="4"/>
        <v>Walsh_2025</v>
      </c>
      <c r="D283" s="32">
        <v>3</v>
      </c>
      <c r="E283" s="36">
        <v>1</v>
      </c>
      <c r="F283" s="36">
        <v>6</v>
      </c>
      <c r="G283" s="32">
        <v>12</v>
      </c>
      <c r="H283">
        <v>53.099199999999996</v>
      </c>
    </row>
    <row r="284" spans="1:8" x14ac:dyDescent="0.25">
      <c r="A284" t="s">
        <v>7</v>
      </c>
      <c r="B284">
        <v>2025</v>
      </c>
      <c r="C284" t="str">
        <f t="shared" si="4"/>
        <v>Akron_2025</v>
      </c>
      <c r="D284" s="11">
        <v>1</v>
      </c>
      <c r="E284" s="11">
        <v>10</v>
      </c>
      <c r="F284" s="11">
        <v>2</v>
      </c>
      <c r="G284" s="11">
        <v>12</v>
      </c>
      <c r="H284">
        <v>39.264134983127107</v>
      </c>
    </row>
    <row r="285" spans="1:8" x14ac:dyDescent="0.25">
      <c r="A285" t="s">
        <v>7</v>
      </c>
      <c r="B285">
        <v>2025</v>
      </c>
      <c r="C285" t="str">
        <f t="shared" si="4"/>
        <v>Akron_2025</v>
      </c>
      <c r="D285" s="11">
        <v>2</v>
      </c>
      <c r="E285" s="11">
        <v>5</v>
      </c>
      <c r="F285" s="11">
        <v>5</v>
      </c>
      <c r="G285" s="11">
        <v>12</v>
      </c>
      <c r="H285">
        <v>38.056600453208617</v>
      </c>
    </row>
    <row r="286" spans="1:8" x14ac:dyDescent="0.25">
      <c r="A286" t="s">
        <v>7</v>
      </c>
      <c r="B286">
        <v>2025</v>
      </c>
      <c r="C286" t="str">
        <f t="shared" si="4"/>
        <v>Akron_2025</v>
      </c>
      <c r="D286" s="11">
        <v>3</v>
      </c>
      <c r="E286" s="11">
        <v>9</v>
      </c>
      <c r="F286" s="11">
        <v>12</v>
      </c>
      <c r="G286" s="11">
        <v>12</v>
      </c>
      <c r="H286">
        <v>34.960313447927199</v>
      </c>
    </row>
    <row r="287" spans="1:8" x14ac:dyDescent="0.25">
      <c r="A287" s="31" t="s">
        <v>156</v>
      </c>
      <c r="B287">
        <v>2025</v>
      </c>
      <c r="C287" t="str">
        <f t="shared" si="4"/>
        <v>Genoa_2025</v>
      </c>
      <c r="D287" s="32">
        <v>1</v>
      </c>
      <c r="E287" s="32">
        <v>18</v>
      </c>
      <c r="F287" s="32">
        <v>2</v>
      </c>
      <c r="G287" s="32">
        <v>12</v>
      </c>
      <c r="H287">
        <v>57.330149289099523</v>
      </c>
    </row>
    <row r="288" spans="1:8" x14ac:dyDescent="0.25">
      <c r="A288" s="31" t="s">
        <v>156</v>
      </c>
      <c r="B288">
        <v>2025</v>
      </c>
      <c r="C288" t="str">
        <f t="shared" si="4"/>
        <v>Genoa_2025</v>
      </c>
      <c r="D288" s="32">
        <v>2</v>
      </c>
      <c r="E288" s="32">
        <v>2</v>
      </c>
      <c r="F288" s="32">
        <v>4</v>
      </c>
      <c r="G288" s="32">
        <v>12</v>
      </c>
      <c r="H288">
        <v>47.697729698092957</v>
      </c>
    </row>
    <row r="289" spans="1:8" x14ac:dyDescent="0.25">
      <c r="A289" s="31" t="s">
        <v>156</v>
      </c>
      <c r="B289">
        <v>2025</v>
      </c>
      <c r="C289" t="str">
        <f t="shared" si="4"/>
        <v>Genoa_2025</v>
      </c>
      <c r="D289" s="32">
        <v>3</v>
      </c>
      <c r="E289" s="32">
        <v>1</v>
      </c>
      <c r="F289" s="32">
        <v>5</v>
      </c>
      <c r="G289" s="32">
        <v>12</v>
      </c>
      <c r="H289">
        <v>39.9839733049618</v>
      </c>
    </row>
    <row r="290" spans="1:8" x14ac:dyDescent="0.25">
      <c r="A290" s="31" t="s">
        <v>10</v>
      </c>
      <c r="B290">
        <v>2025</v>
      </c>
      <c r="C290" t="str">
        <f t="shared" si="4"/>
        <v>Julesburg_2025</v>
      </c>
      <c r="D290" s="32">
        <v>1</v>
      </c>
      <c r="E290" s="32">
        <v>5</v>
      </c>
      <c r="F290" s="32">
        <v>2</v>
      </c>
      <c r="G290" s="32">
        <v>12</v>
      </c>
      <c r="H290">
        <v>61.797564639607103</v>
      </c>
    </row>
    <row r="291" spans="1:8" x14ac:dyDescent="0.25">
      <c r="A291" s="31" t="s">
        <v>10</v>
      </c>
      <c r="B291">
        <v>2025</v>
      </c>
      <c r="C291" t="str">
        <f t="shared" si="4"/>
        <v>Julesburg_2025</v>
      </c>
      <c r="D291" s="32">
        <v>2</v>
      </c>
      <c r="E291" s="32">
        <v>13</v>
      </c>
      <c r="F291" s="32">
        <v>5</v>
      </c>
      <c r="G291" s="32">
        <v>12</v>
      </c>
      <c r="H291">
        <v>56.333700829493075</v>
      </c>
    </row>
    <row r="292" spans="1:8" x14ac:dyDescent="0.25">
      <c r="A292" s="31" t="s">
        <v>10</v>
      </c>
      <c r="B292">
        <v>2025</v>
      </c>
      <c r="C292" t="str">
        <f t="shared" si="4"/>
        <v>Julesburg_2025</v>
      </c>
      <c r="D292" s="32">
        <v>3</v>
      </c>
      <c r="E292" s="32">
        <v>6</v>
      </c>
      <c r="F292" s="32">
        <v>10</v>
      </c>
      <c r="G292" s="32">
        <v>12</v>
      </c>
      <c r="H292">
        <v>52.284936243566065</v>
      </c>
    </row>
    <row r="293" spans="1:8" x14ac:dyDescent="0.25">
      <c r="A293" s="31" t="s">
        <v>11</v>
      </c>
      <c r="B293">
        <v>2025</v>
      </c>
      <c r="C293" t="str">
        <f t="shared" si="4"/>
        <v>Orchard_2025</v>
      </c>
      <c r="D293" s="32">
        <v>1</v>
      </c>
      <c r="E293" s="32">
        <v>14</v>
      </c>
      <c r="F293" s="32">
        <v>1</v>
      </c>
      <c r="G293" s="11">
        <v>12</v>
      </c>
      <c r="H293">
        <v>13.182468905785784</v>
      </c>
    </row>
    <row r="294" spans="1:8" x14ac:dyDescent="0.25">
      <c r="A294" s="31" t="s">
        <v>11</v>
      </c>
      <c r="B294">
        <v>2025</v>
      </c>
      <c r="C294" t="str">
        <f t="shared" si="4"/>
        <v>Orchard_2025</v>
      </c>
      <c r="D294" s="32">
        <v>2</v>
      </c>
      <c r="E294" s="32">
        <v>2</v>
      </c>
      <c r="F294" s="32">
        <v>4</v>
      </c>
      <c r="G294" s="11">
        <v>12</v>
      </c>
      <c r="H294">
        <v>10.207581388434663</v>
      </c>
    </row>
    <row r="295" spans="1:8" x14ac:dyDescent="0.25">
      <c r="A295" s="31" t="s">
        <v>11</v>
      </c>
      <c r="B295">
        <v>2025</v>
      </c>
      <c r="C295" t="str">
        <f t="shared" si="4"/>
        <v>Orchard_2025</v>
      </c>
      <c r="D295" s="32">
        <v>3</v>
      </c>
      <c r="E295" s="32">
        <v>12</v>
      </c>
      <c r="F295" s="32">
        <v>9</v>
      </c>
      <c r="G295" s="11">
        <v>12</v>
      </c>
      <c r="H295">
        <v>16.257019745253086</v>
      </c>
    </row>
    <row r="296" spans="1:8" x14ac:dyDescent="0.25">
      <c r="A296" t="s">
        <v>160</v>
      </c>
      <c r="B296">
        <v>2025</v>
      </c>
      <c r="C296" t="str">
        <f t="shared" si="4"/>
        <v>Yuma_2025</v>
      </c>
      <c r="D296">
        <v>1</v>
      </c>
      <c r="E296" s="36">
        <v>25</v>
      </c>
      <c r="F296" s="36">
        <v>1</v>
      </c>
      <c r="G296" s="32">
        <v>12</v>
      </c>
      <c r="H296">
        <v>82.852198795180726</v>
      </c>
    </row>
    <row r="297" spans="1:8" x14ac:dyDescent="0.25">
      <c r="A297" t="s">
        <v>160</v>
      </c>
      <c r="B297">
        <v>2025</v>
      </c>
      <c r="C297" t="str">
        <f t="shared" si="4"/>
        <v>Yuma_2025</v>
      </c>
      <c r="D297">
        <v>2</v>
      </c>
      <c r="E297" s="36">
        <v>21</v>
      </c>
      <c r="F297" s="36">
        <v>3</v>
      </c>
      <c r="G297" s="32">
        <v>12</v>
      </c>
      <c r="H297">
        <v>82.933219355751532</v>
      </c>
    </row>
    <row r="298" spans="1:8" x14ac:dyDescent="0.25">
      <c r="A298" t="s">
        <v>160</v>
      </c>
      <c r="B298">
        <v>2025</v>
      </c>
      <c r="C298" t="str">
        <f t="shared" si="4"/>
        <v>Yuma_2025</v>
      </c>
      <c r="D298">
        <v>3</v>
      </c>
      <c r="E298" s="36">
        <v>1</v>
      </c>
      <c r="F298" s="36">
        <v>5</v>
      </c>
      <c r="G298" s="32">
        <v>12</v>
      </c>
      <c r="H298">
        <v>82.756397137053852</v>
      </c>
    </row>
    <row r="299" spans="1:8" x14ac:dyDescent="0.25">
      <c r="A299" s="31" t="s">
        <v>116</v>
      </c>
      <c r="B299">
        <v>2025</v>
      </c>
      <c r="C299" t="str">
        <f t="shared" si="4"/>
        <v>Burlington_2025</v>
      </c>
      <c r="D299" s="32">
        <v>1</v>
      </c>
      <c r="E299" s="32">
        <v>5</v>
      </c>
      <c r="F299" s="32">
        <v>4</v>
      </c>
      <c r="G299" s="32">
        <v>13</v>
      </c>
      <c r="H299">
        <v>61.831416523235788</v>
      </c>
    </row>
    <row r="300" spans="1:8" x14ac:dyDescent="0.25">
      <c r="A300" s="31" t="s">
        <v>116</v>
      </c>
      <c r="B300">
        <v>2025</v>
      </c>
      <c r="C300" t="str">
        <f t="shared" si="4"/>
        <v>Burlington_2025</v>
      </c>
      <c r="D300" s="32">
        <v>2</v>
      </c>
      <c r="E300" s="32">
        <v>2</v>
      </c>
      <c r="F300" s="32">
        <v>5</v>
      </c>
      <c r="G300" s="32">
        <v>13</v>
      </c>
      <c r="H300">
        <v>57.612963855421675</v>
      </c>
    </row>
    <row r="301" spans="1:8" x14ac:dyDescent="0.25">
      <c r="A301" s="31" t="s">
        <v>116</v>
      </c>
      <c r="B301">
        <v>2025</v>
      </c>
      <c r="C301" t="str">
        <f t="shared" si="4"/>
        <v>Burlington_2025</v>
      </c>
      <c r="D301" s="32">
        <v>3</v>
      </c>
      <c r="E301" s="32">
        <v>8</v>
      </c>
      <c r="F301" s="32">
        <v>12</v>
      </c>
      <c r="G301" s="32">
        <v>13</v>
      </c>
      <c r="H301">
        <v>71.492631864406761</v>
      </c>
    </row>
    <row r="302" spans="1:8" x14ac:dyDescent="0.25">
      <c r="A302" s="34" t="s">
        <v>97</v>
      </c>
      <c r="B302">
        <v>2025</v>
      </c>
      <c r="C302" t="str">
        <f t="shared" si="4"/>
        <v>Lamar_2025</v>
      </c>
      <c r="D302" s="35">
        <v>1</v>
      </c>
      <c r="E302" s="35">
        <v>18</v>
      </c>
      <c r="F302" s="35">
        <v>1</v>
      </c>
      <c r="G302" s="35">
        <v>13</v>
      </c>
      <c r="H302">
        <v>70.031185714285698</v>
      </c>
    </row>
    <row r="303" spans="1:8" x14ac:dyDescent="0.25">
      <c r="A303" s="34" t="s">
        <v>97</v>
      </c>
      <c r="B303">
        <v>2025</v>
      </c>
      <c r="C303" t="str">
        <f t="shared" si="4"/>
        <v>Lamar_2025</v>
      </c>
      <c r="D303" s="35">
        <v>2</v>
      </c>
      <c r="E303" s="35">
        <v>8</v>
      </c>
      <c r="F303" s="35">
        <v>4</v>
      </c>
      <c r="G303" s="35">
        <v>13</v>
      </c>
      <c r="H303">
        <v>72.336727708533076</v>
      </c>
    </row>
    <row r="304" spans="1:8" x14ac:dyDescent="0.25">
      <c r="A304" s="34" t="s">
        <v>97</v>
      </c>
      <c r="B304">
        <v>2025</v>
      </c>
      <c r="C304" t="str">
        <f t="shared" si="4"/>
        <v>Lamar_2025</v>
      </c>
      <c r="D304" s="35">
        <v>3</v>
      </c>
      <c r="E304" s="35">
        <v>11</v>
      </c>
      <c r="F304" s="35">
        <v>5</v>
      </c>
      <c r="G304" s="35">
        <v>13</v>
      </c>
      <c r="H304">
        <v>64.588278931750736</v>
      </c>
    </row>
    <row r="305" spans="1:8" x14ac:dyDescent="0.25">
      <c r="A305" s="31" t="s">
        <v>132</v>
      </c>
      <c r="B305">
        <v>2025</v>
      </c>
      <c r="C305" t="str">
        <f t="shared" si="4"/>
        <v>SLake_2025</v>
      </c>
      <c r="D305" s="32">
        <v>1</v>
      </c>
      <c r="E305" s="32">
        <v>6</v>
      </c>
      <c r="F305" s="32">
        <v>2</v>
      </c>
      <c r="G305" s="32">
        <v>13</v>
      </c>
      <c r="H305">
        <v>68.634144930331232</v>
      </c>
    </row>
    <row r="306" spans="1:8" x14ac:dyDescent="0.25">
      <c r="A306" s="31" t="s">
        <v>132</v>
      </c>
      <c r="B306">
        <v>2025</v>
      </c>
      <c r="C306" t="str">
        <f t="shared" si="4"/>
        <v>SLake_2025</v>
      </c>
      <c r="D306" s="32">
        <v>2</v>
      </c>
      <c r="E306" s="32">
        <v>17</v>
      </c>
      <c r="F306" s="32">
        <v>4</v>
      </c>
      <c r="G306" s="32">
        <v>13</v>
      </c>
      <c r="H306">
        <v>63.881111002873702</v>
      </c>
    </row>
    <row r="307" spans="1:8" x14ac:dyDescent="0.25">
      <c r="A307" s="31" t="s">
        <v>132</v>
      </c>
      <c r="B307">
        <v>2025</v>
      </c>
      <c r="C307" t="str">
        <f t="shared" si="4"/>
        <v>SLake_2025</v>
      </c>
      <c r="D307" s="32">
        <v>3</v>
      </c>
      <c r="E307" s="32">
        <v>8</v>
      </c>
      <c r="F307" s="32">
        <v>5</v>
      </c>
      <c r="G307" s="32">
        <v>13</v>
      </c>
      <c r="H307">
        <v>66.590387182910547</v>
      </c>
    </row>
    <row r="308" spans="1:8" x14ac:dyDescent="0.25">
      <c r="A308" s="31" t="s">
        <v>13</v>
      </c>
      <c r="B308">
        <v>2025</v>
      </c>
      <c r="C308" t="str">
        <f t="shared" si="4"/>
        <v>Walsh_2025</v>
      </c>
      <c r="D308" s="32">
        <v>1</v>
      </c>
      <c r="E308" s="36">
        <v>17</v>
      </c>
      <c r="F308" s="36">
        <v>1</v>
      </c>
      <c r="G308" s="32">
        <v>13</v>
      </c>
      <c r="H308">
        <v>65.387520000000009</v>
      </c>
    </row>
    <row r="309" spans="1:8" x14ac:dyDescent="0.25">
      <c r="A309" s="31" t="s">
        <v>13</v>
      </c>
      <c r="B309">
        <v>2025</v>
      </c>
      <c r="C309" t="str">
        <f t="shared" si="4"/>
        <v>Walsh_2025</v>
      </c>
      <c r="D309" s="32">
        <v>2</v>
      </c>
      <c r="E309" s="36">
        <v>2</v>
      </c>
      <c r="F309" s="36">
        <v>3</v>
      </c>
      <c r="G309" s="32">
        <v>13</v>
      </c>
      <c r="H309">
        <v>78.011559999999989</v>
      </c>
    </row>
    <row r="310" spans="1:8" x14ac:dyDescent="0.25">
      <c r="A310" s="31" t="s">
        <v>13</v>
      </c>
      <c r="B310">
        <v>2025</v>
      </c>
      <c r="C310" t="str">
        <f t="shared" si="4"/>
        <v>Walsh_2025</v>
      </c>
      <c r="D310" s="32">
        <v>3</v>
      </c>
      <c r="E310" s="36">
        <v>12</v>
      </c>
      <c r="F310" s="36">
        <v>6</v>
      </c>
      <c r="G310" s="32">
        <v>13</v>
      </c>
      <c r="H310">
        <v>68.047979999999981</v>
      </c>
    </row>
    <row r="311" spans="1:8" x14ac:dyDescent="0.25">
      <c r="A311" t="s">
        <v>7</v>
      </c>
      <c r="B311">
        <v>2025</v>
      </c>
      <c r="C311" t="str">
        <f t="shared" si="4"/>
        <v>Akron_2025</v>
      </c>
      <c r="D311" s="11">
        <v>1</v>
      </c>
      <c r="E311" s="11">
        <v>1</v>
      </c>
      <c r="F311" s="11">
        <v>3</v>
      </c>
      <c r="G311" s="11">
        <v>13</v>
      </c>
      <c r="H311">
        <v>50.830733488217724</v>
      </c>
    </row>
    <row r="312" spans="1:8" x14ac:dyDescent="0.25">
      <c r="A312" t="s">
        <v>7</v>
      </c>
      <c r="B312">
        <v>2025</v>
      </c>
      <c r="C312" t="str">
        <f t="shared" si="4"/>
        <v>Akron_2025</v>
      </c>
      <c r="D312" s="11">
        <v>2</v>
      </c>
      <c r="E312" s="11">
        <v>9</v>
      </c>
      <c r="F312" s="11">
        <v>5</v>
      </c>
      <c r="G312" s="11">
        <v>13</v>
      </c>
      <c r="H312">
        <v>45.597898365556148</v>
      </c>
    </row>
    <row r="313" spans="1:8" x14ac:dyDescent="0.25">
      <c r="A313" t="s">
        <v>7</v>
      </c>
      <c r="B313">
        <v>2025</v>
      </c>
      <c r="C313" t="str">
        <f t="shared" si="4"/>
        <v>Akron_2025</v>
      </c>
      <c r="D313" s="11">
        <v>3</v>
      </c>
      <c r="E313" s="11">
        <v>3</v>
      </c>
      <c r="F313" s="11">
        <v>10</v>
      </c>
      <c r="G313" s="11">
        <v>13</v>
      </c>
      <c r="H313">
        <v>42.821253791708799</v>
      </c>
    </row>
    <row r="314" spans="1:8" x14ac:dyDescent="0.25">
      <c r="A314" s="31" t="s">
        <v>156</v>
      </c>
      <c r="B314">
        <v>2025</v>
      </c>
      <c r="C314" t="str">
        <f t="shared" si="4"/>
        <v>Genoa_2025</v>
      </c>
      <c r="D314" s="32">
        <v>1</v>
      </c>
      <c r="E314" s="32">
        <v>3</v>
      </c>
      <c r="F314" s="32">
        <v>1</v>
      </c>
      <c r="G314" s="32">
        <v>13</v>
      </c>
      <c r="H314">
        <v>45.718468251289707</v>
      </c>
    </row>
    <row r="315" spans="1:8" x14ac:dyDescent="0.25">
      <c r="A315" s="31" t="s">
        <v>156</v>
      </c>
      <c r="B315">
        <v>2025</v>
      </c>
      <c r="C315" t="str">
        <f t="shared" si="4"/>
        <v>Genoa_2025</v>
      </c>
      <c r="D315" s="32">
        <v>2</v>
      </c>
      <c r="E315" s="32">
        <v>5</v>
      </c>
      <c r="F315" s="32">
        <v>3</v>
      </c>
      <c r="G315" s="32">
        <v>13</v>
      </c>
      <c r="H315">
        <v>34.598879514006072</v>
      </c>
    </row>
    <row r="316" spans="1:8" x14ac:dyDescent="0.25">
      <c r="A316" s="31" t="s">
        <v>156</v>
      </c>
      <c r="B316">
        <v>2025</v>
      </c>
      <c r="C316" t="str">
        <f t="shared" si="4"/>
        <v>Genoa_2025</v>
      </c>
      <c r="D316" s="32">
        <v>3</v>
      </c>
      <c r="E316" s="32">
        <v>13</v>
      </c>
      <c r="F316" s="32">
        <v>5</v>
      </c>
      <c r="G316" s="32">
        <v>13</v>
      </c>
      <c r="H316">
        <v>47.672622207176715</v>
      </c>
    </row>
    <row r="317" spans="1:8" x14ac:dyDescent="0.25">
      <c r="A317" s="31" t="s">
        <v>10</v>
      </c>
      <c r="B317">
        <v>2025</v>
      </c>
      <c r="C317" t="str">
        <f t="shared" si="4"/>
        <v>Julesburg_2025</v>
      </c>
      <c r="D317" s="32">
        <v>1</v>
      </c>
      <c r="E317" s="32">
        <v>9</v>
      </c>
      <c r="F317" s="32">
        <v>2</v>
      </c>
      <c r="G317" s="32">
        <v>13</v>
      </c>
      <c r="H317">
        <v>57.670219413549027</v>
      </c>
    </row>
    <row r="318" spans="1:8" x14ac:dyDescent="0.25">
      <c r="A318" s="31" t="s">
        <v>10</v>
      </c>
      <c r="B318">
        <v>2025</v>
      </c>
      <c r="C318" t="str">
        <f t="shared" si="4"/>
        <v>Julesburg_2025</v>
      </c>
      <c r="D318" s="32">
        <v>2</v>
      </c>
      <c r="E318" s="32">
        <v>10</v>
      </c>
      <c r="F318" s="32">
        <v>5</v>
      </c>
      <c r="G318" s="32">
        <v>13</v>
      </c>
      <c r="H318">
        <v>55.153639078341016</v>
      </c>
    </row>
    <row r="319" spans="1:8" x14ac:dyDescent="0.25">
      <c r="A319" s="31" t="s">
        <v>10</v>
      </c>
      <c r="B319">
        <v>2025</v>
      </c>
      <c r="C319" t="str">
        <f t="shared" si="4"/>
        <v>Julesburg_2025</v>
      </c>
      <c r="D319" s="32">
        <v>3</v>
      </c>
      <c r="E319" s="32">
        <v>1</v>
      </c>
      <c r="F319" s="32">
        <v>11</v>
      </c>
      <c r="G319" s="32">
        <v>13</v>
      </c>
      <c r="H319">
        <v>55.299826854606636</v>
      </c>
    </row>
    <row r="320" spans="1:8" x14ac:dyDescent="0.25">
      <c r="A320" s="31" t="s">
        <v>11</v>
      </c>
      <c r="B320">
        <v>2025</v>
      </c>
      <c r="C320" t="str">
        <f t="shared" si="4"/>
        <v>Orchard_2025</v>
      </c>
      <c r="D320" s="32">
        <v>1</v>
      </c>
      <c r="E320" s="32">
        <v>15</v>
      </c>
      <c r="F320" s="32">
        <v>1</v>
      </c>
      <c r="G320" s="11">
        <v>13</v>
      </c>
      <c r="H320">
        <v>28.13207210836396</v>
      </c>
    </row>
    <row r="321" spans="1:8" x14ac:dyDescent="0.25">
      <c r="A321" s="31" t="s">
        <v>11</v>
      </c>
      <c r="B321">
        <v>2025</v>
      </c>
      <c r="C321" t="str">
        <f t="shared" si="4"/>
        <v>Orchard_2025</v>
      </c>
      <c r="D321" s="32">
        <v>2</v>
      </c>
      <c r="E321" s="32">
        <v>11</v>
      </c>
      <c r="F321" s="32">
        <v>6</v>
      </c>
      <c r="G321" s="11">
        <v>13</v>
      </c>
      <c r="H321">
        <v>22.927613857532112</v>
      </c>
    </row>
    <row r="322" spans="1:8" x14ac:dyDescent="0.25">
      <c r="A322" s="31" t="s">
        <v>11</v>
      </c>
      <c r="B322">
        <v>2025</v>
      </c>
      <c r="C322" t="str">
        <f t="shared" si="4"/>
        <v>Orchard_2025</v>
      </c>
      <c r="D322" s="32">
        <v>3</v>
      </c>
      <c r="E322" s="32">
        <v>17</v>
      </c>
      <c r="F322" s="32">
        <v>8</v>
      </c>
      <c r="G322" s="11">
        <v>13</v>
      </c>
      <c r="H322">
        <v>27.403636363636359</v>
      </c>
    </row>
    <row r="323" spans="1:8" x14ac:dyDescent="0.25">
      <c r="A323" t="s">
        <v>160</v>
      </c>
      <c r="B323">
        <v>2025</v>
      </c>
      <c r="C323" t="str">
        <f t="shared" ref="C323:C386" si="5">A323&amp;"_"&amp;B323</f>
        <v>Yuma_2025</v>
      </c>
      <c r="D323">
        <v>1</v>
      </c>
      <c r="E323" s="36">
        <v>19</v>
      </c>
      <c r="F323" s="36">
        <v>1</v>
      </c>
      <c r="G323" s="32">
        <v>13</v>
      </c>
      <c r="H323">
        <v>90.037271944922537</v>
      </c>
    </row>
    <row r="324" spans="1:8" x14ac:dyDescent="0.25">
      <c r="A324" t="s">
        <v>160</v>
      </c>
      <c r="B324">
        <v>2025</v>
      </c>
      <c r="C324" t="str">
        <f t="shared" si="5"/>
        <v>Yuma_2025</v>
      </c>
      <c r="D324">
        <v>2</v>
      </c>
      <c r="E324" s="36">
        <v>7</v>
      </c>
      <c r="F324" s="36">
        <v>4</v>
      </c>
      <c r="G324" s="32">
        <v>13</v>
      </c>
      <c r="H324">
        <v>88.01408421773364</v>
      </c>
    </row>
    <row r="325" spans="1:8" x14ac:dyDescent="0.25">
      <c r="A325" t="s">
        <v>160</v>
      </c>
      <c r="B325">
        <v>2025</v>
      </c>
      <c r="C325" t="str">
        <f t="shared" si="5"/>
        <v>Yuma_2025</v>
      </c>
      <c r="D325">
        <v>3</v>
      </c>
      <c r="E325" s="36">
        <v>9</v>
      </c>
      <c r="F325" s="36">
        <v>5</v>
      </c>
      <c r="G325" s="32">
        <v>13</v>
      </c>
      <c r="H325">
        <v>88.190816326530609</v>
      </c>
    </row>
    <row r="326" spans="1:8" x14ac:dyDescent="0.25">
      <c r="A326" s="31" t="s">
        <v>116</v>
      </c>
      <c r="B326">
        <v>2025</v>
      </c>
      <c r="C326" t="str">
        <f t="shared" si="5"/>
        <v>Burlington_2025</v>
      </c>
      <c r="D326" s="32">
        <v>1</v>
      </c>
      <c r="E326" s="32">
        <v>6</v>
      </c>
      <c r="F326" s="32">
        <v>1</v>
      </c>
      <c r="G326" s="32">
        <v>14</v>
      </c>
      <c r="H326">
        <v>76.380489588377714</v>
      </c>
    </row>
    <row r="327" spans="1:8" x14ac:dyDescent="0.25">
      <c r="A327" s="31" t="s">
        <v>116</v>
      </c>
      <c r="B327">
        <v>2025</v>
      </c>
      <c r="C327" t="str">
        <f t="shared" si="5"/>
        <v>Burlington_2025</v>
      </c>
      <c r="D327" s="32">
        <v>2</v>
      </c>
      <c r="E327" s="32">
        <v>9</v>
      </c>
      <c r="F327" s="32">
        <v>7</v>
      </c>
      <c r="G327" s="32">
        <v>14</v>
      </c>
      <c r="H327">
        <v>77.003045802998898</v>
      </c>
    </row>
    <row r="328" spans="1:8" x14ac:dyDescent="0.25">
      <c r="A328" s="31" t="s">
        <v>116</v>
      </c>
      <c r="B328">
        <v>2025</v>
      </c>
      <c r="C328" t="str">
        <f t="shared" si="5"/>
        <v>Burlington_2025</v>
      </c>
      <c r="D328" s="32">
        <v>3</v>
      </c>
      <c r="E328" s="32">
        <v>4</v>
      </c>
      <c r="F328" s="32">
        <v>11</v>
      </c>
      <c r="G328" s="32">
        <v>14</v>
      </c>
      <c r="H328">
        <v>79.82629285714286</v>
      </c>
    </row>
    <row r="329" spans="1:8" x14ac:dyDescent="0.25">
      <c r="A329" s="34" t="s">
        <v>97</v>
      </c>
      <c r="B329">
        <v>2025</v>
      </c>
      <c r="C329" t="str">
        <f t="shared" si="5"/>
        <v>Lamar_2025</v>
      </c>
      <c r="D329" s="35">
        <v>1</v>
      </c>
      <c r="E329" s="35">
        <v>17</v>
      </c>
      <c r="F329" s="35">
        <v>2</v>
      </c>
      <c r="G329" s="35">
        <v>14</v>
      </c>
      <c r="H329">
        <v>80.488873320814676</v>
      </c>
    </row>
    <row r="330" spans="1:8" x14ac:dyDescent="0.25">
      <c r="A330" s="34" t="s">
        <v>97</v>
      </c>
      <c r="B330">
        <v>2025</v>
      </c>
      <c r="C330" t="str">
        <f t="shared" si="5"/>
        <v>Lamar_2025</v>
      </c>
      <c r="D330" s="35">
        <v>2</v>
      </c>
      <c r="E330" s="35">
        <v>10</v>
      </c>
      <c r="F330" s="35">
        <v>4</v>
      </c>
      <c r="G330" s="35">
        <v>14</v>
      </c>
      <c r="H330">
        <v>84.333999520613602</v>
      </c>
    </row>
    <row r="331" spans="1:8" x14ac:dyDescent="0.25">
      <c r="A331" s="34" t="s">
        <v>97</v>
      </c>
      <c r="B331">
        <v>2025</v>
      </c>
      <c r="C331" t="str">
        <f t="shared" si="5"/>
        <v>Lamar_2025</v>
      </c>
      <c r="D331" s="35">
        <v>3</v>
      </c>
      <c r="E331" s="35">
        <v>1</v>
      </c>
      <c r="F331" s="35">
        <v>6</v>
      </c>
      <c r="G331" s="35">
        <v>14</v>
      </c>
      <c r="H331">
        <v>84.149622353614333</v>
      </c>
    </row>
    <row r="332" spans="1:8" x14ac:dyDescent="0.25">
      <c r="A332" s="31" t="s">
        <v>132</v>
      </c>
      <c r="B332">
        <v>2025</v>
      </c>
      <c r="C332" t="str">
        <f t="shared" si="5"/>
        <v>SLake_2025</v>
      </c>
      <c r="D332" s="32">
        <v>1</v>
      </c>
      <c r="E332" s="32">
        <v>16</v>
      </c>
      <c r="F332" s="32">
        <v>1</v>
      </c>
      <c r="G332" s="32">
        <v>14</v>
      </c>
      <c r="H332">
        <v>62.580352924159875</v>
      </c>
    </row>
    <row r="333" spans="1:8" x14ac:dyDescent="0.25">
      <c r="A333" s="31" t="s">
        <v>132</v>
      </c>
      <c r="B333">
        <v>2025</v>
      </c>
      <c r="C333" t="str">
        <f t="shared" si="5"/>
        <v>SLake_2025</v>
      </c>
      <c r="D333" s="32">
        <v>2</v>
      </c>
      <c r="E333" s="32">
        <v>2</v>
      </c>
      <c r="F333" s="32">
        <v>4</v>
      </c>
      <c r="G333" s="32">
        <v>14</v>
      </c>
      <c r="H333">
        <v>70.813618430665827</v>
      </c>
    </row>
    <row r="334" spans="1:8" x14ac:dyDescent="0.25">
      <c r="A334" s="31" t="s">
        <v>132</v>
      </c>
      <c r="B334">
        <v>2025</v>
      </c>
      <c r="C334" t="str">
        <f t="shared" si="5"/>
        <v>SLake_2025</v>
      </c>
      <c r="D334" s="32">
        <v>3</v>
      </c>
      <c r="E334" s="32">
        <v>14</v>
      </c>
      <c r="F334" s="32">
        <v>5</v>
      </c>
      <c r="G334" s="32">
        <v>14</v>
      </c>
      <c r="H334">
        <v>66.783930955559782</v>
      </c>
    </row>
    <row r="335" spans="1:8" x14ac:dyDescent="0.25">
      <c r="A335" s="31" t="s">
        <v>13</v>
      </c>
      <c r="B335">
        <v>2025</v>
      </c>
      <c r="C335" t="str">
        <f t="shared" si="5"/>
        <v>Walsh_2025</v>
      </c>
      <c r="D335" s="32">
        <v>1</v>
      </c>
      <c r="E335" s="36">
        <v>1</v>
      </c>
      <c r="F335" s="36">
        <v>1</v>
      </c>
      <c r="G335" s="32">
        <v>14</v>
      </c>
      <c r="H335">
        <v>76.619784999999993</v>
      </c>
    </row>
    <row r="336" spans="1:8" x14ac:dyDescent="0.25">
      <c r="A336" s="31" t="s">
        <v>13</v>
      </c>
      <c r="B336">
        <v>2025</v>
      </c>
      <c r="C336" t="str">
        <f t="shared" si="5"/>
        <v>Walsh_2025</v>
      </c>
      <c r="D336" s="32">
        <v>2</v>
      </c>
      <c r="E336" s="36">
        <v>8</v>
      </c>
      <c r="F336" s="36">
        <v>4</v>
      </c>
      <c r="G336" s="32">
        <v>14</v>
      </c>
      <c r="H336">
        <v>72.672600000000003</v>
      </c>
    </row>
    <row r="337" spans="1:8" x14ac:dyDescent="0.25">
      <c r="A337" s="31" t="s">
        <v>13</v>
      </c>
      <c r="B337">
        <v>2025</v>
      </c>
      <c r="C337" t="str">
        <f t="shared" si="5"/>
        <v>Walsh_2025</v>
      </c>
      <c r="D337" s="32">
        <v>3</v>
      </c>
      <c r="E337" s="36">
        <v>9</v>
      </c>
      <c r="F337" s="36">
        <v>5</v>
      </c>
      <c r="G337" s="32">
        <v>14</v>
      </c>
      <c r="H337">
        <v>76.070279999999997</v>
      </c>
    </row>
    <row r="338" spans="1:8" x14ac:dyDescent="0.25">
      <c r="A338" t="s">
        <v>7</v>
      </c>
      <c r="B338">
        <v>2025</v>
      </c>
      <c r="C338" t="str">
        <f t="shared" si="5"/>
        <v>Akron_2025</v>
      </c>
      <c r="D338" s="11">
        <v>1</v>
      </c>
      <c r="E338" s="11">
        <v>6</v>
      </c>
      <c r="F338" s="11">
        <v>2</v>
      </c>
      <c r="G338" s="11">
        <v>14</v>
      </c>
      <c r="H338">
        <v>46.123532058492678</v>
      </c>
    </row>
    <row r="339" spans="1:8" x14ac:dyDescent="0.25">
      <c r="A339" t="s">
        <v>7</v>
      </c>
      <c r="B339">
        <v>2025</v>
      </c>
      <c r="C339" t="str">
        <f t="shared" si="5"/>
        <v>Akron_2025</v>
      </c>
      <c r="D339" s="11">
        <v>2</v>
      </c>
      <c r="E339" s="11">
        <v>10</v>
      </c>
      <c r="F339" s="11">
        <v>7</v>
      </c>
      <c r="G339" s="11">
        <v>14</v>
      </c>
      <c r="H339">
        <v>58.703488015340348</v>
      </c>
    </row>
    <row r="340" spans="1:8" x14ac:dyDescent="0.25">
      <c r="A340" t="s">
        <v>7</v>
      </c>
      <c r="B340">
        <v>2025</v>
      </c>
      <c r="C340" t="str">
        <f t="shared" si="5"/>
        <v>Akron_2025</v>
      </c>
      <c r="D340" s="11">
        <v>3</v>
      </c>
      <c r="E340" s="11">
        <v>2</v>
      </c>
      <c r="F340" s="11">
        <v>10</v>
      </c>
      <c r="G340" s="11">
        <v>14</v>
      </c>
      <c r="H340">
        <v>45.865185613173466</v>
      </c>
    </row>
    <row r="341" spans="1:8" x14ac:dyDescent="0.25">
      <c r="A341" s="31" t="s">
        <v>156</v>
      </c>
      <c r="B341">
        <v>2025</v>
      </c>
      <c r="C341" t="str">
        <f t="shared" si="5"/>
        <v>Genoa_2025</v>
      </c>
      <c r="D341" s="32">
        <v>1</v>
      </c>
      <c r="E341" s="32">
        <v>15</v>
      </c>
      <c r="F341" s="32">
        <v>1</v>
      </c>
      <c r="G341" s="32">
        <v>14</v>
      </c>
      <c r="H341">
        <v>48.031118943156066</v>
      </c>
    </row>
    <row r="342" spans="1:8" x14ac:dyDescent="0.25">
      <c r="A342" s="31" t="s">
        <v>156</v>
      </c>
      <c r="B342">
        <v>2025</v>
      </c>
      <c r="C342" t="str">
        <f t="shared" si="5"/>
        <v>Genoa_2025</v>
      </c>
      <c r="D342" s="32">
        <v>2</v>
      </c>
      <c r="E342" s="32">
        <v>14</v>
      </c>
      <c r="F342" s="32">
        <v>4</v>
      </c>
      <c r="G342" s="32">
        <v>14</v>
      </c>
      <c r="H342">
        <v>51.018582646441985</v>
      </c>
    </row>
    <row r="343" spans="1:8" x14ac:dyDescent="0.25">
      <c r="A343" s="31" t="s">
        <v>156</v>
      </c>
      <c r="B343">
        <v>2025</v>
      </c>
      <c r="C343" t="str">
        <f t="shared" si="5"/>
        <v>Genoa_2025</v>
      </c>
      <c r="D343" s="32">
        <v>3</v>
      </c>
      <c r="E343" s="32">
        <v>20</v>
      </c>
      <c r="F343" s="32">
        <v>5</v>
      </c>
      <c r="G343" s="32">
        <v>14</v>
      </c>
      <c r="H343">
        <v>45.217768836444527</v>
      </c>
    </row>
    <row r="344" spans="1:8" x14ac:dyDescent="0.25">
      <c r="A344" s="31" t="s">
        <v>10</v>
      </c>
      <c r="B344">
        <v>2025</v>
      </c>
      <c r="C344" t="str">
        <f t="shared" si="5"/>
        <v>Julesburg_2025</v>
      </c>
      <c r="D344" s="32">
        <v>1</v>
      </c>
      <c r="E344" s="32">
        <v>7</v>
      </c>
      <c r="F344" s="32">
        <v>4</v>
      </c>
      <c r="G344" s="32">
        <v>14</v>
      </c>
      <c r="H344">
        <v>59.556348403871155</v>
      </c>
    </row>
    <row r="345" spans="1:8" x14ac:dyDescent="0.25">
      <c r="A345" s="31" t="s">
        <v>10</v>
      </c>
      <c r="B345">
        <v>2025</v>
      </c>
      <c r="C345" t="str">
        <f t="shared" si="5"/>
        <v>Julesburg_2025</v>
      </c>
      <c r="D345" s="32">
        <v>2</v>
      </c>
      <c r="E345" s="32">
        <v>12</v>
      </c>
      <c r="F345" s="32">
        <v>6</v>
      </c>
      <c r="G345" s="32">
        <v>14</v>
      </c>
      <c r="H345">
        <v>50.191903323262835</v>
      </c>
    </row>
    <row r="346" spans="1:8" x14ac:dyDescent="0.25">
      <c r="A346" s="31" t="s">
        <v>10</v>
      </c>
      <c r="B346">
        <v>2025</v>
      </c>
      <c r="C346" t="str">
        <f t="shared" si="5"/>
        <v>Julesburg_2025</v>
      </c>
      <c r="D346" s="32">
        <v>3</v>
      </c>
      <c r="E346" s="32">
        <v>1</v>
      </c>
      <c r="F346" s="32">
        <v>12</v>
      </c>
      <c r="G346" s="32">
        <v>14</v>
      </c>
      <c r="H346">
        <v>50.76840879120877</v>
      </c>
    </row>
    <row r="347" spans="1:8" x14ac:dyDescent="0.25">
      <c r="A347" s="31" t="s">
        <v>11</v>
      </c>
      <c r="B347">
        <v>2025</v>
      </c>
      <c r="C347" t="str">
        <f t="shared" si="5"/>
        <v>Orchard_2025</v>
      </c>
      <c r="D347" s="32">
        <v>1</v>
      </c>
      <c r="E347" s="32">
        <v>12</v>
      </c>
      <c r="F347" s="32">
        <v>1</v>
      </c>
      <c r="G347" s="11">
        <v>14</v>
      </c>
      <c r="H347">
        <v>18.332572637091495</v>
      </c>
    </row>
    <row r="348" spans="1:8" x14ac:dyDescent="0.25">
      <c r="A348" s="31" t="s">
        <v>11</v>
      </c>
      <c r="B348">
        <v>2025</v>
      </c>
      <c r="C348" t="str">
        <f t="shared" si="5"/>
        <v>Orchard_2025</v>
      </c>
      <c r="D348" s="32">
        <v>2</v>
      </c>
      <c r="E348" s="32">
        <v>14</v>
      </c>
      <c r="F348" s="32">
        <v>5</v>
      </c>
      <c r="G348" s="11">
        <v>14</v>
      </c>
      <c r="H348">
        <v>25.792057851635452</v>
      </c>
    </row>
    <row r="349" spans="1:8" x14ac:dyDescent="0.25">
      <c r="A349" s="31" t="s">
        <v>11</v>
      </c>
      <c r="B349">
        <v>2025</v>
      </c>
      <c r="C349" t="str">
        <f t="shared" si="5"/>
        <v>Orchard_2025</v>
      </c>
      <c r="D349" s="32">
        <v>3</v>
      </c>
      <c r="E349" s="32">
        <v>17</v>
      </c>
      <c r="F349" s="32">
        <v>9</v>
      </c>
      <c r="G349" s="11">
        <v>14</v>
      </c>
      <c r="H349">
        <v>27.867006960556839</v>
      </c>
    </row>
    <row r="350" spans="1:8" x14ac:dyDescent="0.25">
      <c r="A350" t="s">
        <v>160</v>
      </c>
      <c r="B350">
        <v>2025</v>
      </c>
      <c r="C350" t="str">
        <f t="shared" si="5"/>
        <v>Yuma_2025</v>
      </c>
      <c r="D350">
        <v>1</v>
      </c>
      <c r="E350" s="36">
        <v>26</v>
      </c>
      <c r="F350" s="36">
        <v>1</v>
      </c>
      <c r="G350" s="32">
        <v>14</v>
      </c>
      <c r="H350">
        <v>89.173270223752141</v>
      </c>
    </row>
    <row r="351" spans="1:8" x14ac:dyDescent="0.25">
      <c r="A351" t="s">
        <v>160</v>
      </c>
      <c r="B351">
        <v>2025</v>
      </c>
      <c r="C351" t="str">
        <f t="shared" si="5"/>
        <v>Yuma_2025</v>
      </c>
      <c r="D351">
        <v>2</v>
      </c>
      <c r="E351" s="36">
        <v>3</v>
      </c>
      <c r="F351" s="36">
        <v>3</v>
      </c>
      <c r="G351" s="32">
        <v>14</v>
      </c>
      <c r="H351">
        <v>89.778427581002688</v>
      </c>
    </row>
    <row r="352" spans="1:8" x14ac:dyDescent="0.25">
      <c r="A352" t="s">
        <v>160</v>
      </c>
      <c r="B352">
        <v>2025</v>
      </c>
      <c r="C352" t="str">
        <f t="shared" si="5"/>
        <v>Yuma_2025</v>
      </c>
      <c r="D352">
        <v>3</v>
      </c>
      <c r="E352" s="36">
        <v>14</v>
      </c>
      <c r="F352" s="36">
        <v>5</v>
      </c>
      <c r="G352" s="32">
        <v>14</v>
      </c>
      <c r="H352">
        <v>81.62314924073894</v>
      </c>
    </row>
    <row r="353" spans="1:8" x14ac:dyDescent="0.25">
      <c r="A353" s="31" t="s">
        <v>116</v>
      </c>
      <c r="B353">
        <v>2025</v>
      </c>
      <c r="C353" t="str">
        <f t="shared" si="5"/>
        <v>Burlington_2025</v>
      </c>
      <c r="D353" s="32">
        <v>1</v>
      </c>
      <c r="E353" s="32">
        <v>8</v>
      </c>
      <c r="F353" s="32">
        <v>1</v>
      </c>
      <c r="G353" s="32">
        <v>15</v>
      </c>
      <c r="H353">
        <v>53.440669830508476</v>
      </c>
    </row>
    <row r="354" spans="1:8" x14ac:dyDescent="0.25">
      <c r="A354" s="31" t="s">
        <v>116</v>
      </c>
      <c r="B354">
        <v>2025</v>
      </c>
      <c r="C354" t="str">
        <f t="shared" si="5"/>
        <v>Burlington_2025</v>
      </c>
      <c r="D354" s="32">
        <v>2</v>
      </c>
      <c r="E354" s="32">
        <v>11</v>
      </c>
      <c r="F354" s="32">
        <v>6</v>
      </c>
      <c r="G354" s="32">
        <v>15</v>
      </c>
      <c r="H354">
        <v>71.941911784068466</v>
      </c>
    </row>
    <row r="355" spans="1:8" x14ac:dyDescent="0.25">
      <c r="A355" s="31" t="s">
        <v>116</v>
      </c>
      <c r="B355">
        <v>2025</v>
      </c>
      <c r="C355" t="str">
        <f t="shared" si="5"/>
        <v>Burlington_2025</v>
      </c>
      <c r="D355" s="32">
        <v>3</v>
      </c>
      <c r="E355" s="32">
        <v>7</v>
      </c>
      <c r="F355" s="32">
        <v>12</v>
      </c>
      <c r="G355" s="32">
        <v>15</v>
      </c>
      <c r="H355">
        <v>69.588288958837765</v>
      </c>
    </row>
    <row r="356" spans="1:8" x14ac:dyDescent="0.25">
      <c r="A356" s="34" t="s">
        <v>97</v>
      </c>
      <c r="B356">
        <v>2025</v>
      </c>
      <c r="C356" t="str">
        <f t="shared" si="5"/>
        <v>Lamar_2025</v>
      </c>
      <c r="D356" s="35">
        <v>1</v>
      </c>
      <c r="E356" s="35">
        <v>15</v>
      </c>
      <c r="F356" s="35">
        <v>2</v>
      </c>
      <c r="G356" s="35">
        <v>15</v>
      </c>
      <c r="H356">
        <v>84.050327892532124</v>
      </c>
    </row>
    <row r="357" spans="1:8" x14ac:dyDescent="0.25">
      <c r="A357" s="34" t="s">
        <v>97</v>
      </c>
      <c r="B357">
        <v>2025</v>
      </c>
      <c r="C357" t="str">
        <f t="shared" si="5"/>
        <v>Lamar_2025</v>
      </c>
      <c r="D357" s="35">
        <v>2</v>
      </c>
      <c r="E357" s="35">
        <v>8</v>
      </c>
      <c r="F357" s="35">
        <v>3</v>
      </c>
      <c r="G357" s="35">
        <v>15</v>
      </c>
      <c r="H357">
        <v>81.844795539033456</v>
      </c>
    </row>
    <row r="358" spans="1:8" x14ac:dyDescent="0.25">
      <c r="A358" s="34" t="s">
        <v>97</v>
      </c>
      <c r="B358">
        <v>2025</v>
      </c>
      <c r="C358" t="str">
        <f t="shared" si="5"/>
        <v>Lamar_2025</v>
      </c>
      <c r="D358" s="35">
        <v>3</v>
      </c>
      <c r="E358" s="35">
        <v>20</v>
      </c>
      <c r="F358" s="35">
        <v>6</v>
      </c>
      <c r="G358" s="35">
        <v>15</v>
      </c>
      <c r="H358">
        <v>91.037609193209988</v>
      </c>
    </row>
    <row r="359" spans="1:8" x14ac:dyDescent="0.25">
      <c r="A359" s="31" t="s">
        <v>132</v>
      </c>
      <c r="B359">
        <v>2025</v>
      </c>
      <c r="C359" t="str">
        <f t="shared" si="5"/>
        <v>SLake_2025</v>
      </c>
      <c r="D359" s="32">
        <v>1</v>
      </c>
      <c r="E359" s="32">
        <v>5</v>
      </c>
      <c r="F359" s="32">
        <v>2</v>
      </c>
      <c r="G359" s="32">
        <v>15</v>
      </c>
      <c r="H359">
        <v>67.885332433344587</v>
      </c>
    </row>
    <row r="360" spans="1:8" x14ac:dyDescent="0.25">
      <c r="A360" s="31" t="s">
        <v>132</v>
      </c>
      <c r="B360">
        <v>2025</v>
      </c>
      <c r="C360" t="str">
        <f t="shared" si="5"/>
        <v>SLake_2025</v>
      </c>
      <c r="D360" s="32">
        <v>2</v>
      </c>
      <c r="E360" s="32">
        <v>15</v>
      </c>
      <c r="F360" s="32">
        <v>4</v>
      </c>
      <c r="G360" s="32">
        <v>15</v>
      </c>
      <c r="H360">
        <v>69.395812673518094</v>
      </c>
    </row>
    <row r="361" spans="1:8" x14ac:dyDescent="0.25">
      <c r="A361" s="31" t="s">
        <v>132</v>
      </c>
      <c r="B361">
        <v>2025</v>
      </c>
      <c r="C361" t="str">
        <f t="shared" si="5"/>
        <v>SLake_2025</v>
      </c>
      <c r="D361" s="32">
        <v>3</v>
      </c>
      <c r="E361" s="32">
        <v>19</v>
      </c>
      <c r="F361" s="32">
        <v>6</v>
      </c>
      <c r="G361" s="32">
        <v>15</v>
      </c>
      <c r="H361">
        <v>61.38271703018922</v>
      </c>
    </row>
    <row r="362" spans="1:8" x14ac:dyDescent="0.25">
      <c r="A362" s="31" t="s">
        <v>13</v>
      </c>
      <c r="B362">
        <v>2025</v>
      </c>
      <c r="C362" t="str">
        <f t="shared" si="5"/>
        <v>Walsh_2025</v>
      </c>
      <c r="D362" s="32">
        <v>1</v>
      </c>
      <c r="E362" s="36">
        <v>19</v>
      </c>
      <c r="F362" s="36">
        <v>1</v>
      </c>
      <c r="G362" s="32">
        <v>15</v>
      </c>
      <c r="H362">
        <v>72.779849999999982</v>
      </c>
    </row>
    <row r="363" spans="1:8" x14ac:dyDescent="0.25">
      <c r="A363" s="31" t="s">
        <v>13</v>
      </c>
      <c r="B363">
        <v>2025</v>
      </c>
      <c r="C363" t="str">
        <f t="shared" si="5"/>
        <v>Walsh_2025</v>
      </c>
      <c r="D363" s="32">
        <v>2</v>
      </c>
      <c r="E363" s="36">
        <v>13</v>
      </c>
      <c r="F363" s="36">
        <v>4</v>
      </c>
      <c r="G363" s="32">
        <v>15</v>
      </c>
      <c r="H363">
        <v>68.777005000000003</v>
      </c>
    </row>
    <row r="364" spans="1:8" x14ac:dyDescent="0.25">
      <c r="A364" s="31" t="s">
        <v>13</v>
      </c>
      <c r="B364">
        <v>2025</v>
      </c>
      <c r="C364" t="str">
        <f t="shared" si="5"/>
        <v>Walsh_2025</v>
      </c>
      <c r="D364" s="32">
        <v>3</v>
      </c>
      <c r="E364" s="36">
        <v>14</v>
      </c>
      <c r="F364" s="36">
        <v>5</v>
      </c>
      <c r="G364" s="32">
        <v>15</v>
      </c>
      <c r="H364">
        <v>61.942649999999986</v>
      </c>
    </row>
    <row r="365" spans="1:8" x14ac:dyDescent="0.25">
      <c r="A365" t="s">
        <v>7</v>
      </c>
      <c r="B365">
        <v>2025</v>
      </c>
      <c r="C365" t="str">
        <f t="shared" si="5"/>
        <v>Akron_2025</v>
      </c>
      <c r="D365" s="11">
        <v>1</v>
      </c>
      <c r="E365" s="11">
        <v>12</v>
      </c>
      <c r="F365" s="11">
        <v>4</v>
      </c>
      <c r="G365" s="11">
        <v>15</v>
      </c>
      <c r="H365">
        <v>44.62950184411114</v>
      </c>
    </row>
    <row r="366" spans="1:8" x14ac:dyDescent="0.25">
      <c r="A366" t="s">
        <v>7</v>
      </c>
      <c r="B366">
        <v>2025</v>
      </c>
      <c r="C366" t="str">
        <f t="shared" si="5"/>
        <v>Akron_2025</v>
      </c>
      <c r="D366" s="11">
        <v>2</v>
      </c>
      <c r="E366" s="11">
        <v>2</v>
      </c>
      <c r="F366" s="11">
        <v>8</v>
      </c>
      <c r="G366" s="11">
        <v>15</v>
      </c>
      <c r="H366">
        <v>50.005903083700439</v>
      </c>
    </row>
    <row r="367" spans="1:8" x14ac:dyDescent="0.25">
      <c r="A367" t="s">
        <v>7</v>
      </c>
      <c r="B367">
        <v>2025</v>
      </c>
      <c r="C367" t="str">
        <f t="shared" si="5"/>
        <v>Akron_2025</v>
      </c>
      <c r="D367" s="11">
        <v>3</v>
      </c>
      <c r="E367" s="11">
        <v>7</v>
      </c>
      <c r="F367" s="11">
        <v>11</v>
      </c>
      <c r="G367" s="11">
        <v>15</v>
      </c>
      <c r="H367">
        <v>40.912201215394994</v>
      </c>
    </row>
    <row r="368" spans="1:8" x14ac:dyDescent="0.25">
      <c r="A368" s="31" t="s">
        <v>156</v>
      </c>
      <c r="B368">
        <v>2025</v>
      </c>
      <c r="C368" t="str">
        <f t="shared" si="5"/>
        <v>Genoa_2025</v>
      </c>
      <c r="D368" s="32">
        <v>1</v>
      </c>
      <c r="E368" s="32">
        <v>8</v>
      </c>
      <c r="F368" s="32">
        <v>1</v>
      </c>
      <c r="G368" s="32">
        <v>15</v>
      </c>
      <c r="H368">
        <v>44.978123330601221</v>
      </c>
    </row>
    <row r="369" spans="1:8" x14ac:dyDescent="0.25">
      <c r="A369" s="31" t="s">
        <v>156</v>
      </c>
      <c r="B369">
        <v>2025</v>
      </c>
      <c r="C369" t="str">
        <f t="shared" si="5"/>
        <v>Genoa_2025</v>
      </c>
      <c r="D369" s="32">
        <v>2</v>
      </c>
      <c r="E369" s="32">
        <v>15</v>
      </c>
      <c r="F369" s="32">
        <v>4</v>
      </c>
      <c r="G369" s="32">
        <v>15</v>
      </c>
      <c r="H369">
        <v>51.844701263229773</v>
      </c>
    </row>
    <row r="370" spans="1:8" x14ac:dyDescent="0.25">
      <c r="A370" s="31" t="s">
        <v>156</v>
      </c>
      <c r="B370">
        <v>2025</v>
      </c>
      <c r="C370" t="str">
        <f t="shared" si="5"/>
        <v>Genoa_2025</v>
      </c>
      <c r="D370" s="32">
        <v>3</v>
      </c>
      <c r="E370" s="32">
        <v>13</v>
      </c>
      <c r="F370" s="32">
        <v>6</v>
      </c>
      <c r="G370" s="32">
        <v>15</v>
      </c>
      <c r="H370">
        <v>45.637967014473219</v>
      </c>
    </row>
    <row r="371" spans="1:8" x14ac:dyDescent="0.25">
      <c r="A371" s="31" t="s">
        <v>10</v>
      </c>
      <c r="B371">
        <v>2025</v>
      </c>
      <c r="C371" t="str">
        <f t="shared" si="5"/>
        <v>Julesburg_2025</v>
      </c>
      <c r="D371" s="32">
        <v>1</v>
      </c>
      <c r="E371" s="32">
        <v>7</v>
      </c>
      <c r="F371" s="32">
        <v>3</v>
      </c>
      <c r="G371" s="32">
        <v>15</v>
      </c>
      <c r="H371">
        <v>60.970841286005232</v>
      </c>
    </row>
    <row r="372" spans="1:8" x14ac:dyDescent="0.25">
      <c r="A372" s="31" t="s">
        <v>10</v>
      </c>
      <c r="B372">
        <v>2025</v>
      </c>
      <c r="C372" t="str">
        <f t="shared" si="5"/>
        <v>Julesburg_2025</v>
      </c>
      <c r="D372" s="32">
        <v>2</v>
      </c>
      <c r="E372" s="32">
        <v>6</v>
      </c>
      <c r="F372" s="32">
        <v>7</v>
      </c>
      <c r="G372" s="32">
        <v>15</v>
      </c>
      <c r="H372">
        <v>55.927558389261726</v>
      </c>
    </row>
    <row r="373" spans="1:8" x14ac:dyDescent="0.25">
      <c r="A373" s="31" t="s">
        <v>10</v>
      </c>
      <c r="B373">
        <v>2025</v>
      </c>
      <c r="C373" t="str">
        <f t="shared" si="5"/>
        <v>Julesburg_2025</v>
      </c>
      <c r="D373" s="32">
        <v>3</v>
      </c>
      <c r="E373" s="32">
        <v>10</v>
      </c>
      <c r="F373" s="32">
        <v>9</v>
      </c>
      <c r="G373" s="32">
        <v>15</v>
      </c>
      <c r="H373">
        <v>61.069312590799036</v>
      </c>
    </row>
    <row r="374" spans="1:8" x14ac:dyDescent="0.25">
      <c r="A374" s="31" t="s">
        <v>11</v>
      </c>
      <c r="B374">
        <v>2025</v>
      </c>
      <c r="C374" t="str">
        <f t="shared" si="5"/>
        <v>Orchard_2025</v>
      </c>
      <c r="D374" s="32">
        <v>1</v>
      </c>
      <c r="E374" s="32">
        <v>7</v>
      </c>
      <c r="F374" s="32">
        <v>3</v>
      </c>
      <c r="G374" s="11">
        <v>15</v>
      </c>
      <c r="H374">
        <v>21.023328894806927</v>
      </c>
    </row>
    <row r="375" spans="1:8" x14ac:dyDescent="0.25">
      <c r="A375" s="31" t="s">
        <v>11</v>
      </c>
      <c r="B375">
        <v>2025</v>
      </c>
      <c r="C375" t="str">
        <f t="shared" si="5"/>
        <v>Orchard_2025</v>
      </c>
      <c r="D375" s="32">
        <v>2</v>
      </c>
      <c r="E375" s="32">
        <v>15</v>
      </c>
      <c r="F375" s="32">
        <v>5</v>
      </c>
      <c r="G375" s="11">
        <v>15</v>
      </c>
      <c r="H375">
        <v>20.476088309946839</v>
      </c>
    </row>
    <row r="376" spans="1:8" x14ac:dyDescent="0.25">
      <c r="A376" s="31" t="s">
        <v>11</v>
      </c>
      <c r="B376">
        <v>2025</v>
      </c>
      <c r="C376" t="str">
        <f t="shared" si="5"/>
        <v>Orchard_2025</v>
      </c>
      <c r="D376" s="32">
        <v>3</v>
      </c>
      <c r="E376" s="32">
        <v>8</v>
      </c>
      <c r="F376" s="32">
        <v>8</v>
      </c>
      <c r="G376" s="11">
        <v>15</v>
      </c>
      <c r="H376">
        <v>18.088831168831167</v>
      </c>
    </row>
    <row r="377" spans="1:8" x14ac:dyDescent="0.25">
      <c r="A377" t="s">
        <v>160</v>
      </c>
      <c r="B377">
        <v>2025</v>
      </c>
      <c r="C377" t="str">
        <f t="shared" si="5"/>
        <v>Yuma_2025</v>
      </c>
      <c r="D377">
        <v>1</v>
      </c>
      <c r="E377" s="36">
        <v>9</v>
      </c>
      <c r="F377" s="36">
        <v>1</v>
      </c>
      <c r="G377" s="32">
        <v>15</v>
      </c>
      <c r="H377">
        <v>106.11577882960412</v>
      </c>
    </row>
    <row r="378" spans="1:8" x14ac:dyDescent="0.25">
      <c r="A378" t="s">
        <v>160</v>
      </c>
      <c r="B378">
        <v>2025</v>
      </c>
      <c r="C378" t="str">
        <f t="shared" si="5"/>
        <v>Yuma_2025</v>
      </c>
      <c r="D378">
        <v>2</v>
      </c>
      <c r="E378" s="36">
        <v>13</v>
      </c>
      <c r="F378" s="36">
        <v>3</v>
      </c>
      <c r="G378" s="32">
        <v>15</v>
      </c>
      <c r="H378">
        <v>94.734264019242545</v>
      </c>
    </row>
    <row r="379" spans="1:8" x14ac:dyDescent="0.25">
      <c r="A379" t="s">
        <v>160</v>
      </c>
      <c r="B379">
        <v>2025</v>
      </c>
      <c r="C379" t="str">
        <f t="shared" si="5"/>
        <v>Yuma_2025</v>
      </c>
      <c r="D379">
        <v>3</v>
      </c>
      <c r="E379" s="36">
        <v>19</v>
      </c>
      <c r="F379" s="36">
        <v>5</v>
      </c>
      <c r="G379" s="32">
        <v>15</v>
      </c>
      <c r="H379">
        <v>87.53873198568526</v>
      </c>
    </row>
    <row r="380" spans="1:8" x14ac:dyDescent="0.25">
      <c r="A380" s="31" t="s">
        <v>116</v>
      </c>
      <c r="B380">
        <v>2025</v>
      </c>
      <c r="C380" t="str">
        <f t="shared" si="5"/>
        <v>Burlington_2025</v>
      </c>
      <c r="D380" s="32">
        <v>1</v>
      </c>
      <c r="E380" s="32">
        <v>3</v>
      </c>
      <c r="F380" s="32">
        <v>4</v>
      </c>
      <c r="G380" s="32">
        <v>16</v>
      </c>
      <c r="H380">
        <v>67.523623063683303</v>
      </c>
    </row>
    <row r="381" spans="1:8" x14ac:dyDescent="0.25">
      <c r="A381" s="31" t="s">
        <v>116</v>
      </c>
      <c r="B381">
        <v>2025</v>
      </c>
      <c r="C381" t="str">
        <f t="shared" si="5"/>
        <v>Burlington_2025</v>
      </c>
      <c r="D381" s="32">
        <v>2</v>
      </c>
      <c r="E381" s="32">
        <v>2</v>
      </c>
      <c r="F381" s="32">
        <v>7</v>
      </c>
      <c r="G381" s="32">
        <v>16</v>
      </c>
      <c r="H381">
        <v>69.779835687768198</v>
      </c>
    </row>
    <row r="382" spans="1:8" x14ac:dyDescent="0.25">
      <c r="A382" s="31" t="s">
        <v>116</v>
      </c>
      <c r="B382">
        <v>2025</v>
      </c>
      <c r="C382" t="str">
        <f t="shared" si="5"/>
        <v>Burlington_2025</v>
      </c>
      <c r="D382" s="32">
        <v>3</v>
      </c>
      <c r="E382" s="32">
        <v>11</v>
      </c>
      <c r="F382" s="32">
        <v>10</v>
      </c>
      <c r="G382" s="32">
        <v>16</v>
      </c>
      <c r="H382">
        <v>77.991520192076806</v>
      </c>
    </row>
    <row r="383" spans="1:8" x14ac:dyDescent="0.25">
      <c r="A383" s="34" t="s">
        <v>97</v>
      </c>
      <c r="B383">
        <v>2025</v>
      </c>
      <c r="C383" t="str">
        <f t="shared" si="5"/>
        <v>Lamar_2025</v>
      </c>
      <c r="D383" s="35">
        <v>1</v>
      </c>
      <c r="E383" s="35">
        <v>5</v>
      </c>
      <c r="F383" s="35">
        <v>1</v>
      </c>
      <c r="G383" s="35">
        <v>16</v>
      </c>
      <c r="H383">
        <v>76.167771428571413</v>
      </c>
    </row>
    <row r="384" spans="1:8" x14ac:dyDescent="0.25">
      <c r="A384" s="34" t="s">
        <v>97</v>
      </c>
      <c r="B384">
        <v>2025</v>
      </c>
      <c r="C384" t="str">
        <f t="shared" si="5"/>
        <v>Lamar_2025</v>
      </c>
      <c r="D384" s="35">
        <v>2</v>
      </c>
      <c r="E384" s="35">
        <v>4</v>
      </c>
      <c r="F384" s="35">
        <v>3</v>
      </c>
      <c r="G384" s="35">
        <v>16</v>
      </c>
      <c r="H384">
        <v>71.303515666489631</v>
      </c>
    </row>
    <row r="385" spans="1:8" x14ac:dyDescent="0.25">
      <c r="A385" s="34" t="s">
        <v>97</v>
      </c>
      <c r="B385">
        <v>2025</v>
      </c>
      <c r="C385" t="str">
        <f t="shared" si="5"/>
        <v>Lamar_2025</v>
      </c>
      <c r="D385" s="35">
        <v>3</v>
      </c>
      <c r="E385" s="35">
        <v>14</v>
      </c>
      <c r="F385" s="35">
        <v>5</v>
      </c>
      <c r="G385" s="35">
        <v>16</v>
      </c>
      <c r="H385">
        <v>70.616083086053422</v>
      </c>
    </row>
    <row r="386" spans="1:8" x14ac:dyDescent="0.25">
      <c r="A386" s="31" t="s">
        <v>132</v>
      </c>
      <c r="B386">
        <v>2025</v>
      </c>
      <c r="C386" t="str">
        <f t="shared" si="5"/>
        <v>SLake_2025</v>
      </c>
      <c r="D386" s="32">
        <v>1</v>
      </c>
      <c r="E386" s="32">
        <v>20</v>
      </c>
      <c r="F386" s="32">
        <v>2</v>
      </c>
      <c r="G386" s="32">
        <v>16</v>
      </c>
      <c r="H386">
        <v>65.030413191263676</v>
      </c>
    </row>
    <row r="387" spans="1:8" x14ac:dyDescent="0.25">
      <c r="A387" s="31" t="s">
        <v>132</v>
      </c>
      <c r="B387">
        <v>2025</v>
      </c>
      <c r="C387" t="str">
        <f t="shared" ref="C387:C450" si="6">A387&amp;"_"&amp;B387</f>
        <v>SLake_2025</v>
      </c>
      <c r="D387" s="32">
        <v>2</v>
      </c>
      <c r="E387" s="32">
        <v>4</v>
      </c>
      <c r="F387" s="32">
        <v>4</v>
      </c>
      <c r="G387" s="32">
        <v>16</v>
      </c>
      <c r="H387">
        <v>66.248171058399492</v>
      </c>
    </row>
    <row r="388" spans="1:8" x14ac:dyDescent="0.25">
      <c r="A388" s="31" t="s">
        <v>132</v>
      </c>
      <c r="B388">
        <v>2025</v>
      </c>
      <c r="C388" t="str">
        <f t="shared" si="6"/>
        <v>SLake_2025</v>
      </c>
      <c r="D388" s="32">
        <v>3</v>
      </c>
      <c r="E388" s="32">
        <v>17</v>
      </c>
      <c r="F388" s="32">
        <v>6</v>
      </c>
      <c r="G388" s="32">
        <v>16</v>
      </c>
      <c r="H388">
        <v>65.457976310847897</v>
      </c>
    </row>
    <row r="389" spans="1:8" x14ac:dyDescent="0.25">
      <c r="A389" s="31" t="s">
        <v>13</v>
      </c>
      <c r="B389">
        <v>2025</v>
      </c>
      <c r="C389" t="str">
        <f t="shared" si="6"/>
        <v>Walsh_2025</v>
      </c>
      <c r="D389" s="32">
        <v>1</v>
      </c>
      <c r="E389" s="36">
        <v>4</v>
      </c>
      <c r="F389" s="36">
        <v>1</v>
      </c>
      <c r="G389" s="32">
        <v>16</v>
      </c>
      <c r="H389">
        <v>70.808319999999981</v>
      </c>
    </row>
    <row r="390" spans="1:8" x14ac:dyDescent="0.25">
      <c r="A390" s="31" t="s">
        <v>13</v>
      </c>
      <c r="B390">
        <v>2025</v>
      </c>
      <c r="C390" t="str">
        <f t="shared" si="6"/>
        <v>Walsh_2025</v>
      </c>
      <c r="D390" s="32">
        <v>2</v>
      </c>
      <c r="E390" s="36">
        <v>19</v>
      </c>
      <c r="F390" s="36">
        <v>3</v>
      </c>
      <c r="G390" s="32">
        <v>16</v>
      </c>
      <c r="H390">
        <v>77.614845000000003</v>
      </c>
    </row>
    <row r="391" spans="1:8" x14ac:dyDescent="0.25">
      <c r="A391" s="31" t="s">
        <v>13</v>
      </c>
      <c r="B391">
        <v>2025</v>
      </c>
      <c r="C391" t="str">
        <f t="shared" si="6"/>
        <v>Walsh_2025</v>
      </c>
      <c r="D391" s="32">
        <v>3</v>
      </c>
      <c r="E391" s="36">
        <v>17</v>
      </c>
      <c r="F391" s="36">
        <v>5</v>
      </c>
      <c r="G391" s="32">
        <v>16</v>
      </c>
      <c r="H391">
        <v>66.267299999999992</v>
      </c>
    </row>
    <row r="392" spans="1:8" x14ac:dyDescent="0.25">
      <c r="A392" t="s">
        <v>7</v>
      </c>
      <c r="B392">
        <v>2025</v>
      </c>
      <c r="C392" t="str">
        <f t="shared" si="6"/>
        <v>Akron_2025</v>
      </c>
      <c r="D392" s="11">
        <v>1</v>
      </c>
      <c r="E392" s="11">
        <v>4</v>
      </c>
      <c r="F392" s="11">
        <v>3</v>
      </c>
      <c r="G392" s="11">
        <v>16</v>
      </c>
      <c r="H392">
        <v>57.006087904793503</v>
      </c>
    </row>
    <row r="393" spans="1:8" x14ac:dyDescent="0.25">
      <c r="A393" t="s">
        <v>7</v>
      </c>
      <c r="B393">
        <v>2025</v>
      </c>
      <c r="C393" t="str">
        <f t="shared" si="6"/>
        <v>Akron_2025</v>
      </c>
      <c r="D393" s="11">
        <v>2</v>
      </c>
      <c r="E393" s="11">
        <v>12</v>
      </c>
      <c r="F393" s="11">
        <v>7</v>
      </c>
      <c r="G393" s="11">
        <v>16</v>
      </c>
      <c r="H393">
        <v>54.934464046021084</v>
      </c>
    </row>
    <row r="394" spans="1:8" x14ac:dyDescent="0.25">
      <c r="A394" t="s">
        <v>7</v>
      </c>
      <c r="B394">
        <v>2025</v>
      </c>
      <c r="C394" t="str">
        <f t="shared" si="6"/>
        <v>Akron_2025</v>
      </c>
      <c r="D394" s="11">
        <v>3</v>
      </c>
      <c r="E394" s="11">
        <v>13</v>
      </c>
      <c r="F394" s="11">
        <v>9</v>
      </c>
      <c r="G394" s="11">
        <v>16</v>
      </c>
      <c r="H394">
        <v>50.728246091094483</v>
      </c>
    </row>
    <row r="395" spans="1:8" x14ac:dyDescent="0.25">
      <c r="A395" s="31" t="s">
        <v>156</v>
      </c>
      <c r="B395">
        <v>2025</v>
      </c>
      <c r="C395" t="str">
        <f t="shared" si="6"/>
        <v>Genoa_2025</v>
      </c>
      <c r="D395" s="32">
        <v>1</v>
      </c>
      <c r="E395" s="32">
        <v>4</v>
      </c>
      <c r="F395" s="32">
        <v>1</v>
      </c>
      <c r="G395" s="32">
        <v>16</v>
      </c>
      <c r="H395">
        <v>30.391105057615349</v>
      </c>
    </row>
    <row r="396" spans="1:8" x14ac:dyDescent="0.25">
      <c r="A396" s="31" t="s">
        <v>156</v>
      </c>
      <c r="B396">
        <v>2025</v>
      </c>
      <c r="C396" t="str">
        <f t="shared" si="6"/>
        <v>Genoa_2025</v>
      </c>
      <c r="D396" s="32">
        <v>2</v>
      </c>
      <c r="E396" s="32">
        <v>26</v>
      </c>
      <c r="F396" s="32">
        <v>4</v>
      </c>
      <c r="G396" s="32">
        <v>16</v>
      </c>
      <c r="H396">
        <v>52.659443788713844</v>
      </c>
    </row>
    <row r="397" spans="1:8" x14ac:dyDescent="0.25">
      <c r="A397" s="31" t="s">
        <v>156</v>
      </c>
      <c r="B397">
        <v>2025</v>
      </c>
      <c r="C397" t="str">
        <f t="shared" si="6"/>
        <v>Genoa_2025</v>
      </c>
      <c r="D397" s="32">
        <v>3</v>
      </c>
      <c r="E397" s="32">
        <v>7</v>
      </c>
      <c r="F397" s="32">
        <v>6</v>
      </c>
      <c r="G397" s="32">
        <v>16</v>
      </c>
      <c r="H397">
        <v>33.412369091695915</v>
      </c>
    </row>
    <row r="398" spans="1:8" x14ac:dyDescent="0.25">
      <c r="A398" s="31" t="s">
        <v>10</v>
      </c>
      <c r="B398">
        <v>2025</v>
      </c>
      <c r="C398" t="str">
        <f t="shared" si="6"/>
        <v>Julesburg_2025</v>
      </c>
      <c r="D398" s="32">
        <v>1</v>
      </c>
      <c r="E398" s="32">
        <v>1</v>
      </c>
      <c r="F398" s="32">
        <v>3</v>
      </c>
      <c r="G398" s="32">
        <v>16</v>
      </c>
      <c r="H398">
        <v>64.883083939482106</v>
      </c>
    </row>
    <row r="399" spans="1:8" x14ac:dyDescent="0.25">
      <c r="A399" s="31" t="s">
        <v>10</v>
      </c>
      <c r="B399">
        <v>2025</v>
      </c>
      <c r="C399" t="str">
        <f t="shared" si="6"/>
        <v>Julesburg_2025</v>
      </c>
      <c r="D399" s="32">
        <v>2</v>
      </c>
      <c r="E399" s="32">
        <v>3</v>
      </c>
      <c r="F399" s="32">
        <v>6</v>
      </c>
      <c r="G399" s="32">
        <v>16</v>
      </c>
      <c r="H399">
        <v>56.29963314630988</v>
      </c>
    </row>
    <row r="400" spans="1:8" x14ac:dyDescent="0.25">
      <c r="A400" s="31" t="s">
        <v>10</v>
      </c>
      <c r="B400">
        <v>2025</v>
      </c>
      <c r="C400" t="str">
        <f t="shared" si="6"/>
        <v>Julesburg_2025</v>
      </c>
      <c r="D400" s="32">
        <v>3</v>
      </c>
      <c r="E400" s="32">
        <v>12</v>
      </c>
      <c r="F400" s="32">
        <v>12</v>
      </c>
      <c r="G400" s="32">
        <v>16</v>
      </c>
      <c r="H400">
        <v>79.159384615384596</v>
      </c>
    </row>
    <row r="401" spans="1:8" x14ac:dyDescent="0.25">
      <c r="A401" s="31" t="s">
        <v>11</v>
      </c>
      <c r="B401">
        <v>2025</v>
      </c>
      <c r="C401" t="str">
        <f t="shared" si="6"/>
        <v>Orchard_2025</v>
      </c>
      <c r="D401" s="32">
        <v>1</v>
      </c>
      <c r="E401" s="32">
        <v>17</v>
      </c>
      <c r="F401" s="32">
        <v>2</v>
      </c>
      <c r="G401" s="11">
        <v>16</v>
      </c>
      <c r="H401">
        <v>23.774147769562841</v>
      </c>
    </row>
    <row r="402" spans="1:8" x14ac:dyDescent="0.25">
      <c r="A402" s="31" t="s">
        <v>11</v>
      </c>
      <c r="B402">
        <v>2025</v>
      </c>
      <c r="C402" t="str">
        <f t="shared" si="6"/>
        <v>Orchard_2025</v>
      </c>
      <c r="D402" s="32">
        <v>2</v>
      </c>
      <c r="E402" s="32">
        <v>1</v>
      </c>
      <c r="F402" s="32">
        <v>5</v>
      </c>
      <c r="G402" s="11">
        <v>16</v>
      </c>
      <c r="H402">
        <v>30.353330779177234</v>
      </c>
    </row>
    <row r="403" spans="1:8" x14ac:dyDescent="0.25">
      <c r="A403" s="31" t="s">
        <v>11</v>
      </c>
      <c r="B403">
        <v>2025</v>
      </c>
      <c r="C403" t="str">
        <f t="shared" si="6"/>
        <v>Orchard_2025</v>
      </c>
      <c r="D403" s="32">
        <v>3</v>
      </c>
      <c r="E403" s="32">
        <v>2</v>
      </c>
      <c r="F403" s="32">
        <v>8</v>
      </c>
      <c r="G403" s="11">
        <v>16</v>
      </c>
      <c r="H403">
        <v>33.456038961038963</v>
      </c>
    </row>
    <row r="404" spans="1:8" x14ac:dyDescent="0.25">
      <c r="A404" t="s">
        <v>160</v>
      </c>
      <c r="B404">
        <v>2025</v>
      </c>
      <c r="C404" t="str">
        <f t="shared" si="6"/>
        <v>Yuma_2025</v>
      </c>
      <c r="D404">
        <v>1</v>
      </c>
      <c r="E404" s="36">
        <v>5</v>
      </c>
      <c r="F404" s="36">
        <v>2</v>
      </c>
      <c r="G404" s="32">
        <v>16</v>
      </c>
      <c r="H404">
        <v>86.373305084745766</v>
      </c>
    </row>
    <row r="405" spans="1:8" x14ac:dyDescent="0.25">
      <c r="A405" t="s">
        <v>160</v>
      </c>
      <c r="B405">
        <v>2025</v>
      </c>
      <c r="C405" t="str">
        <f t="shared" si="6"/>
        <v>Yuma_2025</v>
      </c>
      <c r="D405">
        <v>2</v>
      </c>
      <c r="E405" s="36">
        <v>15</v>
      </c>
      <c r="F405" s="36">
        <v>3</v>
      </c>
      <c r="G405" s="32">
        <v>16</v>
      </c>
    </row>
    <row r="406" spans="1:8" x14ac:dyDescent="0.25">
      <c r="A406" t="s">
        <v>160</v>
      </c>
      <c r="B406">
        <v>2025</v>
      </c>
      <c r="C406" t="str">
        <f t="shared" si="6"/>
        <v>Yuma_2025</v>
      </c>
      <c r="D406">
        <v>3</v>
      </c>
      <c r="E406" s="36">
        <v>16</v>
      </c>
      <c r="F406" s="36">
        <v>6</v>
      </c>
      <c r="G406" s="32">
        <v>16</v>
      </c>
      <c r="H406">
        <v>76.931739754883182</v>
      </c>
    </row>
    <row r="407" spans="1:8" x14ac:dyDescent="0.25">
      <c r="A407" s="31" t="s">
        <v>116</v>
      </c>
      <c r="B407">
        <v>2025</v>
      </c>
      <c r="C407" t="str">
        <f t="shared" si="6"/>
        <v>Burlington_2025</v>
      </c>
      <c r="D407" s="32">
        <v>1</v>
      </c>
      <c r="E407" s="32">
        <v>11</v>
      </c>
      <c r="F407" s="32">
        <v>3</v>
      </c>
      <c r="G407" s="32">
        <v>17</v>
      </c>
      <c r="H407">
        <v>75.272039564164672</v>
      </c>
    </row>
    <row r="408" spans="1:8" x14ac:dyDescent="0.25">
      <c r="A408" s="31" t="s">
        <v>116</v>
      </c>
      <c r="B408">
        <v>2025</v>
      </c>
      <c r="C408" t="str">
        <f t="shared" si="6"/>
        <v>Burlington_2025</v>
      </c>
      <c r="D408" s="32">
        <v>2</v>
      </c>
      <c r="E408" s="32">
        <v>7</v>
      </c>
      <c r="F408" s="32">
        <v>6</v>
      </c>
      <c r="G408" s="32">
        <v>17</v>
      </c>
      <c r="H408">
        <v>72.768957020596261</v>
      </c>
    </row>
    <row r="409" spans="1:8" x14ac:dyDescent="0.25">
      <c r="A409" s="31" t="s">
        <v>116</v>
      </c>
      <c r="B409">
        <v>2025</v>
      </c>
      <c r="C409" t="str">
        <f t="shared" si="6"/>
        <v>Burlington_2025</v>
      </c>
      <c r="D409" s="32">
        <v>3</v>
      </c>
      <c r="E409" s="32">
        <v>1</v>
      </c>
      <c r="F409" s="32">
        <v>12</v>
      </c>
      <c r="G409" s="32">
        <v>17</v>
      </c>
      <c r="H409">
        <v>64.19330673123487</v>
      </c>
    </row>
    <row r="410" spans="1:8" x14ac:dyDescent="0.25">
      <c r="A410" s="34" t="s">
        <v>97</v>
      </c>
      <c r="B410">
        <v>2025</v>
      </c>
      <c r="C410" t="str">
        <f t="shared" si="6"/>
        <v>Lamar_2025</v>
      </c>
      <c r="D410" s="35">
        <v>1</v>
      </c>
      <c r="E410" s="35">
        <v>10</v>
      </c>
      <c r="F410" s="35">
        <v>2</v>
      </c>
      <c r="G410" s="35">
        <v>17</v>
      </c>
      <c r="H410">
        <v>79.741499349992779</v>
      </c>
    </row>
    <row r="411" spans="1:8" x14ac:dyDescent="0.25">
      <c r="A411" s="34" t="s">
        <v>97</v>
      </c>
      <c r="B411">
        <v>2025</v>
      </c>
      <c r="C411" t="str">
        <f t="shared" si="6"/>
        <v>Lamar_2025</v>
      </c>
      <c r="D411" s="35">
        <v>2</v>
      </c>
      <c r="E411" s="35">
        <v>21</v>
      </c>
      <c r="F411" s="35">
        <v>4</v>
      </c>
      <c r="G411" s="35">
        <v>17</v>
      </c>
      <c r="H411">
        <v>73.083831255992337</v>
      </c>
    </row>
    <row r="412" spans="1:8" x14ac:dyDescent="0.25">
      <c r="A412" s="34" t="s">
        <v>97</v>
      </c>
      <c r="B412">
        <v>2025</v>
      </c>
      <c r="C412" t="str">
        <f t="shared" si="6"/>
        <v>Lamar_2025</v>
      </c>
      <c r="D412" s="35">
        <v>3</v>
      </c>
      <c r="E412" s="35">
        <v>15</v>
      </c>
      <c r="F412" s="35">
        <v>6</v>
      </c>
      <c r="G412" s="35">
        <v>17</v>
      </c>
      <c r="H412">
        <v>80.589738699218003</v>
      </c>
    </row>
    <row r="413" spans="1:8" x14ac:dyDescent="0.25">
      <c r="A413" s="31" t="s">
        <v>132</v>
      </c>
      <c r="B413">
        <v>2025</v>
      </c>
      <c r="C413" t="str">
        <f t="shared" si="6"/>
        <v>SLake_2025</v>
      </c>
      <c r="D413" s="32">
        <v>1</v>
      </c>
      <c r="E413" s="32">
        <v>9</v>
      </c>
      <c r="F413" s="32">
        <v>1</v>
      </c>
      <c r="G413" s="32">
        <v>17</v>
      </c>
      <c r="H413">
        <v>65.139813895183451</v>
      </c>
    </row>
    <row r="414" spans="1:8" x14ac:dyDescent="0.25">
      <c r="A414" s="31" t="s">
        <v>132</v>
      </c>
      <c r="B414">
        <v>2025</v>
      </c>
      <c r="C414" t="str">
        <f t="shared" si="6"/>
        <v>SLake_2025</v>
      </c>
      <c r="D414" s="32">
        <v>2</v>
      </c>
      <c r="E414" s="32">
        <v>8</v>
      </c>
      <c r="F414" s="32">
        <v>4</v>
      </c>
      <c r="G414" s="32">
        <v>17</v>
      </c>
      <c r="H414">
        <v>67.26734401636547</v>
      </c>
    </row>
    <row r="415" spans="1:8" x14ac:dyDescent="0.25">
      <c r="A415" s="31" t="s">
        <v>132</v>
      </c>
      <c r="B415">
        <v>2025</v>
      </c>
      <c r="C415" t="str">
        <f t="shared" si="6"/>
        <v>SLake_2025</v>
      </c>
      <c r="D415" s="32">
        <v>3</v>
      </c>
      <c r="E415" s="32">
        <v>15</v>
      </c>
      <c r="F415" s="32">
        <v>6</v>
      </c>
      <c r="G415" s="32">
        <v>17</v>
      </c>
      <c r="H415">
        <v>66.074551495016607</v>
      </c>
    </row>
    <row r="416" spans="1:8" x14ac:dyDescent="0.25">
      <c r="A416" s="31" t="s">
        <v>13</v>
      </c>
      <c r="B416">
        <v>2025</v>
      </c>
      <c r="C416" t="str">
        <f t="shared" si="6"/>
        <v>Walsh_2025</v>
      </c>
      <c r="D416" s="32">
        <v>1</v>
      </c>
      <c r="E416" s="36">
        <v>12</v>
      </c>
      <c r="F416" s="36">
        <v>1</v>
      </c>
      <c r="G416" s="32">
        <v>17</v>
      </c>
      <c r="H416">
        <v>83.865704999999991</v>
      </c>
    </row>
    <row r="417" spans="1:8" x14ac:dyDescent="0.25">
      <c r="A417" s="31" t="s">
        <v>13</v>
      </c>
      <c r="B417">
        <v>2025</v>
      </c>
      <c r="C417" t="str">
        <f t="shared" si="6"/>
        <v>Walsh_2025</v>
      </c>
      <c r="D417" s="32">
        <v>2</v>
      </c>
      <c r="E417" s="36">
        <v>10</v>
      </c>
      <c r="F417" s="36">
        <v>3</v>
      </c>
      <c r="G417" s="32">
        <v>17</v>
      </c>
      <c r="H417">
        <v>82.492409999999992</v>
      </c>
    </row>
    <row r="418" spans="1:8" x14ac:dyDescent="0.25">
      <c r="A418" s="31" t="s">
        <v>13</v>
      </c>
      <c r="B418">
        <v>2025</v>
      </c>
      <c r="C418" t="str">
        <f t="shared" si="6"/>
        <v>Walsh_2025</v>
      </c>
      <c r="D418" s="32">
        <v>3</v>
      </c>
      <c r="E418" s="36">
        <v>19</v>
      </c>
      <c r="F418" s="36">
        <v>5</v>
      </c>
      <c r="G418" s="32">
        <v>17</v>
      </c>
      <c r="H418">
        <v>60.238859999999988</v>
      </c>
    </row>
    <row r="419" spans="1:8" x14ac:dyDescent="0.25">
      <c r="A419" t="s">
        <v>7</v>
      </c>
      <c r="B419">
        <v>2025</v>
      </c>
      <c r="C419" t="str">
        <f t="shared" si="6"/>
        <v>Akron_2025</v>
      </c>
      <c r="D419" s="11">
        <v>1</v>
      </c>
      <c r="E419" s="11">
        <v>8</v>
      </c>
      <c r="F419" s="11">
        <v>1</v>
      </c>
      <c r="G419" s="11">
        <v>17</v>
      </c>
      <c r="H419">
        <v>49.334936974789898</v>
      </c>
    </row>
    <row r="420" spans="1:8" x14ac:dyDescent="0.25">
      <c r="A420" t="s">
        <v>7</v>
      </c>
      <c r="B420">
        <v>2025</v>
      </c>
      <c r="C420" t="str">
        <f t="shared" si="6"/>
        <v>Akron_2025</v>
      </c>
      <c r="D420" s="11">
        <v>2</v>
      </c>
      <c r="E420" s="11">
        <v>10</v>
      </c>
      <c r="F420" s="11">
        <v>6</v>
      </c>
      <c r="G420" s="11">
        <v>17</v>
      </c>
      <c r="H420">
        <v>49.961060988637456</v>
      </c>
    </row>
    <row r="421" spans="1:8" x14ac:dyDescent="0.25">
      <c r="A421" t="s">
        <v>7</v>
      </c>
      <c r="B421">
        <v>2025</v>
      </c>
      <c r="C421" t="str">
        <f t="shared" si="6"/>
        <v>Akron_2025</v>
      </c>
      <c r="D421" s="11">
        <v>3</v>
      </c>
      <c r="E421" s="11">
        <v>12</v>
      </c>
      <c r="F421" s="11">
        <v>10</v>
      </c>
      <c r="G421" s="11">
        <v>17</v>
      </c>
      <c r="H421">
        <v>42.951099234435937</v>
      </c>
    </row>
    <row r="422" spans="1:8" x14ac:dyDescent="0.25">
      <c r="A422" s="31" t="s">
        <v>156</v>
      </c>
      <c r="B422">
        <v>2025</v>
      </c>
      <c r="C422" t="str">
        <f t="shared" si="6"/>
        <v>Genoa_2025</v>
      </c>
      <c r="D422" s="32">
        <v>1</v>
      </c>
      <c r="E422" s="32">
        <v>6</v>
      </c>
      <c r="F422" s="32">
        <v>1</v>
      </c>
      <c r="G422" s="32">
        <v>17</v>
      </c>
      <c r="H422">
        <v>17.659574273178727</v>
      </c>
    </row>
    <row r="423" spans="1:8" x14ac:dyDescent="0.25">
      <c r="A423" s="31" t="s">
        <v>156</v>
      </c>
      <c r="B423">
        <v>2025</v>
      </c>
      <c r="C423" t="str">
        <f t="shared" si="6"/>
        <v>Genoa_2025</v>
      </c>
      <c r="D423" s="32">
        <v>2</v>
      </c>
      <c r="E423" s="32">
        <v>3</v>
      </c>
      <c r="F423" s="32">
        <v>4</v>
      </c>
      <c r="G423" s="32">
        <v>17</v>
      </c>
      <c r="H423">
        <v>37.902808857240402</v>
      </c>
    </row>
    <row r="424" spans="1:8" x14ac:dyDescent="0.25">
      <c r="A424" s="31" t="s">
        <v>156</v>
      </c>
      <c r="B424">
        <v>2025</v>
      </c>
      <c r="C424" t="str">
        <f t="shared" si="6"/>
        <v>Genoa_2025</v>
      </c>
      <c r="D424" s="32">
        <v>3</v>
      </c>
      <c r="E424" s="32">
        <v>5</v>
      </c>
      <c r="F424" s="32">
        <v>6</v>
      </c>
      <c r="G424" s="32">
        <v>17</v>
      </c>
      <c r="H424">
        <v>20.423932778766162</v>
      </c>
    </row>
    <row r="425" spans="1:8" x14ac:dyDescent="0.25">
      <c r="A425" s="31" t="s">
        <v>10</v>
      </c>
      <c r="B425">
        <v>2025</v>
      </c>
      <c r="C425" t="str">
        <f t="shared" si="6"/>
        <v>Julesburg_2025</v>
      </c>
      <c r="D425" s="32">
        <v>1</v>
      </c>
      <c r="E425" s="32">
        <v>11</v>
      </c>
      <c r="F425" s="32">
        <v>2</v>
      </c>
      <c r="G425" s="32">
        <v>17</v>
      </c>
      <c r="H425">
        <v>60.487069478549756</v>
      </c>
    </row>
    <row r="426" spans="1:8" x14ac:dyDescent="0.25">
      <c r="A426" s="31" t="s">
        <v>10</v>
      </c>
      <c r="B426">
        <v>2025</v>
      </c>
      <c r="C426" t="str">
        <f t="shared" si="6"/>
        <v>Julesburg_2025</v>
      </c>
      <c r="D426" s="32">
        <v>2</v>
      </c>
      <c r="E426" s="32">
        <v>12</v>
      </c>
      <c r="F426" s="32">
        <v>5</v>
      </c>
      <c r="G426" s="32">
        <v>17</v>
      </c>
      <c r="H426">
        <v>47.978297004608294</v>
      </c>
    </row>
    <row r="427" spans="1:8" x14ac:dyDescent="0.25">
      <c r="A427" s="31" t="s">
        <v>10</v>
      </c>
      <c r="B427">
        <v>2025</v>
      </c>
      <c r="C427" t="str">
        <f t="shared" si="6"/>
        <v>Julesburg_2025</v>
      </c>
      <c r="D427" s="32">
        <v>3</v>
      </c>
      <c r="E427" s="32">
        <v>3</v>
      </c>
      <c r="F427" s="32">
        <v>9</v>
      </c>
      <c r="G427" s="32">
        <v>17</v>
      </c>
      <c r="H427">
        <v>53.62204358353511</v>
      </c>
    </row>
    <row r="428" spans="1:8" x14ac:dyDescent="0.25">
      <c r="A428" s="31" t="s">
        <v>11</v>
      </c>
      <c r="B428">
        <v>2025</v>
      </c>
      <c r="C428" t="str">
        <f t="shared" si="6"/>
        <v>Orchard_2025</v>
      </c>
      <c r="D428" s="32">
        <v>1</v>
      </c>
      <c r="E428" s="32">
        <v>10</v>
      </c>
      <c r="F428" s="32">
        <v>1</v>
      </c>
      <c r="G428" s="11">
        <v>17</v>
      </c>
      <c r="H428">
        <v>23.779890729643981</v>
      </c>
    </row>
    <row r="429" spans="1:8" x14ac:dyDescent="0.25">
      <c r="A429" s="31" t="s">
        <v>11</v>
      </c>
      <c r="B429">
        <v>2025</v>
      </c>
      <c r="C429" t="str">
        <f t="shared" si="6"/>
        <v>Orchard_2025</v>
      </c>
      <c r="D429" s="32">
        <v>2</v>
      </c>
      <c r="E429" s="32">
        <v>13</v>
      </c>
      <c r="F429" s="32">
        <v>4</v>
      </c>
      <c r="G429" s="11">
        <v>17</v>
      </c>
      <c r="H429">
        <v>25.383460680838411</v>
      </c>
    </row>
    <row r="430" spans="1:8" x14ac:dyDescent="0.25">
      <c r="A430" s="31" t="s">
        <v>11</v>
      </c>
      <c r="B430">
        <v>2025</v>
      </c>
      <c r="C430" t="str">
        <f t="shared" si="6"/>
        <v>Orchard_2025</v>
      </c>
      <c r="D430" s="32">
        <v>3</v>
      </c>
      <c r="E430" s="32">
        <v>11</v>
      </c>
      <c r="F430" s="32">
        <v>9</v>
      </c>
      <c r="G430" s="11">
        <v>17</v>
      </c>
      <c r="H430">
        <v>30.608949287371555</v>
      </c>
    </row>
    <row r="431" spans="1:8" x14ac:dyDescent="0.25">
      <c r="A431" t="s">
        <v>160</v>
      </c>
      <c r="B431">
        <v>2025</v>
      </c>
      <c r="C431" t="str">
        <f t="shared" si="6"/>
        <v>Yuma_2025</v>
      </c>
      <c r="D431">
        <v>1</v>
      </c>
      <c r="E431" s="36">
        <v>22</v>
      </c>
      <c r="F431" s="36">
        <v>1</v>
      </c>
      <c r="G431" s="32">
        <v>17</v>
      </c>
      <c r="H431">
        <v>94.823644578313235</v>
      </c>
    </row>
    <row r="432" spans="1:8" x14ac:dyDescent="0.25">
      <c r="A432" t="s">
        <v>160</v>
      </c>
      <c r="B432">
        <v>2025</v>
      </c>
      <c r="C432" t="str">
        <f t="shared" si="6"/>
        <v>Yuma_2025</v>
      </c>
      <c r="D432">
        <v>2</v>
      </c>
      <c r="E432" s="36">
        <v>18</v>
      </c>
      <c r="F432" s="36">
        <v>4</v>
      </c>
      <c r="G432" s="32">
        <v>17</v>
      </c>
      <c r="H432">
        <v>90.820092923167195</v>
      </c>
    </row>
    <row r="433" spans="1:8" x14ac:dyDescent="0.25">
      <c r="A433" t="s">
        <v>160</v>
      </c>
      <c r="B433">
        <v>2025</v>
      </c>
      <c r="C433" t="str">
        <f t="shared" si="6"/>
        <v>Yuma_2025</v>
      </c>
      <c r="D433">
        <v>3</v>
      </c>
      <c r="E433" s="36">
        <v>2</v>
      </c>
      <c r="F433" s="36">
        <v>6</v>
      </c>
      <c r="G433" s="32">
        <v>17</v>
      </c>
      <c r="H433">
        <v>87.552437763309058</v>
      </c>
    </row>
    <row r="434" spans="1:8" x14ac:dyDescent="0.25">
      <c r="A434" s="31" t="s">
        <v>116</v>
      </c>
      <c r="B434">
        <v>2025</v>
      </c>
      <c r="C434" t="str">
        <f t="shared" si="6"/>
        <v>Burlington_2025</v>
      </c>
      <c r="D434" s="32">
        <v>1</v>
      </c>
      <c r="E434" s="32">
        <v>9</v>
      </c>
      <c r="F434" s="32">
        <v>1</v>
      </c>
      <c r="G434" s="32">
        <v>18</v>
      </c>
      <c r="H434">
        <v>57.232048619854723</v>
      </c>
    </row>
    <row r="435" spans="1:8" x14ac:dyDescent="0.25">
      <c r="A435" s="31" t="s">
        <v>116</v>
      </c>
      <c r="B435">
        <v>2025</v>
      </c>
      <c r="C435" t="str">
        <f t="shared" si="6"/>
        <v>Burlington_2025</v>
      </c>
      <c r="D435" s="32">
        <v>2</v>
      </c>
      <c r="E435" s="32">
        <v>3</v>
      </c>
      <c r="F435" s="32">
        <v>8</v>
      </c>
      <c r="G435" s="32">
        <v>18</v>
      </c>
      <c r="H435">
        <v>52.453376936316687</v>
      </c>
    </row>
    <row r="436" spans="1:8" x14ac:dyDescent="0.25">
      <c r="A436" s="31" t="s">
        <v>116</v>
      </c>
      <c r="B436">
        <v>2025</v>
      </c>
      <c r="C436" t="str">
        <f t="shared" si="6"/>
        <v>Burlington_2025</v>
      </c>
      <c r="D436" s="32">
        <v>3</v>
      </c>
      <c r="E436" s="32">
        <v>5</v>
      </c>
      <c r="F436" s="32">
        <v>12</v>
      </c>
      <c r="G436" s="32">
        <v>18</v>
      </c>
      <c r="H436">
        <v>59.000164648910406</v>
      </c>
    </row>
    <row r="437" spans="1:8" x14ac:dyDescent="0.25">
      <c r="A437" s="34" t="s">
        <v>97</v>
      </c>
      <c r="B437">
        <v>2025</v>
      </c>
      <c r="C437" t="str">
        <f t="shared" si="6"/>
        <v>Lamar_2025</v>
      </c>
      <c r="D437" s="35">
        <v>1</v>
      </c>
      <c r="E437" s="35">
        <v>2</v>
      </c>
      <c r="F437" s="35">
        <v>1</v>
      </c>
      <c r="G437" s="35">
        <v>18</v>
      </c>
      <c r="H437">
        <v>82.356685714285703</v>
      </c>
    </row>
    <row r="438" spans="1:8" x14ac:dyDescent="0.25">
      <c r="A438" s="34" t="s">
        <v>97</v>
      </c>
      <c r="B438">
        <v>2025</v>
      </c>
      <c r="C438" t="str">
        <f t="shared" si="6"/>
        <v>Lamar_2025</v>
      </c>
      <c r="D438" s="35">
        <v>2</v>
      </c>
      <c r="E438" s="35">
        <v>20</v>
      </c>
      <c r="F438" s="35">
        <v>3</v>
      </c>
      <c r="G438" s="35">
        <v>18</v>
      </c>
    </row>
    <row r="439" spans="1:8" x14ac:dyDescent="0.25">
      <c r="A439" s="34" t="s">
        <v>97</v>
      </c>
      <c r="B439">
        <v>2025</v>
      </c>
      <c r="C439" t="str">
        <f t="shared" si="6"/>
        <v>Lamar_2025</v>
      </c>
      <c r="D439" s="35">
        <v>3</v>
      </c>
      <c r="E439" s="35">
        <v>5</v>
      </c>
      <c r="F439" s="35">
        <v>6</v>
      </c>
      <c r="G439" s="35">
        <v>18</v>
      </c>
      <c r="H439">
        <v>79.774777798970035</v>
      </c>
    </row>
    <row r="440" spans="1:8" x14ac:dyDescent="0.25">
      <c r="A440" s="31" t="s">
        <v>132</v>
      </c>
      <c r="B440">
        <v>2025</v>
      </c>
      <c r="C440" t="str">
        <f t="shared" si="6"/>
        <v>SLake_2025</v>
      </c>
      <c r="D440" s="32">
        <v>1</v>
      </c>
      <c r="E440" s="32">
        <v>8</v>
      </c>
      <c r="F440" s="32">
        <v>2</v>
      </c>
      <c r="G440" s="32">
        <v>18</v>
      </c>
      <c r="H440">
        <v>58.466752808447026</v>
      </c>
    </row>
    <row r="441" spans="1:8" x14ac:dyDescent="0.25">
      <c r="A441" s="31" t="s">
        <v>132</v>
      </c>
      <c r="B441">
        <v>2025</v>
      </c>
      <c r="C441" t="str">
        <f t="shared" si="6"/>
        <v>SLake_2025</v>
      </c>
      <c r="D441" s="32">
        <v>2</v>
      </c>
      <c r="E441" s="32">
        <v>12</v>
      </c>
      <c r="F441" s="32">
        <v>3</v>
      </c>
      <c r="G441" s="32">
        <v>18</v>
      </c>
      <c r="H441">
        <v>58.011084337349388</v>
      </c>
    </row>
    <row r="442" spans="1:8" x14ac:dyDescent="0.25">
      <c r="A442" s="31" t="s">
        <v>132</v>
      </c>
      <c r="B442">
        <v>2025</v>
      </c>
      <c r="C442" t="str">
        <f t="shared" si="6"/>
        <v>SLake_2025</v>
      </c>
      <c r="D442" s="32">
        <v>3</v>
      </c>
      <c r="E442" s="32">
        <v>7</v>
      </c>
      <c r="F442" s="32">
        <v>6</v>
      </c>
      <c r="G442" s="32">
        <v>18</v>
      </c>
      <c r="H442">
        <v>55.67223458038422</v>
      </c>
    </row>
    <row r="443" spans="1:8" x14ac:dyDescent="0.25">
      <c r="A443" s="31" t="s">
        <v>13</v>
      </c>
      <c r="B443">
        <v>2025</v>
      </c>
      <c r="C443" t="str">
        <f t="shared" si="6"/>
        <v>Walsh_2025</v>
      </c>
      <c r="D443" s="32">
        <v>1</v>
      </c>
      <c r="E443" s="36">
        <v>18</v>
      </c>
      <c r="F443" s="36">
        <v>1</v>
      </c>
      <c r="G443" s="32">
        <v>18</v>
      </c>
      <c r="H443">
        <v>54.973379999999992</v>
      </c>
    </row>
    <row r="444" spans="1:8" x14ac:dyDescent="0.25">
      <c r="A444" s="31" t="s">
        <v>13</v>
      </c>
      <c r="B444">
        <v>2025</v>
      </c>
      <c r="C444" t="str">
        <f t="shared" si="6"/>
        <v>Walsh_2025</v>
      </c>
      <c r="D444" s="32">
        <v>2</v>
      </c>
      <c r="E444" s="36">
        <v>6</v>
      </c>
      <c r="F444" s="36">
        <v>4</v>
      </c>
      <c r="G444" s="32">
        <v>18</v>
      </c>
      <c r="H444">
        <v>64.671749999999989</v>
      </c>
    </row>
    <row r="445" spans="1:8" x14ac:dyDescent="0.25">
      <c r="A445" s="31" t="s">
        <v>13</v>
      </c>
      <c r="B445">
        <v>2025</v>
      </c>
      <c r="C445" t="str">
        <f t="shared" si="6"/>
        <v>Walsh_2025</v>
      </c>
      <c r="D445" s="32">
        <v>3</v>
      </c>
      <c r="E445" s="36">
        <v>14</v>
      </c>
      <c r="F445" s="36">
        <v>6</v>
      </c>
      <c r="G445" s="32">
        <v>18</v>
      </c>
      <c r="H445">
        <v>59.245339999999992</v>
      </c>
    </row>
    <row r="446" spans="1:8" x14ac:dyDescent="0.25">
      <c r="A446" t="s">
        <v>7</v>
      </c>
      <c r="B446">
        <v>2025</v>
      </c>
      <c r="C446" t="str">
        <f t="shared" si="6"/>
        <v>Akron_2025</v>
      </c>
      <c r="D446" s="11">
        <v>1</v>
      </c>
      <c r="E446" s="11">
        <v>13</v>
      </c>
      <c r="F446" s="11">
        <v>3</v>
      </c>
      <c r="G446" s="11">
        <v>18</v>
      </c>
      <c r="H446">
        <v>38.519453795457771</v>
      </c>
    </row>
    <row r="447" spans="1:8" x14ac:dyDescent="0.25">
      <c r="A447" t="s">
        <v>7</v>
      </c>
      <c r="B447">
        <v>2025</v>
      </c>
      <c r="C447" t="str">
        <f t="shared" si="6"/>
        <v>Akron_2025</v>
      </c>
      <c r="D447" s="11">
        <v>2</v>
      </c>
      <c r="E447" s="11">
        <v>12</v>
      </c>
      <c r="F447" s="11">
        <v>8</v>
      </c>
      <c r="G447" s="11">
        <v>18</v>
      </c>
      <c r="H447">
        <v>48.588981459069565</v>
      </c>
    </row>
    <row r="448" spans="1:8" x14ac:dyDescent="0.25">
      <c r="A448" t="s">
        <v>7</v>
      </c>
      <c r="B448">
        <v>2025</v>
      </c>
      <c r="C448" t="str">
        <f t="shared" si="6"/>
        <v>Akron_2025</v>
      </c>
      <c r="D448" s="11">
        <v>3</v>
      </c>
      <c r="E448" s="11">
        <v>5</v>
      </c>
      <c r="F448" s="11">
        <v>10</v>
      </c>
      <c r="G448" s="11">
        <v>18</v>
      </c>
      <c r="H448">
        <v>31.573892821031336</v>
      </c>
    </row>
    <row r="449" spans="1:8" x14ac:dyDescent="0.25">
      <c r="A449" s="31" t="s">
        <v>156</v>
      </c>
      <c r="B449">
        <v>2025</v>
      </c>
      <c r="C449" t="str">
        <f t="shared" si="6"/>
        <v>Genoa_2025</v>
      </c>
      <c r="D449" s="32">
        <v>1</v>
      </c>
      <c r="E449" s="32">
        <v>11</v>
      </c>
      <c r="F449" s="32">
        <v>1</v>
      </c>
      <c r="G449" s="32">
        <v>18</v>
      </c>
      <c r="H449">
        <v>45.02039438792729</v>
      </c>
    </row>
    <row r="450" spans="1:8" x14ac:dyDescent="0.25">
      <c r="A450" s="31" t="s">
        <v>156</v>
      </c>
      <c r="B450">
        <v>2025</v>
      </c>
      <c r="C450" t="str">
        <f t="shared" si="6"/>
        <v>Genoa_2025</v>
      </c>
      <c r="D450" s="32">
        <v>2</v>
      </c>
      <c r="E450" s="32">
        <v>25</v>
      </c>
      <c r="F450" s="32">
        <v>3</v>
      </c>
      <c r="G450" s="32">
        <v>18</v>
      </c>
      <c r="H450">
        <v>32.918729087314979</v>
      </c>
    </row>
    <row r="451" spans="1:8" x14ac:dyDescent="0.25">
      <c r="A451" s="31" t="s">
        <v>156</v>
      </c>
      <c r="B451">
        <v>2025</v>
      </c>
      <c r="C451" t="str">
        <f t="shared" ref="C451:C514" si="7">A451&amp;"_"&amp;B451</f>
        <v>Genoa_2025</v>
      </c>
      <c r="D451" s="32">
        <v>3</v>
      </c>
      <c r="E451" s="32">
        <v>2</v>
      </c>
      <c r="F451" s="32">
        <v>6</v>
      </c>
      <c r="G451" s="32">
        <v>18</v>
      </c>
      <c r="H451">
        <v>40.929790354378028</v>
      </c>
    </row>
    <row r="452" spans="1:8" x14ac:dyDescent="0.25">
      <c r="A452" s="31" t="s">
        <v>10</v>
      </c>
      <c r="B452">
        <v>2025</v>
      </c>
      <c r="C452" t="str">
        <f t="shared" si="7"/>
        <v>Julesburg_2025</v>
      </c>
      <c r="D452" s="32">
        <v>1</v>
      </c>
      <c r="E452" s="32">
        <v>3</v>
      </c>
      <c r="F452" s="32">
        <v>1</v>
      </c>
      <c r="G452" s="32">
        <v>18</v>
      </c>
      <c r="H452">
        <v>57.949190977443607</v>
      </c>
    </row>
    <row r="453" spans="1:8" x14ac:dyDescent="0.25">
      <c r="A453" s="31" t="s">
        <v>10</v>
      </c>
      <c r="B453">
        <v>2025</v>
      </c>
      <c r="C453" t="str">
        <f t="shared" si="7"/>
        <v>Julesburg_2025</v>
      </c>
      <c r="D453" s="32">
        <v>2</v>
      </c>
      <c r="E453" s="32">
        <v>8</v>
      </c>
      <c r="F453" s="32">
        <v>7</v>
      </c>
      <c r="G453" s="32">
        <v>18</v>
      </c>
      <c r="H453">
        <v>45.093503355704691</v>
      </c>
    </row>
    <row r="454" spans="1:8" x14ac:dyDescent="0.25">
      <c r="A454" s="31" t="s">
        <v>10</v>
      </c>
      <c r="B454">
        <v>2025</v>
      </c>
      <c r="C454" t="str">
        <f t="shared" si="7"/>
        <v>Julesburg_2025</v>
      </c>
      <c r="D454" s="32">
        <v>3</v>
      </c>
      <c r="E454" s="32">
        <v>10</v>
      </c>
      <c r="F454" s="32">
        <v>12</v>
      </c>
      <c r="G454" s="32">
        <v>18</v>
      </c>
      <c r="H454">
        <v>67.562821978021972</v>
      </c>
    </row>
    <row r="455" spans="1:8" x14ac:dyDescent="0.25">
      <c r="A455" s="31" t="s">
        <v>11</v>
      </c>
      <c r="B455">
        <v>2025</v>
      </c>
      <c r="C455" t="str">
        <f t="shared" si="7"/>
        <v>Orchard_2025</v>
      </c>
      <c r="D455" s="32">
        <v>1</v>
      </c>
      <c r="E455" s="32">
        <v>8</v>
      </c>
      <c r="F455" s="32">
        <v>2</v>
      </c>
      <c r="G455" s="11">
        <v>18</v>
      </c>
      <c r="H455">
        <v>17.356292115317814</v>
      </c>
    </row>
    <row r="456" spans="1:8" x14ac:dyDescent="0.25">
      <c r="A456" s="31" t="s">
        <v>11</v>
      </c>
      <c r="B456">
        <v>2025</v>
      </c>
      <c r="C456" t="str">
        <f t="shared" si="7"/>
        <v>Orchard_2025</v>
      </c>
      <c r="D456" s="32">
        <v>2</v>
      </c>
      <c r="E456" s="32">
        <v>17</v>
      </c>
      <c r="F456" s="32">
        <v>4</v>
      </c>
      <c r="G456" s="11">
        <v>18</v>
      </c>
      <c r="H456">
        <v>19.5376482830385</v>
      </c>
    </row>
    <row r="457" spans="1:8" x14ac:dyDescent="0.25">
      <c r="A457" s="31" t="s">
        <v>11</v>
      </c>
      <c r="B457">
        <v>2025</v>
      </c>
      <c r="C457" t="str">
        <f t="shared" si="7"/>
        <v>Orchard_2025</v>
      </c>
      <c r="D457" s="32">
        <v>3</v>
      </c>
      <c r="E457" s="32">
        <v>7</v>
      </c>
      <c r="F457" s="32">
        <v>7</v>
      </c>
      <c r="G457" s="11">
        <v>18</v>
      </c>
      <c r="H457">
        <v>30.385916805324456</v>
      </c>
    </row>
    <row r="458" spans="1:8" x14ac:dyDescent="0.25">
      <c r="A458" t="s">
        <v>160</v>
      </c>
      <c r="B458">
        <v>2025</v>
      </c>
      <c r="C458" t="str">
        <f t="shared" si="7"/>
        <v>Yuma_2025</v>
      </c>
      <c r="D458" s="11">
        <v>1</v>
      </c>
      <c r="E458" s="36">
        <v>8</v>
      </c>
      <c r="F458" s="36">
        <v>1</v>
      </c>
      <c r="G458" s="32">
        <v>18</v>
      </c>
      <c r="H458">
        <v>93.25538726333906</v>
      </c>
    </row>
    <row r="459" spans="1:8" x14ac:dyDescent="0.25">
      <c r="A459" t="s">
        <v>160</v>
      </c>
      <c r="B459">
        <v>2025</v>
      </c>
      <c r="C459" t="str">
        <f t="shared" si="7"/>
        <v>Yuma_2025</v>
      </c>
      <c r="D459" s="11">
        <v>2</v>
      </c>
      <c r="E459" s="36">
        <v>10</v>
      </c>
      <c r="F459" s="36">
        <v>3</v>
      </c>
      <c r="G459" s="32">
        <v>18</v>
      </c>
      <c r="H459">
        <v>84.888893081167751</v>
      </c>
    </row>
    <row r="460" spans="1:8" x14ac:dyDescent="0.25">
      <c r="A460" t="s">
        <v>160</v>
      </c>
      <c r="B460">
        <v>2025</v>
      </c>
      <c r="C460" t="str">
        <f t="shared" si="7"/>
        <v>Yuma_2025</v>
      </c>
      <c r="D460" s="11">
        <v>3</v>
      </c>
      <c r="E460" s="36">
        <v>2</v>
      </c>
      <c r="F460" s="36">
        <v>5</v>
      </c>
      <c r="G460" s="32">
        <v>18</v>
      </c>
      <c r="H460">
        <v>85.111656833349443</v>
      </c>
    </row>
    <row r="461" spans="1:8" x14ac:dyDescent="0.25">
      <c r="A461" s="31" t="s">
        <v>116</v>
      </c>
      <c r="B461">
        <v>2025</v>
      </c>
      <c r="C461" t="str">
        <f t="shared" si="7"/>
        <v>Burlington_2025</v>
      </c>
      <c r="D461" s="32">
        <v>1</v>
      </c>
      <c r="E461" s="32">
        <v>4</v>
      </c>
      <c r="F461" s="32">
        <v>2</v>
      </c>
      <c r="G461" s="32">
        <v>20</v>
      </c>
      <c r="H461">
        <v>69.06050485714286</v>
      </c>
    </row>
    <row r="462" spans="1:8" x14ac:dyDescent="0.25">
      <c r="A462" s="31" t="s">
        <v>116</v>
      </c>
      <c r="B462">
        <v>2025</v>
      </c>
      <c r="C462" t="str">
        <f t="shared" si="7"/>
        <v>Burlington_2025</v>
      </c>
      <c r="D462" s="32">
        <v>2</v>
      </c>
      <c r="E462" s="32">
        <v>3</v>
      </c>
      <c r="F462" s="32">
        <v>5</v>
      </c>
      <c r="G462" s="32">
        <v>20</v>
      </c>
      <c r="H462">
        <v>67.075907917383816</v>
      </c>
    </row>
    <row r="463" spans="1:8" x14ac:dyDescent="0.25">
      <c r="A463" s="31" t="s">
        <v>116</v>
      </c>
      <c r="B463">
        <v>2025</v>
      </c>
      <c r="C463" t="str">
        <f t="shared" si="7"/>
        <v>Burlington_2025</v>
      </c>
      <c r="D463" s="32">
        <v>3</v>
      </c>
      <c r="E463" s="32">
        <v>1</v>
      </c>
      <c r="F463" s="32">
        <v>9</v>
      </c>
      <c r="G463" s="32">
        <v>20</v>
      </c>
      <c r="H463">
        <v>74.933181620943998</v>
      </c>
    </row>
    <row r="464" spans="1:8" x14ac:dyDescent="0.25">
      <c r="A464" s="34" t="s">
        <v>97</v>
      </c>
      <c r="B464">
        <v>2025</v>
      </c>
      <c r="C464" t="str">
        <f t="shared" si="7"/>
        <v>Lamar_2025</v>
      </c>
      <c r="D464" s="35">
        <v>1</v>
      </c>
      <c r="E464" s="35">
        <v>4</v>
      </c>
      <c r="F464" s="35">
        <v>1</v>
      </c>
      <c r="G464" s="35">
        <v>20</v>
      </c>
      <c r="H464">
        <v>79.362642857142859</v>
      </c>
    </row>
    <row r="465" spans="1:8" x14ac:dyDescent="0.25">
      <c r="A465" s="34" t="s">
        <v>97</v>
      </c>
      <c r="B465">
        <v>2025</v>
      </c>
      <c r="C465" t="str">
        <f t="shared" si="7"/>
        <v>Lamar_2025</v>
      </c>
      <c r="D465" s="35">
        <v>2</v>
      </c>
      <c r="E465" s="35">
        <v>2</v>
      </c>
      <c r="F465" s="35">
        <v>4</v>
      </c>
      <c r="G465" s="35">
        <v>20</v>
      </c>
      <c r="H465">
        <v>75.344979865771805</v>
      </c>
    </row>
    <row r="466" spans="1:8" x14ac:dyDescent="0.25">
      <c r="A466" s="34" t="s">
        <v>97</v>
      </c>
      <c r="B466">
        <v>2025</v>
      </c>
      <c r="C466" t="str">
        <f t="shared" si="7"/>
        <v>Lamar_2025</v>
      </c>
      <c r="D466" s="35">
        <v>3</v>
      </c>
      <c r="E466" s="35">
        <v>8</v>
      </c>
      <c r="F466" s="35">
        <v>6</v>
      </c>
      <c r="G466" s="35">
        <v>20</v>
      </c>
      <c r="H466">
        <v>78.688289147434674</v>
      </c>
    </row>
    <row r="467" spans="1:8" x14ac:dyDescent="0.25">
      <c r="A467" s="31" t="s">
        <v>132</v>
      </c>
      <c r="B467">
        <v>2025</v>
      </c>
      <c r="C467" t="str">
        <f t="shared" si="7"/>
        <v>SLake_2025</v>
      </c>
      <c r="D467" s="32">
        <v>1</v>
      </c>
      <c r="E467" s="32">
        <v>13</v>
      </c>
      <c r="F467" s="32">
        <v>2</v>
      </c>
      <c r="G467" s="32">
        <v>20</v>
      </c>
      <c r="H467">
        <v>67.245920640277703</v>
      </c>
    </row>
    <row r="468" spans="1:8" x14ac:dyDescent="0.25">
      <c r="A468" s="31" t="s">
        <v>132</v>
      </c>
      <c r="B468">
        <v>2025</v>
      </c>
      <c r="C468" t="str">
        <f t="shared" si="7"/>
        <v>SLake_2025</v>
      </c>
      <c r="D468" s="32">
        <v>2</v>
      </c>
      <c r="E468" s="32">
        <v>7</v>
      </c>
      <c r="F468" s="32">
        <v>2</v>
      </c>
      <c r="G468" s="32">
        <v>20</v>
      </c>
      <c r="H468">
        <v>74.722876428330352</v>
      </c>
    </row>
    <row r="469" spans="1:8" x14ac:dyDescent="0.25">
      <c r="A469" s="31" t="s">
        <v>132</v>
      </c>
      <c r="B469">
        <v>2025</v>
      </c>
      <c r="C469" t="str">
        <f t="shared" si="7"/>
        <v>SLake_2025</v>
      </c>
      <c r="D469" s="32">
        <v>3</v>
      </c>
      <c r="E469" s="32">
        <v>3</v>
      </c>
      <c r="F469" s="32">
        <v>5</v>
      </c>
      <c r="G469" s="32">
        <v>20</v>
      </c>
      <c r="H469">
        <v>73.600259393477018</v>
      </c>
    </row>
    <row r="470" spans="1:8" x14ac:dyDescent="0.25">
      <c r="A470" s="31" t="s">
        <v>13</v>
      </c>
      <c r="B470">
        <v>2025</v>
      </c>
      <c r="C470" t="str">
        <f t="shared" si="7"/>
        <v>Walsh_2025</v>
      </c>
      <c r="D470" s="32">
        <v>1</v>
      </c>
      <c r="E470" s="36">
        <v>1</v>
      </c>
      <c r="F470" s="36">
        <v>2</v>
      </c>
      <c r="G470" s="32">
        <v>20</v>
      </c>
      <c r="H470">
        <v>64.377224999999996</v>
      </c>
    </row>
    <row r="471" spans="1:8" x14ac:dyDescent="0.25">
      <c r="A471" s="31" t="s">
        <v>13</v>
      </c>
      <c r="B471">
        <v>2025</v>
      </c>
      <c r="C471" t="str">
        <f t="shared" si="7"/>
        <v>Walsh_2025</v>
      </c>
      <c r="D471" s="32">
        <v>2</v>
      </c>
      <c r="E471" s="36">
        <v>16</v>
      </c>
      <c r="F471" s="36">
        <v>3</v>
      </c>
      <c r="G471" s="32">
        <v>20</v>
      </c>
      <c r="H471">
        <v>79.025759999999991</v>
      </c>
    </row>
    <row r="472" spans="1:8" x14ac:dyDescent="0.25">
      <c r="A472" s="31" t="s">
        <v>13</v>
      </c>
      <c r="B472">
        <v>2025</v>
      </c>
      <c r="C472" t="str">
        <f t="shared" si="7"/>
        <v>Walsh_2025</v>
      </c>
      <c r="D472" s="32">
        <v>3</v>
      </c>
      <c r="E472" s="36">
        <v>21</v>
      </c>
      <c r="F472" s="36">
        <v>6</v>
      </c>
      <c r="G472" s="32">
        <v>20</v>
      </c>
      <c r="H472">
        <v>83.401064999999988</v>
      </c>
    </row>
    <row r="473" spans="1:8" x14ac:dyDescent="0.25">
      <c r="A473" t="s">
        <v>7</v>
      </c>
      <c r="B473">
        <v>2025</v>
      </c>
      <c r="C473" t="str">
        <f t="shared" si="7"/>
        <v>Akron_2025</v>
      </c>
      <c r="D473" s="11">
        <v>1</v>
      </c>
      <c r="E473" s="11">
        <v>3</v>
      </c>
      <c r="F473" s="11">
        <v>3</v>
      </c>
      <c r="G473" s="11">
        <v>20</v>
      </c>
      <c r="H473">
        <v>56.771202882746174</v>
      </c>
    </row>
    <row r="474" spans="1:8" x14ac:dyDescent="0.25">
      <c r="A474" t="s">
        <v>7</v>
      </c>
      <c r="B474">
        <v>2025</v>
      </c>
      <c r="C474" t="str">
        <f t="shared" si="7"/>
        <v>Akron_2025</v>
      </c>
      <c r="D474" s="11">
        <v>2</v>
      </c>
      <c r="E474" s="11">
        <v>12</v>
      </c>
      <c r="F474" s="11">
        <v>5</v>
      </c>
      <c r="G474" s="11">
        <v>20</v>
      </c>
      <c r="H474">
        <v>45.823429921411702</v>
      </c>
    </row>
    <row r="475" spans="1:8" x14ac:dyDescent="0.25">
      <c r="A475" t="s">
        <v>7</v>
      </c>
      <c r="B475">
        <v>2025</v>
      </c>
      <c r="C475" t="str">
        <f t="shared" si="7"/>
        <v>Akron_2025</v>
      </c>
      <c r="D475" s="11">
        <v>3</v>
      </c>
      <c r="E475" s="11">
        <v>9</v>
      </c>
      <c r="F475" s="11">
        <v>10</v>
      </c>
      <c r="G475" s="11">
        <v>20</v>
      </c>
      <c r="H475">
        <v>45.18945543839375</v>
      </c>
    </row>
    <row r="476" spans="1:8" x14ac:dyDescent="0.25">
      <c r="A476" s="31" t="s">
        <v>156</v>
      </c>
      <c r="B476">
        <v>2025</v>
      </c>
      <c r="C476" t="str">
        <f t="shared" si="7"/>
        <v>Genoa_2025</v>
      </c>
      <c r="D476" s="32">
        <v>1</v>
      </c>
      <c r="E476" s="32">
        <v>9</v>
      </c>
      <c r="F476" s="32">
        <v>2</v>
      </c>
      <c r="G476" s="32">
        <v>20</v>
      </c>
      <c r="H476">
        <v>57.732904729664376</v>
      </c>
    </row>
    <row r="477" spans="1:8" x14ac:dyDescent="0.25">
      <c r="A477" s="31" t="s">
        <v>156</v>
      </c>
      <c r="B477">
        <v>2025</v>
      </c>
      <c r="C477" t="str">
        <f t="shared" si="7"/>
        <v>Genoa_2025</v>
      </c>
      <c r="D477" s="32">
        <v>2</v>
      </c>
      <c r="E477" s="32">
        <v>19</v>
      </c>
      <c r="F477" s="32">
        <v>3</v>
      </c>
      <c r="G477" s="32">
        <v>20</v>
      </c>
      <c r="H477">
        <v>39.00120775276023</v>
      </c>
    </row>
    <row r="478" spans="1:8" x14ac:dyDescent="0.25">
      <c r="A478" s="31" t="s">
        <v>156</v>
      </c>
      <c r="B478">
        <v>2025</v>
      </c>
      <c r="C478" t="str">
        <f t="shared" si="7"/>
        <v>Genoa_2025</v>
      </c>
      <c r="D478" s="32">
        <v>3</v>
      </c>
      <c r="E478" s="32">
        <v>1</v>
      </c>
      <c r="F478" s="32">
        <v>6</v>
      </c>
      <c r="G478" s="32">
        <v>20</v>
      </c>
      <c r="H478">
        <v>40.584002019522039</v>
      </c>
    </row>
    <row r="479" spans="1:8" x14ac:dyDescent="0.25">
      <c r="A479" s="31" t="s">
        <v>10</v>
      </c>
      <c r="B479">
        <v>2025</v>
      </c>
      <c r="C479" t="str">
        <f t="shared" si="7"/>
        <v>Julesburg_2025</v>
      </c>
      <c r="D479" s="32">
        <v>1</v>
      </c>
      <c r="E479" s="32">
        <v>11</v>
      </c>
      <c r="F479" s="32">
        <v>1</v>
      </c>
      <c r="G479" s="32">
        <v>20</v>
      </c>
      <c r="H479">
        <v>61.188153383458641</v>
      </c>
    </row>
    <row r="480" spans="1:8" x14ac:dyDescent="0.25">
      <c r="A480" s="31" t="s">
        <v>10</v>
      </c>
      <c r="B480">
        <v>2025</v>
      </c>
      <c r="C480" t="str">
        <f t="shared" si="7"/>
        <v>Julesburg_2025</v>
      </c>
      <c r="D480" s="32">
        <v>2</v>
      </c>
      <c r="E480" s="32">
        <v>4</v>
      </c>
      <c r="F480" s="32">
        <v>5</v>
      </c>
      <c r="G480" s="32">
        <v>20</v>
      </c>
      <c r="H480">
        <v>55.288790046082951</v>
      </c>
    </row>
    <row r="481" spans="1:8" x14ac:dyDescent="0.25">
      <c r="A481" s="31" t="s">
        <v>10</v>
      </c>
      <c r="B481">
        <v>2025</v>
      </c>
      <c r="C481" t="str">
        <f t="shared" si="7"/>
        <v>Julesburg_2025</v>
      </c>
      <c r="D481" s="32">
        <v>3</v>
      </c>
      <c r="E481" s="32">
        <v>9</v>
      </c>
      <c r="F481" s="32">
        <v>11</v>
      </c>
      <c r="G481" s="32">
        <v>20</v>
      </c>
      <c r="H481">
        <v>58.731340779398131</v>
      </c>
    </row>
    <row r="482" spans="1:8" x14ac:dyDescent="0.25">
      <c r="A482" s="31" t="s">
        <v>11</v>
      </c>
      <c r="B482">
        <v>2025</v>
      </c>
      <c r="C482" t="str">
        <f t="shared" si="7"/>
        <v>Orchard_2025</v>
      </c>
      <c r="D482" s="32">
        <v>1</v>
      </c>
      <c r="E482" s="32">
        <v>13</v>
      </c>
      <c r="F482" s="32">
        <v>3</v>
      </c>
      <c r="G482" s="11">
        <v>20</v>
      </c>
      <c r="H482">
        <v>24.14737492866654</v>
      </c>
    </row>
    <row r="483" spans="1:8" x14ac:dyDescent="0.25">
      <c r="A483" s="31" t="s">
        <v>11</v>
      </c>
      <c r="B483">
        <v>2025</v>
      </c>
      <c r="C483" t="str">
        <f t="shared" si="7"/>
        <v>Orchard_2025</v>
      </c>
      <c r="D483" s="32">
        <v>2</v>
      </c>
      <c r="E483" s="32">
        <v>5</v>
      </c>
      <c r="F483" s="32">
        <v>6</v>
      </c>
      <c r="G483" s="11">
        <v>20</v>
      </c>
      <c r="H483">
        <v>26.747245036979368</v>
      </c>
    </row>
    <row r="484" spans="1:8" x14ac:dyDescent="0.25">
      <c r="A484" s="31" t="s">
        <v>11</v>
      </c>
      <c r="B484">
        <v>2025</v>
      </c>
      <c r="C484" t="str">
        <f t="shared" si="7"/>
        <v>Orchard_2025</v>
      </c>
      <c r="D484" s="32">
        <v>3</v>
      </c>
      <c r="E484" s="32">
        <v>2</v>
      </c>
      <c r="F484" s="32">
        <v>9</v>
      </c>
      <c r="G484" s="11">
        <v>20</v>
      </c>
      <c r="H484">
        <v>40.822557886263539</v>
      </c>
    </row>
    <row r="485" spans="1:8" x14ac:dyDescent="0.25">
      <c r="A485" t="s">
        <v>160</v>
      </c>
      <c r="B485">
        <v>2025</v>
      </c>
      <c r="C485" t="str">
        <f t="shared" si="7"/>
        <v>Yuma_2025</v>
      </c>
      <c r="D485" s="11">
        <v>1</v>
      </c>
      <c r="E485" s="36">
        <v>14</v>
      </c>
      <c r="F485" s="36">
        <v>2</v>
      </c>
      <c r="G485" s="32">
        <v>20</v>
      </c>
      <c r="H485">
        <v>85.838033898305085</v>
      </c>
    </row>
    <row r="486" spans="1:8" x14ac:dyDescent="0.25">
      <c r="A486" t="s">
        <v>160</v>
      </c>
      <c r="B486">
        <v>2025</v>
      </c>
      <c r="C486" t="str">
        <f t="shared" si="7"/>
        <v>Yuma_2025</v>
      </c>
      <c r="D486" s="11">
        <v>2</v>
      </c>
      <c r="E486" s="36">
        <v>16</v>
      </c>
      <c r="F486" s="36">
        <v>4</v>
      </c>
      <c r="G486" s="32">
        <v>20</v>
      </c>
      <c r="H486">
        <v>91.862238959260523</v>
      </c>
    </row>
    <row r="487" spans="1:8" x14ac:dyDescent="0.25">
      <c r="A487" t="s">
        <v>160</v>
      </c>
      <c r="B487">
        <v>2025</v>
      </c>
      <c r="C487" t="str">
        <f t="shared" si="7"/>
        <v>Yuma_2025</v>
      </c>
      <c r="D487" s="11">
        <v>3</v>
      </c>
      <c r="E487" s="36">
        <v>12</v>
      </c>
      <c r="F487" s="36">
        <v>6</v>
      </c>
      <c r="G487" s="32">
        <v>20</v>
      </c>
      <c r="H487">
        <v>90.257117004978909</v>
      </c>
    </row>
    <row r="488" spans="1:8" x14ac:dyDescent="0.25">
      <c r="A488" s="31" t="s">
        <v>116</v>
      </c>
      <c r="B488">
        <v>2025</v>
      </c>
      <c r="C488" t="str">
        <f t="shared" si="7"/>
        <v>Burlington_2025</v>
      </c>
      <c r="D488" s="32">
        <v>1</v>
      </c>
      <c r="E488" s="32">
        <v>5</v>
      </c>
      <c r="F488" s="32">
        <v>3</v>
      </c>
      <c r="G488" s="32">
        <v>21</v>
      </c>
      <c r="H488">
        <v>64.672361259079892</v>
      </c>
    </row>
    <row r="489" spans="1:8" x14ac:dyDescent="0.25">
      <c r="A489" s="31" t="s">
        <v>116</v>
      </c>
      <c r="B489">
        <v>2025</v>
      </c>
      <c r="C489" t="str">
        <f t="shared" si="7"/>
        <v>Burlington_2025</v>
      </c>
      <c r="D489" s="32">
        <v>2</v>
      </c>
      <c r="E489" s="32">
        <v>3</v>
      </c>
      <c r="F489" s="32">
        <v>6</v>
      </c>
      <c r="G489" s="32">
        <v>21</v>
      </c>
      <c r="H489">
        <v>66.354263519232575</v>
      </c>
    </row>
    <row r="490" spans="1:8" x14ac:dyDescent="0.25">
      <c r="A490" s="31" t="s">
        <v>116</v>
      </c>
      <c r="B490">
        <v>2025</v>
      </c>
      <c r="C490" t="str">
        <f t="shared" si="7"/>
        <v>Burlington_2025</v>
      </c>
      <c r="D490" s="32">
        <v>3</v>
      </c>
      <c r="E490" s="32">
        <v>8</v>
      </c>
      <c r="F490" s="32">
        <v>10</v>
      </c>
      <c r="G490" s="32">
        <v>21</v>
      </c>
      <c r="H490">
        <v>70.464838991596636</v>
      </c>
    </row>
    <row r="491" spans="1:8" x14ac:dyDescent="0.25">
      <c r="A491" s="34" t="s">
        <v>97</v>
      </c>
      <c r="B491">
        <v>2025</v>
      </c>
      <c r="C491" t="str">
        <f t="shared" si="7"/>
        <v>Lamar_2025</v>
      </c>
      <c r="D491" s="35">
        <v>1</v>
      </c>
      <c r="E491" s="35">
        <v>21</v>
      </c>
      <c r="F491" s="35">
        <v>1</v>
      </c>
      <c r="G491" s="35">
        <v>21</v>
      </c>
      <c r="H491">
        <v>73.761600000000001</v>
      </c>
    </row>
    <row r="492" spans="1:8" x14ac:dyDescent="0.25">
      <c r="A492" s="34" t="s">
        <v>97</v>
      </c>
      <c r="B492">
        <v>2025</v>
      </c>
      <c r="C492" t="str">
        <f t="shared" si="7"/>
        <v>Lamar_2025</v>
      </c>
      <c r="D492" s="35">
        <v>2</v>
      </c>
      <c r="E492" s="35">
        <v>9</v>
      </c>
      <c r="F492" s="35">
        <v>3</v>
      </c>
      <c r="G492" s="35">
        <v>21</v>
      </c>
      <c r="H492">
        <v>72.390924057355278</v>
      </c>
    </row>
    <row r="493" spans="1:8" x14ac:dyDescent="0.25">
      <c r="A493" s="34" t="s">
        <v>97</v>
      </c>
      <c r="B493">
        <v>2025</v>
      </c>
      <c r="C493" t="str">
        <f t="shared" si="7"/>
        <v>Lamar_2025</v>
      </c>
      <c r="D493" s="35">
        <v>3</v>
      </c>
      <c r="E493" s="35">
        <v>13</v>
      </c>
      <c r="F493" s="35">
        <v>5</v>
      </c>
      <c r="G493" s="35">
        <v>21</v>
      </c>
      <c r="H493">
        <v>77.385769393810946</v>
      </c>
    </row>
    <row r="494" spans="1:8" x14ac:dyDescent="0.25">
      <c r="A494" s="31" t="s">
        <v>132</v>
      </c>
      <c r="B494">
        <v>2025</v>
      </c>
      <c r="C494" t="str">
        <f t="shared" si="7"/>
        <v>SLake_2025</v>
      </c>
      <c r="D494" s="32">
        <v>1</v>
      </c>
      <c r="E494" s="32">
        <v>18</v>
      </c>
      <c r="F494" s="32">
        <v>1</v>
      </c>
      <c r="G494" s="32">
        <v>21</v>
      </c>
      <c r="H494">
        <v>62.610996576828498</v>
      </c>
    </row>
    <row r="495" spans="1:8" x14ac:dyDescent="0.25">
      <c r="A495" s="31" t="s">
        <v>132</v>
      </c>
      <c r="B495">
        <v>2025</v>
      </c>
      <c r="C495" t="str">
        <f t="shared" si="7"/>
        <v>SLake_2025</v>
      </c>
      <c r="D495" s="32">
        <v>2</v>
      </c>
      <c r="E495" s="32">
        <v>6</v>
      </c>
      <c r="F495" s="32">
        <v>3</v>
      </c>
      <c r="G495" s="32">
        <v>21</v>
      </c>
      <c r="H495">
        <v>66.596385542168662</v>
      </c>
    </row>
    <row r="496" spans="1:8" x14ac:dyDescent="0.25">
      <c r="A496" s="31" t="s">
        <v>132</v>
      </c>
      <c r="B496">
        <v>2025</v>
      </c>
      <c r="C496" t="str">
        <f t="shared" si="7"/>
        <v>SLake_2025</v>
      </c>
      <c r="D496" s="32">
        <v>3</v>
      </c>
      <c r="E496" s="32">
        <v>14</v>
      </c>
      <c r="F496" s="32">
        <v>6</v>
      </c>
      <c r="G496" s="32">
        <v>21</v>
      </c>
      <c r="H496">
        <v>61.879218546872728</v>
      </c>
    </row>
    <row r="497" spans="1:8" x14ac:dyDescent="0.25">
      <c r="A497" s="31" t="s">
        <v>13</v>
      </c>
      <c r="B497">
        <v>2025</v>
      </c>
      <c r="C497" t="str">
        <f t="shared" si="7"/>
        <v>Walsh_2025</v>
      </c>
      <c r="D497" s="32">
        <v>1</v>
      </c>
      <c r="E497" s="36">
        <v>6</v>
      </c>
      <c r="F497" s="36">
        <v>2</v>
      </c>
      <c r="G497" s="32">
        <v>21</v>
      </c>
      <c r="H497">
        <v>71.420359999999988</v>
      </c>
    </row>
    <row r="498" spans="1:8" x14ac:dyDescent="0.25">
      <c r="A498" s="31" t="s">
        <v>13</v>
      </c>
      <c r="B498">
        <v>2025</v>
      </c>
      <c r="C498" t="str">
        <f t="shared" si="7"/>
        <v>Walsh_2025</v>
      </c>
      <c r="D498" s="32">
        <v>2</v>
      </c>
      <c r="E498" s="36">
        <v>5</v>
      </c>
      <c r="F498" s="36">
        <v>3</v>
      </c>
      <c r="G498" s="32">
        <v>21</v>
      </c>
      <c r="H498">
        <v>77.82929</v>
      </c>
    </row>
    <row r="499" spans="1:8" x14ac:dyDescent="0.25">
      <c r="A499" s="31" t="s">
        <v>13</v>
      </c>
      <c r="B499">
        <v>2025</v>
      </c>
      <c r="C499" t="str">
        <f t="shared" si="7"/>
        <v>Walsh_2025</v>
      </c>
      <c r="D499" s="32">
        <v>3</v>
      </c>
      <c r="E499" s="36">
        <v>18</v>
      </c>
      <c r="F499" s="36">
        <v>6</v>
      </c>
      <c r="G499" s="32">
        <v>21</v>
      </c>
      <c r="H499">
        <v>77.774234999999976</v>
      </c>
    </row>
    <row r="500" spans="1:8" x14ac:dyDescent="0.25">
      <c r="A500" t="s">
        <v>7</v>
      </c>
      <c r="B500">
        <v>2025</v>
      </c>
      <c r="C500" t="str">
        <f t="shared" si="7"/>
        <v>Akron_2025</v>
      </c>
      <c r="D500" s="11">
        <v>1</v>
      </c>
      <c r="E500" s="11">
        <v>9</v>
      </c>
      <c r="F500" s="11">
        <v>3</v>
      </c>
      <c r="G500" s="11">
        <v>21</v>
      </c>
      <c r="H500">
        <v>55.164606230145544</v>
      </c>
    </row>
    <row r="501" spans="1:8" x14ac:dyDescent="0.25">
      <c r="A501" t="s">
        <v>7</v>
      </c>
      <c r="B501">
        <v>2025</v>
      </c>
      <c r="C501" t="str">
        <f t="shared" si="7"/>
        <v>Akron_2025</v>
      </c>
      <c r="D501" s="11">
        <v>2</v>
      </c>
      <c r="E501" s="11">
        <v>4</v>
      </c>
      <c r="F501" s="11">
        <v>6</v>
      </c>
      <c r="G501" s="11">
        <v>21</v>
      </c>
      <c r="H501">
        <v>53.350106827231208</v>
      </c>
    </row>
    <row r="502" spans="1:8" x14ac:dyDescent="0.25">
      <c r="A502" t="s">
        <v>7</v>
      </c>
      <c r="B502">
        <v>2025</v>
      </c>
      <c r="C502" t="str">
        <f t="shared" si="7"/>
        <v>Akron_2025</v>
      </c>
      <c r="D502" s="11">
        <v>3</v>
      </c>
      <c r="E502" s="11">
        <v>3</v>
      </c>
      <c r="F502" s="11">
        <v>9</v>
      </c>
      <c r="G502" s="11">
        <v>21</v>
      </c>
      <c r="H502">
        <v>51.338667573079526</v>
      </c>
    </row>
    <row r="503" spans="1:8" x14ac:dyDescent="0.25">
      <c r="A503" s="31" t="s">
        <v>156</v>
      </c>
      <c r="B503">
        <v>2025</v>
      </c>
      <c r="C503" t="str">
        <f t="shared" si="7"/>
        <v>Genoa_2025</v>
      </c>
      <c r="D503" s="32">
        <v>1</v>
      </c>
      <c r="E503" s="32">
        <v>17</v>
      </c>
      <c r="F503" s="32">
        <v>1</v>
      </c>
      <c r="G503" s="32">
        <v>21</v>
      </c>
      <c r="H503">
        <v>53.921564051877922</v>
      </c>
    </row>
    <row r="504" spans="1:8" x14ac:dyDescent="0.25">
      <c r="A504" s="31" t="s">
        <v>156</v>
      </c>
      <c r="B504">
        <v>2025</v>
      </c>
      <c r="C504" t="str">
        <f t="shared" si="7"/>
        <v>Genoa_2025</v>
      </c>
      <c r="D504" s="32">
        <v>2</v>
      </c>
      <c r="E504" s="32">
        <v>11</v>
      </c>
      <c r="F504" s="32">
        <v>4</v>
      </c>
      <c r="G504" s="32">
        <v>21</v>
      </c>
      <c r="H504">
        <v>52.868501194947072</v>
      </c>
    </row>
    <row r="505" spans="1:8" x14ac:dyDescent="0.25">
      <c r="A505" s="31" t="s">
        <v>156</v>
      </c>
      <c r="B505">
        <v>2025</v>
      </c>
      <c r="C505" t="str">
        <f t="shared" si="7"/>
        <v>Genoa_2025</v>
      </c>
      <c r="D505" s="32">
        <v>3</v>
      </c>
      <c r="E505" s="32">
        <v>23</v>
      </c>
      <c r="F505" s="32">
        <v>5</v>
      </c>
      <c r="G505" s="32">
        <v>21</v>
      </c>
      <c r="H505">
        <v>45.507328755198763</v>
      </c>
    </row>
    <row r="506" spans="1:8" x14ac:dyDescent="0.25">
      <c r="A506" s="31" t="s">
        <v>10</v>
      </c>
      <c r="B506">
        <v>2025</v>
      </c>
      <c r="C506" t="str">
        <f t="shared" si="7"/>
        <v>Julesburg_2025</v>
      </c>
      <c r="D506" s="32">
        <v>1</v>
      </c>
      <c r="E506" s="32">
        <v>12</v>
      </c>
      <c r="F506" s="32">
        <v>1</v>
      </c>
      <c r="G506" s="32">
        <v>21</v>
      </c>
      <c r="H506">
        <v>57.165428571428563</v>
      </c>
    </row>
    <row r="507" spans="1:8" x14ac:dyDescent="0.25">
      <c r="A507" s="31" t="s">
        <v>10</v>
      </c>
      <c r="B507">
        <v>2025</v>
      </c>
      <c r="C507" t="str">
        <f t="shared" si="7"/>
        <v>Julesburg_2025</v>
      </c>
      <c r="D507" s="32">
        <v>2</v>
      </c>
      <c r="E507" s="32">
        <v>6</v>
      </c>
      <c r="F507" s="32">
        <v>8</v>
      </c>
      <c r="G507" s="32">
        <v>21</v>
      </c>
      <c r="H507">
        <v>53.910882156187888</v>
      </c>
    </row>
    <row r="508" spans="1:8" x14ac:dyDescent="0.25">
      <c r="A508" s="31" t="s">
        <v>10</v>
      </c>
      <c r="B508">
        <v>2025</v>
      </c>
      <c r="C508" t="str">
        <f t="shared" si="7"/>
        <v>Julesburg_2025</v>
      </c>
      <c r="D508" s="32">
        <v>3</v>
      </c>
      <c r="E508" s="32">
        <v>8</v>
      </c>
      <c r="F508" s="32">
        <v>10</v>
      </c>
      <c r="G508" s="32">
        <v>21</v>
      </c>
      <c r="H508">
        <v>62.465375352044276</v>
      </c>
    </row>
    <row r="509" spans="1:8" x14ac:dyDescent="0.25">
      <c r="A509" s="31" t="s">
        <v>11</v>
      </c>
      <c r="B509">
        <v>2025</v>
      </c>
      <c r="C509" t="str">
        <f t="shared" si="7"/>
        <v>Orchard_2025</v>
      </c>
      <c r="D509" s="32">
        <v>1</v>
      </c>
      <c r="E509" s="32">
        <v>3</v>
      </c>
      <c r="F509" s="32">
        <v>1</v>
      </c>
      <c r="G509" s="11">
        <v>21</v>
      </c>
      <c r="H509">
        <v>18.067911274485116</v>
      </c>
    </row>
    <row r="510" spans="1:8" x14ac:dyDescent="0.25">
      <c r="A510" s="31" t="s">
        <v>11</v>
      </c>
      <c r="B510">
        <v>2025</v>
      </c>
      <c r="C510" t="str">
        <f t="shared" si="7"/>
        <v>Orchard_2025</v>
      </c>
      <c r="D510" s="32">
        <v>2</v>
      </c>
      <c r="E510" s="32">
        <v>8</v>
      </c>
      <c r="F510" s="32">
        <v>5</v>
      </c>
      <c r="G510" s="11">
        <v>21</v>
      </c>
      <c r="H510">
        <v>20.174693261816955</v>
      </c>
    </row>
    <row r="511" spans="1:8" x14ac:dyDescent="0.25">
      <c r="A511" s="31" t="s">
        <v>11</v>
      </c>
      <c r="B511">
        <v>2025</v>
      </c>
      <c r="C511" t="str">
        <f t="shared" si="7"/>
        <v>Orchard_2025</v>
      </c>
      <c r="D511" s="32">
        <v>3</v>
      </c>
      <c r="E511" s="32">
        <v>7</v>
      </c>
      <c r="F511" s="32">
        <v>8</v>
      </c>
      <c r="G511" s="11">
        <v>21</v>
      </c>
      <c r="H511">
        <v>30.989366883116876</v>
      </c>
    </row>
    <row r="512" spans="1:8" x14ac:dyDescent="0.25">
      <c r="A512" t="s">
        <v>160</v>
      </c>
      <c r="B512">
        <v>2025</v>
      </c>
      <c r="C512" t="str">
        <f t="shared" si="7"/>
        <v>Yuma_2025</v>
      </c>
      <c r="D512" s="11">
        <v>1</v>
      </c>
      <c r="E512" s="36">
        <v>1</v>
      </c>
      <c r="F512" s="36">
        <v>2</v>
      </c>
      <c r="G512" s="32">
        <v>21</v>
      </c>
      <c r="H512">
        <v>93.104490072639223</v>
      </c>
    </row>
    <row r="513" spans="1:8" x14ac:dyDescent="0.25">
      <c r="A513" t="s">
        <v>160</v>
      </c>
      <c r="B513">
        <v>2025</v>
      </c>
      <c r="C513" t="str">
        <f t="shared" si="7"/>
        <v>Yuma_2025</v>
      </c>
      <c r="D513" s="11">
        <v>2</v>
      </c>
      <c r="E513" s="36">
        <v>17</v>
      </c>
      <c r="F513" s="36">
        <v>3</v>
      </c>
      <c r="G513" s="32">
        <v>21</v>
      </c>
      <c r="H513">
        <v>90.579233599018991</v>
      </c>
    </row>
    <row r="514" spans="1:8" x14ac:dyDescent="0.25">
      <c r="A514" t="s">
        <v>160</v>
      </c>
      <c r="B514">
        <v>2025</v>
      </c>
      <c r="C514" t="str">
        <f t="shared" si="7"/>
        <v>Yuma_2025</v>
      </c>
      <c r="D514" s="11">
        <v>3</v>
      </c>
      <c r="E514" s="36">
        <v>22</v>
      </c>
      <c r="F514" s="36">
        <v>6</v>
      </c>
      <c r="G514" s="32">
        <v>21</v>
      </c>
      <c r="H514">
        <v>82.738273649942542</v>
      </c>
    </row>
    <row r="515" spans="1:8" x14ac:dyDescent="0.25">
      <c r="A515" s="31" t="s">
        <v>116</v>
      </c>
      <c r="B515">
        <v>2025</v>
      </c>
      <c r="C515" t="str">
        <f t="shared" ref="C515:C578" si="8">A515&amp;"_"&amp;B515</f>
        <v>Burlington_2025</v>
      </c>
      <c r="D515" s="32">
        <v>1</v>
      </c>
      <c r="E515" s="32">
        <v>11</v>
      </c>
      <c r="F515" s="32">
        <v>4</v>
      </c>
      <c r="G515" s="32">
        <v>22</v>
      </c>
      <c r="H515">
        <v>64.528196213425119</v>
      </c>
    </row>
    <row r="516" spans="1:8" x14ac:dyDescent="0.25">
      <c r="A516" s="31" t="s">
        <v>116</v>
      </c>
      <c r="B516">
        <v>2025</v>
      </c>
      <c r="C516" t="str">
        <f t="shared" si="8"/>
        <v>Burlington_2025</v>
      </c>
      <c r="D516" s="32">
        <v>2</v>
      </c>
      <c r="E516" s="32">
        <v>9</v>
      </c>
      <c r="F516" s="32">
        <v>8</v>
      </c>
      <c r="G516" s="32">
        <v>22</v>
      </c>
      <c r="H516">
        <v>66.667653614457848</v>
      </c>
    </row>
    <row r="517" spans="1:8" x14ac:dyDescent="0.25">
      <c r="A517" s="31" t="s">
        <v>116</v>
      </c>
      <c r="B517">
        <v>2025</v>
      </c>
      <c r="C517" t="str">
        <f t="shared" si="8"/>
        <v>Burlington_2025</v>
      </c>
      <c r="D517" s="32">
        <v>3</v>
      </c>
      <c r="E517" s="32">
        <v>6</v>
      </c>
      <c r="F517" s="32">
        <v>9</v>
      </c>
      <c r="G517" s="32">
        <v>22</v>
      </c>
      <c r="H517">
        <v>69.433581505231189</v>
      </c>
    </row>
    <row r="518" spans="1:8" x14ac:dyDescent="0.25">
      <c r="A518" s="34" t="s">
        <v>97</v>
      </c>
      <c r="B518">
        <v>2025</v>
      </c>
      <c r="C518" t="str">
        <f t="shared" si="8"/>
        <v>Lamar_2025</v>
      </c>
      <c r="D518" s="35">
        <v>1</v>
      </c>
      <c r="E518" s="35">
        <v>14</v>
      </c>
      <c r="F518" s="35">
        <v>2</v>
      </c>
      <c r="G518" s="35">
        <v>22</v>
      </c>
      <c r="H518">
        <v>72.112126245847165</v>
      </c>
    </row>
    <row r="519" spans="1:8" x14ac:dyDescent="0.25">
      <c r="A519" s="34" t="s">
        <v>97</v>
      </c>
      <c r="B519">
        <v>2025</v>
      </c>
      <c r="C519" t="str">
        <f t="shared" si="8"/>
        <v>Lamar_2025</v>
      </c>
      <c r="D519" s="35">
        <v>2</v>
      </c>
      <c r="E519" s="35">
        <v>18</v>
      </c>
      <c r="F519" s="35">
        <v>4</v>
      </c>
      <c r="G519" s="35">
        <v>22</v>
      </c>
      <c r="H519">
        <v>72.20047219558964</v>
      </c>
    </row>
    <row r="520" spans="1:8" x14ac:dyDescent="0.25">
      <c r="A520" s="34" t="s">
        <v>97</v>
      </c>
      <c r="B520">
        <v>2025</v>
      </c>
      <c r="C520" t="str">
        <f t="shared" si="8"/>
        <v>Lamar_2025</v>
      </c>
      <c r="D520" s="35">
        <v>3</v>
      </c>
      <c r="E520" s="35">
        <v>11</v>
      </c>
      <c r="F520" s="35">
        <v>6</v>
      </c>
      <c r="G520" s="35">
        <v>22</v>
      </c>
      <c r="H520">
        <v>71.949189395384323</v>
      </c>
    </row>
    <row r="521" spans="1:8" x14ac:dyDescent="0.25">
      <c r="A521" s="31" t="s">
        <v>132</v>
      </c>
      <c r="B521">
        <v>2025</v>
      </c>
      <c r="C521" t="str">
        <f t="shared" si="8"/>
        <v>SLake_2025</v>
      </c>
      <c r="D521" s="32">
        <v>1</v>
      </c>
      <c r="E521" s="32">
        <v>5</v>
      </c>
      <c r="F521" s="32">
        <v>1</v>
      </c>
      <c r="G521" s="32">
        <v>22</v>
      </c>
      <c r="H521">
        <v>69.452072706234034</v>
      </c>
    </row>
    <row r="522" spans="1:8" x14ac:dyDescent="0.25">
      <c r="A522" s="31" t="s">
        <v>132</v>
      </c>
      <c r="B522">
        <v>2025</v>
      </c>
      <c r="C522" t="str">
        <f t="shared" si="8"/>
        <v>SLake_2025</v>
      </c>
      <c r="D522" s="32">
        <v>2</v>
      </c>
      <c r="E522" s="32">
        <v>10</v>
      </c>
      <c r="F522" s="32">
        <v>3</v>
      </c>
      <c r="G522" s="32">
        <v>22</v>
      </c>
      <c r="H522">
        <v>69.439724612736669</v>
      </c>
    </row>
    <row r="523" spans="1:8" x14ac:dyDescent="0.25">
      <c r="A523" s="31" t="s">
        <v>132</v>
      </c>
      <c r="B523">
        <v>2025</v>
      </c>
      <c r="C523" t="str">
        <f t="shared" si="8"/>
        <v>SLake_2025</v>
      </c>
      <c r="D523" s="32">
        <v>3</v>
      </c>
      <c r="E523" s="32">
        <v>2</v>
      </c>
      <c r="F523" s="32">
        <v>6</v>
      </c>
      <c r="G523" s="32">
        <v>22</v>
      </c>
      <c r="H523">
        <v>59.78610429004766</v>
      </c>
    </row>
    <row r="524" spans="1:8" x14ac:dyDescent="0.25">
      <c r="A524" s="31" t="s">
        <v>13</v>
      </c>
      <c r="B524">
        <v>2025</v>
      </c>
      <c r="C524" t="str">
        <f t="shared" si="8"/>
        <v>Walsh_2025</v>
      </c>
      <c r="D524" s="32">
        <v>1</v>
      </c>
      <c r="E524" s="36">
        <v>18</v>
      </c>
      <c r="F524" s="36">
        <v>2</v>
      </c>
      <c r="G524" s="32">
        <v>22</v>
      </c>
      <c r="H524">
        <v>71.162409999999994</v>
      </c>
    </row>
    <row r="525" spans="1:8" x14ac:dyDescent="0.25">
      <c r="A525" s="31" t="s">
        <v>13</v>
      </c>
      <c r="B525">
        <v>2025</v>
      </c>
      <c r="C525" t="str">
        <f t="shared" si="8"/>
        <v>Walsh_2025</v>
      </c>
      <c r="D525" s="32">
        <v>2</v>
      </c>
      <c r="E525" s="36">
        <v>1</v>
      </c>
      <c r="F525" s="36">
        <v>3</v>
      </c>
      <c r="G525" s="32">
        <v>22</v>
      </c>
      <c r="H525">
        <v>71.572050000000004</v>
      </c>
    </row>
    <row r="526" spans="1:8" x14ac:dyDescent="0.25">
      <c r="A526" s="31" t="s">
        <v>13</v>
      </c>
      <c r="B526">
        <v>2025</v>
      </c>
      <c r="C526" t="str">
        <f t="shared" si="8"/>
        <v>Walsh_2025</v>
      </c>
      <c r="D526" s="32">
        <v>3</v>
      </c>
      <c r="E526" s="36">
        <v>7</v>
      </c>
      <c r="F526" s="36">
        <v>5</v>
      </c>
      <c r="G526" s="32">
        <v>22</v>
      </c>
      <c r="H526">
        <v>61.910199999999989</v>
      </c>
    </row>
    <row r="527" spans="1:8" x14ac:dyDescent="0.25">
      <c r="A527" t="s">
        <v>7</v>
      </c>
      <c r="B527">
        <v>2025</v>
      </c>
      <c r="C527" t="str">
        <f t="shared" si="8"/>
        <v>Akron_2025</v>
      </c>
      <c r="D527" s="11">
        <v>1</v>
      </c>
      <c r="E527" s="11">
        <v>11</v>
      </c>
      <c r="F527" s="11">
        <v>4</v>
      </c>
      <c r="G527" s="11">
        <v>22</v>
      </c>
      <c r="H527">
        <v>46.470507499385299</v>
      </c>
    </row>
    <row r="528" spans="1:8" x14ac:dyDescent="0.25">
      <c r="A528" t="s">
        <v>7</v>
      </c>
      <c r="B528">
        <v>2025</v>
      </c>
      <c r="C528" t="str">
        <f t="shared" si="8"/>
        <v>Akron_2025</v>
      </c>
      <c r="D528" s="11">
        <v>2</v>
      </c>
      <c r="E528" s="11">
        <v>9</v>
      </c>
      <c r="F528" s="11">
        <v>7</v>
      </c>
      <c r="G528" s="11">
        <v>22</v>
      </c>
      <c r="H528">
        <v>49.839428571428563</v>
      </c>
    </row>
    <row r="529" spans="1:8" x14ac:dyDescent="0.25">
      <c r="A529" t="s">
        <v>7</v>
      </c>
      <c r="B529">
        <v>2025</v>
      </c>
      <c r="C529" t="str">
        <f t="shared" si="8"/>
        <v>Akron_2025</v>
      </c>
      <c r="D529" s="11">
        <v>3</v>
      </c>
      <c r="E529" s="11">
        <v>5</v>
      </c>
      <c r="F529" s="11">
        <v>9</v>
      </c>
      <c r="G529" s="11">
        <v>22</v>
      </c>
      <c r="H529">
        <v>47.126192094784884</v>
      </c>
    </row>
    <row r="530" spans="1:8" x14ac:dyDescent="0.25">
      <c r="A530" s="31" t="s">
        <v>156</v>
      </c>
      <c r="B530">
        <v>2025</v>
      </c>
      <c r="C530" t="str">
        <f t="shared" si="8"/>
        <v>Genoa_2025</v>
      </c>
      <c r="D530" s="32">
        <v>1</v>
      </c>
      <c r="E530" s="32">
        <v>11</v>
      </c>
      <c r="F530" s="32">
        <v>2</v>
      </c>
      <c r="G530" s="32">
        <v>22</v>
      </c>
      <c r="H530">
        <v>51.411880646097302</v>
      </c>
    </row>
    <row r="531" spans="1:8" x14ac:dyDescent="0.25">
      <c r="A531" s="31" t="s">
        <v>156</v>
      </c>
      <c r="B531">
        <v>2025</v>
      </c>
      <c r="C531" t="str">
        <f t="shared" si="8"/>
        <v>Genoa_2025</v>
      </c>
      <c r="D531" s="32">
        <v>2</v>
      </c>
      <c r="E531" s="32">
        <v>3</v>
      </c>
      <c r="F531" s="32">
        <v>3</v>
      </c>
      <c r="G531" s="32">
        <v>22</v>
      </c>
      <c r="H531">
        <v>44.556682416469791</v>
      </c>
    </row>
    <row r="532" spans="1:8" x14ac:dyDescent="0.25">
      <c r="A532" s="31" t="s">
        <v>156</v>
      </c>
      <c r="B532">
        <v>2025</v>
      </c>
      <c r="C532" t="str">
        <f t="shared" si="8"/>
        <v>Genoa_2025</v>
      </c>
      <c r="D532" s="32">
        <v>3</v>
      </c>
      <c r="E532" s="32">
        <v>7</v>
      </c>
      <c r="F532" s="32">
        <v>5</v>
      </c>
      <c r="G532" s="32">
        <v>22</v>
      </c>
      <c r="H532">
        <v>37.49450488441822</v>
      </c>
    </row>
    <row r="533" spans="1:8" x14ac:dyDescent="0.25">
      <c r="A533" s="31" t="s">
        <v>10</v>
      </c>
      <c r="B533">
        <v>2025</v>
      </c>
      <c r="C533" t="str">
        <f t="shared" si="8"/>
        <v>Julesburg_2025</v>
      </c>
      <c r="D533" s="32">
        <v>1</v>
      </c>
      <c r="E533" s="32">
        <v>11</v>
      </c>
      <c r="F533" s="32">
        <v>3</v>
      </c>
      <c r="G533" s="32">
        <v>22</v>
      </c>
      <c r="H533">
        <v>71.476828629618836</v>
      </c>
    </row>
    <row r="534" spans="1:8" x14ac:dyDescent="0.25">
      <c r="A534" s="31" t="s">
        <v>10</v>
      </c>
      <c r="B534">
        <v>2025</v>
      </c>
      <c r="C534" t="str">
        <f t="shared" si="8"/>
        <v>Julesburg_2025</v>
      </c>
      <c r="D534" s="32">
        <v>2</v>
      </c>
      <c r="E534" s="32">
        <v>9</v>
      </c>
      <c r="F534" s="32">
        <v>5</v>
      </c>
      <c r="G534" s="32">
        <v>22</v>
      </c>
      <c r="H534">
        <v>57.048179723502308</v>
      </c>
    </row>
    <row r="535" spans="1:8" x14ac:dyDescent="0.25">
      <c r="A535" s="31" t="s">
        <v>10</v>
      </c>
      <c r="B535">
        <v>2025</v>
      </c>
      <c r="C535" t="str">
        <f t="shared" si="8"/>
        <v>Julesburg_2025</v>
      </c>
      <c r="D535" s="32">
        <v>3</v>
      </c>
      <c r="E535" s="32">
        <v>6</v>
      </c>
      <c r="F535" s="32">
        <v>11</v>
      </c>
      <c r="G535" s="32">
        <v>22</v>
      </c>
      <c r="H535">
        <v>53.314225723064915</v>
      </c>
    </row>
    <row r="536" spans="1:8" x14ac:dyDescent="0.25">
      <c r="A536" s="31" t="s">
        <v>11</v>
      </c>
      <c r="B536">
        <v>2025</v>
      </c>
      <c r="C536" t="str">
        <f t="shared" si="8"/>
        <v>Orchard_2025</v>
      </c>
      <c r="D536" s="32">
        <v>1</v>
      </c>
      <c r="E536" s="32">
        <v>9</v>
      </c>
      <c r="F536" s="32">
        <v>2</v>
      </c>
      <c r="G536" s="11">
        <v>22</v>
      </c>
      <c r="H536">
        <v>29.15059494864288</v>
      </c>
    </row>
    <row r="537" spans="1:8" x14ac:dyDescent="0.25">
      <c r="A537" s="31" t="s">
        <v>11</v>
      </c>
      <c r="B537">
        <v>2025</v>
      </c>
      <c r="C537" t="str">
        <f t="shared" si="8"/>
        <v>Orchard_2025</v>
      </c>
      <c r="D537" s="32">
        <v>2</v>
      </c>
      <c r="E537" s="32">
        <v>11</v>
      </c>
      <c r="F537" s="32">
        <v>4</v>
      </c>
      <c r="G537" s="11">
        <v>22</v>
      </c>
      <c r="H537">
        <v>27.736482830385011</v>
      </c>
    </row>
    <row r="538" spans="1:8" x14ac:dyDescent="0.25">
      <c r="A538" s="31" t="s">
        <v>11</v>
      </c>
      <c r="B538">
        <v>2025</v>
      </c>
      <c r="C538" t="str">
        <f t="shared" si="8"/>
        <v>Orchard_2025</v>
      </c>
      <c r="D538" s="32">
        <v>3</v>
      </c>
      <c r="E538" s="32">
        <v>1</v>
      </c>
      <c r="F538" s="32">
        <v>9</v>
      </c>
      <c r="G538" s="11">
        <v>22</v>
      </c>
      <c r="H538">
        <v>35.596497940243374</v>
      </c>
    </row>
    <row r="539" spans="1:8" x14ac:dyDescent="0.25">
      <c r="A539" t="s">
        <v>160</v>
      </c>
      <c r="B539">
        <v>2025</v>
      </c>
      <c r="C539" t="str">
        <f t="shared" si="8"/>
        <v>Yuma_2025</v>
      </c>
      <c r="D539" s="11">
        <v>1</v>
      </c>
      <c r="E539" s="36">
        <v>6</v>
      </c>
      <c r="F539" s="36">
        <v>1</v>
      </c>
      <c r="G539" s="32">
        <v>22</v>
      </c>
      <c r="H539">
        <v>93.410021514629946</v>
      </c>
    </row>
    <row r="540" spans="1:8" x14ac:dyDescent="0.25">
      <c r="A540" t="s">
        <v>160</v>
      </c>
      <c r="B540">
        <v>2025</v>
      </c>
      <c r="C540" t="str">
        <f t="shared" si="8"/>
        <v>Yuma_2025</v>
      </c>
      <c r="D540" s="11">
        <v>2</v>
      </c>
      <c r="E540" s="36">
        <v>23</v>
      </c>
      <c r="F540" s="36">
        <v>4</v>
      </c>
      <c r="G540" s="32">
        <v>22</v>
      </c>
      <c r="H540">
        <v>85.215435027143343</v>
      </c>
    </row>
    <row r="541" spans="1:8" x14ac:dyDescent="0.25">
      <c r="A541" t="s">
        <v>160</v>
      </c>
      <c r="B541">
        <v>2025</v>
      </c>
      <c r="C541" t="str">
        <f t="shared" si="8"/>
        <v>Yuma_2025</v>
      </c>
      <c r="D541" s="11">
        <v>3</v>
      </c>
      <c r="E541" s="36">
        <v>18</v>
      </c>
      <c r="F541" s="36">
        <v>6</v>
      </c>
      <c r="G541" s="32">
        <v>22</v>
      </c>
      <c r="H541">
        <v>78.754670624281857</v>
      </c>
    </row>
    <row r="542" spans="1:8" x14ac:dyDescent="0.25">
      <c r="A542" s="31" t="s">
        <v>116</v>
      </c>
      <c r="B542">
        <v>2025</v>
      </c>
      <c r="C542" t="str">
        <f t="shared" si="8"/>
        <v>Burlington_2025</v>
      </c>
      <c r="D542" s="32">
        <v>1</v>
      </c>
      <c r="E542" s="32">
        <v>8</v>
      </c>
      <c r="F542" s="32">
        <v>4</v>
      </c>
      <c r="G542" s="32">
        <v>23</v>
      </c>
      <c r="H542">
        <v>53.134046901893278</v>
      </c>
    </row>
    <row r="543" spans="1:8" x14ac:dyDescent="0.25">
      <c r="A543" s="31" t="s">
        <v>116</v>
      </c>
      <c r="B543">
        <v>2025</v>
      </c>
      <c r="C543" t="str">
        <f t="shared" si="8"/>
        <v>Burlington_2025</v>
      </c>
      <c r="D543" s="32">
        <v>2</v>
      </c>
      <c r="E543" s="32">
        <v>1</v>
      </c>
      <c r="F543" s="32">
        <v>6</v>
      </c>
      <c r="G543" s="32">
        <v>23</v>
      </c>
      <c r="H543">
        <v>57.240276779836357</v>
      </c>
    </row>
    <row r="544" spans="1:8" x14ac:dyDescent="0.25">
      <c r="A544" s="31" t="s">
        <v>116</v>
      </c>
      <c r="B544">
        <v>2025</v>
      </c>
      <c r="C544" t="str">
        <f t="shared" si="8"/>
        <v>Burlington_2025</v>
      </c>
      <c r="D544" s="32">
        <v>3</v>
      </c>
      <c r="E544" s="32">
        <v>4</v>
      </c>
      <c r="F544" s="32">
        <v>9</v>
      </c>
      <c r="G544" s="32">
        <v>23</v>
      </c>
      <c r="H544">
        <v>63.904626488597465</v>
      </c>
    </row>
    <row r="545" spans="1:8" x14ac:dyDescent="0.25">
      <c r="A545" s="34" t="s">
        <v>97</v>
      </c>
      <c r="B545">
        <v>2025</v>
      </c>
      <c r="C545" t="str">
        <f t="shared" si="8"/>
        <v>Lamar_2025</v>
      </c>
      <c r="D545" s="35">
        <v>1</v>
      </c>
      <c r="E545" s="35">
        <v>20</v>
      </c>
      <c r="F545" s="35">
        <v>1</v>
      </c>
      <c r="G545" s="35">
        <v>23</v>
      </c>
      <c r="H545">
        <v>75.803027142857133</v>
      </c>
    </row>
    <row r="546" spans="1:8" x14ac:dyDescent="0.25">
      <c r="A546" s="34" t="s">
        <v>97</v>
      </c>
      <c r="B546">
        <v>2025</v>
      </c>
      <c r="C546" t="str">
        <f t="shared" si="8"/>
        <v>Lamar_2025</v>
      </c>
      <c r="D546" s="35">
        <v>2</v>
      </c>
      <c r="E546" s="35">
        <v>19</v>
      </c>
      <c r="F546" s="35">
        <v>3</v>
      </c>
      <c r="G546" s="35">
        <v>23</v>
      </c>
      <c r="H546">
        <v>71.091492299522045</v>
      </c>
    </row>
    <row r="547" spans="1:8" x14ac:dyDescent="0.25">
      <c r="A547" s="34" t="s">
        <v>97</v>
      </c>
      <c r="B547">
        <v>2025</v>
      </c>
      <c r="C547" t="str">
        <f t="shared" si="8"/>
        <v>Lamar_2025</v>
      </c>
      <c r="D547" s="35">
        <v>3</v>
      </c>
      <c r="E547" s="35">
        <v>4</v>
      </c>
      <c r="F547" s="35">
        <v>6</v>
      </c>
      <c r="G547" s="35">
        <v>23</v>
      </c>
      <c r="H547">
        <v>78.079759202746516</v>
      </c>
    </row>
    <row r="548" spans="1:8" x14ac:dyDescent="0.25">
      <c r="A548" s="31" t="s">
        <v>132</v>
      </c>
      <c r="B548">
        <v>2025</v>
      </c>
      <c r="C548" t="str">
        <f t="shared" si="8"/>
        <v>SLake_2025</v>
      </c>
      <c r="D548" s="32">
        <v>1</v>
      </c>
      <c r="E548" s="32">
        <v>6</v>
      </c>
      <c r="F548" s="32">
        <v>1</v>
      </c>
      <c r="G548" s="32">
        <v>23</v>
      </c>
      <c r="H548">
        <v>64.391287787474084</v>
      </c>
    </row>
    <row r="549" spans="1:8" x14ac:dyDescent="0.25">
      <c r="A549" s="31" t="s">
        <v>132</v>
      </c>
      <c r="B549">
        <v>2025</v>
      </c>
      <c r="C549" t="str">
        <f t="shared" si="8"/>
        <v>SLake_2025</v>
      </c>
      <c r="D549" s="32">
        <v>2</v>
      </c>
      <c r="E549" s="32">
        <v>14</v>
      </c>
      <c r="F549" s="32">
        <v>3</v>
      </c>
      <c r="G549" s="32">
        <v>23</v>
      </c>
      <c r="H549">
        <v>70.543653184165223</v>
      </c>
    </row>
    <row r="550" spans="1:8" x14ac:dyDescent="0.25">
      <c r="A550" s="31" t="s">
        <v>132</v>
      </c>
      <c r="B550">
        <v>2025</v>
      </c>
      <c r="C550" t="str">
        <f t="shared" si="8"/>
        <v>SLake_2025</v>
      </c>
      <c r="D550" s="32">
        <v>3</v>
      </c>
      <c r="E550" s="32">
        <v>5</v>
      </c>
      <c r="F550" s="32">
        <v>5</v>
      </c>
      <c r="G550" s="32">
        <v>23</v>
      </c>
      <c r="H550">
        <v>68.768840358573328</v>
      </c>
    </row>
    <row r="551" spans="1:8" x14ac:dyDescent="0.25">
      <c r="A551" s="31" t="s">
        <v>13</v>
      </c>
      <c r="B551">
        <v>2025</v>
      </c>
      <c r="C551" t="str">
        <f t="shared" si="8"/>
        <v>Walsh_2025</v>
      </c>
      <c r="D551" s="32">
        <v>1</v>
      </c>
      <c r="E551" s="36">
        <v>12</v>
      </c>
      <c r="F551" s="36">
        <v>2</v>
      </c>
      <c r="G551" s="32">
        <v>23</v>
      </c>
      <c r="H551">
        <v>67.355199999999982</v>
      </c>
    </row>
    <row r="552" spans="1:8" x14ac:dyDescent="0.25">
      <c r="A552" s="31" t="s">
        <v>13</v>
      </c>
      <c r="B552">
        <v>2025</v>
      </c>
      <c r="C552" t="str">
        <f t="shared" si="8"/>
        <v>Walsh_2025</v>
      </c>
      <c r="D552" s="32">
        <v>2</v>
      </c>
      <c r="E552" s="36">
        <v>15</v>
      </c>
      <c r="F552" s="36">
        <v>4</v>
      </c>
      <c r="G552" s="32">
        <v>23</v>
      </c>
      <c r="H552">
        <v>70.058339999999987</v>
      </c>
    </row>
    <row r="553" spans="1:8" x14ac:dyDescent="0.25">
      <c r="A553" s="31" t="s">
        <v>13</v>
      </c>
      <c r="B553">
        <v>2025</v>
      </c>
      <c r="C553" t="str">
        <f t="shared" si="8"/>
        <v>Walsh_2025</v>
      </c>
      <c r="D553" s="32">
        <v>3</v>
      </c>
      <c r="E553" s="36">
        <v>20</v>
      </c>
      <c r="F553" s="36">
        <v>5</v>
      </c>
      <c r="G553" s="32">
        <v>23</v>
      </c>
    </row>
    <row r="554" spans="1:8" x14ac:dyDescent="0.25">
      <c r="A554" t="s">
        <v>7</v>
      </c>
      <c r="B554">
        <v>2025</v>
      </c>
      <c r="C554" t="str">
        <f t="shared" si="8"/>
        <v>Akron_2025</v>
      </c>
      <c r="D554" s="11">
        <v>1</v>
      </c>
      <c r="E554" s="11">
        <v>5</v>
      </c>
      <c r="F554" s="11">
        <v>4</v>
      </c>
      <c r="G554" s="11">
        <v>23</v>
      </c>
      <c r="H554">
        <v>49.264756331448247</v>
      </c>
    </row>
    <row r="555" spans="1:8" x14ac:dyDescent="0.25">
      <c r="A555" t="s">
        <v>7</v>
      </c>
      <c r="B555">
        <v>2025</v>
      </c>
      <c r="C555" t="str">
        <f t="shared" si="8"/>
        <v>Akron_2025</v>
      </c>
      <c r="D555" s="11">
        <v>2</v>
      </c>
      <c r="E555" s="11">
        <v>10</v>
      </c>
      <c r="F555" s="11">
        <v>8</v>
      </c>
      <c r="G555" s="11">
        <v>23</v>
      </c>
      <c r="H555">
        <v>55.562593793871315</v>
      </c>
    </row>
    <row r="556" spans="1:8" x14ac:dyDescent="0.25">
      <c r="A556" t="s">
        <v>7</v>
      </c>
      <c r="B556">
        <v>2025</v>
      </c>
      <c r="C556" t="str">
        <f t="shared" si="8"/>
        <v>Akron_2025</v>
      </c>
      <c r="D556" s="11">
        <v>3</v>
      </c>
      <c r="E556" s="11">
        <v>3</v>
      </c>
      <c r="F556" s="11">
        <v>11</v>
      </c>
      <c r="G556" s="11">
        <v>23</v>
      </c>
      <c r="H556">
        <v>45.637214237484322</v>
      </c>
    </row>
    <row r="557" spans="1:8" x14ac:dyDescent="0.25">
      <c r="A557" s="31" t="s">
        <v>156</v>
      </c>
      <c r="B557">
        <v>2025</v>
      </c>
      <c r="C557" t="str">
        <f t="shared" si="8"/>
        <v>Genoa_2025</v>
      </c>
      <c r="D557" s="32">
        <v>1</v>
      </c>
      <c r="E557" s="32">
        <v>5</v>
      </c>
      <c r="F557" s="32">
        <v>2</v>
      </c>
      <c r="G557" s="32">
        <v>23</v>
      </c>
      <c r="H557">
        <v>29.808967985298384</v>
      </c>
    </row>
    <row r="558" spans="1:8" x14ac:dyDescent="0.25">
      <c r="A558" s="31" t="s">
        <v>156</v>
      </c>
      <c r="B558">
        <v>2025</v>
      </c>
      <c r="C558" t="str">
        <f t="shared" si="8"/>
        <v>Genoa_2025</v>
      </c>
      <c r="D558" s="32">
        <v>2</v>
      </c>
      <c r="E558" s="32">
        <v>20</v>
      </c>
      <c r="F558" s="32">
        <v>3</v>
      </c>
      <c r="G558" s="32">
        <v>23</v>
      </c>
      <c r="H558">
        <v>34.622974398534296</v>
      </c>
    </row>
    <row r="559" spans="1:8" x14ac:dyDescent="0.25">
      <c r="A559" s="31" t="s">
        <v>156</v>
      </c>
      <c r="B559">
        <v>2025</v>
      </c>
      <c r="C559" t="str">
        <f t="shared" si="8"/>
        <v>Genoa_2025</v>
      </c>
      <c r="D559" s="32">
        <v>3</v>
      </c>
      <c r="E559" s="32">
        <v>9</v>
      </c>
      <c r="F559" s="32">
        <v>6</v>
      </c>
      <c r="G559" s="32">
        <v>23</v>
      </c>
      <c r="H559">
        <v>39.406303312977819</v>
      </c>
    </row>
    <row r="560" spans="1:8" x14ac:dyDescent="0.25">
      <c r="A560" s="31" t="s">
        <v>10</v>
      </c>
      <c r="B560">
        <v>2025</v>
      </c>
      <c r="C560" t="str">
        <f t="shared" si="8"/>
        <v>Julesburg_2025</v>
      </c>
      <c r="D560" s="32">
        <v>1</v>
      </c>
      <c r="E560" s="32">
        <v>2</v>
      </c>
      <c r="F560" s="32">
        <v>1</v>
      </c>
      <c r="G560" s="32">
        <v>23</v>
      </c>
      <c r="H560">
        <v>44.768842105263154</v>
      </c>
    </row>
    <row r="561" spans="1:8" x14ac:dyDescent="0.25">
      <c r="A561" s="31" t="s">
        <v>10</v>
      </c>
      <c r="B561">
        <v>2025</v>
      </c>
      <c r="C561" t="str">
        <f t="shared" si="8"/>
        <v>Julesburg_2025</v>
      </c>
      <c r="D561" s="32">
        <v>2</v>
      </c>
      <c r="E561" s="32">
        <v>8</v>
      </c>
      <c r="F561" s="32">
        <v>6</v>
      </c>
      <c r="G561" s="32">
        <v>23</v>
      </c>
      <c r="H561">
        <v>53.002054380664653</v>
      </c>
    </row>
    <row r="562" spans="1:8" x14ac:dyDescent="0.25">
      <c r="A562" s="31" t="s">
        <v>10</v>
      </c>
      <c r="B562">
        <v>2025</v>
      </c>
      <c r="C562" t="str">
        <f t="shared" si="8"/>
        <v>Julesburg_2025</v>
      </c>
      <c r="D562" s="32">
        <v>3</v>
      </c>
      <c r="E562" s="32">
        <v>10</v>
      </c>
      <c r="F562" s="32">
        <v>10</v>
      </c>
      <c r="G562" s="32">
        <v>23</v>
      </c>
      <c r="H562">
        <v>59.532679421190622</v>
      </c>
    </row>
    <row r="563" spans="1:8" x14ac:dyDescent="0.25">
      <c r="A563" s="31" t="s">
        <v>11</v>
      </c>
      <c r="B563">
        <v>2025</v>
      </c>
      <c r="C563" t="str">
        <f t="shared" si="8"/>
        <v>Orchard_2025</v>
      </c>
      <c r="D563" s="32">
        <v>1</v>
      </c>
      <c r="E563" s="32">
        <v>6</v>
      </c>
      <c r="F563" s="32">
        <v>1</v>
      </c>
      <c r="G563" s="11">
        <v>23</v>
      </c>
      <c r="H563">
        <v>18.10205951961327</v>
      </c>
    </row>
    <row r="564" spans="1:8" x14ac:dyDescent="0.25">
      <c r="A564" s="31" t="s">
        <v>11</v>
      </c>
      <c r="B564">
        <v>2025</v>
      </c>
      <c r="C564" t="str">
        <f t="shared" si="8"/>
        <v>Orchard_2025</v>
      </c>
      <c r="D564" s="32">
        <v>2</v>
      </c>
      <c r="E564" s="32">
        <v>18</v>
      </c>
      <c r="F564" s="32">
        <v>6</v>
      </c>
      <c r="G564" s="11">
        <v>23</v>
      </c>
      <c r="H564">
        <v>26.734624367458149</v>
      </c>
    </row>
    <row r="565" spans="1:8" x14ac:dyDescent="0.25">
      <c r="A565" s="31" t="s">
        <v>11</v>
      </c>
      <c r="B565">
        <v>2025</v>
      </c>
      <c r="C565" t="str">
        <f t="shared" si="8"/>
        <v>Orchard_2025</v>
      </c>
      <c r="D565" s="32">
        <v>3</v>
      </c>
      <c r="E565" s="32">
        <v>13</v>
      </c>
      <c r="F565" s="32">
        <v>8</v>
      </c>
      <c r="G565" s="11">
        <v>23</v>
      </c>
      <c r="H565">
        <v>30.539415584415583</v>
      </c>
    </row>
    <row r="566" spans="1:8" x14ac:dyDescent="0.25">
      <c r="A566" t="s">
        <v>160</v>
      </c>
      <c r="B566">
        <v>2025</v>
      </c>
      <c r="C566" t="str">
        <f t="shared" si="8"/>
        <v>Yuma_2025</v>
      </c>
      <c r="D566">
        <v>1</v>
      </c>
      <c r="E566" s="36">
        <v>18</v>
      </c>
      <c r="F566" s="36">
        <v>1</v>
      </c>
      <c r="G566" s="32">
        <v>23</v>
      </c>
      <c r="H566">
        <v>87.418192771084335</v>
      </c>
    </row>
    <row r="567" spans="1:8" x14ac:dyDescent="0.25">
      <c r="A567" t="s">
        <v>160</v>
      </c>
      <c r="B567">
        <v>2025</v>
      </c>
      <c r="C567" t="str">
        <f t="shared" si="8"/>
        <v>Yuma_2025</v>
      </c>
      <c r="D567">
        <v>2</v>
      </c>
      <c r="E567" s="36">
        <v>22</v>
      </c>
      <c r="F567" s="36">
        <v>4</v>
      </c>
      <c r="G567" s="32">
        <v>23</v>
      </c>
      <c r="H567">
        <v>84.477062649777466</v>
      </c>
    </row>
    <row r="568" spans="1:8" x14ac:dyDescent="0.25">
      <c r="A568" t="s">
        <v>160</v>
      </c>
      <c r="B568">
        <v>2025</v>
      </c>
      <c r="C568" t="str">
        <f t="shared" si="8"/>
        <v>Yuma_2025</v>
      </c>
      <c r="D568">
        <v>3</v>
      </c>
      <c r="E568" s="36">
        <v>4</v>
      </c>
      <c r="F568" s="36">
        <v>5</v>
      </c>
      <c r="G568" s="32">
        <v>23</v>
      </c>
      <c r="H568">
        <v>81.858751813521607</v>
      </c>
    </row>
    <row r="569" spans="1:8" x14ac:dyDescent="0.25">
      <c r="A569" s="31" t="s">
        <v>116</v>
      </c>
      <c r="B569">
        <v>2025</v>
      </c>
      <c r="C569" t="str">
        <f t="shared" si="8"/>
        <v>Burlington_2025</v>
      </c>
      <c r="D569" s="32">
        <v>1</v>
      </c>
      <c r="E569" s="32">
        <v>8</v>
      </c>
      <c r="F569" s="32">
        <v>3</v>
      </c>
      <c r="G569" s="32">
        <v>24</v>
      </c>
      <c r="H569">
        <v>61.309328861985477</v>
      </c>
    </row>
    <row r="570" spans="1:8" x14ac:dyDescent="0.25">
      <c r="A570" s="31" t="s">
        <v>116</v>
      </c>
      <c r="B570">
        <v>2025</v>
      </c>
      <c r="C570" t="str">
        <f t="shared" si="8"/>
        <v>Burlington_2025</v>
      </c>
      <c r="D570" s="32">
        <v>2</v>
      </c>
      <c r="E570" s="32">
        <v>7</v>
      </c>
      <c r="F570" s="32">
        <v>5</v>
      </c>
      <c r="G570" s="32">
        <v>24</v>
      </c>
      <c r="H570">
        <v>64.908860585197928</v>
      </c>
    </row>
    <row r="571" spans="1:8" x14ac:dyDescent="0.25">
      <c r="A571" s="31" t="s">
        <v>116</v>
      </c>
      <c r="B571">
        <v>2025</v>
      </c>
      <c r="C571" t="str">
        <f t="shared" si="8"/>
        <v>Burlington_2025</v>
      </c>
      <c r="D571" s="32">
        <v>3</v>
      </c>
      <c r="E571" s="32">
        <v>5</v>
      </c>
      <c r="F571" s="32">
        <v>10</v>
      </c>
      <c r="G571" s="32">
        <v>24</v>
      </c>
      <c r="H571">
        <v>70.372499207683077</v>
      </c>
    </row>
    <row r="572" spans="1:8" x14ac:dyDescent="0.25">
      <c r="A572" s="34" t="s">
        <v>97</v>
      </c>
      <c r="B572">
        <v>2025</v>
      </c>
      <c r="C572" t="str">
        <f t="shared" si="8"/>
        <v>Lamar_2025</v>
      </c>
      <c r="D572" s="35">
        <v>1</v>
      </c>
      <c r="E572" s="35">
        <v>1</v>
      </c>
      <c r="F572" s="35">
        <v>1</v>
      </c>
      <c r="G572" s="35">
        <v>24</v>
      </c>
    </row>
    <row r="573" spans="1:8" x14ac:dyDescent="0.25">
      <c r="A573" s="34" t="s">
        <v>97</v>
      </c>
      <c r="B573">
        <v>2025</v>
      </c>
      <c r="C573" t="str">
        <f t="shared" si="8"/>
        <v>Lamar_2025</v>
      </c>
      <c r="D573" s="35">
        <v>2</v>
      </c>
      <c r="E573" s="35">
        <v>10</v>
      </c>
      <c r="F573" s="35">
        <v>3</v>
      </c>
      <c r="G573" s="35">
        <v>24</v>
      </c>
      <c r="H573">
        <v>78.11694105151355</v>
      </c>
    </row>
    <row r="574" spans="1:8" x14ac:dyDescent="0.25">
      <c r="A574" s="34" t="s">
        <v>97</v>
      </c>
      <c r="B574">
        <v>2025</v>
      </c>
      <c r="C574" t="str">
        <f t="shared" si="8"/>
        <v>Lamar_2025</v>
      </c>
      <c r="D574" s="35">
        <v>3</v>
      </c>
      <c r="E574" s="35">
        <v>6</v>
      </c>
      <c r="F574" s="35">
        <v>5</v>
      </c>
      <c r="G574" s="35">
        <v>24</v>
      </c>
      <c r="H574">
        <v>89.908096651123358</v>
      </c>
    </row>
    <row r="575" spans="1:8" x14ac:dyDescent="0.25">
      <c r="A575" s="31" t="s">
        <v>132</v>
      </c>
      <c r="B575">
        <v>2025</v>
      </c>
      <c r="C575" t="str">
        <f t="shared" si="8"/>
        <v>SLake_2025</v>
      </c>
      <c r="D575" s="32">
        <v>1</v>
      </c>
      <c r="E575" s="32">
        <v>12</v>
      </c>
      <c r="F575" s="32">
        <v>2</v>
      </c>
      <c r="G575" s="32">
        <v>24</v>
      </c>
      <c r="H575">
        <v>64.116831396750399</v>
      </c>
    </row>
    <row r="576" spans="1:8" x14ac:dyDescent="0.25">
      <c r="A576" s="31" t="s">
        <v>132</v>
      </c>
      <c r="B576">
        <v>2025</v>
      </c>
      <c r="C576" t="str">
        <f t="shared" si="8"/>
        <v>SLake_2025</v>
      </c>
      <c r="D576" s="32">
        <v>2</v>
      </c>
      <c r="E576" s="32">
        <v>17</v>
      </c>
      <c r="F576" s="32">
        <v>3</v>
      </c>
      <c r="G576" s="32">
        <v>24</v>
      </c>
      <c r="H576">
        <v>69.816867469879497</v>
      </c>
    </row>
    <row r="577" spans="1:8" x14ac:dyDescent="0.25">
      <c r="A577" s="31" t="s">
        <v>132</v>
      </c>
      <c r="B577">
        <v>2025</v>
      </c>
      <c r="C577" t="str">
        <f t="shared" si="8"/>
        <v>SLake_2025</v>
      </c>
      <c r="D577" s="32">
        <v>3</v>
      </c>
      <c r="E577" s="32">
        <v>15</v>
      </c>
      <c r="F577" s="32">
        <v>5</v>
      </c>
      <c r="G577" s="32">
        <v>24</v>
      </c>
      <c r="H577">
        <v>66.521938775510208</v>
      </c>
    </row>
    <row r="578" spans="1:8" x14ac:dyDescent="0.25">
      <c r="A578" s="31" t="s">
        <v>13</v>
      </c>
      <c r="B578">
        <v>2025</v>
      </c>
      <c r="C578" t="str">
        <f t="shared" si="8"/>
        <v>Walsh_2025</v>
      </c>
      <c r="D578" s="32">
        <v>1</v>
      </c>
      <c r="E578" s="36">
        <v>2</v>
      </c>
      <c r="F578" s="36">
        <v>2</v>
      </c>
      <c r="G578" s="32">
        <v>24</v>
      </c>
      <c r="H578">
        <v>64.414349999999985</v>
      </c>
    </row>
    <row r="579" spans="1:8" x14ac:dyDescent="0.25">
      <c r="A579" s="31" t="s">
        <v>13</v>
      </c>
      <c r="B579">
        <v>2025</v>
      </c>
      <c r="C579" t="str">
        <f t="shared" ref="C579:C642" si="9">A579&amp;"_"&amp;B579</f>
        <v>Walsh_2025</v>
      </c>
      <c r="D579" s="32">
        <v>2</v>
      </c>
      <c r="E579" s="36">
        <v>4</v>
      </c>
      <c r="F579" s="36">
        <v>4</v>
      </c>
      <c r="G579" s="32">
        <v>24</v>
      </c>
      <c r="H579">
        <v>70.778179999999978</v>
      </c>
    </row>
    <row r="580" spans="1:8" x14ac:dyDescent="0.25">
      <c r="A580" s="31" t="s">
        <v>13</v>
      </c>
      <c r="B580">
        <v>2025</v>
      </c>
      <c r="C580" t="str">
        <f t="shared" si="9"/>
        <v>Walsh_2025</v>
      </c>
      <c r="D580" s="32">
        <v>3</v>
      </c>
      <c r="E580" s="36">
        <v>13</v>
      </c>
      <c r="F580" s="36">
        <v>5</v>
      </c>
      <c r="G580" s="32">
        <v>24</v>
      </c>
      <c r="H580">
        <v>70.728239999999971</v>
      </c>
    </row>
    <row r="581" spans="1:8" x14ac:dyDescent="0.25">
      <c r="A581" t="s">
        <v>7</v>
      </c>
      <c r="B581">
        <v>2025</v>
      </c>
      <c r="C581" t="str">
        <f t="shared" si="9"/>
        <v>Akron_2025</v>
      </c>
      <c r="D581" s="11">
        <v>1</v>
      </c>
      <c r="E581" s="11">
        <v>9</v>
      </c>
      <c r="F581" s="11">
        <v>1</v>
      </c>
      <c r="G581" s="11">
        <v>24</v>
      </c>
      <c r="H581">
        <v>52.929406512605027</v>
      </c>
    </row>
    <row r="582" spans="1:8" x14ac:dyDescent="0.25">
      <c r="A582" t="s">
        <v>7</v>
      </c>
      <c r="B582">
        <v>2025</v>
      </c>
      <c r="C582" t="str">
        <f t="shared" si="9"/>
        <v>Akron_2025</v>
      </c>
      <c r="D582" s="11">
        <v>2</v>
      </c>
      <c r="E582" s="11">
        <v>1</v>
      </c>
      <c r="F582" s="11">
        <v>6</v>
      </c>
      <c r="G582" s="11">
        <v>24</v>
      </c>
      <c r="H582">
        <v>47.404915023793336</v>
      </c>
    </row>
    <row r="583" spans="1:8" x14ac:dyDescent="0.25">
      <c r="A583" t="s">
        <v>7</v>
      </c>
      <c r="B583">
        <v>2025</v>
      </c>
      <c r="C583" t="str">
        <f t="shared" si="9"/>
        <v>Akron_2025</v>
      </c>
      <c r="D583" s="11">
        <v>3</v>
      </c>
      <c r="E583" s="11">
        <v>12</v>
      </c>
      <c r="F583" s="11">
        <v>11</v>
      </c>
      <c r="G583" s="11">
        <v>24</v>
      </c>
      <c r="H583">
        <v>44.817339153081896</v>
      </c>
    </row>
    <row r="584" spans="1:8" x14ac:dyDescent="0.25">
      <c r="A584" s="31" t="s">
        <v>156</v>
      </c>
      <c r="B584">
        <v>2025</v>
      </c>
      <c r="C584" t="str">
        <f t="shared" si="9"/>
        <v>Genoa_2025</v>
      </c>
      <c r="D584" s="32">
        <v>1</v>
      </c>
      <c r="E584" s="32">
        <v>7</v>
      </c>
      <c r="F584" s="32">
        <v>2</v>
      </c>
      <c r="G584" s="32">
        <v>24</v>
      </c>
      <c r="H584">
        <v>44.41872134635846</v>
      </c>
    </row>
    <row r="585" spans="1:8" x14ac:dyDescent="0.25">
      <c r="A585" s="31" t="s">
        <v>156</v>
      </c>
      <c r="B585">
        <v>2025</v>
      </c>
      <c r="C585" t="str">
        <f t="shared" si="9"/>
        <v>Genoa_2025</v>
      </c>
      <c r="D585" s="32">
        <v>2</v>
      </c>
      <c r="E585" s="32">
        <v>19</v>
      </c>
      <c r="F585" s="32">
        <v>4</v>
      </c>
      <c r="G585" s="32">
        <v>24</v>
      </c>
      <c r="H585">
        <v>38.332599131834371</v>
      </c>
    </row>
    <row r="586" spans="1:8" x14ac:dyDescent="0.25">
      <c r="A586" s="31" t="s">
        <v>156</v>
      </c>
      <c r="B586">
        <v>2025</v>
      </c>
      <c r="C586" t="str">
        <f t="shared" si="9"/>
        <v>Genoa_2025</v>
      </c>
      <c r="D586" s="32">
        <v>3</v>
      </c>
      <c r="E586" s="32">
        <v>24</v>
      </c>
      <c r="F586" s="32">
        <v>5</v>
      </c>
      <c r="G586" s="32">
        <v>24</v>
      </c>
      <c r="H586">
        <v>40.975409614082601</v>
      </c>
    </row>
    <row r="587" spans="1:8" x14ac:dyDescent="0.25">
      <c r="A587" s="31" t="s">
        <v>10</v>
      </c>
      <c r="B587">
        <v>2025</v>
      </c>
      <c r="C587" t="str">
        <f t="shared" si="9"/>
        <v>Julesburg_2025</v>
      </c>
      <c r="D587" s="32">
        <v>1</v>
      </c>
      <c r="E587" s="32">
        <v>11</v>
      </c>
      <c r="F587" s="32">
        <v>4</v>
      </c>
      <c r="G587" s="32">
        <v>24</v>
      </c>
      <c r="H587">
        <v>74.132023689152092</v>
      </c>
    </row>
    <row r="588" spans="1:8" x14ac:dyDescent="0.25">
      <c r="A588" s="31" t="s">
        <v>10</v>
      </c>
      <c r="B588">
        <v>2025</v>
      </c>
      <c r="C588" t="str">
        <f t="shared" si="9"/>
        <v>Julesburg_2025</v>
      </c>
      <c r="D588" s="32">
        <v>2</v>
      </c>
      <c r="E588" s="32">
        <v>13</v>
      </c>
      <c r="F588" s="32">
        <v>8</v>
      </c>
      <c r="G588" s="32">
        <v>24</v>
      </c>
      <c r="H588">
        <v>57.233892093654561</v>
      </c>
    </row>
    <row r="589" spans="1:8" x14ac:dyDescent="0.25">
      <c r="A589" s="31" t="s">
        <v>10</v>
      </c>
      <c r="B589">
        <v>2025</v>
      </c>
      <c r="C589" t="str">
        <f t="shared" si="9"/>
        <v>Julesburg_2025</v>
      </c>
      <c r="D589" s="32">
        <v>3</v>
      </c>
      <c r="E589" s="32">
        <v>7</v>
      </c>
      <c r="F589" s="32">
        <v>9</v>
      </c>
      <c r="G589" s="32">
        <v>24</v>
      </c>
      <c r="H589">
        <v>54.517981598062953</v>
      </c>
    </row>
    <row r="590" spans="1:8" x14ac:dyDescent="0.25">
      <c r="A590" s="31" t="s">
        <v>11</v>
      </c>
      <c r="B590">
        <v>2025</v>
      </c>
      <c r="C590" t="str">
        <f t="shared" si="9"/>
        <v>Orchard_2025</v>
      </c>
      <c r="D590" s="32">
        <v>1</v>
      </c>
      <c r="E590" s="32">
        <v>1</v>
      </c>
      <c r="F590" s="32">
        <v>1</v>
      </c>
      <c r="G590" s="11">
        <v>24</v>
      </c>
      <c r="H590">
        <v>24.510962284102916</v>
      </c>
    </row>
    <row r="591" spans="1:8" x14ac:dyDescent="0.25">
      <c r="A591" s="31" t="s">
        <v>11</v>
      </c>
      <c r="B591">
        <v>2025</v>
      </c>
      <c r="C591" t="str">
        <f t="shared" si="9"/>
        <v>Orchard_2025</v>
      </c>
      <c r="D591" s="32">
        <v>2</v>
      </c>
      <c r="E591" s="32">
        <v>8</v>
      </c>
      <c r="F591" s="32">
        <v>4</v>
      </c>
      <c r="G591" s="11">
        <v>24</v>
      </c>
      <c r="H591">
        <v>13.825856994202464</v>
      </c>
    </row>
    <row r="592" spans="1:8" x14ac:dyDescent="0.25">
      <c r="A592" s="31" t="s">
        <v>11</v>
      </c>
      <c r="B592">
        <v>2025</v>
      </c>
      <c r="C592" t="str">
        <f t="shared" si="9"/>
        <v>Orchard_2025</v>
      </c>
      <c r="D592" s="32">
        <v>3</v>
      </c>
      <c r="E592" s="32">
        <v>4</v>
      </c>
      <c r="F592" s="32">
        <v>8</v>
      </c>
      <c r="G592" s="11">
        <v>24</v>
      </c>
      <c r="H592">
        <v>11.673409090909088</v>
      </c>
    </row>
    <row r="593" spans="1:8" x14ac:dyDescent="0.25">
      <c r="A593" t="s">
        <v>160</v>
      </c>
      <c r="B593">
        <v>2025</v>
      </c>
      <c r="C593" t="str">
        <f t="shared" si="9"/>
        <v>Yuma_2025</v>
      </c>
      <c r="D593">
        <v>1</v>
      </c>
      <c r="E593" s="36">
        <v>13</v>
      </c>
      <c r="F593" s="36">
        <v>2</v>
      </c>
      <c r="G593" s="32">
        <v>24</v>
      </c>
      <c r="H593">
        <v>90.888280387409196</v>
      </c>
    </row>
    <row r="594" spans="1:8" x14ac:dyDescent="0.25">
      <c r="A594" t="s">
        <v>160</v>
      </c>
      <c r="B594">
        <v>2025</v>
      </c>
      <c r="C594" t="str">
        <f t="shared" si="9"/>
        <v>Yuma_2025</v>
      </c>
      <c r="D594">
        <v>2</v>
      </c>
      <c r="E594" s="36">
        <v>22</v>
      </c>
      <c r="F594" s="36">
        <v>3</v>
      </c>
      <c r="G594" s="32">
        <v>24</v>
      </c>
      <c r="H594">
        <v>86.992345422817522</v>
      </c>
    </row>
    <row r="595" spans="1:8" x14ac:dyDescent="0.25">
      <c r="A595" t="s">
        <v>160</v>
      </c>
      <c r="B595">
        <v>2025</v>
      </c>
      <c r="C595" t="str">
        <f t="shared" si="9"/>
        <v>Yuma_2025</v>
      </c>
      <c r="D595">
        <v>3</v>
      </c>
      <c r="E595" s="36">
        <v>15</v>
      </c>
      <c r="F595" s="36">
        <v>5</v>
      </c>
      <c r="G595" s="32">
        <v>24</v>
      </c>
      <c r="H595">
        <v>88.174298771641347</v>
      </c>
    </row>
    <row r="596" spans="1:8" x14ac:dyDescent="0.25">
      <c r="A596" s="31" t="s">
        <v>116</v>
      </c>
      <c r="B596">
        <v>2025</v>
      </c>
      <c r="C596" t="str">
        <f t="shared" si="9"/>
        <v>Burlington_2025</v>
      </c>
      <c r="D596" s="32">
        <v>1</v>
      </c>
      <c r="E596" s="32">
        <v>10</v>
      </c>
      <c r="F596" s="32">
        <v>4</v>
      </c>
      <c r="G596" s="32">
        <v>25</v>
      </c>
      <c r="H596">
        <v>58.780753012048194</v>
      </c>
    </row>
    <row r="597" spans="1:8" x14ac:dyDescent="0.25">
      <c r="A597" s="31" t="s">
        <v>116</v>
      </c>
      <c r="B597">
        <v>2025</v>
      </c>
      <c r="C597" t="str">
        <f t="shared" si="9"/>
        <v>Burlington_2025</v>
      </c>
      <c r="D597" s="32">
        <v>2</v>
      </c>
      <c r="E597" s="32">
        <v>9</v>
      </c>
      <c r="F597" s="32">
        <v>6</v>
      </c>
      <c r="G597" s="32">
        <v>25</v>
      </c>
    </row>
    <row r="598" spans="1:8" x14ac:dyDescent="0.25">
      <c r="A598" s="31" t="s">
        <v>116</v>
      </c>
      <c r="B598">
        <v>2025</v>
      </c>
      <c r="C598" t="str">
        <f t="shared" si="9"/>
        <v>Burlington_2025</v>
      </c>
      <c r="D598" s="32">
        <v>3</v>
      </c>
      <c r="E598" s="32">
        <v>2</v>
      </c>
      <c r="F598" s="32">
        <v>10</v>
      </c>
      <c r="G598" s="32">
        <v>25</v>
      </c>
      <c r="H598">
        <v>63.337585354141659</v>
      </c>
    </row>
    <row r="599" spans="1:8" x14ac:dyDescent="0.25">
      <c r="A599" s="34" t="s">
        <v>97</v>
      </c>
      <c r="B599">
        <v>2025</v>
      </c>
      <c r="C599" t="str">
        <f t="shared" si="9"/>
        <v>Lamar_2025</v>
      </c>
      <c r="D599" s="35">
        <v>1</v>
      </c>
      <c r="E599" s="35">
        <v>5</v>
      </c>
      <c r="F599" s="35">
        <v>2</v>
      </c>
      <c r="G599" s="35">
        <v>25</v>
      </c>
      <c r="H599">
        <v>70.828114979055314</v>
      </c>
    </row>
    <row r="600" spans="1:8" x14ac:dyDescent="0.25">
      <c r="A600" s="34" t="s">
        <v>97</v>
      </c>
      <c r="B600">
        <v>2025</v>
      </c>
      <c r="C600" t="str">
        <f t="shared" si="9"/>
        <v>Lamar_2025</v>
      </c>
      <c r="D600" s="35">
        <v>2</v>
      </c>
      <c r="E600" s="35">
        <v>11</v>
      </c>
      <c r="F600" s="35">
        <v>3</v>
      </c>
      <c r="G600" s="35">
        <v>25</v>
      </c>
      <c r="H600">
        <v>67.685353159851289</v>
      </c>
    </row>
    <row r="601" spans="1:8" x14ac:dyDescent="0.25">
      <c r="A601" s="34" t="s">
        <v>97</v>
      </c>
      <c r="B601">
        <v>2025</v>
      </c>
      <c r="C601" t="str">
        <f t="shared" si="9"/>
        <v>Lamar_2025</v>
      </c>
      <c r="D601" s="35">
        <v>3</v>
      </c>
      <c r="E601" s="35">
        <v>9</v>
      </c>
      <c r="F601" s="35">
        <v>5</v>
      </c>
      <c r="G601" s="35">
        <v>25</v>
      </c>
      <c r="H601">
        <v>75.803476049173383</v>
      </c>
    </row>
    <row r="602" spans="1:8" x14ac:dyDescent="0.25">
      <c r="A602" s="31" t="s">
        <v>132</v>
      </c>
      <c r="B602">
        <v>2025</v>
      </c>
      <c r="C602" t="str">
        <f t="shared" si="9"/>
        <v>SLake_2025</v>
      </c>
      <c r="D602" s="32">
        <v>1</v>
      </c>
      <c r="E602" s="32">
        <v>7</v>
      </c>
      <c r="F602" s="32">
        <v>1</v>
      </c>
      <c r="G602" s="32">
        <v>25</v>
      </c>
      <c r="H602">
        <v>69.700276746540652</v>
      </c>
    </row>
    <row r="603" spans="1:8" x14ac:dyDescent="0.25">
      <c r="A603" s="31" t="s">
        <v>132</v>
      </c>
      <c r="B603">
        <v>2025</v>
      </c>
      <c r="C603" t="str">
        <f t="shared" si="9"/>
        <v>SLake_2025</v>
      </c>
      <c r="D603" s="32">
        <v>2</v>
      </c>
      <c r="E603" s="32">
        <v>12</v>
      </c>
      <c r="F603" s="32">
        <v>4</v>
      </c>
      <c r="G603" s="32">
        <v>25</v>
      </c>
      <c r="H603">
        <v>66.989067751205482</v>
      </c>
    </row>
    <row r="604" spans="1:8" x14ac:dyDescent="0.25">
      <c r="A604" s="31" t="s">
        <v>132</v>
      </c>
      <c r="B604">
        <v>2025</v>
      </c>
      <c r="C604" t="str">
        <f t="shared" si="9"/>
        <v>SLake_2025</v>
      </c>
      <c r="D604" s="32">
        <v>3</v>
      </c>
      <c r="E604" s="32">
        <v>17</v>
      </c>
      <c r="F604" s="32">
        <v>5</v>
      </c>
      <c r="G604" s="32">
        <v>25</v>
      </c>
      <c r="H604">
        <v>68.051406637421323</v>
      </c>
    </row>
    <row r="605" spans="1:8" x14ac:dyDescent="0.25">
      <c r="A605" s="31" t="s">
        <v>13</v>
      </c>
      <c r="B605">
        <v>2025</v>
      </c>
      <c r="C605" t="str">
        <f t="shared" si="9"/>
        <v>Walsh_2025</v>
      </c>
      <c r="D605" s="32">
        <v>1</v>
      </c>
      <c r="E605" s="36">
        <v>11</v>
      </c>
      <c r="F605" s="36">
        <v>2</v>
      </c>
      <c r="G605" s="32">
        <v>25</v>
      </c>
      <c r="H605">
        <v>69.505424999999988</v>
      </c>
    </row>
    <row r="606" spans="1:8" x14ac:dyDescent="0.25">
      <c r="A606" s="31" t="s">
        <v>13</v>
      </c>
      <c r="B606">
        <v>2025</v>
      </c>
      <c r="C606" t="str">
        <f t="shared" si="9"/>
        <v>Walsh_2025</v>
      </c>
      <c r="D606" s="32">
        <v>2</v>
      </c>
      <c r="E606" s="36">
        <v>18</v>
      </c>
      <c r="F606" s="36">
        <v>4</v>
      </c>
      <c r="G606" s="32">
        <v>25</v>
      </c>
      <c r="H606">
        <v>62.388480000000001</v>
      </c>
    </row>
    <row r="607" spans="1:8" x14ac:dyDescent="0.25">
      <c r="A607" s="31" t="s">
        <v>13</v>
      </c>
      <c r="B607">
        <v>2025</v>
      </c>
      <c r="C607" t="str">
        <f t="shared" si="9"/>
        <v>Walsh_2025</v>
      </c>
      <c r="D607" s="32">
        <v>3</v>
      </c>
      <c r="E607" s="36">
        <v>5</v>
      </c>
      <c r="F607" s="36">
        <v>6</v>
      </c>
      <c r="G607" s="32">
        <v>25</v>
      </c>
      <c r="H607">
        <v>68.654079999999993</v>
      </c>
    </row>
    <row r="608" spans="1:8" x14ac:dyDescent="0.25">
      <c r="A608" t="s">
        <v>7</v>
      </c>
      <c r="B608">
        <v>2025</v>
      </c>
      <c r="C608" t="str">
        <f t="shared" si="9"/>
        <v>Akron_2025</v>
      </c>
      <c r="D608" s="11">
        <v>1</v>
      </c>
      <c r="E608" s="11">
        <v>13</v>
      </c>
      <c r="F608" s="11">
        <v>4</v>
      </c>
      <c r="G608" s="11">
        <v>25</v>
      </c>
      <c r="H608">
        <v>38.174029997541183</v>
      </c>
    </row>
    <row r="609" spans="1:8" x14ac:dyDescent="0.25">
      <c r="A609" t="s">
        <v>7</v>
      </c>
      <c r="B609">
        <v>2025</v>
      </c>
      <c r="C609" t="str">
        <f t="shared" si="9"/>
        <v>Akron_2025</v>
      </c>
      <c r="D609" s="11">
        <v>2</v>
      </c>
      <c r="E609" s="11">
        <v>11</v>
      </c>
      <c r="F609" s="11">
        <v>7</v>
      </c>
      <c r="G609" s="11">
        <v>25</v>
      </c>
      <c r="H609">
        <v>44.705476510067108</v>
      </c>
    </row>
    <row r="610" spans="1:8" x14ac:dyDescent="0.25">
      <c r="A610" t="s">
        <v>7</v>
      </c>
      <c r="B610">
        <v>2025</v>
      </c>
      <c r="C610" t="str">
        <f t="shared" si="9"/>
        <v>Akron_2025</v>
      </c>
      <c r="D610" s="11">
        <v>3</v>
      </c>
      <c r="E610" s="11">
        <v>12</v>
      </c>
      <c r="F610" s="11">
        <v>12</v>
      </c>
      <c r="G610" s="11">
        <v>25</v>
      </c>
      <c r="H610">
        <v>39.553095478838642</v>
      </c>
    </row>
    <row r="611" spans="1:8" x14ac:dyDescent="0.25">
      <c r="A611" s="31" t="s">
        <v>156</v>
      </c>
      <c r="B611">
        <v>2025</v>
      </c>
      <c r="C611" t="str">
        <f t="shared" si="9"/>
        <v>Genoa_2025</v>
      </c>
      <c r="D611" s="32">
        <v>1</v>
      </c>
      <c r="E611" s="32">
        <v>21</v>
      </c>
      <c r="F611" s="32">
        <v>2</v>
      </c>
      <c r="G611" s="32">
        <v>25</v>
      </c>
      <c r="H611">
        <v>50.678156494825416</v>
      </c>
    </row>
    <row r="612" spans="1:8" x14ac:dyDescent="0.25">
      <c r="A612" s="31" t="s">
        <v>156</v>
      </c>
      <c r="B612">
        <v>2025</v>
      </c>
      <c r="C612" t="str">
        <f t="shared" si="9"/>
        <v>Genoa_2025</v>
      </c>
      <c r="D612" s="32">
        <v>2</v>
      </c>
      <c r="E612" s="32">
        <v>23</v>
      </c>
      <c r="F612" s="32">
        <v>4</v>
      </c>
      <c r="G612" s="32">
        <v>25</v>
      </c>
      <c r="H612">
        <v>53.48433595083646</v>
      </c>
    </row>
    <row r="613" spans="1:8" x14ac:dyDescent="0.25">
      <c r="A613" s="31" t="s">
        <v>156</v>
      </c>
      <c r="B613">
        <v>2025</v>
      </c>
      <c r="C613" t="str">
        <f t="shared" si="9"/>
        <v>Genoa_2025</v>
      </c>
      <c r="D613" s="32">
        <v>3</v>
      </c>
      <c r="E613" s="32">
        <v>14</v>
      </c>
      <c r="F613" s="32">
        <v>5</v>
      </c>
      <c r="G613" s="32">
        <v>25</v>
      </c>
      <c r="H613">
        <v>47.656736628300607</v>
      </c>
    </row>
    <row r="614" spans="1:8" x14ac:dyDescent="0.25">
      <c r="A614" s="31" t="s">
        <v>10</v>
      </c>
      <c r="B614">
        <v>2025</v>
      </c>
      <c r="C614" t="str">
        <f t="shared" si="9"/>
        <v>Julesburg_2025</v>
      </c>
      <c r="D614" s="32">
        <v>1</v>
      </c>
      <c r="E614" s="32">
        <v>8</v>
      </c>
      <c r="F614" s="32">
        <v>4</v>
      </c>
      <c r="G614" s="32">
        <v>25</v>
      </c>
      <c r="H614">
        <v>69.112667918532424</v>
      </c>
    </row>
    <row r="615" spans="1:8" x14ac:dyDescent="0.25">
      <c r="A615" s="31" t="s">
        <v>10</v>
      </c>
      <c r="B615">
        <v>2025</v>
      </c>
      <c r="C615" t="str">
        <f t="shared" si="9"/>
        <v>Julesburg_2025</v>
      </c>
      <c r="D615" s="32">
        <v>2</v>
      </c>
      <c r="E615" s="32">
        <v>12</v>
      </c>
      <c r="F615" s="32">
        <v>8</v>
      </c>
      <c r="G615" s="32">
        <v>25</v>
      </c>
      <c r="H615">
        <v>54.715532502787333</v>
      </c>
    </row>
    <row r="616" spans="1:8" x14ac:dyDescent="0.25">
      <c r="A616" s="31" t="s">
        <v>10</v>
      </c>
      <c r="B616">
        <v>2025</v>
      </c>
      <c r="C616" t="str">
        <f t="shared" si="9"/>
        <v>Julesburg_2025</v>
      </c>
      <c r="D616" s="32">
        <v>3</v>
      </c>
      <c r="E616" s="32">
        <v>3</v>
      </c>
      <c r="F616" s="32">
        <v>12</v>
      </c>
      <c r="G616" s="32">
        <v>25</v>
      </c>
      <c r="H616">
        <v>67.499868131868112</v>
      </c>
    </row>
    <row r="617" spans="1:8" x14ac:dyDescent="0.25">
      <c r="A617" s="31" t="s">
        <v>11</v>
      </c>
      <c r="B617">
        <v>2025</v>
      </c>
      <c r="C617" t="str">
        <f t="shared" si="9"/>
        <v>Orchard_2025</v>
      </c>
      <c r="D617" s="32">
        <v>1</v>
      </c>
      <c r="E617" s="32">
        <v>13</v>
      </c>
      <c r="F617" s="32">
        <v>2</v>
      </c>
      <c r="G617" s="11">
        <v>25</v>
      </c>
      <c r="H617">
        <v>25.030597429663072</v>
      </c>
    </row>
    <row r="618" spans="1:8" x14ac:dyDescent="0.25">
      <c r="A618" s="31" t="s">
        <v>11</v>
      </c>
      <c r="B618">
        <v>2025</v>
      </c>
      <c r="C618" t="str">
        <f t="shared" si="9"/>
        <v>Orchard_2025</v>
      </c>
      <c r="D618" s="32">
        <v>2</v>
      </c>
      <c r="E618" s="32">
        <v>3</v>
      </c>
      <c r="F618" s="32">
        <v>6</v>
      </c>
      <c r="G618" s="11">
        <v>25</v>
      </c>
    </row>
    <row r="619" spans="1:8" x14ac:dyDescent="0.25">
      <c r="A619" s="31" t="s">
        <v>11</v>
      </c>
      <c r="B619">
        <v>2025</v>
      </c>
      <c r="C619" t="str">
        <f t="shared" si="9"/>
        <v>Orchard_2025</v>
      </c>
      <c r="D619" s="32">
        <v>3</v>
      </c>
      <c r="E619" s="32">
        <v>8</v>
      </c>
      <c r="F619" s="32">
        <v>9</v>
      </c>
      <c r="G619" s="11">
        <v>25</v>
      </c>
      <c r="H619">
        <v>26.958713954259196</v>
      </c>
    </row>
    <row r="620" spans="1:8" x14ac:dyDescent="0.25">
      <c r="A620" t="s">
        <v>160</v>
      </c>
      <c r="B620">
        <v>2025</v>
      </c>
      <c r="C620" t="str">
        <f t="shared" si="9"/>
        <v>Yuma_2025</v>
      </c>
      <c r="D620">
        <v>1</v>
      </c>
      <c r="E620" s="36">
        <v>1</v>
      </c>
      <c r="F620" s="36">
        <v>1</v>
      </c>
      <c r="G620" s="32">
        <v>25</v>
      </c>
      <c r="H620">
        <v>93.013567125645437</v>
      </c>
    </row>
    <row r="621" spans="1:8" x14ac:dyDescent="0.25">
      <c r="A621" t="s">
        <v>160</v>
      </c>
      <c r="B621">
        <v>2025</v>
      </c>
      <c r="C621" t="str">
        <f t="shared" si="9"/>
        <v>Yuma_2025</v>
      </c>
      <c r="D621">
        <v>2</v>
      </c>
      <c r="E621" s="36">
        <v>4</v>
      </c>
      <c r="F621" s="36">
        <v>4</v>
      </c>
      <c r="G621" s="32">
        <v>25</v>
      </c>
      <c r="H621">
        <v>82.091514647625573</v>
      </c>
    </row>
    <row r="622" spans="1:8" x14ac:dyDescent="0.25">
      <c r="A622" t="s">
        <v>160</v>
      </c>
      <c r="B622">
        <v>2025</v>
      </c>
      <c r="C622" t="str">
        <f t="shared" si="9"/>
        <v>Yuma_2025</v>
      </c>
      <c r="D622">
        <v>3</v>
      </c>
      <c r="E622" s="36">
        <v>16</v>
      </c>
      <c r="F622" s="36">
        <v>5</v>
      </c>
      <c r="G622" s="32">
        <v>25</v>
      </c>
      <c r="H622">
        <v>74.093681690685742</v>
      </c>
    </row>
    <row r="623" spans="1:8" x14ac:dyDescent="0.25">
      <c r="A623" s="31" t="s">
        <v>116</v>
      </c>
      <c r="B623">
        <v>2025</v>
      </c>
      <c r="C623" t="str">
        <f t="shared" si="9"/>
        <v>Burlington_2025</v>
      </c>
      <c r="D623" s="32">
        <v>1</v>
      </c>
      <c r="E623" s="32">
        <v>11</v>
      </c>
      <c r="F623" s="32">
        <v>2</v>
      </c>
      <c r="G623" s="32">
        <v>26</v>
      </c>
      <c r="H623">
        <v>66.763506857142843</v>
      </c>
    </row>
    <row r="624" spans="1:8" x14ac:dyDescent="0.25">
      <c r="A624" s="31" t="s">
        <v>116</v>
      </c>
      <c r="B624">
        <v>2025</v>
      </c>
      <c r="C624" t="str">
        <f t="shared" si="9"/>
        <v>Burlington_2025</v>
      </c>
      <c r="D624" s="32">
        <v>2</v>
      </c>
      <c r="E624" s="32">
        <v>6</v>
      </c>
      <c r="F624" s="32">
        <v>8</v>
      </c>
      <c r="G624" s="32">
        <v>26</v>
      </c>
      <c r="H624">
        <v>76.278610154905337</v>
      </c>
    </row>
    <row r="625" spans="1:8" x14ac:dyDescent="0.25">
      <c r="A625" s="31" t="s">
        <v>116</v>
      </c>
      <c r="B625">
        <v>2025</v>
      </c>
      <c r="C625" t="str">
        <f t="shared" si="9"/>
        <v>Burlington_2025</v>
      </c>
      <c r="D625" s="32">
        <v>3</v>
      </c>
      <c r="E625" s="32">
        <v>7</v>
      </c>
      <c r="F625" s="32">
        <v>9</v>
      </c>
      <c r="G625" s="32">
        <v>26</v>
      </c>
      <c r="H625">
        <v>75.948832553878788</v>
      </c>
    </row>
    <row r="626" spans="1:8" x14ac:dyDescent="0.25">
      <c r="A626" s="34" t="s">
        <v>97</v>
      </c>
      <c r="B626">
        <v>2025</v>
      </c>
      <c r="C626" t="str">
        <f t="shared" si="9"/>
        <v>Lamar_2025</v>
      </c>
      <c r="D626" s="35">
        <v>1</v>
      </c>
      <c r="E626" s="35">
        <v>14</v>
      </c>
      <c r="F626" s="35">
        <v>1</v>
      </c>
      <c r="G626" s="35">
        <v>26</v>
      </c>
      <c r="H626">
        <v>80.864472857142829</v>
      </c>
    </row>
    <row r="627" spans="1:8" x14ac:dyDescent="0.25">
      <c r="A627" s="34" t="s">
        <v>97</v>
      </c>
      <c r="B627">
        <v>2025</v>
      </c>
      <c r="C627" t="str">
        <f t="shared" si="9"/>
        <v>Lamar_2025</v>
      </c>
      <c r="D627" s="35">
        <v>2</v>
      </c>
      <c r="E627" s="35">
        <v>20</v>
      </c>
      <c r="F627" s="35">
        <v>4</v>
      </c>
      <c r="G627" s="35">
        <v>26</v>
      </c>
    </row>
    <row r="628" spans="1:8" x14ac:dyDescent="0.25">
      <c r="A628" s="34" t="s">
        <v>97</v>
      </c>
      <c r="B628">
        <v>2025</v>
      </c>
      <c r="C628" t="str">
        <f t="shared" si="9"/>
        <v>Lamar_2025</v>
      </c>
      <c r="D628" s="35">
        <v>3</v>
      </c>
      <c r="E628" s="35">
        <v>3</v>
      </c>
      <c r="F628" s="35">
        <v>6</v>
      </c>
      <c r="G628" s="35">
        <v>26</v>
      </c>
      <c r="H628">
        <v>79.668942399389664</v>
      </c>
    </row>
    <row r="629" spans="1:8" x14ac:dyDescent="0.25">
      <c r="A629" s="31" t="s">
        <v>132</v>
      </c>
      <c r="B629">
        <v>2025</v>
      </c>
      <c r="C629" t="str">
        <f t="shared" si="9"/>
        <v>SLake_2025</v>
      </c>
      <c r="D629" s="32">
        <v>1</v>
      </c>
      <c r="E629" s="32">
        <v>18</v>
      </c>
      <c r="F629" s="32">
        <v>2</v>
      </c>
      <c r="G629" s="32">
        <v>26</v>
      </c>
      <c r="H629">
        <v>73.96046044067306</v>
      </c>
    </row>
    <row r="630" spans="1:8" x14ac:dyDescent="0.25">
      <c r="A630" s="31" t="s">
        <v>132</v>
      </c>
      <c r="B630">
        <v>2025</v>
      </c>
      <c r="C630" t="str">
        <f t="shared" si="9"/>
        <v>SLake_2025</v>
      </c>
      <c r="D630" s="32">
        <v>2</v>
      </c>
      <c r="E630" s="32">
        <v>3</v>
      </c>
      <c r="F630" s="32">
        <v>4</v>
      </c>
      <c r="G630" s="32">
        <v>26</v>
      </c>
    </row>
    <row r="631" spans="1:8" x14ac:dyDescent="0.25">
      <c r="A631" s="31" t="s">
        <v>132</v>
      </c>
      <c r="B631">
        <v>2025</v>
      </c>
      <c r="C631" t="str">
        <f t="shared" si="9"/>
        <v>SLake_2025</v>
      </c>
      <c r="D631" s="32">
        <v>3</v>
      </c>
      <c r="E631" s="32">
        <v>7</v>
      </c>
      <c r="F631" s="32">
        <v>5</v>
      </c>
      <c r="G631" s="32">
        <v>26</v>
      </c>
      <c r="H631">
        <v>77.090844936105285</v>
      </c>
    </row>
    <row r="632" spans="1:8" x14ac:dyDescent="0.25">
      <c r="A632" s="31" t="s">
        <v>13</v>
      </c>
      <c r="B632">
        <v>2025</v>
      </c>
      <c r="C632" t="str">
        <f t="shared" si="9"/>
        <v>Walsh_2025</v>
      </c>
      <c r="D632" s="32">
        <v>1</v>
      </c>
      <c r="E632" s="36">
        <v>5</v>
      </c>
      <c r="F632" s="36">
        <v>1</v>
      </c>
      <c r="G632" s="32">
        <v>26</v>
      </c>
      <c r="H632">
        <v>80.176964999999996</v>
      </c>
    </row>
    <row r="633" spans="1:8" x14ac:dyDescent="0.25">
      <c r="A633" s="31" t="s">
        <v>13</v>
      </c>
      <c r="B633">
        <v>2025</v>
      </c>
      <c r="C633" t="str">
        <f t="shared" si="9"/>
        <v>Walsh_2025</v>
      </c>
      <c r="D633" s="32">
        <v>2</v>
      </c>
      <c r="E633" s="36">
        <v>21</v>
      </c>
      <c r="F633" s="36">
        <v>4</v>
      </c>
      <c r="G633" s="32">
        <v>26</v>
      </c>
      <c r="H633">
        <v>82.161254999999997</v>
      </c>
    </row>
    <row r="634" spans="1:8" x14ac:dyDescent="0.25">
      <c r="A634" s="31" t="s">
        <v>13</v>
      </c>
      <c r="B634">
        <v>2025</v>
      </c>
      <c r="C634" t="str">
        <f t="shared" si="9"/>
        <v>Walsh_2025</v>
      </c>
      <c r="D634" s="32">
        <v>3</v>
      </c>
      <c r="E634" s="36">
        <v>8</v>
      </c>
      <c r="F634" s="36">
        <v>6</v>
      </c>
      <c r="G634" s="32">
        <v>26</v>
      </c>
      <c r="H634">
        <v>78.867249999999999</v>
      </c>
    </row>
    <row r="635" spans="1:8" x14ac:dyDescent="0.25">
      <c r="A635" t="s">
        <v>7</v>
      </c>
      <c r="B635">
        <v>2025</v>
      </c>
      <c r="C635" t="str">
        <f t="shared" si="9"/>
        <v>Akron_2025</v>
      </c>
      <c r="D635" s="11">
        <v>1</v>
      </c>
      <c r="E635" s="11">
        <v>11</v>
      </c>
      <c r="F635" s="11">
        <v>1</v>
      </c>
      <c r="G635" s="11">
        <v>26</v>
      </c>
      <c r="H635">
        <v>59.321864495798316</v>
      </c>
    </row>
    <row r="636" spans="1:8" x14ac:dyDescent="0.25">
      <c r="A636" t="s">
        <v>7</v>
      </c>
      <c r="B636">
        <v>2025</v>
      </c>
      <c r="C636" t="str">
        <f t="shared" si="9"/>
        <v>Akron_2025</v>
      </c>
      <c r="D636" s="11">
        <v>2</v>
      </c>
      <c r="E636" s="11">
        <v>3</v>
      </c>
      <c r="F636" s="11">
        <v>6</v>
      </c>
      <c r="G636" s="11">
        <v>26</v>
      </c>
      <c r="H636">
        <v>61.636321258618999</v>
      </c>
    </row>
    <row r="637" spans="1:8" x14ac:dyDescent="0.25">
      <c r="A637" t="s">
        <v>7</v>
      </c>
      <c r="B637">
        <v>2025</v>
      </c>
      <c r="C637" t="str">
        <f t="shared" si="9"/>
        <v>Akron_2025</v>
      </c>
      <c r="D637" s="11">
        <v>3</v>
      </c>
      <c r="E637" s="11">
        <v>7</v>
      </c>
      <c r="F637" s="11">
        <v>10</v>
      </c>
      <c r="G637" s="11">
        <v>26</v>
      </c>
      <c r="H637">
        <v>52.751427126968075</v>
      </c>
    </row>
    <row r="638" spans="1:8" x14ac:dyDescent="0.25">
      <c r="A638" s="31" t="s">
        <v>156</v>
      </c>
      <c r="B638">
        <v>2025</v>
      </c>
      <c r="C638" t="str">
        <f t="shared" si="9"/>
        <v>Genoa_2025</v>
      </c>
      <c r="D638" s="32">
        <v>1</v>
      </c>
      <c r="E638" s="32">
        <v>10</v>
      </c>
      <c r="F638" s="32">
        <v>2</v>
      </c>
      <c r="G638" s="32">
        <v>26</v>
      </c>
      <c r="H638">
        <v>58.362324112583416</v>
      </c>
    </row>
    <row r="639" spans="1:8" x14ac:dyDescent="0.25">
      <c r="A639" s="31" t="s">
        <v>156</v>
      </c>
      <c r="B639">
        <v>2025</v>
      </c>
      <c r="C639" t="str">
        <f t="shared" si="9"/>
        <v>Genoa_2025</v>
      </c>
      <c r="D639" s="32">
        <v>2</v>
      </c>
      <c r="E639" s="32">
        <v>5</v>
      </c>
      <c r="F639" s="32">
        <v>4</v>
      </c>
      <c r="G639" s="32">
        <v>26</v>
      </c>
    </row>
    <row r="640" spans="1:8" x14ac:dyDescent="0.25">
      <c r="A640" s="31" t="s">
        <v>156</v>
      </c>
      <c r="B640">
        <v>2025</v>
      </c>
      <c r="C640" t="str">
        <f t="shared" si="9"/>
        <v>Genoa_2025</v>
      </c>
      <c r="D640" s="32">
        <v>3</v>
      </c>
      <c r="E640" s="32">
        <v>17</v>
      </c>
      <c r="F640" s="32">
        <v>5</v>
      </c>
      <c r="G640" s="32">
        <v>26</v>
      </c>
      <c r="H640">
        <v>49.210009188509517</v>
      </c>
    </row>
    <row r="641" spans="1:8" x14ac:dyDescent="0.25">
      <c r="A641" s="31" t="s">
        <v>10</v>
      </c>
      <c r="B641">
        <v>2025</v>
      </c>
      <c r="C641" t="str">
        <f t="shared" si="9"/>
        <v>Julesburg_2025</v>
      </c>
      <c r="D641" s="32">
        <v>1</v>
      </c>
      <c r="E641" s="32">
        <v>13</v>
      </c>
      <c r="F641" s="32">
        <v>3</v>
      </c>
      <c r="G641" s="32">
        <v>26</v>
      </c>
      <c r="H641">
        <v>71.642740762292703</v>
      </c>
    </row>
    <row r="642" spans="1:8" x14ac:dyDescent="0.25">
      <c r="A642" s="31" t="s">
        <v>10</v>
      </c>
      <c r="B642">
        <v>2025</v>
      </c>
      <c r="C642" t="str">
        <f t="shared" si="9"/>
        <v>Julesburg_2025</v>
      </c>
      <c r="D642" s="32">
        <v>2</v>
      </c>
      <c r="E642" s="32">
        <v>1</v>
      </c>
      <c r="F642" s="32">
        <v>6</v>
      </c>
      <c r="G642" s="32">
        <v>26</v>
      </c>
      <c r="H642">
        <v>49.667112645662492</v>
      </c>
    </row>
    <row r="643" spans="1:8" x14ac:dyDescent="0.25">
      <c r="A643" s="31" t="s">
        <v>10</v>
      </c>
      <c r="B643">
        <v>2025</v>
      </c>
      <c r="C643" t="str">
        <f t="shared" ref="C643:C706" si="10">A643&amp;"_"&amp;B643</f>
        <v>Julesburg_2025</v>
      </c>
      <c r="D643" s="32">
        <v>3</v>
      </c>
      <c r="E643" s="32">
        <v>10</v>
      </c>
      <c r="F643" s="32">
        <v>11</v>
      </c>
      <c r="G643" s="32">
        <v>26</v>
      </c>
      <c r="H643">
        <v>68.128108081744116</v>
      </c>
    </row>
    <row r="644" spans="1:8" x14ac:dyDescent="0.25">
      <c r="A644" s="31" t="s">
        <v>11</v>
      </c>
      <c r="B644">
        <v>2025</v>
      </c>
      <c r="C644" t="str">
        <f t="shared" si="10"/>
        <v>Orchard_2025</v>
      </c>
      <c r="D644" s="32">
        <v>1</v>
      </c>
      <c r="E644" s="32">
        <v>5</v>
      </c>
      <c r="F644" s="32">
        <v>2</v>
      </c>
      <c r="G644" s="11">
        <v>26</v>
      </c>
      <c r="H644">
        <v>34.906280950726931</v>
      </c>
    </row>
    <row r="645" spans="1:8" x14ac:dyDescent="0.25">
      <c r="A645" s="31" t="s">
        <v>11</v>
      </c>
      <c r="B645">
        <v>2025</v>
      </c>
      <c r="C645" t="str">
        <f t="shared" si="10"/>
        <v>Orchard_2025</v>
      </c>
      <c r="D645" s="32">
        <v>2</v>
      </c>
      <c r="E645" s="32">
        <v>12</v>
      </c>
      <c r="F645" s="32">
        <v>6</v>
      </c>
      <c r="G645" s="11">
        <v>26</v>
      </c>
      <c r="H645">
        <v>29.339492020241334</v>
      </c>
    </row>
    <row r="646" spans="1:8" x14ac:dyDescent="0.25">
      <c r="A646" s="31" t="s">
        <v>11</v>
      </c>
      <c r="B646">
        <v>2025</v>
      </c>
      <c r="C646" t="str">
        <f t="shared" si="10"/>
        <v>Orchard_2025</v>
      </c>
      <c r="D646" s="32">
        <v>3</v>
      </c>
      <c r="E646" s="32">
        <v>6</v>
      </c>
      <c r="F646" s="32">
        <v>9</v>
      </c>
      <c r="G646" s="11">
        <v>26</v>
      </c>
      <c r="H646">
        <v>49.203079691273246</v>
      </c>
    </row>
    <row r="647" spans="1:8" x14ac:dyDescent="0.25">
      <c r="A647" t="s">
        <v>160</v>
      </c>
      <c r="B647">
        <v>2025</v>
      </c>
      <c r="C647" t="str">
        <f t="shared" si="10"/>
        <v>Yuma_2025</v>
      </c>
      <c r="D647">
        <v>1</v>
      </c>
      <c r="E647" s="36">
        <v>7</v>
      </c>
      <c r="F647" s="36">
        <v>1</v>
      </c>
      <c r="G647" s="32">
        <v>26</v>
      </c>
      <c r="H647">
        <v>101.91149741824439</v>
      </c>
    </row>
    <row r="648" spans="1:8" x14ac:dyDescent="0.25">
      <c r="A648" t="s">
        <v>160</v>
      </c>
      <c r="B648">
        <v>2025</v>
      </c>
      <c r="C648" t="str">
        <f t="shared" si="10"/>
        <v>Yuma_2025</v>
      </c>
      <c r="D648">
        <v>2</v>
      </c>
      <c r="E648" s="36">
        <v>12</v>
      </c>
      <c r="F648" s="36">
        <v>3</v>
      </c>
      <c r="G648" s="32">
        <v>26</v>
      </c>
      <c r="H648">
        <v>93.10659812290713</v>
      </c>
    </row>
    <row r="649" spans="1:8" x14ac:dyDescent="0.25">
      <c r="A649" t="s">
        <v>160</v>
      </c>
      <c r="B649">
        <v>2025</v>
      </c>
      <c r="C649" t="str">
        <f t="shared" si="10"/>
        <v>Yuma_2025</v>
      </c>
      <c r="D649">
        <v>3</v>
      </c>
      <c r="E649" s="36">
        <v>3</v>
      </c>
      <c r="F649" s="36">
        <v>6</v>
      </c>
      <c r="G649" s="32">
        <v>26</v>
      </c>
      <c r="H649">
        <v>85.56096801991572</v>
      </c>
    </row>
    <row r="650" spans="1:8" x14ac:dyDescent="0.25">
      <c r="A650" s="31" t="s">
        <v>116</v>
      </c>
      <c r="B650">
        <v>2025</v>
      </c>
      <c r="C650" t="str">
        <f t="shared" si="10"/>
        <v>Burlington_2025</v>
      </c>
      <c r="D650" s="32">
        <v>1</v>
      </c>
      <c r="E650" s="32">
        <v>4</v>
      </c>
      <c r="F650" s="32">
        <v>4</v>
      </c>
      <c r="G650" s="32">
        <v>27</v>
      </c>
      <c r="H650">
        <v>68.484087779690185</v>
      </c>
    </row>
    <row r="651" spans="1:8" x14ac:dyDescent="0.25">
      <c r="A651" s="31" t="s">
        <v>116</v>
      </c>
      <c r="B651">
        <v>2025</v>
      </c>
      <c r="C651" t="str">
        <f t="shared" si="10"/>
        <v>Burlington_2025</v>
      </c>
      <c r="D651" s="32">
        <v>2</v>
      </c>
      <c r="E651" s="32">
        <v>6</v>
      </c>
      <c r="F651" s="32">
        <v>7</v>
      </c>
      <c r="G651" s="32">
        <v>27</v>
      </c>
      <c r="H651">
        <v>75.621933513331101</v>
      </c>
    </row>
    <row r="652" spans="1:8" x14ac:dyDescent="0.25">
      <c r="A652" s="31" t="s">
        <v>116</v>
      </c>
      <c r="B652">
        <v>2025</v>
      </c>
      <c r="C652" t="str">
        <f t="shared" si="10"/>
        <v>Burlington_2025</v>
      </c>
      <c r="D652" s="32">
        <v>3</v>
      </c>
      <c r="E652" s="32">
        <v>10</v>
      </c>
      <c r="F652" s="32">
        <v>9</v>
      </c>
      <c r="G652" s="32">
        <v>27</v>
      </c>
      <c r="H652">
        <v>75.868872667663069</v>
      </c>
    </row>
    <row r="653" spans="1:8" x14ac:dyDescent="0.25">
      <c r="A653" s="34" t="s">
        <v>97</v>
      </c>
      <c r="B653">
        <v>2025</v>
      </c>
      <c r="C653" t="str">
        <f t="shared" si="10"/>
        <v>Lamar_2025</v>
      </c>
      <c r="D653" s="35">
        <v>1</v>
      </c>
      <c r="E653" s="35">
        <v>11</v>
      </c>
      <c r="F653" s="35">
        <v>2</v>
      </c>
      <c r="G653" s="35">
        <v>27</v>
      </c>
      <c r="H653">
        <v>74.49620106890076</v>
      </c>
    </row>
    <row r="654" spans="1:8" x14ac:dyDescent="0.25">
      <c r="A654" s="34" t="s">
        <v>97</v>
      </c>
      <c r="B654">
        <v>2025</v>
      </c>
      <c r="C654" t="str">
        <f t="shared" si="10"/>
        <v>Lamar_2025</v>
      </c>
      <c r="D654" s="35">
        <v>2</v>
      </c>
      <c r="E654" s="35">
        <v>18</v>
      </c>
      <c r="F654" s="35">
        <v>3</v>
      </c>
      <c r="G654" s="35">
        <v>27</v>
      </c>
      <c r="H654">
        <v>73.774190122145498</v>
      </c>
    </row>
    <row r="655" spans="1:8" x14ac:dyDescent="0.25">
      <c r="A655" s="34" t="s">
        <v>97</v>
      </c>
      <c r="B655">
        <v>2025</v>
      </c>
      <c r="C655" t="str">
        <f t="shared" si="10"/>
        <v>Lamar_2025</v>
      </c>
      <c r="D655" s="35">
        <v>3</v>
      </c>
      <c r="E655" s="35">
        <v>17</v>
      </c>
      <c r="F655" s="35">
        <v>6</v>
      </c>
      <c r="G655" s="35">
        <v>27</v>
      </c>
    </row>
    <row r="656" spans="1:8" x14ac:dyDescent="0.25">
      <c r="A656" s="31" t="s">
        <v>132</v>
      </c>
      <c r="B656">
        <v>2025</v>
      </c>
      <c r="C656" t="str">
        <f t="shared" si="10"/>
        <v>SLake_2025</v>
      </c>
      <c r="D656" s="32">
        <v>1</v>
      </c>
      <c r="E656" s="32">
        <v>11</v>
      </c>
      <c r="F656" s="32">
        <v>1</v>
      </c>
      <c r="G656" s="32">
        <v>27</v>
      </c>
      <c r="H656">
        <v>61.50753869148064</v>
      </c>
    </row>
    <row r="657" spans="1:8" x14ac:dyDescent="0.25">
      <c r="A657" s="31" t="s">
        <v>132</v>
      </c>
      <c r="B657">
        <v>2025</v>
      </c>
      <c r="C657" t="str">
        <f t="shared" si="10"/>
        <v>SLake_2025</v>
      </c>
      <c r="D657" s="32">
        <v>2</v>
      </c>
      <c r="E657" s="32">
        <v>3</v>
      </c>
      <c r="F657" s="32">
        <v>3</v>
      </c>
      <c r="G657" s="32">
        <v>27</v>
      </c>
    </row>
    <row r="658" spans="1:8" x14ac:dyDescent="0.25">
      <c r="A658" s="31" t="s">
        <v>132</v>
      </c>
      <c r="B658">
        <v>2025</v>
      </c>
      <c r="C658" t="str">
        <f t="shared" si="10"/>
        <v>SLake_2025</v>
      </c>
      <c r="D658" s="32">
        <v>3</v>
      </c>
      <c r="E658" s="32">
        <v>2</v>
      </c>
      <c r="F658" s="32">
        <v>5</v>
      </c>
      <c r="G658" s="32">
        <v>27</v>
      </c>
      <c r="H658">
        <v>60.150761014686246</v>
      </c>
    </row>
    <row r="659" spans="1:8" x14ac:dyDescent="0.25">
      <c r="A659" s="31" t="s">
        <v>13</v>
      </c>
      <c r="B659">
        <v>2025</v>
      </c>
      <c r="C659" t="str">
        <f t="shared" si="10"/>
        <v>Walsh_2025</v>
      </c>
      <c r="D659" s="32">
        <v>1</v>
      </c>
      <c r="E659" s="36">
        <v>3</v>
      </c>
      <c r="F659" s="36">
        <v>1</v>
      </c>
      <c r="G659" s="32">
        <v>27</v>
      </c>
      <c r="H659">
        <v>73.50007500000001</v>
      </c>
    </row>
    <row r="660" spans="1:8" x14ac:dyDescent="0.25">
      <c r="A660" s="31" t="s">
        <v>13</v>
      </c>
      <c r="B660">
        <v>2025</v>
      </c>
      <c r="C660" t="str">
        <f t="shared" si="10"/>
        <v>Walsh_2025</v>
      </c>
      <c r="D660" s="32">
        <v>2</v>
      </c>
      <c r="E660" s="36">
        <v>21</v>
      </c>
      <c r="F660" s="36">
        <v>3</v>
      </c>
      <c r="G660" s="32">
        <v>27</v>
      </c>
      <c r="H660">
        <v>62.228099999999991</v>
      </c>
    </row>
    <row r="661" spans="1:8" x14ac:dyDescent="0.25">
      <c r="A661" s="31" t="s">
        <v>13</v>
      </c>
      <c r="B661">
        <v>2025</v>
      </c>
      <c r="C661" t="str">
        <f t="shared" si="10"/>
        <v>Walsh_2025</v>
      </c>
      <c r="D661" s="32">
        <v>3</v>
      </c>
      <c r="E661" s="36">
        <v>6</v>
      </c>
      <c r="F661" s="36">
        <v>5</v>
      </c>
      <c r="G661" s="32">
        <v>27</v>
      </c>
      <c r="H661">
        <v>57.820455000000003</v>
      </c>
    </row>
    <row r="662" spans="1:8" x14ac:dyDescent="0.25">
      <c r="A662" t="s">
        <v>7</v>
      </c>
      <c r="B662">
        <v>2025</v>
      </c>
      <c r="C662" t="str">
        <f t="shared" si="10"/>
        <v>Akron_2025</v>
      </c>
      <c r="D662" s="11">
        <v>1</v>
      </c>
      <c r="E662" s="11">
        <v>7</v>
      </c>
      <c r="F662" s="11">
        <v>2</v>
      </c>
      <c r="G662" s="11">
        <v>27</v>
      </c>
      <c r="H662">
        <v>41.06519999999999</v>
      </c>
    </row>
    <row r="663" spans="1:8" x14ac:dyDescent="0.25">
      <c r="A663" t="s">
        <v>7</v>
      </c>
      <c r="B663">
        <v>2025</v>
      </c>
      <c r="C663" t="str">
        <f t="shared" si="10"/>
        <v>Akron_2025</v>
      </c>
      <c r="D663" s="11">
        <v>2</v>
      </c>
      <c r="E663" s="11">
        <v>3</v>
      </c>
      <c r="F663" s="11">
        <v>8</v>
      </c>
      <c r="G663" s="11">
        <v>27</v>
      </c>
      <c r="H663">
        <v>49.259892530377108</v>
      </c>
    </row>
    <row r="664" spans="1:8" x14ac:dyDescent="0.25">
      <c r="A664" t="s">
        <v>7</v>
      </c>
      <c r="B664">
        <v>2025</v>
      </c>
      <c r="C664" t="str">
        <f t="shared" si="10"/>
        <v>Akron_2025</v>
      </c>
      <c r="D664" s="11">
        <v>3</v>
      </c>
      <c r="E664" s="11">
        <v>11</v>
      </c>
      <c r="F664" s="11">
        <v>12</v>
      </c>
      <c r="G664" s="11">
        <v>27</v>
      </c>
      <c r="H664">
        <v>49.356998411093443</v>
      </c>
    </row>
    <row r="665" spans="1:8" x14ac:dyDescent="0.25">
      <c r="A665" s="31" t="s">
        <v>156</v>
      </c>
      <c r="B665">
        <v>2025</v>
      </c>
      <c r="C665" t="str">
        <f t="shared" si="10"/>
        <v>Genoa_2025</v>
      </c>
      <c r="D665" s="32">
        <v>1</v>
      </c>
      <c r="E665" s="32">
        <v>23</v>
      </c>
      <c r="F665" s="32">
        <v>2</v>
      </c>
      <c r="G665" s="32">
        <v>27</v>
      </c>
      <c r="H665">
        <v>53.485671631685847</v>
      </c>
    </row>
    <row r="666" spans="1:8" x14ac:dyDescent="0.25">
      <c r="A666" s="31" t="s">
        <v>156</v>
      </c>
      <c r="B666">
        <v>2025</v>
      </c>
      <c r="C666" t="str">
        <f t="shared" si="10"/>
        <v>Genoa_2025</v>
      </c>
      <c r="D666" s="32">
        <v>2</v>
      </c>
      <c r="E666" s="32">
        <v>1</v>
      </c>
      <c r="F666" s="32">
        <v>4</v>
      </c>
      <c r="G666" s="32">
        <v>27</v>
      </c>
      <c r="H666">
        <v>38.203097107740327</v>
      </c>
    </row>
    <row r="667" spans="1:8" x14ac:dyDescent="0.25">
      <c r="A667" s="31" t="s">
        <v>156</v>
      </c>
      <c r="B667">
        <v>2025</v>
      </c>
      <c r="C667" t="str">
        <f t="shared" si="10"/>
        <v>Genoa_2025</v>
      </c>
      <c r="D667" s="32">
        <v>3</v>
      </c>
      <c r="E667" s="32">
        <v>12</v>
      </c>
      <c r="F667" s="32">
        <v>6</v>
      </c>
      <c r="G667" s="32">
        <v>27</v>
      </c>
      <c r="H667">
        <v>51.382509015723407</v>
      </c>
    </row>
    <row r="668" spans="1:8" x14ac:dyDescent="0.25">
      <c r="A668" s="31" t="s">
        <v>10</v>
      </c>
      <c r="B668">
        <v>2025</v>
      </c>
      <c r="C668" t="str">
        <f t="shared" si="10"/>
        <v>Julesburg_2025</v>
      </c>
      <c r="D668" s="32">
        <v>1</v>
      </c>
      <c r="E668" s="32">
        <v>5</v>
      </c>
      <c r="F668" s="32">
        <v>4</v>
      </c>
      <c r="G668" s="32">
        <v>27</v>
      </c>
      <c r="H668">
        <v>67.605788675429707</v>
      </c>
    </row>
    <row r="669" spans="1:8" x14ac:dyDescent="0.25">
      <c r="A669" s="31" t="s">
        <v>10</v>
      </c>
      <c r="B669">
        <v>2025</v>
      </c>
      <c r="C669" t="str">
        <f t="shared" si="10"/>
        <v>Julesburg_2025</v>
      </c>
      <c r="D669" s="32">
        <v>2</v>
      </c>
      <c r="E669" s="32">
        <v>3</v>
      </c>
      <c r="F669" s="32">
        <v>8</v>
      </c>
      <c r="G669" s="32">
        <v>27</v>
      </c>
      <c r="H669">
        <v>51.484923845072473</v>
      </c>
    </row>
    <row r="670" spans="1:8" x14ac:dyDescent="0.25">
      <c r="A670" s="31" t="s">
        <v>10</v>
      </c>
      <c r="B670">
        <v>2025</v>
      </c>
      <c r="C670" t="str">
        <f t="shared" si="10"/>
        <v>Julesburg_2025</v>
      </c>
      <c r="D670" s="32">
        <v>3</v>
      </c>
      <c r="E670" s="32">
        <v>7</v>
      </c>
      <c r="F670" s="32">
        <v>11</v>
      </c>
      <c r="G670" s="32">
        <v>27</v>
      </c>
      <c r="H670">
        <v>53.657391601229079</v>
      </c>
    </row>
    <row r="671" spans="1:8" x14ac:dyDescent="0.25">
      <c r="A671" s="31" t="s">
        <v>11</v>
      </c>
      <c r="B671">
        <v>2025</v>
      </c>
      <c r="C671" t="str">
        <f t="shared" si="10"/>
        <v>Orchard_2025</v>
      </c>
      <c r="D671" s="32">
        <v>1</v>
      </c>
      <c r="E671" s="32">
        <v>13</v>
      </c>
      <c r="F671" s="32">
        <v>1</v>
      </c>
      <c r="G671" s="11">
        <v>27</v>
      </c>
      <c r="H671">
        <v>22.662271010624899</v>
      </c>
    </row>
    <row r="672" spans="1:8" x14ac:dyDescent="0.25">
      <c r="A672" s="31" t="s">
        <v>11</v>
      </c>
      <c r="B672">
        <v>2025</v>
      </c>
      <c r="C672" t="str">
        <f t="shared" si="10"/>
        <v>Orchard_2025</v>
      </c>
      <c r="D672" s="32">
        <v>2</v>
      </c>
      <c r="E672" s="32">
        <v>14</v>
      </c>
      <c r="F672" s="32">
        <v>4</v>
      </c>
      <c r="G672" s="11">
        <v>27</v>
      </c>
      <c r="H672">
        <v>18.756774193548381</v>
      </c>
    </row>
    <row r="673" spans="1:8" x14ac:dyDescent="0.25">
      <c r="A673" s="31" t="s">
        <v>11</v>
      </c>
      <c r="B673">
        <v>2025</v>
      </c>
      <c r="C673" t="str">
        <f t="shared" si="10"/>
        <v>Orchard_2025</v>
      </c>
      <c r="D673" s="32">
        <v>3</v>
      </c>
      <c r="E673" s="32">
        <v>1</v>
      </c>
      <c r="F673" s="32">
        <v>8</v>
      </c>
      <c r="G673" s="11">
        <v>27</v>
      </c>
      <c r="H673">
        <v>27.634042207792202</v>
      </c>
    </row>
    <row r="674" spans="1:8" x14ac:dyDescent="0.25">
      <c r="A674" t="s">
        <v>160</v>
      </c>
      <c r="B674">
        <v>2025</v>
      </c>
      <c r="C674" t="str">
        <f t="shared" si="10"/>
        <v>Yuma_2025</v>
      </c>
      <c r="D674">
        <v>1</v>
      </c>
      <c r="E674" s="36">
        <v>20</v>
      </c>
      <c r="F674" s="36">
        <v>1</v>
      </c>
      <c r="G674" s="32">
        <v>27</v>
      </c>
      <c r="H674">
        <v>96.98222891566266</v>
      </c>
    </row>
    <row r="675" spans="1:8" x14ac:dyDescent="0.25">
      <c r="A675" t="s">
        <v>160</v>
      </c>
      <c r="B675">
        <v>2025</v>
      </c>
      <c r="C675" t="str">
        <f t="shared" si="10"/>
        <v>Yuma_2025</v>
      </c>
      <c r="D675">
        <v>2</v>
      </c>
      <c r="E675" s="36">
        <v>21</v>
      </c>
      <c r="F675" s="36">
        <v>4</v>
      </c>
      <c r="G675" s="32">
        <v>27</v>
      </c>
      <c r="H675">
        <v>89.77034528292657</v>
      </c>
    </row>
    <row r="676" spans="1:8" x14ac:dyDescent="0.25">
      <c r="A676" t="s">
        <v>160</v>
      </c>
      <c r="B676">
        <v>2025</v>
      </c>
      <c r="C676" t="str">
        <f t="shared" si="10"/>
        <v>Yuma_2025</v>
      </c>
      <c r="D676">
        <v>3</v>
      </c>
      <c r="E676" s="36">
        <v>6</v>
      </c>
      <c r="F676" s="36">
        <v>5</v>
      </c>
      <c r="G676" s="32">
        <v>27</v>
      </c>
      <c r="H676">
        <v>89.326458071380202</v>
      </c>
    </row>
    <row r="677" spans="1:8" x14ac:dyDescent="0.25">
      <c r="A677" s="31" t="s">
        <v>116</v>
      </c>
      <c r="B677">
        <v>2025</v>
      </c>
      <c r="C677" t="str">
        <f t="shared" si="10"/>
        <v>Burlington_2025</v>
      </c>
      <c r="D677" s="32">
        <v>1</v>
      </c>
      <c r="E677" s="32">
        <v>6</v>
      </c>
      <c r="F677" s="32">
        <v>4</v>
      </c>
      <c r="G677" s="32">
        <v>28</v>
      </c>
      <c r="H677">
        <v>54.963582616178996</v>
      </c>
    </row>
    <row r="678" spans="1:8" x14ac:dyDescent="0.25">
      <c r="A678" s="31" t="s">
        <v>116</v>
      </c>
      <c r="B678">
        <v>2025</v>
      </c>
      <c r="C678" t="str">
        <f t="shared" si="10"/>
        <v>Burlington_2025</v>
      </c>
      <c r="D678" s="32">
        <v>2</v>
      </c>
      <c r="E678" s="32">
        <v>10</v>
      </c>
      <c r="F678" s="32">
        <v>7</v>
      </c>
      <c r="G678" s="32">
        <v>28</v>
      </c>
      <c r="H678">
        <v>58.476480497565205</v>
      </c>
    </row>
    <row r="679" spans="1:8" x14ac:dyDescent="0.25">
      <c r="A679" s="31" t="s">
        <v>116</v>
      </c>
      <c r="B679">
        <v>2025</v>
      </c>
      <c r="C679" t="str">
        <f t="shared" si="10"/>
        <v>Burlington_2025</v>
      </c>
      <c r="D679" s="32">
        <v>3</v>
      </c>
      <c r="E679" s="32">
        <v>3</v>
      </c>
      <c r="F679" s="32">
        <v>10</v>
      </c>
      <c r="G679" s="32">
        <v>28</v>
      </c>
      <c r="H679">
        <v>59.626095558223284</v>
      </c>
    </row>
    <row r="680" spans="1:8" x14ac:dyDescent="0.25">
      <c r="A680" s="34" t="s">
        <v>97</v>
      </c>
      <c r="B680">
        <v>2025</v>
      </c>
      <c r="C680" t="str">
        <f t="shared" si="10"/>
        <v>Lamar_2025</v>
      </c>
      <c r="D680" s="35">
        <v>1</v>
      </c>
      <c r="E680" s="35">
        <v>3</v>
      </c>
      <c r="F680" s="35">
        <v>1</v>
      </c>
      <c r="G680" s="35">
        <v>28</v>
      </c>
      <c r="H680">
        <v>83.327168571428558</v>
      </c>
    </row>
    <row r="681" spans="1:8" x14ac:dyDescent="0.25">
      <c r="A681" s="34" t="s">
        <v>97</v>
      </c>
      <c r="B681">
        <v>2025</v>
      </c>
      <c r="C681" t="str">
        <f t="shared" si="10"/>
        <v>Lamar_2025</v>
      </c>
      <c r="D681" s="35">
        <v>2</v>
      </c>
      <c r="E681" s="35">
        <v>16</v>
      </c>
      <c r="F681" s="35">
        <v>3</v>
      </c>
      <c r="G681" s="35">
        <v>28</v>
      </c>
      <c r="H681">
        <v>77.406787041954331</v>
      </c>
    </row>
    <row r="682" spans="1:8" x14ac:dyDescent="0.25">
      <c r="A682" s="34" t="s">
        <v>97</v>
      </c>
      <c r="B682">
        <v>2025</v>
      </c>
      <c r="C682" t="str">
        <f t="shared" si="10"/>
        <v>Lamar_2025</v>
      </c>
      <c r="D682" s="35">
        <v>3</v>
      </c>
      <c r="E682" s="35">
        <v>7</v>
      </c>
      <c r="F682" s="35">
        <v>6</v>
      </c>
      <c r="G682" s="35">
        <v>28</v>
      </c>
      <c r="H682">
        <v>78.902084207514775</v>
      </c>
    </row>
    <row r="683" spans="1:8" x14ac:dyDescent="0.25">
      <c r="A683" s="31" t="s">
        <v>132</v>
      </c>
      <c r="B683">
        <v>2025</v>
      </c>
      <c r="C683" t="str">
        <f t="shared" si="10"/>
        <v>SLake_2025</v>
      </c>
      <c r="D683" s="32">
        <v>1</v>
      </c>
      <c r="E683" s="32">
        <v>12</v>
      </c>
      <c r="F683" s="32">
        <v>1</v>
      </c>
      <c r="G683" s="32">
        <v>28</v>
      </c>
      <c r="H683">
        <v>65.198428233932788</v>
      </c>
    </row>
    <row r="684" spans="1:8" x14ac:dyDescent="0.25">
      <c r="A684" s="31" t="s">
        <v>132</v>
      </c>
      <c r="B684">
        <v>2025</v>
      </c>
      <c r="C684" t="str">
        <f t="shared" si="10"/>
        <v>SLake_2025</v>
      </c>
      <c r="D684" s="32">
        <v>2</v>
      </c>
      <c r="E684" s="32">
        <v>9</v>
      </c>
      <c r="F684" s="32">
        <v>4</v>
      </c>
      <c r="G684" s="32">
        <v>28</v>
      </c>
      <c r="H684">
        <v>69.421224489795932</v>
      </c>
    </row>
    <row r="685" spans="1:8" x14ac:dyDescent="0.25">
      <c r="A685" s="31" t="s">
        <v>132</v>
      </c>
      <c r="B685">
        <v>2025</v>
      </c>
      <c r="C685" t="str">
        <f t="shared" si="10"/>
        <v>SLake_2025</v>
      </c>
      <c r="D685" s="32">
        <v>3</v>
      </c>
      <c r="E685" s="32">
        <v>4</v>
      </c>
      <c r="F685" s="32">
        <v>6</v>
      </c>
      <c r="G685" s="32">
        <v>28</v>
      </c>
      <c r="H685">
        <v>64.925581395348829</v>
      </c>
    </row>
    <row r="686" spans="1:8" x14ac:dyDescent="0.25">
      <c r="A686" s="31" t="s">
        <v>13</v>
      </c>
      <c r="B686">
        <v>2025</v>
      </c>
      <c r="C686" t="str">
        <f t="shared" si="10"/>
        <v>Walsh_2025</v>
      </c>
      <c r="D686" s="32">
        <v>1</v>
      </c>
      <c r="E686" s="36">
        <v>14</v>
      </c>
      <c r="F686" s="36">
        <v>1</v>
      </c>
      <c r="G686" s="32">
        <v>28</v>
      </c>
      <c r="H686">
        <v>56.801249999999996</v>
      </c>
    </row>
    <row r="687" spans="1:8" x14ac:dyDescent="0.25">
      <c r="A687" s="31" t="s">
        <v>13</v>
      </c>
      <c r="B687">
        <v>2025</v>
      </c>
      <c r="C687" t="str">
        <f t="shared" si="10"/>
        <v>Walsh_2025</v>
      </c>
      <c r="D687" s="32">
        <v>2</v>
      </c>
      <c r="E687" s="36">
        <v>12</v>
      </c>
      <c r="F687" s="36">
        <v>3</v>
      </c>
      <c r="G687" s="32">
        <v>28</v>
      </c>
      <c r="H687">
        <v>71.055104999999983</v>
      </c>
    </row>
    <row r="688" spans="1:8" x14ac:dyDescent="0.25">
      <c r="A688" s="31" t="s">
        <v>13</v>
      </c>
      <c r="B688">
        <v>2025</v>
      </c>
      <c r="C688" t="str">
        <f t="shared" si="10"/>
        <v>Walsh_2025</v>
      </c>
      <c r="D688" s="32">
        <v>3</v>
      </c>
      <c r="E688" s="36">
        <v>11</v>
      </c>
      <c r="F688" s="36">
        <v>5</v>
      </c>
      <c r="G688" s="32">
        <v>28</v>
      </c>
      <c r="H688">
        <v>60.86849999999999</v>
      </c>
    </row>
    <row r="689" spans="1:8" x14ac:dyDescent="0.25">
      <c r="A689" t="s">
        <v>7</v>
      </c>
      <c r="B689">
        <v>2025</v>
      </c>
      <c r="C689" t="str">
        <f t="shared" si="10"/>
        <v>Akron_2025</v>
      </c>
      <c r="D689" s="11">
        <v>1</v>
      </c>
      <c r="E689" s="11">
        <v>13</v>
      </c>
      <c r="F689" s="11">
        <v>2</v>
      </c>
      <c r="G689" s="11">
        <v>28</v>
      </c>
      <c r="H689">
        <v>37.490152980877383</v>
      </c>
    </row>
    <row r="690" spans="1:8" x14ac:dyDescent="0.25">
      <c r="A690" t="s">
        <v>7</v>
      </c>
      <c r="B690">
        <v>2025</v>
      </c>
      <c r="C690" t="str">
        <f t="shared" si="10"/>
        <v>Akron_2025</v>
      </c>
      <c r="D690" s="11">
        <v>2</v>
      </c>
      <c r="E690" s="11">
        <v>6</v>
      </c>
      <c r="F690" s="11">
        <v>7</v>
      </c>
      <c r="G690" s="11">
        <v>28</v>
      </c>
      <c r="H690">
        <v>40.006298657718119</v>
      </c>
    </row>
    <row r="691" spans="1:8" x14ac:dyDescent="0.25">
      <c r="A691" t="s">
        <v>7</v>
      </c>
      <c r="B691">
        <v>2025</v>
      </c>
      <c r="C691" t="str">
        <f t="shared" si="10"/>
        <v>Akron_2025</v>
      </c>
      <c r="D691" s="11">
        <v>3</v>
      </c>
      <c r="E691" s="11">
        <v>2</v>
      </c>
      <c r="F691" s="11">
        <v>9</v>
      </c>
      <c r="G691" s="11">
        <v>28</v>
      </c>
      <c r="H691">
        <v>37.942276391181885</v>
      </c>
    </row>
    <row r="692" spans="1:8" x14ac:dyDescent="0.25">
      <c r="A692" s="31" t="s">
        <v>156</v>
      </c>
      <c r="B692">
        <v>2025</v>
      </c>
      <c r="C692" t="str">
        <f t="shared" si="10"/>
        <v>Genoa_2025</v>
      </c>
      <c r="D692" s="32">
        <v>1</v>
      </c>
      <c r="E692" s="32">
        <v>25</v>
      </c>
      <c r="F692" s="32">
        <v>1</v>
      </c>
      <c r="G692" s="32">
        <v>28</v>
      </c>
      <c r="H692">
        <v>45.142014367677554</v>
      </c>
    </row>
    <row r="693" spans="1:8" x14ac:dyDescent="0.25">
      <c r="A693" s="31" t="s">
        <v>156</v>
      </c>
      <c r="B693">
        <v>2025</v>
      </c>
      <c r="C693" t="str">
        <f t="shared" si="10"/>
        <v>Genoa_2025</v>
      </c>
      <c r="D693" s="32">
        <v>2</v>
      </c>
      <c r="E693" s="32">
        <v>4</v>
      </c>
      <c r="F693" s="32">
        <v>4</v>
      </c>
      <c r="G693" s="32">
        <v>28</v>
      </c>
      <c r="H693">
        <v>30.528291469541038</v>
      </c>
    </row>
    <row r="694" spans="1:8" x14ac:dyDescent="0.25">
      <c r="A694" s="31" t="s">
        <v>156</v>
      </c>
      <c r="B694">
        <v>2025</v>
      </c>
      <c r="C694" t="str">
        <f t="shared" si="10"/>
        <v>Genoa_2025</v>
      </c>
      <c r="D694" s="32">
        <v>3</v>
      </c>
      <c r="E694" s="32">
        <v>21</v>
      </c>
      <c r="F694" s="32">
        <v>6</v>
      </c>
      <c r="G694" s="32">
        <v>28</v>
      </c>
      <c r="H694">
        <v>49.735292205606576</v>
      </c>
    </row>
    <row r="695" spans="1:8" x14ac:dyDescent="0.25">
      <c r="A695" s="31" t="s">
        <v>10</v>
      </c>
      <c r="B695">
        <v>2025</v>
      </c>
      <c r="C695" t="str">
        <f t="shared" si="10"/>
        <v>Julesburg_2025</v>
      </c>
      <c r="D695" s="32">
        <v>1</v>
      </c>
      <c r="E695" s="32">
        <v>7</v>
      </c>
      <c r="F695" s="32">
        <v>1</v>
      </c>
      <c r="G695" s="32">
        <v>28</v>
      </c>
      <c r="H695">
        <v>53.842105263157876</v>
      </c>
    </row>
    <row r="696" spans="1:8" x14ac:dyDescent="0.25">
      <c r="A696" s="31" t="s">
        <v>10</v>
      </c>
      <c r="B696">
        <v>2025</v>
      </c>
      <c r="C696" t="str">
        <f t="shared" si="10"/>
        <v>Julesburg_2025</v>
      </c>
      <c r="D696" s="32">
        <v>2</v>
      </c>
      <c r="E696" s="32">
        <v>5</v>
      </c>
      <c r="F696" s="32">
        <v>6</v>
      </c>
      <c r="G696" s="32">
        <v>28</v>
      </c>
      <c r="H696">
        <v>59.252447129909349</v>
      </c>
    </row>
    <row r="697" spans="1:8" x14ac:dyDescent="0.25">
      <c r="A697" s="31" t="s">
        <v>10</v>
      </c>
      <c r="B697">
        <v>2025</v>
      </c>
      <c r="C697" t="str">
        <f t="shared" si="10"/>
        <v>Julesburg_2025</v>
      </c>
      <c r="D697" s="32">
        <v>3</v>
      </c>
      <c r="E697" s="32">
        <v>13</v>
      </c>
      <c r="F697" s="32">
        <v>12</v>
      </c>
      <c r="G697" s="32">
        <v>28</v>
      </c>
      <c r="H697">
        <v>55.801428571428552</v>
      </c>
    </row>
    <row r="698" spans="1:8" x14ac:dyDescent="0.25">
      <c r="A698" s="31" t="s">
        <v>11</v>
      </c>
      <c r="B698">
        <v>2025</v>
      </c>
      <c r="C698" t="str">
        <f t="shared" si="10"/>
        <v>Orchard_2025</v>
      </c>
      <c r="D698" s="32">
        <v>1</v>
      </c>
      <c r="E698" s="32">
        <v>16</v>
      </c>
      <c r="F698" s="32">
        <v>2</v>
      </c>
      <c r="G698" s="11">
        <v>28</v>
      </c>
      <c r="H698">
        <v>32.236871929737504</v>
      </c>
    </row>
    <row r="699" spans="1:8" x14ac:dyDescent="0.25">
      <c r="A699" s="31" t="s">
        <v>11</v>
      </c>
      <c r="B699">
        <v>2025</v>
      </c>
      <c r="C699" t="str">
        <f t="shared" si="10"/>
        <v>Orchard_2025</v>
      </c>
      <c r="D699" s="32">
        <v>2</v>
      </c>
      <c r="E699" s="32">
        <v>17</v>
      </c>
      <c r="F699" s="32">
        <v>5</v>
      </c>
      <c r="G699" s="11">
        <v>28</v>
      </c>
      <c r="H699">
        <v>26.77542023849432</v>
      </c>
    </row>
    <row r="700" spans="1:8" x14ac:dyDescent="0.25">
      <c r="A700" s="31" t="s">
        <v>11</v>
      </c>
      <c r="B700">
        <v>2025</v>
      </c>
      <c r="C700" t="str">
        <f t="shared" si="10"/>
        <v>Orchard_2025</v>
      </c>
      <c r="D700" s="32">
        <v>3</v>
      </c>
      <c r="E700" s="32">
        <v>10</v>
      </c>
      <c r="F700" s="32">
        <v>8</v>
      </c>
      <c r="G700" s="11">
        <v>28</v>
      </c>
      <c r="H700">
        <v>44.774512987012983</v>
      </c>
    </row>
    <row r="701" spans="1:8" x14ac:dyDescent="0.25">
      <c r="A701" t="s">
        <v>160</v>
      </c>
      <c r="B701">
        <v>2025</v>
      </c>
      <c r="C701" t="str">
        <f t="shared" si="10"/>
        <v>Yuma_2025</v>
      </c>
      <c r="D701">
        <v>1</v>
      </c>
      <c r="E701" s="36">
        <v>2</v>
      </c>
      <c r="F701" s="36">
        <v>2</v>
      </c>
      <c r="G701" s="32">
        <v>28</v>
      </c>
      <c r="H701">
        <v>95.417398547215484</v>
      </c>
    </row>
    <row r="702" spans="1:8" x14ac:dyDescent="0.25">
      <c r="A702" t="s">
        <v>160</v>
      </c>
      <c r="B702">
        <v>2025</v>
      </c>
      <c r="C702" t="str">
        <f t="shared" si="10"/>
        <v>Yuma_2025</v>
      </c>
      <c r="D702">
        <v>2</v>
      </c>
      <c r="E702" s="36">
        <v>19</v>
      </c>
      <c r="F702" s="36">
        <v>3</v>
      </c>
      <c r="G702" s="32">
        <v>28</v>
      </c>
      <c r="H702">
        <v>84.881422440220732</v>
      </c>
    </row>
    <row r="703" spans="1:8" x14ac:dyDescent="0.25">
      <c r="A703" t="s">
        <v>160</v>
      </c>
      <c r="B703">
        <v>2025</v>
      </c>
      <c r="C703" t="str">
        <f t="shared" si="10"/>
        <v>Yuma_2025</v>
      </c>
      <c r="D703">
        <v>3</v>
      </c>
      <c r="E703" s="36">
        <v>6</v>
      </c>
      <c r="F703" s="36">
        <v>6</v>
      </c>
      <c r="G703" s="32">
        <v>28</v>
      </c>
      <c r="H703">
        <v>81.881407985446174</v>
      </c>
    </row>
    <row r="704" spans="1:8" x14ac:dyDescent="0.25">
      <c r="A704" s="31" t="s">
        <v>116</v>
      </c>
      <c r="B704">
        <v>2025</v>
      </c>
      <c r="C704" t="str">
        <f t="shared" si="10"/>
        <v>Burlington_2025</v>
      </c>
      <c r="D704" s="32">
        <v>1</v>
      </c>
      <c r="E704" s="32">
        <v>6</v>
      </c>
      <c r="F704" s="32">
        <v>3</v>
      </c>
      <c r="G704" s="32">
        <v>29</v>
      </c>
      <c r="H704">
        <v>63.548449975786916</v>
      </c>
    </row>
    <row r="705" spans="1:8" x14ac:dyDescent="0.25">
      <c r="A705" s="31" t="s">
        <v>116</v>
      </c>
      <c r="B705">
        <v>2025</v>
      </c>
      <c r="C705" t="str">
        <f t="shared" si="10"/>
        <v>Burlington_2025</v>
      </c>
      <c r="D705" s="32">
        <v>2</v>
      </c>
      <c r="E705" s="32">
        <v>7</v>
      </c>
      <c r="F705" s="32">
        <v>8</v>
      </c>
      <c r="G705" s="32">
        <v>29</v>
      </c>
      <c r="H705">
        <v>65.814107573149727</v>
      </c>
    </row>
    <row r="706" spans="1:8" x14ac:dyDescent="0.25">
      <c r="A706" s="31" t="s">
        <v>116</v>
      </c>
      <c r="B706">
        <v>2025</v>
      </c>
      <c r="C706" t="str">
        <f t="shared" si="10"/>
        <v>Burlington_2025</v>
      </c>
      <c r="D706" s="32">
        <v>3</v>
      </c>
      <c r="E706" s="32">
        <v>2</v>
      </c>
      <c r="F706" s="32">
        <v>12</v>
      </c>
      <c r="G706" s="32">
        <v>29</v>
      </c>
      <c r="H706">
        <v>66.507432929782084</v>
      </c>
    </row>
    <row r="707" spans="1:8" x14ac:dyDescent="0.25">
      <c r="A707" s="34" t="s">
        <v>97</v>
      </c>
      <c r="B707">
        <v>2025</v>
      </c>
      <c r="C707" t="str">
        <f t="shared" ref="C707:C770" si="11">A707&amp;"_"&amp;B707</f>
        <v>Lamar_2025</v>
      </c>
      <c r="D707" s="35">
        <v>1</v>
      </c>
      <c r="E707" s="35">
        <v>8</v>
      </c>
      <c r="F707" s="35">
        <v>1</v>
      </c>
      <c r="G707" s="35">
        <v>29</v>
      </c>
      <c r="H707">
        <v>69.954531428571428</v>
      </c>
    </row>
    <row r="708" spans="1:8" x14ac:dyDescent="0.25">
      <c r="A708" s="34" t="s">
        <v>97</v>
      </c>
      <c r="B708">
        <v>2025</v>
      </c>
      <c r="C708" t="str">
        <f t="shared" si="11"/>
        <v>Lamar_2025</v>
      </c>
      <c r="D708" s="35">
        <v>2</v>
      </c>
      <c r="E708" s="35">
        <v>17</v>
      </c>
      <c r="F708" s="35">
        <v>3</v>
      </c>
      <c r="G708" s="35">
        <v>29</v>
      </c>
      <c r="H708">
        <v>68.498268720127442</v>
      </c>
    </row>
    <row r="709" spans="1:8" x14ac:dyDescent="0.25">
      <c r="A709" s="34" t="s">
        <v>97</v>
      </c>
      <c r="B709">
        <v>2025</v>
      </c>
      <c r="C709" t="str">
        <f t="shared" si="11"/>
        <v>Lamar_2025</v>
      </c>
      <c r="D709" s="35">
        <v>3</v>
      </c>
      <c r="E709" s="35">
        <v>9</v>
      </c>
      <c r="F709" s="35">
        <v>6</v>
      </c>
      <c r="G709" s="35">
        <v>29</v>
      </c>
      <c r="H709">
        <v>66.548940492084682</v>
      </c>
    </row>
    <row r="710" spans="1:8" x14ac:dyDescent="0.25">
      <c r="A710" s="31" t="s">
        <v>132</v>
      </c>
      <c r="B710">
        <v>2025</v>
      </c>
      <c r="C710" t="str">
        <f t="shared" si="11"/>
        <v>SLake_2025</v>
      </c>
      <c r="D710" s="32">
        <v>1</v>
      </c>
      <c r="E710" s="32">
        <v>17</v>
      </c>
      <c r="F710" s="32">
        <v>1</v>
      </c>
      <c r="G710" s="32">
        <v>29</v>
      </c>
      <c r="H710">
        <v>61.129361650836508</v>
      </c>
    </row>
    <row r="711" spans="1:8" x14ac:dyDescent="0.25">
      <c r="A711" s="31" t="s">
        <v>132</v>
      </c>
      <c r="B711">
        <v>2025</v>
      </c>
      <c r="C711" t="str">
        <f t="shared" si="11"/>
        <v>SLake_2025</v>
      </c>
      <c r="D711" s="32">
        <v>2</v>
      </c>
      <c r="E711" s="32">
        <v>7</v>
      </c>
      <c r="F711" s="32">
        <v>4</v>
      </c>
      <c r="G711" s="32">
        <v>29</v>
      </c>
      <c r="H711">
        <v>62.499662948711709</v>
      </c>
    </row>
    <row r="712" spans="1:8" x14ac:dyDescent="0.25">
      <c r="A712" s="31" t="s">
        <v>132</v>
      </c>
      <c r="B712">
        <v>2025</v>
      </c>
      <c r="C712" t="str">
        <f t="shared" si="11"/>
        <v>SLake_2025</v>
      </c>
      <c r="D712" s="32">
        <v>3</v>
      </c>
      <c r="E712" s="32">
        <v>11</v>
      </c>
      <c r="F712" s="32">
        <v>5</v>
      </c>
      <c r="G712" s="32">
        <v>29</v>
      </c>
      <c r="H712">
        <v>62.430423421705129</v>
      </c>
    </row>
    <row r="713" spans="1:8" x14ac:dyDescent="0.25">
      <c r="A713" s="31" t="s">
        <v>13</v>
      </c>
      <c r="B713">
        <v>2025</v>
      </c>
      <c r="C713" t="str">
        <f t="shared" si="11"/>
        <v>Walsh_2025</v>
      </c>
      <c r="D713" s="32">
        <v>1</v>
      </c>
      <c r="E713" s="36">
        <v>16</v>
      </c>
      <c r="F713" s="36">
        <v>1</v>
      </c>
      <c r="G713" s="32">
        <v>29</v>
      </c>
      <c r="H713">
        <v>64.639574999999994</v>
      </c>
    </row>
    <row r="714" spans="1:8" x14ac:dyDescent="0.25">
      <c r="A714" s="31" t="s">
        <v>13</v>
      </c>
      <c r="B714">
        <v>2025</v>
      </c>
      <c r="C714" t="str">
        <f t="shared" si="11"/>
        <v>Walsh_2025</v>
      </c>
      <c r="D714" s="32">
        <v>2</v>
      </c>
      <c r="E714" s="36">
        <v>14</v>
      </c>
      <c r="F714" s="36">
        <v>3</v>
      </c>
      <c r="G714" s="32">
        <v>29</v>
      </c>
      <c r="H714">
        <v>69.678619999999981</v>
      </c>
    </row>
    <row r="715" spans="1:8" x14ac:dyDescent="0.25">
      <c r="A715" s="31" t="s">
        <v>13</v>
      </c>
      <c r="B715">
        <v>2025</v>
      </c>
      <c r="C715" t="str">
        <f t="shared" si="11"/>
        <v>Walsh_2025</v>
      </c>
      <c r="D715" s="32">
        <v>3</v>
      </c>
      <c r="E715" s="36">
        <v>21</v>
      </c>
      <c r="F715" s="36">
        <v>5</v>
      </c>
      <c r="G715" s="32">
        <v>29</v>
      </c>
      <c r="H715">
        <v>55.23265</v>
      </c>
    </row>
    <row r="716" spans="1:8" x14ac:dyDescent="0.25">
      <c r="A716" t="s">
        <v>7</v>
      </c>
      <c r="B716">
        <v>2025</v>
      </c>
      <c r="C716" t="str">
        <f t="shared" si="11"/>
        <v>Akron_2025</v>
      </c>
      <c r="D716" s="11">
        <v>1</v>
      </c>
      <c r="E716" s="11">
        <v>3</v>
      </c>
      <c r="F716" s="11">
        <v>2</v>
      </c>
      <c r="G716" s="11">
        <v>29</v>
      </c>
      <c r="H716">
        <v>47.6359046119235</v>
      </c>
    </row>
    <row r="717" spans="1:8" x14ac:dyDescent="0.25">
      <c r="A717" t="s">
        <v>7</v>
      </c>
      <c r="B717">
        <v>2025</v>
      </c>
      <c r="C717" t="str">
        <f t="shared" si="11"/>
        <v>Akron_2025</v>
      </c>
      <c r="D717" s="11">
        <v>2</v>
      </c>
      <c r="E717" s="11">
        <v>13</v>
      </c>
      <c r="F717" s="11">
        <v>6</v>
      </c>
      <c r="G717" s="11">
        <v>29</v>
      </c>
      <c r="H717">
        <v>44.153211615033506</v>
      </c>
    </row>
    <row r="718" spans="1:8" x14ac:dyDescent="0.25">
      <c r="A718" t="s">
        <v>7</v>
      </c>
      <c r="B718">
        <v>2025</v>
      </c>
      <c r="C718" t="str">
        <f t="shared" si="11"/>
        <v>Akron_2025</v>
      </c>
      <c r="D718" s="11">
        <v>3</v>
      </c>
      <c r="E718" s="11">
        <v>4</v>
      </c>
      <c r="F718" s="11">
        <v>12</v>
      </c>
      <c r="G718" s="11">
        <v>29</v>
      </c>
      <c r="H718">
        <v>37.581913910154555</v>
      </c>
    </row>
    <row r="719" spans="1:8" x14ac:dyDescent="0.25">
      <c r="A719" s="31" t="s">
        <v>156</v>
      </c>
      <c r="B719">
        <v>2025</v>
      </c>
      <c r="C719" t="str">
        <f t="shared" si="11"/>
        <v>Genoa_2025</v>
      </c>
      <c r="D719" s="32">
        <v>1</v>
      </c>
      <c r="E719" s="32">
        <v>1</v>
      </c>
      <c r="F719" s="32">
        <v>1</v>
      </c>
      <c r="G719" s="32">
        <v>29</v>
      </c>
      <c r="H719">
        <v>33.919468685212863</v>
      </c>
    </row>
    <row r="720" spans="1:8" x14ac:dyDescent="0.25">
      <c r="A720" s="31" t="s">
        <v>156</v>
      </c>
      <c r="B720">
        <v>2025</v>
      </c>
      <c r="C720" t="str">
        <f t="shared" si="11"/>
        <v>Genoa_2025</v>
      </c>
      <c r="D720" s="32">
        <v>2</v>
      </c>
      <c r="E720" s="32">
        <v>10</v>
      </c>
      <c r="F720" s="32">
        <v>4</v>
      </c>
      <c r="G720" s="32">
        <v>29</v>
      </c>
      <c r="H720">
        <v>48.658429985855733</v>
      </c>
    </row>
    <row r="721" spans="1:8" x14ac:dyDescent="0.25">
      <c r="A721" s="31" t="s">
        <v>156</v>
      </c>
      <c r="B721">
        <v>2025</v>
      </c>
      <c r="C721" t="str">
        <f t="shared" si="11"/>
        <v>Genoa_2025</v>
      </c>
      <c r="D721" s="32">
        <v>3</v>
      </c>
      <c r="E721" s="32">
        <v>4</v>
      </c>
      <c r="F721" s="32">
        <v>6</v>
      </c>
      <c r="G721" s="32">
        <v>29</v>
      </c>
      <c r="H721">
        <v>46.727695340674124</v>
      </c>
    </row>
    <row r="722" spans="1:8" x14ac:dyDescent="0.25">
      <c r="A722" s="31" t="s">
        <v>10</v>
      </c>
      <c r="B722">
        <v>2025</v>
      </c>
      <c r="C722" t="str">
        <f t="shared" si="11"/>
        <v>Julesburg_2025</v>
      </c>
      <c r="D722" s="32">
        <v>1</v>
      </c>
      <c r="E722" s="32">
        <v>13</v>
      </c>
      <c r="F722" s="32">
        <v>4</v>
      </c>
      <c r="G722" s="32">
        <v>29</v>
      </c>
      <c r="H722">
        <v>69.681861909576767</v>
      </c>
    </row>
    <row r="723" spans="1:8" x14ac:dyDescent="0.25">
      <c r="A723" s="31" t="s">
        <v>10</v>
      </c>
      <c r="B723">
        <v>2025</v>
      </c>
      <c r="C723" t="str">
        <f t="shared" si="11"/>
        <v>Julesburg_2025</v>
      </c>
      <c r="D723" s="32">
        <v>2</v>
      </c>
      <c r="E723" s="32">
        <v>5</v>
      </c>
      <c r="F723" s="32">
        <v>5</v>
      </c>
      <c r="G723" s="32">
        <v>29</v>
      </c>
      <c r="H723">
        <v>59.808025990783413</v>
      </c>
    </row>
    <row r="724" spans="1:8" x14ac:dyDescent="0.25">
      <c r="A724" s="31" t="s">
        <v>10</v>
      </c>
      <c r="B724">
        <v>2025</v>
      </c>
      <c r="C724" t="str">
        <f t="shared" si="11"/>
        <v>Julesburg_2025</v>
      </c>
      <c r="D724" s="32">
        <v>3</v>
      </c>
      <c r="E724" s="32">
        <v>6</v>
      </c>
      <c r="F724" s="32">
        <v>12</v>
      </c>
      <c r="G724" s="32">
        <v>29</v>
      </c>
      <c r="H724">
        <v>71.929846153846128</v>
      </c>
    </row>
    <row r="725" spans="1:8" x14ac:dyDescent="0.25">
      <c r="A725" s="31" t="s">
        <v>11</v>
      </c>
      <c r="B725">
        <v>2025</v>
      </c>
      <c r="C725" t="str">
        <f t="shared" si="11"/>
        <v>Orchard_2025</v>
      </c>
      <c r="D725" s="32">
        <v>1</v>
      </c>
      <c r="E725" s="32">
        <v>12</v>
      </c>
      <c r="F725" s="32">
        <v>2</v>
      </c>
      <c r="G725" s="11">
        <v>29</v>
      </c>
      <c r="H725">
        <v>23.538941100580551</v>
      </c>
    </row>
    <row r="726" spans="1:8" x14ac:dyDescent="0.25">
      <c r="A726" s="31" t="s">
        <v>11</v>
      </c>
      <c r="B726">
        <v>2025</v>
      </c>
      <c r="C726" t="str">
        <f t="shared" si="11"/>
        <v>Orchard_2025</v>
      </c>
      <c r="D726" s="32">
        <v>2</v>
      </c>
      <c r="E726" s="32">
        <v>7</v>
      </c>
      <c r="F726" s="32">
        <v>4</v>
      </c>
      <c r="G726" s="11">
        <v>29</v>
      </c>
      <c r="H726">
        <v>21.265990783410135</v>
      </c>
    </row>
    <row r="727" spans="1:8" x14ac:dyDescent="0.25">
      <c r="A727" s="31" t="s">
        <v>11</v>
      </c>
      <c r="B727">
        <v>2025</v>
      </c>
      <c r="C727" t="str">
        <f t="shared" si="11"/>
        <v>Orchard_2025</v>
      </c>
      <c r="D727" s="32">
        <v>3</v>
      </c>
      <c r="E727" s="32">
        <v>10</v>
      </c>
      <c r="F727" s="32">
        <v>9</v>
      </c>
      <c r="G727" s="11">
        <v>29</v>
      </c>
      <c r="H727">
        <v>29.770597092665366</v>
      </c>
    </row>
    <row r="728" spans="1:8" x14ac:dyDescent="0.25">
      <c r="A728" t="s">
        <v>160</v>
      </c>
      <c r="B728">
        <v>2025</v>
      </c>
      <c r="C728" t="str">
        <f t="shared" si="11"/>
        <v>Yuma_2025</v>
      </c>
      <c r="D728" s="11">
        <v>1</v>
      </c>
      <c r="E728" s="36">
        <v>22</v>
      </c>
      <c r="F728" s="36">
        <v>2</v>
      </c>
      <c r="G728" s="32">
        <v>29</v>
      </c>
      <c r="H728">
        <v>91.588759322033894</v>
      </c>
    </row>
    <row r="729" spans="1:8" x14ac:dyDescent="0.25">
      <c r="A729" t="s">
        <v>160</v>
      </c>
      <c r="B729">
        <v>2025</v>
      </c>
      <c r="C729" t="str">
        <f t="shared" si="11"/>
        <v>Yuma_2025</v>
      </c>
      <c r="D729" s="11">
        <v>2</v>
      </c>
      <c r="E729" s="36">
        <v>18</v>
      </c>
      <c r="F729" s="36">
        <v>3</v>
      </c>
      <c r="G729" s="32">
        <v>29</v>
      </c>
      <c r="H729">
        <v>88.064289015705327</v>
      </c>
    </row>
    <row r="730" spans="1:8" x14ac:dyDescent="0.25">
      <c r="A730" t="s">
        <v>160</v>
      </c>
      <c r="B730">
        <v>2025</v>
      </c>
      <c r="C730" t="str">
        <f t="shared" si="11"/>
        <v>Yuma_2025</v>
      </c>
      <c r="D730" s="11">
        <v>3</v>
      </c>
      <c r="E730" s="36">
        <v>4</v>
      </c>
      <c r="F730" s="36">
        <v>6</v>
      </c>
      <c r="G730" s="32">
        <v>29</v>
      </c>
      <c r="H730">
        <v>82.248487169666774</v>
      </c>
    </row>
    <row r="731" spans="1:8" x14ac:dyDescent="0.25">
      <c r="A731" s="31" t="s">
        <v>116</v>
      </c>
      <c r="B731">
        <v>2025</v>
      </c>
      <c r="C731" t="str">
        <f t="shared" si="11"/>
        <v>Burlington_2025</v>
      </c>
      <c r="D731" s="32">
        <v>1</v>
      </c>
      <c r="E731" s="32">
        <v>8</v>
      </c>
      <c r="F731" s="32">
        <v>2</v>
      </c>
      <c r="G731" s="32">
        <v>30</v>
      </c>
      <c r="H731">
        <v>46.95786857142857</v>
      </c>
    </row>
    <row r="732" spans="1:8" x14ac:dyDescent="0.25">
      <c r="A732" s="31" t="s">
        <v>116</v>
      </c>
      <c r="B732">
        <v>2025</v>
      </c>
      <c r="C732" t="str">
        <f t="shared" si="11"/>
        <v>Burlington_2025</v>
      </c>
      <c r="D732" s="32">
        <v>2</v>
      </c>
      <c r="E732" s="32">
        <v>11</v>
      </c>
      <c r="F732" s="32">
        <v>7</v>
      </c>
      <c r="G732" s="32">
        <v>30</v>
      </c>
      <c r="H732">
        <v>52.34300544814618</v>
      </c>
    </row>
    <row r="733" spans="1:8" x14ac:dyDescent="0.25">
      <c r="A733" s="31" t="s">
        <v>116</v>
      </c>
      <c r="B733">
        <v>2025</v>
      </c>
      <c r="C733" t="str">
        <f t="shared" si="11"/>
        <v>Burlington_2025</v>
      </c>
      <c r="D733" s="32">
        <v>3</v>
      </c>
      <c r="E733" s="32">
        <v>9</v>
      </c>
      <c r="F733" s="32">
        <v>12</v>
      </c>
      <c r="G733" s="32">
        <v>30</v>
      </c>
      <c r="H733">
        <v>55.561048474576261</v>
      </c>
    </row>
    <row r="734" spans="1:8" x14ac:dyDescent="0.25">
      <c r="A734" s="34" t="s">
        <v>97</v>
      </c>
      <c r="B734">
        <v>2025</v>
      </c>
      <c r="C734" t="str">
        <f t="shared" si="11"/>
        <v>Lamar_2025</v>
      </c>
      <c r="D734" s="35">
        <v>1</v>
      </c>
      <c r="E734" s="35">
        <v>9</v>
      </c>
      <c r="F734" s="35">
        <v>2</v>
      </c>
      <c r="G734" s="35">
        <v>30</v>
      </c>
      <c r="H734">
        <v>69.003033367037403</v>
      </c>
    </row>
    <row r="735" spans="1:8" x14ac:dyDescent="0.25">
      <c r="A735" s="34" t="s">
        <v>97</v>
      </c>
      <c r="B735">
        <v>2025</v>
      </c>
      <c r="C735" t="str">
        <f t="shared" si="11"/>
        <v>Lamar_2025</v>
      </c>
      <c r="D735" s="35">
        <v>2</v>
      </c>
      <c r="E735" s="35">
        <v>2</v>
      </c>
      <c r="F735" s="35">
        <v>3</v>
      </c>
      <c r="G735" s="35">
        <v>30</v>
      </c>
      <c r="H735">
        <v>54.535841741901223</v>
      </c>
    </row>
    <row r="736" spans="1:8" x14ac:dyDescent="0.25">
      <c r="A736" s="34" t="s">
        <v>97</v>
      </c>
      <c r="B736">
        <v>2025</v>
      </c>
      <c r="C736" t="str">
        <f t="shared" si="11"/>
        <v>Lamar_2025</v>
      </c>
      <c r="D736" s="35">
        <v>3</v>
      </c>
      <c r="E736" s="35">
        <v>14</v>
      </c>
      <c r="F736" s="35">
        <v>6</v>
      </c>
      <c r="G736" s="35">
        <v>30</v>
      </c>
      <c r="H736">
        <v>68.768840358573328</v>
      </c>
    </row>
    <row r="737" spans="1:8" x14ac:dyDescent="0.25">
      <c r="A737" s="31" t="s">
        <v>132</v>
      </c>
      <c r="B737">
        <v>2025</v>
      </c>
      <c r="C737" t="str">
        <f t="shared" si="11"/>
        <v>SLake_2025</v>
      </c>
      <c r="D737" s="32">
        <v>1</v>
      </c>
      <c r="E737" s="32">
        <v>15</v>
      </c>
      <c r="F737" s="32">
        <v>1</v>
      </c>
      <c r="G737" s="32">
        <v>30</v>
      </c>
      <c r="H737">
        <v>58.526464972759271</v>
      </c>
    </row>
    <row r="738" spans="1:8" x14ac:dyDescent="0.25">
      <c r="A738" s="31" t="s">
        <v>132</v>
      </c>
      <c r="B738">
        <v>2025</v>
      </c>
      <c r="C738" t="str">
        <f t="shared" si="11"/>
        <v>SLake_2025</v>
      </c>
      <c r="D738" s="32">
        <v>2</v>
      </c>
      <c r="E738" s="32">
        <v>9</v>
      </c>
      <c r="F738" s="32">
        <v>3</v>
      </c>
      <c r="G738" s="32">
        <v>30</v>
      </c>
      <c r="H738">
        <v>66.803463855421668</v>
      </c>
    </row>
    <row r="739" spans="1:8" x14ac:dyDescent="0.25">
      <c r="A739" s="31" t="s">
        <v>132</v>
      </c>
      <c r="B739">
        <v>2025</v>
      </c>
      <c r="C739" t="str">
        <f t="shared" si="11"/>
        <v>SLake_2025</v>
      </c>
      <c r="D739" s="32">
        <v>3</v>
      </c>
      <c r="E739" s="32">
        <v>18</v>
      </c>
      <c r="F739" s="32">
        <v>5</v>
      </c>
      <c r="G739" s="32">
        <v>30</v>
      </c>
      <c r="H739">
        <v>61.069669082586302</v>
      </c>
    </row>
    <row r="740" spans="1:8" x14ac:dyDescent="0.25">
      <c r="A740" s="31" t="s">
        <v>13</v>
      </c>
      <c r="B740">
        <v>2025</v>
      </c>
      <c r="C740" t="str">
        <f t="shared" si="11"/>
        <v>Walsh_2025</v>
      </c>
      <c r="D740" s="32">
        <v>1</v>
      </c>
      <c r="E740" s="36">
        <v>7</v>
      </c>
      <c r="F740" s="36">
        <v>2</v>
      </c>
      <c r="G740" s="32">
        <v>30</v>
      </c>
      <c r="H740">
        <v>62.851799999999983</v>
      </c>
    </row>
    <row r="741" spans="1:8" x14ac:dyDescent="0.25">
      <c r="A741" s="31" t="s">
        <v>13</v>
      </c>
      <c r="B741">
        <v>2025</v>
      </c>
      <c r="C741" t="str">
        <f t="shared" si="11"/>
        <v>Walsh_2025</v>
      </c>
      <c r="D741" s="32">
        <v>2</v>
      </c>
      <c r="E741" s="36">
        <v>3</v>
      </c>
      <c r="F741" s="36">
        <v>3</v>
      </c>
      <c r="G741" s="32">
        <v>30</v>
      </c>
      <c r="H741">
        <v>67.114959999999996</v>
      </c>
    </row>
    <row r="742" spans="1:8" x14ac:dyDescent="0.25">
      <c r="A742" s="31" t="s">
        <v>13</v>
      </c>
      <c r="B742">
        <v>2025</v>
      </c>
      <c r="C742" t="str">
        <f t="shared" si="11"/>
        <v>Walsh_2025</v>
      </c>
      <c r="D742" s="32">
        <v>3</v>
      </c>
      <c r="E742" s="36">
        <v>16</v>
      </c>
      <c r="F742" s="36">
        <v>6</v>
      </c>
      <c r="G742" s="32">
        <v>30</v>
      </c>
      <c r="H742">
        <v>60.80415</v>
      </c>
    </row>
    <row r="743" spans="1:8" x14ac:dyDescent="0.25">
      <c r="A743" t="s">
        <v>7</v>
      </c>
      <c r="B743">
        <v>2025</v>
      </c>
      <c r="C743" t="str">
        <f t="shared" si="11"/>
        <v>Akron_2025</v>
      </c>
      <c r="D743" s="11">
        <v>1</v>
      </c>
      <c r="E743" s="11">
        <v>8</v>
      </c>
      <c r="F743" s="11">
        <v>3</v>
      </c>
      <c r="G743" s="11">
        <v>30</v>
      </c>
      <c r="H743">
        <v>46.421241287753055</v>
      </c>
    </row>
    <row r="744" spans="1:8" x14ac:dyDescent="0.25">
      <c r="A744" t="s">
        <v>7</v>
      </c>
      <c r="B744">
        <v>2025</v>
      </c>
      <c r="C744" t="str">
        <f t="shared" si="11"/>
        <v>Akron_2025</v>
      </c>
      <c r="D744" s="11">
        <v>2</v>
      </c>
      <c r="E744" s="11">
        <v>6</v>
      </c>
      <c r="F744" s="11">
        <v>5</v>
      </c>
      <c r="G744" s="11">
        <v>30</v>
      </c>
      <c r="H744">
        <v>35.747777831348536</v>
      </c>
    </row>
    <row r="745" spans="1:8" x14ac:dyDescent="0.25">
      <c r="A745" t="s">
        <v>7</v>
      </c>
      <c r="B745">
        <v>2025</v>
      </c>
      <c r="C745" t="str">
        <f t="shared" si="11"/>
        <v>Akron_2025</v>
      </c>
      <c r="D745" s="11">
        <v>3</v>
      </c>
      <c r="E745" s="11">
        <v>12</v>
      </c>
      <c r="F745" s="11">
        <v>9</v>
      </c>
      <c r="G745" s="11">
        <v>30</v>
      </c>
      <c r="H745">
        <v>39.783203360201995</v>
      </c>
    </row>
    <row r="746" spans="1:8" x14ac:dyDescent="0.25">
      <c r="A746" s="31" t="s">
        <v>156</v>
      </c>
      <c r="B746">
        <v>2025</v>
      </c>
      <c r="C746" t="str">
        <f t="shared" si="11"/>
        <v>Genoa_2025</v>
      </c>
      <c r="D746" s="32">
        <v>1</v>
      </c>
      <c r="E746" s="32">
        <v>23</v>
      </c>
      <c r="F746" s="32">
        <v>1</v>
      </c>
      <c r="G746" s="32">
        <v>30</v>
      </c>
      <c r="H746">
        <v>54.077684393230797</v>
      </c>
    </row>
    <row r="747" spans="1:8" x14ac:dyDescent="0.25">
      <c r="A747" s="31" t="s">
        <v>156</v>
      </c>
      <c r="B747">
        <v>2025</v>
      </c>
      <c r="C747" t="str">
        <f t="shared" si="11"/>
        <v>Genoa_2025</v>
      </c>
      <c r="D747" s="32">
        <v>2</v>
      </c>
      <c r="E747" s="32">
        <v>24</v>
      </c>
      <c r="F747" s="32">
        <v>3</v>
      </c>
      <c r="G747" s="32">
        <v>30</v>
      </c>
      <c r="H747">
        <v>50.038325924497371</v>
      </c>
    </row>
    <row r="748" spans="1:8" x14ac:dyDescent="0.25">
      <c r="A748" s="31" t="s">
        <v>156</v>
      </c>
      <c r="B748">
        <v>2025</v>
      </c>
      <c r="C748" t="str">
        <f t="shared" si="11"/>
        <v>Genoa_2025</v>
      </c>
      <c r="D748" s="32">
        <v>3</v>
      </c>
      <c r="E748" s="32">
        <v>15</v>
      </c>
      <c r="F748" s="32">
        <v>6</v>
      </c>
      <c r="G748" s="32">
        <v>30</v>
      </c>
      <c r="H748">
        <v>51.807318363225463</v>
      </c>
    </row>
    <row r="749" spans="1:8" x14ac:dyDescent="0.25">
      <c r="A749" s="31" t="s">
        <v>10</v>
      </c>
      <c r="B749">
        <v>2025</v>
      </c>
      <c r="C749" t="str">
        <f t="shared" si="11"/>
        <v>Julesburg_2025</v>
      </c>
      <c r="D749" s="32">
        <v>1</v>
      </c>
      <c r="E749" s="32">
        <v>9</v>
      </c>
      <c r="F749" s="32">
        <v>3</v>
      </c>
      <c r="G749" s="32">
        <v>30</v>
      </c>
      <c r="H749">
        <v>55.526182135583355</v>
      </c>
    </row>
    <row r="750" spans="1:8" x14ac:dyDescent="0.25">
      <c r="A750" s="31" t="s">
        <v>10</v>
      </c>
      <c r="B750">
        <v>2025</v>
      </c>
      <c r="C750" t="str">
        <f t="shared" si="11"/>
        <v>Julesburg_2025</v>
      </c>
      <c r="D750" s="32">
        <v>2</v>
      </c>
      <c r="E750" s="32">
        <v>2</v>
      </c>
      <c r="F750" s="32">
        <v>8</v>
      </c>
      <c r="G750" s="32">
        <v>30</v>
      </c>
      <c r="H750">
        <v>43.3689682485821</v>
      </c>
    </row>
    <row r="751" spans="1:8" x14ac:dyDescent="0.25">
      <c r="A751" s="31" t="s">
        <v>10</v>
      </c>
      <c r="B751">
        <v>2025</v>
      </c>
      <c r="C751" t="str">
        <f t="shared" si="11"/>
        <v>Julesburg_2025</v>
      </c>
      <c r="D751" s="32">
        <v>3</v>
      </c>
      <c r="E751" s="32">
        <v>6</v>
      </c>
      <c r="F751" s="32">
        <v>9</v>
      </c>
      <c r="G751" s="32">
        <v>30</v>
      </c>
      <c r="H751">
        <v>58.613992736077478</v>
      </c>
    </row>
    <row r="752" spans="1:8" x14ac:dyDescent="0.25">
      <c r="A752" s="31" t="s">
        <v>11</v>
      </c>
      <c r="B752">
        <v>2025</v>
      </c>
      <c r="C752" t="str">
        <f t="shared" si="11"/>
        <v>Orchard_2025</v>
      </c>
      <c r="D752" s="32">
        <v>1</v>
      </c>
      <c r="E752" s="32">
        <v>5</v>
      </c>
      <c r="F752" s="32">
        <v>3</v>
      </c>
      <c r="G752" s="11">
        <v>30</v>
      </c>
      <c r="H752">
        <v>33.919317101008183</v>
      </c>
    </row>
    <row r="753" spans="1:8" x14ac:dyDescent="0.25">
      <c r="A753" s="31" t="s">
        <v>11</v>
      </c>
      <c r="B753">
        <v>2025</v>
      </c>
      <c r="C753" t="str">
        <f t="shared" si="11"/>
        <v>Orchard_2025</v>
      </c>
      <c r="D753" s="32">
        <v>2</v>
      </c>
      <c r="E753" s="32">
        <v>4</v>
      </c>
      <c r="F753" s="32">
        <v>5</v>
      </c>
      <c r="G753" s="11">
        <v>30</v>
      </c>
      <c r="H753">
        <v>27.661778650447772</v>
      </c>
    </row>
    <row r="754" spans="1:8" x14ac:dyDescent="0.25">
      <c r="A754" s="31" t="s">
        <v>11</v>
      </c>
      <c r="B754">
        <v>2025</v>
      </c>
      <c r="C754" t="str">
        <f t="shared" si="11"/>
        <v>Orchard_2025</v>
      </c>
      <c r="D754" s="32">
        <v>3</v>
      </c>
      <c r="E754" s="32">
        <v>3</v>
      </c>
      <c r="F754" s="32">
        <v>9</v>
      </c>
      <c r="G754" s="11">
        <v>30</v>
      </c>
      <c r="H754">
        <v>41.210701264264394</v>
      </c>
    </row>
    <row r="755" spans="1:8" x14ac:dyDescent="0.25">
      <c r="A755" t="s">
        <v>160</v>
      </c>
      <c r="B755">
        <v>2025</v>
      </c>
      <c r="C755" t="str">
        <f t="shared" si="11"/>
        <v>Yuma_2025</v>
      </c>
      <c r="D755" s="11">
        <v>1</v>
      </c>
      <c r="E755" s="36">
        <v>14</v>
      </c>
      <c r="F755" s="36">
        <v>1</v>
      </c>
      <c r="G755" s="32">
        <v>30</v>
      </c>
      <c r="H755">
        <v>81.49012048192769</v>
      </c>
    </row>
    <row r="756" spans="1:8" x14ac:dyDescent="0.25">
      <c r="A756" t="s">
        <v>160</v>
      </c>
      <c r="B756">
        <v>2025</v>
      </c>
      <c r="C756" t="str">
        <f t="shared" si="11"/>
        <v>Yuma_2025</v>
      </c>
      <c r="D756" s="11">
        <v>2</v>
      </c>
      <c r="E756" s="36">
        <v>19</v>
      </c>
      <c r="F756" s="36">
        <v>4</v>
      </c>
      <c r="G756" s="32">
        <v>30</v>
      </c>
      <c r="H756">
        <v>82.735084853523745</v>
      </c>
    </row>
    <row r="757" spans="1:8" x14ac:dyDescent="0.25">
      <c r="A757" t="s">
        <v>160</v>
      </c>
      <c r="B757">
        <v>2025</v>
      </c>
      <c r="C757" t="str">
        <f t="shared" si="11"/>
        <v>Yuma_2025</v>
      </c>
      <c r="D757" s="11">
        <v>3</v>
      </c>
      <c r="E757" s="36">
        <v>24</v>
      </c>
      <c r="F757" s="36">
        <v>6</v>
      </c>
      <c r="G757" s="32">
        <v>30</v>
      </c>
      <c r="H757">
        <v>74.991267713519704</v>
      </c>
    </row>
    <row r="758" spans="1:8" x14ac:dyDescent="0.25">
      <c r="A758" s="31" t="s">
        <v>116</v>
      </c>
      <c r="B758">
        <v>2025</v>
      </c>
      <c r="C758" t="str">
        <f t="shared" si="11"/>
        <v>Burlington_2025</v>
      </c>
      <c r="D758" s="32">
        <v>1</v>
      </c>
      <c r="E758" s="32">
        <v>7</v>
      </c>
      <c r="F758" s="32">
        <v>1</v>
      </c>
      <c r="G758" s="32">
        <v>31</v>
      </c>
      <c r="H758">
        <v>60.873412445520586</v>
      </c>
    </row>
    <row r="759" spans="1:8" x14ac:dyDescent="0.25">
      <c r="A759" s="31" t="s">
        <v>116</v>
      </c>
      <c r="B759">
        <v>2025</v>
      </c>
      <c r="C759" t="str">
        <f t="shared" si="11"/>
        <v>Burlington_2025</v>
      </c>
      <c r="D759" s="32">
        <v>2</v>
      </c>
      <c r="E759" s="32">
        <v>5</v>
      </c>
      <c r="F759" s="32">
        <v>6</v>
      </c>
      <c r="G759" s="32">
        <v>31</v>
      </c>
      <c r="H759">
        <v>62.56386142198815</v>
      </c>
    </row>
    <row r="760" spans="1:8" x14ac:dyDescent="0.25">
      <c r="A760" s="31" t="s">
        <v>116</v>
      </c>
      <c r="B760">
        <v>2025</v>
      </c>
      <c r="C760" t="str">
        <f t="shared" si="11"/>
        <v>Burlington_2025</v>
      </c>
      <c r="D760" s="32">
        <v>3</v>
      </c>
      <c r="E760" s="32">
        <v>10</v>
      </c>
      <c r="F760" s="32">
        <v>10</v>
      </c>
      <c r="G760" s="32">
        <v>31</v>
      </c>
      <c r="H760">
        <v>68.827462184873951</v>
      </c>
    </row>
    <row r="761" spans="1:8" x14ac:dyDescent="0.25">
      <c r="A761" s="34" t="s">
        <v>97</v>
      </c>
      <c r="B761">
        <v>2025</v>
      </c>
      <c r="C761" t="str">
        <f t="shared" si="11"/>
        <v>Lamar_2025</v>
      </c>
      <c r="D761" s="35">
        <v>1</v>
      </c>
      <c r="E761" s="35">
        <v>20</v>
      </c>
      <c r="F761" s="35">
        <v>2</v>
      </c>
      <c r="G761" s="35">
        <v>31</v>
      </c>
      <c r="H761">
        <v>62.957021522461361</v>
      </c>
    </row>
    <row r="762" spans="1:8" x14ac:dyDescent="0.25">
      <c r="A762" s="34" t="s">
        <v>97</v>
      </c>
      <c r="B762">
        <v>2025</v>
      </c>
      <c r="C762" t="str">
        <f t="shared" si="11"/>
        <v>Lamar_2025</v>
      </c>
      <c r="D762" s="35">
        <v>2</v>
      </c>
      <c r="E762" s="35">
        <v>15</v>
      </c>
      <c r="F762" s="35">
        <v>4</v>
      </c>
      <c r="G762" s="35">
        <v>31</v>
      </c>
      <c r="H762">
        <v>65.286608341323117</v>
      </c>
    </row>
    <row r="763" spans="1:8" x14ac:dyDescent="0.25">
      <c r="A763" s="34" t="s">
        <v>97</v>
      </c>
      <c r="B763">
        <v>2025</v>
      </c>
      <c r="C763" t="str">
        <f t="shared" si="11"/>
        <v>Lamar_2025</v>
      </c>
      <c r="D763" s="35">
        <v>3</v>
      </c>
      <c r="E763" s="35">
        <v>8</v>
      </c>
      <c r="F763" s="35">
        <v>5</v>
      </c>
      <c r="G763" s="35">
        <v>31</v>
      </c>
      <c r="H763">
        <v>69.896769817719374</v>
      </c>
    </row>
    <row r="764" spans="1:8" x14ac:dyDescent="0.25">
      <c r="A764" s="31" t="s">
        <v>132</v>
      </c>
      <c r="B764">
        <v>2025</v>
      </c>
      <c r="C764" t="str">
        <f t="shared" si="11"/>
        <v>SLake_2025</v>
      </c>
      <c r="D764" s="32">
        <v>1</v>
      </c>
      <c r="E764" s="32">
        <v>4</v>
      </c>
      <c r="F764" s="32">
        <v>1</v>
      </c>
      <c r="G764" s="32">
        <v>31</v>
      </c>
      <c r="H764">
        <v>63.805812641627689</v>
      </c>
    </row>
    <row r="765" spans="1:8" x14ac:dyDescent="0.25">
      <c r="A765" s="31" t="s">
        <v>132</v>
      </c>
      <c r="B765">
        <v>2025</v>
      </c>
      <c r="C765" t="str">
        <f t="shared" si="11"/>
        <v>SLake_2025</v>
      </c>
      <c r="D765" s="32">
        <v>2</v>
      </c>
      <c r="E765" s="32">
        <v>19</v>
      </c>
      <c r="F765" s="32">
        <v>4</v>
      </c>
      <c r="G765" s="32">
        <v>31</v>
      </c>
      <c r="H765">
        <v>57.785023622814272</v>
      </c>
    </row>
    <row r="766" spans="1:8" x14ac:dyDescent="0.25">
      <c r="A766" s="31" t="s">
        <v>132</v>
      </c>
      <c r="B766">
        <v>2025</v>
      </c>
      <c r="C766" t="str">
        <f t="shared" si="11"/>
        <v>SLake_2025</v>
      </c>
      <c r="D766" s="32">
        <v>3</v>
      </c>
      <c r="E766" s="32">
        <v>8</v>
      </c>
      <c r="F766" s="32">
        <v>6</v>
      </c>
      <c r="G766" s="32">
        <v>31</v>
      </c>
      <c r="H766">
        <v>58.02890076556406</v>
      </c>
    </row>
    <row r="767" spans="1:8" x14ac:dyDescent="0.25">
      <c r="A767" s="31" t="s">
        <v>13</v>
      </c>
      <c r="B767">
        <v>2025</v>
      </c>
      <c r="C767" t="str">
        <f t="shared" si="11"/>
        <v>Walsh_2025</v>
      </c>
      <c r="D767" s="32">
        <v>1</v>
      </c>
      <c r="E767" s="36">
        <v>16</v>
      </c>
      <c r="F767" s="36">
        <v>2</v>
      </c>
      <c r="G767" s="32">
        <v>31</v>
      </c>
      <c r="H767">
        <v>63.494199999999999</v>
      </c>
    </row>
    <row r="768" spans="1:8" x14ac:dyDescent="0.25">
      <c r="A768" s="31" t="s">
        <v>13</v>
      </c>
      <c r="B768">
        <v>2025</v>
      </c>
      <c r="C768" t="str">
        <f t="shared" si="11"/>
        <v>Walsh_2025</v>
      </c>
      <c r="D768" s="32">
        <v>2</v>
      </c>
      <c r="E768" s="36">
        <v>14</v>
      </c>
      <c r="F768" s="36">
        <v>4</v>
      </c>
      <c r="G768" s="32">
        <v>31</v>
      </c>
      <c r="H768">
        <v>56.328799999999994</v>
      </c>
    </row>
    <row r="769" spans="1:8" x14ac:dyDescent="0.25">
      <c r="A769" s="31" t="s">
        <v>13</v>
      </c>
      <c r="B769">
        <v>2025</v>
      </c>
      <c r="C769" t="str">
        <f t="shared" si="11"/>
        <v>Walsh_2025</v>
      </c>
      <c r="D769" s="32">
        <v>3</v>
      </c>
      <c r="E769" s="36">
        <v>4</v>
      </c>
      <c r="F769" s="36">
        <v>5</v>
      </c>
      <c r="G769" s="32">
        <v>31</v>
      </c>
      <c r="H769">
        <v>54.189629999999994</v>
      </c>
    </row>
    <row r="770" spans="1:8" x14ac:dyDescent="0.25">
      <c r="A770" t="s">
        <v>7</v>
      </c>
      <c r="B770">
        <v>2025</v>
      </c>
      <c r="C770" t="str">
        <f t="shared" si="11"/>
        <v>Akron_2025</v>
      </c>
      <c r="D770" s="11">
        <v>1</v>
      </c>
      <c r="E770" s="11">
        <v>9</v>
      </c>
      <c r="F770" s="11">
        <v>4</v>
      </c>
      <c r="G770" s="11">
        <v>31</v>
      </c>
      <c r="H770">
        <v>44.32580772067864</v>
      </c>
    </row>
    <row r="771" spans="1:8" x14ac:dyDescent="0.25">
      <c r="A771" t="s">
        <v>7</v>
      </c>
      <c r="B771">
        <v>2025</v>
      </c>
      <c r="C771" t="str">
        <f t="shared" ref="C771:C834" si="12">A771&amp;"_"&amp;B771</f>
        <v>Akron_2025</v>
      </c>
      <c r="D771" s="11">
        <v>2</v>
      </c>
      <c r="E771" s="11">
        <v>7</v>
      </c>
      <c r="F771" s="11">
        <v>8</v>
      </c>
      <c r="G771" s="11">
        <v>31</v>
      </c>
      <c r="H771">
        <v>44.542763227961466</v>
      </c>
    </row>
    <row r="772" spans="1:8" x14ac:dyDescent="0.25">
      <c r="A772" t="s">
        <v>7</v>
      </c>
      <c r="B772">
        <v>2025</v>
      </c>
      <c r="C772" t="str">
        <f t="shared" si="12"/>
        <v>Akron_2025</v>
      </c>
      <c r="D772" s="11">
        <v>3</v>
      </c>
      <c r="E772" s="11">
        <v>8</v>
      </c>
      <c r="F772" s="11">
        <v>9</v>
      </c>
      <c r="G772" s="11">
        <v>31</v>
      </c>
      <c r="H772">
        <v>46.078601534427492</v>
      </c>
    </row>
    <row r="773" spans="1:8" x14ac:dyDescent="0.25">
      <c r="A773" s="31" t="s">
        <v>156</v>
      </c>
      <c r="B773">
        <v>2025</v>
      </c>
      <c r="C773" t="str">
        <f t="shared" si="12"/>
        <v>Genoa_2025</v>
      </c>
      <c r="D773" s="32">
        <v>1</v>
      </c>
      <c r="E773" s="32">
        <v>13</v>
      </c>
      <c r="F773" s="32">
        <v>1</v>
      </c>
      <c r="G773" s="32">
        <v>31</v>
      </c>
      <c r="H773">
        <v>44.860016392652241</v>
      </c>
    </row>
    <row r="774" spans="1:8" x14ac:dyDescent="0.25">
      <c r="A774" s="31" t="s">
        <v>156</v>
      </c>
      <c r="B774">
        <v>2025</v>
      </c>
      <c r="C774" t="str">
        <f t="shared" si="12"/>
        <v>Genoa_2025</v>
      </c>
      <c r="D774" s="32">
        <v>2</v>
      </c>
      <c r="E774" s="32">
        <v>23</v>
      </c>
      <c r="F774" s="32">
        <v>3</v>
      </c>
      <c r="G774" s="32">
        <v>31</v>
      </c>
      <c r="H774">
        <v>44.320268068077723</v>
      </c>
    </row>
    <row r="775" spans="1:8" x14ac:dyDescent="0.25">
      <c r="A775" s="31" t="s">
        <v>156</v>
      </c>
      <c r="B775">
        <v>2025</v>
      </c>
      <c r="C775" t="str">
        <f t="shared" si="12"/>
        <v>Genoa_2025</v>
      </c>
      <c r="D775" s="32">
        <v>3</v>
      </c>
      <c r="E775" s="32">
        <v>5</v>
      </c>
      <c r="F775" s="32">
        <v>5</v>
      </c>
      <c r="G775" s="32">
        <v>31</v>
      </c>
      <c r="H775">
        <v>27.89025050778605</v>
      </c>
    </row>
    <row r="776" spans="1:8" x14ac:dyDescent="0.25">
      <c r="A776" s="31" t="s">
        <v>10</v>
      </c>
      <c r="B776">
        <v>2025</v>
      </c>
      <c r="C776" t="str">
        <f t="shared" si="12"/>
        <v>Julesburg_2025</v>
      </c>
      <c r="D776" s="32">
        <v>1</v>
      </c>
      <c r="E776" s="32">
        <v>12</v>
      </c>
      <c r="F776" s="32">
        <v>3</v>
      </c>
      <c r="G776" s="32">
        <v>31</v>
      </c>
      <c r="H776">
        <v>44.50852196683153</v>
      </c>
    </row>
    <row r="777" spans="1:8" x14ac:dyDescent="0.25">
      <c r="A777" s="31" t="s">
        <v>10</v>
      </c>
      <c r="B777">
        <v>2025</v>
      </c>
      <c r="C777" t="str">
        <f t="shared" si="12"/>
        <v>Julesburg_2025</v>
      </c>
      <c r="D777" s="32">
        <v>2</v>
      </c>
      <c r="E777" s="32">
        <v>13</v>
      </c>
      <c r="F777" s="32">
        <v>7</v>
      </c>
      <c r="G777" s="32">
        <v>31</v>
      </c>
      <c r="H777">
        <v>59.100057526366243</v>
      </c>
    </row>
    <row r="778" spans="1:8" x14ac:dyDescent="0.25">
      <c r="A778" s="31" t="s">
        <v>10</v>
      </c>
      <c r="B778">
        <v>2025</v>
      </c>
      <c r="C778" t="str">
        <f t="shared" si="12"/>
        <v>Julesburg_2025</v>
      </c>
      <c r="D778" s="32">
        <v>3</v>
      </c>
      <c r="E778" s="32">
        <v>5</v>
      </c>
      <c r="F778" s="32">
        <v>11</v>
      </c>
      <c r="G778" s="32">
        <v>31</v>
      </c>
      <c r="H778">
        <v>69.187803540945225</v>
      </c>
    </row>
    <row r="779" spans="1:8" x14ac:dyDescent="0.25">
      <c r="A779" s="31" t="s">
        <v>11</v>
      </c>
      <c r="B779">
        <v>2025</v>
      </c>
      <c r="C779" t="str">
        <f t="shared" si="12"/>
        <v>Orchard_2025</v>
      </c>
      <c r="D779" s="32">
        <v>1</v>
      </c>
      <c r="E779" s="32">
        <v>7</v>
      </c>
      <c r="F779" s="32">
        <v>2</v>
      </c>
      <c r="G779" s="11">
        <v>31</v>
      </c>
      <c r="H779">
        <v>26.008021634496099</v>
      </c>
    </row>
    <row r="780" spans="1:8" x14ac:dyDescent="0.25">
      <c r="A780" s="31" t="s">
        <v>11</v>
      </c>
      <c r="B780">
        <v>2025</v>
      </c>
      <c r="C780" t="str">
        <f t="shared" si="12"/>
        <v>Orchard_2025</v>
      </c>
      <c r="D780" s="32">
        <v>2</v>
      </c>
      <c r="E780" s="32">
        <v>6</v>
      </c>
      <c r="F780" s="32">
        <v>4</v>
      </c>
      <c r="G780" s="11">
        <v>31</v>
      </c>
      <c r="H780">
        <v>26.276771220454876</v>
      </c>
    </row>
    <row r="781" spans="1:8" x14ac:dyDescent="0.25">
      <c r="A781" s="31" t="s">
        <v>11</v>
      </c>
      <c r="B781">
        <v>2025</v>
      </c>
      <c r="C781" t="str">
        <f t="shared" si="12"/>
        <v>Orchard_2025</v>
      </c>
      <c r="D781" s="32">
        <v>3</v>
      </c>
      <c r="E781" s="32">
        <v>16</v>
      </c>
      <c r="F781" s="32">
        <v>9</v>
      </c>
      <c r="G781" s="11">
        <v>31</v>
      </c>
      <c r="H781">
        <v>24.337902362801263</v>
      </c>
    </row>
    <row r="782" spans="1:8" x14ac:dyDescent="0.25">
      <c r="A782" t="s">
        <v>160</v>
      </c>
      <c r="B782">
        <v>2025</v>
      </c>
      <c r="C782" t="str">
        <f t="shared" si="12"/>
        <v>Yuma_2025</v>
      </c>
      <c r="D782">
        <v>1</v>
      </c>
      <c r="E782" s="36">
        <v>12</v>
      </c>
      <c r="F782" s="36">
        <v>2</v>
      </c>
      <c r="G782" s="32">
        <v>31</v>
      </c>
      <c r="H782">
        <v>86.486639709443097</v>
      </c>
    </row>
    <row r="783" spans="1:8" x14ac:dyDescent="0.25">
      <c r="A783" t="s">
        <v>160</v>
      </c>
      <c r="B783">
        <v>2025</v>
      </c>
      <c r="C783" t="str">
        <f t="shared" si="12"/>
        <v>Yuma_2025</v>
      </c>
      <c r="D783">
        <v>2</v>
      </c>
      <c r="E783" s="36">
        <v>25</v>
      </c>
      <c r="F783" s="36">
        <v>4</v>
      </c>
      <c r="G783" s="32">
        <v>31</v>
      </c>
      <c r="H783">
        <v>78.500846089890942</v>
      </c>
    </row>
    <row r="784" spans="1:8" x14ac:dyDescent="0.25">
      <c r="A784" t="s">
        <v>160</v>
      </c>
      <c r="B784">
        <v>2025</v>
      </c>
      <c r="C784" t="str">
        <f t="shared" si="12"/>
        <v>Yuma_2025</v>
      </c>
      <c r="D784">
        <v>3</v>
      </c>
      <c r="E784" s="36">
        <v>24</v>
      </c>
      <c r="F784" s="36">
        <v>5</v>
      </c>
      <c r="G784" s="32">
        <v>31</v>
      </c>
      <c r="H784">
        <v>73.604426927168959</v>
      </c>
    </row>
    <row r="785" spans="1:8" x14ac:dyDescent="0.25">
      <c r="A785" s="31" t="s">
        <v>116</v>
      </c>
      <c r="B785">
        <v>2025</v>
      </c>
      <c r="C785" t="str">
        <f t="shared" si="12"/>
        <v>Burlington_2025</v>
      </c>
      <c r="D785" s="32">
        <v>1</v>
      </c>
      <c r="E785" s="32">
        <v>3</v>
      </c>
      <c r="F785" s="32">
        <v>3</v>
      </c>
      <c r="G785" s="32">
        <v>32</v>
      </c>
      <c r="H785">
        <v>70.182495108958832</v>
      </c>
    </row>
    <row r="786" spans="1:8" x14ac:dyDescent="0.25">
      <c r="A786" s="31" t="s">
        <v>116</v>
      </c>
      <c r="B786">
        <v>2025</v>
      </c>
      <c r="C786" t="str">
        <f t="shared" si="12"/>
        <v>Burlington_2025</v>
      </c>
      <c r="D786" s="32">
        <v>2</v>
      </c>
      <c r="E786" s="32">
        <v>1</v>
      </c>
      <c r="F786" s="32">
        <v>7</v>
      </c>
      <c r="G786" s="32">
        <v>32</v>
      </c>
      <c r="H786">
        <v>71.241509281133972</v>
      </c>
    </row>
    <row r="787" spans="1:8" x14ac:dyDescent="0.25">
      <c r="A787" s="31" t="s">
        <v>116</v>
      </c>
      <c r="B787">
        <v>2025</v>
      </c>
      <c r="C787" t="str">
        <f t="shared" si="12"/>
        <v>Burlington_2025</v>
      </c>
      <c r="D787" s="32">
        <v>3</v>
      </c>
      <c r="E787" s="32">
        <v>7</v>
      </c>
      <c r="F787" s="32">
        <v>11</v>
      </c>
      <c r="G787" s="32">
        <v>32</v>
      </c>
      <c r="H787">
        <v>73.198110857142851</v>
      </c>
    </row>
    <row r="788" spans="1:8" x14ac:dyDescent="0.25">
      <c r="A788" s="34" t="s">
        <v>97</v>
      </c>
      <c r="B788">
        <v>2025</v>
      </c>
      <c r="C788" t="str">
        <f t="shared" si="12"/>
        <v>Lamar_2025</v>
      </c>
      <c r="D788" s="35">
        <v>1</v>
      </c>
      <c r="E788" s="35">
        <v>17</v>
      </c>
      <c r="F788" s="35">
        <v>1</v>
      </c>
      <c r="G788" s="35">
        <v>32</v>
      </c>
      <c r="H788">
        <v>79.103828571428565</v>
      </c>
    </row>
    <row r="789" spans="1:8" x14ac:dyDescent="0.25">
      <c r="A789" s="34" t="s">
        <v>97</v>
      </c>
      <c r="B789">
        <v>2025</v>
      </c>
      <c r="C789" t="str">
        <f t="shared" si="12"/>
        <v>Lamar_2025</v>
      </c>
      <c r="D789" s="35">
        <v>2</v>
      </c>
      <c r="E789" s="35">
        <v>11</v>
      </c>
      <c r="F789" s="35">
        <v>4</v>
      </c>
      <c r="G789" s="35">
        <v>32</v>
      </c>
      <c r="H789">
        <v>84.770007670182167</v>
      </c>
    </row>
    <row r="790" spans="1:8" x14ac:dyDescent="0.25">
      <c r="A790" s="34" t="s">
        <v>97</v>
      </c>
      <c r="B790">
        <v>2025</v>
      </c>
      <c r="C790" t="str">
        <f t="shared" si="12"/>
        <v>Lamar_2025</v>
      </c>
      <c r="D790" s="35">
        <v>3</v>
      </c>
      <c r="E790" s="35">
        <v>19</v>
      </c>
      <c r="F790" s="35">
        <v>6</v>
      </c>
      <c r="G790" s="35">
        <v>32</v>
      </c>
      <c r="H790">
        <v>89.451116727064644</v>
      </c>
    </row>
    <row r="791" spans="1:8" x14ac:dyDescent="0.25">
      <c r="A791" s="31" t="s">
        <v>132</v>
      </c>
      <c r="B791">
        <v>2025</v>
      </c>
      <c r="C791" t="str">
        <f t="shared" si="12"/>
        <v>SLake_2025</v>
      </c>
      <c r="D791" s="32">
        <v>1</v>
      </c>
      <c r="E791" s="32">
        <v>7</v>
      </c>
      <c r="F791" s="32">
        <v>3</v>
      </c>
      <c r="G791" s="32">
        <v>32</v>
      </c>
      <c r="H791">
        <v>70.347319277108426</v>
      </c>
    </row>
    <row r="792" spans="1:8" x14ac:dyDescent="0.25">
      <c r="A792" s="31" t="s">
        <v>132</v>
      </c>
      <c r="B792">
        <v>2025</v>
      </c>
      <c r="C792" t="str">
        <f t="shared" si="12"/>
        <v>SLake_2025</v>
      </c>
      <c r="D792" s="32">
        <v>2</v>
      </c>
      <c r="E792" s="32">
        <v>10</v>
      </c>
      <c r="F792" s="32">
        <v>4</v>
      </c>
      <c r="G792" s="32">
        <v>32</v>
      </c>
      <c r="H792">
        <v>69.225066484827806</v>
      </c>
    </row>
    <row r="793" spans="1:8" x14ac:dyDescent="0.25">
      <c r="A793" s="31" t="s">
        <v>132</v>
      </c>
      <c r="B793">
        <v>2025</v>
      </c>
      <c r="C793" t="str">
        <f t="shared" si="12"/>
        <v>SLake_2025</v>
      </c>
      <c r="D793" s="32">
        <v>3</v>
      </c>
      <c r="E793" s="32">
        <v>3</v>
      </c>
      <c r="F793" s="32">
        <v>6</v>
      </c>
      <c r="G793" s="32">
        <v>32</v>
      </c>
      <c r="H793">
        <v>64.47198035533728</v>
      </c>
    </row>
    <row r="794" spans="1:8" x14ac:dyDescent="0.25">
      <c r="A794" s="31" t="s">
        <v>13</v>
      </c>
      <c r="B794">
        <v>2025</v>
      </c>
      <c r="C794" t="str">
        <f t="shared" si="12"/>
        <v>Walsh_2025</v>
      </c>
      <c r="D794" s="32">
        <v>1</v>
      </c>
      <c r="E794" s="36">
        <v>14</v>
      </c>
      <c r="F794" s="36">
        <v>2</v>
      </c>
      <c r="G794" s="32">
        <v>32</v>
      </c>
      <c r="H794">
        <v>74.324249999999992</v>
      </c>
    </row>
    <row r="795" spans="1:8" x14ac:dyDescent="0.25">
      <c r="A795" s="31" t="s">
        <v>13</v>
      </c>
      <c r="B795">
        <v>2025</v>
      </c>
      <c r="C795" t="str">
        <f t="shared" si="12"/>
        <v>Walsh_2025</v>
      </c>
      <c r="D795" s="32">
        <v>2</v>
      </c>
      <c r="E795" s="36">
        <v>11</v>
      </c>
      <c r="F795" s="36">
        <v>4</v>
      </c>
      <c r="G795" s="32">
        <v>32</v>
      </c>
      <c r="H795">
        <v>75.469239999999999</v>
      </c>
    </row>
    <row r="796" spans="1:8" x14ac:dyDescent="0.25">
      <c r="A796" s="31" t="s">
        <v>13</v>
      </c>
      <c r="B796">
        <v>2025</v>
      </c>
      <c r="C796" t="str">
        <f t="shared" si="12"/>
        <v>Walsh_2025</v>
      </c>
      <c r="D796" s="32">
        <v>3</v>
      </c>
      <c r="E796" s="36">
        <v>9</v>
      </c>
      <c r="F796" s="36">
        <v>6</v>
      </c>
      <c r="G796" s="32">
        <v>32</v>
      </c>
      <c r="H796">
        <v>79.609529999999992</v>
      </c>
    </row>
    <row r="797" spans="1:8" x14ac:dyDescent="0.25">
      <c r="A797" t="s">
        <v>7</v>
      </c>
      <c r="B797">
        <v>2025</v>
      </c>
      <c r="C797" t="str">
        <f t="shared" si="12"/>
        <v>Akron_2025</v>
      </c>
      <c r="D797" s="11">
        <v>1</v>
      </c>
      <c r="E797" s="11">
        <v>4</v>
      </c>
      <c r="F797" s="11">
        <v>2</v>
      </c>
      <c r="G797" s="11">
        <v>32</v>
      </c>
      <c r="H797">
        <v>48.088743307086609</v>
      </c>
    </row>
    <row r="798" spans="1:8" x14ac:dyDescent="0.25">
      <c r="A798" t="s">
        <v>7</v>
      </c>
      <c r="B798">
        <v>2025</v>
      </c>
      <c r="C798" t="str">
        <f t="shared" si="12"/>
        <v>Akron_2025</v>
      </c>
      <c r="D798" s="11">
        <v>2</v>
      </c>
      <c r="E798" s="11">
        <v>8</v>
      </c>
      <c r="F798" s="11">
        <v>8</v>
      </c>
      <c r="G798" s="11">
        <v>32</v>
      </c>
      <c r="H798">
        <v>51.670696132061771</v>
      </c>
    </row>
    <row r="799" spans="1:8" x14ac:dyDescent="0.25">
      <c r="A799" t="s">
        <v>7</v>
      </c>
      <c r="B799">
        <v>2025</v>
      </c>
      <c r="C799" t="str">
        <f t="shared" si="12"/>
        <v>Akron_2025</v>
      </c>
      <c r="D799" s="11">
        <v>3</v>
      </c>
      <c r="E799" s="11">
        <v>7</v>
      </c>
      <c r="F799" s="11">
        <v>9</v>
      </c>
      <c r="G799" s="11">
        <v>32</v>
      </c>
      <c r="H799">
        <v>48.980819656210535</v>
      </c>
    </row>
    <row r="800" spans="1:8" x14ac:dyDescent="0.25">
      <c r="A800" s="31" t="s">
        <v>156</v>
      </c>
      <c r="B800">
        <v>2025</v>
      </c>
      <c r="C800" t="str">
        <f t="shared" si="12"/>
        <v>Genoa_2025</v>
      </c>
      <c r="D800" s="32">
        <v>1</v>
      </c>
      <c r="E800" s="32">
        <v>13</v>
      </c>
      <c r="F800" s="32">
        <v>2</v>
      </c>
      <c r="G800" s="32">
        <v>32</v>
      </c>
      <c r="H800">
        <v>58.020032498307373</v>
      </c>
    </row>
    <row r="801" spans="1:8" x14ac:dyDescent="0.25">
      <c r="A801" s="31" t="s">
        <v>156</v>
      </c>
      <c r="B801">
        <v>2025</v>
      </c>
      <c r="C801" t="str">
        <f t="shared" si="12"/>
        <v>Genoa_2025</v>
      </c>
      <c r="D801" s="32">
        <v>2</v>
      </c>
      <c r="E801" s="32">
        <v>6</v>
      </c>
      <c r="F801" s="32">
        <v>4</v>
      </c>
      <c r="G801" s="32">
        <v>32</v>
      </c>
      <c r="H801">
        <v>34.649758571916301</v>
      </c>
    </row>
    <row r="802" spans="1:8" x14ac:dyDescent="0.25">
      <c r="A802" s="31" t="s">
        <v>156</v>
      </c>
      <c r="B802">
        <v>2025</v>
      </c>
      <c r="C802" t="str">
        <f t="shared" si="12"/>
        <v>Genoa_2025</v>
      </c>
      <c r="D802" s="32">
        <v>3</v>
      </c>
      <c r="E802" s="32">
        <v>23</v>
      </c>
      <c r="F802" s="32">
        <v>6</v>
      </c>
      <c r="G802" s="32">
        <v>32</v>
      </c>
      <c r="H802">
        <v>50.116183007164487</v>
      </c>
    </row>
    <row r="803" spans="1:8" x14ac:dyDescent="0.25">
      <c r="A803" s="31" t="s">
        <v>10</v>
      </c>
      <c r="B803">
        <v>2025</v>
      </c>
      <c r="C803" t="str">
        <f t="shared" si="12"/>
        <v>Julesburg_2025</v>
      </c>
      <c r="D803" s="32">
        <v>1</v>
      </c>
      <c r="E803" s="32">
        <v>12</v>
      </c>
      <c r="F803" s="32">
        <v>2</v>
      </c>
      <c r="G803" s="32">
        <v>32</v>
      </c>
      <c r="H803">
        <v>55.242657807308966</v>
      </c>
    </row>
    <row r="804" spans="1:8" x14ac:dyDescent="0.25">
      <c r="A804" s="31" t="s">
        <v>10</v>
      </c>
      <c r="B804">
        <v>2025</v>
      </c>
      <c r="C804" t="str">
        <f t="shared" si="12"/>
        <v>Julesburg_2025</v>
      </c>
      <c r="D804" s="32">
        <v>2</v>
      </c>
      <c r="E804" s="32">
        <v>4</v>
      </c>
      <c r="F804" s="32">
        <v>7</v>
      </c>
      <c r="G804" s="32">
        <v>32</v>
      </c>
      <c r="H804">
        <v>60.150805369127511</v>
      </c>
    </row>
    <row r="805" spans="1:8" x14ac:dyDescent="0.25">
      <c r="A805" s="31" t="s">
        <v>10</v>
      </c>
      <c r="B805">
        <v>2025</v>
      </c>
      <c r="C805" t="str">
        <f t="shared" si="12"/>
        <v>Julesburg_2025</v>
      </c>
      <c r="D805" s="32">
        <v>3</v>
      </c>
      <c r="E805" s="32">
        <v>2</v>
      </c>
      <c r="F805" s="32">
        <v>11</v>
      </c>
      <c r="G805" s="32">
        <v>32</v>
      </c>
      <c r="H805">
        <v>53.234332341608543</v>
      </c>
    </row>
    <row r="806" spans="1:8" x14ac:dyDescent="0.25">
      <c r="A806" s="31" t="s">
        <v>11</v>
      </c>
      <c r="B806">
        <v>2025</v>
      </c>
      <c r="C806" t="str">
        <f t="shared" si="12"/>
        <v>Orchard_2025</v>
      </c>
      <c r="D806" s="32">
        <v>1</v>
      </c>
      <c r="E806" s="32">
        <v>1</v>
      </c>
      <c r="F806" s="32">
        <v>3</v>
      </c>
      <c r="G806" s="11">
        <v>32</v>
      </c>
      <c r="H806">
        <v>34.959786950732358</v>
      </c>
    </row>
    <row r="807" spans="1:8" x14ac:dyDescent="0.25">
      <c r="A807" s="31" t="s">
        <v>11</v>
      </c>
      <c r="B807">
        <v>2025</v>
      </c>
      <c r="C807" t="str">
        <f t="shared" si="12"/>
        <v>Orchard_2025</v>
      </c>
      <c r="D807" s="32">
        <v>2</v>
      </c>
      <c r="E807" s="32">
        <v>9</v>
      </c>
      <c r="F807" s="32">
        <v>6</v>
      </c>
      <c r="G807" s="11">
        <v>32</v>
      </c>
      <c r="H807">
        <v>25.235751265083689</v>
      </c>
    </row>
    <row r="808" spans="1:8" x14ac:dyDescent="0.25">
      <c r="A808" s="31" t="s">
        <v>11</v>
      </c>
      <c r="B808">
        <v>2025</v>
      </c>
      <c r="C808" t="str">
        <f t="shared" si="12"/>
        <v>Orchard_2025</v>
      </c>
      <c r="D808" s="32">
        <v>3</v>
      </c>
      <c r="E808" s="32">
        <v>4</v>
      </c>
      <c r="F808" s="32">
        <v>9</v>
      </c>
      <c r="G808" s="11">
        <v>32</v>
      </c>
      <c r="H808">
        <v>39.391537004593005</v>
      </c>
    </row>
    <row r="809" spans="1:8" x14ac:dyDescent="0.25">
      <c r="A809" t="s">
        <v>160</v>
      </c>
      <c r="B809">
        <v>2025</v>
      </c>
      <c r="C809" t="str">
        <f t="shared" si="12"/>
        <v>Yuma_2025</v>
      </c>
      <c r="D809" s="11">
        <v>1</v>
      </c>
      <c r="E809" s="36">
        <v>15</v>
      </c>
      <c r="F809" s="36">
        <v>2</v>
      </c>
      <c r="G809" s="32">
        <v>32</v>
      </c>
    </row>
    <row r="810" spans="1:8" x14ac:dyDescent="0.25">
      <c r="A810" t="s">
        <v>160</v>
      </c>
      <c r="B810">
        <v>2025</v>
      </c>
      <c r="C810" t="str">
        <f t="shared" si="12"/>
        <v>Yuma_2025</v>
      </c>
      <c r="D810" s="11">
        <v>2</v>
      </c>
      <c r="E810" s="36">
        <v>12</v>
      </c>
      <c r="F810" s="36">
        <v>4</v>
      </c>
      <c r="G810" s="32">
        <v>32</v>
      </c>
      <c r="H810">
        <v>93.241179635154296</v>
      </c>
    </row>
    <row r="811" spans="1:8" x14ac:dyDescent="0.25">
      <c r="A811" t="s">
        <v>160</v>
      </c>
      <c r="B811">
        <v>2025</v>
      </c>
      <c r="C811" t="str">
        <f t="shared" si="12"/>
        <v>Yuma_2025</v>
      </c>
      <c r="D811" s="11">
        <v>3</v>
      </c>
      <c r="E811" s="36">
        <v>25</v>
      </c>
      <c r="F811" s="36">
        <v>5</v>
      </c>
      <c r="G811" s="32">
        <v>32</v>
      </c>
      <c r="H811">
        <v>78.22713995550825</v>
      </c>
    </row>
    <row r="812" spans="1:8" x14ac:dyDescent="0.25">
      <c r="A812" s="31" t="s">
        <v>116</v>
      </c>
      <c r="B812">
        <v>2025</v>
      </c>
      <c r="C812" t="str">
        <f t="shared" si="12"/>
        <v>Burlington_2025</v>
      </c>
      <c r="D812" s="32">
        <v>1</v>
      </c>
      <c r="E812" s="32">
        <v>4</v>
      </c>
      <c r="F812" s="32">
        <v>1</v>
      </c>
      <c r="G812" s="32">
        <v>33</v>
      </c>
      <c r="H812">
        <v>62.267811864406781</v>
      </c>
    </row>
    <row r="813" spans="1:8" x14ac:dyDescent="0.25">
      <c r="A813" s="31" t="s">
        <v>116</v>
      </c>
      <c r="B813">
        <v>2025</v>
      </c>
      <c r="C813" t="str">
        <f t="shared" si="12"/>
        <v>Burlington_2025</v>
      </c>
      <c r="D813" s="32">
        <v>2</v>
      </c>
      <c r="E813" s="32">
        <v>2</v>
      </c>
      <c r="F813" s="32">
        <v>8</v>
      </c>
      <c r="G813" s="32">
        <v>33</v>
      </c>
      <c r="H813">
        <v>68.295114027538716</v>
      </c>
    </row>
    <row r="814" spans="1:8" x14ac:dyDescent="0.25">
      <c r="A814" s="31" t="s">
        <v>116</v>
      </c>
      <c r="B814">
        <v>2025</v>
      </c>
      <c r="C814" t="str">
        <f t="shared" si="12"/>
        <v>Burlington_2025</v>
      </c>
      <c r="D814" s="32">
        <v>3</v>
      </c>
      <c r="E814" s="32">
        <v>5</v>
      </c>
      <c r="F814" s="32">
        <v>11</v>
      </c>
      <c r="G814" s="32">
        <v>33</v>
      </c>
      <c r="H814">
        <v>70.251286285714286</v>
      </c>
    </row>
    <row r="815" spans="1:8" x14ac:dyDescent="0.25">
      <c r="A815" s="34" t="s">
        <v>97</v>
      </c>
      <c r="B815">
        <v>2025</v>
      </c>
      <c r="C815" t="str">
        <f t="shared" si="12"/>
        <v>Lamar_2025</v>
      </c>
      <c r="D815" s="35">
        <v>1</v>
      </c>
      <c r="E815" s="35">
        <v>11</v>
      </c>
      <c r="F815" s="35">
        <v>1</v>
      </c>
      <c r="G815" s="35">
        <v>33</v>
      </c>
      <c r="H815">
        <v>81.085808571428558</v>
      </c>
    </row>
    <row r="816" spans="1:8" x14ac:dyDescent="0.25">
      <c r="A816" s="34" t="s">
        <v>97</v>
      </c>
      <c r="B816">
        <v>2025</v>
      </c>
      <c r="C816" t="str">
        <f t="shared" si="12"/>
        <v>Lamar_2025</v>
      </c>
      <c r="D816" s="35">
        <v>2</v>
      </c>
      <c r="E816" s="35">
        <v>14</v>
      </c>
      <c r="F816" s="35">
        <v>4</v>
      </c>
      <c r="G816" s="35">
        <v>33</v>
      </c>
      <c r="H816">
        <v>79.523909395973149</v>
      </c>
    </row>
    <row r="817" spans="1:8" x14ac:dyDescent="0.25">
      <c r="A817" s="34" t="s">
        <v>97</v>
      </c>
      <c r="B817">
        <v>2025</v>
      </c>
      <c r="C817" t="str">
        <f t="shared" si="12"/>
        <v>Lamar_2025</v>
      </c>
      <c r="D817" s="35">
        <v>3</v>
      </c>
      <c r="E817" s="35">
        <v>12</v>
      </c>
      <c r="F817" s="35">
        <v>5</v>
      </c>
      <c r="G817" s="35">
        <v>33</v>
      </c>
      <c r="H817">
        <v>74.75504874947012</v>
      </c>
    </row>
    <row r="818" spans="1:8" x14ac:dyDescent="0.25">
      <c r="A818" s="31" t="s">
        <v>132</v>
      </c>
      <c r="B818">
        <v>2025</v>
      </c>
      <c r="C818" t="str">
        <f t="shared" si="12"/>
        <v>SLake_2025</v>
      </c>
      <c r="D818" s="32">
        <v>1</v>
      </c>
      <c r="E818" s="32">
        <v>1</v>
      </c>
      <c r="F818" s="32">
        <v>2</v>
      </c>
      <c r="G818" s="32">
        <v>33</v>
      </c>
      <c r="H818">
        <v>64.775192613663762</v>
      </c>
    </row>
    <row r="819" spans="1:8" x14ac:dyDescent="0.25">
      <c r="A819" s="31" t="s">
        <v>132</v>
      </c>
      <c r="B819">
        <v>2025</v>
      </c>
      <c r="C819" t="str">
        <f t="shared" si="12"/>
        <v>SLake_2025</v>
      </c>
      <c r="D819" s="32">
        <v>2</v>
      </c>
      <c r="E819" s="32">
        <v>21</v>
      </c>
      <c r="F819" s="32">
        <v>4</v>
      </c>
      <c r="G819" s="32">
        <v>33</v>
      </c>
      <c r="H819">
        <v>66.897787735619303</v>
      </c>
    </row>
    <row r="820" spans="1:8" x14ac:dyDescent="0.25">
      <c r="A820" s="31" t="s">
        <v>132</v>
      </c>
      <c r="B820">
        <v>2025</v>
      </c>
      <c r="C820" t="str">
        <f t="shared" si="12"/>
        <v>SLake_2025</v>
      </c>
      <c r="D820" s="32">
        <v>3</v>
      </c>
      <c r="E820" s="32">
        <v>18</v>
      </c>
      <c r="F820" s="32">
        <v>6</v>
      </c>
      <c r="G820" s="32">
        <v>33</v>
      </c>
      <c r="H820">
        <v>60.644113823486919</v>
      </c>
    </row>
    <row r="821" spans="1:8" x14ac:dyDescent="0.25">
      <c r="A821" s="31" t="s">
        <v>13</v>
      </c>
      <c r="B821">
        <v>2025</v>
      </c>
      <c r="C821" t="str">
        <f t="shared" si="12"/>
        <v>Walsh_2025</v>
      </c>
      <c r="D821" s="32">
        <v>1</v>
      </c>
      <c r="E821" s="36">
        <v>8</v>
      </c>
      <c r="F821" s="36">
        <v>2</v>
      </c>
      <c r="G821" s="32">
        <v>33</v>
      </c>
      <c r="H821">
        <v>68.951959999999985</v>
      </c>
    </row>
    <row r="822" spans="1:8" x14ac:dyDescent="0.25">
      <c r="A822" s="31" t="s">
        <v>13</v>
      </c>
      <c r="B822">
        <v>2025</v>
      </c>
      <c r="C822" t="str">
        <f t="shared" si="12"/>
        <v>Walsh_2025</v>
      </c>
      <c r="D822" s="32">
        <v>2</v>
      </c>
      <c r="E822" s="36">
        <v>5</v>
      </c>
      <c r="F822" s="36">
        <v>4</v>
      </c>
      <c r="G822" s="32">
        <v>33</v>
      </c>
      <c r="H822">
        <v>72.478560000000002</v>
      </c>
    </row>
    <row r="823" spans="1:8" x14ac:dyDescent="0.25">
      <c r="A823" s="31" t="s">
        <v>13</v>
      </c>
      <c r="B823">
        <v>2025</v>
      </c>
      <c r="C823" t="str">
        <f t="shared" si="12"/>
        <v>Walsh_2025</v>
      </c>
      <c r="D823" s="32">
        <v>3</v>
      </c>
      <c r="E823" s="36">
        <v>18</v>
      </c>
      <c r="F823" s="36">
        <v>5</v>
      </c>
      <c r="G823" s="32">
        <v>33</v>
      </c>
      <c r="H823">
        <v>59.103494999999995</v>
      </c>
    </row>
    <row r="824" spans="1:8" x14ac:dyDescent="0.25">
      <c r="A824" t="s">
        <v>7</v>
      </c>
      <c r="B824">
        <v>2025</v>
      </c>
      <c r="C824" t="str">
        <f t="shared" si="12"/>
        <v>Akron_2025</v>
      </c>
      <c r="D824" s="11">
        <v>1</v>
      </c>
      <c r="E824" s="11">
        <v>7</v>
      </c>
      <c r="F824" s="11">
        <v>4</v>
      </c>
      <c r="G824" s="11">
        <v>33</v>
      </c>
      <c r="H824">
        <v>43.025930661421192</v>
      </c>
    </row>
    <row r="825" spans="1:8" x14ac:dyDescent="0.25">
      <c r="A825" t="s">
        <v>7</v>
      </c>
      <c r="B825">
        <v>2025</v>
      </c>
      <c r="C825" t="str">
        <f t="shared" si="12"/>
        <v>Akron_2025</v>
      </c>
      <c r="D825" s="11">
        <v>2</v>
      </c>
      <c r="E825" s="11">
        <v>11</v>
      </c>
      <c r="F825" s="11">
        <v>8</v>
      </c>
      <c r="G825" s="11">
        <v>33</v>
      </c>
      <c r="H825">
        <v>53.647676816575498</v>
      </c>
    </row>
    <row r="826" spans="1:8" x14ac:dyDescent="0.25">
      <c r="A826" t="s">
        <v>7</v>
      </c>
      <c r="B826">
        <v>2025</v>
      </c>
      <c r="C826" t="str">
        <f t="shared" si="12"/>
        <v>Akron_2025</v>
      </c>
      <c r="D826" s="11">
        <v>3</v>
      </c>
      <c r="E826" s="11">
        <v>9</v>
      </c>
      <c r="F826" s="11">
        <v>9</v>
      </c>
      <c r="G826" s="11">
        <v>33</v>
      </c>
      <c r="H826">
        <v>49.563695736622307</v>
      </c>
    </row>
    <row r="827" spans="1:8" x14ac:dyDescent="0.25">
      <c r="A827" s="31" t="s">
        <v>156</v>
      </c>
      <c r="B827">
        <v>2025</v>
      </c>
      <c r="C827" t="str">
        <f t="shared" si="12"/>
        <v>Genoa_2025</v>
      </c>
      <c r="D827" s="32">
        <v>1</v>
      </c>
      <c r="E827" s="32">
        <v>22</v>
      </c>
      <c r="F827" s="32">
        <v>2</v>
      </c>
      <c r="G827" s="32">
        <v>33</v>
      </c>
      <c r="H827">
        <v>49.758889931327978</v>
      </c>
    </row>
    <row r="828" spans="1:8" x14ac:dyDescent="0.25">
      <c r="A828" s="31" t="s">
        <v>156</v>
      </c>
      <c r="B828">
        <v>2025</v>
      </c>
      <c r="C828" t="str">
        <f t="shared" si="12"/>
        <v>Genoa_2025</v>
      </c>
      <c r="D828" s="32">
        <v>2</v>
      </c>
      <c r="E828" s="32">
        <v>17</v>
      </c>
      <c r="F828" s="32">
        <v>3</v>
      </c>
      <c r="G828" s="32">
        <v>33</v>
      </c>
      <c r="H828">
        <v>46.026336724362366</v>
      </c>
    </row>
    <row r="829" spans="1:8" x14ac:dyDescent="0.25">
      <c r="A829" s="31" t="s">
        <v>156</v>
      </c>
      <c r="B829">
        <v>2025</v>
      </c>
      <c r="C829" t="str">
        <f t="shared" si="12"/>
        <v>Genoa_2025</v>
      </c>
      <c r="D829" s="32">
        <v>3</v>
      </c>
      <c r="E829" s="32">
        <v>10</v>
      </c>
      <c r="F829" s="32">
        <v>6</v>
      </c>
      <c r="G829" s="32">
        <v>33</v>
      </c>
      <c r="H829">
        <v>39.920606337452504</v>
      </c>
    </row>
    <row r="830" spans="1:8" x14ac:dyDescent="0.25">
      <c r="A830" s="31" t="s">
        <v>10</v>
      </c>
      <c r="B830">
        <v>2025</v>
      </c>
      <c r="C830" t="str">
        <f t="shared" si="12"/>
        <v>Julesburg_2025</v>
      </c>
      <c r="D830" s="32">
        <v>1</v>
      </c>
      <c r="E830" s="32">
        <v>3</v>
      </c>
      <c r="F830" s="32">
        <v>3</v>
      </c>
      <c r="G830" s="32">
        <v>33</v>
      </c>
      <c r="H830">
        <v>62.900069100960131</v>
      </c>
    </row>
    <row r="831" spans="1:8" x14ac:dyDescent="0.25">
      <c r="A831" s="31" t="s">
        <v>10</v>
      </c>
      <c r="B831">
        <v>2025</v>
      </c>
      <c r="C831" t="str">
        <f t="shared" si="12"/>
        <v>Julesburg_2025</v>
      </c>
      <c r="D831" s="32">
        <v>2</v>
      </c>
      <c r="E831" s="32">
        <v>12</v>
      </c>
      <c r="F831" s="32">
        <v>7</v>
      </c>
      <c r="G831" s="32">
        <v>33</v>
      </c>
      <c r="H831">
        <v>56.406507670182165</v>
      </c>
    </row>
    <row r="832" spans="1:8" x14ac:dyDescent="0.25">
      <c r="A832" s="31" t="s">
        <v>10</v>
      </c>
      <c r="B832">
        <v>2025</v>
      </c>
      <c r="C832" t="str">
        <f t="shared" si="12"/>
        <v>Julesburg_2025</v>
      </c>
      <c r="D832" s="32">
        <v>3</v>
      </c>
      <c r="E832" s="32">
        <v>4</v>
      </c>
      <c r="F832" s="32">
        <v>11</v>
      </c>
      <c r="G832" s="32">
        <v>33</v>
      </c>
      <c r="H832">
        <v>69.974260352143588</v>
      </c>
    </row>
    <row r="833" spans="1:8" x14ac:dyDescent="0.25">
      <c r="A833" s="31" t="s">
        <v>11</v>
      </c>
      <c r="B833">
        <v>2025</v>
      </c>
      <c r="C833" t="str">
        <f t="shared" si="12"/>
        <v>Orchard_2025</v>
      </c>
      <c r="D833" s="32">
        <v>1</v>
      </c>
      <c r="E833" s="32">
        <v>15</v>
      </c>
      <c r="F833" s="32">
        <v>3</v>
      </c>
      <c r="G833" s="11">
        <v>33</v>
      </c>
      <c r="H833">
        <v>21.029119745101767</v>
      </c>
    </row>
    <row r="834" spans="1:8" x14ac:dyDescent="0.25">
      <c r="A834" s="31" t="s">
        <v>11</v>
      </c>
      <c r="B834">
        <v>2025</v>
      </c>
      <c r="C834" t="str">
        <f t="shared" si="12"/>
        <v>Orchard_2025</v>
      </c>
      <c r="D834" s="32">
        <v>2</v>
      </c>
      <c r="E834" s="32">
        <v>10</v>
      </c>
      <c r="F834" s="32">
        <v>4</v>
      </c>
      <c r="G834" s="11">
        <v>33</v>
      </c>
      <c r="H834">
        <v>25.110561914672211</v>
      </c>
    </row>
    <row r="835" spans="1:8" x14ac:dyDescent="0.25">
      <c r="A835" s="31" t="s">
        <v>11</v>
      </c>
      <c r="B835">
        <v>2025</v>
      </c>
      <c r="C835" t="str">
        <f t="shared" ref="C835:C898" si="13">A835&amp;"_"&amp;B835</f>
        <v>Orchard_2025</v>
      </c>
      <c r="D835" s="32">
        <v>3</v>
      </c>
      <c r="E835" s="32">
        <v>18</v>
      </c>
      <c r="F835" s="32">
        <v>8</v>
      </c>
      <c r="G835" s="11">
        <v>33</v>
      </c>
      <c r="H835">
        <v>31.514025974025976</v>
      </c>
    </row>
    <row r="836" spans="1:8" x14ac:dyDescent="0.25">
      <c r="A836" t="s">
        <v>160</v>
      </c>
      <c r="B836">
        <v>2025</v>
      </c>
      <c r="C836" t="str">
        <f t="shared" si="13"/>
        <v>Yuma_2025</v>
      </c>
      <c r="D836">
        <v>1</v>
      </c>
      <c r="E836" s="36">
        <v>20</v>
      </c>
      <c r="F836" s="36">
        <v>2</v>
      </c>
      <c r="G836" s="32">
        <v>33</v>
      </c>
      <c r="H836">
        <v>92.372944794188868</v>
      </c>
    </row>
    <row r="837" spans="1:8" x14ac:dyDescent="0.25">
      <c r="A837" t="s">
        <v>160</v>
      </c>
      <c r="B837">
        <v>2025</v>
      </c>
      <c r="C837" t="str">
        <f t="shared" si="13"/>
        <v>Yuma_2025</v>
      </c>
      <c r="D837">
        <v>2</v>
      </c>
      <c r="E837" s="36">
        <v>11</v>
      </c>
      <c r="F837" s="36">
        <v>3</v>
      </c>
      <c r="G837" s="32">
        <v>33</v>
      </c>
      <c r="H837">
        <v>90.189312833089645</v>
      </c>
    </row>
    <row r="838" spans="1:8" x14ac:dyDescent="0.25">
      <c r="A838" t="s">
        <v>160</v>
      </c>
      <c r="B838">
        <v>2025</v>
      </c>
      <c r="C838" t="str">
        <f t="shared" si="13"/>
        <v>Yuma_2025</v>
      </c>
      <c r="D838">
        <v>3</v>
      </c>
      <c r="E838" s="36">
        <v>13</v>
      </c>
      <c r="F838" s="36">
        <v>5</v>
      </c>
      <c r="G838" s="32">
        <v>33</v>
      </c>
      <c r="H838">
        <v>84.512715929973879</v>
      </c>
    </row>
    <row r="839" spans="1:8" x14ac:dyDescent="0.25">
      <c r="A839" s="31" t="s">
        <v>116</v>
      </c>
      <c r="B839">
        <v>2025</v>
      </c>
      <c r="C839" t="str">
        <f t="shared" si="13"/>
        <v>Burlington_2025</v>
      </c>
      <c r="D839" s="32">
        <v>1</v>
      </c>
      <c r="E839" s="32">
        <v>1</v>
      </c>
      <c r="F839" s="32">
        <v>1</v>
      </c>
      <c r="G839" s="32">
        <v>34</v>
      </c>
      <c r="H839">
        <v>55.987333365617431</v>
      </c>
    </row>
    <row r="840" spans="1:8" x14ac:dyDescent="0.25">
      <c r="A840" s="31" t="s">
        <v>116</v>
      </c>
      <c r="B840">
        <v>2025</v>
      </c>
      <c r="C840" t="str">
        <f t="shared" si="13"/>
        <v>Burlington_2025</v>
      </c>
      <c r="D840" s="32">
        <v>2</v>
      </c>
      <c r="E840" s="32">
        <v>4</v>
      </c>
      <c r="F840" s="32">
        <v>7</v>
      </c>
      <c r="G840" s="32">
        <v>34</v>
      </c>
      <c r="H840">
        <v>68.57744462658502</v>
      </c>
    </row>
    <row r="841" spans="1:8" x14ac:dyDescent="0.25">
      <c r="A841" s="31" t="s">
        <v>116</v>
      </c>
      <c r="B841">
        <v>2025</v>
      </c>
      <c r="C841" t="str">
        <f t="shared" si="13"/>
        <v>Burlington_2025</v>
      </c>
      <c r="D841" s="32">
        <v>3</v>
      </c>
      <c r="E841" s="32">
        <v>6</v>
      </c>
      <c r="F841" s="32">
        <v>11</v>
      </c>
      <c r="G841" s="32">
        <v>34</v>
      </c>
      <c r="H841">
        <v>73.293660000000017</v>
      </c>
    </row>
    <row r="842" spans="1:8" x14ac:dyDescent="0.25">
      <c r="A842" s="34" t="s">
        <v>97</v>
      </c>
      <c r="B842">
        <v>2025</v>
      </c>
      <c r="C842" t="str">
        <f t="shared" si="13"/>
        <v>Lamar_2025</v>
      </c>
      <c r="D842" s="35">
        <v>1</v>
      </c>
      <c r="E842" s="35">
        <v>18</v>
      </c>
      <c r="F842" s="35">
        <v>2</v>
      </c>
      <c r="G842" s="35">
        <v>34</v>
      </c>
      <c r="H842">
        <v>77.255607395637725</v>
      </c>
    </row>
    <row r="843" spans="1:8" x14ac:dyDescent="0.25">
      <c r="A843" s="34" t="s">
        <v>97</v>
      </c>
      <c r="B843">
        <v>2025</v>
      </c>
      <c r="C843" t="str">
        <f t="shared" si="13"/>
        <v>Lamar_2025</v>
      </c>
      <c r="D843" s="35">
        <v>2</v>
      </c>
      <c r="E843" s="35">
        <v>19</v>
      </c>
      <c r="F843" s="35">
        <v>4</v>
      </c>
      <c r="G843" s="35">
        <v>34</v>
      </c>
      <c r="H843">
        <v>74.215592042185989</v>
      </c>
    </row>
    <row r="844" spans="1:8" x14ac:dyDescent="0.25">
      <c r="A844" s="34" t="s">
        <v>97</v>
      </c>
      <c r="B844">
        <v>2025</v>
      </c>
      <c r="C844" t="str">
        <f t="shared" si="13"/>
        <v>Lamar_2025</v>
      </c>
      <c r="D844" s="35">
        <v>3</v>
      </c>
      <c r="E844" s="35">
        <v>21</v>
      </c>
      <c r="F844" s="35">
        <v>5</v>
      </c>
      <c r="G844" s="35">
        <v>34</v>
      </c>
      <c r="H844">
        <v>74.657498940228919</v>
      </c>
    </row>
    <row r="845" spans="1:8" x14ac:dyDescent="0.25">
      <c r="A845" s="31" t="s">
        <v>132</v>
      </c>
      <c r="B845">
        <v>2025</v>
      </c>
      <c r="C845" t="str">
        <f t="shared" si="13"/>
        <v>SLake_2025</v>
      </c>
      <c r="D845" s="32">
        <v>1</v>
      </c>
      <c r="E845" s="32">
        <v>14</v>
      </c>
      <c r="F845" s="32">
        <v>2</v>
      </c>
      <c r="G845" s="32">
        <v>34</v>
      </c>
      <c r="H845">
        <v>61.827865098114842</v>
      </c>
    </row>
    <row r="846" spans="1:8" x14ac:dyDescent="0.25">
      <c r="A846" s="31" t="s">
        <v>132</v>
      </c>
      <c r="B846">
        <v>2025</v>
      </c>
      <c r="C846" t="str">
        <f t="shared" si="13"/>
        <v>SLake_2025</v>
      </c>
      <c r="D846" s="32">
        <v>2</v>
      </c>
      <c r="E846" s="32">
        <v>2</v>
      </c>
      <c r="F846" s="32">
        <v>3</v>
      </c>
      <c r="G846" s="32">
        <v>34</v>
      </c>
      <c r="H846">
        <v>79.170843373493952</v>
      </c>
    </row>
    <row r="847" spans="1:8" x14ac:dyDescent="0.25">
      <c r="A847" s="31" t="s">
        <v>132</v>
      </c>
      <c r="B847">
        <v>2025</v>
      </c>
      <c r="C847" t="str">
        <f t="shared" si="13"/>
        <v>SLake_2025</v>
      </c>
      <c r="D847" s="32">
        <v>3</v>
      </c>
      <c r="E847" s="32">
        <v>1</v>
      </c>
      <c r="F847" s="32">
        <v>5</v>
      </c>
      <c r="G847" s="32">
        <v>34</v>
      </c>
      <c r="H847">
        <v>68.320857333587625</v>
      </c>
    </row>
    <row r="848" spans="1:8" x14ac:dyDescent="0.25">
      <c r="A848" s="31" t="s">
        <v>13</v>
      </c>
      <c r="B848">
        <v>2025</v>
      </c>
      <c r="C848" t="str">
        <f t="shared" si="13"/>
        <v>Walsh_2025</v>
      </c>
      <c r="D848" s="32">
        <v>1</v>
      </c>
      <c r="E848" s="36">
        <v>21</v>
      </c>
      <c r="F848" s="36">
        <v>2</v>
      </c>
      <c r="G848" s="32">
        <v>34</v>
      </c>
      <c r="H848">
        <v>57.906089999999999</v>
      </c>
    </row>
    <row r="849" spans="1:8" x14ac:dyDescent="0.25">
      <c r="A849" s="31" t="s">
        <v>13</v>
      </c>
      <c r="B849">
        <v>2025</v>
      </c>
      <c r="C849" t="str">
        <f t="shared" si="13"/>
        <v>Walsh_2025</v>
      </c>
      <c r="D849" s="32">
        <v>2</v>
      </c>
      <c r="E849" s="36">
        <v>7</v>
      </c>
      <c r="F849" s="36">
        <v>4</v>
      </c>
      <c r="G849" s="32">
        <v>34</v>
      </c>
      <c r="H849">
        <v>73.418730000000011</v>
      </c>
    </row>
    <row r="850" spans="1:8" x14ac:dyDescent="0.25">
      <c r="A850" s="31" t="s">
        <v>13</v>
      </c>
      <c r="B850">
        <v>2025</v>
      </c>
      <c r="C850" t="str">
        <f t="shared" si="13"/>
        <v>Walsh_2025</v>
      </c>
      <c r="D850" s="32">
        <v>3</v>
      </c>
      <c r="E850" s="36">
        <v>10</v>
      </c>
      <c r="F850" s="36">
        <v>5</v>
      </c>
      <c r="G850" s="32">
        <v>34</v>
      </c>
      <c r="H850">
        <v>63.072074999999991</v>
      </c>
    </row>
    <row r="851" spans="1:8" x14ac:dyDescent="0.25">
      <c r="A851" t="s">
        <v>7</v>
      </c>
      <c r="B851">
        <v>2025</v>
      </c>
      <c r="C851" t="str">
        <f t="shared" si="13"/>
        <v>Akron_2025</v>
      </c>
      <c r="D851" s="11">
        <v>1</v>
      </c>
      <c r="E851" s="11">
        <v>6</v>
      </c>
      <c r="F851" s="11">
        <v>3</v>
      </c>
      <c r="G851" s="11">
        <v>34</v>
      </c>
      <c r="H851">
        <v>51.328667204020668</v>
      </c>
    </row>
    <row r="852" spans="1:8" x14ac:dyDescent="0.25">
      <c r="A852" t="s">
        <v>7</v>
      </c>
      <c r="B852">
        <v>2025</v>
      </c>
      <c r="C852" t="str">
        <f t="shared" si="13"/>
        <v>Akron_2025</v>
      </c>
      <c r="D852" s="11">
        <v>2</v>
      </c>
      <c r="E852" s="11">
        <v>10</v>
      </c>
      <c r="F852" s="11">
        <v>5</v>
      </c>
      <c r="G852" s="11">
        <v>34</v>
      </c>
      <c r="H852">
        <v>46.200318210308076</v>
      </c>
    </row>
    <row r="853" spans="1:8" x14ac:dyDescent="0.25">
      <c r="A853" t="s">
        <v>7</v>
      </c>
      <c r="B853">
        <v>2025</v>
      </c>
      <c r="C853" t="str">
        <f t="shared" si="13"/>
        <v>Akron_2025</v>
      </c>
      <c r="D853" s="11">
        <v>3</v>
      </c>
      <c r="E853" s="11">
        <v>1</v>
      </c>
      <c r="F853" s="11">
        <v>11</v>
      </c>
      <c r="G853" s="11">
        <v>34</v>
      </c>
      <c r="H853">
        <v>43.926320054017545</v>
      </c>
    </row>
    <row r="854" spans="1:8" x14ac:dyDescent="0.25">
      <c r="A854" s="31" t="s">
        <v>156</v>
      </c>
      <c r="B854">
        <v>2025</v>
      </c>
      <c r="C854" t="str">
        <f t="shared" si="13"/>
        <v>Genoa_2025</v>
      </c>
      <c r="D854" s="32">
        <v>1</v>
      </c>
      <c r="E854" s="32">
        <v>12</v>
      </c>
      <c r="F854" s="32">
        <v>1</v>
      </c>
      <c r="G854" s="32">
        <v>34</v>
      </c>
      <c r="H854">
        <v>47.89574273178728</v>
      </c>
    </row>
    <row r="855" spans="1:8" x14ac:dyDescent="0.25">
      <c r="A855" s="31" t="s">
        <v>156</v>
      </c>
      <c r="B855">
        <v>2025</v>
      </c>
      <c r="C855" t="str">
        <f t="shared" si="13"/>
        <v>Genoa_2025</v>
      </c>
      <c r="D855" s="32">
        <v>2</v>
      </c>
      <c r="E855" s="32">
        <v>1</v>
      </c>
      <c r="F855" s="32">
        <v>3</v>
      </c>
      <c r="G855" s="32">
        <v>34</v>
      </c>
      <c r="H855">
        <v>33.866820789740125</v>
      </c>
    </row>
    <row r="856" spans="1:8" x14ac:dyDescent="0.25">
      <c r="A856" s="31" t="s">
        <v>156</v>
      </c>
      <c r="B856">
        <v>2025</v>
      </c>
      <c r="C856" t="str">
        <f t="shared" si="13"/>
        <v>Genoa_2025</v>
      </c>
      <c r="D856" s="32">
        <v>3</v>
      </c>
      <c r="E856" s="32">
        <v>2</v>
      </c>
      <c r="F856" s="32">
        <v>5</v>
      </c>
      <c r="G856" s="32">
        <v>34</v>
      </c>
      <c r="H856">
        <v>34.859222361930549</v>
      </c>
    </row>
    <row r="857" spans="1:8" x14ac:dyDescent="0.25">
      <c r="A857" s="31" t="s">
        <v>10</v>
      </c>
      <c r="B857">
        <v>2025</v>
      </c>
      <c r="C857" t="str">
        <f t="shared" si="13"/>
        <v>Julesburg_2025</v>
      </c>
      <c r="D857" s="32">
        <v>1</v>
      </c>
      <c r="E857" s="32">
        <v>1</v>
      </c>
      <c r="F857" s="32">
        <v>1</v>
      </c>
      <c r="G857" s="32">
        <v>34</v>
      </c>
      <c r="H857">
        <v>53.905276691729306</v>
      </c>
    </row>
    <row r="858" spans="1:8" x14ac:dyDescent="0.25">
      <c r="A858" s="31" t="s">
        <v>10</v>
      </c>
      <c r="B858">
        <v>2025</v>
      </c>
      <c r="C858" t="str">
        <f t="shared" si="13"/>
        <v>Julesburg_2025</v>
      </c>
      <c r="D858" s="32">
        <v>2</v>
      </c>
      <c r="E858" s="32">
        <v>4</v>
      </c>
      <c r="F858" s="32">
        <v>8</v>
      </c>
      <c r="G858" s="32">
        <v>34</v>
      </c>
      <c r="H858">
        <v>53.766415773910502</v>
      </c>
    </row>
    <row r="859" spans="1:8" x14ac:dyDescent="0.25">
      <c r="A859" s="31" t="s">
        <v>10</v>
      </c>
      <c r="B859">
        <v>2025</v>
      </c>
      <c r="C859" t="str">
        <f t="shared" si="13"/>
        <v>Julesburg_2025</v>
      </c>
      <c r="D859" s="32">
        <v>3</v>
      </c>
      <c r="E859" s="32">
        <v>2</v>
      </c>
      <c r="F859" s="32">
        <v>9</v>
      </c>
      <c r="G859" s="32">
        <v>34</v>
      </c>
      <c r="H859">
        <v>38.574427118644067</v>
      </c>
    </row>
    <row r="860" spans="1:8" x14ac:dyDescent="0.25">
      <c r="A860" s="31" t="s">
        <v>11</v>
      </c>
      <c r="B860">
        <v>2025</v>
      </c>
      <c r="C860" t="str">
        <f t="shared" si="13"/>
        <v>Orchard_2025</v>
      </c>
      <c r="D860" s="32">
        <v>1</v>
      </c>
      <c r="E860" s="32">
        <v>2</v>
      </c>
      <c r="F860" s="32">
        <v>2</v>
      </c>
      <c r="G860" s="11">
        <v>34</v>
      </c>
      <c r="H860">
        <v>25.619842207115564</v>
      </c>
    </row>
    <row r="861" spans="1:8" x14ac:dyDescent="0.25">
      <c r="A861" s="31" t="s">
        <v>11</v>
      </c>
      <c r="B861">
        <v>2025</v>
      </c>
      <c r="C861" t="str">
        <f t="shared" si="13"/>
        <v>Orchard_2025</v>
      </c>
      <c r="D861" s="32">
        <v>2</v>
      </c>
      <c r="E861" s="32">
        <v>3</v>
      </c>
      <c r="F861" s="32">
        <v>4</v>
      </c>
      <c r="G861" s="11">
        <v>34</v>
      </c>
      <c r="H861">
        <v>17.234344432882409</v>
      </c>
    </row>
    <row r="862" spans="1:8" x14ac:dyDescent="0.25">
      <c r="A862" s="31" t="s">
        <v>11</v>
      </c>
      <c r="B862">
        <v>2025</v>
      </c>
      <c r="C862" t="str">
        <f t="shared" si="13"/>
        <v>Orchard_2025</v>
      </c>
      <c r="D862" s="32">
        <v>3</v>
      </c>
      <c r="E862" s="32">
        <v>10</v>
      </c>
      <c r="F862" s="32">
        <v>7</v>
      </c>
      <c r="G862" s="11">
        <v>34</v>
      </c>
      <c r="H862">
        <v>21.942560494414071</v>
      </c>
    </row>
    <row r="863" spans="1:8" x14ac:dyDescent="0.25">
      <c r="A863" t="s">
        <v>160</v>
      </c>
      <c r="B863">
        <v>2025</v>
      </c>
      <c r="C863" t="str">
        <f t="shared" si="13"/>
        <v>Yuma_2025</v>
      </c>
      <c r="D863">
        <v>1</v>
      </c>
      <c r="E863" s="36">
        <v>2</v>
      </c>
      <c r="F863" s="36">
        <v>1</v>
      </c>
      <c r="G863" s="32">
        <v>34</v>
      </c>
      <c r="H863">
        <v>98.020223752151452</v>
      </c>
    </row>
    <row r="864" spans="1:8" x14ac:dyDescent="0.25">
      <c r="A864" t="s">
        <v>160</v>
      </c>
      <c r="B864">
        <v>2025</v>
      </c>
      <c r="C864" t="str">
        <f t="shared" si="13"/>
        <v>Yuma_2025</v>
      </c>
      <c r="D864">
        <v>2</v>
      </c>
      <c r="E864" s="36">
        <v>6</v>
      </c>
      <c r="F864" s="36">
        <v>3</v>
      </c>
      <c r="G864" s="32">
        <v>34</v>
      </c>
      <c r="H864">
        <v>92.415377069282641</v>
      </c>
    </row>
    <row r="865" spans="1:8" x14ac:dyDescent="0.25">
      <c r="A865" t="s">
        <v>160</v>
      </c>
      <c r="B865">
        <v>2025</v>
      </c>
      <c r="C865" t="str">
        <f t="shared" si="13"/>
        <v>Yuma_2025</v>
      </c>
      <c r="D865">
        <v>3</v>
      </c>
      <c r="E865" s="36">
        <v>10</v>
      </c>
      <c r="F865" s="36">
        <v>6</v>
      </c>
      <c r="G865" s="32">
        <v>34</v>
      </c>
      <c r="H865">
        <v>88.104217732669468</v>
      </c>
    </row>
    <row r="866" spans="1:8" x14ac:dyDescent="0.25">
      <c r="A866" s="31" t="s">
        <v>116</v>
      </c>
      <c r="B866">
        <v>2025</v>
      </c>
      <c r="C866" t="str">
        <f t="shared" si="13"/>
        <v>Burlington_2025</v>
      </c>
      <c r="D866" s="32">
        <v>1</v>
      </c>
      <c r="E866" s="32">
        <v>9</v>
      </c>
      <c r="F866" s="32">
        <v>3</v>
      </c>
      <c r="G866" s="32">
        <v>35</v>
      </c>
      <c r="H866">
        <v>69.413991428571435</v>
      </c>
    </row>
    <row r="867" spans="1:8" x14ac:dyDescent="0.25">
      <c r="A867" s="31" t="s">
        <v>116</v>
      </c>
      <c r="B867">
        <v>2025</v>
      </c>
      <c r="C867" t="str">
        <f t="shared" si="13"/>
        <v>Burlington_2025</v>
      </c>
      <c r="D867" s="32">
        <v>2</v>
      </c>
      <c r="E867" s="32">
        <v>5</v>
      </c>
      <c r="F867" s="32">
        <v>8</v>
      </c>
      <c r="G867" s="32">
        <v>35</v>
      </c>
      <c r="H867">
        <v>71.763204819277107</v>
      </c>
    </row>
    <row r="868" spans="1:8" x14ac:dyDescent="0.25">
      <c r="A868" s="31" t="s">
        <v>116</v>
      </c>
      <c r="B868">
        <v>2025</v>
      </c>
      <c r="C868" t="str">
        <f t="shared" si="13"/>
        <v>Burlington_2025</v>
      </c>
      <c r="D868" s="32">
        <v>3</v>
      </c>
      <c r="E868" s="32">
        <v>6</v>
      </c>
      <c r="F868" s="32">
        <v>12</v>
      </c>
      <c r="G868" s="32">
        <v>35</v>
      </c>
      <c r="H868">
        <v>80.845403970944304</v>
      </c>
    </row>
    <row r="869" spans="1:8" x14ac:dyDescent="0.25">
      <c r="A869" s="34" t="s">
        <v>97</v>
      </c>
      <c r="B869">
        <v>2025</v>
      </c>
      <c r="C869" t="str">
        <f t="shared" si="13"/>
        <v>Lamar_2025</v>
      </c>
      <c r="D869" s="35">
        <v>1</v>
      </c>
      <c r="E869" s="35">
        <v>15</v>
      </c>
      <c r="F869" s="35">
        <v>1</v>
      </c>
      <c r="G869" s="35">
        <v>35</v>
      </c>
      <c r="H869">
        <v>76.461989999999986</v>
      </c>
    </row>
    <row r="870" spans="1:8" x14ac:dyDescent="0.25">
      <c r="A870" s="34" t="s">
        <v>97</v>
      </c>
      <c r="B870">
        <v>2025</v>
      </c>
      <c r="C870" t="str">
        <f t="shared" si="13"/>
        <v>Lamar_2025</v>
      </c>
      <c r="D870" s="35">
        <v>2</v>
      </c>
      <c r="E870" s="35">
        <v>6</v>
      </c>
      <c r="F870" s="35">
        <v>3</v>
      </c>
      <c r="G870" s="35">
        <v>35</v>
      </c>
    </row>
    <row r="871" spans="1:8" x14ac:dyDescent="0.25">
      <c r="A871" s="34" t="s">
        <v>97</v>
      </c>
      <c r="B871">
        <v>2025</v>
      </c>
      <c r="C871" t="str">
        <f t="shared" si="13"/>
        <v>Lamar_2025</v>
      </c>
      <c r="D871" s="35">
        <v>3</v>
      </c>
      <c r="E871" s="35">
        <v>20</v>
      </c>
      <c r="F871" s="35">
        <v>5</v>
      </c>
      <c r="G871" s="35">
        <v>35</v>
      </c>
      <c r="H871">
        <v>77.71269181856718</v>
      </c>
    </row>
    <row r="872" spans="1:8" x14ac:dyDescent="0.25">
      <c r="A872" s="31" t="s">
        <v>132</v>
      </c>
      <c r="B872">
        <v>2025</v>
      </c>
      <c r="C872" t="str">
        <f t="shared" si="13"/>
        <v>SLake_2025</v>
      </c>
      <c r="D872" s="32">
        <v>1</v>
      </c>
      <c r="E872" s="32">
        <v>11</v>
      </c>
      <c r="F872" s="32">
        <v>2</v>
      </c>
      <c r="G872" s="32">
        <v>35</v>
      </c>
      <c r="H872">
        <v>60.12986307314015</v>
      </c>
    </row>
    <row r="873" spans="1:8" x14ac:dyDescent="0.25">
      <c r="A873" s="31" t="s">
        <v>132</v>
      </c>
      <c r="B873">
        <v>2025</v>
      </c>
      <c r="C873" t="str">
        <f t="shared" si="13"/>
        <v>SLake_2025</v>
      </c>
      <c r="D873" s="32">
        <v>2</v>
      </c>
      <c r="E873" s="32">
        <v>6</v>
      </c>
      <c r="F873" s="32">
        <v>4</v>
      </c>
      <c r="G873" s="32">
        <v>35</v>
      </c>
      <c r="H873">
        <v>72.233208319127172</v>
      </c>
    </row>
    <row r="874" spans="1:8" x14ac:dyDescent="0.25">
      <c r="A874" s="31" t="s">
        <v>132</v>
      </c>
      <c r="B874">
        <v>2025</v>
      </c>
      <c r="C874" t="str">
        <f t="shared" si="13"/>
        <v>SLake_2025</v>
      </c>
      <c r="D874" s="32">
        <v>3</v>
      </c>
      <c r="E874" s="32">
        <v>20</v>
      </c>
      <c r="F874" s="32">
        <v>5</v>
      </c>
      <c r="G874" s="32">
        <v>35</v>
      </c>
      <c r="H874">
        <v>65.262016021361802</v>
      </c>
    </row>
    <row r="875" spans="1:8" x14ac:dyDescent="0.25">
      <c r="A875" s="31" t="s">
        <v>13</v>
      </c>
      <c r="B875">
        <v>2025</v>
      </c>
      <c r="C875" t="str">
        <f t="shared" si="13"/>
        <v>Walsh_2025</v>
      </c>
      <c r="D875" s="32">
        <v>1</v>
      </c>
      <c r="E875" s="36">
        <v>19</v>
      </c>
      <c r="F875" s="36">
        <v>2</v>
      </c>
      <c r="G875" s="32">
        <v>35</v>
      </c>
      <c r="H875">
        <v>75.403019999999998</v>
      </c>
    </row>
    <row r="876" spans="1:8" x14ac:dyDescent="0.25">
      <c r="A876" s="31" t="s">
        <v>13</v>
      </c>
      <c r="B876">
        <v>2025</v>
      </c>
      <c r="C876" t="str">
        <f t="shared" si="13"/>
        <v>Walsh_2025</v>
      </c>
      <c r="D876" s="32">
        <v>2</v>
      </c>
      <c r="E876" s="36">
        <v>1</v>
      </c>
      <c r="F876" s="36">
        <v>4</v>
      </c>
      <c r="G876" s="32">
        <v>35</v>
      </c>
      <c r="H876">
        <v>78.254219999999975</v>
      </c>
    </row>
    <row r="877" spans="1:8" x14ac:dyDescent="0.25">
      <c r="A877" s="31" t="s">
        <v>13</v>
      </c>
      <c r="B877">
        <v>2025</v>
      </c>
      <c r="C877" t="str">
        <f t="shared" si="13"/>
        <v>Walsh_2025</v>
      </c>
      <c r="D877" s="32">
        <v>3</v>
      </c>
      <c r="E877" s="36">
        <v>15</v>
      </c>
      <c r="F877" s="36">
        <v>5</v>
      </c>
      <c r="G877" s="32">
        <v>35</v>
      </c>
      <c r="H877">
        <v>69.426719999999989</v>
      </c>
    </row>
    <row r="878" spans="1:8" x14ac:dyDescent="0.25">
      <c r="A878" t="s">
        <v>7</v>
      </c>
      <c r="B878">
        <v>2025</v>
      </c>
      <c r="C878" t="str">
        <f t="shared" si="13"/>
        <v>Akron_2025</v>
      </c>
      <c r="D878" s="11">
        <v>1</v>
      </c>
      <c r="E878" s="11">
        <v>10</v>
      </c>
      <c r="F878" s="11">
        <v>1</v>
      </c>
      <c r="G878" s="11">
        <v>35</v>
      </c>
      <c r="H878">
        <v>47.893235294117638</v>
      </c>
    </row>
    <row r="879" spans="1:8" x14ac:dyDescent="0.25">
      <c r="A879" t="s">
        <v>7</v>
      </c>
      <c r="B879">
        <v>2025</v>
      </c>
      <c r="C879" t="str">
        <f t="shared" si="13"/>
        <v>Akron_2025</v>
      </c>
      <c r="D879" s="11">
        <v>2</v>
      </c>
      <c r="E879" s="11">
        <v>13</v>
      </c>
      <c r="F879" s="11">
        <v>7</v>
      </c>
      <c r="G879" s="11">
        <v>35</v>
      </c>
      <c r="H879">
        <v>40.075731543624158</v>
      </c>
    </row>
    <row r="880" spans="1:8" x14ac:dyDescent="0.25">
      <c r="A880" t="s">
        <v>7</v>
      </c>
      <c r="B880">
        <v>2025</v>
      </c>
      <c r="C880" t="str">
        <f t="shared" si="13"/>
        <v>Akron_2025</v>
      </c>
      <c r="D880" s="11">
        <v>3</v>
      </c>
      <c r="E880" s="11">
        <v>5</v>
      </c>
      <c r="F880" s="11">
        <v>11</v>
      </c>
      <c r="G880" s="11">
        <v>35</v>
      </c>
      <c r="H880">
        <v>35.92409858203915</v>
      </c>
    </row>
    <row r="881" spans="1:8" x14ac:dyDescent="0.25">
      <c r="A881" s="31" t="s">
        <v>156</v>
      </c>
      <c r="B881">
        <v>2025</v>
      </c>
      <c r="C881" t="str">
        <f t="shared" si="13"/>
        <v>Genoa_2025</v>
      </c>
      <c r="D881" s="32">
        <v>1</v>
      </c>
      <c r="E881" s="32">
        <v>14</v>
      </c>
      <c r="F881" s="32">
        <v>2</v>
      </c>
      <c r="G881" s="32">
        <v>35</v>
      </c>
      <c r="H881">
        <v>47.520430892736236</v>
      </c>
    </row>
    <row r="882" spans="1:8" x14ac:dyDescent="0.25">
      <c r="A882" s="31" t="s">
        <v>156</v>
      </c>
      <c r="B882">
        <v>2025</v>
      </c>
      <c r="C882" t="str">
        <f t="shared" si="13"/>
        <v>Genoa_2025</v>
      </c>
      <c r="D882" s="32">
        <v>2</v>
      </c>
      <c r="E882" s="32">
        <v>15</v>
      </c>
      <c r="F882" s="32">
        <v>3</v>
      </c>
      <c r="G882" s="32">
        <v>35</v>
      </c>
      <c r="H882">
        <v>50.929149317776371</v>
      </c>
    </row>
    <row r="883" spans="1:8" x14ac:dyDescent="0.25">
      <c r="A883" s="31" t="s">
        <v>156</v>
      </c>
      <c r="B883">
        <v>2025</v>
      </c>
      <c r="C883" t="str">
        <f t="shared" si="13"/>
        <v>Genoa_2025</v>
      </c>
      <c r="D883" s="32">
        <v>3</v>
      </c>
      <c r="E883" s="32">
        <v>18</v>
      </c>
      <c r="F883" s="32">
        <v>6</v>
      </c>
      <c r="G883" s="32">
        <v>35</v>
      </c>
      <c r="H883">
        <v>46.902403183151414</v>
      </c>
    </row>
    <row r="884" spans="1:8" x14ac:dyDescent="0.25">
      <c r="A884" s="31" t="s">
        <v>10</v>
      </c>
      <c r="B884">
        <v>2025</v>
      </c>
      <c r="C884" t="str">
        <f t="shared" si="13"/>
        <v>Julesburg_2025</v>
      </c>
      <c r="D884" s="32">
        <v>1</v>
      </c>
      <c r="E884" s="32">
        <v>8</v>
      </c>
      <c r="F884" s="32">
        <v>1</v>
      </c>
      <c r="G884" s="32">
        <v>35</v>
      </c>
      <c r="H884">
        <v>53.23669172932329</v>
      </c>
    </row>
    <row r="885" spans="1:8" x14ac:dyDescent="0.25">
      <c r="A885" s="31" t="s">
        <v>10</v>
      </c>
      <c r="B885">
        <v>2025</v>
      </c>
      <c r="C885" t="str">
        <f t="shared" si="13"/>
        <v>Julesburg_2025</v>
      </c>
      <c r="D885" s="32">
        <v>2</v>
      </c>
      <c r="E885" s="32">
        <v>1</v>
      </c>
      <c r="F885" s="32">
        <v>5</v>
      </c>
      <c r="G885" s="32">
        <v>35</v>
      </c>
      <c r="H885">
        <v>49.21618479262672</v>
      </c>
    </row>
    <row r="886" spans="1:8" x14ac:dyDescent="0.25">
      <c r="A886" s="31" t="s">
        <v>10</v>
      </c>
      <c r="B886">
        <v>2025</v>
      </c>
      <c r="C886" t="str">
        <f t="shared" si="13"/>
        <v>Julesburg_2025</v>
      </c>
      <c r="D886" s="32">
        <v>3</v>
      </c>
      <c r="E886" s="32">
        <v>13</v>
      </c>
      <c r="F886" s="32">
        <v>11</v>
      </c>
      <c r="G886" s="32">
        <v>35</v>
      </c>
      <c r="H886">
        <v>50.298161244695898</v>
      </c>
    </row>
    <row r="887" spans="1:8" x14ac:dyDescent="0.25">
      <c r="A887" s="31" t="s">
        <v>11</v>
      </c>
      <c r="B887">
        <v>2025</v>
      </c>
      <c r="C887" t="str">
        <f t="shared" si="13"/>
        <v>Orchard_2025</v>
      </c>
      <c r="D887" s="32">
        <v>1</v>
      </c>
      <c r="E887" s="32">
        <v>9</v>
      </c>
      <c r="F887" s="32">
        <v>3</v>
      </c>
      <c r="G887" s="11">
        <v>35</v>
      </c>
      <c r="H887">
        <v>15.654786950732355</v>
      </c>
    </row>
    <row r="888" spans="1:8" x14ac:dyDescent="0.25">
      <c r="A888" s="31" t="s">
        <v>11</v>
      </c>
      <c r="B888">
        <v>2025</v>
      </c>
      <c r="C888" t="str">
        <f t="shared" si="13"/>
        <v>Orchard_2025</v>
      </c>
      <c r="D888" s="32">
        <v>2</v>
      </c>
      <c r="E888" s="32">
        <v>11</v>
      </c>
      <c r="F888" s="32">
        <v>5</v>
      </c>
      <c r="G888" s="11">
        <v>35</v>
      </c>
      <c r="H888">
        <v>23.413232124898226</v>
      </c>
    </row>
    <row r="889" spans="1:8" x14ac:dyDescent="0.25">
      <c r="A889" s="31" t="s">
        <v>11</v>
      </c>
      <c r="B889">
        <v>2025</v>
      </c>
      <c r="C889" t="str">
        <f t="shared" si="13"/>
        <v>Orchard_2025</v>
      </c>
      <c r="D889" s="32">
        <v>3</v>
      </c>
      <c r="E889" s="32">
        <v>14</v>
      </c>
      <c r="F889" s="32">
        <v>9</v>
      </c>
      <c r="G889" s="11">
        <v>35</v>
      </c>
      <c r="H889">
        <v>20.726153226952032</v>
      </c>
    </row>
    <row r="890" spans="1:8" x14ac:dyDescent="0.25">
      <c r="A890" t="s">
        <v>160</v>
      </c>
      <c r="B890">
        <v>2025</v>
      </c>
      <c r="C890" t="str">
        <f t="shared" si="13"/>
        <v>Yuma_2025</v>
      </c>
      <c r="D890">
        <v>1</v>
      </c>
      <c r="E890" s="36">
        <v>16</v>
      </c>
      <c r="F890" s="36">
        <v>2</v>
      </c>
      <c r="G890" s="32">
        <v>35</v>
      </c>
      <c r="H890">
        <v>92.16923970944309</v>
      </c>
    </row>
    <row r="891" spans="1:8" x14ac:dyDescent="0.25">
      <c r="A891" t="s">
        <v>160</v>
      </c>
      <c r="B891">
        <v>2025</v>
      </c>
      <c r="C891" t="str">
        <f t="shared" si="13"/>
        <v>Yuma_2025</v>
      </c>
      <c r="D891">
        <v>2</v>
      </c>
      <c r="E891" s="36">
        <v>20</v>
      </c>
      <c r="F891" s="36">
        <v>3</v>
      </c>
      <c r="G891" s="32">
        <v>35</v>
      </c>
      <c r="H891">
        <v>90.142341178135169</v>
      </c>
    </row>
    <row r="892" spans="1:8" x14ac:dyDescent="0.25">
      <c r="A892" t="s">
        <v>160</v>
      </c>
      <c r="B892">
        <v>2025</v>
      </c>
      <c r="C892" t="str">
        <f t="shared" si="13"/>
        <v>Yuma_2025</v>
      </c>
      <c r="D892">
        <v>3</v>
      </c>
      <c r="E892" s="36">
        <v>15</v>
      </c>
      <c r="F892" s="36">
        <v>6</v>
      </c>
      <c r="G892" s="32">
        <v>35</v>
      </c>
      <c r="H892">
        <v>88.069050172347758</v>
      </c>
    </row>
    <row r="893" spans="1:8" x14ac:dyDescent="0.25">
      <c r="A893" s="31" t="s">
        <v>116</v>
      </c>
      <c r="B893">
        <v>2025</v>
      </c>
      <c r="C893" t="str">
        <f t="shared" si="13"/>
        <v>Burlington_2025</v>
      </c>
      <c r="D893" s="32">
        <v>1</v>
      </c>
      <c r="E893" s="32">
        <v>7</v>
      </c>
      <c r="F893" s="32">
        <v>4</v>
      </c>
      <c r="G893" s="32">
        <v>36</v>
      </c>
      <c r="H893">
        <v>53.901893287435449</v>
      </c>
    </row>
    <row r="894" spans="1:8" x14ac:dyDescent="0.25">
      <c r="A894" s="31" t="s">
        <v>116</v>
      </c>
      <c r="B894">
        <v>2025</v>
      </c>
      <c r="C894" t="str">
        <f t="shared" si="13"/>
        <v>Burlington_2025</v>
      </c>
      <c r="D894" s="32">
        <v>2</v>
      </c>
      <c r="E894" s="32">
        <v>8</v>
      </c>
      <c r="F894" s="32">
        <v>5</v>
      </c>
      <c r="G894" s="32">
        <v>36</v>
      </c>
      <c r="H894">
        <v>48.218320137693624</v>
      </c>
    </row>
    <row r="895" spans="1:8" x14ac:dyDescent="0.25">
      <c r="A895" s="31" t="s">
        <v>116</v>
      </c>
      <c r="B895">
        <v>2025</v>
      </c>
      <c r="C895" t="str">
        <f t="shared" si="13"/>
        <v>Burlington_2025</v>
      </c>
      <c r="D895" s="32">
        <v>3</v>
      </c>
      <c r="E895" s="32">
        <v>3</v>
      </c>
      <c r="F895" s="32">
        <v>12</v>
      </c>
      <c r="G895" s="32">
        <v>36</v>
      </c>
      <c r="H895">
        <v>53.681376464891045</v>
      </c>
    </row>
    <row r="896" spans="1:8" x14ac:dyDescent="0.25">
      <c r="A896" s="34" t="s">
        <v>97</v>
      </c>
      <c r="B896">
        <v>2025</v>
      </c>
      <c r="C896" t="str">
        <f t="shared" si="13"/>
        <v>Lamar_2025</v>
      </c>
      <c r="D896" s="35">
        <v>1</v>
      </c>
      <c r="E896" s="35">
        <v>16</v>
      </c>
      <c r="F896" s="35">
        <v>1</v>
      </c>
      <c r="G896" s="35">
        <v>36</v>
      </c>
      <c r="H896">
        <v>79.529999999999987</v>
      </c>
    </row>
    <row r="897" spans="1:8" x14ac:dyDescent="0.25">
      <c r="A897" s="34" t="s">
        <v>97</v>
      </c>
      <c r="B897">
        <v>2025</v>
      </c>
      <c r="C897" t="str">
        <f t="shared" si="13"/>
        <v>Lamar_2025</v>
      </c>
      <c r="D897" s="35">
        <v>2</v>
      </c>
      <c r="E897" s="35">
        <v>5</v>
      </c>
      <c r="F897" s="35">
        <v>4</v>
      </c>
      <c r="G897" s="35">
        <v>36</v>
      </c>
      <c r="H897">
        <v>72.088895493767978</v>
      </c>
    </row>
    <row r="898" spans="1:8" x14ac:dyDescent="0.25">
      <c r="A898" s="34" t="s">
        <v>97</v>
      </c>
      <c r="B898">
        <v>2025</v>
      </c>
      <c r="C898" t="str">
        <f t="shared" si="13"/>
        <v>Lamar_2025</v>
      </c>
      <c r="D898" s="35">
        <v>3</v>
      </c>
      <c r="E898" s="35">
        <v>19</v>
      </c>
      <c r="F898" s="35">
        <v>5</v>
      </c>
      <c r="G898" s="35">
        <v>36</v>
      </c>
      <c r="H898">
        <v>75.260330648579881</v>
      </c>
    </row>
    <row r="899" spans="1:8" x14ac:dyDescent="0.25">
      <c r="A899" s="31" t="s">
        <v>132</v>
      </c>
      <c r="B899">
        <v>2025</v>
      </c>
      <c r="C899" t="str">
        <f t="shared" ref="C899:C962" si="14">A899&amp;"_"&amp;B899</f>
        <v>SLake_2025</v>
      </c>
      <c r="D899" s="32">
        <v>1</v>
      </c>
      <c r="E899" s="32">
        <v>19</v>
      </c>
      <c r="F899" s="32">
        <v>2</v>
      </c>
      <c r="G899" s="32">
        <v>36</v>
      </c>
      <c r="H899">
        <v>68.556151583819499</v>
      </c>
    </row>
    <row r="900" spans="1:8" x14ac:dyDescent="0.25">
      <c r="A900" s="31" t="s">
        <v>132</v>
      </c>
      <c r="B900">
        <v>2025</v>
      </c>
      <c r="C900" t="str">
        <f t="shared" si="14"/>
        <v>SLake_2025</v>
      </c>
      <c r="D900" s="32">
        <v>2</v>
      </c>
      <c r="E900" s="32">
        <v>11</v>
      </c>
      <c r="F900" s="32">
        <v>3</v>
      </c>
      <c r="G900" s="32">
        <v>36</v>
      </c>
      <c r="H900">
        <v>68.643029259896736</v>
      </c>
    </row>
    <row r="901" spans="1:8" x14ac:dyDescent="0.25">
      <c r="A901" s="31" t="s">
        <v>132</v>
      </c>
      <c r="B901">
        <v>2025</v>
      </c>
      <c r="C901" t="str">
        <f t="shared" si="14"/>
        <v>SLake_2025</v>
      </c>
      <c r="D901" s="32">
        <v>3</v>
      </c>
      <c r="E901" s="32">
        <v>20</v>
      </c>
      <c r="F901" s="32">
        <v>6</v>
      </c>
      <c r="G901" s="32">
        <v>36</v>
      </c>
      <c r="H901">
        <v>59.229351437238179</v>
      </c>
    </row>
    <row r="902" spans="1:8" x14ac:dyDescent="0.25">
      <c r="A902" s="31" t="s">
        <v>13</v>
      </c>
      <c r="B902">
        <v>2025</v>
      </c>
      <c r="C902" t="str">
        <f t="shared" si="14"/>
        <v>Walsh_2025</v>
      </c>
      <c r="D902" s="32">
        <v>1</v>
      </c>
      <c r="E902" s="36">
        <v>7</v>
      </c>
      <c r="F902" s="36">
        <v>1</v>
      </c>
      <c r="G902" s="32">
        <v>36</v>
      </c>
      <c r="H902">
        <v>59.367879999999985</v>
      </c>
    </row>
    <row r="903" spans="1:8" x14ac:dyDescent="0.25">
      <c r="A903" s="31" t="s">
        <v>13</v>
      </c>
      <c r="B903">
        <v>2025</v>
      </c>
      <c r="C903" t="str">
        <f t="shared" si="14"/>
        <v>Walsh_2025</v>
      </c>
      <c r="D903" s="32">
        <v>2</v>
      </c>
      <c r="E903" s="36">
        <v>17</v>
      </c>
      <c r="F903" s="36">
        <v>4</v>
      </c>
      <c r="G903" s="32">
        <v>36</v>
      </c>
      <c r="H903">
        <v>61.585589999999989</v>
      </c>
    </row>
    <row r="904" spans="1:8" x14ac:dyDescent="0.25">
      <c r="A904" s="31" t="s">
        <v>13</v>
      </c>
      <c r="B904">
        <v>2025</v>
      </c>
      <c r="C904" t="str">
        <f t="shared" si="14"/>
        <v>Walsh_2025</v>
      </c>
      <c r="D904" s="32">
        <v>3</v>
      </c>
      <c r="E904" s="36">
        <v>16</v>
      </c>
      <c r="F904" s="36">
        <v>5</v>
      </c>
      <c r="G904" s="32">
        <v>36</v>
      </c>
      <c r="H904">
        <v>53.317440000000005</v>
      </c>
    </row>
    <row r="905" spans="1:8" x14ac:dyDescent="0.25">
      <c r="A905" t="s">
        <v>7</v>
      </c>
      <c r="B905">
        <v>2025</v>
      </c>
      <c r="C905" t="str">
        <f t="shared" si="14"/>
        <v>Akron_2025</v>
      </c>
      <c r="D905" s="11">
        <v>1</v>
      </c>
      <c r="E905" s="11">
        <v>12</v>
      </c>
      <c r="F905" s="11">
        <v>3</v>
      </c>
      <c r="G905" s="11">
        <v>36</v>
      </c>
      <c r="H905">
        <v>43.724663600587917</v>
      </c>
    </row>
    <row r="906" spans="1:8" x14ac:dyDescent="0.25">
      <c r="A906" t="s">
        <v>7</v>
      </c>
      <c r="B906">
        <v>2025</v>
      </c>
      <c r="C906" t="str">
        <f t="shared" si="14"/>
        <v>Akron_2025</v>
      </c>
      <c r="D906" s="11">
        <v>2</v>
      </c>
      <c r="E906" s="11">
        <v>2</v>
      </c>
      <c r="F906" s="11">
        <v>7</v>
      </c>
      <c r="G906" s="11">
        <v>36</v>
      </c>
      <c r="H906">
        <v>44.553417066155319</v>
      </c>
    </row>
    <row r="907" spans="1:8" x14ac:dyDescent="0.25">
      <c r="A907" t="s">
        <v>7</v>
      </c>
      <c r="B907">
        <v>2025</v>
      </c>
      <c r="C907" t="str">
        <f t="shared" si="14"/>
        <v>Akron_2025</v>
      </c>
      <c r="D907" s="11">
        <v>3</v>
      </c>
      <c r="E907" s="11">
        <v>6</v>
      </c>
      <c r="F907" s="11">
        <v>10</v>
      </c>
      <c r="G907" s="11">
        <v>36</v>
      </c>
      <c r="H907">
        <v>38.722923588039862</v>
      </c>
    </row>
    <row r="908" spans="1:8" x14ac:dyDescent="0.25">
      <c r="A908" s="31" t="s">
        <v>156</v>
      </c>
      <c r="B908">
        <v>2025</v>
      </c>
      <c r="C908" t="str">
        <f t="shared" si="14"/>
        <v>Genoa_2025</v>
      </c>
      <c r="D908" s="32">
        <v>1</v>
      </c>
      <c r="E908" s="32">
        <v>1</v>
      </c>
      <c r="F908" s="32">
        <v>2</v>
      </c>
      <c r="G908" s="32">
        <v>36</v>
      </c>
      <c r="H908">
        <v>53.397951445981235</v>
      </c>
    </row>
    <row r="909" spans="1:8" x14ac:dyDescent="0.25">
      <c r="A909" s="31" t="s">
        <v>156</v>
      </c>
      <c r="B909">
        <v>2025</v>
      </c>
      <c r="C909" t="str">
        <f t="shared" si="14"/>
        <v>Genoa_2025</v>
      </c>
      <c r="D909" s="32">
        <v>2</v>
      </c>
      <c r="E909" s="32">
        <v>8</v>
      </c>
      <c r="F909" s="32">
        <v>3</v>
      </c>
      <c r="G909" s="32">
        <v>36</v>
      </c>
      <c r="H909">
        <v>49.678134130466226</v>
      </c>
    </row>
    <row r="910" spans="1:8" x14ac:dyDescent="0.25">
      <c r="A910" s="31" t="s">
        <v>156</v>
      </c>
      <c r="B910">
        <v>2025</v>
      </c>
      <c r="C910" t="str">
        <f t="shared" si="14"/>
        <v>Genoa_2025</v>
      </c>
      <c r="D910" s="32">
        <v>3</v>
      </c>
      <c r="E910" s="32">
        <v>26</v>
      </c>
      <c r="F910" s="32">
        <v>6</v>
      </c>
      <c r="G910" s="32">
        <v>36</v>
      </c>
      <c r="H910">
        <v>51.074674568447357</v>
      </c>
    </row>
    <row r="911" spans="1:8" x14ac:dyDescent="0.25">
      <c r="A911" s="31" t="s">
        <v>10</v>
      </c>
      <c r="B911">
        <v>2025</v>
      </c>
      <c r="C911" t="str">
        <f t="shared" si="14"/>
        <v>Julesburg_2025</v>
      </c>
      <c r="D911" s="32">
        <v>1</v>
      </c>
      <c r="E911" s="32">
        <v>10</v>
      </c>
      <c r="F911" s="32">
        <v>2</v>
      </c>
      <c r="G911" s="32">
        <v>36</v>
      </c>
      <c r="H911">
        <v>58.27320468005199</v>
      </c>
    </row>
    <row r="912" spans="1:8" x14ac:dyDescent="0.25">
      <c r="A912" s="31" t="s">
        <v>10</v>
      </c>
      <c r="B912">
        <v>2025</v>
      </c>
      <c r="C912" t="str">
        <f t="shared" si="14"/>
        <v>Julesburg_2025</v>
      </c>
      <c r="D912" s="32">
        <v>2</v>
      </c>
      <c r="E912" s="32">
        <v>5</v>
      </c>
      <c r="F912" s="32">
        <v>8</v>
      </c>
      <c r="G912" s="32">
        <v>36</v>
      </c>
      <c r="H912">
        <v>56.983380677686753</v>
      </c>
    </row>
    <row r="913" spans="1:8" x14ac:dyDescent="0.25">
      <c r="A913" s="31" t="s">
        <v>10</v>
      </c>
      <c r="B913">
        <v>2025</v>
      </c>
      <c r="C913" t="str">
        <f t="shared" si="14"/>
        <v>Julesburg_2025</v>
      </c>
      <c r="D913" s="32">
        <v>3</v>
      </c>
      <c r="E913" s="32">
        <v>2</v>
      </c>
      <c r="F913" s="32">
        <v>10</v>
      </c>
      <c r="G913" s="32">
        <v>36</v>
      </c>
      <c r="H913">
        <v>39.279598426726217</v>
      </c>
    </row>
    <row r="914" spans="1:8" x14ac:dyDescent="0.25">
      <c r="A914" s="31" t="s">
        <v>11</v>
      </c>
      <c r="B914">
        <v>2025</v>
      </c>
      <c r="C914" t="str">
        <f t="shared" si="14"/>
        <v>Orchard_2025</v>
      </c>
      <c r="D914" s="32">
        <v>1</v>
      </c>
      <c r="E914" s="32">
        <v>7</v>
      </c>
      <c r="F914" s="32">
        <v>1</v>
      </c>
      <c r="G914" s="11">
        <v>36</v>
      </c>
      <c r="H914">
        <v>35.90520972858652</v>
      </c>
    </row>
    <row r="915" spans="1:8" x14ac:dyDescent="0.25">
      <c r="A915" s="31" t="s">
        <v>11</v>
      </c>
      <c r="B915">
        <v>2025</v>
      </c>
      <c r="C915" t="str">
        <f t="shared" si="14"/>
        <v>Orchard_2025</v>
      </c>
      <c r="D915" s="32">
        <v>2</v>
      </c>
      <c r="E915" s="32">
        <v>1</v>
      </c>
      <c r="F915" s="32">
        <v>4</v>
      </c>
      <c r="G915" s="11">
        <v>36</v>
      </c>
      <c r="H915">
        <v>31.227114612754566</v>
      </c>
    </row>
    <row r="916" spans="1:8" x14ac:dyDescent="0.25">
      <c r="A916" s="31" t="s">
        <v>11</v>
      </c>
      <c r="B916">
        <v>2025</v>
      </c>
      <c r="C916" t="str">
        <f t="shared" si="14"/>
        <v>Orchard_2025</v>
      </c>
      <c r="D916" s="32">
        <v>3</v>
      </c>
      <c r="E916" s="32">
        <v>15</v>
      </c>
      <c r="F916" s="32">
        <v>8</v>
      </c>
      <c r="G916" s="11">
        <v>36</v>
      </c>
      <c r="H916">
        <v>47.96975649350648</v>
      </c>
    </row>
    <row r="917" spans="1:8" x14ac:dyDescent="0.25">
      <c r="A917" t="s">
        <v>160</v>
      </c>
      <c r="B917">
        <v>2025</v>
      </c>
      <c r="C917" t="str">
        <f t="shared" si="14"/>
        <v>Yuma_2025</v>
      </c>
      <c r="D917">
        <v>1</v>
      </c>
      <c r="E917" s="36">
        <v>26</v>
      </c>
      <c r="F917" s="36">
        <v>2</v>
      </c>
      <c r="G917" s="32">
        <v>36</v>
      </c>
      <c r="H917">
        <v>84.644999999999996</v>
      </c>
    </row>
    <row r="918" spans="1:8" x14ac:dyDescent="0.25">
      <c r="A918" t="s">
        <v>160</v>
      </c>
      <c r="B918">
        <v>2025</v>
      </c>
      <c r="C918" t="str">
        <f t="shared" si="14"/>
        <v>Yuma_2025</v>
      </c>
      <c r="D918">
        <v>2</v>
      </c>
      <c r="E918" s="36">
        <v>5</v>
      </c>
      <c r="F918" s="36">
        <v>4</v>
      </c>
      <c r="G918" s="32">
        <v>36</v>
      </c>
      <c r="H918">
        <v>82.547901403628885</v>
      </c>
    </row>
    <row r="919" spans="1:8" x14ac:dyDescent="0.25">
      <c r="A919" t="s">
        <v>160</v>
      </c>
      <c r="B919">
        <v>2025</v>
      </c>
      <c r="C919" t="str">
        <f t="shared" si="14"/>
        <v>Yuma_2025</v>
      </c>
      <c r="D919">
        <v>3</v>
      </c>
      <c r="E919" s="36">
        <v>1</v>
      </c>
      <c r="F919" s="36">
        <v>6</v>
      </c>
      <c r="G919" s="32">
        <v>36</v>
      </c>
      <c r="H919">
        <v>78.338726541554934</v>
      </c>
    </row>
    <row r="920" spans="1:8" x14ac:dyDescent="0.25">
      <c r="A920" s="31" t="s">
        <v>116</v>
      </c>
      <c r="B920">
        <v>2025</v>
      </c>
      <c r="C920" t="str">
        <f t="shared" si="14"/>
        <v>Burlington_2025</v>
      </c>
      <c r="D920" s="32">
        <v>1</v>
      </c>
      <c r="E920" s="32">
        <v>10</v>
      </c>
      <c r="F920" s="32">
        <v>3</v>
      </c>
      <c r="G920" s="32">
        <v>37</v>
      </c>
      <c r="H920">
        <v>71.537903389830518</v>
      </c>
    </row>
    <row r="921" spans="1:8" x14ac:dyDescent="0.25">
      <c r="A921" s="31" t="s">
        <v>116</v>
      </c>
      <c r="B921">
        <v>2025</v>
      </c>
      <c r="C921" t="str">
        <f t="shared" si="14"/>
        <v>Burlington_2025</v>
      </c>
      <c r="D921" s="32">
        <v>2</v>
      </c>
      <c r="E921" s="32">
        <v>4</v>
      </c>
      <c r="F921" s="32">
        <v>6</v>
      </c>
      <c r="G921" s="32">
        <v>37</v>
      </c>
      <c r="H921">
        <v>66.970581115395476</v>
      </c>
    </row>
    <row r="922" spans="1:8" x14ac:dyDescent="0.25">
      <c r="A922" s="31" t="s">
        <v>116</v>
      </c>
      <c r="B922">
        <v>2025</v>
      </c>
      <c r="C922" t="str">
        <f t="shared" si="14"/>
        <v>Burlington_2025</v>
      </c>
      <c r="D922" s="32">
        <v>3</v>
      </c>
      <c r="E922" s="32">
        <v>9</v>
      </c>
      <c r="F922" s="32">
        <v>9</v>
      </c>
      <c r="G922" s="32">
        <v>37</v>
      </c>
      <c r="H922">
        <v>72.153640036642386</v>
      </c>
    </row>
    <row r="923" spans="1:8" x14ac:dyDescent="0.25">
      <c r="A923" s="34" t="s">
        <v>97</v>
      </c>
      <c r="B923">
        <v>2025</v>
      </c>
      <c r="C923" t="str">
        <f t="shared" si="14"/>
        <v>Lamar_2025</v>
      </c>
      <c r="D923" s="35">
        <v>1</v>
      </c>
      <c r="E923" s="35">
        <v>2</v>
      </c>
      <c r="F923" s="35">
        <v>2</v>
      </c>
      <c r="G923" s="35">
        <v>37</v>
      </c>
      <c r="H923">
        <v>82.982392026578069</v>
      </c>
    </row>
    <row r="924" spans="1:8" x14ac:dyDescent="0.25">
      <c r="A924" s="34" t="s">
        <v>97</v>
      </c>
      <c r="B924">
        <v>2025</v>
      </c>
      <c r="C924" t="str">
        <f t="shared" si="14"/>
        <v>Lamar_2025</v>
      </c>
      <c r="D924" s="35">
        <v>2</v>
      </c>
      <c r="E924" s="35">
        <v>9</v>
      </c>
      <c r="F924" s="35">
        <v>4</v>
      </c>
      <c r="G924" s="35">
        <v>37</v>
      </c>
      <c r="H924">
        <v>78.904328859060399</v>
      </c>
    </row>
    <row r="925" spans="1:8" x14ac:dyDescent="0.25">
      <c r="A925" s="34" t="s">
        <v>97</v>
      </c>
      <c r="B925">
        <v>2025</v>
      </c>
      <c r="C925" t="str">
        <f t="shared" si="14"/>
        <v>Lamar_2025</v>
      </c>
      <c r="D925" s="35">
        <v>3</v>
      </c>
      <c r="E925" s="35">
        <v>16</v>
      </c>
      <c r="F925" s="35">
        <v>6</v>
      </c>
      <c r="G925" s="35">
        <v>37</v>
      </c>
      <c r="H925">
        <v>81.101591169177951</v>
      </c>
    </row>
    <row r="926" spans="1:8" x14ac:dyDescent="0.25">
      <c r="A926" s="31" t="s">
        <v>132</v>
      </c>
      <c r="B926">
        <v>2025</v>
      </c>
      <c r="C926" t="str">
        <f t="shared" si="14"/>
        <v>SLake_2025</v>
      </c>
      <c r="D926" s="32">
        <v>1</v>
      </c>
      <c r="E926" s="32">
        <v>8</v>
      </c>
      <c r="F926" s="32">
        <v>1</v>
      </c>
      <c r="G926" s="32">
        <v>37</v>
      </c>
      <c r="H926">
        <v>66.983397136107229</v>
      </c>
    </row>
    <row r="927" spans="1:8" x14ac:dyDescent="0.25">
      <c r="A927" s="31" t="s">
        <v>132</v>
      </c>
      <c r="B927">
        <v>2025</v>
      </c>
      <c r="C927" t="str">
        <f t="shared" si="14"/>
        <v>SLake_2025</v>
      </c>
      <c r="D927" s="32">
        <v>2</v>
      </c>
      <c r="E927" s="32">
        <v>18</v>
      </c>
      <c r="F927" s="32">
        <v>4</v>
      </c>
      <c r="G927" s="32">
        <v>37</v>
      </c>
      <c r="H927">
        <v>65.795821440748142</v>
      </c>
    </row>
    <row r="928" spans="1:8" x14ac:dyDescent="0.25">
      <c r="A928" s="31" t="s">
        <v>132</v>
      </c>
      <c r="B928">
        <v>2025</v>
      </c>
      <c r="C928" t="str">
        <f t="shared" si="14"/>
        <v>SLake_2025</v>
      </c>
      <c r="D928" s="32">
        <v>3</v>
      </c>
      <c r="E928" s="32">
        <v>6</v>
      </c>
      <c r="F928" s="32">
        <v>5</v>
      </c>
      <c r="G928" s="32">
        <v>37</v>
      </c>
      <c r="H928">
        <v>70.220890711424772</v>
      </c>
    </row>
    <row r="929" spans="1:8" x14ac:dyDescent="0.25">
      <c r="A929" s="31" t="s">
        <v>13</v>
      </c>
      <c r="B929">
        <v>2025</v>
      </c>
      <c r="C929" t="str">
        <f t="shared" si="14"/>
        <v>Walsh_2025</v>
      </c>
      <c r="D929" s="32">
        <v>1</v>
      </c>
      <c r="E929" s="36">
        <v>9</v>
      </c>
      <c r="F929" s="36">
        <v>2</v>
      </c>
      <c r="G929" s="32">
        <v>37</v>
      </c>
      <c r="H929">
        <v>68.603040000000007</v>
      </c>
    </row>
    <row r="930" spans="1:8" x14ac:dyDescent="0.25">
      <c r="A930" s="31" t="s">
        <v>13</v>
      </c>
      <c r="B930">
        <v>2025</v>
      </c>
      <c r="C930" t="str">
        <f t="shared" si="14"/>
        <v>Walsh_2025</v>
      </c>
      <c r="D930" s="32">
        <v>2</v>
      </c>
      <c r="E930" s="36">
        <v>4</v>
      </c>
      <c r="F930" s="36">
        <v>3</v>
      </c>
      <c r="G930" s="32">
        <v>37</v>
      </c>
      <c r="H930">
        <v>72.454139999999981</v>
      </c>
    </row>
    <row r="931" spans="1:8" x14ac:dyDescent="0.25">
      <c r="A931" s="31" t="s">
        <v>13</v>
      </c>
      <c r="B931">
        <v>2025</v>
      </c>
      <c r="C931" t="str">
        <f t="shared" si="14"/>
        <v>Walsh_2025</v>
      </c>
      <c r="D931" s="32">
        <v>3</v>
      </c>
      <c r="E931" s="36">
        <v>10</v>
      </c>
      <c r="F931" s="36">
        <v>6</v>
      </c>
      <c r="G931" s="32">
        <v>37</v>
      </c>
      <c r="H931">
        <v>60.074629999999999</v>
      </c>
    </row>
    <row r="932" spans="1:8" x14ac:dyDescent="0.25">
      <c r="A932" t="s">
        <v>7</v>
      </c>
      <c r="B932">
        <v>2025</v>
      </c>
      <c r="C932" t="str">
        <f t="shared" si="14"/>
        <v>Akron_2025</v>
      </c>
      <c r="D932" s="11">
        <v>1</v>
      </c>
      <c r="E932" s="11">
        <v>10</v>
      </c>
      <c r="F932" s="11">
        <v>4</v>
      </c>
      <c r="G932" s="11">
        <v>37</v>
      </c>
      <c r="H932">
        <v>50.439903614457819</v>
      </c>
    </row>
    <row r="933" spans="1:8" x14ac:dyDescent="0.25">
      <c r="A933" t="s">
        <v>7</v>
      </c>
      <c r="B933">
        <v>2025</v>
      </c>
      <c r="C933" t="str">
        <f t="shared" si="14"/>
        <v>Akron_2025</v>
      </c>
      <c r="D933" s="11">
        <v>2</v>
      </c>
      <c r="E933" s="11">
        <v>12</v>
      </c>
      <c r="F933" s="11">
        <v>6</v>
      </c>
      <c r="G933" s="11">
        <v>37</v>
      </c>
      <c r="H933">
        <v>48.093357774108952</v>
      </c>
    </row>
    <row r="934" spans="1:8" x14ac:dyDescent="0.25">
      <c r="A934" t="s">
        <v>7</v>
      </c>
      <c r="B934">
        <v>2025</v>
      </c>
      <c r="C934" t="str">
        <f t="shared" si="14"/>
        <v>Akron_2025</v>
      </c>
      <c r="D934" s="11">
        <v>3</v>
      </c>
      <c r="E934" s="11">
        <v>1</v>
      </c>
      <c r="F934" s="11">
        <v>10</v>
      </c>
      <c r="G934" s="11">
        <v>37</v>
      </c>
      <c r="H934">
        <v>44.120137223746923</v>
      </c>
    </row>
    <row r="935" spans="1:8" x14ac:dyDescent="0.25">
      <c r="A935" s="31" t="s">
        <v>156</v>
      </c>
      <c r="B935">
        <v>2025</v>
      </c>
      <c r="C935" t="str">
        <f t="shared" si="14"/>
        <v>Genoa_2025</v>
      </c>
      <c r="D935" s="32">
        <v>1</v>
      </c>
      <c r="E935" s="32">
        <v>10</v>
      </c>
      <c r="F935" s="32">
        <v>1</v>
      </c>
      <c r="G935" s="32">
        <v>37</v>
      </c>
      <c r="H935">
        <v>43.633296562364393</v>
      </c>
    </row>
    <row r="936" spans="1:8" x14ac:dyDescent="0.25">
      <c r="A936" s="31" t="s">
        <v>156</v>
      </c>
      <c r="B936">
        <v>2025</v>
      </c>
      <c r="C936" t="str">
        <f t="shared" si="14"/>
        <v>Genoa_2025</v>
      </c>
      <c r="D936" s="32">
        <v>2</v>
      </c>
      <c r="E936" s="32">
        <v>16</v>
      </c>
      <c r="F936" s="32">
        <v>3</v>
      </c>
      <c r="G936" s="32">
        <v>37</v>
      </c>
      <c r="H936">
        <v>58.805264934188308</v>
      </c>
    </row>
    <row r="937" spans="1:8" x14ac:dyDescent="0.25">
      <c r="A937" s="31" t="s">
        <v>156</v>
      </c>
      <c r="B937">
        <v>2025</v>
      </c>
      <c r="C937" t="str">
        <f t="shared" si="14"/>
        <v>Genoa_2025</v>
      </c>
      <c r="D937" s="32">
        <v>3</v>
      </c>
      <c r="E937" s="32">
        <v>3</v>
      </c>
      <c r="F937" s="32">
        <v>6</v>
      </c>
      <c r="G937" s="32">
        <v>37</v>
      </c>
      <c r="H937">
        <v>56.834530461124196</v>
      </c>
    </row>
    <row r="938" spans="1:8" x14ac:dyDescent="0.25">
      <c r="A938" s="31" t="s">
        <v>10</v>
      </c>
      <c r="B938">
        <v>2025</v>
      </c>
      <c r="C938" t="str">
        <f t="shared" si="14"/>
        <v>Julesburg_2025</v>
      </c>
      <c r="D938" s="32">
        <v>1</v>
      </c>
      <c r="E938" s="32">
        <v>6</v>
      </c>
      <c r="F938" s="32">
        <v>1</v>
      </c>
      <c r="G938" s="32">
        <v>37</v>
      </c>
      <c r="H938">
        <v>60.811526616541336</v>
      </c>
    </row>
    <row r="939" spans="1:8" x14ac:dyDescent="0.25">
      <c r="A939" s="31" t="s">
        <v>10</v>
      </c>
      <c r="B939">
        <v>2025</v>
      </c>
      <c r="C939" t="str">
        <f t="shared" si="14"/>
        <v>Julesburg_2025</v>
      </c>
      <c r="D939" s="32">
        <v>2</v>
      </c>
      <c r="E939" s="32">
        <v>7</v>
      </c>
      <c r="F939" s="32">
        <v>5</v>
      </c>
      <c r="G939" s="32">
        <v>37</v>
      </c>
      <c r="H939">
        <v>48.603251612903222</v>
      </c>
    </row>
    <row r="940" spans="1:8" x14ac:dyDescent="0.25">
      <c r="A940" s="31" t="s">
        <v>10</v>
      </c>
      <c r="B940">
        <v>2025</v>
      </c>
      <c r="C940" t="str">
        <f t="shared" si="14"/>
        <v>Julesburg_2025</v>
      </c>
      <c r="D940" s="32">
        <v>3</v>
      </c>
      <c r="E940" s="32">
        <v>5</v>
      </c>
      <c r="F940" s="32">
        <v>10</v>
      </c>
      <c r="G940" s="32">
        <v>37</v>
      </c>
      <c r="H940">
        <v>58.676849082256958</v>
      </c>
    </row>
    <row r="941" spans="1:8" x14ac:dyDescent="0.25">
      <c r="A941" s="31" t="s">
        <v>11</v>
      </c>
      <c r="B941">
        <v>2025</v>
      </c>
      <c r="C941" t="str">
        <f t="shared" si="14"/>
        <v>Orchard_2025</v>
      </c>
      <c r="D941" s="32">
        <v>1</v>
      </c>
      <c r="E941" s="32">
        <v>1</v>
      </c>
      <c r="F941" s="32">
        <v>2</v>
      </c>
      <c r="G941" s="11">
        <v>37</v>
      </c>
      <c r="H941">
        <v>23.317292710762665</v>
      </c>
    </row>
    <row r="942" spans="1:8" x14ac:dyDescent="0.25">
      <c r="A942" s="31" t="s">
        <v>11</v>
      </c>
      <c r="B942">
        <v>2025</v>
      </c>
      <c r="C942" t="str">
        <f t="shared" si="14"/>
        <v>Orchard_2025</v>
      </c>
      <c r="D942" s="32">
        <v>2</v>
      </c>
      <c r="E942" s="32">
        <v>16</v>
      </c>
      <c r="F942" s="32">
        <v>4</v>
      </c>
      <c r="G942" s="11">
        <v>37</v>
      </c>
      <c r="H942">
        <v>19.166686487290022</v>
      </c>
    </row>
    <row r="943" spans="1:8" x14ac:dyDescent="0.25">
      <c r="A943" s="31" t="s">
        <v>11</v>
      </c>
      <c r="B943">
        <v>2025</v>
      </c>
      <c r="C943" t="str">
        <f t="shared" si="14"/>
        <v>Orchard_2025</v>
      </c>
      <c r="D943" s="32">
        <v>3</v>
      </c>
      <c r="E943" s="32">
        <v>17</v>
      </c>
      <c r="F943" s="32">
        <v>7</v>
      </c>
      <c r="G943" s="11">
        <v>37</v>
      </c>
      <c r="H943">
        <v>23.381978607083429</v>
      </c>
    </row>
    <row r="944" spans="1:8" x14ac:dyDescent="0.25">
      <c r="A944" t="s">
        <v>160</v>
      </c>
      <c r="B944">
        <v>2025</v>
      </c>
      <c r="C944" t="str">
        <f t="shared" si="14"/>
        <v>Yuma_2025</v>
      </c>
      <c r="D944" s="11">
        <v>1</v>
      </c>
      <c r="E944" s="36">
        <v>25</v>
      </c>
      <c r="F944" s="36">
        <v>2</v>
      </c>
      <c r="G944" s="32">
        <v>37</v>
      </c>
      <c r="H944">
        <v>92.174033898305083</v>
      </c>
    </row>
    <row r="945" spans="1:8" x14ac:dyDescent="0.25">
      <c r="A945" t="s">
        <v>160</v>
      </c>
      <c r="B945">
        <v>2025</v>
      </c>
      <c r="C945" t="str">
        <f t="shared" si="14"/>
        <v>Yuma_2025</v>
      </c>
      <c r="D945" s="11">
        <v>2</v>
      </c>
      <c r="E945" s="36">
        <v>14</v>
      </c>
      <c r="F945" s="36">
        <v>3</v>
      </c>
      <c r="G945" s="32">
        <v>37</v>
      </c>
      <c r="H945">
        <v>83.228636513700877</v>
      </c>
    </row>
    <row r="946" spans="1:8" x14ac:dyDescent="0.25">
      <c r="A946" t="s">
        <v>160</v>
      </c>
      <c r="B946">
        <v>2025</v>
      </c>
      <c r="C946" t="str">
        <f t="shared" si="14"/>
        <v>Yuma_2025</v>
      </c>
      <c r="D946" s="11">
        <v>3</v>
      </c>
      <c r="E946" s="36">
        <v>5</v>
      </c>
      <c r="F946" s="36">
        <v>5</v>
      </c>
      <c r="G946" s="32">
        <v>37</v>
      </c>
      <c r="H946">
        <v>88.091040719605374</v>
      </c>
    </row>
    <row r="947" spans="1:8" x14ac:dyDescent="0.25">
      <c r="A947" s="31" t="s">
        <v>116</v>
      </c>
      <c r="B947">
        <v>2025</v>
      </c>
      <c r="C947" t="str">
        <f t="shared" si="14"/>
        <v>Burlington_2025</v>
      </c>
      <c r="D947" s="32">
        <v>1</v>
      </c>
      <c r="E947" s="32">
        <v>9</v>
      </c>
      <c r="F947" s="32">
        <v>2</v>
      </c>
      <c r="G947" s="32">
        <v>40</v>
      </c>
      <c r="H947">
        <v>58.878203999999997</v>
      </c>
    </row>
    <row r="948" spans="1:8" x14ac:dyDescent="0.25">
      <c r="A948" s="31" t="s">
        <v>116</v>
      </c>
      <c r="B948">
        <v>2025</v>
      </c>
      <c r="C948" t="str">
        <f t="shared" si="14"/>
        <v>Burlington_2025</v>
      </c>
      <c r="D948" s="32">
        <v>2</v>
      </c>
      <c r="E948" s="32">
        <v>8</v>
      </c>
      <c r="F948" s="32">
        <v>8</v>
      </c>
      <c r="G948" s="32">
        <v>40</v>
      </c>
      <c r="H948">
        <v>67.309728915662632</v>
      </c>
    </row>
    <row r="949" spans="1:8" x14ac:dyDescent="0.25">
      <c r="A949" s="31" t="s">
        <v>116</v>
      </c>
      <c r="B949">
        <v>2025</v>
      </c>
      <c r="C949" t="str">
        <f t="shared" si="14"/>
        <v>Burlington_2025</v>
      </c>
      <c r="D949" s="32">
        <v>3</v>
      </c>
      <c r="E949" s="32">
        <v>6</v>
      </c>
      <c r="F949" s="32">
        <v>10</v>
      </c>
      <c r="G949" s="32">
        <v>40</v>
      </c>
      <c r="H949">
        <v>70.20858468187275</v>
      </c>
    </row>
    <row r="950" spans="1:8" x14ac:dyDescent="0.25">
      <c r="A950" s="34" t="s">
        <v>97</v>
      </c>
      <c r="B950">
        <v>2025</v>
      </c>
      <c r="C950" t="str">
        <f t="shared" si="14"/>
        <v>Lamar_2025</v>
      </c>
      <c r="D950" s="35">
        <v>1</v>
      </c>
      <c r="E950" s="35">
        <v>6</v>
      </c>
      <c r="F950" s="35">
        <v>2</v>
      </c>
      <c r="G950" s="35">
        <v>40</v>
      </c>
      <c r="H950">
        <v>70.648981655351719</v>
      </c>
    </row>
    <row r="951" spans="1:8" x14ac:dyDescent="0.25">
      <c r="A951" s="34" t="s">
        <v>97</v>
      </c>
      <c r="B951">
        <v>2025</v>
      </c>
      <c r="C951" t="str">
        <f t="shared" si="14"/>
        <v>Lamar_2025</v>
      </c>
      <c r="D951" s="35">
        <v>2</v>
      </c>
      <c r="E951" s="35">
        <v>7</v>
      </c>
      <c r="F951" s="35">
        <v>4</v>
      </c>
      <c r="G951" s="35">
        <v>40</v>
      </c>
      <c r="H951">
        <v>74.425978906999035</v>
      </c>
    </row>
    <row r="952" spans="1:8" x14ac:dyDescent="0.25">
      <c r="A952" s="34" t="s">
        <v>97</v>
      </c>
      <c r="B952">
        <v>2025</v>
      </c>
      <c r="C952" t="str">
        <f t="shared" si="14"/>
        <v>Lamar_2025</v>
      </c>
      <c r="D952" s="35">
        <v>3</v>
      </c>
      <c r="E952" s="35">
        <v>2</v>
      </c>
      <c r="F952" s="35">
        <v>5</v>
      </c>
      <c r="G952" s="35">
        <v>40</v>
      </c>
      <c r="H952">
        <v>76.56522255192877</v>
      </c>
    </row>
    <row r="953" spans="1:8" x14ac:dyDescent="0.25">
      <c r="A953" s="31" t="s">
        <v>132</v>
      </c>
      <c r="B953">
        <v>2025</v>
      </c>
      <c r="C953" t="str">
        <f t="shared" si="14"/>
        <v>SLake_2025</v>
      </c>
      <c r="D953" s="32">
        <v>1</v>
      </c>
      <c r="E953" s="32">
        <v>9</v>
      </c>
      <c r="F953" s="32">
        <v>2</v>
      </c>
      <c r="G953" s="32">
        <v>40</v>
      </c>
      <c r="H953">
        <v>66.934424569692879</v>
      </c>
    </row>
    <row r="954" spans="1:8" x14ac:dyDescent="0.25">
      <c r="A954" s="31" t="s">
        <v>132</v>
      </c>
      <c r="B954">
        <v>2025</v>
      </c>
      <c r="C954" t="str">
        <f t="shared" si="14"/>
        <v>SLake_2025</v>
      </c>
      <c r="D954" s="32">
        <v>2</v>
      </c>
      <c r="E954" s="32">
        <v>19</v>
      </c>
      <c r="F954" s="32">
        <v>3</v>
      </c>
      <c r="G954" s="32">
        <v>40</v>
      </c>
      <c r="H954">
        <v>74.680959552495693</v>
      </c>
    </row>
    <row r="955" spans="1:8" x14ac:dyDescent="0.25">
      <c r="A955" s="31" t="s">
        <v>132</v>
      </c>
      <c r="B955">
        <v>2025</v>
      </c>
      <c r="C955" t="str">
        <f t="shared" si="14"/>
        <v>SLake_2025</v>
      </c>
      <c r="D955" s="32">
        <v>3</v>
      </c>
      <c r="E955" s="32">
        <v>16</v>
      </c>
      <c r="F955" s="32">
        <v>6</v>
      </c>
      <c r="G955" s="32">
        <v>40</v>
      </c>
      <c r="H955">
        <v>63.585942510472336</v>
      </c>
    </row>
    <row r="956" spans="1:8" x14ac:dyDescent="0.25">
      <c r="A956" s="31" t="s">
        <v>13</v>
      </c>
      <c r="B956">
        <v>2025</v>
      </c>
      <c r="C956" t="str">
        <f t="shared" si="14"/>
        <v>Walsh_2025</v>
      </c>
      <c r="D956" s="32">
        <v>1</v>
      </c>
      <c r="E956" s="36">
        <v>11</v>
      </c>
      <c r="F956" s="36">
        <v>1</v>
      </c>
      <c r="G956" s="32">
        <v>40</v>
      </c>
      <c r="H956">
        <v>80.600849999999994</v>
      </c>
    </row>
    <row r="957" spans="1:8" x14ac:dyDescent="0.25">
      <c r="A957" s="31" t="s">
        <v>13</v>
      </c>
      <c r="B957">
        <v>2025</v>
      </c>
      <c r="C957" t="str">
        <f t="shared" si="14"/>
        <v>Walsh_2025</v>
      </c>
      <c r="D957" s="32">
        <v>2</v>
      </c>
      <c r="E957" s="36">
        <v>16</v>
      </c>
      <c r="F957" s="36">
        <v>4</v>
      </c>
      <c r="G957" s="32">
        <v>40</v>
      </c>
      <c r="H957">
        <v>62.79619499999999</v>
      </c>
    </row>
    <row r="958" spans="1:8" x14ac:dyDescent="0.25">
      <c r="A958" s="31" t="s">
        <v>13</v>
      </c>
      <c r="B958">
        <v>2025</v>
      </c>
      <c r="C958" t="str">
        <f t="shared" si="14"/>
        <v>Walsh_2025</v>
      </c>
      <c r="D958" s="32">
        <v>3</v>
      </c>
      <c r="E958" s="36">
        <v>3</v>
      </c>
      <c r="F958" s="36">
        <v>5</v>
      </c>
      <c r="G958" s="32">
        <v>40</v>
      </c>
      <c r="H958">
        <v>60.678639999999994</v>
      </c>
    </row>
    <row r="959" spans="1:8" x14ac:dyDescent="0.25">
      <c r="A959" t="s">
        <v>7</v>
      </c>
      <c r="B959">
        <v>2025</v>
      </c>
      <c r="C959" t="str">
        <f t="shared" si="14"/>
        <v>Akron_2025</v>
      </c>
      <c r="D959" s="11">
        <v>1</v>
      </c>
      <c r="E959" s="11">
        <v>11</v>
      </c>
      <c r="F959" s="11">
        <v>2</v>
      </c>
      <c r="G959" s="11">
        <v>40</v>
      </c>
      <c r="H959">
        <v>46.873214848143974</v>
      </c>
    </row>
    <row r="960" spans="1:8" x14ac:dyDescent="0.25">
      <c r="A960" t="s">
        <v>7</v>
      </c>
      <c r="B960">
        <v>2025</v>
      </c>
      <c r="C960" t="str">
        <f t="shared" si="14"/>
        <v>Akron_2025</v>
      </c>
      <c r="D960" s="11">
        <v>2</v>
      </c>
      <c r="E960" s="11">
        <v>5</v>
      </c>
      <c r="F960" s="11">
        <v>7</v>
      </c>
      <c r="G960" s="11">
        <v>40</v>
      </c>
      <c r="H960">
        <v>48.958062799616499</v>
      </c>
    </row>
    <row r="961" spans="1:8" x14ac:dyDescent="0.25">
      <c r="A961" t="s">
        <v>7</v>
      </c>
      <c r="B961">
        <v>2025</v>
      </c>
      <c r="C961" t="str">
        <f t="shared" si="14"/>
        <v>Akron_2025</v>
      </c>
      <c r="D961" s="11">
        <v>3</v>
      </c>
      <c r="E961" s="11">
        <v>6</v>
      </c>
      <c r="F961" s="11">
        <v>12</v>
      </c>
      <c r="G961" s="11">
        <v>40</v>
      </c>
      <c r="H961">
        <v>40.508346092734357</v>
      </c>
    </row>
    <row r="962" spans="1:8" x14ac:dyDescent="0.25">
      <c r="A962" s="31" t="s">
        <v>156</v>
      </c>
      <c r="B962">
        <v>2025</v>
      </c>
      <c r="C962" t="str">
        <f t="shared" si="14"/>
        <v>Genoa_2025</v>
      </c>
      <c r="D962" s="32">
        <v>1</v>
      </c>
      <c r="E962" s="32">
        <v>26</v>
      </c>
      <c r="F962" s="32">
        <v>1</v>
      </c>
      <c r="G962" s="32">
        <v>40</v>
      </c>
      <c r="H962">
        <v>58.575055686803907</v>
      </c>
    </row>
    <row r="963" spans="1:8" x14ac:dyDescent="0.25">
      <c r="A963" s="31" t="s">
        <v>156</v>
      </c>
      <c r="B963">
        <v>2025</v>
      </c>
      <c r="C963" t="str">
        <f t="shared" ref="C963:C1026" si="15">A963&amp;"_"&amp;B963</f>
        <v>Genoa_2025</v>
      </c>
      <c r="D963" s="32">
        <v>2</v>
      </c>
      <c r="E963" s="32">
        <v>7</v>
      </c>
      <c r="F963" s="32">
        <v>4</v>
      </c>
      <c r="G963" s="32">
        <v>40</v>
      </c>
      <c r="H963">
        <v>42.320218504609073</v>
      </c>
    </row>
    <row r="964" spans="1:8" x14ac:dyDescent="0.25">
      <c r="A964" s="31" t="s">
        <v>156</v>
      </c>
      <c r="B964">
        <v>2025</v>
      </c>
      <c r="C964" t="str">
        <f t="shared" si="15"/>
        <v>Genoa_2025</v>
      </c>
      <c r="D964" s="32">
        <v>3</v>
      </c>
      <c r="E964" s="32">
        <v>6</v>
      </c>
      <c r="F964" s="32">
        <v>6</v>
      </c>
      <c r="G964" s="32">
        <v>40</v>
      </c>
      <c r="H964">
        <v>32.192446506707689</v>
      </c>
    </row>
    <row r="965" spans="1:8" x14ac:dyDescent="0.25">
      <c r="A965" s="31" t="s">
        <v>10</v>
      </c>
      <c r="B965">
        <v>2025</v>
      </c>
      <c r="C965" t="str">
        <f t="shared" si="15"/>
        <v>Julesburg_2025</v>
      </c>
      <c r="D965" s="32">
        <v>1</v>
      </c>
      <c r="E965" s="32">
        <v>13</v>
      </c>
      <c r="F965" s="32">
        <v>1</v>
      </c>
      <c r="G965" s="32">
        <v>40</v>
      </c>
      <c r="H965">
        <v>60.799199999999985</v>
      </c>
    </row>
    <row r="966" spans="1:8" x14ac:dyDescent="0.25">
      <c r="A966" s="31" t="s">
        <v>10</v>
      </c>
      <c r="B966">
        <v>2025</v>
      </c>
      <c r="C966" t="str">
        <f t="shared" si="15"/>
        <v>Julesburg_2025</v>
      </c>
      <c r="D966" s="32">
        <v>2</v>
      </c>
      <c r="E966" s="32">
        <v>1</v>
      </c>
      <c r="F966" s="32">
        <v>8</v>
      </c>
      <c r="G966" s="32">
        <v>40</v>
      </c>
      <c r="H966">
        <v>46.988167143341897</v>
      </c>
    </row>
    <row r="967" spans="1:8" x14ac:dyDescent="0.25">
      <c r="A967" s="31" t="s">
        <v>10</v>
      </c>
      <c r="B967">
        <v>2025</v>
      </c>
      <c r="C967" t="str">
        <f t="shared" si="15"/>
        <v>Julesburg_2025</v>
      </c>
      <c r="D967" s="32">
        <v>3</v>
      </c>
      <c r="E967" s="32">
        <v>12</v>
      </c>
      <c r="F967" s="32">
        <v>9</v>
      </c>
      <c r="G967" s="32">
        <v>40</v>
      </c>
      <c r="H967">
        <v>58.532635351089581</v>
      </c>
    </row>
    <row r="968" spans="1:8" x14ac:dyDescent="0.25">
      <c r="A968" s="31" t="s">
        <v>11</v>
      </c>
      <c r="B968">
        <v>2025</v>
      </c>
      <c r="C968" t="str">
        <f t="shared" si="15"/>
        <v>Orchard_2025</v>
      </c>
      <c r="D968" s="32">
        <v>1</v>
      </c>
      <c r="E968" s="32">
        <v>8</v>
      </c>
      <c r="F968" s="32">
        <v>3</v>
      </c>
      <c r="G968" s="11">
        <v>40</v>
      </c>
      <c r="H968">
        <v>17.38102529960053</v>
      </c>
    </row>
    <row r="969" spans="1:8" x14ac:dyDescent="0.25">
      <c r="A969" s="31" t="s">
        <v>11</v>
      </c>
      <c r="B969">
        <v>2025</v>
      </c>
      <c r="C969" t="str">
        <f t="shared" si="15"/>
        <v>Orchard_2025</v>
      </c>
      <c r="D969" s="32">
        <v>2</v>
      </c>
      <c r="E969" s="32">
        <v>10</v>
      </c>
      <c r="F969" s="32">
        <v>6</v>
      </c>
      <c r="G969" s="11">
        <v>40</v>
      </c>
      <c r="H969">
        <v>19.624274036590108</v>
      </c>
    </row>
    <row r="970" spans="1:8" x14ac:dyDescent="0.25">
      <c r="A970" s="31" t="s">
        <v>11</v>
      </c>
      <c r="B970">
        <v>2025</v>
      </c>
      <c r="C970" t="str">
        <f t="shared" si="15"/>
        <v>Orchard_2025</v>
      </c>
      <c r="D970" s="32">
        <v>3</v>
      </c>
      <c r="E970" s="32">
        <v>18</v>
      </c>
      <c r="F970" s="32">
        <v>7</v>
      </c>
      <c r="G970" s="11">
        <v>40</v>
      </c>
      <c r="H970">
        <v>28.960712146422626</v>
      </c>
    </row>
    <row r="971" spans="1:8" x14ac:dyDescent="0.25">
      <c r="A971" t="s">
        <v>160</v>
      </c>
      <c r="B971">
        <v>2025</v>
      </c>
      <c r="C971" t="str">
        <f t="shared" si="15"/>
        <v>Yuma_2025</v>
      </c>
      <c r="D971" s="11">
        <v>1</v>
      </c>
      <c r="E971" s="36">
        <v>5</v>
      </c>
      <c r="F971" s="36">
        <v>1</v>
      </c>
      <c r="G971" s="32">
        <v>40</v>
      </c>
      <c r="H971">
        <v>91.764754733218567</v>
      </c>
    </row>
    <row r="972" spans="1:8" x14ac:dyDescent="0.25">
      <c r="A972" t="s">
        <v>160</v>
      </c>
      <c r="B972">
        <v>2025</v>
      </c>
      <c r="C972" t="str">
        <f t="shared" si="15"/>
        <v>Yuma_2025</v>
      </c>
      <c r="D972" s="11">
        <v>2</v>
      </c>
      <c r="E972" s="36">
        <v>1</v>
      </c>
      <c r="F972" s="36">
        <v>4</v>
      </c>
      <c r="G972" s="32">
        <v>40</v>
      </c>
      <c r="H972">
        <v>84.693635741184522</v>
      </c>
    </row>
    <row r="973" spans="1:8" x14ac:dyDescent="0.25">
      <c r="A973" t="s">
        <v>160</v>
      </c>
      <c r="B973">
        <v>2025</v>
      </c>
      <c r="C973" t="str">
        <f t="shared" si="15"/>
        <v>Yuma_2025</v>
      </c>
      <c r="D973" s="11">
        <v>3</v>
      </c>
      <c r="E973" s="36">
        <v>19</v>
      </c>
      <c r="F973" s="36">
        <v>6</v>
      </c>
      <c r="G973" s="32">
        <v>40</v>
      </c>
      <c r="H973">
        <v>89.318114707008789</v>
      </c>
    </row>
    <row r="974" spans="1:8" x14ac:dyDescent="0.25">
      <c r="A974" s="31" t="s">
        <v>116</v>
      </c>
      <c r="B974">
        <v>2025</v>
      </c>
      <c r="C974" t="str">
        <f t="shared" si="15"/>
        <v>Burlington_2025</v>
      </c>
      <c r="D974" s="32">
        <v>1</v>
      </c>
      <c r="E974" s="32">
        <v>2</v>
      </c>
      <c r="F974" s="32">
        <v>2</v>
      </c>
      <c r="G974" s="32">
        <v>41</v>
      </c>
      <c r="H974">
        <v>43.247980285714277</v>
      </c>
    </row>
    <row r="975" spans="1:8" x14ac:dyDescent="0.25">
      <c r="A975" s="31" t="s">
        <v>116</v>
      </c>
      <c r="B975">
        <v>2025</v>
      </c>
      <c r="C975" t="str">
        <f t="shared" si="15"/>
        <v>Burlington_2025</v>
      </c>
      <c r="D975" s="32">
        <v>2</v>
      </c>
      <c r="E975" s="32">
        <v>1</v>
      </c>
      <c r="F975" s="32">
        <v>8</v>
      </c>
      <c r="G975" s="32">
        <v>41</v>
      </c>
      <c r="H975">
        <v>50.878005593803785</v>
      </c>
    </row>
    <row r="976" spans="1:8" x14ac:dyDescent="0.25">
      <c r="A976" s="31" t="s">
        <v>116</v>
      </c>
      <c r="B976">
        <v>2025</v>
      </c>
      <c r="C976" t="str">
        <f t="shared" si="15"/>
        <v>Burlington_2025</v>
      </c>
      <c r="D976" s="32">
        <v>3</v>
      </c>
      <c r="E976" s="32">
        <v>5</v>
      </c>
      <c r="F976" s="32">
        <v>9</v>
      </c>
      <c r="G976" s="32">
        <v>41</v>
      </c>
      <c r="H976">
        <v>55.026993250084374</v>
      </c>
    </row>
    <row r="977" spans="1:8" x14ac:dyDescent="0.25">
      <c r="A977" s="34" t="s">
        <v>97</v>
      </c>
      <c r="B977">
        <v>2025</v>
      </c>
      <c r="C977" t="str">
        <f t="shared" si="15"/>
        <v>Lamar_2025</v>
      </c>
      <c r="D977" s="35">
        <v>1</v>
      </c>
      <c r="E977" s="35">
        <v>19</v>
      </c>
      <c r="F977" s="35">
        <v>2</v>
      </c>
      <c r="G977" s="35">
        <v>41</v>
      </c>
      <c r="H977">
        <v>69.771094901054454</v>
      </c>
    </row>
    <row r="978" spans="1:8" x14ac:dyDescent="0.25">
      <c r="A978" s="34" t="s">
        <v>97</v>
      </c>
      <c r="B978">
        <v>2025</v>
      </c>
      <c r="C978" t="str">
        <f t="shared" si="15"/>
        <v>Lamar_2025</v>
      </c>
      <c r="D978" s="35">
        <v>2</v>
      </c>
      <c r="E978" s="35">
        <v>6</v>
      </c>
      <c r="F978" s="35">
        <v>4</v>
      </c>
      <c r="G978" s="35">
        <v>41</v>
      </c>
    </row>
    <row r="979" spans="1:8" x14ac:dyDescent="0.25">
      <c r="A979" s="34" t="s">
        <v>97</v>
      </c>
      <c r="B979">
        <v>2025</v>
      </c>
      <c r="C979" t="str">
        <f t="shared" si="15"/>
        <v>Lamar_2025</v>
      </c>
      <c r="D979" s="35">
        <v>3</v>
      </c>
      <c r="E979" s="35">
        <v>17</v>
      </c>
      <c r="F979" s="35">
        <v>5</v>
      </c>
      <c r="G979" s="35">
        <v>41</v>
      </c>
      <c r="H979">
        <v>68.58348452734208</v>
      </c>
    </row>
    <row r="980" spans="1:8" x14ac:dyDescent="0.25">
      <c r="A980" s="31" t="s">
        <v>132</v>
      </c>
      <c r="B980">
        <v>2025</v>
      </c>
      <c r="C980" t="str">
        <f t="shared" si="15"/>
        <v>SLake_2025</v>
      </c>
      <c r="D980" s="32">
        <v>1</v>
      </c>
      <c r="E980" s="32">
        <v>20</v>
      </c>
      <c r="F980" s="32">
        <v>1</v>
      </c>
      <c r="G980" s="32">
        <v>41</v>
      </c>
      <c r="H980">
        <v>61.60352683091461</v>
      </c>
    </row>
    <row r="981" spans="1:8" x14ac:dyDescent="0.25">
      <c r="A981" s="31" t="s">
        <v>132</v>
      </c>
      <c r="B981">
        <v>2025</v>
      </c>
      <c r="C981" t="str">
        <f t="shared" si="15"/>
        <v>SLake_2025</v>
      </c>
      <c r="D981" s="32">
        <v>2</v>
      </c>
      <c r="E981" s="32">
        <v>5</v>
      </c>
      <c r="F981" s="32">
        <v>4</v>
      </c>
      <c r="G981" s="32">
        <v>41</v>
      </c>
      <c r="H981">
        <v>63.945195070868444</v>
      </c>
    </row>
    <row r="982" spans="1:8" x14ac:dyDescent="0.25">
      <c r="A982" s="31" t="s">
        <v>132</v>
      </c>
      <c r="B982">
        <v>2025</v>
      </c>
      <c r="C982" t="str">
        <f t="shared" si="15"/>
        <v>SLake_2025</v>
      </c>
      <c r="D982" s="32">
        <v>3</v>
      </c>
      <c r="E982" s="32">
        <v>16</v>
      </c>
      <c r="F982" s="32">
        <v>5</v>
      </c>
      <c r="G982" s="32">
        <v>41</v>
      </c>
      <c r="H982">
        <v>64.274753957657822</v>
      </c>
    </row>
    <row r="983" spans="1:8" x14ac:dyDescent="0.25">
      <c r="A983" s="31" t="s">
        <v>13</v>
      </c>
      <c r="B983">
        <v>2025</v>
      </c>
      <c r="C983" t="str">
        <f t="shared" si="15"/>
        <v>Walsh_2025</v>
      </c>
      <c r="D983" s="32">
        <v>1</v>
      </c>
      <c r="E983" s="36">
        <v>21</v>
      </c>
      <c r="F983" s="36">
        <v>1</v>
      </c>
      <c r="G983" s="32">
        <v>41</v>
      </c>
    </row>
    <row r="984" spans="1:8" x14ac:dyDescent="0.25">
      <c r="A984" s="31" t="s">
        <v>13</v>
      </c>
      <c r="B984">
        <v>2025</v>
      </c>
      <c r="C984" t="str">
        <f t="shared" si="15"/>
        <v>Walsh_2025</v>
      </c>
      <c r="D984" s="32">
        <v>2</v>
      </c>
      <c r="E984" s="36">
        <v>18</v>
      </c>
      <c r="F984" s="36">
        <v>3</v>
      </c>
      <c r="G984" s="32">
        <v>41</v>
      </c>
      <c r="H984">
        <v>68.888819999999996</v>
      </c>
    </row>
    <row r="985" spans="1:8" x14ac:dyDescent="0.25">
      <c r="A985" s="31" t="s">
        <v>13</v>
      </c>
      <c r="B985">
        <v>2025</v>
      </c>
      <c r="C985" t="str">
        <f t="shared" si="15"/>
        <v>Walsh_2025</v>
      </c>
      <c r="D985" s="32">
        <v>3</v>
      </c>
      <c r="E985" s="36">
        <v>13</v>
      </c>
      <c r="F985" s="36">
        <v>6</v>
      </c>
      <c r="G985" s="32">
        <v>41</v>
      </c>
      <c r="H985">
        <v>60.607634999999995</v>
      </c>
    </row>
    <row r="986" spans="1:8" x14ac:dyDescent="0.25">
      <c r="A986" t="s">
        <v>7</v>
      </c>
      <c r="B986">
        <v>2025</v>
      </c>
      <c r="C986" t="str">
        <f t="shared" si="15"/>
        <v>Akron_2025</v>
      </c>
      <c r="D986" s="11">
        <v>1</v>
      </c>
      <c r="E986" s="11">
        <v>3</v>
      </c>
      <c r="F986" s="11">
        <v>4</v>
      </c>
      <c r="G986" s="11">
        <v>41</v>
      </c>
      <c r="H986">
        <v>38.691059749200882</v>
      </c>
    </row>
    <row r="987" spans="1:8" x14ac:dyDescent="0.25">
      <c r="A987" t="s">
        <v>7</v>
      </c>
      <c r="B987">
        <v>2025</v>
      </c>
      <c r="C987" t="str">
        <f t="shared" si="15"/>
        <v>Akron_2025</v>
      </c>
      <c r="D987" s="11">
        <v>2</v>
      </c>
      <c r="E987" s="11">
        <v>6</v>
      </c>
      <c r="F987" s="11">
        <v>8</v>
      </c>
      <c r="G987" s="11">
        <v>41</v>
      </c>
      <c r="H987">
        <v>37.028885123686884</v>
      </c>
    </row>
    <row r="988" spans="1:8" x14ac:dyDescent="0.25">
      <c r="A988" t="s">
        <v>7</v>
      </c>
      <c r="B988">
        <v>2025</v>
      </c>
      <c r="C988" t="str">
        <f t="shared" si="15"/>
        <v>Akron_2025</v>
      </c>
      <c r="D988" s="11">
        <v>3</v>
      </c>
      <c r="E988" s="11">
        <v>1</v>
      </c>
      <c r="F988" s="11">
        <v>12</v>
      </c>
      <c r="G988" s="11">
        <v>41</v>
      </c>
      <c r="H988">
        <v>28.695842842698251</v>
      </c>
    </row>
    <row r="989" spans="1:8" x14ac:dyDescent="0.25">
      <c r="A989" s="31" t="s">
        <v>156</v>
      </c>
      <c r="B989">
        <v>2025</v>
      </c>
      <c r="C989" t="str">
        <f t="shared" si="15"/>
        <v>Genoa_2025</v>
      </c>
      <c r="D989" s="32">
        <v>1</v>
      </c>
      <c r="E989" s="32">
        <v>24</v>
      </c>
      <c r="F989" s="32">
        <v>2</v>
      </c>
      <c r="G989" s="32">
        <v>41</v>
      </c>
      <c r="H989">
        <v>44.935218106199819</v>
      </c>
    </row>
    <row r="990" spans="1:8" x14ac:dyDescent="0.25">
      <c r="A990" s="31" t="s">
        <v>156</v>
      </c>
      <c r="B990">
        <v>2025</v>
      </c>
      <c r="C990" t="str">
        <f t="shared" si="15"/>
        <v>Genoa_2025</v>
      </c>
      <c r="D990" s="32">
        <v>2</v>
      </c>
      <c r="E990" s="32">
        <v>12</v>
      </c>
      <c r="F990" s="32">
        <v>3</v>
      </c>
      <c r="G990" s="32">
        <v>41</v>
      </c>
      <c r="H990">
        <v>44.802810134516172</v>
      </c>
    </row>
    <row r="991" spans="1:8" x14ac:dyDescent="0.25">
      <c r="A991" s="31" t="s">
        <v>156</v>
      </c>
      <c r="B991">
        <v>2025</v>
      </c>
      <c r="C991" t="str">
        <f t="shared" si="15"/>
        <v>Genoa_2025</v>
      </c>
      <c r="D991" s="32">
        <v>3</v>
      </c>
      <c r="E991" s="32">
        <v>15</v>
      </c>
      <c r="F991" s="32">
        <v>5</v>
      </c>
      <c r="G991" s="32">
        <v>41</v>
      </c>
      <c r="H991">
        <v>48.176144307960151</v>
      </c>
    </row>
    <row r="992" spans="1:8" x14ac:dyDescent="0.25">
      <c r="A992" s="31" t="s">
        <v>10</v>
      </c>
      <c r="B992">
        <v>2025</v>
      </c>
      <c r="C992" t="str">
        <f t="shared" si="15"/>
        <v>Julesburg_2025</v>
      </c>
      <c r="D992" s="32">
        <v>1</v>
      </c>
      <c r="E992" s="32">
        <v>6</v>
      </c>
      <c r="F992" s="32">
        <v>2</v>
      </c>
      <c r="G992" s="32">
        <v>41</v>
      </c>
      <c r="H992">
        <v>59.090830564784042</v>
      </c>
    </row>
    <row r="993" spans="1:8" x14ac:dyDescent="0.25">
      <c r="A993" s="31" t="s">
        <v>10</v>
      </c>
      <c r="B993">
        <v>2025</v>
      </c>
      <c r="C993" t="str">
        <f t="shared" si="15"/>
        <v>Julesburg_2025</v>
      </c>
      <c r="D993" s="32">
        <v>2</v>
      </c>
      <c r="E993" s="32">
        <v>9</v>
      </c>
      <c r="F993" s="32">
        <v>7</v>
      </c>
      <c r="G993" s="32">
        <v>41</v>
      </c>
      <c r="H993">
        <v>47.604762224352832</v>
      </c>
    </row>
    <row r="994" spans="1:8" x14ac:dyDescent="0.25">
      <c r="A994" s="31" t="s">
        <v>10</v>
      </c>
      <c r="B994">
        <v>2025</v>
      </c>
      <c r="C994" t="str">
        <f t="shared" si="15"/>
        <v>Julesburg_2025</v>
      </c>
      <c r="D994" s="32">
        <v>3</v>
      </c>
      <c r="E994" s="32">
        <v>11</v>
      </c>
      <c r="F994" s="32">
        <v>12</v>
      </c>
      <c r="G994" s="32">
        <v>41</v>
      </c>
      <c r="H994">
        <v>64.358074725274705</v>
      </c>
    </row>
    <row r="995" spans="1:8" x14ac:dyDescent="0.25">
      <c r="A995" s="31" t="s">
        <v>11</v>
      </c>
      <c r="B995">
        <v>2025</v>
      </c>
      <c r="C995" t="str">
        <f t="shared" si="15"/>
        <v>Orchard_2025</v>
      </c>
      <c r="D995" s="32">
        <v>1</v>
      </c>
      <c r="E995" s="32">
        <v>3</v>
      </c>
      <c r="F995" s="32">
        <v>3</v>
      </c>
      <c r="G995" s="11">
        <v>41</v>
      </c>
      <c r="H995">
        <v>27.281966901274487</v>
      </c>
    </row>
    <row r="996" spans="1:8" x14ac:dyDescent="0.25">
      <c r="A996" s="31" t="s">
        <v>11</v>
      </c>
      <c r="B996">
        <v>2025</v>
      </c>
      <c r="C996" t="str">
        <f t="shared" si="15"/>
        <v>Orchard_2025</v>
      </c>
      <c r="D996" s="32">
        <v>2</v>
      </c>
      <c r="E996" s="32">
        <v>17</v>
      </c>
      <c r="F996" s="32">
        <v>6</v>
      </c>
      <c r="G996" s="11">
        <v>41</v>
      </c>
      <c r="H996">
        <v>16.952064032697546</v>
      </c>
    </row>
    <row r="997" spans="1:8" x14ac:dyDescent="0.25">
      <c r="A997" s="31" t="s">
        <v>11</v>
      </c>
      <c r="B997">
        <v>2025</v>
      </c>
      <c r="C997" t="str">
        <f t="shared" si="15"/>
        <v>Orchard_2025</v>
      </c>
      <c r="D997" s="32">
        <v>3</v>
      </c>
      <c r="E997" s="32">
        <v>18</v>
      </c>
      <c r="F997" s="32">
        <v>9</v>
      </c>
      <c r="G997" s="11">
        <v>41</v>
      </c>
      <c r="H997">
        <v>24.310994838770771</v>
      </c>
    </row>
    <row r="998" spans="1:8" x14ac:dyDescent="0.25">
      <c r="A998" t="s">
        <v>160</v>
      </c>
      <c r="B998">
        <v>2025</v>
      </c>
      <c r="C998" t="str">
        <f t="shared" si="15"/>
        <v>Yuma_2025</v>
      </c>
      <c r="D998" s="11">
        <v>1</v>
      </c>
      <c r="E998" s="36">
        <v>9</v>
      </c>
      <c r="F998" s="36">
        <v>2</v>
      </c>
      <c r="G998" s="32">
        <v>41</v>
      </c>
      <c r="H998">
        <v>87.81266440677966</v>
      </c>
    </row>
    <row r="999" spans="1:8" x14ac:dyDescent="0.25">
      <c r="A999" t="s">
        <v>160</v>
      </c>
      <c r="B999">
        <v>2025</v>
      </c>
      <c r="C999" t="str">
        <f t="shared" si="15"/>
        <v>Yuma_2025</v>
      </c>
      <c r="D999" s="11">
        <v>2</v>
      </c>
      <c r="E999" s="36">
        <v>26</v>
      </c>
      <c r="F999" s="36">
        <v>3</v>
      </c>
      <c r="G999" s="32">
        <v>41</v>
      </c>
      <c r="H999">
        <v>67.897854077253214</v>
      </c>
    </row>
    <row r="1000" spans="1:8" x14ac:dyDescent="0.25">
      <c r="A1000" t="s">
        <v>160</v>
      </c>
      <c r="B1000">
        <v>2025</v>
      </c>
      <c r="C1000" t="str">
        <f t="shared" si="15"/>
        <v>Yuma_2025</v>
      </c>
      <c r="D1000" s="11">
        <v>3</v>
      </c>
      <c r="E1000" s="36">
        <v>17</v>
      </c>
      <c r="F1000" s="36">
        <v>5</v>
      </c>
      <c r="G1000" s="32">
        <v>41</v>
      </c>
      <c r="H1000">
        <v>75.59007640971079</v>
      </c>
    </row>
    <row r="1001" spans="1:8" x14ac:dyDescent="0.25">
      <c r="A1001" s="31" t="s">
        <v>116</v>
      </c>
      <c r="B1001">
        <v>2025</v>
      </c>
      <c r="C1001" t="str">
        <f t="shared" si="15"/>
        <v>Burlington_2025</v>
      </c>
      <c r="D1001" s="32">
        <v>1</v>
      </c>
      <c r="E1001" s="32">
        <v>1</v>
      </c>
      <c r="F1001" s="32">
        <v>4</v>
      </c>
      <c r="G1001" s="32">
        <v>42</v>
      </c>
      <c r="H1001">
        <v>62.616771084337344</v>
      </c>
    </row>
    <row r="1002" spans="1:8" x14ac:dyDescent="0.25">
      <c r="A1002" s="31" t="s">
        <v>116</v>
      </c>
      <c r="B1002">
        <v>2025</v>
      </c>
      <c r="C1002" t="str">
        <f t="shared" si="15"/>
        <v>Burlington_2025</v>
      </c>
      <c r="D1002" s="32">
        <v>2</v>
      </c>
      <c r="E1002" s="32">
        <v>9</v>
      </c>
      <c r="F1002" s="32">
        <v>5</v>
      </c>
      <c r="G1002" s="32">
        <v>42</v>
      </c>
    </row>
    <row r="1003" spans="1:8" x14ac:dyDescent="0.25">
      <c r="A1003" s="31" t="s">
        <v>116</v>
      </c>
      <c r="B1003">
        <v>2025</v>
      </c>
      <c r="C1003" t="str">
        <f t="shared" si="15"/>
        <v>Burlington_2025</v>
      </c>
      <c r="D1003" s="32">
        <v>3</v>
      </c>
      <c r="E1003" s="32">
        <v>2</v>
      </c>
      <c r="F1003" s="32">
        <v>11</v>
      </c>
      <c r="G1003" s="32">
        <v>42</v>
      </c>
      <c r="H1003">
        <v>67.393095000000002</v>
      </c>
    </row>
    <row r="1004" spans="1:8" x14ac:dyDescent="0.25">
      <c r="A1004" s="34" t="s">
        <v>97</v>
      </c>
      <c r="B1004">
        <v>2025</v>
      </c>
      <c r="C1004" t="str">
        <f t="shared" si="15"/>
        <v>Lamar_2025</v>
      </c>
      <c r="D1004" s="35">
        <v>1</v>
      </c>
      <c r="E1004" s="35">
        <v>13</v>
      </c>
      <c r="F1004" s="35">
        <v>2</v>
      </c>
      <c r="G1004" s="35">
        <v>42</v>
      </c>
      <c r="H1004">
        <v>78.362296692185438</v>
      </c>
    </row>
    <row r="1005" spans="1:8" x14ac:dyDescent="0.25">
      <c r="A1005" s="34" t="s">
        <v>97</v>
      </c>
      <c r="B1005">
        <v>2025</v>
      </c>
      <c r="C1005" t="str">
        <f t="shared" si="15"/>
        <v>Lamar_2025</v>
      </c>
      <c r="D1005" s="35">
        <v>2</v>
      </c>
      <c r="E1005" s="35">
        <v>3</v>
      </c>
      <c r="F1005" s="35">
        <v>4</v>
      </c>
      <c r="G1005" s="35">
        <v>42</v>
      </c>
      <c r="H1005">
        <v>72.419022051773723</v>
      </c>
    </row>
    <row r="1006" spans="1:8" x14ac:dyDescent="0.25">
      <c r="A1006" s="34" t="s">
        <v>97</v>
      </c>
      <c r="B1006">
        <v>2025</v>
      </c>
      <c r="C1006" t="str">
        <f t="shared" si="15"/>
        <v>Lamar_2025</v>
      </c>
      <c r="D1006" s="35">
        <v>3</v>
      </c>
      <c r="E1006" s="35">
        <v>5</v>
      </c>
      <c r="F1006" s="35">
        <v>5</v>
      </c>
      <c r="G1006" s="35">
        <v>42</v>
      </c>
      <c r="H1006">
        <v>74.389936413734631</v>
      </c>
    </row>
    <row r="1007" spans="1:8" x14ac:dyDescent="0.25">
      <c r="A1007" s="31" t="s">
        <v>132</v>
      </c>
      <c r="B1007">
        <v>2025</v>
      </c>
      <c r="C1007" t="str">
        <f t="shared" si="15"/>
        <v>SLake_2025</v>
      </c>
      <c r="D1007" s="32">
        <v>1</v>
      </c>
      <c r="E1007" s="32">
        <v>10</v>
      </c>
      <c r="F1007" s="32">
        <v>1</v>
      </c>
      <c r="G1007" s="32">
        <v>42</v>
      </c>
      <c r="H1007">
        <v>64.004805457788919</v>
      </c>
    </row>
    <row r="1008" spans="1:8" x14ac:dyDescent="0.25">
      <c r="A1008" s="31" t="s">
        <v>132</v>
      </c>
      <c r="B1008">
        <v>2025</v>
      </c>
      <c r="C1008" t="str">
        <f t="shared" si="15"/>
        <v>SLake_2025</v>
      </c>
      <c r="D1008" s="32">
        <v>2</v>
      </c>
      <c r="E1008" s="32">
        <v>13</v>
      </c>
      <c r="F1008" s="32">
        <v>4</v>
      </c>
      <c r="G1008" s="32">
        <v>42</v>
      </c>
      <c r="H1008">
        <v>67.349510496322637</v>
      </c>
    </row>
    <row r="1009" spans="1:8" x14ac:dyDescent="0.25">
      <c r="A1009" s="31" t="s">
        <v>132</v>
      </c>
      <c r="B1009">
        <v>2025</v>
      </c>
      <c r="C1009" t="str">
        <f t="shared" si="15"/>
        <v>SLake_2025</v>
      </c>
      <c r="D1009" s="32">
        <v>3</v>
      </c>
      <c r="E1009" s="32">
        <v>21</v>
      </c>
      <c r="F1009" s="32">
        <v>6</v>
      </c>
      <c r="G1009" s="32">
        <v>42</v>
      </c>
      <c r="H1009">
        <v>59.414300158890647</v>
      </c>
    </row>
    <row r="1010" spans="1:8" x14ac:dyDescent="0.25">
      <c r="A1010" s="31" t="s">
        <v>13</v>
      </c>
      <c r="B1010">
        <v>2025</v>
      </c>
      <c r="C1010" t="str">
        <f t="shared" si="15"/>
        <v>Walsh_2025</v>
      </c>
      <c r="D1010" s="32">
        <v>1</v>
      </c>
      <c r="E1010" s="36">
        <v>13</v>
      </c>
      <c r="F1010" s="36">
        <v>2</v>
      </c>
      <c r="G1010" s="32">
        <v>42</v>
      </c>
      <c r="H1010">
        <v>68.127289999999988</v>
      </c>
    </row>
    <row r="1011" spans="1:8" x14ac:dyDescent="0.25">
      <c r="A1011" s="31" t="s">
        <v>13</v>
      </c>
      <c r="B1011">
        <v>2025</v>
      </c>
      <c r="C1011" t="str">
        <f t="shared" si="15"/>
        <v>Walsh_2025</v>
      </c>
      <c r="D1011" s="32">
        <v>2</v>
      </c>
      <c r="E1011" s="36">
        <v>8</v>
      </c>
      <c r="F1011" s="36">
        <v>3</v>
      </c>
      <c r="G1011" s="32">
        <v>42</v>
      </c>
      <c r="H1011">
        <v>70.618019999999987</v>
      </c>
    </row>
    <row r="1012" spans="1:8" x14ac:dyDescent="0.25">
      <c r="A1012" s="31" t="s">
        <v>13</v>
      </c>
      <c r="B1012">
        <v>2025</v>
      </c>
      <c r="C1012" t="str">
        <f t="shared" si="15"/>
        <v>Walsh_2025</v>
      </c>
      <c r="D1012" s="32">
        <v>3</v>
      </c>
      <c r="E1012" s="36">
        <v>2</v>
      </c>
      <c r="F1012" s="36">
        <v>5</v>
      </c>
      <c r="G1012" s="32">
        <v>42</v>
      </c>
      <c r="H1012">
        <v>62.124479999999998</v>
      </c>
    </row>
    <row r="1013" spans="1:8" x14ac:dyDescent="0.25">
      <c r="A1013" t="s">
        <v>7</v>
      </c>
      <c r="B1013">
        <v>2025</v>
      </c>
      <c r="C1013" t="str">
        <f t="shared" si="15"/>
        <v>Akron_2025</v>
      </c>
      <c r="D1013" s="11">
        <v>1</v>
      </c>
      <c r="E1013" s="11">
        <v>1</v>
      </c>
      <c r="F1013" s="11">
        <v>1</v>
      </c>
      <c r="G1013" s="11">
        <v>42</v>
      </c>
      <c r="H1013">
        <v>54.166433823529403</v>
      </c>
    </row>
    <row r="1014" spans="1:8" x14ac:dyDescent="0.25">
      <c r="A1014" t="s">
        <v>7</v>
      </c>
      <c r="B1014">
        <v>2025</v>
      </c>
      <c r="C1014" t="str">
        <f t="shared" si="15"/>
        <v>Akron_2025</v>
      </c>
      <c r="D1014" s="11">
        <v>2</v>
      </c>
      <c r="E1014" s="11">
        <v>5</v>
      </c>
      <c r="F1014" s="11">
        <v>8</v>
      </c>
      <c r="G1014" s="11">
        <v>42</v>
      </c>
      <c r="H1014">
        <v>47.889027448322608</v>
      </c>
    </row>
    <row r="1015" spans="1:8" x14ac:dyDescent="0.25">
      <c r="A1015" t="s">
        <v>7</v>
      </c>
      <c r="B1015">
        <v>2025</v>
      </c>
      <c r="C1015" t="str">
        <f t="shared" si="15"/>
        <v>Akron_2025</v>
      </c>
      <c r="D1015" s="11">
        <v>3</v>
      </c>
      <c r="E1015" s="11">
        <v>8</v>
      </c>
      <c r="F1015" s="11">
        <v>10</v>
      </c>
      <c r="G1015" s="11">
        <v>42</v>
      </c>
      <c r="H1015">
        <v>46.688684096489965</v>
      </c>
    </row>
    <row r="1016" spans="1:8" x14ac:dyDescent="0.25">
      <c r="A1016" s="31" t="s">
        <v>156</v>
      </c>
      <c r="B1016">
        <v>2025</v>
      </c>
      <c r="C1016" t="str">
        <f t="shared" si="15"/>
        <v>Genoa_2025</v>
      </c>
      <c r="D1016" s="32">
        <v>1</v>
      </c>
      <c r="E1016" s="32">
        <v>6</v>
      </c>
      <c r="F1016" s="32">
        <v>2</v>
      </c>
      <c r="G1016" s="32">
        <v>42</v>
      </c>
      <c r="H1016">
        <v>37.986957829577328</v>
      </c>
    </row>
    <row r="1017" spans="1:8" x14ac:dyDescent="0.25">
      <c r="A1017" s="31" t="s">
        <v>156</v>
      </c>
      <c r="B1017">
        <v>2025</v>
      </c>
      <c r="C1017" t="str">
        <f t="shared" si="15"/>
        <v>Genoa_2025</v>
      </c>
      <c r="D1017" s="32">
        <v>2</v>
      </c>
      <c r="E1017" s="32">
        <v>22</v>
      </c>
      <c r="F1017" s="32">
        <v>3</v>
      </c>
      <c r="G1017" s="32">
        <v>42</v>
      </c>
      <c r="H1017">
        <v>49.012398389662984</v>
      </c>
    </row>
    <row r="1018" spans="1:8" x14ac:dyDescent="0.25">
      <c r="A1018" s="31" t="s">
        <v>156</v>
      </c>
      <c r="B1018">
        <v>2025</v>
      </c>
      <c r="C1018" t="str">
        <f t="shared" si="15"/>
        <v>Genoa_2025</v>
      </c>
      <c r="D1018" s="32">
        <v>3</v>
      </c>
      <c r="E1018" s="32">
        <v>24</v>
      </c>
      <c r="F1018" s="32">
        <v>6</v>
      </c>
      <c r="G1018" s="32">
        <v>42</v>
      </c>
      <c r="H1018">
        <v>41.554056354281869</v>
      </c>
    </row>
    <row r="1019" spans="1:8" x14ac:dyDescent="0.25">
      <c r="A1019" s="31" t="s">
        <v>10</v>
      </c>
      <c r="B1019">
        <v>2025</v>
      </c>
      <c r="C1019" t="str">
        <f t="shared" si="15"/>
        <v>Julesburg_2025</v>
      </c>
      <c r="D1019" s="32">
        <v>1</v>
      </c>
      <c r="E1019" s="32">
        <v>5</v>
      </c>
      <c r="F1019" s="32">
        <v>3</v>
      </c>
      <c r="G1019" s="32">
        <v>42</v>
      </c>
      <c r="H1019">
        <v>62.585743380855391</v>
      </c>
    </row>
    <row r="1020" spans="1:8" x14ac:dyDescent="0.25">
      <c r="A1020" s="31" t="s">
        <v>10</v>
      </c>
      <c r="B1020">
        <v>2025</v>
      </c>
      <c r="C1020" t="str">
        <f t="shared" si="15"/>
        <v>Julesburg_2025</v>
      </c>
      <c r="D1020" s="32">
        <v>2</v>
      </c>
      <c r="E1020" s="32">
        <v>10</v>
      </c>
      <c r="F1020" s="32">
        <v>6</v>
      </c>
      <c r="G1020" s="32">
        <v>42</v>
      </c>
      <c r="H1020">
        <v>53.842792403970641</v>
      </c>
    </row>
    <row r="1021" spans="1:8" x14ac:dyDescent="0.25">
      <c r="A1021" s="31" t="s">
        <v>10</v>
      </c>
      <c r="B1021">
        <v>2025</v>
      </c>
      <c r="C1021" t="str">
        <f t="shared" si="15"/>
        <v>Julesburg_2025</v>
      </c>
      <c r="D1021" s="32">
        <v>3</v>
      </c>
      <c r="E1021" s="32">
        <v>1</v>
      </c>
      <c r="F1021" s="32">
        <v>10</v>
      </c>
      <c r="G1021" s="32">
        <v>42</v>
      </c>
      <c r="H1021">
        <v>36.657016606778662</v>
      </c>
    </row>
    <row r="1022" spans="1:8" x14ac:dyDescent="0.25">
      <c r="A1022" s="31" t="s">
        <v>11</v>
      </c>
      <c r="B1022">
        <v>2025</v>
      </c>
      <c r="C1022" t="str">
        <f t="shared" si="15"/>
        <v>Orchard_2025</v>
      </c>
      <c r="D1022" s="32">
        <v>1</v>
      </c>
      <c r="E1022" s="32">
        <v>4</v>
      </c>
      <c r="F1022" s="32">
        <v>3</v>
      </c>
      <c r="G1022" s="11">
        <v>42</v>
      </c>
      <c r="H1022">
        <v>23.822522351150845</v>
      </c>
    </row>
    <row r="1023" spans="1:8" x14ac:dyDescent="0.25">
      <c r="A1023" s="31" t="s">
        <v>11</v>
      </c>
      <c r="B1023">
        <v>2025</v>
      </c>
      <c r="C1023" t="str">
        <f t="shared" si="15"/>
        <v>Orchard_2025</v>
      </c>
      <c r="D1023" s="32">
        <v>2</v>
      </c>
      <c r="E1023" s="32">
        <v>6</v>
      </c>
      <c r="F1023" s="32">
        <v>5</v>
      </c>
      <c r="G1023" s="11">
        <v>42</v>
      </c>
      <c r="H1023">
        <v>20.6941813131555</v>
      </c>
    </row>
    <row r="1024" spans="1:8" x14ac:dyDescent="0.25">
      <c r="A1024" s="31" t="s">
        <v>11</v>
      </c>
      <c r="B1024">
        <v>2025</v>
      </c>
      <c r="C1024" t="str">
        <f t="shared" si="15"/>
        <v>Orchard_2025</v>
      </c>
      <c r="D1024" s="32">
        <v>3</v>
      </c>
      <c r="E1024" s="32">
        <v>5</v>
      </c>
      <c r="F1024" s="32">
        <v>7</v>
      </c>
      <c r="G1024" s="11">
        <v>42</v>
      </c>
      <c r="H1024">
        <v>25.724327549322552</v>
      </c>
    </row>
    <row r="1025" spans="1:8" x14ac:dyDescent="0.25">
      <c r="A1025" t="s">
        <v>160</v>
      </c>
      <c r="B1025">
        <v>2025</v>
      </c>
      <c r="C1025" t="str">
        <f t="shared" si="15"/>
        <v>Yuma_2025</v>
      </c>
      <c r="D1025">
        <v>1</v>
      </c>
      <c r="E1025" s="36">
        <v>21</v>
      </c>
      <c r="F1025" s="36">
        <v>2</v>
      </c>
      <c r="G1025" s="32">
        <v>42</v>
      </c>
      <c r="H1025">
        <v>88.548428571428573</v>
      </c>
    </row>
    <row r="1026" spans="1:8" x14ac:dyDescent="0.25">
      <c r="A1026" t="s">
        <v>160</v>
      </c>
      <c r="B1026">
        <v>2025</v>
      </c>
      <c r="C1026" t="str">
        <f t="shared" si="15"/>
        <v>Yuma_2025</v>
      </c>
      <c r="D1026">
        <v>2</v>
      </c>
      <c r="E1026" s="36">
        <v>20</v>
      </c>
      <c r="F1026" s="36">
        <v>4</v>
      </c>
      <c r="G1026" s="32">
        <v>42</v>
      </c>
      <c r="H1026">
        <v>87.254988995940721</v>
      </c>
    </row>
    <row r="1027" spans="1:8" x14ac:dyDescent="0.25">
      <c r="A1027" t="s">
        <v>160</v>
      </c>
      <c r="B1027">
        <v>2025</v>
      </c>
      <c r="C1027" t="str">
        <f t="shared" ref="C1027:C1090" si="16">A1027&amp;"_"&amp;B1027</f>
        <v>Yuma_2025</v>
      </c>
      <c r="D1027">
        <v>3</v>
      </c>
      <c r="E1027" s="36">
        <v>18</v>
      </c>
      <c r="F1027" s="36">
        <v>5</v>
      </c>
      <c r="G1027" s="32">
        <v>42</v>
      </c>
      <c r="H1027">
        <v>80.483294322468325</v>
      </c>
    </row>
    <row r="1028" spans="1:8" x14ac:dyDescent="0.25">
      <c r="A1028" s="31" t="s">
        <v>116</v>
      </c>
      <c r="B1028">
        <v>2025</v>
      </c>
      <c r="C1028" t="str">
        <f t="shared" si="16"/>
        <v>Burlington_2025</v>
      </c>
      <c r="D1028" s="32">
        <v>1</v>
      </c>
      <c r="E1028" s="32">
        <v>1</v>
      </c>
      <c r="F1028" s="32">
        <v>3</v>
      </c>
      <c r="G1028" s="32">
        <v>43</v>
      </c>
      <c r="H1028">
        <v>36.18369937046004</v>
      </c>
    </row>
    <row r="1029" spans="1:8" x14ac:dyDescent="0.25">
      <c r="A1029" s="31" t="s">
        <v>116</v>
      </c>
      <c r="B1029">
        <v>2025</v>
      </c>
      <c r="C1029" t="str">
        <f t="shared" si="16"/>
        <v>Burlington_2025</v>
      </c>
      <c r="D1029" s="32">
        <v>2</v>
      </c>
      <c r="E1029" s="32">
        <v>11</v>
      </c>
      <c r="F1029" s="32">
        <v>8</v>
      </c>
      <c r="G1029" s="32">
        <v>43</v>
      </c>
      <c r="H1029">
        <v>49.793762478485363</v>
      </c>
    </row>
    <row r="1030" spans="1:8" x14ac:dyDescent="0.25">
      <c r="A1030" s="31" t="s">
        <v>116</v>
      </c>
      <c r="B1030">
        <v>2025</v>
      </c>
      <c r="C1030" t="str">
        <f t="shared" si="16"/>
        <v>Burlington_2025</v>
      </c>
      <c r="D1030" s="32">
        <v>3</v>
      </c>
      <c r="E1030" s="32">
        <v>7</v>
      </c>
      <c r="F1030" s="32">
        <v>10</v>
      </c>
      <c r="G1030" s="32">
        <v>43</v>
      </c>
      <c r="H1030">
        <v>49.311555342136849</v>
      </c>
    </row>
    <row r="1031" spans="1:8" x14ac:dyDescent="0.25">
      <c r="A1031" s="34" t="s">
        <v>97</v>
      </c>
      <c r="B1031">
        <v>2025</v>
      </c>
      <c r="C1031" t="str">
        <f t="shared" si="16"/>
        <v>Lamar_2025</v>
      </c>
      <c r="D1031" s="35">
        <v>1</v>
      </c>
      <c r="E1031" s="35">
        <v>6</v>
      </c>
      <c r="F1031" s="35">
        <v>1</v>
      </c>
      <c r="G1031" s="35">
        <v>43</v>
      </c>
      <c r="H1031">
        <v>80.889788571428554</v>
      </c>
    </row>
    <row r="1032" spans="1:8" x14ac:dyDescent="0.25">
      <c r="A1032" s="34" t="s">
        <v>97</v>
      </c>
      <c r="B1032">
        <v>2025</v>
      </c>
      <c r="C1032" t="str">
        <f t="shared" si="16"/>
        <v>Lamar_2025</v>
      </c>
      <c r="D1032" s="35">
        <v>2</v>
      </c>
      <c r="E1032" s="35">
        <v>12</v>
      </c>
      <c r="F1032" s="35">
        <v>4</v>
      </c>
      <c r="G1032" s="35">
        <v>43</v>
      </c>
      <c r="H1032">
        <v>72.208635186960663</v>
      </c>
    </row>
    <row r="1033" spans="1:8" x14ac:dyDescent="0.25">
      <c r="A1033" s="34" t="s">
        <v>97</v>
      </c>
      <c r="B1033">
        <v>2025</v>
      </c>
      <c r="C1033" t="str">
        <f t="shared" si="16"/>
        <v>Lamar_2025</v>
      </c>
      <c r="D1033" s="35">
        <v>3</v>
      </c>
      <c r="E1033" s="35">
        <v>1</v>
      </c>
      <c r="F1033" s="35">
        <v>5</v>
      </c>
      <c r="G1033" s="35">
        <v>43</v>
      </c>
      <c r="H1033">
        <v>72.670411191182694</v>
      </c>
    </row>
    <row r="1034" spans="1:8" x14ac:dyDescent="0.25">
      <c r="A1034" s="31" t="s">
        <v>132</v>
      </c>
      <c r="B1034">
        <v>2025</v>
      </c>
      <c r="C1034" t="str">
        <f t="shared" si="16"/>
        <v>SLake_2025</v>
      </c>
      <c r="D1034" s="32">
        <v>1</v>
      </c>
      <c r="E1034" s="32">
        <v>17</v>
      </c>
      <c r="F1034" s="32">
        <v>2</v>
      </c>
      <c r="G1034" s="32">
        <v>43</v>
      </c>
      <c r="H1034">
        <v>62.377493852755407</v>
      </c>
    </row>
    <row r="1035" spans="1:8" x14ac:dyDescent="0.25">
      <c r="A1035" s="31" t="s">
        <v>132</v>
      </c>
      <c r="B1035">
        <v>2025</v>
      </c>
      <c r="C1035" t="str">
        <f t="shared" si="16"/>
        <v>SLake_2025</v>
      </c>
      <c r="D1035" s="32">
        <v>2</v>
      </c>
      <c r="E1035" s="32">
        <v>14</v>
      </c>
      <c r="F1035" s="32">
        <v>4</v>
      </c>
      <c r="G1035" s="32">
        <v>43</v>
      </c>
      <c r="H1035">
        <v>65.229576737616284</v>
      </c>
    </row>
    <row r="1036" spans="1:8" x14ac:dyDescent="0.25">
      <c r="A1036" s="31" t="s">
        <v>132</v>
      </c>
      <c r="B1036">
        <v>2025</v>
      </c>
      <c r="C1036" t="str">
        <f t="shared" si="16"/>
        <v>SLake_2025</v>
      </c>
      <c r="D1036" s="32">
        <v>3</v>
      </c>
      <c r="E1036" s="32">
        <v>12</v>
      </c>
      <c r="F1036" s="32">
        <v>6</v>
      </c>
      <c r="G1036" s="32">
        <v>43</v>
      </c>
      <c r="H1036">
        <v>62.125038278203078</v>
      </c>
    </row>
    <row r="1037" spans="1:8" x14ac:dyDescent="0.25">
      <c r="A1037" s="31" t="s">
        <v>13</v>
      </c>
      <c r="B1037">
        <v>2025</v>
      </c>
      <c r="C1037" t="str">
        <f t="shared" si="16"/>
        <v>Walsh_2025</v>
      </c>
      <c r="D1037" s="32">
        <v>1</v>
      </c>
      <c r="E1037" s="36">
        <v>15</v>
      </c>
      <c r="F1037" s="36">
        <v>1</v>
      </c>
      <c r="G1037" s="32">
        <v>43</v>
      </c>
    </row>
    <row r="1038" spans="1:8" x14ac:dyDescent="0.25">
      <c r="A1038" s="31" t="s">
        <v>13</v>
      </c>
      <c r="B1038">
        <v>2025</v>
      </c>
      <c r="C1038" t="str">
        <f t="shared" si="16"/>
        <v>Walsh_2025</v>
      </c>
      <c r="D1038" s="32">
        <v>2</v>
      </c>
      <c r="E1038" s="36">
        <v>11</v>
      </c>
      <c r="F1038" s="36">
        <v>3</v>
      </c>
      <c r="G1038" s="32">
        <v>43</v>
      </c>
      <c r="H1038">
        <v>54.737100000000005</v>
      </c>
    </row>
    <row r="1039" spans="1:8" x14ac:dyDescent="0.25">
      <c r="A1039" s="31" t="s">
        <v>13</v>
      </c>
      <c r="B1039">
        <v>2025</v>
      </c>
      <c r="C1039" t="str">
        <f t="shared" si="16"/>
        <v>Walsh_2025</v>
      </c>
      <c r="D1039" s="32">
        <v>3</v>
      </c>
      <c r="E1039" s="36">
        <v>7</v>
      </c>
      <c r="F1039" s="36">
        <v>6</v>
      </c>
      <c r="G1039" s="32">
        <v>43</v>
      </c>
      <c r="H1039">
        <v>47.33014</v>
      </c>
    </row>
    <row r="1040" spans="1:8" x14ac:dyDescent="0.25">
      <c r="A1040" t="s">
        <v>7</v>
      </c>
      <c r="B1040">
        <v>2025</v>
      </c>
      <c r="C1040" t="str">
        <f t="shared" si="16"/>
        <v>Akron_2025</v>
      </c>
      <c r="D1040" s="11">
        <v>1</v>
      </c>
      <c r="E1040" s="11">
        <v>9</v>
      </c>
      <c r="F1040" s="11">
        <v>2</v>
      </c>
      <c r="G1040" s="11">
        <v>43</v>
      </c>
      <c r="H1040">
        <v>27.214153430821142</v>
      </c>
    </row>
    <row r="1041" spans="1:8" x14ac:dyDescent="0.25">
      <c r="A1041" t="s">
        <v>7</v>
      </c>
      <c r="B1041">
        <v>2025</v>
      </c>
      <c r="C1041" t="str">
        <f t="shared" si="16"/>
        <v>Akron_2025</v>
      </c>
      <c r="D1041" s="11">
        <v>2</v>
      </c>
      <c r="E1041" s="11">
        <v>1</v>
      </c>
      <c r="F1041" s="11">
        <v>8</v>
      </c>
      <c r="G1041" s="11">
        <v>43</v>
      </c>
      <c r="H1041">
        <v>26.160020332090816</v>
      </c>
    </row>
    <row r="1042" spans="1:8" x14ac:dyDescent="0.25">
      <c r="A1042" t="s">
        <v>7</v>
      </c>
      <c r="B1042">
        <v>2025</v>
      </c>
      <c r="C1042" t="str">
        <f t="shared" si="16"/>
        <v>Akron_2025</v>
      </c>
      <c r="D1042" s="11">
        <v>3</v>
      </c>
      <c r="E1042" s="11">
        <v>7</v>
      </c>
      <c r="F1042" s="11">
        <v>12</v>
      </c>
      <c r="G1042" s="11">
        <v>43</v>
      </c>
      <c r="H1042">
        <v>15.933427704752273</v>
      </c>
    </row>
    <row r="1043" spans="1:8" x14ac:dyDescent="0.25">
      <c r="A1043" s="31" t="s">
        <v>156</v>
      </c>
      <c r="B1043">
        <v>2025</v>
      </c>
      <c r="C1043" t="str">
        <f t="shared" si="16"/>
        <v>Genoa_2025</v>
      </c>
      <c r="D1043" s="32">
        <v>1</v>
      </c>
      <c r="E1043" s="32">
        <v>19</v>
      </c>
      <c r="F1043" s="32">
        <v>1</v>
      </c>
      <c r="G1043" s="32">
        <v>43</v>
      </c>
      <c r="H1043">
        <v>44.314349356347336</v>
      </c>
    </row>
    <row r="1044" spans="1:8" x14ac:dyDescent="0.25">
      <c r="A1044" s="31" t="s">
        <v>156</v>
      </c>
      <c r="B1044">
        <v>2025</v>
      </c>
      <c r="C1044" t="str">
        <f t="shared" si="16"/>
        <v>Genoa_2025</v>
      </c>
      <c r="D1044" s="32">
        <v>2</v>
      </c>
      <c r="E1044" s="32">
        <v>12</v>
      </c>
      <c r="F1044" s="32">
        <v>4</v>
      </c>
      <c r="G1044" s="32">
        <v>43</v>
      </c>
      <c r="H1044">
        <v>51.658033897478411</v>
      </c>
    </row>
    <row r="1045" spans="1:8" x14ac:dyDescent="0.25">
      <c r="A1045" s="31" t="s">
        <v>156</v>
      </c>
      <c r="B1045">
        <v>2025</v>
      </c>
      <c r="C1045" t="str">
        <f t="shared" si="16"/>
        <v>Genoa_2025</v>
      </c>
      <c r="D1045" s="32">
        <v>3</v>
      </c>
      <c r="E1045" s="32">
        <v>9</v>
      </c>
      <c r="F1045" s="32">
        <v>5</v>
      </c>
      <c r="G1045" s="32">
        <v>43</v>
      </c>
      <c r="H1045">
        <v>38.902241029113064</v>
      </c>
    </row>
    <row r="1046" spans="1:8" x14ac:dyDescent="0.25">
      <c r="A1046" s="31" t="s">
        <v>10</v>
      </c>
      <c r="B1046">
        <v>2025</v>
      </c>
      <c r="C1046" t="str">
        <f t="shared" si="16"/>
        <v>Julesburg_2025</v>
      </c>
      <c r="D1046" s="32">
        <v>1</v>
      </c>
      <c r="E1046" s="32">
        <v>5</v>
      </c>
      <c r="F1046" s="32">
        <v>1</v>
      </c>
      <c r="G1046" s="32">
        <v>43</v>
      </c>
      <c r="H1046">
        <v>54.405953684210516</v>
      </c>
    </row>
    <row r="1047" spans="1:8" x14ac:dyDescent="0.25">
      <c r="A1047" s="31" t="s">
        <v>10</v>
      </c>
      <c r="B1047">
        <v>2025</v>
      </c>
      <c r="C1047" t="str">
        <f t="shared" si="16"/>
        <v>Julesburg_2025</v>
      </c>
      <c r="D1047" s="32">
        <v>2</v>
      </c>
      <c r="E1047" s="32">
        <v>6</v>
      </c>
      <c r="F1047" s="32">
        <v>6</v>
      </c>
      <c r="G1047" s="32">
        <v>43</v>
      </c>
      <c r="H1047">
        <v>59.545402244281391</v>
      </c>
    </row>
    <row r="1048" spans="1:8" x14ac:dyDescent="0.25">
      <c r="A1048" s="31" t="s">
        <v>10</v>
      </c>
      <c r="B1048">
        <v>2025</v>
      </c>
      <c r="C1048" t="str">
        <f t="shared" si="16"/>
        <v>Julesburg_2025</v>
      </c>
      <c r="D1048" s="32">
        <v>3</v>
      </c>
      <c r="E1048" s="32">
        <v>8</v>
      </c>
      <c r="F1048" s="32">
        <v>12</v>
      </c>
      <c r="G1048" s="32">
        <v>43</v>
      </c>
      <c r="H1048">
        <v>57.185185054945052</v>
      </c>
    </row>
    <row r="1049" spans="1:8" x14ac:dyDescent="0.25">
      <c r="A1049" s="31" t="s">
        <v>11</v>
      </c>
      <c r="B1049">
        <v>2025</v>
      </c>
      <c r="C1049" t="str">
        <f t="shared" si="16"/>
        <v>Orchard_2025</v>
      </c>
      <c r="D1049" s="32">
        <v>1</v>
      </c>
      <c r="E1049" s="32">
        <v>11</v>
      </c>
      <c r="F1049" s="32">
        <v>3</v>
      </c>
      <c r="G1049" s="11">
        <v>43</v>
      </c>
      <c r="H1049">
        <v>19.12463619935324</v>
      </c>
    </row>
    <row r="1050" spans="1:8" x14ac:dyDescent="0.25">
      <c r="A1050" s="31" t="s">
        <v>11</v>
      </c>
      <c r="B1050">
        <v>2025</v>
      </c>
      <c r="C1050" t="str">
        <f t="shared" si="16"/>
        <v>Orchard_2025</v>
      </c>
      <c r="D1050" s="32">
        <v>2</v>
      </c>
      <c r="E1050" s="32">
        <v>6</v>
      </c>
      <c r="F1050" s="32">
        <v>6</v>
      </c>
      <c r="G1050" s="11">
        <v>43</v>
      </c>
      <c r="H1050">
        <v>19.097192487349162</v>
      </c>
    </row>
    <row r="1051" spans="1:8" x14ac:dyDescent="0.25">
      <c r="A1051" s="31" t="s">
        <v>11</v>
      </c>
      <c r="B1051">
        <v>2025</v>
      </c>
      <c r="C1051" t="str">
        <f t="shared" si="16"/>
        <v>Orchard_2025</v>
      </c>
      <c r="D1051" s="32">
        <v>3</v>
      </c>
      <c r="E1051" s="32">
        <v>9</v>
      </c>
      <c r="F1051" s="32">
        <v>9</v>
      </c>
      <c r="G1051" s="11">
        <v>43</v>
      </c>
      <c r="H1051">
        <v>19.906036270656745</v>
      </c>
    </row>
    <row r="1052" spans="1:8" x14ac:dyDescent="0.25">
      <c r="A1052" t="s">
        <v>160</v>
      </c>
      <c r="B1052">
        <v>2025</v>
      </c>
      <c r="C1052" t="str">
        <f t="shared" si="16"/>
        <v>Yuma_2025</v>
      </c>
      <c r="D1052">
        <v>1</v>
      </c>
      <c r="E1052" s="36">
        <v>11</v>
      </c>
      <c r="F1052" s="36">
        <v>2</v>
      </c>
      <c r="G1052" s="32">
        <v>43</v>
      </c>
      <c r="H1052">
        <v>78.241737530266349</v>
      </c>
    </row>
    <row r="1053" spans="1:8" x14ac:dyDescent="0.25">
      <c r="A1053" t="s">
        <v>160</v>
      </c>
      <c r="B1053">
        <v>2025</v>
      </c>
      <c r="C1053" t="str">
        <f t="shared" si="16"/>
        <v>Yuma_2025</v>
      </c>
      <c r="D1053">
        <v>2</v>
      </c>
      <c r="E1053" s="36">
        <v>1</v>
      </c>
      <c r="F1053" s="36">
        <v>3</v>
      </c>
      <c r="G1053" s="32">
        <v>43</v>
      </c>
      <c r="H1053">
        <v>69.028722350610749</v>
      </c>
    </row>
    <row r="1054" spans="1:8" x14ac:dyDescent="0.25">
      <c r="A1054" t="s">
        <v>160</v>
      </c>
      <c r="B1054">
        <v>2025</v>
      </c>
      <c r="C1054" t="str">
        <f t="shared" si="16"/>
        <v>Yuma_2025</v>
      </c>
      <c r="D1054">
        <v>3</v>
      </c>
      <c r="E1054" s="36">
        <v>22</v>
      </c>
      <c r="F1054" s="36">
        <v>5</v>
      </c>
      <c r="G1054" s="32">
        <v>43</v>
      </c>
      <c r="H1054">
        <v>68.999715639810404</v>
      </c>
    </row>
    <row r="1055" spans="1:8" x14ac:dyDescent="0.25">
      <c r="A1055" s="31" t="s">
        <v>116</v>
      </c>
      <c r="B1055">
        <v>2025</v>
      </c>
      <c r="C1055" t="str">
        <f t="shared" si="16"/>
        <v>Burlington_2025</v>
      </c>
      <c r="D1055" s="32">
        <v>1</v>
      </c>
      <c r="E1055" s="32">
        <v>5</v>
      </c>
      <c r="F1055" s="32">
        <v>2</v>
      </c>
      <c r="G1055" s="32">
        <v>44</v>
      </c>
      <c r="H1055">
        <v>41.854767428571421</v>
      </c>
    </row>
    <row r="1056" spans="1:8" x14ac:dyDescent="0.25">
      <c r="A1056" s="31" t="s">
        <v>116</v>
      </c>
      <c r="B1056">
        <v>2025</v>
      </c>
      <c r="C1056" t="str">
        <f t="shared" si="16"/>
        <v>Burlington_2025</v>
      </c>
      <c r="D1056" s="32">
        <v>2</v>
      </c>
      <c r="E1056" s="32">
        <v>8</v>
      </c>
      <c r="F1056" s="32">
        <v>6</v>
      </c>
      <c r="G1056" s="32">
        <v>44</v>
      </c>
      <c r="H1056">
        <v>45.479978980532309</v>
      </c>
    </row>
    <row r="1057" spans="1:8" x14ac:dyDescent="0.25">
      <c r="A1057" s="31" t="s">
        <v>116</v>
      </c>
      <c r="B1057">
        <v>2025</v>
      </c>
      <c r="C1057" t="str">
        <f t="shared" si="16"/>
        <v>Burlington_2025</v>
      </c>
      <c r="D1057" s="32">
        <v>3</v>
      </c>
      <c r="E1057" s="32">
        <v>4</v>
      </c>
      <c r="F1057" s="32">
        <v>10</v>
      </c>
      <c r="G1057" s="32">
        <v>44</v>
      </c>
      <c r="H1057">
        <v>51.976896806722685</v>
      </c>
    </row>
    <row r="1058" spans="1:8" x14ac:dyDescent="0.25">
      <c r="A1058" s="34" t="s">
        <v>97</v>
      </c>
      <c r="B1058">
        <v>2025</v>
      </c>
      <c r="C1058" t="str">
        <f t="shared" si="16"/>
        <v>Lamar_2025</v>
      </c>
      <c r="D1058" s="35">
        <v>1</v>
      </c>
      <c r="E1058" s="35">
        <v>9</v>
      </c>
      <c r="F1058" s="35">
        <v>1</v>
      </c>
      <c r="G1058" s="35">
        <v>44</v>
      </c>
      <c r="H1058">
        <v>73.805160000000001</v>
      </c>
    </row>
    <row r="1059" spans="1:8" x14ac:dyDescent="0.25">
      <c r="A1059" s="34" t="s">
        <v>97</v>
      </c>
      <c r="B1059">
        <v>2025</v>
      </c>
      <c r="C1059" t="str">
        <f t="shared" si="16"/>
        <v>Lamar_2025</v>
      </c>
      <c r="D1059" s="35">
        <v>2</v>
      </c>
      <c r="E1059" s="35">
        <v>12</v>
      </c>
      <c r="F1059" s="35">
        <v>3</v>
      </c>
      <c r="G1059" s="35">
        <v>44</v>
      </c>
      <c r="H1059">
        <v>68.378252788104092</v>
      </c>
    </row>
    <row r="1060" spans="1:8" x14ac:dyDescent="0.25">
      <c r="A1060" s="34" t="s">
        <v>97</v>
      </c>
      <c r="B1060">
        <v>2025</v>
      </c>
      <c r="C1060" t="str">
        <f t="shared" si="16"/>
        <v>Lamar_2025</v>
      </c>
      <c r="D1060" s="35">
        <v>3</v>
      </c>
      <c r="E1060" s="35">
        <v>13</v>
      </c>
      <c r="F1060" s="35">
        <v>6</v>
      </c>
      <c r="G1060" s="35">
        <v>44</v>
      </c>
      <c r="H1060">
        <v>72.277836162502382</v>
      </c>
    </row>
    <row r="1061" spans="1:8" x14ac:dyDescent="0.25">
      <c r="A1061" s="31" t="s">
        <v>132</v>
      </c>
      <c r="B1061">
        <v>2025</v>
      </c>
      <c r="C1061" t="str">
        <f t="shared" si="16"/>
        <v>SLake_2025</v>
      </c>
      <c r="D1061" s="32">
        <v>1</v>
      </c>
      <c r="E1061" s="32">
        <v>3</v>
      </c>
      <c r="F1061" s="32">
        <v>1</v>
      </c>
      <c r="G1061" s="32">
        <v>44</v>
      </c>
      <c r="H1061">
        <v>63.527251337929712</v>
      </c>
    </row>
    <row r="1062" spans="1:8" x14ac:dyDescent="0.25">
      <c r="A1062" s="31" t="s">
        <v>132</v>
      </c>
      <c r="B1062">
        <v>2025</v>
      </c>
      <c r="C1062" t="str">
        <f t="shared" si="16"/>
        <v>SLake_2025</v>
      </c>
      <c r="D1062" s="32">
        <v>2</v>
      </c>
      <c r="E1062" s="32">
        <v>13</v>
      </c>
      <c r="F1062" s="32">
        <v>3</v>
      </c>
      <c r="G1062" s="32">
        <v>44</v>
      </c>
      <c r="H1062">
        <v>70.986445783132538</v>
      </c>
    </row>
    <row r="1063" spans="1:8" x14ac:dyDescent="0.25">
      <c r="A1063" s="31" t="s">
        <v>132</v>
      </c>
      <c r="B1063">
        <v>2025</v>
      </c>
      <c r="C1063" t="str">
        <f t="shared" si="16"/>
        <v>SLake_2025</v>
      </c>
      <c r="D1063" s="32">
        <v>3</v>
      </c>
      <c r="E1063" s="32">
        <v>11</v>
      </c>
      <c r="F1063" s="32">
        <v>6</v>
      </c>
      <c r="G1063" s="32">
        <v>44</v>
      </c>
      <c r="H1063">
        <v>56.145283836487067</v>
      </c>
    </row>
    <row r="1064" spans="1:8" x14ac:dyDescent="0.25">
      <c r="A1064" s="31" t="s">
        <v>13</v>
      </c>
      <c r="B1064">
        <v>2025</v>
      </c>
      <c r="C1064" t="str">
        <f t="shared" si="16"/>
        <v>Walsh_2025</v>
      </c>
      <c r="D1064" s="32">
        <v>1</v>
      </c>
      <c r="E1064" s="36">
        <v>15</v>
      </c>
      <c r="F1064" s="36">
        <v>2</v>
      </c>
      <c r="G1064" s="32">
        <v>44</v>
      </c>
      <c r="H1064">
        <v>61.27319</v>
      </c>
    </row>
    <row r="1065" spans="1:8" x14ac:dyDescent="0.25">
      <c r="A1065" s="31" t="s">
        <v>13</v>
      </c>
      <c r="B1065">
        <v>2025</v>
      </c>
      <c r="C1065" t="str">
        <f t="shared" si="16"/>
        <v>Walsh_2025</v>
      </c>
      <c r="D1065" s="32">
        <v>2</v>
      </c>
      <c r="E1065" s="36">
        <v>19</v>
      </c>
      <c r="F1065" s="36">
        <v>4</v>
      </c>
      <c r="G1065" s="32">
        <v>44</v>
      </c>
      <c r="H1065">
        <v>50.423724999999997</v>
      </c>
    </row>
    <row r="1066" spans="1:8" x14ac:dyDescent="0.25">
      <c r="A1066" s="31" t="s">
        <v>13</v>
      </c>
      <c r="B1066">
        <v>2025</v>
      </c>
      <c r="C1066" t="str">
        <f t="shared" si="16"/>
        <v>Walsh_2025</v>
      </c>
      <c r="D1066" s="32">
        <v>3</v>
      </c>
      <c r="E1066" s="36">
        <v>1</v>
      </c>
      <c r="F1066" s="36">
        <v>5</v>
      </c>
      <c r="G1066" s="32">
        <v>44</v>
      </c>
      <c r="H1066">
        <v>55.182160000000003</v>
      </c>
    </row>
    <row r="1067" spans="1:8" x14ac:dyDescent="0.25">
      <c r="A1067" t="s">
        <v>7</v>
      </c>
      <c r="B1067">
        <v>2025</v>
      </c>
      <c r="C1067" t="str">
        <f t="shared" si="16"/>
        <v>Akron_2025</v>
      </c>
      <c r="D1067" s="11">
        <v>1</v>
      </c>
      <c r="E1067" s="11">
        <v>5</v>
      </c>
      <c r="F1067" s="11">
        <v>2</v>
      </c>
      <c r="G1067" s="11">
        <v>44</v>
      </c>
      <c r="H1067">
        <v>32.962790551181101</v>
      </c>
    </row>
    <row r="1068" spans="1:8" x14ac:dyDescent="0.25">
      <c r="A1068" t="s">
        <v>7</v>
      </c>
      <c r="B1068">
        <v>2025</v>
      </c>
      <c r="C1068" t="str">
        <f t="shared" si="16"/>
        <v>Akron_2025</v>
      </c>
      <c r="D1068" s="11">
        <v>2</v>
      </c>
      <c r="E1068" s="11">
        <v>2</v>
      </c>
      <c r="F1068" s="11">
        <v>5</v>
      </c>
      <c r="G1068" s="11">
        <v>44</v>
      </c>
      <c r="H1068">
        <v>34.579214116966391</v>
      </c>
    </row>
    <row r="1069" spans="1:8" x14ac:dyDescent="0.25">
      <c r="A1069" t="s">
        <v>7</v>
      </c>
      <c r="B1069">
        <v>2025</v>
      </c>
      <c r="C1069" t="str">
        <f t="shared" si="16"/>
        <v>Akron_2025</v>
      </c>
      <c r="D1069" s="11">
        <v>3</v>
      </c>
      <c r="E1069" s="11">
        <v>13</v>
      </c>
      <c r="F1069" s="11">
        <v>12</v>
      </c>
      <c r="G1069" s="11">
        <v>44</v>
      </c>
      <c r="H1069">
        <v>29.639939332659246</v>
      </c>
    </row>
    <row r="1070" spans="1:8" x14ac:dyDescent="0.25">
      <c r="A1070" s="31" t="s">
        <v>156</v>
      </c>
      <c r="B1070">
        <v>2025</v>
      </c>
      <c r="C1070" t="str">
        <f t="shared" si="16"/>
        <v>Genoa_2025</v>
      </c>
      <c r="D1070" s="32">
        <v>1</v>
      </c>
      <c r="E1070" s="32">
        <v>16</v>
      </c>
      <c r="F1070" s="32">
        <v>1</v>
      </c>
      <c r="G1070" s="32">
        <v>44</v>
      </c>
      <c r="H1070">
        <v>50.964461115664626</v>
      </c>
    </row>
    <row r="1071" spans="1:8" x14ac:dyDescent="0.25">
      <c r="A1071" s="31" t="s">
        <v>156</v>
      </c>
      <c r="B1071">
        <v>2025</v>
      </c>
      <c r="C1071" t="str">
        <f t="shared" si="16"/>
        <v>Genoa_2025</v>
      </c>
      <c r="D1071" s="32">
        <v>2</v>
      </c>
      <c r="E1071" s="32">
        <v>7</v>
      </c>
      <c r="F1071" s="32">
        <v>3</v>
      </c>
      <c r="G1071" s="32">
        <v>44</v>
      </c>
      <c r="H1071">
        <v>38.788850103659414</v>
      </c>
    </row>
    <row r="1072" spans="1:8" x14ac:dyDescent="0.25">
      <c r="A1072" s="31" t="s">
        <v>156</v>
      </c>
      <c r="B1072">
        <v>2025</v>
      </c>
      <c r="C1072" t="str">
        <f t="shared" si="16"/>
        <v>Genoa_2025</v>
      </c>
      <c r="D1072" s="32">
        <v>3</v>
      </c>
      <c r="E1072" s="32">
        <v>25</v>
      </c>
      <c r="F1072" s="32">
        <v>5</v>
      </c>
      <c r="G1072" s="32">
        <v>44</v>
      </c>
      <c r="H1072">
        <v>42.587364977270525</v>
      </c>
    </row>
    <row r="1073" spans="1:8" x14ac:dyDescent="0.25">
      <c r="A1073" s="31" t="s">
        <v>10</v>
      </c>
      <c r="B1073">
        <v>2025</v>
      </c>
      <c r="C1073" t="str">
        <f t="shared" si="16"/>
        <v>Julesburg_2025</v>
      </c>
      <c r="D1073" s="32">
        <v>1</v>
      </c>
      <c r="E1073" s="32">
        <v>1</v>
      </c>
      <c r="F1073" s="32">
        <v>4</v>
      </c>
      <c r="G1073" s="32">
        <v>44</v>
      </c>
      <c r="H1073">
        <v>45.716101382488482</v>
      </c>
    </row>
    <row r="1074" spans="1:8" x14ac:dyDescent="0.25">
      <c r="A1074" s="31" t="s">
        <v>10</v>
      </c>
      <c r="B1074">
        <v>2025</v>
      </c>
      <c r="C1074" t="str">
        <f t="shared" si="16"/>
        <v>Julesburg_2025</v>
      </c>
      <c r="D1074" s="32">
        <v>2</v>
      </c>
      <c r="E1074" s="32">
        <v>5</v>
      </c>
      <c r="F1074" s="32">
        <v>7</v>
      </c>
      <c r="G1074" s="32">
        <v>44</v>
      </c>
      <c r="H1074">
        <v>55.00238772770853</v>
      </c>
    </row>
    <row r="1075" spans="1:8" x14ac:dyDescent="0.25">
      <c r="A1075" s="31" t="s">
        <v>10</v>
      </c>
      <c r="B1075">
        <v>2025</v>
      </c>
      <c r="C1075" t="str">
        <f t="shared" si="16"/>
        <v>Julesburg_2025</v>
      </c>
      <c r="D1075" s="32">
        <v>3</v>
      </c>
      <c r="E1075" s="32">
        <v>11</v>
      </c>
      <c r="F1075" s="32">
        <v>9</v>
      </c>
      <c r="G1075" s="32">
        <v>44</v>
      </c>
      <c r="H1075">
        <v>61.590944309927359</v>
      </c>
    </row>
    <row r="1076" spans="1:8" x14ac:dyDescent="0.25">
      <c r="A1076" s="31" t="s">
        <v>11</v>
      </c>
      <c r="B1076">
        <v>2025</v>
      </c>
      <c r="C1076" t="str">
        <f t="shared" si="16"/>
        <v>Orchard_2025</v>
      </c>
      <c r="D1076" s="32">
        <v>1</v>
      </c>
      <c r="E1076" s="32">
        <v>14</v>
      </c>
      <c r="F1076" s="32">
        <v>2</v>
      </c>
      <c r="G1076" s="11">
        <v>44</v>
      </c>
      <c r="H1076">
        <v>27.556662035428964</v>
      </c>
    </row>
    <row r="1077" spans="1:8" x14ac:dyDescent="0.25">
      <c r="A1077" s="31" t="s">
        <v>11</v>
      </c>
      <c r="B1077">
        <v>2025</v>
      </c>
      <c r="C1077" t="str">
        <f t="shared" si="16"/>
        <v>Orchard_2025</v>
      </c>
      <c r="D1077" s="32">
        <v>2</v>
      </c>
      <c r="E1077" s="32">
        <v>7</v>
      </c>
      <c r="F1077" s="32">
        <v>6</v>
      </c>
      <c r="G1077" s="11">
        <v>44</v>
      </c>
      <c r="H1077">
        <v>31.10542234332425</v>
      </c>
    </row>
    <row r="1078" spans="1:8" x14ac:dyDescent="0.25">
      <c r="A1078" s="31" t="s">
        <v>11</v>
      </c>
      <c r="B1078">
        <v>2025</v>
      </c>
      <c r="C1078" t="str">
        <f t="shared" si="16"/>
        <v>Orchard_2025</v>
      </c>
      <c r="D1078" s="32">
        <v>3</v>
      </c>
      <c r="E1078" s="32">
        <v>5</v>
      </c>
      <c r="F1078" s="32">
        <v>9</v>
      </c>
      <c r="G1078" s="11">
        <v>44</v>
      </c>
      <c r="H1078">
        <v>38.345003077797237</v>
      </c>
    </row>
    <row r="1079" spans="1:8" x14ac:dyDescent="0.25">
      <c r="A1079" t="s">
        <v>160</v>
      </c>
      <c r="B1079">
        <v>2025</v>
      </c>
      <c r="C1079" t="str">
        <f t="shared" si="16"/>
        <v>Yuma_2025</v>
      </c>
      <c r="D1079">
        <v>1</v>
      </c>
      <c r="E1079" s="36">
        <v>23</v>
      </c>
      <c r="F1079" s="36">
        <v>1</v>
      </c>
      <c r="G1079" s="32">
        <v>44</v>
      </c>
      <c r="H1079">
        <v>82.513253012048182</v>
      </c>
    </row>
    <row r="1080" spans="1:8" x14ac:dyDescent="0.25">
      <c r="A1080" t="s">
        <v>160</v>
      </c>
      <c r="B1080">
        <v>2025</v>
      </c>
      <c r="C1080" t="str">
        <f t="shared" si="16"/>
        <v>Yuma_2025</v>
      </c>
      <c r="D1080">
        <v>2</v>
      </c>
      <c r="E1080" s="36">
        <v>25</v>
      </c>
      <c r="F1080" s="36">
        <v>3</v>
      </c>
      <c r="G1080" s="32">
        <v>44</v>
      </c>
      <c r="H1080">
        <v>72.892164316370327</v>
      </c>
    </row>
    <row r="1081" spans="1:8" x14ac:dyDescent="0.25">
      <c r="A1081" t="s">
        <v>160</v>
      </c>
      <c r="B1081">
        <v>2025</v>
      </c>
      <c r="C1081" t="str">
        <f t="shared" si="16"/>
        <v>Yuma_2025</v>
      </c>
      <c r="D1081">
        <v>3</v>
      </c>
      <c r="E1081" s="36">
        <v>8</v>
      </c>
      <c r="F1081" s="36">
        <v>6</v>
      </c>
      <c r="G1081" s="32">
        <v>44</v>
      </c>
      <c r="H1081">
        <v>78.792729318268854</v>
      </c>
    </row>
    <row r="1082" spans="1:8" x14ac:dyDescent="0.25">
      <c r="A1082" s="31" t="s">
        <v>116</v>
      </c>
      <c r="B1082">
        <v>2025</v>
      </c>
      <c r="C1082" t="str">
        <f t="shared" si="16"/>
        <v>Burlington_2025</v>
      </c>
      <c r="D1082" s="32">
        <v>1</v>
      </c>
      <c r="E1082" s="32">
        <v>1</v>
      </c>
      <c r="F1082" s="32">
        <v>2</v>
      </c>
      <c r="G1082" s="32">
        <v>45</v>
      </c>
      <c r="H1082">
        <v>60.46163828571428</v>
      </c>
    </row>
    <row r="1083" spans="1:8" x14ac:dyDescent="0.25">
      <c r="A1083" s="31" t="s">
        <v>116</v>
      </c>
      <c r="B1083">
        <v>2025</v>
      </c>
      <c r="C1083" t="str">
        <f t="shared" si="16"/>
        <v>Burlington_2025</v>
      </c>
      <c r="D1083" s="32">
        <v>2</v>
      </c>
      <c r="E1083" s="32">
        <v>10</v>
      </c>
      <c r="F1083" s="32">
        <v>8</v>
      </c>
      <c r="G1083" s="32">
        <v>45</v>
      </c>
      <c r="H1083">
        <v>68.511540447504302</v>
      </c>
    </row>
    <row r="1084" spans="1:8" x14ac:dyDescent="0.25">
      <c r="A1084" s="31" t="s">
        <v>116</v>
      </c>
      <c r="B1084">
        <v>2025</v>
      </c>
      <c r="C1084" t="str">
        <f t="shared" si="16"/>
        <v>Burlington_2025</v>
      </c>
      <c r="D1084" s="32">
        <v>3</v>
      </c>
      <c r="E1084" s="32">
        <v>8</v>
      </c>
      <c r="F1084" s="32">
        <v>9</v>
      </c>
      <c r="G1084" s="32">
        <v>45</v>
      </c>
      <c r="H1084">
        <v>66.224618292271344</v>
      </c>
    </row>
    <row r="1085" spans="1:8" x14ac:dyDescent="0.25">
      <c r="A1085" s="34" t="s">
        <v>97</v>
      </c>
      <c r="B1085">
        <v>2025</v>
      </c>
      <c r="C1085" t="str">
        <f t="shared" si="16"/>
        <v>Lamar_2025</v>
      </c>
      <c r="D1085" s="35">
        <v>1</v>
      </c>
      <c r="E1085" s="35">
        <v>16</v>
      </c>
      <c r="F1085" s="35">
        <v>2</v>
      </c>
      <c r="G1085" s="35">
        <v>45</v>
      </c>
      <c r="H1085">
        <v>71.733982377581967</v>
      </c>
    </row>
    <row r="1086" spans="1:8" x14ac:dyDescent="0.25">
      <c r="A1086" s="34" t="s">
        <v>97</v>
      </c>
      <c r="B1086">
        <v>2025</v>
      </c>
      <c r="C1086" t="str">
        <f t="shared" si="16"/>
        <v>Lamar_2025</v>
      </c>
      <c r="D1086" s="35">
        <v>2</v>
      </c>
      <c r="E1086" s="35">
        <v>3</v>
      </c>
      <c r="F1086" s="35">
        <v>3</v>
      </c>
      <c r="G1086" s="35">
        <v>45</v>
      </c>
      <c r="H1086">
        <v>66.372586298459893</v>
      </c>
    </row>
    <row r="1087" spans="1:8" x14ac:dyDescent="0.25">
      <c r="A1087" s="34" t="s">
        <v>97</v>
      </c>
      <c r="B1087">
        <v>2025</v>
      </c>
      <c r="C1087" t="str">
        <f t="shared" si="16"/>
        <v>Lamar_2025</v>
      </c>
      <c r="D1087" s="35">
        <v>3</v>
      </c>
      <c r="E1087" s="35">
        <v>18</v>
      </c>
      <c r="F1087" s="35">
        <v>5</v>
      </c>
      <c r="G1087" s="35">
        <v>45</v>
      </c>
      <c r="H1087">
        <v>72.220059347181007</v>
      </c>
    </row>
    <row r="1088" spans="1:8" x14ac:dyDescent="0.25">
      <c r="A1088" s="31" t="s">
        <v>132</v>
      </c>
      <c r="B1088">
        <v>2025</v>
      </c>
      <c r="C1088" t="str">
        <f t="shared" si="16"/>
        <v>SLake_2025</v>
      </c>
      <c r="D1088" s="32">
        <v>1</v>
      </c>
      <c r="E1088" s="32">
        <v>2</v>
      </c>
      <c r="F1088" s="32">
        <v>1</v>
      </c>
      <c r="G1088" s="32">
        <v>45</v>
      </c>
      <c r="H1088">
        <v>71.440759847644742</v>
      </c>
    </row>
    <row r="1089" spans="1:8" x14ac:dyDescent="0.25">
      <c r="A1089" s="31" t="s">
        <v>132</v>
      </c>
      <c r="B1089">
        <v>2025</v>
      </c>
      <c r="C1089" t="str">
        <f t="shared" si="16"/>
        <v>SLake_2025</v>
      </c>
      <c r="D1089" s="32">
        <v>2</v>
      </c>
      <c r="E1089" s="32">
        <v>21</v>
      </c>
      <c r="F1089" s="32">
        <v>3</v>
      </c>
      <c r="G1089" s="32">
        <v>45</v>
      </c>
      <c r="H1089">
        <v>74.72838640275387</v>
      </c>
    </row>
    <row r="1090" spans="1:8" x14ac:dyDescent="0.25">
      <c r="A1090" s="31" t="s">
        <v>132</v>
      </c>
      <c r="B1090">
        <v>2025</v>
      </c>
      <c r="C1090" t="str">
        <f t="shared" si="16"/>
        <v>SLake_2025</v>
      </c>
      <c r="D1090" s="32">
        <v>3</v>
      </c>
      <c r="E1090" s="32">
        <v>5</v>
      </c>
      <c r="F1090" s="32">
        <v>6</v>
      </c>
      <c r="G1090" s="32">
        <v>45</v>
      </c>
      <c r="H1090">
        <v>62.506995522172467</v>
      </c>
    </row>
    <row r="1091" spans="1:8" x14ac:dyDescent="0.25">
      <c r="A1091" s="31" t="s">
        <v>13</v>
      </c>
      <c r="B1091">
        <v>2025</v>
      </c>
      <c r="C1091" t="str">
        <f t="shared" ref="C1091:C1135" si="17">A1091&amp;"_"&amp;B1091</f>
        <v>Walsh_2025</v>
      </c>
      <c r="D1091" s="32">
        <v>1</v>
      </c>
      <c r="E1091" s="36">
        <v>20</v>
      </c>
      <c r="F1091" s="36">
        <v>2</v>
      </c>
      <c r="G1091" s="32">
        <v>45</v>
      </c>
      <c r="H1091">
        <v>65.405339999999995</v>
      </c>
    </row>
    <row r="1092" spans="1:8" x14ac:dyDescent="0.25">
      <c r="A1092" s="31" t="s">
        <v>13</v>
      </c>
      <c r="B1092">
        <v>2025</v>
      </c>
      <c r="C1092" t="str">
        <f t="shared" si="17"/>
        <v>Walsh_2025</v>
      </c>
      <c r="D1092" s="32">
        <v>2</v>
      </c>
      <c r="E1092" s="36">
        <v>9</v>
      </c>
      <c r="F1092" s="36">
        <v>4</v>
      </c>
      <c r="G1092" s="32">
        <v>45</v>
      </c>
      <c r="H1092">
        <v>69.913799999999995</v>
      </c>
    </row>
    <row r="1093" spans="1:8" x14ac:dyDescent="0.25">
      <c r="A1093" s="31" t="s">
        <v>13</v>
      </c>
      <c r="B1093">
        <v>2025</v>
      </c>
      <c r="C1093" t="str">
        <f t="shared" si="17"/>
        <v>Walsh_2025</v>
      </c>
      <c r="D1093" s="32">
        <v>3</v>
      </c>
      <c r="E1093" s="36">
        <v>15</v>
      </c>
      <c r="F1093" s="36">
        <v>6</v>
      </c>
      <c r="G1093" s="32">
        <v>45</v>
      </c>
      <c r="H1093">
        <v>68.811049999999994</v>
      </c>
    </row>
    <row r="1094" spans="1:8" x14ac:dyDescent="0.25">
      <c r="A1094" t="s">
        <v>7</v>
      </c>
      <c r="B1094">
        <v>2025</v>
      </c>
      <c r="C1094" t="str">
        <f t="shared" si="17"/>
        <v>Akron_2025</v>
      </c>
      <c r="D1094" s="11">
        <v>1</v>
      </c>
      <c r="E1094" s="11">
        <v>7</v>
      </c>
      <c r="F1094" s="11">
        <v>3</v>
      </c>
      <c r="G1094" s="11">
        <v>45</v>
      </c>
      <c r="H1094">
        <v>53.667894836660189</v>
      </c>
    </row>
    <row r="1095" spans="1:8" x14ac:dyDescent="0.25">
      <c r="A1095" t="s">
        <v>7</v>
      </c>
      <c r="B1095">
        <v>2025</v>
      </c>
      <c r="C1095" t="str">
        <f t="shared" si="17"/>
        <v>Akron_2025</v>
      </c>
      <c r="D1095" s="11">
        <v>2</v>
      </c>
      <c r="E1095" s="11">
        <v>13</v>
      </c>
      <c r="F1095" s="11">
        <v>5</v>
      </c>
      <c r="G1095" s="11">
        <v>45</v>
      </c>
      <c r="H1095">
        <v>49.072420809025601</v>
      </c>
    </row>
    <row r="1096" spans="1:8" x14ac:dyDescent="0.25">
      <c r="A1096" t="s">
        <v>7</v>
      </c>
      <c r="B1096">
        <v>2025</v>
      </c>
      <c r="C1096" t="str">
        <f t="shared" si="17"/>
        <v>Akron_2025</v>
      </c>
      <c r="D1096" s="11">
        <v>3</v>
      </c>
      <c r="E1096" s="11">
        <v>4</v>
      </c>
      <c r="F1096" s="11">
        <v>9</v>
      </c>
      <c r="G1096" s="11">
        <v>45</v>
      </c>
      <c r="H1096">
        <v>58.002828008157699</v>
      </c>
    </row>
    <row r="1097" spans="1:8" x14ac:dyDescent="0.25">
      <c r="A1097" s="31" t="s">
        <v>156</v>
      </c>
      <c r="B1097">
        <v>2025</v>
      </c>
      <c r="C1097" t="str">
        <f t="shared" si="17"/>
        <v>Genoa_2025</v>
      </c>
      <c r="D1097" s="32">
        <v>1</v>
      </c>
      <c r="E1097" s="32">
        <v>24</v>
      </c>
      <c r="F1097" s="32">
        <v>1</v>
      </c>
      <c r="G1097" s="32">
        <v>45</v>
      </c>
      <c r="H1097">
        <v>47.093423171496063</v>
      </c>
    </row>
    <row r="1098" spans="1:8" x14ac:dyDescent="0.25">
      <c r="A1098" s="31" t="s">
        <v>156</v>
      </c>
      <c r="B1098">
        <v>2025</v>
      </c>
      <c r="C1098" t="str">
        <f t="shared" si="17"/>
        <v>Genoa_2025</v>
      </c>
      <c r="D1098" s="32">
        <v>2</v>
      </c>
      <c r="E1098" s="32">
        <v>25</v>
      </c>
      <c r="F1098" s="32">
        <v>4</v>
      </c>
      <c r="G1098" s="32">
        <v>45</v>
      </c>
      <c r="H1098">
        <v>51.974637857874463</v>
      </c>
    </row>
    <row r="1099" spans="1:8" x14ac:dyDescent="0.25">
      <c r="A1099" s="31" t="s">
        <v>156</v>
      </c>
      <c r="B1099">
        <v>2025</v>
      </c>
      <c r="C1099" t="str">
        <f t="shared" si="17"/>
        <v>Genoa_2025</v>
      </c>
      <c r="D1099" s="32">
        <v>3</v>
      </c>
      <c r="E1099" s="32">
        <v>19</v>
      </c>
      <c r="F1099" s="32">
        <v>6</v>
      </c>
      <c r="G1099" s="32">
        <v>45</v>
      </c>
      <c r="H1099">
        <v>44.351495407991536</v>
      </c>
    </row>
    <row r="1100" spans="1:8" x14ac:dyDescent="0.25">
      <c r="A1100" s="31" t="s">
        <v>10</v>
      </c>
      <c r="B1100">
        <v>2025</v>
      </c>
      <c r="C1100" t="str">
        <f t="shared" si="17"/>
        <v>Julesburg_2025</v>
      </c>
      <c r="D1100" s="32">
        <v>1</v>
      </c>
      <c r="E1100" s="32">
        <v>2</v>
      </c>
      <c r="F1100" s="32">
        <v>4</v>
      </c>
      <c r="G1100" s="32">
        <v>45</v>
      </c>
      <c r="H1100">
        <v>47.238668207424524</v>
      </c>
    </row>
    <row r="1101" spans="1:8" x14ac:dyDescent="0.25">
      <c r="A1101" s="31" t="s">
        <v>10</v>
      </c>
      <c r="B1101">
        <v>2025</v>
      </c>
      <c r="C1101" t="str">
        <f t="shared" si="17"/>
        <v>Julesburg_2025</v>
      </c>
      <c r="D1101" s="32">
        <v>2</v>
      </c>
      <c r="E1101" s="32">
        <v>3</v>
      </c>
      <c r="F1101" s="32">
        <v>5</v>
      </c>
      <c r="G1101" s="32">
        <v>45</v>
      </c>
      <c r="H1101">
        <v>60.445111520737321</v>
      </c>
    </row>
    <row r="1102" spans="1:8" x14ac:dyDescent="0.25">
      <c r="A1102" s="31" t="s">
        <v>10</v>
      </c>
      <c r="B1102">
        <v>2025</v>
      </c>
      <c r="C1102" t="str">
        <f t="shared" si="17"/>
        <v>Julesburg_2025</v>
      </c>
      <c r="D1102" s="32">
        <v>3</v>
      </c>
      <c r="E1102" s="32">
        <v>4</v>
      </c>
      <c r="F1102" s="32">
        <v>10</v>
      </c>
      <c r="G1102" s="32">
        <v>45</v>
      </c>
      <c r="H1102">
        <v>60.545619500825474</v>
      </c>
    </row>
    <row r="1103" spans="1:8" x14ac:dyDescent="0.25">
      <c r="A1103" s="31" t="s">
        <v>11</v>
      </c>
      <c r="B1103">
        <v>2025</v>
      </c>
      <c r="C1103" t="str">
        <f t="shared" si="17"/>
        <v>Orchard_2025</v>
      </c>
      <c r="D1103" s="32">
        <v>1</v>
      </c>
      <c r="E1103" s="32">
        <v>11</v>
      </c>
      <c r="F1103" s="32">
        <v>2</v>
      </c>
      <c r="G1103" s="11">
        <v>45</v>
      </c>
      <c r="H1103">
        <v>22.386192626407976</v>
      </c>
    </row>
    <row r="1104" spans="1:8" x14ac:dyDescent="0.25">
      <c r="A1104" s="31" t="s">
        <v>11</v>
      </c>
      <c r="B1104">
        <v>2025</v>
      </c>
      <c r="C1104" t="str">
        <f t="shared" si="17"/>
        <v>Orchard_2025</v>
      </c>
      <c r="D1104" s="32">
        <v>2</v>
      </c>
      <c r="E1104" s="32">
        <v>4</v>
      </c>
      <c r="F1104" s="32">
        <v>6</v>
      </c>
      <c r="G1104" s="11">
        <v>45</v>
      </c>
    </row>
    <row r="1105" spans="1:8" x14ac:dyDescent="0.25">
      <c r="A1105" s="31" t="s">
        <v>11</v>
      </c>
      <c r="B1105">
        <v>2025</v>
      </c>
      <c r="C1105" t="str">
        <f t="shared" si="17"/>
        <v>Orchard_2025</v>
      </c>
      <c r="D1105" s="32">
        <v>3</v>
      </c>
      <c r="E1105" s="32">
        <v>7</v>
      </c>
      <c r="F1105" s="32">
        <v>9</v>
      </c>
      <c r="G1105" s="11">
        <v>45</v>
      </c>
      <c r="H1105">
        <v>32.4470988209669</v>
      </c>
    </row>
    <row r="1106" spans="1:8" x14ac:dyDescent="0.25">
      <c r="A1106" t="s">
        <v>160</v>
      </c>
      <c r="B1106">
        <v>2025</v>
      </c>
      <c r="C1106" t="str">
        <f t="shared" si="17"/>
        <v>Yuma_2025</v>
      </c>
      <c r="D1106">
        <v>1</v>
      </c>
      <c r="E1106" s="36">
        <v>13</v>
      </c>
      <c r="F1106" s="36">
        <v>1</v>
      </c>
      <c r="G1106" s="32">
        <v>45</v>
      </c>
      <c r="H1106">
        <v>79.592667814113582</v>
      </c>
    </row>
    <row r="1107" spans="1:8" x14ac:dyDescent="0.25">
      <c r="A1107" t="s">
        <v>160</v>
      </c>
      <c r="B1107">
        <v>2025</v>
      </c>
      <c r="C1107" t="str">
        <f t="shared" si="17"/>
        <v>Yuma_2025</v>
      </c>
      <c r="D1107">
        <v>2</v>
      </c>
      <c r="E1107" s="36">
        <v>15</v>
      </c>
      <c r="F1107" s="36">
        <v>4</v>
      </c>
      <c r="G1107" s="32">
        <v>45</v>
      </c>
      <c r="H1107">
        <v>86.307354624150236</v>
      </c>
    </row>
    <row r="1108" spans="1:8" x14ac:dyDescent="0.25">
      <c r="A1108" t="s">
        <v>160</v>
      </c>
      <c r="B1108">
        <v>2025</v>
      </c>
      <c r="C1108" t="str">
        <f t="shared" si="17"/>
        <v>Yuma_2025</v>
      </c>
      <c r="D1108">
        <v>3</v>
      </c>
      <c r="E1108" s="36">
        <v>17</v>
      </c>
      <c r="F1108" s="36">
        <v>6</v>
      </c>
      <c r="G1108" s="32">
        <v>45</v>
      </c>
      <c r="H1108">
        <v>86.266973381846014</v>
      </c>
    </row>
    <row r="1109" spans="1:8" x14ac:dyDescent="0.25">
      <c r="A1109" s="31" t="s">
        <v>116</v>
      </c>
      <c r="B1109">
        <v>2025</v>
      </c>
      <c r="C1109" t="str">
        <f t="shared" si="17"/>
        <v>Burlington_2025</v>
      </c>
      <c r="D1109" s="32">
        <v>1</v>
      </c>
      <c r="E1109" s="32">
        <v>4</v>
      </c>
      <c r="F1109" s="32">
        <v>3</v>
      </c>
      <c r="G1109" s="32">
        <v>46</v>
      </c>
      <c r="H1109">
        <v>65.078639999999993</v>
      </c>
    </row>
    <row r="1110" spans="1:8" x14ac:dyDescent="0.25">
      <c r="A1110" s="31" t="s">
        <v>116</v>
      </c>
      <c r="B1110">
        <v>2025</v>
      </c>
      <c r="C1110" t="str">
        <f t="shared" si="17"/>
        <v>Burlington_2025</v>
      </c>
      <c r="D1110" s="32">
        <v>2</v>
      </c>
      <c r="E1110" s="32">
        <v>5</v>
      </c>
      <c r="F1110" s="32">
        <v>5</v>
      </c>
      <c r="G1110" s="32">
        <v>46</v>
      </c>
      <c r="H1110">
        <v>58.319879518072291</v>
      </c>
    </row>
    <row r="1111" spans="1:8" x14ac:dyDescent="0.25">
      <c r="A1111" s="31" t="s">
        <v>116</v>
      </c>
      <c r="B1111">
        <v>2025</v>
      </c>
      <c r="C1111" t="str">
        <f t="shared" si="17"/>
        <v>Burlington_2025</v>
      </c>
      <c r="D1111" s="32">
        <v>3</v>
      </c>
      <c r="E1111" s="32">
        <v>1</v>
      </c>
      <c r="F1111" s="32">
        <v>11</v>
      </c>
      <c r="G1111" s="32">
        <v>46</v>
      </c>
      <c r="H1111">
        <v>70.120709999999988</v>
      </c>
    </row>
    <row r="1112" spans="1:8" x14ac:dyDescent="0.25">
      <c r="A1112" s="34" t="s">
        <v>97</v>
      </c>
      <c r="B1112">
        <v>2025</v>
      </c>
      <c r="C1112" t="str">
        <f t="shared" si="17"/>
        <v>Lamar_2025</v>
      </c>
      <c r="D1112" s="35">
        <v>1</v>
      </c>
      <c r="E1112" s="35">
        <v>13</v>
      </c>
      <c r="F1112" s="35">
        <v>1</v>
      </c>
      <c r="G1112" s="35">
        <v>46</v>
      </c>
      <c r="H1112">
        <v>70.873817142857135</v>
      </c>
    </row>
    <row r="1113" spans="1:8" x14ac:dyDescent="0.25">
      <c r="A1113" s="34" t="s">
        <v>97</v>
      </c>
      <c r="B1113">
        <v>2025</v>
      </c>
      <c r="C1113" t="str">
        <f t="shared" si="17"/>
        <v>Lamar_2025</v>
      </c>
      <c r="D1113" s="35">
        <v>2</v>
      </c>
      <c r="E1113" s="35">
        <v>21</v>
      </c>
      <c r="F1113" s="35">
        <v>3</v>
      </c>
      <c r="G1113" s="35">
        <v>46</v>
      </c>
      <c r="H1113">
        <v>61.422634094530004</v>
      </c>
    </row>
    <row r="1114" spans="1:8" x14ac:dyDescent="0.25">
      <c r="A1114" s="34" t="s">
        <v>97</v>
      </c>
      <c r="B1114">
        <v>2025</v>
      </c>
      <c r="C1114" t="str">
        <f t="shared" si="17"/>
        <v>Lamar_2025</v>
      </c>
      <c r="D1114" s="35">
        <v>3</v>
      </c>
      <c r="E1114" s="35">
        <v>6</v>
      </c>
      <c r="F1114" s="35">
        <v>6</v>
      </c>
      <c r="G1114" s="35">
        <v>46</v>
      </c>
      <c r="H1114">
        <v>70.705599847415598</v>
      </c>
    </row>
    <row r="1115" spans="1:8" x14ac:dyDescent="0.25">
      <c r="A1115" s="31" t="s">
        <v>132</v>
      </c>
      <c r="B1115">
        <v>2025</v>
      </c>
      <c r="C1115" t="str">
        <f t="shared" si="17"/>
        <v>SLake_2025</v>
      </c>
      <c r="D1115" s="32">
        <v>1</v>
      </c>
      <c r="E1115" s="32">
        <v>10</v>
      </c>
      <c r="F1115" s="32">
        <v>2</v>
      </c>
      <c r="G1115" s="32">
        <v>46</v>
      </c>
      <c r="H1115">
        <v>57.761137360782989</v>
      </c>
    </row>
    <row r="1116" spans="1:8" x14ac:dyDescent="0.25">
      <c r="A1116" s="31" t="s">
        <v>132</v>
      </c>
      <c r="B1116">
        <v>2025</v>
      </c>
      <c r="C1116" t="str">
        <f t="shared" si="17"/>
        <v>SLake_2025</v>
      </c>
      <c r="D1116" s="32">
        <v>2</v>
      </c>
      <c r="E1116" s="32">
        <v>16</v>
      </c>
      <c r="F1116" s="32">
        <v>3</v>
      </c>
      <c r="G1116" s="32">
        <v>46</v>
      </c>
      <c r="H1116">
        <v>64.033347676419965</v>
      </c>
    </row>
    <row r="1117" spans="1:8" x14ac:dyDescent="0.25">
      <c r="A1117" s="31" t="s">
        <v>132</v>
      </c>
      <c r="B1117">
        <v>2025</v>
      </c>
      <c r="C1117" t="str">
        <f t="shared" si="17"/>
        <v>SLake_2025</v>
      </c>
      <c r="D1117" s="32">
        <v>3</v>
      </c>
      <c r="E1117" s="32">
        <v>9</v>
      </c>
      <c r="F1117" s="32">
        <v>6</v>
      </c>
      <c r="G1117" s="32">
        <v>46</v>
      </c>
      <c r="H1117">
        <v>60.862334248158312</v>
      </c>
    </row>
    <row r="1118" spans="1:8" x14ac:dyDescent="0.25">
      <c r="A1118" s="31" t="s">
        <v>13</v>
      </c>
      <c r="B1118">
        <v>2025</v>
      </c>
      <c r="C1118" t="str">
        <f t="shared" si="17"/>
        <v>Walsh_2025</v>
      </c>
      <c r="D1118" s="32">
        <v>1</v>
      </c>
      <c r="E1118" s="36">
        <v>6</v>
      </c>
      <c r="F1118" s="36">
        <v>1</v>
      </c>
      <c r="G1118" s="32">
        <v>46</v>
      </c>
      <c r="H1118">
        <v>70.985144999999989</v>
      </c>
    </row>
    <row r="1119" spans="1:8" x14ac:dyDescent="0.25">
      <c r="A1119" s="31" t="s">
        <v>13</v>
      </c>
      <c r="B1119">
        <v>2025</v>
      </c>
      <c r="C1119" t="str">
        <f t="shared" si="17"/>
        <v>Walsh_2025</v>
      </c>
      <c r="D1119" s="32">
        <v>2</v>
      </c>
      <c r="E1119" s="36">
        <v>17</v>
      </c>
      <c r="F1119" s="36">
        <v>3</v>
      </c>
      <c r="G1119" s="32">
        <v>46</v>
      </c>
      <c r="H1119">
        <v>76.976349999999996</v>
      </c>
    </row>
    <row r="1120" spans="1:8" x14ac:dyDescent="0.25">
      <c r="A1120" s="31" t="s">
        <v>13</v>
      </c>
      <c r="B1120">
        <v>2025</v>
      </c>
      <c r="C1120" t="str">
        <f t="shared" si="17"/>
        <v>Walsh_2025</v>
      </c>
      <c r="D1120" s="32">
        <v>3</v>
      </c>
      <c r="E1120" s="36">
        <v>8</v>
      </c>
      <c r="F1120" s="36">
        <v>5</v>
      </c>
      <c r="G1120" s="32">
        <v>46</v>
      </c>
      <c r="H1120">
        <v>61.46403999999999</v>
      </c>
    </row>
    <row r="1121" spans="1:8" x14ac:dyDescent="0.25">
      <c r="A1121" t="s">
        <v>7</v>
      </c>
      <c r="B1121">
        <v>2025</v>
      </c>
      <c r="C1121" t="str">
        <f t="shared" si="17"/>
        <v>Akron_2025</v>
      </c>
      <c r="D1121" s="11">
        <v>1</v>
      </c>
      <c r="E1121" s="11">
        <v>10</v>
      </c>
      <c r="F1121" s="11">
        <v>3</v>
      </c>
      <c r="G1121" s="11">
        <v>46</v>
      </c>
      <c r="H1121">
        <v>43.619894741833008</v>
      </c>
    </row>
    <row r="1122" spans="1:8" x14ac:dyDescent="0.25">
      <c r="A1122" t="s">
        <v>7</v>
      </c>
      <c r="B1122">
        <v>2025</v>
      </c>
      <c r="C1122" t="str">
        <f t="shared" si="17"/>
        <v>Akron_2025</v>
      </c>
      <c r="D1122" s="11">
        <v>2</v>
      </c>
      <c r="E1122" s="11">
        <v>4</v>
      </c>
      <c r="F1122" s="11">
        <v>7</v>
      </c>
      <c r="G1122" s="11">
        <v>46</v>
      </c>
      <c r="H1122">
        <v>44.706425695110262</v>
      </c>
    </row>
    <row r="1123" spans="1:8" x14ac:dyDescent="0.25">
      <c r="A1123" t="s">
        <v>7</v>
      </c>
      <c r="B1123">
        <v>2025</v>
      </c>
      <c r="C1123" t="str">
        <f t="shared" si="17"/>
        <v>Akron_2025</v>
      </c>
      <c r="D1123" s="11">
        <v>3</v>
      </c>
      <c r="E1123" s="11">
        <v>8</v>
      </c>
      <c r="F1123" s="11">
        <v>11</v>
      </c>
      <c r="G1123" s="11">
        <v>46</v>
      </c>
      <c r="H1123">
        <v>42.017941545287925</v>
      </c>
    </row>
    <row r="1124" spans="1:8" x14ac:dyDescent="0.25">
      <c r="A1124" s="31" t="s">
        <v>156</v>
      </c>
      <c r="B1124">
        <v>2025</v>
      </c>
      <c r="C1124" t="str">
        <f t="shared" si="17"/>
        <v>Genoa_2025</v>
      </c>
      <c r="D1124" s="32">
        <v>1</v>
      </c>
      <c r="E1124" s="32">
        <v>22</v>
      </c>
      <c r="F1124" s="32">
        <v>1</v>
      </c>
      <c r="G1124" s="32">
        <v>46</v>
      </c>
      <c r="H1124">
        <v>54.638229352490235</v>
      </c>
    </row>
    <row r="1125" spans="1:8" x14ac:dyDescent="0.25">
      <c r="A1125" s="31" t="s">
        <v>156</v>
      </c>
      <c r="B1125">
        <v>2025</v>
      </c>
      <c r="C1125" t="str">
        <f t="shared" si="17"/>
        <v>Genoa_2025</v>
      </c>
      <c r="D1125" s="32">
        <v>2</v>
      </c>
      <c r="E1125" s="32">
        <v>9</v>
      </c>
      <c r="F1125" s="32">
        <v>3</v>
      </c>
      <c r="G1125" s="32">
        <v>46</v>
      </c>
      <c r="H1125">
        <v>49.231032737090779</v>
      </c>
    </row>
    <row r="1126" spans="1:8" x14ac:dyDescent="0.25">
      <c r="A1126" s="31" t="s">
        <v>156</v>
      </c>
      <c r="B1126">
        <v>2025</v>
      </c>
      <c r="C1126" t="str">
        <f t="shared" si="17"/>
        <v>Genoa_2025</v>
      </c>
      <c r="D1126" s="32">
        <v>3</v>
      </c>
      <c r="E1126" s="32">
        <v>3</v>
      </c>
      <c r="F1126" s="32">
        <v>5</v>
      </c>
      <c r="G1126" s="32">
        <v>46</v>
      </c>
      <c r="H1126">
        <v>44.913960731211908</v>
      </c>
    </row>
    <row r="1127" spans="1:8" x14ac:dyDescent="0.25">
      <c r="A1127" s="31" t="s">
        <v>10</v>
      </c>
      <c r="B1127">
        <v>2025</v>
      </c>
      <c r="C1127" t="str">
        <f t="shared" si="17"/>
        <v>Julesburg_2025</v>
      </c>
      <c r="D1127" s="32">
        <v>1</v>
      </c>
      <c r="E1127" s="32">
        <v>4</v>
      </c>
      <c r="F1127" s="32">
        <v>1</v>
      </c>
      <c r="G1127" s="32">
        <v>46</v>
      </c>
      <c r="H1127">
        <v>72.608336842105231</v>
      </c>
    </row>
    <row r="1128" spans="1:8" x14ac:dyDescent="0.25">
      <c r="A1128" s="31" t="s">
        <v>10</v>
      </c>
      <c r="B1128">
        <v>2025</v>
      </c>
      <c r="C1128" t="str">
        <f t="shared" si="17"/>
        <v>Julesburg_2025</v>
      </c>
      <c r="D1128" s="32">
        <v>2</v>
      </c>
      <c r="E1128" s="32">
        <v>2</v>
      </c>
      <c r="F1128" s="32">
        <v>7</v>
      </c>
      <c r="G1128" s="32">
        <v>46</v>
      </c>
      <c r="H1128">
        <v>43.945843720038361</v>
      </c>
    </row>
    <row r="1129" spans="1:8" x14ac:dyDescent="0.25">
      <c r="A1129" s="31" t="s">
        <v>10</v>
      </c>
      <c r="B1129">
        <v>2025</v>
      </c>
      <c r="C1129" t="str">
        <f t="shared" si="17"/>
        <v>Julesburg_2025</v>
      </c>
      <c r="D1129" s="32">
        <v>3</v>
      </c>
      <c r="E1129" s="32">
        <v>11</v>
      </c>
      <c r="F1129" s="32">
        <v>11</v>
      </c>
      <c r="G1129" s="32">
        <v>46</v>
      </c>
      <c r="H1129">
        <v>61.372660586255677</v>
      </c>
    </row>
    <row r="1130" spans="1:8" x14ac:dyDescent="0.25">
      <c r="A1130" s="31" t="s">
        <v>11</v>
      </c>
      <c r="B1130">
        <v>2025</v>
      </c>
      <c r="C1130" t="str">
        <f t="shared" si="17"/>
        <v>Orchard_2025</v>
      </c>
      <c r="D1130" s="32">
        <v>1</v>
      </c>
      <c r="E1130" s="32">
        <v>16</v>
      </c>
      <c r="F1130" s="32">
        <v>1</v>
      </c>
      <c r="G1130" s="11">
        <v>46</v>
      </c>
      <c r="H1130">
        <v>14.001378719975827</v>
      </c>
    </row>
    <row r="1131" spans="1:8" x14ac:dyDescent="0.25">
      <c r="A1131" s="31" t="s">
        <v>11</v>
      </c>
      <c r="B1131">
        <v>2025</v>
      </c>
      <c r="C1131" t="str">
        <f t="shared" si="17"/>
        <v>Orchard_2025</v>
      </c>
      <c r="D1131" s="32">
        <v>2</v>
      </c>
      <c r="E1131" s="32">
        <v>7</v>
      </c>
      <c r="F1131" s="32">
        <v>5</v>
      </c>
      <c r="G1131" s="11">
        <v>46</v>
      </c>
      <c r="H1131">
        <v>20.323043915521286</v>
      </c>
    </row>
    <row r="1132" spans="1:8" x14ac:dyDescent="0.25">
      <c r="A1132" s="31" t="s">
        <v>11</v>
      </c>
      <c r="B1132">
        <v>2025</v>
      </c>
      <c r="C1132" t="str">
        <f t="shared" si="17"/>
        <v>Orchard_2025</v>
      </c>
      <c r="D1132" s="32">
        <v>3</v>
      </c>
      <c r="E1132" s="32">
        <v>11</v>
      </c>
      <c r="F1132" s="32">
        <v>7</v>
      </c>
      <c r="G1132" s="11">
        <v>46</v>
      </c>
      <c r="H1132">
        <v>22.577271214642259</v>
      </c>
    </row>
    <row r="1133" spans="1:8" x14ac:dyDescent="0.25">
      <c r="A1133" t="s">
        <v>160</v>
      </c>
      <c r="B1133">
        <v>2025</v>
      </c>
      <c r="C1133" t="str">
        <f t="shared" si="17"/>
        <v>Yuma_2025</v>
      </c>
      <c r="D1133">
        <v>1</v>
      </c>
      <c r="E1133" s="36">
        <v>17</v>
      </c>
      <c r="F1133" s="36">
        <v>2</v>
      </c>
      <c r="G1133" s="32">
        <v>46</v>
      </c>
      <c r="H1133">
        <v>85.756772397094437</v>
      </c>
    </row>
    <row r="1134" spans="1:8" x14ac:dyDescent="0.25">
      <c r="A1134" t="s">
        <v>160</v>
      </c>
      <c r="B1134">
        <v>2025</v>
      </c>
      <c r="C1134" t="str">
        <f t="shared" si="17"/>
        <v>Yuma_2025</v>
      </c>
      <c r="D1134">
        <v>2</v>
      </c>
      <c r="E1134" s="36">
        <v>11</v>
      </c>
      <c r="F1134" s="36">
        <v>4</v>
      </c>
      <c r="G1134" s="32">
        <v>46</v>
      </c>
      <c r="H1134">
        <v>83.624811463784411</v>
      </c>
    </row>
    <row r="1135" spans="1:8" x14ac:dyDescent="0.25">
      <c r="A1135" t="s">
        <v>160</v>
      </c>
      <c r="B1135">
        <v>2025</v>
      </c>
      <c r="C1135" t="str">
        <f t="shared" si="17"/>
        <v>Yuma_2025</v>
      </c>
      <c r="D1135">
        <v>3</v>
      </c>
      <c r="E1135" s="36">
        <v>8</v>
      </c>
      <c r="F1135" s="36">
        <v>5</v>
      </c>
      <c r="G1135" s="32">
        <v>46</v>
      </c>
      <c r="H1135">
        <v>82.704211238997956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0873C-8EB2-4C3D-9B96-4D8770B13529}">
  <dimension ref="A1:P60"/>
  <sheetViews>
    <sheetView workbookViewId="0">
      <selection activeCell="H3" sqref="H3:L45"/>
    </sheetView>
  </sheetViews>
  <sheetFormatPr defaultRowHeight="15.75" x14ac:dyDescent="0.25"/>
  <cols>
    <col min="1" max="1" width="18.5" bestFit="1" customWidth="1"/>
    <col min="2" max="2" width="16.75" bestFit="1" customWidth="1"/>
    <col min="3" max="3" width="14.625" bestFit="1" customWidth="1"/>
    <col min="4" max="4" width="14.375" bestFit="1" customWidth="1"/>
  </cols>
  <sheetData>
    <row r="1" spans="1:16" x14ac:dyDescent="0.25">
      <c r="A1" s="26" t="s">
        <v>0</v>
      </c>
      <c r="B1" t="s">
        <v>180</v>
      </c>
    </row>
    <row r="3" spans="1:16" ht="16.5" thickBot="1" x14ac:dyDescent="0.3">
      <c r="A3" s="26" t="s">
        <v>20</v>
      </c>
      <c r="B3" t="s">
        <v>147</v>
      </c>
      <c r="C3" t="s">
        <v>181</v>
      </c>
      <c r="D3" t="s">
        <v>173</v>
      </c>
      <c r="J3" t="s">
        <v>104</v>
      </c>
      <c r="K3" t="s">
        <v>5</v>
      </c>
      <c r="L3" s="30" t="s">
        <v>147</v>
      </c>
      <c r="N3" s="30" t="s">
        <v>20</v>
      </c>
      <c r="O3" s="30" t="s">
        <v>147</v>
      </c>
      <c r="P3" s="30" t="s">
        <v>173</v>
      </c>
    </row>
    <row r="4" spans="1:16" x14ac:dyDescent="0.25">
      <c r="A4" s="15" t="s">
        <v>36</v>
      </c>
      <c r="B4">
        <v>13.284235714285714</v>
      </c>
      <c r="C4">
        <v>30</v>
      </c>
      <c r="D4">
        <v>31</v>
      </c>
      <c r="H4" s="15" t="s">
        <v>120</v>
      </c>
      <c r="I4" s="7">
        <v>1</v>
      </c>
      <c r="J4" s="56">
        <v>63.060299999999998</v>
      </c>
      <c r="K4" s="56">
        <v>57.9512</v>
      </c>
      <c r="L4">
        <v>12.823521428571427</v>
      </c>
      <c r="O4">
        <v>12.823521428571427</v>
      </c>
      <c r="P4">
        <v>1</v>
      </c>
    </row>
    <row r="5" spans="1:16" x14ac:dyDescent="0.25">
      <c r="A5" s="15" t="s">
        <v>45</v>
      </c>
      <c r="B5">
        <v>13.486378571428572</v>
      </c>
      <c r="C5">
        <v>30</v>
      </c>
      <c r="D5">
        <v>36</v>
      </c>
      <c r="H5" s="15" t="s">
        <v>126</v>
      </c>
      <c r="I5" s="5">
        <v>2</v>
      </c>
      <c r="J5" s="6">
        <v>61.347799999999999</v>
      </c>
      <c r="K5" s="6">
        <v>58.609699999999997</v>
      </c>
      <c r="L5">
        <v>12.453792307692309</v>
      </c>
      <c r="O5">
        <v>12.453792307692309</v>
      </c>
      <c r="P5">
        <v>2</v>
      </c>
    </row>
    <row r="6" spans="1:16" x14ac:dyDescent="0.25">
      <c r="A6" s="15" t="s">
        <v>42</v>
      </c>
      <c r="B6">
        <v>13.044949999999998</v>
      </c>
      <c r="C6">
        <v>30</v>
      </c>
      <c r="D6">
        <v>34</v>
      </c>
      <c r="H6" s="15" t="s">
        <v>122</v>
      </c>
      <c r="I6" s="5">
        <v>3</v>
      </c>
      <c r="J6" s="6">
        <v>58.951700000000002</v>
      </c>
      <c r="K6" s="6">
        <v>59.372500000000002</v>
      </c>
      <c r="L6">
        <v>13.149950000000002</v>
      </c>
      <c r="O6">
        <v>13.149950000000002</v>
      </c>
      <c r="P6">
        <v>3</v>
      </c>
    </row>
    <row r="7" spans="1:16" x14ac:dyDescent="0.25">
      <c r="A7" s="15" t="s">
        <v>89</v>
      </c>
      <c r="B7">
        <v>13.14995</v>
      </c>
      <c r="C7">
        <v>30</v>
      </c>
      <c r="D7">
        <v>37</v>
      </c>
      <c r="H7" s="15" t="s">
        <v>117</v>
      </c>
      <c r="I7" s="5">
        <v>4</v>
      </c>
      <c r="J7" s="6">
        <v>58.683700000000002</v>
      </c>
      <c r="K7" s="6">
        <v>55.493400000000001</v>
      </c>
      <c r="L7">
        <v>12.909235714285712</v>
      </c>
      <c r="O7">
        <v>12.909235714285712</v>
      </c>
      <c r="P7">
        <v>4</v>
      </c>
    </row>
    <row r="8" spans="1:16" x14ac:dyDescent="0.25">
      <c r="A8" s="15" t="s">
        <v>34</v>
      </c>
      <c r="B8">
        <v>13.075664285714286</v>
      </c>
      <c r="C8">
        <v>30</v>
      </c>
      <c r="D8">
        <v>42</v>
      </c>
      <c r="H8" s="15" t="s">
        <v>128</v>
      </c>
      <c r="I8" s="5">
        <v>5</v>
      </c>
      <c r="J8" s="6">
        <v>60.240499999999997</v>
      </c>
      <c r="K8" s="6">
        <v>57.2988</v>
      </c>
      <c r="L8">
        <v>12.967807142857144</v>
      </c>
      <c r="O8">
        <v>12.967807142857144</v>
      </c>
      <c r="P8">
        <v>5</v>
      </c>
    </row>
    <row r="9" spans="1:16" x14ac:dyDescent="0.25">
      <c r="A9" s="15" t="s">
        <v>121</v>
      </c>
      <c r="B9">
        <v>12.764950000000001</v>
      </c>
      <c r="C9">
        <v>30</v>
      </c>
      <c r="D9">
        <v>40</v>
      </c>
      <c r="H9" s="15" t="s">
        <v>119</v>
      </c>
      <c r="I9" s="5">
        <v>6</v>
      </c>
      <c r="J9" s="6">
        <v>50.691800000000001</v>
      </c>
      <c r="K9" s="6">
        <v>57.572299999999998</v>
      </c>
      <c r="L9">
        <v>14.553521428571429</v>
      </c>
      <c r="O9">
        <v>14.553521428571429</v>
      </c>
      <c r="P9">
        <v>6</v>
      </c>
    </row>
    <row r="10" spans="1:16" x14ac:dyDescent="0.25">
      <c r="A10" s="15" t="s">
        <v>39</v>
      </c>
      <c r="B10">
        <v>13.300664285714287</v>
      </c>
      <c r="C10">
        <v>30</v>
      </c>
      <c r="D10">
        <v>45</v>
      </c>
      <c r="H10" s="15" t="s">
        <v>118</v>
      </c>
      <c r="I10" s="5">
        <v>8</v>
      </c>
      <c r="J10" s="6">
        <v>63.571399999999997</v>
      </c>
      <c r="K10" s="6">
        <v>58.484200000000001</v>
      </c>
      <c r="L10">
        <v>12.581378571428569</v>
      </c>
      <c r="O10">
        <v>12.581378571428569</v>
      </c>
      <c r="P10">
        <v>8</v>
      </c>
    </row>
    <row r="11" spans="1:16" x14ac:dyDescent="0.25">
      <c r="A11" s="15" t="s">
        <v>124</v>
      </c>
      <c r="B11">
        <v>13.589235714285712</v>
      </c>
      <c r="C11">
        <v>30</v>
      </c>
      <c r="D11">
        <v>41</v>
      </c>
      <c r="H11" s="15" t="s">
        <v>94</v>
      </c>
      <c r="I11" s="5">
        <v>9</v>
      </c>
      <c r="J11" s="6">
        <v>56.191499999999998</v>
      </c>
      <c r="K11" s="6">
        <v>55.829700000000003</v>
      </c>
      <c r="L11">
        <v>14.10995</v>
      </c>
      <c r="O11">
        <v>14.10995</v>
      </c>
      <c r="P11">
        <v>9</v>
      </c>
    </row>
    <row r="12" spans="1:16" x14ac:dyDescent="0.25">
      <c r="A12" s="15" t="s">
        <v>91</v>
      </c>
      <c r="B12">
        <v>14.263521428571432</v>
      </c>
      <c r="C12">
        <v>30</v>
      </c>
      <c r="D12">
        <v>10</v>
      </c>
      <c r="H12" s="15" t="s">
        <v>91</v>
      </c>
      <c r="I12" s="5">
        <v>10</v>
      </c>
      <c r="J12" s="6">
        <v>51.064700000000002</v>
      </c>
      <c r="K12" s="6">
        <v>54.829000000000001</v>
      </c>
      <c r="L12">
        <v>14.263521428571432</v>
      </c>
      <c r="O12">
        <v>14.263521428571432</v>
      </c>
      <c r="P12">
        <v>10</v>
      </c>
    </row>
    <row r="13" spans="1:16" x14ac:dyDescent="0.25">
      <c r="A13" s="15" t="s">
        <v>24</v>
      </c>
      <c r="B13">
        <v>12.60862</v>
      </c>
      <c r="C13">
        <v>30</v>
      </c>
      <c r="D13">
        <v>20</v>
      </c>
      <c r="H13" s="15" t="s">
        <v>90</v>
      </c>
      <c r="I13" s="5">
        <v>11</v>
      </c>
      <c r="J13" s="6">
        <v>61.807899999999997</v>
      </c>
      <c r="K13" s="6">
        <v>59.412500000000001</v>
      </c>
      <c r="L13">
        <v>12.82995</v>
      </c>
      <c r="O13">
        <v>12.82995</v>
      </c>
      <c r="P13">
        <v>11</v>
      </c>
    </row>
    <row r="14" spans="1:16" x14ac:dyDescent="0.25">
      <c r="A14" s="15" t="s">
        <v>119</v>
      </c>
      <c r="B14">
        <v>14.553521428571429</v>
      </c>
      <c r="C14">
        <v>30</v>
      </c>
      <c r="D14">
        <v>6</v>
      </c>
      <c r="H14" s="15" t="s">
        <v>92</v>
      </c>
      <c r="I14" s="5">
        <v>12</v>
      </c>
      <c r="J14" s="6">
        <v>54.438800000000001</v>
      </c>
      <c r="K14" s="6">
        <v>57.342399999999998</v>
      </c>
      <c r="L14">
        <v>13.258521428571427</v>
      </c>
      <c r="O14">
        <v>13.258521428571427</v>
      </c>
      <c r="P14">
        <v>12</v>
      </c>
    </row>
    <row r="15" spans="1:16" x14ac:dyDescent="0.25">
      <c r="A15" s="15" t="s">
        <v>25</v>
      </c>
      <c r="B15">
        <v>13.693792307692307</v>
      </c>
      <c r="C15">
        <v>30</v>
      </c>
      <c r="D15">
        <v>32</v>
      </c>
      <c r="H15" s="15" t="s">
        <v>93</v>
      </c>
      <c r="I15" s="5">
        <v>13</v>
      </c>
      <c r="J15" s="6">
        <v>59.347499999999997</v>
      </c>
      <c r="K15" s="6">
        <v>58.661799999999999</v>
      </c>
      <c r="L15">
        <v>12.884235714285714</v>
      </c>
      <c r="O15">
        <v>12.884235714285714</v>
      </c>
      <c r="P15">
        <v>13</v>
      </c>
    </row>
    <row r="16" spans="1:16" x14ac:dyDescent="0.25">
      <c r="A16" s="15" t="s">
        <v>125</v>
      </c>
      <c r="B16">
        <v>13.652092857142859</v>
      </c>
      <c r="C16">
        <v>30</v>
      </c>
      <c r="D16">
        <v>43</v>
      </c>
      <c r="H16" s="15" t="s">
        <v>30</v>
      </c>
      <c r="I16" s="5">
        <v>14</v>
      </c>
      <c r="J16" s="6">
        <v>63.596699999999998</v>
      </c>
      <c r="K16" s="6">
        <v>59.163800000000002</v>
      </c>
      <c r="L16">
        <v>12.931378571428569</v>
      </c>
      <c r="O16">
        <v>12.931378571428569</v>
      </c>
      <c r="P16">
        <v>14</v>
      </c>
    </row>
    <row r="17" spans="1:16" x14ac:dyDescent="0.25">
      <c r="A17" s="15" t="s">
        <v>26</v>
      </c>
      <c r="B17">
        <v>12.834235714285715</v>
      </c>
      <c r="C17">
        <v>30</v>
      </c>
      <c r="D17">
        <v>21</v>
      </c>
      <c r="H17" s="15" t="s">
        <v>31</v>
      </c>
      <c r="I17" s="5">
        <v>15</v>
      </c>
      <c r="J17" s="6">
        <v>61.362699999999997</v>
      </c>
      <c r="K17" s="6">
        <v>57.019799999999996</v>
      </c>
      <c r="L17">
        <v>12.794235714285715</v>
      </c>
      <c r="O17">
        <v>12.794235714285715</v>
      </c>
      <c r="P17">
        <v>15</v>
      </c>
    </row>
    <row r="18" spans="1:16" x14ac:dyDescent="0.25">
      <c r="A18" s="15" t="s">
        <v>38</v>
      </c>
      <c r="B18">
        <v>12.452807142857143</v>
      </c>
      <c r="C18">
        <v>30</v>
      </c>
      <c r="D18">
        <v>28</v>
      </c>
      <c r="H18" s="15" t="s">
        <v>32</v>
      </c>
      <c r="I18" s="5">
        <v>16</v>
      </c>
      <c r="J18" s="6">
        <v>61.331899999999997</v>
      </c>
      <c r="K18" s="6">
        <v>58.983199999999997</v>
      </c>
      <c r="L18">
        <v>13.207638461538462</v>
      </c>
      <c r="O18">
        <v>13.207638461538462</v>
      </c>
      <c r="P18">
        <v>16</v>
      </c>
    </row>
    <row r="19" spans="1:16" x14ac:dyDescent="0.25">
      <c r="A19" s="15" t="s">
        <v>27</v>
      </c>
      <c r="B19">
        <v>13.016378571428572</v>
      </c>
      <c r="C19">
        <v>30</v>
      </c>
      <c r="D19">
        <v>29</v>
      </c>
      <c r="H19" s="15" t="s">
        <v>33</v>
      </c>
      <c r="I19" s="5">
        <v>17</v>
      </c>
      <c r="J19" s="6">
        <v>59.96</v>
      </c>
      <c r="K19" s="6">
        <v>57.267299999999999</v>
      </c>
      <c r="L19">
        <v>12.633521428571427</v>
      </c>
      <c r="O19">
        <v>12.633521428571427</v>
      </c>
      <c r="P19">
        <v>17</v>
      </c>
    </row>
    <row r="20" spans="1:16" x14ac:dyDescent="0.25">
      <c r="A20" s="15" t="s">
        <v>41</v>
      </c>
      <c r="B20">
        <v>12.542092857142856</v>
      </c>
      <c r="C20">
        <v>30</v>
      </c>
      <c r="D20">
        <v>33</v>
      </c>
      <c r="H20" s="15" t="s">
        <v>29</v>
      </c>
      <c r="I20" s="5">
        <v>18</v>
      </c>
      <c r="J20" s="6">
        <v>54.597200000000001</v>
      </c>
      <c r="K20" s="6">
        <v>56.8705</v>
      </c>
      <c r="L20">
        <v>13.229235714285711</v>
      </c>
      <c r="O20">
        <v>13.229235714285711</v>
      </c>
      <c r="P20">
        <v>18</v>
      </c>
    </row>
    <row r="21" spans="1:16" x14ac:dyDescent="0.25">
      <c r="A21" s="15" t="s">
        <v>28</v>
      </c>
      <c r="B21">
        <v>13.02495</v>
      </c>
      <c r="C21">
        <v>30</v>
      </c>
      <c r="D21">
        <v>22</v>
      </c>
      <c r="H21" s="15" t="s">
        <v>24</v>
      </c>
      <c r="I21" s="5">
        <v>20</v>
      </c>
      <c r="J21" s="6">
        <v>62.588999999999999</v>
      </c>
      <c r="K21" s="6">
        <v>58.28</v>
      </c>
      <c r="L21">
        <v>12.60862</v>
      </c>
      <c r="O21">
        <v>12.60862</v>
      </c>
      <c r="P21">
        <v>20</v>
      </c>
    </row>
    <row r="22" spans="1:16" x14ac:dyDescent="0.25">
      <c r="A22" s="15" t="s">
        <v>44</v>
      </c>
      <c r="B22">
        <v>12.826099999999999</v>
      </c>
      <c r="C22">
        <v>30</v>
      </c>
      <c r="D22">
        <v>26</v>
      </c>
      <c r="H22" s="15" t="s">
        <v>26</v>
      </c>
      <c r="I22" s="5">
        <v>21</v>
      </c>
      <c r="J22" s="6">
        <v>61.1449</v>
      </c>
      <c r="K22" s="6">
        <v>57.9343</v>
      </c>
      <c r="L22">
        <v>12.834235714285715</v>
      </c>
      <c r="O22">
        <v>12.834235714285715</v>
      </c>
      <c r="P22">
        <v>21</v>
      </c>
    </row>
    <row r="23" spans="1:16" x14ac:dyDescent="0.25">
      <c r="A23" s="15" t="s">
        <v>29</v>
      </c>
      <c r="B23">
        <v>13.229235714285711</v>
      </c>
      <c r="C23">
        <v>30</v>
      </c>
      <c r="D23">
        <v>18</v>
      </c>
      <c r="H23" s="15" t="s">
        <v>28</v>
      </c>
      <c r="I23" s="5">
        <v>22</v>
      </c>
      <c r="J23" s="6">
        <v>58.841700000000003</v>
      </c>
      <c r="K23" s="6">
        <v>59.005400000000002</v>
      </c>
      <c r="L23">
        <v>13.02495</v>
      </c>
      <c r="O23">
        <v>13.02495</v>
      </c>
      <c r="P23">
        <v>22</v>
      </c>
    </row>
    <row r="24" spans="1:16" x14ac:dyDescent="0.25">
      <c r="A24" s="15" t="s">
        <v>117</v>
      </c>
      <c r="B24">
        <v>12.909235714285712</v>
      </c>
      <c r="C24">
        <v>30</v>
      </c>
      <c r="D24">
        <v>4</v>
      </c>
      <c r="H24" s="15" t="s">
        <v>37</v>
      </c>
      <c r="I24" s="5">
        <v>23</v>
      </c>
      <c r="J24" s="6">
        <v>56.814900000000002</v>
      </c>
      <c r="K24" s="6">
        <v>58.6935</v>
      </c>
      <c r="L24">
        <v>13.639950000000001</v>
      </c>
      <c r="O24">
        <v>13.639950000000001</v>
      </c>
      <c r="P24">
        <v>23</v>
      </c>
    </row>
    <row r="25" spans="1:16" x14ac:dyDescent="0.25">
      <c r="A25" s="15" t="s">
        <v>30</v>
      </c>
      <c r="B25">
        <v>12.931378571428569</v>
      </c>
      <c r="C25">
        <v>30</v>
      </c>
      <c r="D25">
        <v>14</v>
      </c>
      <c r="H25" s="15" t="s">
        <v>40</v>
      </c>
      <c r="I25" s="5">
        <v>24</v>
      </c>
      <c r="J25" s="6">
        <v>60.815300000000001</v>
      </c>
      <c r="K25" s="6">
        <v>57.639099999999999</v>
      </c>
      <c r="L25">
        <v>12.727092857142853</v>
      </c>
      <c r="O25">
        <v>12.727092857142853</v>
      </c>
      <c r="P25">
        <v>24</v>
      </c>
    </row>
    <row r="26" spans="1:16" x14ac:dyDescent="0.25">
      <c r="A26" s="15" t="s">
        <v>21</v>
      </c>
      <c r="B26">
        <v>13.281378571428572</v>
      </c>
      <c r="C26">
        <v>30</v>
      </c>
      <c r="D26">
        <v>30</v>
      </c>
      <c r="H26" s="15" t="s">
        <v>130</v>
      </c>
      <c r="I26" s="5">
        <v>25</v>
      </c>
      <c r="J26" s="6">
        <v>58.595700000000001</v>
      </c>
      <c r="K26" s="6">
        <v>57.729599999999998</v>
      </c>
      <c r="L26">
        <v>12.978521428571428</v>
      </c>
      <c r="O26">
        <v>12.978521428571428</v>
      </c>
      <c r="P26">
        <v>25</v>
      </c>
    </row>
    <row r="27" spans="1:16" x14ac:dyDescent="0.25">
      <c r="A27" s="15" t="s">
        <v>31</v>
      </c>
      <c r="B27">
        <v>12.794235714285715</v>
      </c>
      <c r="C27">
        <v>30</v>
      </c>
      <c r="D27">
        <v>15</v>
      </c>
      <c r="H27" s="15" t="s">
        <v>44</v>
      </c>
      <c r="I27" s="5">
        <v>26</v>
      </c>
      <c r="J27" s="6">
        <v>67.228399999999993</v>
      </c>
      <c r="K27" s="6">
        <v>58.0229</v>
      </c>
      <c r="L27">
        <v>12.826099999999999</v>
      </c>
      <c r="O27">
        <v>12.826099999999999</v>
      </c>
      <c r="P27">
        <v>26</v>
      </c>
    </row>
    <row r="28" spans="1:16" x14ac:dyDescent="0.25">
      <c r="A28" s="15" t="s">
        <v>118</v>
      </c>
      <c r="B28">
        <v>12.581378571428569</v>
      </c>
      <c r="C28">
        <v>30</v>
      </c>
      <c r="D28">
        <v>8</v>
      </c>
      <c r="H28" s="15" t="s">
        <v>35</v>
      </c>
      <c r="I28" s="5">
        <v>27</v>
      </c>
      <c r="J28" s="6">
        <v>60.306699999999999</v>
      </c>
      <c r="K28" s="6">
        <v>58.049399999999999</v>
      </c>
      <c r="L28">
        <v>12.810664285714285</v>
      </c>
      <c r="O28">
        <v>12.810664285714285</v>
      </c>
      <c r="P28">
        <v>27</v>
      </c>
    </row>
    <row r="29" spans="1:16" x14ac:dyDescent="0.25">
      <c r="A29" s="15" t="s">
        <v>32</v>
      </c>
      <c r="B29">
        <v>13.207638461538462</v>
      </c>
      <c r="C29">
        <v>30</v>
      </c>
      <c r="D29">
        <v>16</v>
      </c>
      <c r="H29" s="15" t="s">
        <v>38</v>
      </c>
      <c r="I29" s="5">
        <v>28</v>
      </c>
      <c r="J29" s="6">
        <v>57.606099999999998</v>
      </c>
      <c r="K29" s="6">
        <v>56.67</v>
      </c>
      <c r="L29">
        <v>12.452807142857143</v>
      </c>
      <c r="O29">
        <v>12.452807142857143</v>
      </c>
      <c r="P29">
        <v>28</v>
      </c>
    </row>
    <row r="30" spans="1:16" x14ac:dyDescent="0.25">
      <c r="A30" s="15" t="s">
        <v>123</v>
      </c>
      <c r="B30">
        <v>13.44352142857143</v>
      </c>
      <c r="C30">
        <v>30</v>
      </c>
      <c r="D30">
        <v>44</v>
      </c>
      <c r="H30" s="15" t="s">
        <v>27</v>
      </c>
      <c r="I30" s="5">
        <v>29</v>
      </c>
      <c r="J30" s="6">
        <v>58.601199999999999</v>
      </c>
      <c r="K30" s="6">
        <v>58.145600000000002</v>
      </c>
      <c r="L30">
        <v>13.016378571428572</v>
      </c>
      <c r="O30">
        <v>13.016378571428572</v>
      </c>
      <c r="P30">
        <v>29</v>
      </c>
    </row>
    <row r="31" spans="1:16" x14ac:dyDescent="0.25">
      <c r="A31" s="15" t="s">
        <v>90</v>
      </c>
      <c r="B31">
        <v>12.82995</v>
      </c>
      <c r="C31">
        <v>30</v>
      </c>
      <c r="D31">
        <v>11</v>
      </c>
      <c r="H31" s="15" t="s">
        <v>21</v>
      </c>
      <c r="I31" s="5">
        <v>30</v>
      </c>
      <c r="J31" s="6">
        <v>55.532299999999999</v>
      </c>
      <c r="K31" s="6">
        <v>58.138800000000003</v>
      </c>
      <c r="L31">
        <v>13.281378571428572</v>
      </c>
      <c r="O31">
        <v>13.281378571428572</v>
      </c>
      <c r="P31">
        <v>30</v>
      </c>
    </row>
    <row r="32" spans="1:16" x14ac:dyDescent="0.25">
      <c r="A32" s="15" t="s">
        <v>35</v>
      </c>
      <c r="B32">
        <v>12.810664285714285</v>
      </c>
      <c r="C32">
        <v>30</v>
      </c>
      <c r="D32">
        <v>27</v>
      </c>
      <c r="H32" s="15" t="s">
        <v>36</v>
      </c>
      <c r="I32" s="5">
        <v>31</v>
      </c>
      <c r="J32" s="6">
        <v>55.414400000000001</v>
      </c>
      <c r="K32" s="6">
        <v>57.572299999999998</v>
      </c>
      <c r="L32">
        <v>13.284235714285714</v>
      </c>
      <c r="O32">
        <v>13.284235714285714</v>
      </c>
      <c r="P32">
        <v>31</v>
      </c>
    </row>
    <row r="33" spans="1:16" x14ac:dyDescent="0.25">
      <c r="A33" s="15" t="s">
        <v>120</v>
      </c>
      <c r="B33">
        <v>12.823521428571427</v>
      </c>
      <c r="C33">
        <v>30</v>
      </c>
      <c r="D33">
        <v>1</v>
      </c>
      <c r="H33" s="15" t="s">
        <v>25</v>
      </c>
      <c r="I33" s="5">
        <v>32</v>
      </c>
      <c r="J33" s="6">
        <v>64.038200000000003</v>
      </c>
      <c r="K33" s="6">
        <v>59.9617</v>
      </c>
      <c r="L33">
        <v>13.693792307692307</v>
      </c>
      <c r="O33">
        <v>13.693792307692307</v>
      </c>
      <c r="P33">
        <v>32</v>
      </c>
    </row>
    <row r="34" spans="1:16" x14ac:dyDescent="0.25">
      <c r="A34" s="15" t="s">
        <v>37</v>
      </c>
      <c r="B34">
        <v>13.639950000000001</v>
      </c>
      <c r="C34">
        <v>30</v>
      </c>
      <c r="D34">
        <v>23</v>
      </c>
      <c r="H34" s="15" t="s">
        <v>41</v>
      </c>
      <c r="I34" s="5">
        <v>33</v>
      </c>
      <c r="J34" s="6">
        <v>60.372500000000002</v>
      </c>
      <c r="K34" s="6">
        <v>57.890599999999999</v>
      </c>
      <c r="L34">
        <v>12.542092857142856</v>
      </c>
      <c r="O34">
        <v>12.542092857142856</v>
      </c>
      <c r="P34">
        <v>33</v>
      </c>
    </row>
    <row r="35" spans="1:16" x14ac:dyDescent="0.25">
      <c r="A35" s="15" t="s">
        <v>33</v>
      </c>
      <c r="B35">
        <v>12.633521428571427</v>
      </c>
      <c r="C35">
        <v>30</v>
      </c>
      <c r="D35">
        <v>17</v>
      </c>
      <c r="H35" s="15" t="s">
        <v>42</v>
      </c>
      <c r="I35" s="5">
        <v>34</v>
      </c>
      <c r="J35" s="6">
        <v>58.676299999999998</v>
      </c>
      <c r="K35" s="6">
        <v>57.677300000000002</v>
      </c>
      <c r="L35">
        <v>13.044949999999998</v>
      </c>
      <c r="O35">
        <v>13.044949999999998</v>
      </c>
      <c r="P35">
        <v>34</v>
      </c>
    </row>
    <row r="36" spans="1:16" x14ac:dyDescent="0.25">
      <c r="A36" s="15" t="s">
        <v>127</v>
      </c>
      <c r="B36">
        <v>13.26995</v>
      </c>
      <c r="C36">
        <v>30</v>
      </c>
      <c r="D36">
        <v>46</v>
      </c>
      <c r="H36" s="15" t="s">
        <v>129</v>
      </c>
      <c r="I36" s="5">
        <v>35</v>
      </c>
      <c r="J36" s="6">
        <v>60.0702</v>
      </c>
      <c r="K36" s="6">
        <v>57.9664</v>
      </c>
      <c r="L36">
        <v>12.885664285714286</v>
      </c>
      <c r="O36">
        <v>12.885664285714286</v>
      </c>
      <c r="P36">
        <v>35</v>
      </c>
    </row>
    <row r="37" spans="1:16" x14ac:dyDescent="0.25">
      <c r="A37" s="15" t="s">
        <v>92</v>
      </c>
      <c r="B37">
        <v>13.258521428571427</v>
      </c>
      <c r="C37">
        <v>30</v>
      </c>
      <c r="D37">
        <v>12</v>
      </c>
      <c r="H37" s="15" t="s">
        <v>45</v>
      </c>
      <c r="I37" s="5">
        <v>36</v>
      </c>
      <c r="J37" s="6">
        <v>59.003500000000003</v>
      </c>
      <c r="K37" s="6">
        <v>59.046900000000001</v>
      </c>
      <c r="L37">
        <v>13.486378571428572</v>
      </c>
      <c r="O37">
        <v>13.486378571428572</v>
      </c>
      <c r="P37">
        <v>36</v>
      </c>
    </row>
    <row r="38" spans="1:16" x14ac:dyDescent="0.25">
      <c r="A38" s="15" t="s">
        <v>40</v>
      </c>
      <c r="B38">
        <v>12.727092857142853</v>
      </c>
      <c r="C38">
        <v>30</v>
      </c>
      <c r="D38">
        <v>24</v>
      </c>
      <c r="H38" s="15" t="s">
        <v>89</v>
      </c>
      <c r="I38" s="5">
        <v>37</v>
      </c>
      <c r="J38" s="6">
        <v>60.572099999999999</v>
      </c>
      <c r="K38" s="6">
        <v>58.7074</v>
      </c>
      <c r="L38">
        <v>13.14995</v>
      </c>
      <c r="O38">
        <v>13.14995</v>
      </c>
      <c r="P38">
        <v>37</v>
      </c>
    </row>
    <row r="39" spans="1:16" x14ac:dyDescent="0.25">
      <c r="A39" s="15" t="s">
        <v>93</v>
      </c>
      <c r="B39">
        <v>12.884235714285714</v>
      </c>
      <c r="C39">
        <v>30</v>
      </c>
      <c r="D39">
        <v>13</v>
      </c>
      <c r="H39" s="15" t="s">
        <v>121</v>
      </c>
      <c r="I39" s="5">
        <v>40</v>
      </c>
      <c r="J39" s="6">
        <v>60.069000000000003</v>
      </c>
      <c r="K39" s="6">
        <v>59.234299999999998</v>
      </c>
      <c r="L39">
        <v>12.764950000000001</v>
      </c>
      <c r="O39">
        <v>12.764950000000001</v>
      </c>
      <c r="P39">
        <v>40</v>
      </c>
    </row>
    <row r="40" spans="1:16" x14ac:dyDescent="0.25">
      <c r="A40" s="15" t="s">
        <v>130</v>
      </c>
      <c r="B40">
        <v>12.978521428571428</v>
      </c>
      <c r="C40">
        <v>30</v>
      </c>
      <c r="D40">
        <v>25</v>
      </c>
      <c r="H40" s="15" t="s">
        <v>124</v>
      </c>
      <c r="I40" s="5">
        <v>41</v>
      </c>
      <c r="J40" s="6">
        <v>52.771900000000002</v>
      </c>
      <c r="K40" s="6">
        <v>57.444499999999998</v>
      </c>
      <c r="L40">
        <v>13.589235714285712</v>
      </c>
      <c r="O40">
        <v>13.589235714285712</v>
      </c>
      <c r="P40">
        <v>41</v>
      </c>
    </row>
    <row r="41" spans="1:16" x14ac:dyDescent="0.25">
      <c r="A41" s="15" t="s">
        <v>126</v>
      </c>
      <c r="B41">
        <v>12.453792307692309</v>
      </c>
      <c r="C41">
        <v>30</v>
      </c>
      <c r="D41">
        <v>2</v>
      </c>
      <c r="H41" s="15" t="s">
        <v>34</v>
      </c>
      <c r="I41" s="5">
        <v>42</v>
      </c>
      <c r="J41" s="6">
        <v>58.264699999999998</v>
      </c>
      <c r="K41" s="6">
        <v>59.1631</v>
      </c>
      <c r="L41">
        <v>13.075664285714286</v>
      </c>
      <c r="O41">
        <v>13.075664285714286</v>
      </c>
      <c r="P41">
        <v>42</v>
      </c>
    </row>
    <row r="42" spans="1:16" x14ac:dyDescent="0.25">
      <c r="A42" s="15" t="s">
        <v>129</v>
      </c>
      <c r="B42">
        <v>12.885664285714286</v>
      </c>
      <c r="C42">
        <v>30</v>
      </c>
      <c r="D42">
        <v>35</v>
      </c>
      <c r="H42" s="15" t="s">
        <v>125</v>
      </c>
      <c r="I42" s="5">
        <v>43</v>
      </c>
      <c r="J42" s="6">
        <v>48.546199999999999</v>
      </c>
      <c r="K42" s="6">
        <v>56.652099999999997</v>
      </c>
      <c r="L42">
        <v>13.652092857142859</v>
      </c>
      <c r="O42">
        <v>13.652092857142859</v>
      </c>
      <c r="P42">
        <v>43</v>
      </c>
    </row>
    <row r="43" spans="1:16" x14ac:dyDescent="0.25">
      <c r="A43" s="15" t="s">
        <v>94</v>
      </c>
      <c r="B43">
        <v>14.10995</v>
      </c>
      <c r="C43">
        <v>30</v>
      </c>
      <c r="D43">
        <v>9</v>
      </c>
      <c r="H43" s="15" t="s">
        <v>123</v>
      </c>
      <c r="I43" s="5">
        <v>44</v>
      </c>
      <c r="J43" s="6">
        <v>53.322899999999997</v>
      </c>
      <c r="K43" s="6">
        <v>57.523699999999998</v>
      </c>
      <c r="L43">
        <v>13.44352142857143</v>
      </c>
      <c r="O43">
        <v>13.44352142857143</v>
      </c>
      <c r="P43">
        <v>44</v>
      </c>
    </row>
    <row r="44" spans="1:16" x14ac:dyDescent="0.25">
      <c r="A44" s="15" t="s">
        <v>122</v>
      </c>
      <c r="B44">
        <v>13.149950000000002</v>
      </c>
      <c r="C44">
        <v>30</v>
      </c>
      <c r="D44">
        <v>3</v>
      </c>
      <c r="H44" s="15" t="s">
        <v>39</v>
      </c>
      <c r="I44" s="5">
        <v>45</v>
      </c>
      <c r="J44" s="6">
        <v>59.301499999999997</v>
      </c>
      <c r="K44" s="6">
        <v>57.971499999999999</v>
      </c>
      <c r="L44">
        <v>13.300664285714287</v>
      </c>
      <c r="O44">
        <v>13.300664285714287</v>
      </c>
      <c r="P44">
        <v>45</v>
      </c>
    </row>
    <row r="45" spans="1:16" x14ac:dyDescent="0.25">
      <c r="A45" s="15" t="s">
        <v>128</v>
      </c>
      <c r="B45">
        <v>12.967807142857144</v>
      </c>
      <c r="C45">
        <v>30</v>
      </c>
      <c r="D45">
        <v>5</v>
      </c>
      <c r="H45" s="15" t="s">
        <v>127</v>
      </c>
      <c r="I45" s="5">
        <v>46</v>
      </c>
      <c r="J45" s="6">
        <v>57.299799999999998</v>
      </c>
      <c r="K45" s="6">
        <v>57.973700000000001</v>
      </c>
      <c r="L45">
        <v>13.26995</v>
      </c>
      <c r="O45">
        <v>13.26995</v>
      </c>
      <c r="P45">
        <v>46</v>
      </c>
    </row>
    <row r="46" spans="1:16" x14ac:dyDescent="0.25">
      <c r="A46" s="15" t="s">
        <v>152</v>
      </c>
      <c r="B46">
        <v>14.848437499999999</v>
      </c>
      <c r="C46">
        <v>18</v>
      </c>
      <c r="D46">
        <v>48</v>
      </c>
    </row>
    <row r="47" spans="1:16" x14ac:dyDescent="0.25">
      <c r="A47" s="15" t="s">
        <v>43</v>
      </c>
      <c r="B47">
        <v>13.4859375</v>
      </c>
      <c r="C47">
        <v>18</v>
      </c>
      <c r="D47">
        <v>57</v>
      </c>
    </row>
    <row r="48" spans="1:16" x14ac:dyDescent="0.25">
      <c r="A48" s="15" t="s">
        <v>154</v>
      </c>
      <c r="B48">
        <v>15.060937500000001</v>
      </c>
      <c r="C48">
        <v>18</v>
      </c>
      <c r="D48">
        <v>60</v>
      </c>
    </row>
    <row r="49" spans="1:9" x14ac:dyDescent="0.25">
      <c r="A49" s="15" t="s">
        <v>103</v>
      </c>
      <c r="B49">
        <v>13.885937500000001</v>
      </c>
      <c r="C49">
        <v>18</v>
      </c>
      <c r="D49">
        <v>58</v>
      </c>
    </row>
    <row r="50" spans="1:9" x14ac:dyDescent="0.25">
      <c r="A50" s="15" t="s">
        <v>151</v>
      </c>
      <c r="B50">
        <v>14.635937500000001</v>
      </c>
      <c r="C50">
        <v>18</v>
      </c>
      <c r="D50">
        <v>49</v>
      </c>
      <c r="I50" s="15"/>
    </row>
    <row r="51" spans="1:9" x14ac:dyDescent="0.25">
      <c r="A51" s="15" t="s">
        <v>153</v>
      </c>
      <c r="B51">
        <v>14.360937500000002</v>
      </c>
      <c r="C51">
        <v>18</v>
      </c>
      <c r="D51">
        <v>47</v>
      </c>
      <c r="I51" s="15"/>
    </row>
    <row r="52" spans="1:9" x14ac:dyDescent="0.25">
      <c r="A52" s="15" t="s">
        <v>23</v>
      </c>
      <c r="B52">
        <v>13.5609375</v>
      </c>
      <c r="C52">
        <v>18</v>
      </c>
      <c r="D52">
        <v>38</v>
      </c>
      <c r="I52" s="15"/>
    </row>
    <row r="53" spans="1:9" x14ac:dyDescent="0.25">
      <c r="A53" s="15" t="s">
        <v>150</v>
      </c>
      <c r="B53">
        <v>13.7734375</v>
      </c>
      <c r="C53">
        <v>18</v>
      </c>
      <c r="D53">
        <v>7</v>
      </c>
      <c r="I53" s="15"/>
    </row>
    <row r="54" spans="1:9" x14ac:dyDescent="0.25">
      <c r="A54" s="15" t="s">
        <v>22</v>
      </c>
      <c r="B54">
        <v>13.910937499999999</v>
      </c>
      <c r="C54">
        <v>18</v>
      </c>
      <c r="D54">
        <v>39</v>
      </c>
      <c r="I54" s="15"/>
    </row>
    <row r="55" spans="1:9" x14ac:dyDescent="0.25">
      <c r="A55" s="15" t="s">
        <v>157</v>
      </c>
      <c r="B55">
        <v>13.410937500000001</v>
      </c>
      <c r="C55">
        <v>18</v>
      </c>
      <c r="D55">
        <v>19</v>
      </c>
      <c r="I55" s="15"/>
    </row>
    <row r="56" spans="1:9" x14ac:dyDescent="0.25">
      <c r="A56" s="15" t="s">
        <v>95</v>
      </c>
      <c r="B56">
        <v>14.4</v>
      </c>
      <c r="C56">
        <v>6</v>
      </c>
      <c r="D56">
        <v>100</v>
      </c>
      <c r="I56" s="15"/>
    </row>
    <row r="57" spans="1:9" x14ac:dyDescent="0.25">
      <c r="A57" s="15" t="s">
        <v>106</v>
      </c>
      <c r="B57">
        <v>13.238704047976009</v>
      </c>
      <c r="C57">
        <v>1446</v>
      </c>
      <c r="D57">
        <v>100</v>
      </c>
      <c r="I57" s="15"/>
    </row>
    <row r="58" spans="1:9" x14ac:dyDescent="0.25">
      <c r="I58" s="15"/>
    </row>
    <row r="59" spans="1:9" x14ac:dyDescent="0.25">
      <c r="I59" s="15"/>
    </row>
    <row r="60" spans="1:9" x14ac:dyDescent="0.25">
      <c r="I60" s="15"/>
    </row>
  </sheetData>
  <sortState xmlns:xlrd2="http://schemas.microsoft.com/office/spreadsheetml/2017/richdata2" ref="N4:P45">
    <sortCondition ref="P4:P4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98FF9-A9AD-4E2C-A824-EA2CA2171639}">
  <dimension ref="A1:N1603"/>
  <sheetViews>
    <sheetView workbookViewId="0">
      <pane ySplit="1" topLeftCell="A1410" activePane="bottomLeft" state="frozen"/>
      <selection pane="bottomLeft" activeCell="D1435" sqref="D1435"/>
    </sheetView>
  </sheetViews>
  <sheetFormatPr defaultRowHeight="15.75" x14ac:dyDescent="0.25"/>
  <cols>
    <col min="3" max="3" width="11.625" bestFit="1" customWidth="1"/>
    <col min="7" max="7" width="6.875" bestFit="1" customWidth="1"/>
    <col min="8" max="8" width="17.25" style="2" bestFit="1" customWidth="1"/>
    <col min="9" max="9" width="9.125" style="13" bestFit="1" customWidth="1"/>
  </cols>
  <sheetData>
    <row r="1" spans="1:14" ht="26.25" x14ac:dyDescent="0.25">
      <c r="A1" s="3" t="s">
        <v>15</v>
      </c>
      <c r="B1" s="3" t="s">
        <v>16</v>
      </c>
      <c r="C1" s="3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23" t="s">
        <v>96</v>
      </c>
      <c r="I1" s="1" t="s">
        <v>17</v>
      </c>
      <c r="J1" s="1" t="s">
        <v>6</v>
      </c>
      <c r="K1" s="1" t="s">
        <v>131</v>
      </c>
      <c r="L1" s="1" t="s">
        <v>155</v>
      </c>
      <c r="M1" s="1" t="s">
        <v>158</v>
      </c>
      <c r="N1" s="9" t="s">
        <v>18</v>
      </c>
    </row>
    <row r="2" spans="1:14" x14ac:dyDescent="0.25">
      <c r="A2">
        <v>2025</v>
      </c>
      <c r="B2" s="31" t="s">
        <v>115</v>
      </c>
      <c r="C2" s="31" t="s">
        <v>116</v>
      </c>
      <c r="D2" s="32">
        <v>1</v>
      </c>
      <c r="E2" s="32">
        <v>1</v>
      </c>
      <c r="F2" s="32">
        <v>1</v>
      </c>
      <c r="G2" s="32">
        <v>34</v>
      </c>
      <c r="H2" s="31" t="s">
        <v>42</v>
      </c>
      <c r="I2" s="12">
        <v>57.4</v>
      </c>
      <c r="J2">
        <v>55.987333365617431</v>
      </c>
      <c r="K2" s="11">
        <v>14.9</v>
      </c>
      <c r="L2" s="11"/>
      <c r="M2" s="11"/>
    </row>
    <row r="3" spans="1:14" x14ac:dyDescent="0.25">
      <c r="A3">
        <v>2025</v>
      </c>
      <c r="B3" s="31" t="s">
        <v>115</v>
      </c>
      <c r="C3" s="31" t="s">
        <v>116</v>
      </c>
      <c r="D3" s="32">
        <v>1</v>
      </c>
      <c r="E3" s="32">
        <v>2</v>
      </c>
      <c r="F3" s="32">
        <v>1</v>
      </c>
      <c r="G3" s="32">
        <v>9</v>
      </c>
      <c r="H3" s="31" t="s">
        <v>94</v>
      </c>
      <c r="I3" s="12">
        <v>53.2</v>
      </c>
      <c r="J3">
        <v>44.851985956416463</v>
      </c>
      <c r="K3" s="11">
        <v>16.600000000000001</v>
      </c>
      <c r="L3" s="11"/>
      <c r="M3" s="11"/>
    </row>
    <row r="4" spans="1:14" x14ac:dyDescent="0.25">
      <c r="A4">
        <v>2025</v>
      </c>
      <c r="B4" s="31" t="s">
        <v>115</v>
      </c>
      <c r="C4" s="31" t="s">
        <v>116</v>
      </c>
      <c r="D4" s="32">
        <v>1</v>
      </c>
      <c r="E4" s="32">
        <v>3</v>
      </c>
      <c r="F4" s="32">
        <v>1</v>
      </c>
      <c r="G4" s="32">
        <v>11</v>
      </c>
      <c r="H4" s="31" t="s">
        <v>90</v>
      </c>
      <c r="I4" s="12">
        <v>57.9</v>
      </c>
      <c r="J4">
        <v>66.940348184019371</v>
      </c>
      <c r="K4" s="11">
        <v>14.5</v>
      </c>
      <c r="L4" s="11"/>
      <c r="M4" s="11"/>
    </row>
    <row r="5" spans="1:14" x14ac:dyDescent="0.25">
      <c r="A5">
        <v>2025</v>
      </c>
      <c r="B5" s="31" t="s">
        <v>115</v>
      </c>
      <c r="C5" s="31" t="s">
        <v>116</v>
      </c>
      <c r="D5" s="32">
        <v>1</v>
      </c>
      <c r="E5" s="32">
        <v>4</v>
      </c>
      <c r="F5" s="32">
        <v>1</v>
      </c>
      <c r="G5" s="32">
        <v>33</v>
      </c>
      <c r="H5" s="31" t="s">
        <v>41</v>
      </c>
      <c r="I5" s="12">
        <v>57.3</v>
      </c>
      <c r="J5">
        <v>62.267811864406781</v>
      </c>
      <c r="K5" s="11">
        <v>14.5</v>
      </c>
      <c r="L5" s="11"/>
      <c r="M5" s="11"/>
    </row>
    <row r="6" spans="1:14" x14ac:dyDescent="0.25">
      <c r="A6">
        <v>2025</v>
      </c>
      <c r="B6" s="31" t="s">
        <v>115</v>
      </c>
      <c r="C6" s="31" t="s">
        <v>116</v>
      </c>
      <c r="D6" s="32">
        <v>1</v>
      </c>
      <c r="E6" s="32">
        <v>5</v>
      </c>
      <c r="F6" s="32">
        <v>1</v>
      </c>
      <c r="G6" s="32">
        <v>4</v>
      </c>
      <c r="H6" s="31" t="s">
        <v>117</v>
      </c>
      <c r="I6" s="12">
        <v>54.1</v>
      </c>
      <c r="J6">
        <v>49.276667506053265</v>
      </c>
      <c r="K6" s="11">
        <v>15.3</v>
      </c>
      <c r="L6" s="11"/>
      <c r="M6" s="11"/>
    </row>
    <row r="7" spans="1:14" x14ac:dyDescent="0.25">
      <c r="A7">
        <v>2025</v>
      </c>
      <c r="B7" s="31" t="s">
        <v>115</v>
      </c>
      <c r="C7" s="31" t="s">
        <v>116</v>
      </c>
      <c r="D7" s="32">
        <v>1</v>
      </c>
      <c r="E7" s="32">
        <v>6</v>
      </c>
      <c r="F7" s="32">
        <v>1</v>
      </c>
      <c r="G7" s="32">
        <v>14</v>
      </c>
      <c r="H7" s="31" t="s">
        <v>30</v>
      </c>
      <c r="I7" s="12">
        <v>57.6</v>
      </c>
      <c r="J7">
        <v>76.380489588377714</v>
      </c>
      <c r="K7" s="11">
        <v>14.4</v>
      </c>
      <c r="L7" s="11"/>
      <c r="M7" s="11"/>
    </row>
    <row r="8" spans="1:14" x14ac:dyDescent="0.25">
      <c r="A8">
        <v>2025</v>
      </c>
      <c r="B8" s="31" t="s">
        <v>115</v>
      </c>
      <c r="C8" s="31" t="s">
        <v>116</v>
      </c>
      <c r="D8" s="32">
        <v>1</v>
      </c>
      <c r="E8" s="32">
        <v>7</v>
      </c>
      <c r="F8" s="32">
        <v>1</v>
      </c>
      <c r="G8" s="32">
        <v>31</v>
      </c>
      <c r="H8" s="31" t="s">
        <v>36</v>
      </c>
      <c r="I8" s="12">
        <v>57.2</v>
      </c>
      <c r="J8">
        <v>60.873412445520586</v>
      </c>
      <c r="K8" s="11">
        <v>14.2</v>
      </c>
      <c r="L8" s="11"/>
      <c r="M8" s="11"/>
    </row>
    <row r="9" spans="1:14" x14ac:dyDescent="0.25">
      <c r="A9">
        <v>2025</v>
      </c>
      <c r="B9" s="31" t="s">
        <v>115</v>
      </c>
      <c r="C9" s="31" t="s">
        <v>116</v>
      </c>
      <c r="D9" s="32">
        <v>1</v>
      </c>
      <c r="E9" s="32">
        <v>8</v>
      </c>
      <c r="F9" s="32">
        <v>1</v>
      </c>
      <c r="G9" s="32">
        <v>15</v>
      </c>
      <c r="H9" s="31" t="s">
        <v>31</v>
      </c>
      <c r="I9" s="12">
        <v>56.3</v>
      </c>
      <c r="J9">
        <v>53.440669830508476</v>
      </c>
      <c r="K9" s="11">
        <v>13.9</v>
      </c>
      <c r="L9" s="11"/>
      <c r="M9" s="11"/>
    </row>
    <row r="10" spans="1:14" x14ac:dyDescent="0.25">
      <c r="A10">
        <v>2025</v>
      </c>
      <c r="B10" s="31" t="s">
        <v>115</v>
      </c>
      <c r="C10" s="31" t="s">
        <v>116</v>
      </c>
      <c r="D10" s="32">
        <v>1</v>
      </c>
      <c r="E10" s="32">
        <v>9</v>
      </c>
      <c r="F10" s="32">
        <v>1</v>
      </c>
      <c r="G10" s="32">
        <v>18</v>
      </c>
      <c r="H10" s="31" t="s">
        <v>29</v>
      </c>
      <c r="I10" s="12">
        <v>56.1</v>
      </c>
      <c r="J10">
        <v>57.232048619854723</v>
      </c>
      <c r="K10" s="11">
        <v>13.3</v>
      </c>
      <c r="L10" s="11"/>
      <c r="M10" s="11"/>
    </row>
    <row r="11" spans="1:14" x14ac:dyDescent="0.25">
      <c r="A11">
        <v>2025</v>
      </c>
      <c r="B11" s="31" t="s">
        <v>115</v>
      </c>
      <c r="C11" s="31" t="s">
        <v>116</v>
      </c>
      <c r="D11" s="32">
        <v>1</v>
      </c>
      <c r="E11" s="32">
        <v>10</v>
      </c>
      <c r="F11" s="32">
        <v>1</v>
      </c>
      <c r="G11" s="32">
        <v>8</v>
      </c>
      <c r="H11" s="31" t="s">
        <v>118</v>
      </c>
      <c r="I11" s="12">
        <v>56.6</v>
      </c>
      <c r="J11">
        <v>61.575075544794188</v>
      </c>
      <c r="K11" s="11">
        <v>13.9</v>
      </c>
      <c r="L11" s="11"/>
      <c r="M11" s="11"/>
    </row>
    <row r="12" spans="1:14" x14ac:dyDescent="0.25">
      <c r="A12">
        <v>2025</v>
      </c>
      <c r="B12" s="31" t="s">
        <v>115</v>
      </c>
      <c r="C12" s="31" t="s">
        <v>116</v>
      </c>
      <c r="D12" s="32">
        <v>1</v>
      </c>
      <c r="E12" s="32">
        <v>11</v>
      </c>
      <c r="F12" s="32">
        <v>1</v>
      </c>
      <c r="G12" s="32">
        <v>6</v>
      </c>
      <c r="H12" s="31" t="s">
        <v>119</v>
      </c>
      <c r="I12" s="12">
        <v>56.6</v>
      </c>
      <c r="J12">
        <v>50.398919999999997</v>
      </c>
      <c r="K12" s="11">
        <v>15.6</v>
      </c>
      <c r="L12" s="11"/>
      <c r="M12" s="11"/>
    </row>
    <row r="13" spans="1:14" x14ac:dyDescent="0.25">
      <c r="A13">
        <v>2025</v>
      </c>
      <c r="B13" s="31" t="s">
        <v>115</v>
      </c>
      <c r="C13" s="31" t="s">
        <v>116</v>
      </c>
      <c r="D13" s="32">
        <v>1</v>
      </c>
      <c r="E13" s="32">
        <v>11</v>
      </c>
      <c r="F13" s="32">
        <v>2</v>
      </c>
      <c r="G13" s="32">
        <v>26</v>
      </c>
      <c r="H13" s="31" t="s">
        <v>44</v>
      </c>
      <c r="I13" s="12">
        <v>56.6</v>
      </c>
      <c r="J13">
        <v>66.763506857142843</v>
      </c>
      <c r="K13" s="11">
        <v>14.5</v>
      </c>
      <c r="L13" s="11"/>
      <c r="M13" s="11"/>
    </row>
    <row r="14" spans="1:14" x14ac:dyDescent="0.25">
      <c r="A14">
        <v>2025</v>
      </c>
      <c r="B14" s="31" t="s">
        <v>115</v>
      </c>
      <c r="C14" s="31" t="s">
        <v>116</v>
      </c>
      <c r="D14" s="32">
        <v>1</v>
      </c>
      <c r="E14" s="32">
        <v>10</v>
      </c>
      <c r="F14" s="32">
        <v>2</v>
      </c>
      <c r="G14" s="32">
        <v>1</v>
      </c>
      <c r="H14" s="31" t="s">
        <v>120</v>
      </c>
      <c r="I14" s="12">
        <v>56.1</v>
      </c>
      <c r="J14">
        <v>64.18601357142856</v>
      </c>
      <c r="K14" s="11">
        <v>13.7</v>
      </c>
      <c r="L14" s="11"/>
      <c r="M14" s="11"/>
    </row>
    <row r="15" spans="1:14" x14ac:dyDescent="0.25">
      <c r="A15">
        <v>2025</v>
      </c>
      <c r="B15" s="31" t="s">
        <v>115</v>
      </c>
      <c r="C15" s="31" t="s">
        <v>116</v>
      </c>
      <c r="D15" s="32">
        <v>1</v>
      </c>
      <c r="E15" s="32">
        <v>9</v>
      </c>
      <c r="F15" s="32">
        <v>2</v>
      </c>
      <c r="G15" s="32">
        <v>40</v>
      </c>
      <c r="H15" s="31" t="s">
        <v>121</v>
      </c>
      <c r="I15" s="12">
        <v>58.9</v>
      </c>
      <c r="J15">
        <v>58.878203999999997</v>
      </c>
      <c r="K15" s="11">
        <v>13.7</v>
      </c>
      <c r="L15" s="11"/>
      <c r="M15" s="11"/>
    </row>
    <row r="16" spans="1:14" x14ac:dyDescent="0.25">
      <c r="A16">
        <v>2025</v>
      </c>
      <c r="B16" s="31" t="s">
        <v>115</v>
      </c>
      <c r="C16" s="31" t="s">
        <v>116</v>
      </c>
      <c r="D16" s="32">
        <v>1</v>
      </c>
      <c r="E16" s="32">
        <v>8</v>
      </c>
      <c r="F16" s="32">
        <v>2</v>
      </c>
      <c r="G16" s="32">
        <v>30</v>
      </c>
      <c r="H16" s="31" t="s">
        <v>21</v>
      </c>
      <c r="I16" s="12">
        <v>55.9</v>
      </c>
      <c r="J16">
        <v>46.95786857142857</v>
      </c>
      <c r="K16" s="11">
        <v>14.1</v>
      </c>
      <c r="L16" s="11"/>
      <c r="M16" s="11"/>
    </row>
    <row r="17" spans="1:13" x14ac:dyDescent="0.25">
      <c r="A17">
        <v>2025</v>
      </c>
      <c r="B17" s="31" t="s">
        <v>115</v>
      </c>
      <c r="C17" s="31" t="s">
        <v>116</v>
      </c>
      <c r="D17" s="32">
        <v>1</v>
      </c>
      <c r="E17" s="32">
        <v>7</v>
      </c>
      <c r="F17" s="32">
        <v>2</v>
      </c>
      <c r="G17" s="32">
        <v>10</v>
      </c>
      <c r="H17" s="31" t="s">
        <v>91</v>
      </c>
      <c r="I17" s="12">
        <v>52.4</v>
      </c>
      <c r="J17">
        <v>47.099165142857132</v>
      </c>
      <c r="K17" s="11">
        <v>16.100000000000001</v>
      </c>
      <c r="L17" s="11"/>
      <c r="M17" s="11"/>
    </row>
    <row r="18" spans="1:13" x14ac:dyDescent="0.25">
      <c r="A18">
        <v>2025</v>
      </c>
      <c r="B18" s="31" t="s">
        <v>115</v>
      </c>
      <c r="C18" s="31" t="s">
        <v>116</v>
      </c>
      <c r="D18" s="32">
        <v>1</v>
      </c>
      <c r="E18" s="32">
        <v>6</v>
      </c>
      <c r="F18" s="32">
        <v>2</v>
      </c>
      <c r="G18" s="32">
        <v>3</v>
      </c>
      <c r="H18" s="31" t="s">
        <v>122</v>
      </c>
      <c r="I18" s="12">
        <v>59.4</v>
      </c>
      <c r="J18">
        <v>52.902035999999974</v>
      </c>
      <c r="K18" s="11">
        <v>14.1</v>
      </c>
      <c r="L18" s="11"/>
      <c r="M18" s="11"/>
    </row>
    <row r="19" spans="1:13" x14ac:dyDescent="0.25">
      <c r="A19">
        <v>2025</v>
      </c>
      <c r="B19" s="31" t="s">
        <v>115</v>
      </c>
      <c r="C19" s="31" t="s">
        <v>116</v>
      </c>
      <c r="D19" s="32">
        <v>1</v>
      </c>
      <c r="E19" s="32">
        <v>5</v>
      </c>
      <c r="F19" s="32">
        <v>2</v>
      </c>
      <c r="G19" s="32">
        <v>44</v>
      </c>
      <c r="H19" s="31" t="s">
        <v>123</v>
      </c>
      <c r="I19" s="12">
        <v>55.5</v>
      </c>
      <c r="J19">
        <v>41.854767428571421</v>
      </c>
      <c r="K19" s="11">
        <v>15.1</v>
      </c>
      <c r="L19" s="11"/>
      <c r="M19" s="11"/>
    </row>
    <row r="20" spans="1:13" x14ac:dyDescent="0.25">
      <c r="A20">
        <v>2025</v>
      </c>
      <c r="B20" s="31" t="s">
        <v>115</v>
      </c>
      <c r="C20" s="31" t="s">
        <v>116</v>
      </c>
      <c r="D20" s="32">
        <v>1</v>
      </c>
      <c r="E20" s="32" t="s">
        <v>179</v>
      </c>
      <c r="F20" s="32">
        <v>2</v>
      </c>
      <c r="G20" s="32">
        <v>20</v>
      </c>
      <c r="H20" s="31" t="s">
        <v>24</v>
      </c>
      <c r="I20" s="12">
        <v>57.3</v>
      </c>
      <c r="J20">
        <v>69.06050485714286</v>
      </c>
      <c r="K20" s="11">
        <v>13.9</v>
      </c>
      <c r="L20" s="11"/>
      <c r="M20" s="11"/>
    </row>
    <row r="21" spans="1:13" x14ac:dyDescent="0.25">
      <c r="A21">
        <v>2025</v>
      </c>
      <c r="B21" s="31" t="s">
        <v>115</v>
      </c>
      <c r="C21" s="31" t="s">
        <v>116</v>
      </c>
      <c r="D21" s="32">
        <v>1</v>
      </c>
      <c r="E21" s="32">
        <v>3</v>
      </c>
      <c r="F21" s="32">
        <v>2</v>
      </c>
      <c r="G21" s="32">
        <v>0</v>
      </c>
      <c r="H21" s="33" t="s">
        <v>95</v>
      </c>
      <c r="I21" s="12">
        <v>56.2</v>
      </c>
      <c r="J21">
        <v>44.290422</v>
      </c>
      <c r="K21" s="11">
        <v>14</v>
      </c>
      <c r="L21" s="11"/>
      <c r="M21" s="11"/>
    </row>
    <row r="22" spans="1:13" x14ac:dyDescent="0.25">
      <c r="A22">
        <v>2025</v>
      </c>
      <c r="B22" s="31" t="s">
        <v>115</v>
      </c>
      <c r="C22" s="31" t="s">
        <v>116</v>
      </c>
      <c r="D22" s="32">
        <v>1</v>
      </c>
      <c r="E22" s="32">
        <v>2</v>
      </c>
      <c r="F22" s="32">
        <v>2</v>
      </c>
      <c r="G22" s="32">
        <v>41</v>
      </c>
      <c r="H22" s="31" t="s">
        <v>124</v>
      </c>
      <c r="I22" s="12">
        <v>57.4</v>
      </c>
      <c r="J22">
        <v>43.247980285714277</v>
      </c>
      <c r="K22" s="11">
        <v>15</v>
      </c>
      <c r="L22" s="11"/>
      <c r="M22" s="11"/>
    </row>
    <row r="23" spans="1:13" x14ac:dyDescent="0.25">
      <c r="A23">
        <v>2025</v>
      </c>
      <c r="B23" s="31" t="s">
        <v>115</v>
      </c>
      <c r="C23" s="31" t="s">
        <v>116</v>
      </c>
      <c r="D23" s="32">
        <v>1</v>
      </c>
      <c r="E23" s="32">
        <v>1</v>
      </c>
      <c r="F23" s="32">
        <v>2</v>
      </c>
      <c r="G23" s="32">
        <v>45</v>
      </c>
      <c r="H23" s="31" t="s">
        <v>39</v>
      </c>
      <c r="I23" s="12">
        <v>57.8</v>
      </c>
      <c r="J23">
        <v>60.46163828571428</v>
      </c>
      <c r="K23" s="11">
        <v>14.3</v>
      </c>
      <c r="L23" s="11"/>
      <c r="M23" s="11"/>
    </row>
    <row r="24" spans="1:13" x14ac:dyDescent="0.25">
      <c r="A24">
        <v>2025</v>
      </c>
      <c r="B24" s="31" t="s">
        <v>115</v>
      </c>
      <c r="C24" s="31" t="s">
        <v>116</v>
      </c>
      <c r="D24" s="32">
        <v>1</v>
      </c>
      <c r="E24" s="32">
        <v>1</v>
      </c>
      <c r="F24" s="32">
        <v>3</v>
      </c>
      <c r="G24" s="32">
        <v>43</v>
      </c>
      <c r="H24" s="31" t="s">
        <v>125</v>
      </c>
      <c r="I24" s="12">
        <v>56.9</v>
      </c>
      <c r="J24">
        <v>36.18369937046004</v>
      </c>
      <c r="K24" s="11">
        <v>14.8</v>
      </c>
      <c r="L24" s="11"/>
      <c r="M24" s="11"/>
    </row>
    <row r="25" spans="1:13" x14ac:dyDescent="0.25">
      <c r="A25">
        <v>2025</v>
      </c>
      <c r="B25" s="31" t="s">
        <v>115</v>
      </c>
      <c r="C25" s="31" t="s">
        <v>116</v>
      </c>
      <c r="D25" s="32">
        <v>1</v>
      </c>
      <c r="E25" s="32">
        <v>2</v>
      </c>
      <c r="F25" s="32">
        <v>3</v>
      </c>
      <c r="G25" s="32">
        <v>2</v>
      </c>
      <c r="H25" s="31" t="s">
        <v>126</v>
      </c>
      <c r="I25" s="12">
        <v>57.8</v>
      </c>
      <c r="J25">
        <v>67.386351573849879</v>
      </c>
      <c r="K25" s="11">
        <v>13.6</v>
      </c>
      <c r="L25" s="11"/>
      <c r="M25" s="11"/>
    </row>
    <row r="26" spans="1:13" x14ac:dyDescent="0.25">
      <c r="A26">
        <v>2025</v>
      </c>
      <c r="B26" s="31" t="s">
        <v>115</v>
      </c>
      <c r="C26" s="31" t="s">
        <v>116</v>
      </c>
      <c r="D26" s="32">
        <v>1</v>
      </c>
      <c r="E26" s="32">
        <v>3</v>
      </c>
      <c r="F26" s="32">
        <v>3</v>
      </c>
      <c r="G26" s="32">
        <v>32</v>
      </c>
      <c r="H26" s="31" t="s">
        <v>25</v>
      </c>
      <c r="I26" s="12">
        <v>59.9</v>
      </c>
      <c r="J26">
        <v>70.182495108958832</v>
      </c>
      <c r="K26" s="11">
        <v>14.7</v>
      </c>
      <c r="L26" s="11"/>
      <c r="M26" s="11"/>
    </row>
    <row r="27" spans="1:13" x14ac:dyDescent="0.25">
      <c r="A27">
        <v>2025</v>
      </c>
      <c r="B27" s="31" t="s">
        <v>115</v>
      </c>
      <c r="C27" s="31" t="s">
        <v>116</v>
      </c>
      <c r="D27" s="32">
        <v>1</v>
      </c>
      <c r="E27" s="32">
        <v>4</v>
      </c>
      <c r="F27" s="32">
        <v>3</v>
      </c>
      <c r="G27" s="32">
        <v>46</v>
      </c>
      <c r="H27" s="31" t="s">
        <v>127</v>
      </c>
      <c r="I27" s="12">
        <v>58</v>
      </c>
      <c r="J27">
        <v>65.078639999999993</v>
      </c>
      <c r="K27" s="11">
        <v>14.2</v>
      </c>
      <c r="L27" s="11"/>
      <c r="M27" s="11"/>
    </row>
    <row r="28" spans="1:13" x14ac:dyDescent="0.25">
      <c r="A28">
        <v>2025</v>
      </c>
      <c r="B28" s="31" t="s">
        <v>115</v>
      </c>
      <c r="C28" s="31" t="s">
        <v>116</v>
      </c>
      <c r="D28" s="32">
        <v>1</v>
      </c>
      <c r="E28" s="32">
        <v>5</v>
      </c>
      <c r="F28" s="32">
        <v>3</v>
      </c>
      <c r="G28" s="32">
        <v>21</v>
      </c>
      <c r="H28" s="31" t="s">
        <v>26</v>
      </c>
      <c r="I28" s="12">
        <v>56.3</v>
      </c>
      <c r="J28">
        <v>64.672361259079892</v>
      </c>
      <c r="K28" s="11">
        <v>13.6</v>
      </c>
      <c r="L28" s="11"/>
      <c r="M28" s="11"/>
    </row>
    <row r="29" spans="1:13" x14ac:dyDescent="0.25">
      <c r="A29">
        <v>2025</v>
      </c>
      <c r="B29" s="31" t="s">
        <v>115</v>
      </c>
      <c r="C29" s="31" t="s">
        <v>116</v>
      </c>
      <c r="D29" s="32">
        <v>1</v>
      </c>
      <c r="E29" s="32">
        <v>6</v>
      </c>
      <c r="F29" s="32">
        <v>3</v>
      </c>
      <c r="G29" s="32">
        <v>29</v>
      </c>
      <c r="H29" s="31" t="s">
        <v>27</v>
      </c>
      <c r="I29" s="12">
        <v>55.9</v>
      </c>
      <c r="J29">
        <v>63.548449975786916</v>
      </c>
      <c r="K29" s="11">
        <v>14.3</v>
      </c>
      <c r="L29" s="11"/>
      <c r="M29" s="11"/>
    </row>
    <row r="30" spans="1:13" x14ac:dyDescent="0.25">
      <c r="A30">
        <v>2025</v>
      </c>
      <c r="B30" s="31" t="s">
        <v>115</v>
      </c>
      <c r="C30" s="31" t="s">
        <v>116</v>
      </c>
      <c r="D30" s="32">
        <v>1</v>
      </c>
      <c r="E30" s="32">
        <v>7</v>
      </c>
      <c r="F30" s="32">
        <v>3</v>
      </c>
      <c r="G30" s="32">
        <v>5</v>
      </c>
      <c r="H30" s="31" t="s">
        <v>128</v>
      </c>
      <c r="I30" s="12">
        <v>56.4</v>
      </c>
      <c r="J30">
        <v>54.414973656174332</v>
      </c>
      <c r="K30" s="11">
        <v>14.5</v>
      </c>
      <c r="L30" s="11"/>
      <c r="M30" s="11"/>
    </row>
    <row r="31" spans="1:13" x14ac:dyDescent="0.25">
      <c r="A31">
        <v>2025</v>
      </c>
      <c r="B31" s="31" t="s">
        <v>115</v>
      </c>
      <c r="C31" s="31" t="s">
        <v>116</v>
      </c>
      <c r="D31" s="32">
        <v>1</v>
      </c>
      <c r="E31" s="32">
        <v>8</v>
      </c>
      <c r="F31" s="32">
        <v>3</v>
      </c>
      <c r="G31" s="32">
        <v>24</v>
      </c>
      <c r="H31" s="31" t="s">
        <v>40</v>
      </c>
      <c r="I31" s="12">
        <v>56.9</v>
      </c>
      <c r="J31">
        <v>61.309328861985477</v>
      </c>
      <c r="K31" s="11">
        <v>13.7</v>
      </c>
      <c r="L31" s="11"/>
      <c r="M31" s="11"/>
    </row>
    <row r="32" spans="1:13" x14ac:dyDescent="0.25">
      <c r="A32">
        <v>2025</v>
      </c>
      <c r="B32" s="31" t="s">
        <v>115</v>
      </c>
      <c r="C32" s="31" t="s">
        <v>116</v>
      </c>
      <c r="D32" s="32">
        <v>1</v>
      </c>
      <c r="E32" s="32">
        <v>9</v>
      </c>
      <c r="F32" s="32">
        <v>3</v>
      </c>
      <c r="G32" s="32">
        <v>35</v>
      </c>
      <c r="H32" s="31" t="s">
        <v>129</v>
      </c>
      <c r="I32" s="12">
        <v>57.6</v>
      </c>
      <c r="J32">
        <v>69.413991428571435</v>
      </c>
      <c r="K32" s="11">
        <v>14.5</v>
      </c>
      <c r="L32" s="11"/>
      <c r="M32" s="11"/>
    </row>
    <row r="33" spans="1:13" x14ac:dyDescent="0.25">
      <c r="A33">
        <v>2025</v>
      </c>
      <c r="B33" s="31" t="s">
        <v>115</v>
      </c>
      <c r="C33" s="31" t="s">
        <v>116</v>
      </c>
      <c r="D33" s="32">
        <v>1</v>
      </c>
      <c r="E33" s="32">
        <v>10</v>
      </c>
      <c r="F33" s="32">
        <v>3</v>
      </c>
      <c r="G33" s="32">
        <v>37</v>
      </c>
      <c r="H33" s="31" t="s">
        <v>89</v>
      </c>
      <c r="I33" s="12">
        <v>59.3</v>
      </c>
      <c r="J33">
        <v>71.537903389830518</v>
      </c>
      <c r="K33" s="11">
        <v>13.7</v>
      </c>
      <c r="L33" s="11"/>
      <c r="M33" s="11"/>
    </row>
    <row r="34" spans="1:13" x14ac:dyDescent="0.25">
      <c r="A34">
        <v>2025</v>
      </c>
      <c r="B34" s="31" t="s">
        <v>115</v>
      </c>
      <c r="C34" s="31" t="s">
        <v>116</v>
      </c>
      <c r="D34" s="32">
        <v>1</v>
      </c>
      <c r="E34" s="32">
        <v>11</v>
      </c>
      <c r="F34" s="32">
        <v>3</v>
      </c>
      <c r="G34" s="32">
        <v>17</v>
      </c>
      <c r="H34" s="31" t="s">
        <v>33</v>
      </c>
      <c r="I34" s="12">
        <v>55.6</v>
      </c>
      <c r="J34">
        <v>75.272039564164672</v>
      </c>
      <c r="K34" s="11">
        <v>14.1</v>
      </c>
      <c r="L34" s="11"/>
      <c r="M34" s="11"/>
    </row>
    <row r="35" spans="1:13" x14ac:dyDescent="0.25">
      <c r="A35">
        <v>2025</v>
      </c>
      <c r="B35" s="31" t="s">
        <v>115</v>
      </c>
      <c r="C35" s="31" t="s">
        <v>116</v>
      </c>
      <c r="D35" s="32">
        <v>1</v>
      </c>
      <c r="E35" s="32">
        <v>11</v>
      </c>
      <c r="F35" s="32">
        <v>4</v>
      </c>
      <c r="G35" s="32">
        <v>22</v>
      </c>
      <c r="H35" s="31" t="s">
        <v>28</v>
      </c>
      <c r="I35" s="12">
        <v>58.1</v>
      </c>
      <c r="J35">
        <v>64.528196213425119</v>
      </c>
      <c r="K35" s="11">
        <v>14.9</v>
      </c>
      <c r="L35" s="11"/>
      <c r="M35" s="11"/>
    </row>
    <row r="36" spans="1:13" x14ac:dyDescent="0.25">
      <c r="A36">
        <v>2025</v>
      </c>
      <c r="B36" s="31" t="s">
        <v>115</v>
      </c>
      <c r="C36" s="31" t="s">
        <v>116</v>
      </c>
      <c r="D36" s="32">
        <v>1</v>
      </c>
      <c r="E36" s="32">
        <v>10</v>
      </c>
      <c r="F36" s="32">
        <v>4</v>
      </c>
      <c r="G36" s="32">
        <v>25</v>
      </c>
      <c r="H36" s="31" t="s">
        <v>130</v>
      </c>
      <c r="I36" s="12">
        <v>57.2</v>
      </c>
      <c r="J36">
        <v>58.780753012048194</v>
      </c>
      <c r="K36" s="11">
        <v>14.4</v>
      </c>
      <c r="L36" s="11"/>
      <c r="M36" s="11"/>
    </row>
    <row r="37" spans="1:13" x14ac:dyDescent="0.25">
      <c r="A37">
        <v>2025</v>
      </c>
      <c r="B37" s="31" t="s">
        <v>115</v>
      </c>
      <c r="C37" s="31" t="s">
        <v>116</v>
      </c>
      <c r="D37" s="32">
        <v>1</v>
      </c>
      <c r="E37" s="32">
        <v>9</v>
      </c>
      <c r="F37" s="32">
        <v>4</v>
      </c>
      <c r="G37" s="32">
        <v>100</v>
      </c>
      <c r="H37" s="33" t="s">
        <v>95</v>
      </c>
      <c r="I37" s="12">
        <v>56</v>
      </c>
      <c r="J37">
        <v>46.333192771084342</v>
      </c>
      <c r="K37" s="11">
        <v>14.8</v>
      </c>
      <c r="L37" s="11"/>
      <c r="M37" s="11"/>
    </row>
    <row r="38" spans="1:13" x14ac:dyDescent="0.25">
      <c r="A38">
        <v>2025</v>
      </c>
      <c r="B38" s="31" t="s">
        <v>115</v>
      </c>
      <c r="C38" s="31" t="s">
        <v>116</v>
      </c>
      <c r="D38" s="32">
        <v>1</v>
      </c>
      <c r="E38" s="32">
        <v>8</v>
      </c>
      <c r="F38" s="32">
        <v>4</v>
      </c>
      <c r="G38" s="32">
        <v>23</v>
      </c>
      <c r="H38" s="31" t="s">
        <v>37</v>
      </c>
      <c r="I38" s="12">
        <v>56.9</v>
      </c>
      <c r="J38">
        <v>53.134046901893278</v>
      </c>
      <c r="K38" s="11">
        <v>15.6</v>
      </c>
      <c r="L38" s="11"/>
      <c r="M38" s="11"/>
    </row>
    <row r="39" spans="1:13" x14ac:dyDescent="0.25">
      <c r="A39">
        <v>2025</v>
      </c>
      <c r="B39" s="31" t="s">
        <v>115</v>
      </c>
      <c r="C39" s="31" t="s">
        <v>116</v>
      </c>
      <c r="D39" s="32">
        <v>1</v>
      </c>
      <c r="E39" s="32">
        <v>7</v>
      </c>
      <c r="F39" s="32">
        <v>4</v>
      </c>
      <c r="G39" s="32">
        <v>36</v>
      </c>
      <c r="H39" s="31" t="s">
        <v>45</v>
      </c>
      <c r="I39" s="12">
        <v>57</v>
      </c>
      <c r="J39">
        <v>53.901893287435449</v>
      </c>
      <c r="K39" s="11">
        <v>15.2</v>
      </c>
      <c r="L39" s="11"/>
      <c r="M39" s="11"/>
    </row>
    <row r="40" spans="1:13" x14ac:dyDescent="0.25">
      <c r="A40">
        <v>2025</v>
      </c>
      <c r="B40" s="31" t="s">
        <v>115</v>
      </c>
      <c r="C40" s="31" t="s">
        <v>116</v>
      </c>
      <c r="D40" s="32">
        <v>1</v>
      </c>
      <c r="E40" s="32">
        <v>6</v>
      </c>
      <c r="F40" s="32">
        <v>4</v>
      </c>
      <c r="G40" s="32">
        <v>28</v>
      </c>
      <c r="H40" s="31" t="s">
        <v>38</v>
      </c>
      <c r="I40" s="12">
        <v>55.1</v>
      </c>
      <c r="J40">
        <v>54.963582616178996</v>
      </c>
      <c r="K40" s="11">
        <v>14</v>
      </c>
      <c r="L40" s="11"/>
      <c r="M40" s="11"/>
    </row>
    <row r="41" spans="1:13" x14ac:dyDescent="0.25">
      <c r="A41">
        <v>2025</v>
      </c>
      <c r="B41" s="31" t="s">
        <v>115</v>
      </c>
      <c r="C41" s="31" t="s">
        <v>116</v>
      </c>
      <c r="D41" s="32">
        <v>1</v>
      </c>
      <c r="E41" s="32">
        <v>5</v>
      </c>
      <c r="F41" s="32">
        <v>4</v>
      </c>
      <c r="G41" s="32">
        <v>13</v>
      </c>
      <c r="H41" s="31" t="s">
        <v>93</v>
      </c>
      <c r="I41" s="12">
        <v>56.1</v>
      </c>
      <c r="J41">
        <v>61.831416523235788</v>
      </c>
      <c r="K41" s="11">
        <v>14.5</v>
      </c>
      <c r="L41" s="11"/>
      <c r="M41" s="11"/>
    </row>
    <row r="42" spans="1:13" x14ac:dyDescent="0.25">
      <c r="A42">
        <v>2025</v>
      </c>
      <c r="B42" s="31" t="s">
        <v>115</v>
      </c>
      <c r="C42" s="31" t="s">
        <v>116</v>
      </c>
      <c r="D42" s="32">
        <v>1</v>
      </c>
      <c r="E42" s="32">
        <v>4</v>
      </c>
      <c r="F42" s="32">
        <v>4</v>
      </c>
      <c r="G42" s="32">
        <v>27</v>
      </c>
      <c r="H42" s="31" t="s">
        <v>35</v>
      </c>
      <c r="I42" s="12">
        <v>56.4</v>
      </c>
      <c r="J42">
        <v>68.484087779690185</v>
      </c>
      <c r="K42" s="11">
        <v>14.1</v>
      </c>
      <c r="L42" s="11"/>
      <c r="M42" s="11"/>
    </row>
    <row r="43" spans="1:13" x14ac:dyDescent="0.25">
      <c r="A43">
        <v>2025</v>
      </c>
      <c r="B43" s="31" t="s">
        <v>115</v>
      </c>
      <c r="C43" s="31" t="s">
        <v>116</v>
      </c>
      <c r="D43" s="32">
        <v>1</v>
      </c>
      <c r="E43" s="32">
        <v>3</v>
      </c>
      <c r="F43" s="32">
        <v>4</v>
      </c>
      <c r="G43" s="32">
        <v>16</v>
      </c>
      <c r="H43" s="31" t="s">
        <v>32</v>
      </c>
      <c r="I43" s="12">
        <v>59.4</v>
      </c>
      <c r="J43">
        <v>67.523623063683303</v>
      </c>
      <c r="K43" s="11">
        <v>14.2</v>
      </c>
      <c r="L43" s="11"/>
      <c r="M43" s="11"/>
    </row>
    <row r="44" spans="1:13" x14ac:dyDescent="0.25">
      <c r="A44">
        <v>2025</v>
      </c>
      <c r="B44" s="31" t="s">
        <v>115</v>
      </c>
      <c r="C44" s="31" t="s">
        <v>116</v>
      </c>
      <c r="D44" s="32">
        <v>1</v>
      </c>
      <c r="E44" s="32">
        <v>2</v>
      </c>
      <c r="F44" s="32">
        <v>4</v>
      </c>
      <c r="G44" s="32">
        <v>12</v>
      </c>
      <c r="H44" s="31" t="s">
        <v>92</v>
      </c>
      <c r="I44" s="12">
        <v>56.9</v>
      </c>
      <c r="J44">
        <v>55.833955249569698</v>
      </c>
      <c r="K44" s="11">
        <v>15.5</v>
      </c>
      <c r="L44" s="11"/>
      <c r="M44" s="11"/>
    </row>
    <row r="45" spans="1:13" x14ac:dyDescent="0.25">
      <c r="A45">
        <v>2025</v>
      </c>
      <c r="B45" s="31" t="s">
        <v>115</v>
      </c>
      <c r="C45" s="31" t="s">
        <v>116</v>
      </c>
      <c r="D45" s="32">
        <v>1</v>
      </c>
      <c r="E45" s="32">
        <v>1</v>
      </c>
      <c r="F45" s="32">
        <v>4</v>
      </c>
      <c r="G45" s="32">
        <v>42</v>
      </c>
      <c r="H45" s="31" t="s">
        <v>34</v>
      </c>
      <c r="I45" s="12">
        <v>58.3</v>
      </c>
      <c r="J45">
        <v>62.616771084337344</v>
      </c>
      <c r="K45" s="11">
        <v>14.7</v>
      </c>
      <c r="L45" s="11"/>
      <c r="M45" s="11"/>
    </row>
    <row r="46" spans="1:13" x14ac:dyDescent="0.25">
      <c r="A46">
        <v>2025</v>
      </c>
      <c r="B46" s="31" t="s">
        <v>115</v>
      </c>
      <c r="C46" s="31" t="s">
        <v>116</v>
      </c>
      <c r="D46" s="32">
        <v>2</v>
      </c>
      <c r="E46" s="32">
        <v>1</v>
      </c>
      <c r="F46" s="32">
        <v>5</v>
      </c>
      <c r="G46" s="32">
        <v>11</v>
      </c>
      <c r="H46" s="31" t="s">
        <v>90</v>
      </c>
      <c r="I46" s="12">
        <v>60.2</v>
      </c>
      <c r="J46">
        <v>69.302820998278833</v>
      </c>
    </row>
    <row r="47" spans="1:13" x14ac:dyDescent="0.25">
      <c r="A47">
        <v>2025</v>
      </c>
      <c r="B47" s="31" t="s">
        <v>115</v>
      </c>
      <c r="C47" s="31" t="s">
        <v>116</v>
      </c>
      <c r="D47" s="32">
        <v>2</v>
      </c>
      <c r="E47" s="32">
        <v>2</v>
      </c>
      <c r="F47" s="32">
        <v>5</v>
      </c>
      <c r="G47" s="32">
        <v>13</v>
      </c>
      <c r="H47" s="31" t="s">
        <v>93</v>
      </c>
      <c r="I47" s="12">
        <v>56.4</v>
      </c>
      <c r="J47">
        <v>57.612963855421675</v>
      </c>
    </row>
    <row r="48" spans="1:13" x14ac:dyDescent="0.25">
      <c r="A48">
        <v>2025</v>
      </c>
      <c r="B48" s="31" t="s">
        <v>115</v>
      </c>
      <c r="C48" s="31" t="s">
        <v>116</v>
      </c>
      <c r="D48" s="32">
        <v>2</v>
      </c>
      <c r="E48" s="32">
        <v>3</v>
      </c>
      <c r="F48" s="32">
        <v>5</v>
      </c>
      <c r="G48" s="32">
        <v>20</v>
      </c>
      <c r="H48" s="31" t="s">
        <v>24</v>
      </c>
      <c r="I48" s="12">
        <v>56.9</v>
      </c>
      <c r="J48">
        <v>67.075907917383816</v>
      </c>
    </row>
    <row r="49" spans="1:10" x14ac:dyDescent="0.25">
      <c r="A49">
        <v>2025</v>
      </c>
      <c r="B49" s="31" t="s">
        <v>115</v>
      </c>
      <c r="C49" s="31" t="s">
        <v>116</v>
      </c>
      <c r="D49" s="32">
        <v>2</v>
      </c>
      <c r="E49" s="32">
        <v>4</v>
      </c>
      <c r="F49" s="32">
        <v>5</v>
      </c>
      <c r="G49" s="32">
        <v>1</v>
      </c>
      <c r="H49" s="31" t="s">
        <v>120</v>
      </c>
      <c r="I49" s="12">
        <v>56.8</v>
      </c>
      <c r="J49">
        <v>68.136537005163504</v>
      </c>
    </row>
    <row r="50" spans="1:10" x14ac:dyDescent="0.25">
      <c r="A50">
        <v>2025</v>
      </c>
      <c r="B50" s="31" t="s">
        <v>115</v>
      </c>
      <c r="C50" s="31" t="s">
        <v>116</v>
      </c>
      <c r="D50" s="32">
        <v>2</v>
      </c>
      <c r="E50" s="32">
        <v>5</v>
      </c>
      <c r="F50" s="32">
        <v>5</v>
      </c>
      <c r="G50" s="32">
        <v>46</v>
      </c>
      <c r="H50" s="31" t="s">
        <v>127</v>
      </c>
      <c r="I50" s="12">
        <v>57.1</v>
      </c>
      <c r="J50">
        <v>58.319879518072291</v>
      </c>
    </row>
    <row r="51" spans="1:10" x14ac:dyDescent="0.25">
      <c r="A51">
        <v>2025</v>
      </c>
      <c r="B51" s="31" t="s">
        <v>115</v>
      </c>
      <c r="C51" s="31" t="s">
        <v>116</v>
      </c>
      <c r="D51" s="32">
        <v>2</v>
      </c>
      <c r="E51" s="32">
        <v>6</v>
      </c>
      <c r="F51" s="32">
        <v>5</v>
      </c>
      <c r="G51" s="32">
        <v>100</v>
      </c>
      <c r="H51" s="33" t="s">
        <v>95</v>
      </c>
      <c r="I51" s="12">
        <v>56.6</v>
      </c>
      <c r="J51">
        <v>50.36559681583477</v>
      </c>
    </row>
    <row r="52" spans="1:10" x14ac:dyDescent="0.25">
      <c r="A52">
        <v>2025</v>
      </c>
      <c r="B52" s="31" t="s">
        <v>115</v>
      </c>
      <c r="C52" s="31" t="s">
        <v>116</v>
      </c>
      <c r="D52" s="32">
        <v>2</v>
      </c>
      <c r="E52" s="32">
        <v>7</v>
      </c>
      <c r="F52" s="32">
        <v>5</v>
      </c>
      <c r="G52" s="32">
        <v>24</v>
      </c>
      <c r="H52" s="31" t="s">
        <v>40</v>
      </c>
      <c r="I52" s="12">
        <v>56.6</v>
      </c>
      <c r="J52">
        <v>64.908860585197928</v>
      </c>
    </row>
    <row r="53" spans="1:10" x14ac:dyDescent="0.25">
      <c r="A53">
        <v>2025</v>
      </c>
      <c r="B53" s="31" t="s">
        <v>115</v>
      </c>
      <c r="C53" s="31" t="s">
        <v>116</v>
      </c>
      <c r="D53" s="32">
        <v>2</v>
      </c>
      <c r="E53" s="32">
        <v>8</v>
      </c>
      <c r="F53" s="32">
        <v>5</v>
      </c>
      <c r="G53" s="32">
        <v>36</v>
      </c>
      <c r="H53" s="31" t="s">
        <v>45</v>
      </c>
      <c r="I53" s="12">
        <v>58.4</v>
      </c>
      <c r="J53">
        <v>48.218320137693624</v>
      </c>
    </row>
    <row r="54" spans="1:10" x14ac:dyDescent="0.25">
      <c r="A54">
        <v>2025</v>
      </c>
      <c r="B54" s="31" t="s">
        <v>115</v>
      </c>
      <c r="C54" s="31" t="s">
        <v>116</v>
      </c>
      <c r="D54" s="32">
        <v>2</v>
      </c>
      <c r="E54" s="32">
        <v>9</v>
      </c>
      <c r="F54" s="32">
        <v>5</v>
      </c>
      <c r="G54" s="32">
        <v>42</v>
      </c>
      <c r="H54" s="31" t="s">
        <v>34</v>
      </c>
      <c r="I54" s="12" t="s">
        <v>12</v>
      </c>
      <c r="J54" t="s">
        <v>12</v>
      </c>
    </row>
    <row r="55" spans="1:10" x14ac:dyDescent="0.25">
      <c r="A55">
        <v>2025</v>
      </c>
      <c r="B55" s="31" t="s">
        <v>115</v>
      </c>
      <c r="C55" s="31" t="s">
        <v>116</v>
      </c>
      <c r="D55" s="32">
        <v>2</v>
      </c>
      <c r="E55" s="32">
        <v>10</v>
      </c>
      <c r="F55" s="32">
        <v>5</v>
      </c>
      <c r="G55" s="32">
        <v>6</v>
      </c>
      <c r="H55" s="31" t="s">
        <v>119</v>
      </c>
      <c r="I55" s="12">
        <v>54.1</v>
      </c>
      <c r="J55">
        <v>46.49379087779689</v>
      </c>
    </row>
    <row r="56" spans="1:10" x14ac:dyDescent="0.25">
      <c r="A56">
        <v>2025</v>
      </c>
      <c r="B56" s="31" t="s">
        <v>115</v>
      </c>
      <c r="C56" s="31" t="s">
        <v>116</v>
      </c>
      <c r="D56" s="32">
        <v>2</v>
      </c>
      <c r="E56" s="32">
        <v>11</v>
      </c>
      <c r="F56" s="32">
        <v>5</v>
      </c>
      <c r="G56" s="32">
        <v>3</v>
      </c>
      <c r="H56" s="31" t="s">
        <v>122</v>
      </c>
      <c r="I56" s="12">
        <v>56.9</v>
      </c>
      <c r="J56">
        <v>58.005219879518073</v>
      </c>
    </row>
    <row r="57" spans="1:10" x14ac:dyDescent="0.25">
      <c r="A57">
        <v>2025</v>
      </c>
      <c r="B57" s="31" t="s">
        <v>115</v>
      </c>
      <c r="C57" s="31" t="s">
        <v>116</v>
      </c>
      <c r="D57" s="32">
        <v>2</v>
      </c>
      <c r="E57" s="32">
        <v>11</v>
      </c>
      <c r="F57" s="32">
        <v>6</v>
      </c>
      <c r="G57" s="32">
        <v>15</v>
      </c>
      <c r="H57" s="31" t="s">
        <v>31</v>
      </c>
      <c r="I57" s="12">
        <v>54.2</v>
      </c>
      <c r="J57">
        <v>71.941911784068466</v>
      </c>
    </row>
    <row r="58" spans="1:10" x14ac:dyDescent="0.25">
      <c r="A58">
        <v>2025</v>
      </c>
      <c r="B58" s="31" t="s">
        <v>115</v>
      </c>
      <c r="C58" s="31" t="s">
        <v>116</v>
      </c>
      <c r="D58" s="32">
        <v>2</v>
      </c>
      <c r="E58" s="32">
        <v>10</v>
      </c>
      <c r="F58" s="32">
        <v>6</v>
      </c>
      <c r="G58" s="32">
        <v>4</v>
      </c>
      <c r="H58" s="31" t="s">
        <v>117</v>
      </c>
      <c r="I58" s="12">
        <v>54.3</v>
      </c>
      <c r="J58">
        <v>54.581103075331519</v>
      </c>
    </row>
    <row r="59" spans="1:10" x14ac:dyDescent="0.25">
      <c r="A59">
        <v>2025</v>
      </c>
      <c r="B59" s="31" t="s">
        <v>115</v>
      </c>
      <c r="C59" s="31" t="s">
        <v>116</v>
      </c>
      <c r="D59" s="32">
        <v>2</v>
      </c>
      <c r="E59" s="32">
        <v>9</v>
      </c>
      <c r="F59" s="32">
        <v>6</v>
      </c>
      <c r="G59" s="32">
        <v>25</v>
      </c>
      <c r="H59" s="31" t="s">
        <v>130</v>
      </c>
      <c r="I59" s="12" t="s">
        <v>12</v>
      </c>
      <c r="J59" t="s">
        <v>12</v>
      </c>
    </row>
    <row r="60" spans="1:10" x14ac:dyDescent="0.25">
      <c r="A60">
        <v>2025</v>
      </c>
      <c r="B60" s="31" t="s">
        <v>115</v>
      </c>
      <c r="C60" s="31" t="s">
        <v>116</v>
      </c>
      <c r="D60" s="32">
        <v>2</v>
      </c>
      <c r="E60" s="32">
        <v>8</v>
      </c>
      <c r="F60" s="32">
        <v>6</v>
      </c>
      <c r="G60" s="32">
        <v>44</v>
      </c>
      <c r="H60" s="31" t="s">
        <v>123</v>
      </c>
      <c r="I60" s="12">
        <v>55.8</v>
      </c>
      <c r="J60">
        <v>45.479978980532309</v>
      </c>
    </row>
    <row r="61" spans="1:10" x14ac:dyDescent="0.25">
      <c r="A61">
        <v>2025</v>
      </c>
      <c r="B61" s="31" t="s">
        <v>115</v>
      </c>
      <c r="C61" s="31" t="s">
        <v>116</v>
      </c>
      <c r="D61" s="32">
        <v>2</v>
      </c>
      <c r="E61" s="32">
        <v>7</v>
      </c>
      <c r="F61" s="32">
        <v>6</v>
      </c>
      <c r="G61" s="32">
        <v>17</v>
      </c>
      <c r="H61" s="31" t="s">
        <v>33</v>
      </c>
      <c r="I61" s="12">
        <v>57.6</v>
      </c>
      <c r="J61">
        <v>72.768957020596261</v>
      </c>
    </row>
    <row r="62" spans="1:10" x14ac:dyDescent="0.25">
      <c r="A62">
        <v>2025</v>
      </c>
      <c r="B62" s="31" t="s">
        <v>115</v>
      </c>
      <c r="C62" s="31" t="s">
        <v>116</v>
      </c>
      <c r="D62" s="32">
        <v>2</v>
      </c>
      <c r="E62" s="32">
        <v>6</v>
      </c>
      <c r="F62" s="32">
        <v>6</v>
      </c>
      <c r="G62" s="32">
        <v>2</v>
      </c>
      <c r="H62" s="31" t="s">
        <v>126</v>
      </c>
      <c r="I62" s="12">
        <v>57.1</v>
      </c>
      <c r="J62">
        <v>61.840057180475874</v>
      </c>
    </row>
    <row r="63" spans="1:10" x14ac:dyDescent="0.25">
      <c r="A63">
        <v>2025</v>
      </c>
      <c r="B63" s="31" t="s">
        <v>115</v>
      </c>
      <c r="C63" s="31" t="s">
        <v>116</v>
      </c>
      <c r="D63" s="32">
        <v>2</v>
      </c>
      <c r="E63" s="32">
        <v>5</v>
      </c>
      <c r="F63" s="32">
        <v>6</v>
      </c>
      <c r="G63" s="32">
        <v>31</v>
      </c>
      <c r="H63" s="31" t="s">
        <v>36</v>
      </c>
      <c r="I63" s="12">
        <v>56.6</v>
      </c>
      <c r="J63">
        <v>62.56386142198815</v>
      </c>
    </row>
    <row r="64" spans="1:10" x14ac:dyDescent="0.25">
      <c r="A64">
        <v>2025</v>
      </c>
      <c r="B64" s="31" t="s">
        <v>115</v>
      </c>
      <c r="C64" s="31" t="s">
        <v>116</v>
      </c>
      <c r="D64" s="32">
        <v>2</v>
      </c>
      <c r="E64" s="32">
        <v>4</v>
      </c>
      <c r="F64" s="32">
        <v>6</v>
      </c>
      <c r="G64" s="32">
        <v>37</v>
      </c>
      <c r="H64" s="31" t="s">
        <v>89</v>
      </c>
      <c r="I64" s="12">
        <v>57.6</v>
      </c>
      <c r="J64">
        <v>66.970581115395476</v>
      </c>
    </row>
    <row r="65" spans="1:10" x14ac:dyDescent="0.25">
      <c r="A65">
        <v>2025</v>
      </c>
      <c r="B65" s="31" t="s">
        <v>115</v>
      </c>
      <c r="C65" s="31" t="s">
        <v>116</v>
      </c>
      <c r="D65" s="32">
        <v>2</v>
      </c>
      <c r="E65" s="32">
        <v>3</v>
      </c>
      <c r="F65" s="32">
        <v>6</v>
      </c>
      <c r="G65" s="32">
        <v>21</v>
      </c>
      <c r="H65" s="31" t="s">
        <v>26</v>
      </c>
      <c r="I65" s="12">
        <v>57.3</v>
      </c>
      <c r="J65">
        <v>66.354263519232575</v>
      </c>
    </row>
    <row r="66" spans="1:10" x14ac:dyDescent="0.25">
      <c r="A66">
        <v>2025</v>
      </c>
      <c r="B66" s="31" t="s">
        <v>115</v>
      </c>
      <c r="C66" s="31" t="s">
        <v>116</v>
      </c>
      <c r="D66" s="32">
        <v>2</v>
      </c>
      <c r="E66" s="32">
        <v>2</v>
      </c>
      <c r="F66" s="32">
        <v>6</v>
      </c>
      <c r="G66" s="32">
        <v>5</v>
      </c>
      <c r="H66" s="31" t="s">
        <v>128</v>
      </c>
      <c r="I66" s="12">
        <v>56.3</v>
      </c>
      <c r="J66">
        <v>54.993648076742211</v>
      </c>
    </row>
    <row r="67" spans="1:10" x14ac:dyDescent="0.25">
      <c r="A67">
        <v>2025</v>
      </c>
      <c r="B67" s="31" t="s">
        <v>115</v>
      </c>
      <c r="C67" s="31" t="s">
        <v>116</v>
      </c>
      <c r="D67" s="32">
        <v>2</v>
      </c>
      <c r="E67" s="32">
        <v>1</v>
      </c>
      <c r="F67" s="32">
        <v>6</v>
      </c>
      <c r="G67" s="32">
        <v>23</v>
      </c>
      <c r="H67" s="31" t="s">
        <v>37</v>
      </c>
      <c r="I67" s="12">
        <v>58</v>
      </c>
      <c r="J67">
        <v>57.240276779836357</v>
      </c>
    </row>
    <row r="68" spans="1:10" x14ac:dyDescent="0.25">
      <c r="A68">
        <v>2025</v>
      </c>
      <c r="B68" s="31" t="s">
        <v>115</v>
      </c>
      <c r="C68" s="31" t="s">
        <v>116</v>
      </c>
      <c r="D68" s="32">
        <v>2</v>
      </c>
      <c r="E68" s="32">
        <v>1</v>
      </c>
      <c r="F68" s="32">
        <v>7</v>
      </c>
      <c r="G68" s="32">
        <v>32</v>
      </c>
      <c r="H68" s="31" t="s">
        <v>25</v>
      </c>
      <c r="I68" s="12">
        <v>59.4</v>
      </c>
      <c r="J68">
        <v>71.241509281133972</v>
      </c>
    </row>
    <row r="69" spans="1:10" x14ac:dyDescent="0.25">
      <c r="A69">
        <v>2025</v>
      </c>
      <c r="B69" s="31" t="s">
        <v>115</v>
      </c>
      <c r="C69" s="31" t="s">
        <v>116</v>
      </c>
      <c r="D69" s="32">
        <v>2</v>
      </c>
      <c r="E69" s="32">
        <v>2</v>
      </c>
      <c r="F69" s="32">
        <v>7</v>
      </c>
      <c r="G69" s="32">
        <v>16</v>
      </c>
      <c r="H69" s="31" t="s">
        <v>32</v>
      </c>
      <c r="I69" s="12">
        <v>60</v>
      </c>
      <c r="J69">
        <v>69.779835687768198</v>
      </c>
    </row>
    <row r="70" spans="1:10" x14ac:dyDescent="0.25">
      <c r="A70">
        <v>2025</v>
      </c>
      <c r="B70" s="31" t="s">
        <v>115</v>
      </c>
      <c r="C70" s="31" t="s">
        <v>116</v>
      </c>
      <c r="D70" s="32">
        <v>2</v>
      </c>
      <c r="E70" s="32">
        <v>3</v>
      </c>
      <c r="F70" s="32">
        <v>7</v>
      </c>
      <c r="G70" s="32">
        <v>0</v>
      </c>
      <c r="H70" s="33" t="s">
        <v>95</v>
      </c>
      <c r="I70" s="12">
        <v>57.3</v>
      </c>
      <c r="J70">
        <v>53.458744660334595</v>
      </c>
    </row>
    <row r="71" spans="1:10" x14ac:dyDescent="0.25">
      <c r="A71">
        <v>2025</v>
      </c>
      <c r="B71" s="31" t="s">
        <v>115</v>
      </c>
      <c r="C71" s="31" t="s">
        <v>116</v>
      </c>
      <c r="D71" s="32">
        <v>2</v>
      </c>
      <c r="E71" s="32">
        <v>4</v>
      </c>
      <c r="F71" s="32">
        <v>7</v>
      </c>
      <c r="G71" s="32">
        <v>34</v>
      </c>
      <c r="H71" s="31" t="s">
        <v>42</v>
      </c>
      <c r="I71" s="12">
        <v>57.5</v>
      </c>
      <c r="J71">
        <v>68.57744462658502</v>
      </c>
    </row>
    <row r="72" spans="1:10" x14ac:dyDescent="0.25">
      <c r="A72">
        <v>2025</v>
      </c>
      <c r="B72" s="31" t="s">
        <v>115</v>
      </c>
      <c r="C72" s="31" t="s">
        <v>116</v>
      </c>
      <c r="D72" s="32">
        <v>2</v>
      </c>
      <c r="E72" s="32">
        <v>5</v>
      </c>
      <c r="F72" s="32">
        <v>7</v>
      </c>
      <c r="G72" s="32">
        <v>8</v>
      </c>
      <c r="H72" s="31" t="s">
        <v>118</v>
      </c>
      <c r="I72" s="12">
        <v>55.9</v>
      </c>
      <c r="J72">
        <v>71.209185478038648</v>
      </c>
    </row>
    <row r="73" spans="1:10" x14ac:dyDescent="0.25">
      <c r="A73">
        <v>2025</v>
      </c>
      <c r="B73" s="31" t="s">
        <v>115</v>
      </c>
      <c r="C73" s="31" t="s">
        <v>116</v>
      </c>
      <c r="D73" s="32">
        <v>2</v>
      </c>
      <c r="E73" s="32">
        <v>6</v>
      </c>
      <c r="F73" s="32">
        <v>7</v>
      </c>
      <c r="G73" s="32">
        <v>27</v>
      </c>
      <c r="H73" s="31" t="s">
        <v>35</v>
      </c>
      <c r="I73" s="12">
        <v>56.5</v>
      </c>
      <c r="J73">
        <v>75.621933513331101</v>
      </c>
    </row>
    <row r="74" spans="1:10" x14ac:dyDescent="0.25">
      <c r="A74">
        <v>2025</v>
      </c>
      <c r="B74" s="31" t="s">
        <v>115</v>
      </c>
      <c r="C74" s="31" t="s">
        <v>116</v>
      </c>
      <c r="D74" s="32">
        <v>2</v>
      </c>
      <c r="E74" s="32">
        <v>7</v>
      </c>
      <c r="F74" s="32">
        <v>7</v>
      </c>
      <c r="G74" s="32">
        <v>12</v>
      </c>
      <c r="H74" s="31" t="s">
        <v>92</v>
      </c>
      <c r="I74" s="12">
        <v>56.4</v>
      </c>
      <c r="J74">
        <v>63.734826286099995</v>
      </c>
    </row>
    <row r="75" spans="1:10" x14ac:dyDescent="0.25">
      <c r="A75">
        <v>2025</v>
      </c>
      <c r="B75" s="31" t="s">
        <v>115</v>
      </c>
      <c r="C75" s="31" t="s">
        <v>116</v>
      </c>
      <c r="D75" s="32">
        <v>2</v>
      </c>
      <c r="E75" s="32">
        <v>8</v>
      </c>
      <c r="F75" s="32">
        <v>7</v>
      </c>
      <c r="G75" s="32">
        <v>10</v>
      </c>
      <c r="H75" s="31" t="s">
        <v>91</v>
      </c>
      <c r="I75" s="12">
        <v>52.6</v>
      </c>
      <c r="J75">
        <v>47.086673930861572</v>
      </c>
    </row>
    <row r="76" spans="1:10" x14ac:dyDescent="0.25">
      <c r="A76">
        <v>2025</v>
      </c>
      <c r="B76" s="31" t="s">
        <v>115</v>
      </c>
      <c r="C76" s="31" t="s">
        <v>116</v>
      </c>
      <c r="D76" s="32">
        <v>2</v>
      </c>
      <c r="E76" s="32">
        <v>9</v>
      </c>
      <c r="F76" s="32">
        <v>7</v>
      </c>
      <c r="G76" s="32">
        <v>14</v>
      </c>
      <c r="H76" s="31" t="s">
        <v>30</v>
      </c>
      <c r="I76" s="12">
        <v>58.4</v>
      </c>
      <c r="J76">
        <v>77.003045802998898</v>
      </c>
    </row>
    <row r="77" spans="1:10" x14ac:dyDescent="0.25">
      <c r="A77">
        <v>2025</v>
      </c>
      <c r="B77" s="31" t="s">
        <v>115</v>
      </c>
      <c r="C77" s="31" t="s">
        <v>116</v>
      </c>
      <c r="D77" s="32">
        <v>2</v>
      </c>
      <c r="E77" s="32">
        <v>10</v>
      </c>
      <c r="F77" s="32">
        <v>7</v>
      </c>
      <c r="G77" s="32">
        <v>28</v>
      </c>
      <c r="H77" s="31" t="s">
        <v>38</v>
      </c>
      <c r="I77" s="12">
        <v>55.5</v>
      </c>
      <c r="J77">
        <v>58.476480497565205</v>
      </c>
    </row>
    <row r="78" spans="1:10" x14ac:dyDescent="0.25">
      <c r="A78">
        <v>2025</v>
      </c>
      <c r="B78" s="31" t="s">
        <v>115</v>
      </c>
      <c r="C78" s="31" t="s">
        <v>116</v>
      </c>
      <c r="D78" s="32">
        <v>2</v>
      </c>
      <c r="E78" s="32">
        <v>11</v>
      </c>
      <c r="F78" s="32">
        <v>7</v>
      </c>
      <c r="G78" s="32">
        <v>30</v>
      </c>
      <c r="H78" s="31" t="s">
        <v>21</v>
      </c>
      <c r="I78" s="12">
        <v>55.9</v>
      </c>
      <c r="J78">
        <v>52.34300544814618</v>
      </c>
    </row>
    <row r="79" spans="1:10" x14ac:dyDescent="0.25">
      <c r="A79">
        <v>2025</v>
      </c>
      <c r="B79" s="31" t="s">
        <v>115</v>
      </c>
      <c r="C79" s="31" t="s">
        <v>116</v>
      </c>
      <c r="D79" s="32">
        <v>2</v>
      </c>
      <c r="E79" s="32">
        <v>11</v>
      </c>
      <c r="F79" s="32">
        <v>8</v>
      </c>
      <c r="G79" s="32">
        <v>43</v>
      </c>
      <c r="H79" s="31" t="s">
        <v>125</v>
      </c>
      <c r="I79" s="12">
        <v>54.8</v>
      </c>
      <c r="J79">
        <v>49.793762478485363</v>
      </c>
    </row>
    <row r="80" spans="1:10" x14ac:dyDescent="0.25">
      <c r="A80">
        <v>2025</v>
      </c>
      <c r="B80" s="31" t="s">
        <v>115</v>
      </c>
      <c r="C80" s="31" t="s">
        <v>116</v>
      </c>
      <c r="D80" s="32">
        <v>2</v>
      </c>
      <c r="E80" s="32">
        <v>10</v>
      </c>
      <c r="F80" s="32">
        <v>8</v>
      </c>
      <c r="G80" s="32">
        <v>45</v>
      </c>
      <c r="H80" s="31" t="s">
        <v>39</v>
      </c>
      <c r="I80" s="12">
        <v>57.1</v>
      </c>
      <c r="J80">
        <v>68.511540447504302</v>
      </c>
    </row>
    <row r="81" spans="1:10" x14ac:dyDescent="0.25">
      <c r="A81">
        <v>2025</v>
      </c>
      <c r="B81" s="31" t="s">
        <v>115</v>
      </c>
      <c r="C81" s="31" t="s">
        <v>116</v>
      </c>
      <c r="D81" s="32">
        <v>2</v>
      </c>
      <c r="E81" s="32">
        <v>9</v>
      </c>
      <c r="F81" s="32">
        <v>8</v>
      </c>
      <c r="G81" s="32">
        <v>22</v>
      </c>
      <c r="H81" s="31" t="s">
        <v>28</v>
      </c>
      <c r="I81" s="12">
        <v>58.8</v>
      </c>
      <c r="J81">
        <v>66.667653614457848</v>
      </c>
    </row>
    <row r="82" spans="1:10" x14ac:dyDescent="0.25">
      <c r="A82">
        <v>2025</v>
      </c>
      <c r="B82" s="31" t="s">
        <v>115</v>
      </c>
      <c r="C82" s="31" t="s">
        <v>116</v>
      </c>
      <c r="D82" s="32">
        <v>2</v>
      </c>
      <c r="E82" s="32">
        <v>8</v>
      </c>
      <c r="F82" s="32">
        <v>8</v>
      </c>
      <c r="G82" s="32">
        <v>40</v>
      </c>
      <c r="H82" s="31" t="s">
        <v>121</v>
      </c>
      <c r="I82" s="12">
        <v>59</v>
      </c>
      <c r="J82">
        <v>67.309728915662632</v>
      </c>
    </row>
    <row r="83" spans="1:10" x14ac:dyDescent="0.25">
      <c r="A83">
        <v>2025</v>
      </c>
      <c r="B83" s="31" t="s">
        <v>115</v>
      </c>
      <c r="C83" s="31" t="s">
        <v>116</v>
      </c>
      <c r="D83" s="32">
        <v>2</v>
      </c>
      <c r="E83" s="32">
        <v>7</v>
      </c>
      <c r="F83" s="32">
        <v>8</v>
      </c>
      <c r="G83" s="32">
        <v>29</v>
      </c>
      <c r="H83" s="31" t="s">
        <v>27</v>
      </c>
      <c r="I83" s="12">
        <v>55.9</v>
      </c>
      <c r="J83">
        <v>65.814107573149727</v>
      </c>
    </row>
    <row r="84" spans="1:10" x14ac:dyDescent="0.25">
      <c r="A84">
        <v>2025</v>
      </c>
      <c r="B84" s="31" t="s">
        <v>115</v>
      </c>
      <c r="C84" s="31" t="s">
        <v>116</v>
      </c>
      <c r="D84" s="32">
        <v>2</v>
      </c>
      <c r="E84" s="32">
        <v>6</v>
      </c>
      <c r="F84" s="32">
        <v>8</v>
      </c>
      <c r="G84" s="32">
        <v>26</v>
      </c>
      <c r="H84" s="31" t="s">
        <v>44</v>
      </c>
      <c r="I84" s="12">
        <v>57.6</v>
      </c>
      <c r="J84">
        <v>76.278610154905337</v>
      </c>
    </row>
    <row r="85" spans="1:10" x14ac:dyDescent="0.25">
      <c r="A85">
        <v>2025</v>
      </c>
      <c r="B85" s="31" t="s">
        <v>115</v>
      </c>
      <c r="C85" s="31" t="s">
        <v>116</v>
      </c>
      <c r="D85" s="32">
        <v>2</v>
      </c>
      <c r="E85" s="32">
        <v>5</v>
      </c>
      <c r="F85" s="32">
        <v>8</v>
      </c>
      <c r="G85" s="32">
        <v>35</v>
      </c>
      <c r="H85" s="31" t="s">
        <v>129</v>
      </c>
      <c r="I85" s="12">
        <v>57.5</v>
      </c>
      <c r="J85">
        <v>71.763204819277107</v>
      </c>
    </row>
    <row r="86" spans="1:10" x14ac:dyDescent="0.25">
      <c r="A86">
        <v>2025</v>
      </c>
      <c r="B86" s="31" t="s">
        <v>115</v>
      </c>
      <c r="C86" s="31" t="s">
        <v>116</v>
      </c>
      <c r="D86" s="32">
        <v>2</v>
      </c>
      <c r="E86" s="32">
        <v>4</v>
      </c>
      <c r="F86" s="32">
        <v>8</v>
      </c>
      <c r="G86" s="32">
        <v>9</v>
      </c>
      <c r="H86" s="31" t="s">
        <v>94</v>
      </c>
      <c r="I86" s="12">
        <v>55.6</v>
      </c>
      <c r="J86">
        <v>53.053946643717723</v>
      </c>
    </row>
    <row r="87" spans="1:10" x14ac:dyDescent="0.25">
      <c r="A87">
        <v>2025</v>
      </c>
      <c r="B87" s="31" t="s">
        <v>115</v>
      </c>
      <c r="C87" s="31" t="s">
        <v>116</v>
      </c>
      <c r="D87" s="32">
        <v>2</v>
      </c>
      <c r="E87" s="32">
        <v>3</v>
      </c>
      <c r="F87" s="32">
        <v>8</v>
      </c>
      <c r="G87" s="32">
        <v>18</v>
      </c>
      <c r="H87" s="31" t="s">
        <v>29</v>
      </c>
      <c r="I87" s="12">
        <v>56.3</v>
      </c>
      <c r="J87">
        <v>52.453376936316687</v>
      </c>
    </row>
    <row r="88" spans="1:10" x14ac:dyDescent="0.25">
      <c r="A88">
        <v>2025</v>
      </c>
      <c r="B88" s="31" t="s">
        <v>115</v>
      </c>
      <c r="C88" s="31" t="s">
        <v>116</v>
      </c>
      <c r="D88" s="32">
        <v>2</v>
      </c>
      <c r="E88" s="32">
        <v>2</v>
      </c>
      <c r="F88" s="32">
        <v>8</v>
      </c>
      <c r="G88" s="32">
        <v>33</v>
      </c>
      <c r="H88" s="31" t="s">
        <v>41</v>
      </c>
      <c r="I88" s="12">
        <v>59</v>
      </c>
      <c r="J88">
        <v>68.295114027538716</v>
      </c>
    </row>
    <row r="89" spans="1:10" x14ac:dyDescent="0.25">
      <c r="A89">
        <v>2025</v>
      </c>
      <c r="B89" s="31" t="s">
        <v>115</v>
      </c>
      <c r="C89" s="31" t="s">
        <v>116</v>
      </c>
      <c r="D89" s="32">
        <v>2</v>
      </c>
      <c r="E89" s="32">
        <v>1</v>
      </c>
      <c r="F89" s="32">
        <v>8</v>
      </c>
      <c r="G89" s="32">
        <v>41</v>
      </c>
      <c r="H89" s="31" t="s">
        <v>124</v>
      </c>
      <c r="I89" s="12">
        <v>57.9</v>
      </c>
      <c r="J89">
        <v>50.878005593803785</v>
      </c>
    </row>
    <row r="90" spans="1:10" x14ac:dyDescent="0.25">
      <c r="A90">
        <v>2025</v>
      </c>
      <c r="B90" s="31" t="s">
        <v>115</v>
      </c>
      <c r="C90" s="31" t="s">
        <v>116</v>
      </c>
      <c r="D90" s="32">
        <v>3</v>
      </c>
      <c r="E90" s="32">
        <v>1</v>
      </c>
      <c r="F90" s="32">
        <v>9</v>
      </c>
      <c r="G90" s="32">
        <v>20</v>
      </c>
      <c r="H90" s="31" t="s">
        <v>24</v>
      </c>
      <c r="I90" s="12">
        <v>58.4</v>
      </c>
      <c r="J90">
        <v>74.933181620943998</v>
      </c>
    </row>
    <row r="91" spans="1:10" x14ac:dyDescent="0.25">
      <c r="A91">
        <v>2025</v>
      </c>
      <c r="B91" s="31" t="s">
        <v>115</v>
      </c>
      <c r="C91" s="31" t="s">
        <v>116</v>
      </c>
      <c r="D91" s="32">
        <v>3</v>
      </c>
      <c r="E91" s="32">
        <v>2</v>
      </c>
      <c r="F91" s="32">
        <v>9</v>
      </c>
      <c r="G91" s="32">
        <v>0</v>
      </c>
      <c r="H91" s="33" t="s">
        <v>95</v>
      </c>
      <c r="I91" s="12">
        <v>58.1</v>
      </c>
      <c r="J91">
        <v>52.25982368256112</v>
      </c>
    </row>
    <row r="92" spans="1:10" x14ac:dyDescent="0.25">
      <c r="A92">
        <v>2025</v>
      </c>
      <c r="B92" s="31" t="s">
        <v>115</v>
      </c>
      <c r="C92" s="31" t="s">
        <v>116</v>
      </c>
      <c r="D92" s="32">
        <v>3</v>
      </c>
      <c r="E92" s="32">
        <v>3</v>
      </c>
      <c r="F92" s="32">
        <v>9</v>
      </c>
      <c r="G92" s="32">
        <v>12</v>
      </c>
      <c r="H92" s="31" t="s">
        <v>92</v>
      </c>
      <c r="I92" s="12">
        <v>57.9</v>
      </c>
      <c r="J92">
        <v>60.601212091991712</v>
      </c>
    </row>
    <row r="93" spans="1:10" x14ac:dyDescent="0.25">
      <c r="A93">
        <v>2025</v>
      </c>
      <c r="B93" s="31" t="s">
        <v>115</v>
      </c>
      <c r="C93" s="31" t="s">
        <v>116</v>
      </c>
      <c r="D93" s="32">
        <v>3</v>
      </c>
      <c r="E93" s="32">
        <v>4</v>
      </c>
      <c r="F93" s="32">
        <v>9</v>
      </c>
      <c r="G93" s="32">
        <v>23</v>
      </c>
      <c r="H93" s="31" t="s">
        <v>37</v>
      </c>
      <c r="I93" s="12">
        <v>58.8</v>
      </c>
      <c r="J93">
        <v>63.904626488597465</v>
      </c>
    </row>
    <row r="94" spans="1:10" x14ac:dyDescent="0.25">
      <c r="A94">
        <v>2025</v>
      </c>
      <c r="B94" s="31" t="s">
        <v>115</v>
      </c>
      <c r="C94" s="31" t="s">
        <v>116</v>
      </c>
      <c r="D94" s="32">
        <v>3</v>
      </c>
      <c r="E94" s="32">
        <v>5</v>
      </c>
      <c r="F94" s="32">
        <v>9</v>
      </c>
      <c r="G94" s="32">
        <v>41</v>
      </c>
      <c r="H94" s="31" t="s">
        <v>124</v>
      </c>
      <c r="I94" s="12">
        <v>57</v>
      </c>
      <c r="J94">
        <v>55.026993250084374</v>
      </c>
    </row>
    <row r="95" spans="1:10" x14ac:dyDescent="0.25">
      <c r="A95">
        <v>2025</v>
      </c>
      <c r="B95" s="31" t="s">
        <v>115</v>
      </c>
      <c r="C95" s="31" t="s">
        <v>116</v>
      </c>
      <c r="D95" s="32">
        <v>3</v>
      </c>
      <c r="E95" s="32">
        <v>6</v>
      </c>
      <c r="F95" s="32">
        <v>9</v>
      </c>
      <c r="G95" s="32">
        <v>22</v>
      </c>
      <c r="H95" s="31" t="s">
        <v>28</v>
      </c>
      <c r="I95" s="12">
        <v>59.3</v>
      </c>
      <c r="J95">
        <v>69.433581505231189</v>
      </c>
    </row>
    <row r="96" spans="1:10" x14ac:dyDescent="0.25">
      <c r="A96">
        <v>2025</v>
      </c>
      <c r="B96" s="31" t="s">
        <v>115</v>
      </c>
      <c r="C96" s="31" t="s">
        <v>116</v>
      </c>
      <c r="D96" s="32">
        <v>3</v>
      </c>
      <c r="E96" s="32">
        <v>7</v>
      </c>
      <c r="F96" s="32">
        <v>9</v>
      </c>
      <c r="G96" s="32">
        <v>26</v>
      </c>
      <c r="H96" s="31" t="s">
        <v>44</v>
      </c>
      <c r="I96" s="12">
        <v>56.5</v>
      </c>
      <c r="J96">
        <v>75.948832553878788</v>
      </c>
    </row>
    <row r="97" spans="1:10" x14ac:dyDescent="0.25">
      <c r="A97">
        <v>2025</v>
      </c>
      <c r="B97" s="31" t="s">
        <v>115</v>
      </c>
      <c r="C97" s="31" t="s">
        <v>116</v>
      </c>
      <c r="D97" s="32">
        <v>3</v>
      </c>
      <c r="E97" s="32">
        <v>8</v>
      </c>
      <c r="F97" s="32">
        <v>9</v>
      </c>
      <c r="G97" s="32">
        <v>45</v>
      </c>
      <c r="H97" s="31" t="s">
        <v>39</v>
      </c>
      <c r="I97" s="12">
        <v>58.1</v>
      </c>
      <c r="J97">
        <v>66.224618292271344</v>
      </c>
    </row>
    <row r="98" spans="1:10" x14ac:dyDescent="0.25">
      <c r="A98">
        <v>2025</v>
      </c>
      <c r="B98" s="31" t="s">
        <v>115</v>
      </c>
      <c r="C98" s="31" t="s">
        <v>116</v>
      </c>
      <c r="D98" s="32">
        <v>3</v>
      </c>
      <c r="E98" s="32">
        <v>9</v>
      </c>
      <c r="F98" s="32">
        <v>9</v>
      </c>
      <c r="G98" s="32">
        <v>37</v>
      </c>
      <c r="H98" s="31" t="s">
        <v>89</v>
      </c>
      <c r="I98" s="12">
        <v>58.3</v>
      </c>
      <c r="J98">
        <v>72.153640036642386</v>
      </c>
    </row>
    <row r="99" spans="1:10" x14ac:dyDescent="0.25">
      <c r="A99">
        <v>2025</v>
      </c>
      <c r="B99" s="31" t="s">
        <v>115</v>
      </c>
      <c r="C99" s="31" t="s">
        <v>116</v>
      </c>
      <c r="D99" s="32">
        <v>3</v>
      </c>
      <c r="E99" s="32">
        <v>10</v>
      </c>
      <c r="F99" s="32">
        <v>9</v>
      </c>
      <c r="G99" s="32">
        <v>27</v>
      </c>
      <c r="H99" s="31" t="s">
        <v>35</v>
      </c>
      <c r="I99" s="12">
        <v>56.6</v>
      </c>
      <c r="J99">
        <v>75.868872667663069</v>
      </c>
    </row>
    <row r="100" spans="1:10" x14ac:dyDescent="0.25">
      <c r="A100">
        <v>2025</v>
      </c>
      <c r="B100" s="31" t="s">
        <v>115</v>
      </c>
      <c r="C100" s="31" t="s">
        <v>116</v>
      </c>
      <c r="D100" s="32">
        <v>3</v>
      </c>
      <c r="E100" s="32">
        <v>11</v>
      </c>
      <c r="F100" s="32">
        <v>9</v>
      </c>
      <c r="G100" s="32">
        <v>11</v>
      </c>
      <c r="H100" s="31" t="s">
        <v>90</v>
      </c>
      <c r="I100" s="12">
        <v>59.2</v>
      </c>
      <c r="J100">
        <v>74.131124584156993</v>
      </c>
    </row>
    <row r="101" spans="1:10" x14ac:dyDescent="0.25">
      <c r="A101">
        <v>2025</v>
      </c>
      <c r="B101" s="31" t="s">
        <v>115</v>
      </c>
      <c r="C101" s="31" t="s">
        <v>116</v>
      </c>
      <c r="D101" s="32">
        <v>3</v>
      </c>
      <c r="E101" s="32">
        <v>11</v>
      </c>
      <c r="F101" s="32">
        <v>10</v>
      </c>
      <c r="G101" s="32">
        <v>16</v>
      </c>
      <c r="H101" s="31" t="s">
        <v>32</v>
      </c>
      <c r="I101" s="12">
        <v>59.5</v>
      </c>
      <c r="J101">
        <v>77.991520192076806</v>
      </c>
    </row>
    <row r="102" spans="1:10" x14ac:dyDescent="0.25">
      <c r="A102">
        <v>2025</v>
      </c>
      <c r="B102" s="31" t="s">
        <v>115</v>
      </c>
      <c r="C102" s="31" t="s">
        <v>116</v>
      </c>
      <c r="D102" s="32">
        <v>3</v>
      </c>
      <c r="E102" s="32">
        <v>10</v>
      </c>
      <c r="F102" s="32">
        <v>10</v>
      </c>
      <c r="G102" s="32">
        <v>31</v>
      </c>
      <c r="H102" s="31" t="s">
        <v>36</v>
      </c>
      <c r="I102" s="12">
        <v>55.6</v>
      </c>
      <c r="J102">
        <v>68.827462184873951</v>
      </c>
    </row>
    <row r="103" spans="1:10" x14ac:dyDescent="0.25">
      <c r="A103">
        <v>2025</v>
      </c>
      <c r="B103" s="31" t="s">
        <v>115</v>
      </c>
      <c r="C103" s="31" t="s">
        <v>116</v>
      </c>
      <c r="D103" s="32">
        <v>3</v>
      </c>
      <c r="E103" s="32">
        <v>9</v>
      </c>
      <c r="F103" s="32">
        <v>10</v>
      </c>
      <c r="G103" s="32">
        <v>10</v>
      </c>
      <c r="H103" s="31" t="s">
        <v>91</v>
      </c>
      <c r="I103" s="12">
        <v>51.1</v>
      </c>
      <c r="J103">
        <v>47.059907899159661</v>
      </c>
    </row>
    <row r="104" spans="1:10" x14ac:dyDescent="0.25">
      <c r="A104">
        <v>2025</v>
      </c>
      <c r="B104" s="31" t="s">
        <v>115</v>
      </c>
      <c r="C104" s="31" t="s">
        <v>116</v>
      </c>
      <c r="D104" s="32">
        <v>3</v>
      </c>
      <c r="E104" s="32">
        <v>8</v>
      </c>
      <c r="F104" s="32">
        <v>10</v>
      </c>
      <c r="G104" s="32">
        <v>21</v>
      </c>
      <c r="H104" s="31" t="s">
        <v>26</v>
      </c>
      <c r="I104" s="12">
        <v>56.5</v>
      </c>
      <c r="J104">
        <v>70.464838991596636</v>
      </c>
    </row>
    <row r="105" spans="1:10" x14ac:dyDescent="0.25">
      <c r="A105">
        <v>2025</v>
      </c>
      <c r="B105" s="31" t="s">
        <v>115</v>
      </c>
      <c r="C105" s="31" t="s">
        <v>116</v>
      </c>
      <c r="D105" s="32">
        <v>3</v>
      </c>
      <c r="E105" s="32">
        <v>7</v>
      </c>
      <c r="F105" s="32">
        <v>10</v>
      </c>
      <c r="G105" s="32">
        <v>43</v>
      </c>
      <c r="H105" s="31" t="s">
        <v>125</v>
      </c>
      <c r="I105" s="12">
        <v>55.7</v>
      </c>
      <c r="J105">
        <v>49.311555342136849</v>
      </c>
    </row>
    <row r="106" spans="1:10" x14ac:dyDescent="0.25">
      <c r="A106">
        <v>2025</v>
      </c>
      <c r="B106" s="31" t="s">
        <v>115</v>
      </c>
      <c r="C106" s="31" t="s">
        <v>116</v>
      </c>
      <c r="D106" s="32">
        <v>3</v>
      </c>
      <c r="E106" s="32">
        <v>6</v>
      </c>
      <c r="F106" s="32">
        <v>10</v>
      </c>
      <c r="G106" s="32">
        <v>40</v>
      </c>
      <c r="H106" s="31" t="s">
        <v>121</v>
      </c>
      <c r="I106" s="12">
        <v>58.5</v>
      </c>
      <c r="J106">
        <v>70.20858468187275</v>
      </c>
    </row>
    <row r="107" spans="1:10" x14ac:dyDescent="0.25">
      <c r="A107">
        <v>2025</v>
      </c>
      <c r="B107" s="31" t="s">
        <v>115</v>
      </c>
      <c r="C107" s="31" t="s">
        <v>116</v>
      </c>
      <c r="D107" s="32">
        <v>3</v>
      </c>
      <c r="E107" s="32">
        <v>5</v>
      </c>
      <c r="F107" s="32">
        <v>10</v>
      </c>
      <c r="G107" s="32">
        <v>24</v>
      </c>
      <c r="H107" s="31" t="s">
        <v>40</v>
      </c>
      <c r="I107" s="12">
        <v>56.3</v>
      </c>
      <c r="J107">
        <v>70.372499207683077</v>
      </c>
    </row>
    <row r="108" spans="1:10" x14ac:dyDescent="0.25">
      <c r="A108">
        <v>2025</v>
      </c>
      <c r="B108" s="31" t="s">
        <v>115</v>
      </c>
      <c r="C108" s="31" t="s">
        <v>116</v>
      </c>
      <c r="D108" s="32">
        <v>3</v>
      </c>
      <c r="E108" s="32">
        <v>4</v>
      </c>
      <c r="F108" s="32">
        <v>10</v>
      </c>
      <c r="G108" s="32">
        <v>44</v>
      </c>
      <c r="H108" s="31" t="s">
        <v>123</v>
      </c>
      <c r="I108" s="12">
        <v>57.3</v>
      </c>
      <c r="J108">
        <v>51.976896806722685</v>
      </c>
    </row>
    <row r="109" spans="1:10" x14ac:dyDescent="0.25">
      <c r="A109">
        <v>2025</v>
      </c>
      <c r="B109" s="31" t="s">
        <v>115</v>
      </c>
      <c r="C109" s="31" t="s">
        <v>116</v>
      </c>
      <c r="D109" s="32">
        <v>3</v>
      </c>
      <c r="E109" s="32">
        <v>3</v>
      </c>
      <c r="F109" s="32">
        <v>10</v>
      </c>
      <c r="G109" s="32">
        <v>28</v>
      </c>
      <c r="H109" s="31" t="s">
        <v>38</v>
      </c>
      <c r="I109" s="12">
        <v>55.8</v>
      </c>
      <c r="J109">
        <v>59.626095558223284</v>
      </c>
    </row>
    <row r="110" spans="1:10" x14ac:dyDescent="0.25">
      <c r="A110">
        <v>2025</v>
      </c>
      <c r="B110" s="31" t="s">
        <v>115</v>
      </c>
      <c r="C110" s="31" t="s">
        <v>116</v>
      </c>
      <c r="D110" s="32">
        <v>3</v>
      </c>
      <c r="E110" s="32">
        <v>2</v>
      </c>
      <c r="F110" s="32">
        <v>10</v>
      </c>
      <c r="G110" s="32">
        <v>25</v>
      </c>
      <c r="H110" s="31" t="s">
        <v>130</v>
      </c>
      <c r="I110" s="12">
        <v>58.3</v>
      </c>
      <c r="J110">
        <v>63.337585354141659</v>
      </c>
    </row>
    <row r="111" spans="1:10" x14ac:dyDescent="0.25">
      <c r="A111">
        <v>2025</v>
      </c>
      <c r="B111" s="31" t="s">
        <v>115</v>
      </c>
      <c r="C111" s="31" t="s">
        <v>116</v>
      </c>
      <c r="D111" s="32">
        <v>3</v>
      </c>
      <c r="E111" s="32">
        <v>1</v>
      </c>
      <c r="F111" s="32">
        <v>10</v>
      </c>
      <c r="G111" s="32">
        <v>1</v>
      </c>
      <c r="H111" s="31" t="s">
        <v>120</v>
      </c>
      <c r="I111" s="12">
        <v>57.4</v>
      </c>
      <c r="J111">
        <v>72.197407923169251</v>
      </c>
    </row>
    <row r="112" spans="1:10" x14ac:dyDescent="0.25">
      <c r="A112">
        <v>2025</v>
      </c>
      <c r="B112" s="31" t="s">
        <v>115</v>
      </c>
      <c r="C112" s="31" t="s">
        <v>116</v>
      </c>
      <c r="D112" s="32">
        <v>3</v>
      </c>
      <c r="E112" s="32">
        <v>1</v>
      </c>
      <c r="F112" s="32">
        <v>11</v>
      </c>
      <c r="G112" s="32">
        <v>46</v>
      </c>
      <c r="H112" s="31" t="s">
        <v>127</v>
      </c>
      <c r="I112" s="12">
        <v>58.8</v>
      </c>
      <c r="J112">
        <v>70.120709999999988</v>
      </c>
    </row>
    <row r="113" spans="1:10" x14ac:dyDescent="0.25">
      <c r="A113">
        <v>2025</v>
      </c>
      <c r="B113" s="31" t="s">
        <v>115</v>
      </c>
      <c r="C113" s="31" t="s">
        <v>116</v>
      </c>
      <c r="D113" s="32">
        <v>3</v>
      </c>
      <c r="E113" s="32">
        <v>2</v>
      </c>
      <c r="F113" s="32">
        <v>11</v>
      </c>
      <c r="G113" s="32">
        <v>42</v>
      </c>
      <c r="H113" s="31" t="s">
        <v>34</v>
      </c>
      <c r="I113" s="12">
        <v>60.3</v>
      </c>
      <c r="J113">
        <v>67.393095000000002</v>
      </c>
    </row>
    <row r="114" spans="1:10" x14ac:dyDescent="0.25">
      <c r="A114">
        <v>2025</v>
      </c>
      <c r="B114" s="31" t="s">
        <v>115</v>
      </c>
      <c r="C114" s="31" t="s">
        <v>116</v>
      </c>
      <c r="D114" s="32">
        <v>3</v>
      </c>
      <c r="E114" s="32">
        <v>3</v>
      </c>
      <c r="F114" s="32">
        <v>11</v>
      </c>
      <c r="G114" s="32">
        <v>8</v>
      </c>
      <c r="H114" s="31" t="s">
        <v>118</v>
      </c>
      <c r="I114" s="12">
        <v>56.2</v>
      </c>
      <c r="J114">
        <v>63.804250714285708</v>
      </c>
    </row>
    <row r="115" spans="1:10" x14ac:dyDescent="0.25">
      <c r="A115">
        <v>2025</v>
      </c>
      <c r="B115" s="31" t="s">
        <v>115</v>
      </c>
      <c r="C115" s="31" t="s">
        <v>116</v>
      </c>
      <c r="D115" s="32">
        <v>3</v>
      </c>
      <c r="E115" s="32">
        <v>4</v>
      </c>
      <c r="F115" s="32">
        <v>11</v>
      </c>
      <c r="G115" s="32">
        <v>14</v>
      </c>
      <c r="H115" s="31" t="s">
        <v>30</v>
      </c>
      <c r="I115" s="12">
        <v>58.4</v>
      </c>
      <c r="J115">
        <v>79.82629285714286</v>
      </c>
    </row>
    <row r="116" spans="1:10" x14ac:dyDescent="0.25">
      <c r="A116">
        <v>2025</v>
      </c>
      <c r="B116" s="31" t="s">
        <v>115</v>
      </c>
      <c r="C116" s="31" t="s">
        <v>116</v>
      </c>
      <c r="D116" s="32">
        <v>3</v>
      </c>
      <c r="E116" s="32">
        <v>5</v>
      </c>
      <c r="F116" s="32">
        <v>11</v>
      </c>
      <c r="G116" s="32">
        <v>33</v>
      </c>
      <c r="H116" s="31" t="s">
        <v>41</v>
      </c>
      <c r="I116" s="12">
        <v>58</v>
      </c>
      <c r="J116">
        <v>70.251286285714286</v>
      </c>
    </row>
    <row r="117" spans="1:10" x14ac:dyDescent="0.25">
      <c r="A117">
        <v>2025</v>
      </c>
      <c r="B117" s="31" t="s">
        <v>115</v>
      </c>
      <c r="C117" s="31" t="s">
        <v>116</v>
      </c>
      <c r="D117" s="32">
        <v>3</v>
      </c>
      <c r="E117" s="32">
        <v>6</v>
      </c>
      <c r="F117" s="32">
        <v>11</v>
      </c>
      <c r="G117" s="32">
        <v>34</v>
      </c>
      <c r="H117" s="31" t="s">
        <v>42</v>
      </c>
      <c r="I117" s="12">
        <v>58.4</v>
      </c>
      <c r="J117">
        <v>73.293660000000017</v>
      </c>
    </row>
    <row r="118" spans="1:10" x14ac:dyDescent="0.25">
      <c r="A118">
        <v>2025</v>
      </c>
      <c r="B118" s="31" t="s">
        <v>115</v>
      </c>
      <c r="C118" s="31" t="s">
        <v>116</v>
      </c>
      <c r="D118" s="32">
        <v>3</v>
      </c>
      <c r="E118" s="32">
        <v>7</v>
      </c>
      <c r="F118" s="32">
        <v>11</v>
      </c>
      <c r="G118" s="32">
        <v>32</v>
      </c>
      <c r="H118" s="31" t="s">
        <v>25</v>
      </c>
      <c r="I118" s="12">
        <v>59.2</v>
      </c>
      <c r="J118">
        <v>73.198110857142851</v>
      </c>
    </row>
    <row r="119" spans="1:10" x14ac:dyDescent="0.25">
      <c r="A119">
        <v>2025</v>
      </c>
      <c r="B119" s="31" t="s">
        <v>115</v>
      </c>
      <c r="C119" s="31" t="s">
        <v>116</v>
      </c>
      <c r="D119" s="32">
        <v>3</v>
      </c>
      <c r="E119" s="32">
        <v>8</v>
      </c>
      <c r="F119" s="32">
        <v>11</v>
      </c>
      <c r="G119" s="32">
        <v>6</v>
      </c>
      <c r="H119" s="31" t="s">
        <v>119</v>
      </c>
      <c r="I119" s="12">
        <v>57</v>
      </c>
      <c r="J119">
        <v>56.270279999999993</v>
      </c>
    </row>
    <row r="120" spans="1:10" x14ac:dyDescent="0.25">
      <c r="A120">
        <v>2025</v>
      </c>
      <c r="B120" s="31" t="s">
        <v>115</v>
      </c>
      <c r="C120" s="31" t="s">
        <v>116</v>
      </c>
      <c r="D120" s="32">
        <v>3</v>
      </c>
      <c r="E120" s="32">
        <v>9</v>
      </c>
      <c r="F120" s="32">
        <v>11</v>
      </c>
      <c r="G120" s="32">
        <v>2</v>
      </c>
      <c r="H120" s="31" t="s">
        <v>126</v>
      </c>
      <c r="I120" s="12">
        <v>56.3</v>
      </c>
      <c r="J120">
        <v>66.217328571428567</v>
      </c>
    </row>
    <row r="121" spans="1:10" x14ac:dyDescent="0.25">
      <c r="A121">
        <v>2025</v>
      </c>
      <c r="B121" s="31" t="s">
        <v>115</v>
      </c>
      <c r="C121" s="31" t="s">
        <v>116</v>
      </c>
      <c r="D121" s="32">
        <v>3</v>
      </c>
      <c r="E121" s="32">
        <v>10</v>
      </c>
      <c r="F121" s="32">
        <v>11</v>
      </c>
      <c r="G121" s="32">
        <v>3</v>
      </c>
      <c r="H121" s="31" t="s">
        <v>122</v>
      </c>
      <c r="I121" s="12">
        <v>57.2</v>
      </c>
      <c r="J121">
        <v>65.072063571428558</v>
      </c>
    </row>
    <row r="122" spans="1:10" x14ac:dyDescent="0.25">
      <c r="A122">
        <v>2025</v>
      </c>
      <c r="B122" s="31" t="s">
        <v>115</v>
      </c>
      <c r="C122" s="31" t="s">
        <v>116</v>
      </c>
      <c r="D122" s="32">
        <v>3</v>
      </c>
      <c r="E122" s="32">
        <v>11</v>
      </c>
      <c r="F122" s="32">
        <v>11</v>
      </c>
      <c r="G122" s="32">
        <v>100</v>
      </c>
      <c r="H122" s="33" t="s">
        <v>95</v>
      </c>
      <c r="I122" s="2">
        <v>56.6</v>
      </c>
      <c r="J122">
        <v>57.919653000000011</v>
      </c>
    </row>
    <row r="123" spans="1:10" x14ac:dyDescent="0.25">
      <c r="A123">
        <v>2025</v>
      </c>
      <c r="B123" s="31" t="s">
        <v>115</v>
      </c>
      <c r="C123" s="31" t="s">
        <v>116</v>
      </c>
      <c r="D123" s="32">
        <v>3</v>
      </c>
      <c r="E123" s="32">
        <v>11</v>
      </c>
      <c r="F123" s="32">
        <v>12</v>
      </c>
      <c r="G123" s="32">
        <v>9</v>
      </c>
      <c r="H123" s="31" t="s">
        <v>94</v>
      </c>
      <c r="I123" s="2">
        <v>52.5</v>
      </c>
      <c r="J123">
        <v>57.729335447941892</v>
      </c>
    </row>
    <row r="124" spans="1:10" x14ac:dyDescent="0.25">
      <c r="A124">
        <v>2025</v>
      </c>
      <c r="B124" s="31" t="s">
        <v>115</v>
      </c>
      <c r="C124" s="31" t="s">
        <v>116</v>
      </c>
      <c r="D124" s="32">
        <v>3</v>
      </c>
      <c r="E124" s="32">
        <v>10</v>
      </c>
      <c r="F124" s="32">
        <v>12</v>
      </c>
      <c r="G124" s="32">
        <v>5</v>
      </c>
      <c r="H124" s="31" t="s">
        <v>128</v>
      </c>
      <c r="I124" s="2">
        <v>55.3</v>
      </c>
      <c r="J124">
        <v>64.437887070217911</v>
      </c>
    </row>
    <row r="125" spans="1:10" x14ac:dyDescent="0.25">
      <c r="A125">
        <v>2025</v>
      </c>
      <c r="B125" s="31" t="s">
        <v>115</v>
      </c>
      <c r="C125" s="31" t="s">
        <v>116</v>
      </c>
      <c r="D125" s="32">
        <v>3</v>
      </c>
      <c r="E125" s="32">
        <v>9</v>
      </c>
      <c r="F125" s="32">
        <v>12</v>
      </c>
      <c r="G125" s="32">
        <v>30</v>
      </c>
      <c r="H125" s="31" t="s">
        <v>21</v>
      </c>
      <c r="I125" s="2">
        <v>56.5</v>
      </c>
      <c r="J125">
        <v>55.561048474576261</v>
      </c>
    </row>
    <row r="126" spans="1:10" x14ac:dyDescent="0.25">
      <c r="A126">
        <v>2025</v>
      </c>
      <c r="B126" s="31" t="s">
        <v>115</v>
      </c>
      <c r="C126" s="31" t="s">
        <v>116</v>
      </c>
      <c r="D126" s="32">
        <v>3</v>
      </c>
      <c r="E126" s="32">
        <v>8</v>
      </c>
      <c r="F126" s="32">
        <v>12</v>
      </c>
      <c r="G126" s="32">
        <v>13</v>
      </c>
      <c r="H126" s="31" t="s">
        <v>93</v>
      </c>
      <c r="I126" s="2">
        <v>57.2</v>
      </c>
      <c r="J126">
        <v>71.492631864406761</v>
      </c>
    </row>
    <row r="127" spans="1:10" x14ac:dyDescent="0.25">
      <c r="A127">
        <v>2025</v>
      </c>
      <c r="B127" s="31" t="s">
        <v>115</v>
      </c>
      <c r="C127" s="31" t="s">
        <v>116</v>
      </c>
      <c r="D127" s="32">
        <v>3</v>
      </c>
      <c r="E127" s="32">
        <v>7</v>
      </c>
      <c r="F127" s="32">
        <v>12</v>
      </c>
      <c r="G127" s="32">
        <v>15</v>
      </c>
      <c r="H127" s="31" t="s">
        <v>31</v>
      </c>
      <c r="I127" s="2">
        <v>55</v>
      </c>
      <c r="J127">
        <v>69.588288958837765</v>
      </c>
    </row>
    <row r="128" spans="1:10" x14ac:dyDescent="0.25">
      <c r="A128">
        <v>2025</v>
      </c>
      <c r="B128" s="31" t="s">
        <v>115</v>
      </c>
      <c r="C128" s="31" t="s">
        <v>116</v>
      </c>
      <c r="D128" s="32">
        <v>3</v>
      </c>
      <c r="E128" s="32">
        <v>6</v>
      </c>
      <c r="F128" s="32">
        <v>12</v>
      </c>
      <c r="G128" s="32">
        <v>35</v>
      </c>
      <c r="H128" s="31" t="s">
        <v>129</v>
      </c>
      <c r="I128" s="2">
        <v>58.5</v>
      </c>
      <c r="J128">
        <v>80.845403970944304</v>
      </c>
    </row>
    <row r="129" spans="1:11" x14ac:dyDescent="0.25">
      <c r="A129">
        <v>2025</v>
      </c>
      <c r="B129" s="31" t="s">
        <v>115</v>
      </c>
      <c r="C129" s="31" t="s">
        <v>116</v>
      </c>
      <c r="D129" s="32">
        <v>3</v>
      </c>
      <c r="E129" s="32">
        <v>5</v>
      </c>
      <c r="F129" s="32">
        <v>12</v>
      </c>
      <c r="G129" s="32">
        <v>18</v>
      </c>
      <c r="H129" s="31" t="s">
        <v>29</v>
      </c>
      <c r="I129" s="2">
        <v>56.6</v>
      </c>
      <c r="J129">
        <v>59.000164648910406</v>
      </c>
    </row>
    <row r="130" spans="1:11" x14ac:dyDescent="0.25">
      <c r="A130">
        <v>2025</v>
      </c>
      <c r="B130" s="31" t="s">
        <v>115</v>
      </c>
      <c r="C130" s="31" t="s">
        <v>116</v>
      </c>
      <c r="D130" s="32">
        <v>3</v>
      </c>
      <c r="E130" s="32">
        <v>4</v>
      </c>
      <c r="F130" s="32">
        <v>12</v>
      </c>
      <c r="G130" s="32">
        <v>4</v>
      </c>
      <c r="H130" s="31" t="s">
        <v>117</v>
      </c>
      <c r="I130" s="2">
        <v>56.1</v>
      </c>
      <c r="J130">
        <v>62.331152687651333</v>
      </c>
    </row>
    <row r="131" spans="1:11" x14ac:dyDescent="0.25">
      <c r="A131">
        <v>2025</v>
      </c>
      <c r="B131" s="31" t="s">
        <v>115</v>
      </c>
      <c r="C131" s="31" t="s">
        <v>116</v>
      </c>
      <c r="D131" s="32">
        <v>3</v>
      </c>
      <c r="E131" s="32">
        <v>3</v>
      </c>
      <c r="F131" s="32">
        <v>12</v>
      </c>
      <c r="G131" s="32">
        <v>36</v>
      </c>
      <c r="H131" s="31" t="s">
        <v>45</v>
      </c>
      <c r="I131" s="2">
        <v>60.1</v>
      </c>
      <c r="J131">
        <v>53.681376464891045</v>
      </c>
    </row>
    <row r="132" spans="1:11" x14ac:dyDescent="0.25">
      <c r="A132">
        <v>2025</v>
      </c>
      <c r="B132" s="31" t="s">
        <v>115</v>
      </c>
      <c r="C132" s="31" t="s">
        <v>116</v>
      </c>
      <c r="D132" s="32">
        <v>3</v>
      </c>
      <c r="E132" s="32">
        <v>2</v>
      </c>
      <c r="F132" s="32">
        <v>12</v>
      </c>
      <c r="G132" s="32">
        <v>29</v>
      </c>
      <c r="H132" s="31" t="s">
        <v>27</v>
      </c>
      <c r="I132" s="2">
        <v>58.7</v>
      </c>
      <c r="J132">
        <v>66.507432929782084</v>
      </c>
    </row>
    <row r="133" spans="1:11" x14ac:dyDescent="0.25">
      <c r="A133">
        <v>2025</v>
      </c>
      <c r="B133" s="31" t="s">
        <v>115</v>
      </c>
      <c r="C133" s="31" t="s">
        <v>116</v>
      </c>
      <c r="D133" s="32">
        <v>3</v>
      </c>
      <c r="E133" s="32">
        <v>1</v>
      </c>
      <c r="F133" s="32">
        <v>12</v>
      </c>
      <c r="G133" s="32">
        <v>17</v>
      </c>
      <c r="H133" s="31" t="s">
        <v>33</v>
      </c>
      <c r="I133" s="2">
        <v>58</v>
      </c>
      <c r="J133">
        <v>64.19330673123487</v>
      </c>
    </row>
    <row r="134" spans="1:11" x14ac:dyDescent="0.25">
      <c r="A134">
        <v>2025</v>
      </c>
      <c r="B134" t="s">
        <v>115</v>
      </c>
      <c r="C134" s="34" t="s">
        <v>97</v>
      </c>
      <c r="D134" s="35">
        <v>1</v>
      </c>
      <c r="E134" s="35">
        <v>9</v>
      </c>
      <c r="F134" s="35">
        <v>2</v>
      </c>
      <c r="G134" s="35">
        <v>30</v>
      </c>
      <c r="H134" s="34" t="s">
        <v>21</v>
      </c>
      <c r="I134" s="2">
        <v>60.6</v>
      </c>
      <c r="J134">
        <v>69.003033367037403</v>
      </c>
      <c r="K134">
        <v>10.5</v>
      </c>
    </row>
    <row r="135" spans="1:11" x14ac:dyDescent="0.25">
      <c r="A135">
        <v>2025</v>
      </c>
      <c r="B135" t="s">
        <v>115</v>
      </c>
      <c r="C135" s="34" t="s">
        <v>97</v>
      </c>
      <c r="D135" s="35">
        <v>2</v>
      </c>
      <c r="E135" s="35">
        <v>2</v>
      </c>
      <c r="F135" s="35">
        <v>3</v>
      </c>
      <c r="G135" s="35">
        <v>30</v>
      </c>
      <c r="H135" s="34" t="s">
        <v>21</v>
      </c>
      <c r="I135" s="2">
        <v>60.4</v>
      </c>
      <c r="J135">
        <v>54.535841741901223</v>
      </c>
    </row>
    <row r="136" spans="1:11" x14ac:dyDescent="0.25">
      <c r="A136">
        <v>2025</v>
      </c>
      <c r="B136" t="s">
        <v>115</v>
      </c>
      <c r="C136" s="34" t="s">
        <v>97</v>
      </c>
      <c r="D136" s="35">
        <v>3</v>
      </c>
      <c r="E136" s="35">
        <v>14</v>
      </c>
      <c r="F136" s="35">
        <v>6</v>
      </c>
      <c r="G136" s="35">
        <v>30</v>
      </c>
      <c r="H136" s="34" t="s">
        <v>21</v>
      </c>
      <c r="I136" s="2">
        <v>59.5</v>
      </c>
      <c r="J136">
        <v>68.768840358573328</v>
      </c>
    </row>
    <row r="137" spans="1:11" x14ac:dyDescent="0.25">
      <c r="A137">
        <v>2025</v>
      </c>
      <c r="B137" t="s">
        <v>115</v>
      </c>
      <c r="C137" s="34" t="s">
        <v>97</v>
      </c>
      <c r="D137" s="35">
        <v>1</v>
      </c>
      <c r="E137" s="35">
        <v>2</v>
      </c>
      <c r="F137" s="35">
        <v>2</v>
      </c>
      <c r="G137" s="35">
        <v>37</v>
      </c>
      <c r="H137" s="34" t="s">
        <v>89</v>
      </c>
      <c r="I137" s="2">
        <v>61.8</v>
      </c>
      <c r="J137">
        <v>82.982392026578069</v>
      </c>
      <c r="K137">
        <v>9.6</v>
      </c>
    </row>
    <row r="138" spans="1:11" x14ac:dyDescent="0.25">
      <c r="A138">
        <v>2025</v>
      </c>
      <c r="B138" t="s">
        <v>115</v>
      </c>
      <c r="C138" s="34" t="s">
        <v>97</v>
      </c>
      <c r="D138" s="35">
        <v>2</v>
      </c>
      <c r="E138" s="35">
        <v>9</v>
      </c>
      <c r="F138" s="35">
        <v>4</v>
      </c>
      <c r="G138" s="35">
        <v>37</v>
      </c>
      <c r="H138" s="34" t="s">
        <v>89</v>
      </c>
      <c r="I138" s="2">
        <v>61.5</v>
      </c>
      <c r="J138">
        <v>78.904328859060399</v>
      </c>
    </row>
    <row r="139" spans="1:11" x14ac:dyDescent="0.25">
      <c r="A139">
        <v>2025</v>
      </c>
      <c r="B139" t="s">
        <v>115</v>
      </c>
      <c r="C139" s="34" t="s">
        <v>97</v>
      </c>
      <c r="D139" s="35">
        <v>3</v>
      </c>
      <c r="E139" s="35">
        <v>16</v>
      </c>
      <c r="F139" s="35">
        <v>6</v>
      </c>
      <c r="G139" s="35">
        <v>37</v>
      </c>
      <c r="H139" s="34" t="s">
        <v>89</v>
      </c>
      <c r="I139" s="2">
        <v>61</v>
      </c>
      <c r="J139">
        <v>81.101591169177951</v>
      </c>
    </row>
    <row r="140" spans="1:11" x14ac:dyDescent="0.25">
      <c r="A140">
        <v>2025</v>
      </c>
      <c r="B140" t="s">
        <v>115</v>
      </c>
      <c r="C140" s="34" t="s">
        <v>97</v>
      </c>
      <c r="D140" s="35">
        <v>1</v>
      </c>
      <c r="E140" s="35">
        <v>6</v>
      </c>
      <c r="F140" s="35">
        <v>2</v>
      </c>
      <c r="G140" s="35">
        <v>40</v>
      </c>
      <c r="H140" s="34" t="s">
        <v>121</v>
      </c>
      <c r="I140" s="2">
        <v>62.5</v>
      </c>
      <c r="J140">
        <v>70.648981655351719</v>
      </c>
      <c r="K140">
        <v>10.3</v>
      </c>
    </row>
    <row r="141" spans="1:11" x14ac:dyDescent="0.25">
      <c r="A141">
        <v>2025</v>
      </c>
      <c r="B141" t="s">
        <v>115</v>
      </c>
      <c r="C141" s="34" t="s">
        <v>97</v>
      </c>
      <c r="D141" s="35">
        <v>2</v>
      </c>
      <c r="E141" s="35">
        <v>7</v>
      </c>
      <c r="F141" s="35">
        <v>4</v>
      </c>
      <c r="G141" s="35">
        <v>40</v>
      </c>
      <c r="H141" s="34" t="s">
        <v>121</v>
      </c>
      <c r="I141" s="2">
        <v>58.2</v>
      </c>
      <c r="J141">
        <v>74.425978906999035</v>
      </c>
    </row>
    <row r="142" spans="1:11" x14ac:dyDescent="0.25">
      <c r="A142">
        <v>2025</v>
      </c>
      <c r="B142" t="s">
        <v>115</v>
      </c>
      <c r="C142" s="34" t="s">
        <v>97</v>
      </c>
      <c r="D142" s="35">
        <v>3</v>
      </c>
      <c r="E142" s="35">
        <v>2</v>
      </c>
      <c r="F142" s="35">
        <v>5</v>
      </c>
      <c r="G142" s="35">
        <v>40</v>
      </c>
      <c r="H142" s="34" t="s">
        <v>121</v>
      </c>
      <c r="I142" s="2">
        <v>61.7</v>
      </c>
      <c r="J142">
        <v>76.56522255192877</v>
      </c>
    </row>
    <row r="143" spans="1:11" x14ac:dyDescent="0.25">
      <c r="A143">
        <v>2025</v>
      </c>
      <c r="B143" t="s">
        <v>115</v>
      </c>
      <c r="C143" s="34" t="s">
        <v>97</v>
      </c>
      <c r="D143" s="35">
        <v>1</v>
      </c>
      <c r="E143" s="35">
        <v>19</v>
      </c>
      <c r="F143" s="35">
        <v>2</v>
      </c>
      <c r="G143" s="35">
        <v>41</v>
      </c>
      <c r="H143" s="34" t="s">
        <v>124</v>
      </c>
      <c r="I143" s="2">
        <v>59</v>
      </c>
      <c r="J143">
        <v>69.771094901054454</v>
      </c>
      <c r="K143">
        <v>10.199999999999999</v>
      </c>
    </row>
    <row r="144" spans="1:11" x14ac:dyDescent="0.25">
      <c r="A144">
        <v>2025</v>
      </c>
      <c r="B144" t="s">
        <v>115</v>
      </c>
      <c r="C144" s="34" t="s">
        <v>97</v>
      </c>
      <c r="D144" s="35">
        <v>2</v>
      </c>
      <c r="E144" s="35">
        <v>6</v>
      </c>
      <c r="F144" s="35">
        <v>4</v>
      </c>
      <c r="G144" s="35">
        <v>41</v>
      </c>
      <c r="H144" s="34" t="s">
        <v>124</v>
      </c>
      <c r="I144" s="2" t="s">
        <v>12</v>
      </c>
      <c r="J144" t="s">
        <v>12</v>
      </c>
    </row>
    <row r="145" spans="1:11" x14ac:dyDescent="0.25">
      <c r="A145">
        <v>2025</v>
      </c>
      <c r="B145" t="s">
        <v>115</v>
      </c>
      <c r="C145" s="34" t="s">
        <v>97</v>
      </c>
      <c r="D145" s="35">
        <v>3</v>
      </c>
      <c r="E145" s="35">
        <v>17</v>
      </c>
      <c r="F145" s="35">
        <v>5</v>
      </c>
      <c r="G145" s="35">
        <v>41</v>
      </c>
      <c r="H145" s="34" t="s">
        <v>124</v>
      </c>
      <c r="I145" s="2">
        <v>56.9</v>
      </c>
      <c r="J145">
        <v>68.58348452734208</v>
      </c>
    </row>
    <row r="146" spans="1:11" x14ac:dyDescent="0.25">
      <c r="A146">
        <v>2025</v>
      </c>
      <c r="B146" t="s">
        <v>115</v>
      </c>
      <c r="C146" s="34" t="s">
        <v>97</v>
      </c>
      <c r="D146" s="35">
        <v>1</v>
      </c>
      <c r="E146" s="35">
        <v>4</v>
      </c>
      <c r="F146" s="35">
        <v>1</v>
      </c>
      <c r="G146" s="35">
        <v>20</v>
      </c>
      <c r="H146" s="34" t="s">
        <v>24</v>
      </c>
      <c r="I146" s="2">
        <v>60.5</v>
      </c>
      <c r="J146">
        <v>79.362642857142859</v>
      </c>
      <c r="K146">
        <v>9.4</v>
      </c>
    </row>
    <row r="147" spans="1:11" x14ac:dyDescent="0.25">
      <c r="A147">
        <v>2025</v>
      </c>
      <c r="B147" t="s">
        <v>115</v>
      </c>
      <c r="C147" s="34" t="s">
        <v>97</v>
      </c>
      <c r="D147" s="35">
        <v>2</v>
      </c>
      <c r="E147" s="35">
        <v>2</v>
      </c>
      <c r="F147" s="35">
        <v>4</v>
      </c>
      <c r="G147" s="35">
        <v>20</v>
      </c>
      <c r="H147" s="34" t="s">
        <v>24</v>
      </c>
      <c r="I147" s="2">
        <v>60.4</v>
      </c>
      <c r="J147">
        <v>75.344979865771805</v>
      </c>
    </row>
    <row r="148" spans="1:11" x14ac:dyDescent="0.25">
      <c r="A148">
        <v>2025</v>
      </c>
      <c r="B148" t="s">
        <v>115</v>
      </c>
      <c r="C148" s="34" t="s">
        <v>97</v>
      </c>
      <c r="D148" s="35">
        <v>3</v>
      </c>
      <c r="E148" s="35">
        <v>8</v>
      </c>
      <c r="F148" s="35">
        <v>6</v>
      </c>
      <c r="G148" s="35">
        <v>20</v>
      </c>
      <c r="H148" s="34" t="s">
        <v>24</v>
      </c>
      <c r="I148" s="2" t="s">
        <v>12</v>
      </c>
      <c r="J148">
        <v>78.688289147434674</v>
      </c>
    </row>
    <row r="149" spans="1:11" x14ac:dyDescent="0.25">
      <c r="A149">
        <v>2025</v>
      </c>
      <c r="B149" t="s">
        <v>115</v>
      </c>
      <c r="C149" s="34" t="s">
        <v>97</v>
      </c>
      <c r="D149" s="35">
        <v>1</v>
      </c>
      <c r="E149" s="35">
        <v>17</v>
      </c>
      <c r="F149" s="35">
        <v>1</v>
      </c>
      <c r="G149" s="35">
        <v>32</v>
      </c>
      <c r="H149" s="34" t="s">
        <v>25</v>
      </c>
      <c r="I149" s="2">
        <v>59.7</v>
      </c>
      <c r="J149">
        <v>79.103828571428565</v>
      </c>
      <c r="K149">
        <v>10</v>
      </c>
    </row>
    <row r="150" spans="1:11" x14ac:dyDescent="0.25">
      <c r="A150">
        <v>2025</v>
      </c>
      <c r="B150" t="s">
        <v>115</v>
      </c>
      <c r="C150" s="34" t="s">
        <v>97</v>
      </c>
      <c r="D150" s="35">
        <v>2</v>
      </c>
      <c r="E150" s="35">
        <v>11</v>
      </c>
      <c r="F150" s="35">
        <v>4</v>
      </c>
      <c r="G150" s="35">
        <v>32</v>
      </c>
      <c r="H150" s="34" t="s">
        <v>25</v>
      </c>
      <c r="I150" s="2">
        <v>60.3</v>
      </c>
      <c r="J150">
        <v>84.770007670182167</v>
      </c>
    </row>
    <row r="151" spans="1:11" x14ac:dyDescent="0.25">
      <c r="A151">
        <v>2025</v>
      </c>
      <c r="B151" t="s">
        <v>115</v>
      </c>
      <c r="C151" s="34" t="s">
        <v>97</v>
      </c>
      <c r="D151" s="35">
        <v>3</v>
      </c>
      <c r="E151" s="35">
        <v>19</v>
      </c>
      <c r="F151" s="35">
        <v>6</v>
      </c>
      <c r="G151" s="35">
        <v>32</v>
      </c>
      <c r="H151" s="34" t="s">
        <v>25</v>
      </c>
      <c r="I151" s="2">
        <v>61.3</v>
      </c>
      <c r="J151">
        <v>89.451116727064644</v>
      </c>
    </row>
    <row r="152" spans="1:11" x14ac:dyDescent="0.25">
      <c r="A152">
        <v>2025</v>
      </c>
      <c r="B152" t="s">
        <v>115</v>
      </c>
      <c r="C152" s="34" t="s">
        <v>97</v>
      </c>
      <c r="D152" s="35">
        <v>1</v>
      </c>
      <c r="E152" s="35">
        <v>21</v>
      </c>
      <c r="F152" s="35">
        <v>1</v>
      </c>
      <c r="G152" s="35">
        <v>21</v>
      </c>
      <c r="H152" s="34" t="s">
        <v>26</v>
      </c>
      <c r="I152" s="2">
        <v>59.6</v>
      </c>
      <c r="J152">
        <v>73.761600000000001</v>
      </c>
      <c r="K152">
        <v>9.8000000000000007</v>
      </c>
    </row>
    <row r="153" spans="1:11" x14ac:dyDescent="0.25">
      <c r="A153">
        <v>2025</v>
      </c>
      <c r="B153" t="s">
        <v>115</v>
      </c>
      <c r="C153" s="34" t="s">
        <v>97</v>
      </c>
      <c r="D153" s="35">
        <v>2</v>
      </c>
      <c r="E153" s="35">
        <v>9</v>
      </c>
      <c r="F153" s="35">
        <v>3</v>
      </c>
      <c r="G153" s="35">
        <v>21</v>
      </c>
      <c r="H153" s="34" t="s">
        <v>26</v>
      </c>
      <c r="I153" s="2">
        <v>60.4</v>
      </c>
      <c r="J153">
        <v>72.390924057355278</v>
      </c>
    </row>
    <row r="154" spans="1:11" x14ac:dyDescent="0.25">
      <c r="A154">
        <v>2025</v>
      </c>
      <c r="B154" t="s">
        <v>115</v>
      </c>
      <c r="C154" s="34" t="s">
        <v>97</v>
      </c>
      <c r="D154" s="35">
        <v>3</v>
      </c>
      <c r="E154" s="35">
        <v>13</v>
      </c>
      <c r="F154" s="35">
        <v>5</v>
      </c>
      <c r="G154" s="35">
        <v>21</v>
      </c>
      <c r="H154" s="34" t="s">
        <v>26</v>
      </c>
      <c r="I154" s="2">
        <v>59.6</v>
      </c>
      <c r="J154">
        <v>77.385769393810946</v>
      </c>
    </row>
    <row r="155" spans="1:11" x14ac:dyDescent="0.25">
      <c r="A155">
        <v>2025</v>
      </c>
      <c r="B155" t="s">
        <v>115</v>
      </c>
      <c r="C155" s="34" t="s">
        <v>97</v>
      </c>
      <c r="D155" s="35">
        <v>1</v>
      </c>
      <c r="E155" s="35">
        <v>8</v>
      </c>
      <c r="F155" s="35">
        <v>1</v>
      </c>
      <c r="G155" s="35">
        <v>29</v>
      </c>
      <c r="H155" s="34" t="s">
        <v>27</v>
      </c>
      <c r="I155" s="2">
        <v>60.2</v>
      </c>
      <c r="J155">
        <v>69.954531428571428</v>
      </c>
      <c r="K155">
        <v>9.1</v>
      </c>
    </row>
    <row r="156" spans="1:11" x14ac:dyDescent="0.25">
      <c r="A156">
        <v>2025</v>
      </c>
      <c r="B156" t="s">
        <v>115</v>
      </c>
      <c r="C156" s="34" t="s">
        <v>97</v>
      </c>
      <c r="D156" s="35">
        <v>2</v>
      </c>
      <c r="E156" s="35">
        <v>17</v>
      </c>
      <c r="F156" s="35">
        <v>3</v>
      </c>
      <c r="G156" s="35">
        <v>29</v>
      </c>
      <c r="H156" s="34" t="s">
        <v>27</v>
      </c>
      <c r="I156" s="2">
        <v>59.5</v>
      </c>
      <c r="J156">
        <v>68.498268720127442</v>
      </c>
    </row>
    <row r="157" spans="1:11" x14ac:dyDescent="0.25">
      <c r="A157">
        <v>2025</v>
      </c>
      <c r="B157" t="s">
        <v>115</v>
      </c>
      <c r="C157" s="34" t="s">
        <v>97</v>
      </c>
      <c r="D157" s="35">
        <v>3</v>
      </c>
      <c r="E157" s="35">
        <v>9</v>
      </c>
      <c r="F157" s="35">
        <v>6</v>
      </c>
      <c r="G157" s="35">
        <v>29</v>
      </c>
      <c r="H157" s="34" t="s">
        <v>27</v>
      </c>
      <c r="I157" s="2">
        <v>60</v>
      </c>
      <c r="J157">
        <v>66.548940492084682</v>
      </c>
    </row>
    <row r="158" spans="1:11" x14ac:dyDescent="0.25">
      <c r="A158">
        <v>2025</v>
      </c>
      <c r="B158" t="s">
        <v>115</v>
      </c>
      <c r="C158" s="34" t="s">
        <v>97</v>
      </c>
      <c r="D158" s="35">
        <v>1</v>
      </c>
      <c r="E158" s="35">
        <v>14</v>
      </c>
      <c r="F158" s="35">
        <v>2</v>
      </c>
      <c r="G158" s="35">
        <v>22</v>
      </c>
      <c r="H158" s="34" t="s">
        <v>28</v>
      </c>
      <c r="I158" s="2">
        <v>61</v>
      </c>
      <c r="J158">
        <v>72.112126245847165</v>
      </c>
      <c r="K158">
        <v>11</v>
      </c>
    </row>
    <row r="159" spans="1:11" x14ac:dyDescent="0.25">
      <c r="A159">
        <v>2025</v>
      </c>
      <c r="B159" t="s">
        <v>115</v>
      </c>
      <c r="C159" s="34" t="s">
        <v>97</v>
      </c>
      <c r="D159" s="35">
        <v>2</v>
      </c>
      <c r="E159" s="35">
        <v>18</v>
      </c>
      <c r="F159" s="35">
        <v>4</v>
      </c>
      <c r="G159" s="35">
        <v>22</v>
      </c>
      <c r="H159" s="34" t="s">
        <v>28</v>
      </c>
      <c r="I159" s="2">
        <v>61.1</v>
      </c>
      <c r="J159">
        <v>72.20047219558964</v>
      </c>
    </row>
    <row r="160" spans="1:11" x14ac:dyDescent="0.25">
      <c r="A160">
        <v>2025</v>
      </c>
      <c r="B160" t="s">
        <v>115</v>
      </c>
      <c r="C160" s="34" t="s">
        <v>97</v>
      </c>
      <c r="D160" s="35">
        <v>3</v>
      </c>
      <c r="E160" s="35">
        <v>11</v>
      </c>
      <c r="F160" s="35">
        <v>6</v>
      </c>
      <c r="G160" s="35">
        <v>22</v>
      </c>
      <c r="H160" s="34" t="s">
        <v>28</v>
      </c>
      <c r="I160" s="2">
        <v>61.1</v>
      </c>
      <c r="J160">
        <v>71.949189395384323</v>
      </c>
    </row>
    <row r="161" spans="1:11" x14ac:dyDescent="0.25">
      <c r="A161">
        <v>2025</v>
      </c>
      <c r="B161" t="s">
        <v>115</v>
      </c>
      <c r="C161" s="34" t="s">
        <v>97</v>
      </c>
      <c r="D161" s="35">
        <v>1</v>
      </c>
      <c r="E161" s="35">
        <v>2</v>
      </c>
      <c r="F161" s="35">
        <v>1</v>
      </c>
      <c r="G161" s="35">
        <v>18</v>
      </c>
      <c r="H161" s="34" t="s">
        <v>29</v>
      </c>
      <c r="I161" s="2">
        <v>60</v>
      </c>
      <c r="J161">
        <v>82.356685714285703</v>
      </c>
      <c r="K161">
        <v>9</v>
      </c>
    </row>
    <row r="162" spans="1:11" x14ac:dyDescent="0.25">
      <c r="A162">
        <v>2025</v>
      </c>
      <c r="B162" t="s">
        <v>115</v>
      </c>
      <c r="C162" s="34" t="s">
        <v>97</v>
      </c>
      <c r="D162" s="35">
        <v>2</v>
      </c>
      <c r="E162" s="35">
        <v>20</v>
      </c>
      <c r="F162" s="35">
        <v>3</v>
      </c>
      <c r="G162" s="35">
        <v>18</v>
      </c>
      <c r="H162" s="34" t="s">
        <v>29</v>
      </c>
      <c r="I162" s="2" t="s">
        <v>12</v>
      </c>
      <c r="J162" t="s">
        <v>12</v>
      </c>
    </row>
    <row r="163" spans="1:11" x14ac:dyDescent="0.25">
      <c r="A163">
        <v>2025</v>
      </c>
      <c r="B163" t="s">
        <v>115</v>
      </c>
      <c r="C163" s="34" t="s">
        <v>97</v>
      </c>
      <c r="D163" s="35">
        <v>3</v>
      </c>
      <c r="E163" s="35">
        <v>5</v>
      </c>
      <c r="F163" s="35">
        <v>6</v>
      </c>
      <c r="G163" s="35">
        <v>18</v>
      </c>
      <c r="H163" s="34" t="s">
        <v>29</v>
      </c>
      <c r="I163" s="2">
        <v>60.4</v>
      </c>
      <c r="J163">
        <v>79.774777798970035</v>
      </c>
    </row>
    <row r="164" spans="1:11" x14ac:dyDescent="0.25">
      <c r="A164">
        <v>2025</v>
      </c>
      <c r="B164" t="s">
        <v>115</v>
      </c>
      <c r="C164" s="34" t="s">
        <v>97</v>
      </c>
      <c r="D164" s="35">
        <v>1</v>
      </c>
      <c r="E164" s="35">
        <v>17</v>
      </c>
      <c r="F164" s="35">
        <v>2</v>
      </c>
      <c r="G164" s="35">
        <v>14</v>
      </c>
      <c r="H164" s="34" t="s">
        <v>30</v>
      </c>
      <c r="I164" s="2">
        <v>61.2</v>
      </c>
      <c r="J164">
        <v>80.488873320814676</v>
      </c>
      <c r="K164">
        <v>9.8000000000000007</v>
      </c>
    </row>
    <row r="165" spans="1:11" x14ac:dyDescent="0.25">
      <c r="A165">
        <v>2025</v>
      </c>
      <c r="B165" t="s">
        <v>115</v>
      </c>
      <c r="C165" s="34" t="s">
        <v>97</v>
      </c>
      <c r="D165" s="35">
        <v>2</v>
      </c>
      <c r="E165" s="35">
        <v>10</v>
      </c>
      <c r="F165" s="35">
        <v>4</v>
      </c>
      <c r="G165" s="35">
        <v>14</v>
      </c>
      <c r="H165" s="34" t="s">
        <v>30</v>
      </c>
      <c r="I165" s="2">
        <v>62.2</v>
      </c>
      <c r="J165">
        <v>84.333999520613602</v>
      </c>
    </row>
    <row r="166" spans="1:11" x14ac:dyDescent="0.25">
      <c r="A166">
        <v>2025</v>
      </c>
      <c r="B166" t="s">
        <v>115</v>
      </c>
      <c r="C166" s="34" t="s">
        <v>97</v>
      </c>
      <c r="D166" s="35">
        <v>3</v>
      </c>
      <c r="E166" s="35">
        <v>1</v>
      </c>
      <c r="F166" s="35">
        <v>6</v>
      </c>
      <c r="G166" s="35">
        <v>14</v>
      </c>
      <c r="H166" s="34" t="s">
        <v>30</v>
      </c>
      <c r="I166" s="2">
        <v>61.6</v>
      </c>
      <c r="J166">
        <v>84.149622353614333</v>
      </c>
    </row>
    <row r="167" spans="1:11" x14ac:dyDescent="0.25">
      <c r="A167">
        <v>2025</v>
      </c>
      <c r="B167" t="s">
        <v>115</v>
      </c>
      <c r="C167" s="34" t="s">
        <v>97</v>
      </c>
      <c r="D167" s="35">
        <v>1</v>
      </c>
      <c r="E167" s="35">
        <v>15</v>
      </c>
      <c r="F167" s="35">
        <v>2</v>
      </c>
      <c r="G167" s="35">
        <v>15</v>
      </c>
      <c r="H167" s="34" t="s">
        <v>31</v>
      </c>
      <c r="I167" s="2">
        <v>59.7</v>
      </c>
      <c r="J167">
        <v>84.050327892532124</v>
      </c>
      <c r="K167">
        <v>9.8000000000000007</v>
      </c>
    </row>
    <row r="168" spans="1:11" x14ac:dyDescent="0.25">
      <c r="A168">
        <v>2025</v>
      </c>
      <c r="B168" t="s">
        <v>115</v>
      </c>
      <c r="C168" s="34" t="s">
        <v>97</v>
      </c>
      <c r="D168" s="35">
        <v>2</v>
      </c>
      <c r="E168" s="35">
        <v>8</v>
      </c>
      <c r="F168" s="35">
        <v>3</v>
      </c>
      <c r="G168" s="35">
        <v>15</v>
      </c>
      <c r="H168" s="34" t="s">
        <v>31</v>
      </c>
      <c r="I168" s="2">
        <v>59.7</v>
      </c>
      <c r="J168">
        <v>81.844795539033456</v>
      </c>
    </row>
    <row r="169" spans="1:11" x14ac:dyDescent="0.25">
      <c r="A169">
        <v>2025</v>
      </c>
      <c r="B169" t="s">
        <v>115</v>
      </c>
      <c r="C169" s="34" t="s">
        <v>97</v>
      </c>
      <c r="D169" s="35">
        <v>3</v>
      </c>
      <c r="E169" s="35">
        <v>20</v>
      </c>
      <c r="F169" s="35">
        <v>6</v>
      </c>
      <c r="G169" s="35">
        <v>15</v>
      </c>
      <c r="H169" s="34" t="s">
        <v>31</v>
      </c>
      <c r="I169" s="2">
        <v>57.5</v>
      </c>
      <c r="J169">
        <v>91.037609193209988</v>
      </c>
    </row>
    <row r="170" spans="1:11" x14ac:dyDescent="0.25">
      <c r="A170">
        <v>2025</v>
      </c>
      <c r="B170" t="s">
        <v>115</v>
      </c>
      <c r="C170" s="34" t="s">
        <v>97</v>
      </c>
      <c r="D170" s="35">
        <v>1</v>
      </c>
      <c r="E170" s="35">
        <v>5</v>
      </c>
      <c r="F170" s="35">
        <v>1</v>
      </c>
      <c r="G170" s="35">
        <v>16</v>
      </c>
      <c r="H170" s="34" t="s">
        <v>32</v>
      </c>
      <c r="I170" s="2">
        <v>61.8</v>
      </c>
      <c r="J170">
        <v>76.167771428571413</v>
      </c>
      <c r="K170">
        <v>11</v>
      </c>
    </row>
    <row r="171" spans="1:11" x14ac:dyDescent="0.25">
      <c r="A171">
        <v>2025</v>
      </c>
      <c r="B171" t="s">
        <v>115</v>
      </c>
      <c r="C171" s="34" t="s">
        <v>97</v>
      </c>
      <c r="D171" s="35">
        <v>2</v>
      </c>
      <c r="E171" s="35">
        <v>4</v>
      </c>
      <c r="F171" s="35">
        <v>3</v>
      </c>
      <c r="G171" s="35">
        <v>16</v>
      </c>
      <c r="H171" s="34" t="s">
        <v>32</v>
      </c>
      <c r="I171" s="2">
        <v>62.3</v>
      </c>
      <c r="J171">
        <v>71.303515666489631</v>
      </c>
    </row>
    <row r="172" spans="1:11" x14ac:dyDescent="0.25">
      <c r="A172">
        <v>2025</v>
      </c>
      <c r="B172" t="s">
        <v>115</v>
      </c>
      <c r="C172" s="34" t="s">
        <v>97</v>
      </c>
      <c r="D172" s="35">
        <v>3</v>
      </c>
      <c r="E172" s="35">
        <v>14</v>
      </c>
      <c r="F172" s="35">
        <v>5</v>
      </c>
      <c r="G172" s="35">
        <v>16</v>
      </c>
      <c r="H172" s="34" t="s">
        <v>32</v>
      </c>
      <c r="I172" s="2">
        <v>61.7</v>
      </c>
      <c r="J172">
        <v>70.616083086053422</v>
      </c>
    </row>
    <row r="173" spans="1:11" x14ac:dyDescent="0.25">
      <c r="A173">
        <v>2025</v>
      </c>
      <c r="B173" t="s">
        <v>115</v>
      </c>
      <c r="C173" s="34" t="s">
        <v>97</v>
      </c>
      <c r="D173" s="35">
        <v>1</v>
      </c>
      <c r="E173" s="35">
        <v>21</v>
      </c>
      <c r="F173" s="35">
        <v>2</v>
      </c>
      <c r="G173" s="35">
        <v>11</v>
      </c>
      <c r="H173" s="34" t="s">
        <v>90</v>
      </c>
      <c r="I173" s="2">
        <v>61.3</v>
      </c>
      <c r="J173">
        <v>63.320388559872875</v>
      </c>
      <c r="K173">
        <v>10.6</v>
      </c>
    </row>
    <row r="174" spans="1:11" x14ac:dyDescent="0.25">
      <c r="A174">
        <v>2025</v>
      </c>
      <c r="B174" t="s">
        <v>115</v>
      </c>
      <c r="C174" s="34" t="s">
        <v>97</v>
      </c>
      <c r="D174" s="35">
        <v>2</v>
      </c>
      <c r="E174" s="35">
        <v>1</v>
      </c>
      <c r="F174" s="35">
        <v>4</v>
      </c>
      <c r="G174" s="35">
        <v>11</v>
      </c>
      <c r="H174" s="34" t="s">
        <v>90</v>
      </c>
      <c r="I174" s="2">
        <v>61.5</v>
      </c>
      <c r="J174">
        <v>70.221895973154361</v>
      </c>
    </row>
    <row r="175" spans="1:11" x14ac:dyDescent="0.25">
      <c r="A175">
        <v>2025</v>
      </c>
      <c r="B175" t="s">
        <v>115</v>
      </c>
      <c r="C175" s="34" t="s">
        <v>97</v>
      </c>
      <c r="D175" s="35">
        <v>3</v>
      </c>
      <c r="E175" s="35">
        <v>4</v>
      </c>
      <c r="F175" s="35">
        <v>5</v>
      </c>
      <c r="G175" s="35">
        <v>11</v>
      </c>
      <c r="H175" s="34" t="s">
        <v>90</v>
      </c>
      <c r="I175" s="2">
        <v>61.7</v>
      </c>
      <c r="J175">
        <v>76.298219584569722</v>
      </c>
    </row>
    <row r="176" spans="1:11" x14ac:dyDescent="0.25">
      <c r="A176">
        <v>2025</v>
      </c>
      <c r="B176" t="s">
        <v>115</v>
      </c>
      <c r="C176" s="34" t="s">
        <v>97</v>
      </c>
      <c r="D176" s="35">
        <v>1</v>
      </c>
      <c r="E176" s="35">
        <v>12</v>
      </c>
      <c r="F176" s="35">
        <v>1</v>
      </c>
      <c r="G176" s="35">
        <v>1</v>
      </c>
      <c r="H176" s="34" t="s">
        <v>120</v>
      </c>
      <c r="I176" s="2">
        <v>60.2</v>
      </c>
      <c r="J176">
        <v>84.050057142857142</v>
      </c>
      <c r="K176">
        <v>9.8000000000000007</v>
      </c>
    </row>
    <row r="177" spans="1:11" x14ac:dyDescent="0.25">
      <c r="A177">
        <v>2025</v>
      </c>
      <c r="B177" t="s">
        <v>115</v>
      </c>
      <c r="C177" s="34" t="s">
        <v>97</v>
      </c>
      <c r="D177" s="35">
        <v>2</v>
      </c>
      <c r="E177" s="35">
        <v>14</v>
      </c>
      <c r="F177" s="35">
        <v>3</v>
      </c>
      <c r="G177" s="35">
        <v>1</v>
      </c>
      <c r="H177" s="34" t="s">
        <v>120</v>
      </c>
      <c r="I177" s="2">
        <v>60.4</v>
      </c>
      <c r="J177">
        <v>75.911964949548576</v>
      </c>
    </row>
    <row r="178" spans="1:11" x14ac:dyDescent="0.25">
      <c r="A178">
        <v>2025</v>
      </c>
      <c r="B178" t="s">
        <v>115</v>
      </c>
      <c r="C178" s="34" t="s">
        <v>97</v>
      </c>
      <c r="D178" s="35">
        <v>3</v>
      </c>
      <c r="E178" s="35">
        <v>16</v>
      </c>
      <c r="F178" s="35">
        <v>5</v>
      </c>
      <c r="G178" s="35">
        <v>1</v>
      </c>
      <c r="H178" s="34" t="s">
        <v>120</v>
      </c>
      <c r="I178" s="2">
        <v>59.9</v>
      </c>
      <c r="J178">
        <v>81.859025010597705</v>
      </c>
    </row>
    <row r="179" spans="1:11" x14ac:dyDescent="0.25">
      <c r="A179">
        <v>2025</v>
      </c>
      <c r="B179" t="s">
        <v>115</v>
      </c>
      <c r="C179" s="34" t="s">
        <v>97</v>
      </c>
      <c r="D179" s="35">
        <v>1</v>
      </c>
      <c r="E179" s="35">
        <v>10</v>
      </c>
      <c r="F179" s="35">
        <v>2</v>
      </c>
      <c r="G179" s="35">
        <v>17</v>
      </c>
      <c r="H179" s="34" t="s">
        <v>33</v>
      </c>
      <c r="I179" s="2">
        <v>61.4</v>
      </c>
      <c r="J179">
        <v>79.741499349992779</v>
      </c>
      <c r="K179">
        <v>9.8000000000000007</v>
      </c>
    </row>
    <row r="180" spans="1:11" x14ac:dyDescent="0.25">
      <c r="A180">
        <v>2025</v>
      </c>
      <c r="B180" t="s">
        <v>115</v>
      </c>
      <c r="C180" s="34" t="s">
        <v>97</v>
      </c>
      <c r="D180" s="35">
        <v>2</v>
      </c>
      <c r="E180" s="35">
        <v>21</v>
      </c>
      <c r="F180" s="35">
        <v>4</v>
      </c>
      <c r="G180" s="35">
        <v>17</v>
      </c>
      <c r="H180" s="34" t="s">
        <v>33</v>
      </c>
      <c r="I180" s="2">
        <v>60.8</v>
      </c>
      <c r="J180">
        <v>73.083831255992337</v>
      </c>
    </row>
    <row r="181" spans="1:11" x14ac:dyDescent="0.25">
      <c r="A181">
        <v>2025</v>
      </c>
      <c r="B181" t="s">
        <v>115</v>
      </c>
      <c r="C181" s="34" t="s">
        <v>97</v>
      </c>
      <c r="D181" s="35">
        <v>3</v>
      </c>
      <c r="E181" s="35">
        <v>15</v>
      </c>
      <c r="F181" s="35">
        <v>6</v>
      </c>
      <c r="G181" s="35">
        <v>17</v>
      </c>
      <c r="H181" s="34" t="s">
        <v>33</v>
      </c>
      <c r="I181" s="2">
        <v>60.6</v>
      </c>
      <c r="J181">
        <v>80.589738699218003</v>
      </c>
    </row>
    <row r="182" spans="1:11" x14ac:dyDescent="0.25">
      <c r="A182">
        <v>2025</v>
      </c>
      <c r="B182" t="s">
        <v>115</v>
      </c>
      <c r="C182" s="34" t="s">
        <v>97</v>
      </c>
      <c r="D182" s="35">
        <v>1</v>
      </c>
      <c r="E182" s="35">
        <v>7</v>
      </c>
      <c r="F182" s="35">
        <v>2</v>
      </c>
      <c r="G182" s="35">
        <v>12</v>
      </c>
      <c r="H182" s="34" t="s">
        <v>92</v>
      </c>
      <c r="I182" s="2">
        <v>56.1</v>
      </c>
      <c r="J182">
        <v>67.975566950743882</v>
      </c>
      <c r="K182">
        <v>10</v>
      </c>
    </row>
    <row r="183" spans="1:11" x14ac:dyDescent="0.25">
      <c r="A183">
        <v>2025</v>
      </c>
      <c r="B183" t="s">
        <v>115</v>
      </c>
      <c r="C183" s="34" t="s">
        <v>97</v>
      </c>
      <c r="D183" s="35">
        <v>2</v>
      </c>
      <c r="E183" s="35">
        <v>4</v>
      </c>
      <c r="F183" s="35">
        <v>4</v>
      </c>
      <c r="G183" s="35">
        <v>12</v>
      </c>
      <c r="H183" s="34" t="s">
        <v>92</v>
      </c>
      <c r="I183" s="2">
        <v>60</v>
      </c>
      <c r="J183">
        <v>68.994837008628949</v>
      </c>
    </row>
    <row r="184" spans="1:11" x14ac:dyDescent="0.25">
      <c r="A184">
        <v>2025</v>
      </c>
      <c r="B184" t="s">
        <v>115</v>
      </c>
      <c r="C184" s="34" t="s">
        <v>97</v>
      </c>
      <c r="D184" s="35">
        <v>3</v>
      </c>
      <c r="E184" s="35">
        <v>10</v>
      </c>
      <c r="F184" s="35">
        <v>5</v>
      </c>
      <c r="G184" s="35">
        <v>12</v>
      </c>
      <c r="H184" s="34" t="s">
        <v>92</v>
      </c>
      <c r="I184" s="2">
        <v>60.5</v>
      </c>
      <c r="J184">
        <v>72.425604069520972</v>
      </c>
    </row>
    <row r="185" spans="1:11" x14ac:dyDescent="0.25">
      <c r="A185">
        <v>2025</v>
      </c>
      <c r="B185" t="s">
        <v>115</v>
      </c>
      <c r="C185" s="34" t="s">
        <v>97</v>
      </c>
      <c r="D185" s="35">
        <v>1</v>
      </c>
      <c r="E185" s="35">
        <v>18</v>
      </c>
      <c r="F185" s="35">
        <v>1</v>
      </c>
      <c r="G185" s="35">
        <v>13</v>
      </c>
      <c r="H185" s="34" t="s">
        <v>93</v>
      </c>
      <c r="I185" s="2">
        <v>60.4</v>
      </c>
      <c r="J185">
        <v>70.031185714285698</v>
      </c>
      <c r="K185">
        <v>9.1999999999999993</v>
      </c>
    </row>
    <row r="186" spans="1:11" x14ac:dyDescent="0.25">
      <c r="A186">
        <v>2025</v>
      </c>
      <c r="B186" t="s">
        <v>115</v>
      </c>
      <c r="C186" s="34" t="s">
        <v>97</v>
      </c>
      <c r="D186" s="35">
        <v>2</v>
      </c>
      <c r="E186" s="35">
        <v>8</v>
      </c>
      <c r="F186" s="35">
        <v>4</v>
      </c>
      <c r="G186" s="35">
        <v>13</v>
      </c>
      <c r="H186" s="34" t="s">
        <v>93</v>
      </c>
      <c r="I186" s="2">
        <v>61.8</v>
      </c>
      <c r="J186">
        <v>72.336727708533076</v>
      </c>
    </row>
    <row r="187" spans="1:11" x14ac:dyDescent="0.25">
      <c r="A187">
        <v>2025</v>
      </c>
      <c r="B187" t="s">
        <v>115</v>
      </c>
      <c r="C187" s="34" t="s">
        <v>97</v>
      </c>
      <c r="D187" s="35">
        <v>3</v>
      </c>
      <c r="E187" s="35">
        <v>11</v>
      </c>
      <c r="F187" s="35">
        <v>5</v>
      </c>
      <c r="G187" s="35">
        <v>13</v>
      </c>
      <c r="H187" s="34" t="s">
        <v>93</v>
      </c>
      <c r="I187" s="2">
        <v>60.1</v>
      </c>
      <c r="J187">
        <v>64.588278931750736</v>
      </c>
    </row>
    <row r="188" spans="1:11" x14ac:dyDescent="0.25">
      <c r="A188">
        <v>2025</v>
      </c>
      <c r="B188" t="s">
        <v>115</v>
      </c>
      <c r="C188" s="34" t="s">
        <v>97</v>
      </c>
      <c r="D188" s="35">
        <v>1</v>
      </c>
      <c r="E188" s="35">
        <v>3</v>
      </c>
      <c r="F188" s="35">
        <v>2</v>
      </c>
      <c r="G188" s="35">
        <v>2</v>
      </c>
      <c r="H188" s="34" t="s">
        <v>126</v>
      </c>
      <c r="I188" s="2">
        <v>59.8</v>
      </c>
      <c r="J188">
        <v>82.267813086812055</v>
      </c>
      <c r="K188">
        <v>9.1</v>
      </c>
    </row>
    <row r="189" spans="1:11" x14ac:dyDescent="0.25">
      <c r="A189">
        <v>2025</v>
      </c>
      <c r="B189" t="s">
        <v>115</v>
      </c>
      <c r="C189" s="34" t="s">
        <v>97</v>
      </c>
      <c r="D189" s="35">
        <v>2</v>
      </c>
      <c r="E189" s="35">
        <v>1</v>
      </c>
      <c r="F189" s="35">
        <v>3</v>
      </c>
      <c r="G189" s="35">
        <v>2</v>
      </c>
      <c r="H189" s="34" t="s">
        <v>126</v>
      </c>
      <c r="I189" s="2">
        <v>61.1</v>
      </c>
      <c r="J189">
        <v>78.331784386617088</v>
      </c>
    </row>
    <row r="190" spans="1:11" x14ac:dyDescent="0.25">
      <c r="A190">
        <v>2025</v>
      </c>
      <c r="B190" t="s">
        <v>115</v>
      </c>
      <c r="C190" s="34" t="s">
        <v>97</v>
      </c>
      <c r="D190" s="35">
        <v>3</v>
      </c>
      <c r="E190" s="35">
        <v>21</v>
      </c>
      <c r="F190" s="35">
        <v>6</v>
      </c>
      <c r="G190" s="35">
        <v>2</v>
      </c>
      <c r="H190" s="34" t="s">
        <v>126</v>
      </c>
      <c r="I190" s="2">
        <v>60.1</v>
      </c>
      <c r="J190">
        <v>82.979485027655912</v>
      </c>
    </row>
    <row r="191" spans="1:11" x14ac:dyDescent="0.25">
      <c r="A191">
        <v>2025</v>
      </c>
      <c r="B191" t="s">
        <v>115</v>
      </c>
      <c r="C191" s="34" t="s">
        <v>97</v>
      </c>
      <c r="D191" s="35">
        <v>1</v>
      </c>
      <c r="E191" s="35">
        <v>7</v>
      </c>
      <c r="F191" s="35">
        <v>1</v>
      </c>
      <c r="G191" s="35">
        <v>9</v>
      </c>
      <c r="H191" s="34" t="s">
        <v>94</v>
      </c>
      <c r="I191" s="2">
        <v>56.4</v>
      </c>
      <c r="J191">
        <v>73.927542857142853</v>
      </c>
      <c r="K191">
        <v>10.9</v>
      </c>
    </row>
    <row r="192" spans="1:11" x14ac:dyDescent="0.25">
      <c r="A192">
        <v>2025</v>
      </c>
      <c r="B192" t="s">
        <v>115</v>
      </c>
      <c r="C192" s="34" t="s">
        <v>97</v>
      </c>
      <c r="D192" s="35">
        <v>2</v>
      </c>
      <c r="E192" s="35">
        <v>13</v>
      </c>
      <c r="F192" s="35">
        <v>4</v>
      </c>
      <c r="G192" s="35">
        <v>9</v>
      </c>
      <c r="H192" s="34" t="s">
        <v>94</v>
      </c>
      <c r="I192" s="2">
        <v>57.6</v>
      </c>
      <c r="J192">
        <v>73.087627996164898</v>
      </c>
    </row>
    <row r="193" spans="1:11" x14ac:dyDescent="0.25">
      <c r="A193">
        <v>2025</v>
      </c>
      <c r="B193" t="s">
        <v>115</v>
      </c>
      <c r="C193" s="34" t="s">
        <v>97</v>
      </c>
      <c r="D193" s="35">
        <v>3</v>
      </c>
      <c r="E193" s="35">
        <v>15</v>
      </c>
      <c r="F193" s="35">
        <v>5</v>
      </c>
      <c r="G193" s="35">
        <v>9</v>
      </c>
      <c r="H193" s="34" t="s">
        <v>94</v>
      </c>
      <c r="I193" s="2">
        <v>58.1</v>
      </c>
      <c r="J193">
        <v>71.359597286986002</v>
      </c>
    </row>
    <row r="194" spans="1:11" x14ac:dyDescent="0.25">
      <c r="A194">
        <v>2025</v>
      </c>
      <c r="B194" t="s">
        <v>115</v>
      </c>
      <c r="C194" s="34" t="s">
        <v>97</v>
      </c>
      <c r="D194" s="35">
        <v>1</v>
      </c>
      <c r="E194" s="35">
        <v>4</v>
      </c>
      <c r="F194" s="35">
        <v>2</v>
      </c>
      <c r="G194" s="35">
        <v>3</v>
      </c>
      <c r="H194" s="34" t="s">
        <v>122</v>
      </c>
      <c r="I194" s="2">
        <v>60.4</v>
      </c>
      <c r="J194">
        <v>67.804203380037563</v>
      </c>
      <c r="K194">
        <v>10</v>
      </c>
    </row>
    <row r="195" spans="1:11" x14ac:dyDescent="0.25">
      <c r="A195">
        <v>2025</v>
      </c>
      <c r="B195" t="s">
        <v>115</v>
      </c>
      <c r="C195" s="34" t="s">
        <v>97</v>
      </c>
      <c r="D195" s="35">
        <v>2</v>
      </c>
      <c r="E195" s="35">
        <v>15</v>
      </c>
      <c r="F195" s="35">
        <v>3</v>
      </c>
      <c r="G195" s="35">
        <v>3</v>
      </c>
      <c r="H195" s="34" t="s">
        <v>122</v>
      </c>
      <c r="I195" s="2">
        <v>60.9</v>
      </c>
      <c r="J195">
        <v>68.853106744556555</v>
      </c>
    </row>
    <row r="196" spans="1:11" x14ac:dyDescent="0.25">
      <c r="A196">
        <v>2025</v>
      </c>
      <c r="B196" t="s">
        <v>115</v>
      </c>
      <c r="C196" s="34" t="s">
        <v>97</v>
      </c>
      <c r="D196" s="35">
        <v>3</v>
      </c>
      <c r="E196" s="35">
        <v>12</v>
      </c>
      <c r="F196" s="35">
        <v>6</v>
      </c>
      <c r="G196" s="35">
        <v>3</v>
      </c>
      <c r="H196" s="34" t="s">
        <v>122</v>
      </c>
      <c r="I196" s="2">
        <v>58.6</v>
      </c>
      <c r="J196">
        <v>70.020974156017544</v>
      </c>
    </row>
    <row r="197" spans="1:11" x14ac:dyDescent="0.25">
      <c r="A197">
        <v>2025</v>
      </c>
      <c r="B197" t="s">
        <v>115</v>
      </c>
      <c r="C197" s="34" t="s">
        <v>97</v>
      </c>
      <c r="D197" s="35">
        <v>1</v>
      </c>
      <c r="E197" s="35">
        <v>19</v>
      </c>
      <c r="F197" s="35">
        <v>1</v>
      </c>
      <c r="G197" s="35">
        <v>10</v>
      </c>
      <c r="H197" s="34" t="s">
        <v>91</v>
      </c>
      <c r="I197" s="2">
        <v>58.3</v>
      </c>
      <c r="J197">
        <v>67.385245714285702</v>
      </c>
      <c r="K197">
        <v>10.9</v>
      </c>
    </row>
    <row r="198" spans="1:11" x14ac:dyDescent="0.25">
      <c r="A198">
        <v>2025</v>
      </c>
      <c r="B198" t="s">
        <v>115</v>
      </c>
      <c r="C198" s="34" t="s">
        <v>97</v>
      </c>
      <c r="D198" s="35">
        <v>2</v>
      </c>
      <c r="E198" s="35">
        <v>16</v>
      </c>
      <c r="F198" s="35">
        <v>4</v>
      </c>
      <c r="G198" s="35">
        <v>10</v>
      </c>
      <c r="H198" s="34" t="s">
        <v>91</v>
      </c>
      <c r="I198" s="2">
        <v>58.6</v>
      </c>
      <c r="J198">
        <v>64.38521476510067</v>
      </c>
    </row>
    <row r="199" spans="1:11" x14ac:dyDescent="0.25">
      <c r="A199">
        <v>2025</v>
      </c>
      <c r="B199" t="s">
        <v>115</v>
      </c>
      <c r="C199" s="34" t="s">
        <v>97</v>
      </c>
      <c r="D199" s="35">
        <v>3</v>
      </c>
      <c r="E199" s="35">
        <v>18</v>
      </c>
      <c r="F199" s="35">
        <v>6</v>
      </c>
      <c r="G199" s="35">
        <v>10</v>
      </c>
      <c r="H199" s="34" t="s">
        <v>91</v>
      </c>
      <c r="I199" s="2">
        <v>58.1</v>
      </c>
      <c r="J199">
        <v>68.818123211901579</v>
      </c>
    </row>
    <row r="200" spans="1:11" x14ac:dyDescent="0.25">
      <c r="A200">
        <v>2025</v>
      </c>
      <c r="B200" t="s">
        <v>115</v>
      </c>
      <c r="C200" s="34" t="s">
        <v>97</v>
      </c>
      <c r="D200" s="35">
        <v>1</v>
      </c>
      <c r="E200" s="35">
        <v>10</v>
      </c>
      <c r="F200" s="35">
        <v>1</v>
      </c>
      <c r="G200" s="35">
        <v>4</v>
      </c>
      <c r="H200" s="34" t="s">
        <v>117</v>
      </c>
      <c r="I200" s="2">
        <v>57.4</v>
      </c>
      <c r="J200">
        <v>84.207137142857135</v>
      </c>
      <c r="K200">
        <v>9.5</v>
      </c>
    </row>
    <row r="201" spans="1:11" x14ac:dyDescent="0.25">
      <c r="A201">
        <v>2025</v>
      </c>
      <c r="B201" t="s">
        <v>115</v>
      </c>
      <c r="C201" s="34" t="s">
        <v>97</v>
      </c>
      <c r="D201" s="35">
        <v>2</v>
      </c>
      <c r="E201" s="35">
        <v>7</v>
      </c>
      <c r="F201" s="35">
        <v>3</v>
      </c>
      <c r="G201" s="35">
        <v>4</v>
      </c>
      <c r="H201" s="34" t="s">
        <v>117</v>
      </c>
      <c r="I201" s="2">
        <v>56.4</v>
      </c>
      <c r="J201">
        <v>76.858231545406269</v>
      </c>
    </row>
    <row r="202" spans="1:11" x14ac:dyDescent="0.25">
      <c r="A202">
        <v>2025</v>
      </c>
      <c r="B202" t="s">
        <v>115</v>
      </c>
      <c r="C202" s="34" t="s">
        <v>97</v>
      </c>
      <c r="D202" s="35">
        <v>3</v>
      </c>
      <c r="E202" s="35">
        <v>3</v>
      </c>
      <c r="F202" s="35">
        <v>5</v>
      </c>
      <c r="G202" s="35">
        <v>4</v>
      </c>
      <c r="H202" s="34" t="s">
        <v>117</v>
      </c>
      <c r="I202" s="2">
        <v>56.9</v>
      </c>
      <c r="J202">
        <v>80.092123781263226</v>
      </c>
    </row>
    <row r="203" spans="1:11" x14ac:dyDescent="0.25">
      <c r="A203">
        <v>2025</v>
      </c>
      <c r="B203" t="s">
        <v>115</v>
      </c>
      <c r="C203" s="34" t="s">
        <v>97</v>
      </c>
      <c r="D203" s="35">
        <v>1</v>
      </c>
      <c r="E203" s="35">
        <v>12</v>
      </c>
      <c r="F203" s="35">
        <v>2</v>
      </c>
      <c r="G203" s="35">
        <v>5</v>
      </c>
      <c r="H203" s="34" t="s">
        <v>128</v>
      </c>
      <c r="I203" s="2">
        <v>59.5</v>
      </c>
      <c r="J203">
        <v>83.243226924743595</v>
      </c>
      <c r="K203">
        <v>10.4</v>
      </c>
    </row>
    <row r="204" spans="1:11" x14ac:dyDescent="0.25">
      <c r="A204">
        <v>2025</v>
      </c>
      <c r="B204" t="s">
        <v>115</v>
      </c>
      <c r="C204" s="34" t="s">
        <v>97</v>
      </c>
      <c r="D204" s="35">
        <v>2</v>
      </c>
      <c r="E204" s="35">
        <v>5</v>
      </c>
      <c r="F204" s="35">
        <v>3</v>
      </c>
      <c r="G204" s="35">
        <v>5</v>
      </c>
      <c r="H204" s="34" t="s">
        <v>128</v>
      </c>
      <c r="I204" s="2">
        <v>60.7</v>
      </c>
      <c r="J204">
        <v>84.341232076473702</v>
      </c>
    </row>
    <row r="205" spans="1:11" x14ac:dyDescent="0.25">
      <c r="A205">
        <v>2025</v>
      </c>
      <c r="B205" t="s">
        <v>115</v>
      </c>
      <c r="C205" s="34" t="s">
        <v>97</v>
      </c>
      <c r="D205" s="35">
        <v>3</v>
      </c>
      <c r="E205" s="35">
        <v>7</v>
      </c>
      <c r="F205" s="35">
        <v>5</v>
      </c>
      <c r="G205" s="35">
        <v>5</v>
      </c>
      <c r="H205" s="34" t="s">
        <v>128</v>
      </c>
      <c r="I205" s="2">
        <v>58</v>
      </c>
      <c r="J205">
        <v>85.566850360322164</v>
      </c>
    </row>
    <row r="206" spans="1:11" x14ac:dyDescent="0.25">
      <c r="A206">
        <v>2025</v>
      </c>
      <c r="B206" t="s">
        <v>115</v>
      </c>
      <c r="C206" s="34" t="s">
        <v>97</v>
      </c>
      <c r="D206" s="35">
        <v>1</v>
      </c>
      <c r="E206" s="35">
        <v>1</v>
      </c>
      <c r="F206" s="35">
        <v>2</v>
      </c>
      <c r="G206" s="35">
        <v>6</v>
      </c>
      <c r="H206" s="34" t="s">
        <v>119</v>
      </c>
      <c r="I206" s="2">
        <v>62.1</v>
      </c>
      <c r="J206">
        <v>62.140863787375409</v>
      </c>
      <c r="K206">
        <v>10.9</v>
      </c>
    </row>
    <row r="207" spans="1:11" x14ac:dyDescent="0.25">
      <c r="A207">
        <v>2025</v>
      </c>
      <c r="B207" t="s">
        <v>115</v>
      </c>
      <c r="C207" s="34" t="s">
        <v>97</v>
      </c>
      <c r="D207" s="35">
        <v>2</v>
      </c>
      <c r="E207" s="35">
        <v>13</v>
      </c>
      <c r="F207" s="35">
        <v>3</v>
      </c>
      <c r="G207" s="35">
        <v>6</v>
      </c>
      <c r="H207" s="34" t="s">
        <v>119</v>
      </c>
      <c r="I207" s="2">
        <v>62.2</v>
      </c>
      <c r="J207">
        <v>56.063069569835363</v>
      </c>
    </row>
    <row r="208" spans="1:11" x14ac:dyDescent="0.25">
      <c r="A208">
        <v>2025</v>
      </c>
      <c r="B208" t="s">
        <v>115</v>
      </c>
      <c r="C208" s="34" t="s">
        <v>97</v>
      </c>
      <c r="D208" s="35">
        <v>3</v>
      </c>
      <c r="E208" s="35">
        <v>2</v>
      </c>
      <c r="F208" s="35">
        <v>6</v>
      </c>
      <c r="G208" s="35">
        <v>6</v>
      </c>
      <c r="H208" s="34" t="s">
        <v>119</v>
      </c>
      <c r="I208" s="2">
        <v>61.4</v>
      </c>
      <c r="J208">
        <v>57.299530802975397</v>
      </c>
    </row>
    <row r="209" spans="1:11" x14ac:dyDescent="0.25">
      <c r="A209">
        <v>2025</v>
      </c>
      <c r="B209" t="s">
        <v>115</v>
      </c>
      <c r="C209" s="34" t="s">
        <v>97</v>
      </c>
      <c r="D209" s="35">
        <v>1</v>
      </c>
      <c r="E209" s="35">
        <v>8</v>
      </c>
      <c r="F209" s="35">
        <v>2</v>
      </c>
      <c r="G209" s="35">
        <v>8</v>
      </c>
      <c r="H209" s="34" t="s">
        <v>118</v>
      </c>
      <c r="I209" s="2">
        <v>61.9</v>
      </c>
      <c r="J209">
        <v>82.458148201646679</v>
      </c>
      <c r="K209">
        <v>9.6</v>
      </c>
    </row>
    <row r="210" spans="1:11" x14ac:dyDescent="0.25">
      <c r="A210">
        <v>2025</v>
      </c>
      <c r="B210" t="s">
        <v>115</v>
      </c>
      <c r="C210" s="34" t="s">
        <v>97</v>
      </c>
      <c r="D210" s="35">
        <v>2</v>
      </c>
      <c r="E210" s="35">
        <v>17</v>
      </c>
      <c r="F210" s="35">
        <v>4</v>
      </c>
      <c r="G210" s="35">
        <v>8</v>
      </c>
      <c r="H210" s="34" t="s">
        <v>118</v>
      </c>
      <c r="I210" s="2">
        <v>61.1</v>
      </c>
      <c r="J210">
        <v>79.414325982742085</v>
      </c>
    </row>
    <row r="211" spans="1:11" x14ac:dyDescent="0.25">
      <c r="A211">
        <v>2025</v>
      </c>
      <c r="B211" t="s">
        <v>115</v>
      </c>
      <c r="C211" s="34" t="s">
        <v>97</v>
      </c>
      <c r="D211" s="35">
        <v>3</v>
      </c>
      <c r="E211" s="35">
        <v>10</v>
      </c>
      <c r="F211" s="35">
        <v>6</v>
      </c>
      <c r="G211" s="35">
        <v>8</v>
      </c>
      <c r="H211" s="34" t="s">
        <v>118</v>
      </c>
      <c r="I211" s="2">
        <v>61.1</v>
      </c>
      <c r="J211">
        <v>82.103156589738703</v>
      </c>
    </row>
    <row r="212" spans="1:11" x14ac:dyDescent="0.25">
      <c r="A212">
        <v>2025</v>
      </c>
      <c r="B212" t="s">
        <v>115</v>
      </c>
      <c r="C212" s="34" t="s">
        <v>97</v>
      </c>
      <c r="D212" s="35">
        <v>1</v>
      </c>
      <c r="E212" s="35">
        <v>13</v>
      </c>
      <c r="F212" s="35">
        <v>2</v>
      </c>
      <c r="G212" s="35">
        <v>42</v>
      </c>
      <c r="H212" s="34" t="s">
        <v>34</v>
      </c>
      <c r="I212" s="2">
        <v>61.8</v>
      </c>
      <c r="J212">
        <v>78.362296692185438</v>
      </c>
      <c r="K212">
        <v>10.199999999999999</v>
      </c>
    </row>
    <row r="213" spans="1:11" x14ac:dyDescent="0.25">
      <c r="A213">
        <v>2025</v>
      </c>
      <c r="B213" t="s">
        <v>115</v>
      </c>
      <c r="C213" s="34" t="s">
        <v>97</v>
      </c>
      <c r="D213" s="35">
        <v>2</v>
      </c>
      <c r="E213" s="35">
        <v>3</v>
      </c>
      <c r="F213" s="35">
        <v>4</v>
      </c>
      <c r="G213" s="35">
        <v>42</v>
      </c>
      <c r="H213" s="34" t="s">
        <v>34</v>
      </c>
      <c r="I213" s="2">
        <v>62.5</v>
      </c>
      <c r="J213">
        <v>72.419022051773723</v>
      </c>
    </row>
    <row r="214" spans="1:11" x14ac:dyDescent="0.25">
      <c r="A214">
        <v>2025</v>
      </c>
      <c r="B214" t="s">
        <v>115</v>
      </c>
      <c r="C214" s="34" t="s">
        <v>97</v>
      </c>
      <c r="D214" s="35">
        <v>3</v>
      </c>
      <c r="E214" s="35">
        <v>5</v>
      </c>
      <c r="F214" s="35">
        <v>5</v>
      </c>
      <c r="G214" s="35">
        <v>42</v>
      </c>
      <c r="H214" s="34" t="s">
        <v>34</v>
      </c>
      <c r="I214" s="2">
        <v>62</v>
      </c>
      <c r="J214">
        <v>74.389936413734631</v>
      </c>
    </row>
    <row r="215" spans="1:11" x14ac:dyDescent="0.25">
      <c r="A215">
        <v>2025</v>
      </c>
      <c r="B215" t="s">
        <v>115</v>
      </c>
      <c r="C215" s="34" t="s">
        <v>97</v>
      </c>
      <c r="D215" s="35">
        <v>1</v>
      </c>
      <c r="E215" s="35">
        <v>9</v>
      </c>
      <c r="F215" s="35">
        <v>1</v>
      </c>
      <c r="G215" s="35">
        <v>44</v>
      </c>
      <c r="H215" s="34" t="s">
        <v>123</v>
      </c>
      <c r="I215" s="2">
        <v>59.2</v>
      </c>
      <c r="J215">
        <v>73.805160000000001</v>
      </c>
      <c r="K215">
        <v>9.8000000000000007</v>
      </c>
    </row>
    <row r="216" spans="1:11" x14ac:dyDescent="0.25">
      <c r="A216">
        <v>2025</v>
      </c>
      <c r="B216" t="s">
        <v>115</v>
      </c>
      <c r="C216" s="34" t="s">
        <v>97</v>
      </c>
      <c r="D216" s="35">
        <v>2</v>
      </c>
      <c r="E216" s="35">
        <v>12</v>
      </c>
      <c r="F216" s="35">
        <v>3</v>
      </c>
      <c r="G216" s="35">
        <v>44</v>
      </c>
      <c r="H216" s="34" t="s">
        <v>123</v>
      </c>
      <c r="I216" s="2">
        <v>58.8</v>
      </c>
      <c r="J216">
        <v>68.378252788104092</v>
      </c>
    </row>
    <row r="217" spans="1:11" x14ac:dyDescent="0.25">
      <c r="A217">
        <v>2025</v>
      </c>
      <c r="B217" t="s">
        <v>115</v>
      </c>
      <c r="C217" s="34" t="s">
        <v>97</v>
      </c>
      <c r="D217" s="35">
        <v>3</v>
      </c>
      <c r="E217" s="35">
        <v>13</v>
      </c>
      <c r="F217" s="35">
        <v>6</v>
      </c>
      <c r="G217" s="35">
        <v>44</v>
      </c>
      <c r="H217" s="34" t="s">
        <v>123</v>
      </c>
      <c r="I217" s="2">
        <v>58.4</v>
      </c>
      <c r="J217">
        <v>72.277836162502382</v>
      </c>
    </row>
    <row r="218" spans="1:11" x14ac:dyDescent="0.25">
      <c r="A218">
        <v>2025</v>
      </c>
      <c r="B218" t="s">
        <v>115</v>
      </c>
      <c r="C218" s="34" t="s">
        <v>97</v>
      </c>
      <c r="D218" s="35">
        <v>1</v>
      </c>
      <c r="E218" s="35">
        <v>6</v>
      </c>
      <c r="F218" s="35">
        <v>1</v>
      </c>
      <c r="G218" s="35">
        <v>43</v>
      </c>
      <c r="H218" s="34" t="s">
        <v>125</v>
      </c>
      <c r="I218" s="2">
        <v>57.3</v>
      </c>
      <c r="J218">
        <v>80.889788571428554</v>
      </c>
      <c r="K218">
        <v>10.6</v>
      </c>
    </row>
    <row r="219" spans="1:11" x14ac:dyDescent="0.25">
      <c r="A219">
        <v>2025</v>
      </c>
      <c r="B219" t="s">
        <v>115</v>
      </c>
      <c r="C219" s="34" t="s">
        <v>97</v>
      </c>
      <c r="D219" s="35">
        <v>2</v>
      </c>
      <c r="E219" s="35">
        <v>12</v>
      </c>
      <c r="F219" s="35">
        <v>4</v>
      </c>
      <c r="G219" s="35">
        <v>43</v>
      </c>
      <c r="H219" s="34" t="s">
        <v>125</v>
      </c>
      <c r="I219" s="2">
        <v>59.2</v>
      </c>
      <c r="J219">
        <v>72.208635186960663</v>
      </c>
    </row>
    <row r="220" spans="1:11" x14ac:dyDescent="0.25">
      <c r="A220">
        <v>2025</v>
      </c>
      <c r="B220" t="s">
        <v>115</v>
      </c>
      <c r="C220" s="34" t="s">
        <v>97</v>
      </c>
      <c r="D220" s="35">
        <v>3</v>
      </c>
      <c r="E220" s="35">
        <v>1</v>
      </c>
      <c r="F220" s="35">
        <v>5</v>
      </c>
      <c r="G220" s="35">
        <v>43</v>
      </c>
      <c r="H220" s="34" t="s">
        <v>125</v>
      </c>
      <c r="I220" s="2">
        <v>59.8</v>
      </c>
      <c r="J220">
        <v>72.670411191182694</v>
      </c>
    </row>
    <row r="221" spans="1:11" x14ac:dyDescent="0.25">
      <c r="A221">
        <v>2025</v>
      </c>
      <c r="B221" t="s">
        <v>115</v>
      </c>
      <c r="C221" s="34" t="s">
        <v>97</v>
      </c>
      <c r="D221" s="35">
        <v>1</v>
      </c>
      <c r="E221" s="35">
        <v>11</v>
      </c>
      <c r="F221" s="35">
        <v>2</v>
      </c>
      <c r="G221" s="35">
        <v>27</v>
      </c>
      <c r="H221" s="34" t="s">
        <v>35</v>
      </c>
      <c r="I221" s="2">
        <v>61.1</v>
      </c>
      <c r="J221">
        <v>74.49620106890076</v>
      </c>
      <c r="K221">
        <v>10.5</v>
      </c>
    </row>
    <row r="222" spans="1:11" x14ac:dyDescent="0.25">
      <c r="A222">
        <v>2025</v>
      </c>
      <c r="B222" t="s">
        <v>115</v>
      </c>
      <c r="C222" s="34" t="s">
        <v>97</v>
      </c>
      <c r="D222" s="35">
        <v>2</v>
      </c>
      <c r="E222" s="35">
        <v>18</v>
      </c>
      <c r="F222" s="35">
        <v>3</v>
      </c>
      <c r="G222" s="35">
        <v>27</v>
      </c>
      <c r="H222" s="34" t="s">
        <v>35</v>
      </c>
      <c r="I222" s="2">
        <v>60.6</v>
      </c>
      <c r="J222">
        <v>73.774190122145498</v>
      </c>
    </row>
    <row r="223" spans="1:11" x14ac:dyDescent="0.25">
      <c r="A223">
        <v>2025</v>
      </c>
      <c r="B223" t="s">
        <v>115</v>
      </c>
      <c r="C223" s="34" t="s">
        <v>97</v>
      </c>
      <c r="D223" s="35">
        <v>3</v>
      </c>
      <c r="E223" s="35">
        <v>17</v>
      </c>
      <c r="F223" s="35">
        <v>6</v>
      </c>
      <c r="G223" s="35">
        <v>27</v>
      </c>
      <c r="H223" s="34" t="s">
        <v>35</v>
      </c>
      <c r="I223" s="2">
        <v>58</v>
      </c>
      <c r="J223" t="s">
        <v>12</v>
      </c>
    </row>
    <row r="224" spans="1:11" x14ac:dyDescent="0.25">
      <c r="A224">
        <v>2025</v>
      </c>
      <c r="B224" t="s">
        <v>115</v>
      </c>
      <c r="C224" s="34" t="s">
        <v>97</v>
      </c>
      <c r="D224" s="35">
        <v>1</v>
      </c>
      <c r="E224" s="35">
        <v>20</v>
      </c>
      <c r="F224" s="35">
        <v>2</v>
      </c>
      <c r="G224" s="35">
        <v>31</v>
      </c>
      <c r="H224" s="34" t="s">
        <v>36</v>
      </c>
      <c r="I224" s="2">
        <v>58.3</v>
      </c>
      <c r="J224">
        <v>62.957021522461361</v>
      </c>
      <c r="K224">
        <v>10.1</v>
      </c>
    </row>
    <row r="225" spans="1:11" x14ac:dyDescent="0.25">
      <c r="A225">
        <v>2025</v>
      </c>
      <c r="B225" t="s">
        <v>115</v>
      </c>
      <c r="C225" s="34" t="s">
        <v>97</v>
      </c>
      <c r="D225" s="35">
        <v>2</v>
      </c>
      <c r="E225" s="35">
        <v>15</v>
      </c>
      <c r="F225" s="35">
        <v>4</v>
      </c>
      <c r="G225" s="35">
        <v>31</v>
      </c>
      <c r="H225" s="34" t="s">
        <v>36</v>
      </c>
      <c r="I225" s="2">
        <v>60.1</v>
      </c>
      <c r="J225">
        <v>65.286608341323117</v>
      </c>
    </row>
    <row r="226" spans="1:11" x14ac:dyDescent="0.25">
      <c r="A226">
        <v>2025</v>
      </c>
      <c r="B226" t="s">
        <v>115</v>
      </c>
      <c r="C226" s="34" t="s">
        <v>97</v>
      </c>
      <c r="D226" s="35">
        <v>3</v>
      </c>
      <c r="E226" s="35">
        <v>8</v>
      </c>
      <c r="F226" s="35">
        <v>5</v>
      </c>
      <c r="G226" s="35">
        <v>31</v>
      </c>
      <c r="H226" s="34" t="s">
        <v>36</v>
      </c>
      <c r="I226" s="2">
        <v>59.3</v>
      </c>
      <c r="J226">
        <v>69.896769817719374</v>
      </c>
    </row>
    <row r="227" spans="1:11" x14ac:dyDescent="0.25">
      <c r="A227">
        <v>2025</v>
      </c>
      <c r="B227" t="s">
        <v>115</v>
      </c>
      <c r="C227" s="34" t="s">
        <v>97</v>
      </c>
      <c r="D227" s="35">
        <v>1</v>
      </c>
      <c r="E227" s="35">
        <v>20</v>
      </c>
      <c r="F227" s="35">
        <v>1</v>
      </c>
      <c r="G227" s="35">
        <v>23</v>
      </c>
      <c r="H227" s="34" t="s">
        <v>37</v>
      </c>
      <c r="I227" s="2">
        <v>60.3</v>
      </c>
      <c r="J227">
        <v>75.803027142857133</v>
      </c>
      <c r="K227">
        <v>10.199999999999999</v>
      </c>
    </row>
    <row r="228" spans="1:11" x14ac:dyDescent="0.25">
      <c r="A228">
        <v>2025</v>
      </c>
      <c r="B228" t="s">
        <v>115</v>
      </c>
      <c r="C228" s="34" t="s">
        <v>97</v>
      </c>
      <c r="D228" s="35">
        <v>2</v>
      </c>
      <c r="E228" s="35">
        <v>19</v>
      </c>
      <c r="F228" s="35">
        <v>3</v>
      </c>
      <c r="G228" s="35">
        <v>23</v>
      </c>
      <c r="H228" s="34" t="s">
        <v>37</v>
      </c>
      <c r="I228" s="2">
        <v>61.1</v>
      </c>
      <c r="J228">
        <v>71.091492299522045</v>
      </c>
    </row>
    <row r="229" spans="1:11" x14ac:dyDescent="0.25">
      <c r="A229">
        <v>2025</v>
      </c>
      <c r="B229" t="s">
        <v>115</v>
      </c>
      <c r="C229" s="34" t="s">
        <v>97</v>
      </c>
      <c r="D229" s="35">
        <v>3</v>
      </c>
      <c r="E229" s="35">
        <v>4</v>
      </c>
      <c r="F229" s="35">
        <v>6</v>
      </c>
      <c r="G229" s="35">
        <v>23</v>
      </c>
      <c r="H229" s="34" t="s">
        <v>37</v>
      </c>
      <c r="I229" s="2">
        <v>60.2</v>
      </c>
      <c r="J229">
        <v>78.079759202746516</v>
      </c>
    </row>
    <row r="230" spans="1:11" x14ac:dyDescent="0.25">
      <c r="A230">
        <v>2025</v>
      </c>
      <c r="B230" t="s">
        <v>115</v>
      </c>
      <c r="C230" s="34" t="s">
        <v>97</v>
      </c>
      <c r="D230" s="35">
        <v>1</v>
      </c>
      <c r="E230" s="35">
        <v>3</v>
      </c>
      <c r="F230" s="35">
        <v>1</v>
      </c>
      <c r="G230" s="35">
        <v>28</v>
      </c>
      <c r="H230" s="34" t="s">
        <v>38</v>
      </c>
      <c r="I230" s="2">
        <v>59</v>
      </c>
      <c r="J230">
        <v>83.327168571428558</v>
      </c>
      <c r="K230">
        <v>9</v>
      </c>
    </row>
    <row r="231" spans="1:11" x14ac:dyDescent="0.25">
      <c r="A231">
        <v>2025</v>
      </c>
      <c r="B231" t="s">
        <v>115</v>
      </c>
      <c r="C231" s="34" t="s">
        <v>97</v>
      </c>
      <c r="D231" s="35">
        <v>2</v>
      </c>
      <c r="E231" s="35">
        <v>16</v>
      </c>
      <c r="F231" s="35">
        <v>3</v>
      </c>
      <c r="G231" s="35">
        <v>28</v>
      </c>
      <c r="H231" s="34" t="s">
        <v>38</v>
      </c>
      <c r="I231" s="2">
        <v>58.5</v>
      </c>
      <c r="J231">
        <v>77.406787041954331</v>
      </c>
    </row>
    <row r="232" spans="1:11" x14ac:dyDescent="0.25">
      <c r="A232">
        <v>2025</v>
      </c>
      <c r="B232" t="s">
        <v>115</v>
      </c>
      <c r="C232" s="34" t="s">
        <v>97</v>
      </c>
      <c r="D232" s="35">
        <v>3</v>
      </c>
      <c r="E232" s="35">
        <v>7</v>
      </c>
      <c r="F232" s="35">
        <v>6</v>
      </c>
      <c r="G232" s="35">
        <v>28</v>
      </c>
      <c r="H232" s="34" t="s">
        <v>38</v>
      </c>
      <c r="I232" s="2">
        <v>56.2</v>
      </c>
      <c r="J232">
        <v>78.902084207514775</v>
      </c>
    </row>
    <row r="233" spans="1:11" x14ac:dyDescent="0.25">
      <c r="A233">
        <v>2025</v>
      </c>
      <c r="B233" t="s">
        <v>115</v>
      </c>
      <c r="C233" s="34" t="s">
        <v>97</v>
      </c>
      <c r="D233" s="35">
        <v>1</v>
      </c>
      <c r="E233" s="35">
        <v>13</v>
      </c>
      <c r="F233" s="35">
        <v>1</v>
      </c>
      <c r="G233" s="35">
        <v>46</v>
      </c>
      <c r="H233" s="34" t="s">
        <v>127</v>
      </c>
      <c r="I233" s="2">
        <v>57.2</v>
      </c>
      <c r="J233">
        <v>70.873817142857135</v>
      </c>
      <c r="K233">
        <v>10.7</v>
      </c>
    </row>
    <row r="234" spans="1:11" x14ac:dyDescent="0.25">
      <c r="A234">
        <v>2025</v>
      </c>
      <c r="B234" t="s">
        <v>115</v>
      </c>
      <c r="C234" s="34" t="s">
        <v>97</v>
      </c>
      <c r="D234" s="35">
        <v>2</v>
      </c>
      <c r="E234" s="35">
        <v>21</v>
      </c>
      <c r="F234" s="35">
        <v>3</v>
      </c>
      <c r="G234" s="35">
        <v>46</v>
      </c>
      <c r="H234" s="34" t="s">
        <v>127</v>
      </c>
      <c r="I234" s="2">
        <v>59.6</v>
      </c>
      <c r="J234">
        <v>61.422634094530004</v>
      </c>
    </row>
    <row r="235" spans="1:11" x14ac:dyDescent="0.25">
      <c r="A235">
        <v>2025</v>
      </c>
      <c r="B235" t="s">
        <v>115</v>
      </c>
      <c r="C235" s="34" t="s">
        <v>97</v>
      </c>
      <c r="D235" s="35">
        <v>3</v>
      </c>
      <c r="E235" s="35">
        <v>6</v>
      </c>
      <c r="F235" s="35">
        <v>6</v>
      </c>
      <c r="G235" s="35">
        <v>46</v>
      </c>
      <c r="H235" s="34" t="s">
        <v>127</v>
      </c>
      <c r="I235" s="2">
        <v>57.7</v>
      </c>
      <c r="J235">
        <v>70.705599847415598</v>
      </c>
    </row>
    <row r="236" spans="1:11" x14ac:dyDescent="0.25">
      <c r="A236">
        <v>2025</v>
      </c>
      <c r="B236" t="s">
        <v>115</v>
      </c>
      <c r="C236" s="34" t="s">
        <v>97</v>
      </c>
      <c r="D236" s="35">
        <v>1</v>
      </c>
      <c r="E236" s="35">
        <v>16</v>
      </c>
      <c r="F236" s="35">
        <v>2</v>
      </c>
      <c r="G236" s="35">
        <v>45</v>
      </c>
      <c r="H236" s="34" t="s">
        <v>39</v>
      </c>
      <c r="I236" s="2">
        <v>60</v>
      </c>
      <c r="J236">
        <v>71.733982377581967</v>
      </c>
      <c r="K236">
        <v>10.5</v>
      </c>
    </row>
    <row r="237" spans="1:11" x14ac:dyDescent="0.25">
      <c r="A237">
        <v>2025</v>
      </c>
      <c r="B237" t="s">
        <v>115</v>
      </c>
      <c r="C237" s="34" t="s">
        <v>97</v>
      </c>
      <c r="D237" s="35">
        <v>2</v>
      </c>
      <c r="E237" s="35">
        <v>3</v>
      </c>
      <c r="F237" s="35">
        <v>3</v>
      </c>
      <c r="G237" s="35">
        <v>45</v>
      </c>
      <c r="H237" s="34" t="s">
        <v>39</v>
      </c>
      <c r="I237" s="2">
        <v>60.4</v>
      </c>
      <c r="J237">
        <v>66.372586298459893</v>
      </c>
    </row>
    <row r="238" spans="1:11" x14ac:dyDescent="0.25">
      <c r="A238">
        <v>2025</v>
      </c>
      <c r="B238" t="s">
        <v>115</v>
      </c>
      <c r="C238" s="34" t="s">
        <v>97</v>
      </c>
      <c r="D238" s="35">
        <v>3</v>
      </c>
      <c r="E238" s="35">
        <v>18</v>
      </c>
      <c r="F238" s="35">
        <v>5</v>
      </c>
      <c r="G238" s="35">
        <v>45</v>
      </c>
      <c r="H238" s="34" t="s">
        <v>39</v>
      </c>
      <c r="I238" s="2">
        <v>59.5</v>
      </c>
      <c r="J238">
        <v>72.220059347181007</v>
      </c>
    </row>
    <row r="239" spans="1:11" x14ac:dyDescent="0.25">
      <c r="A239">
        <v>2025</v>
      </c>
      <c r="B239" t="s">
        <v>115</v>
      </c>
      <c r="C239" s="34" t="s">
        <v>97</v>
      </c>
      <c r="D239" s="35">
        <v>1</v>
      </c>
      <c r="E239" s="35">
        <v>1</v>
      </c>
      <c r="F239" s="35">
        <v>1</v>
      </c>
      <c r="G239" s="35">
        <v>24</v>
      </c>
      <c r="H239" s="34" t="s">
        <v>40</v>
      </c>
      <c r="I239" s="2" t="s">
        <v>12</v>
      </c>
      <c r="J239" t="s">
        <v>12</v>
      </c>
      <c r="K239" t="s">
        <v>12</v>
      </c>
    </row>
    <row r="240" spans="1:11" x14ac:dyDescent="0.25">
      <c r="A240">
        <v>2025</v>
      </c>
      <c r="B240" t="s">
        <v>115</v>
      </c>
      <c r="C240" s="34" t="s">
        <v>97</v>
      </c>
      <c r="D240" s="35">
        <v>2</v>
      </c>
      <c r="E240" s="35">
        <v>10</v>
      </c>
      <c r="F240" s="35">
        <v>3</v>
      </c>
      <c r="G240" s="35">
        <v>24</v>
      </c>
      <c r="H240" s="34" t="s">
        <v>40</v>
      </c>
      <c r="I240" s="2">
        <v>59.7</v>
      </c>
      <c r="J240">
        <v>78.11694105151355</v>
      </c>
    </row>
    <row r="241" spans="1:11" x14ac:dyDescent="0.25">
      <c r="A241">
        <v>2025</v>
      </c>
      <c r="B241" t="s">
        <v>115</v>
      </c>
      <c r="C241" s="34" t="s">
        <v>97</v>
      </c>
      <c r="D241" s="35">
        <v>3</v>
      </c>
      <c r="E241" s="35">
        <v>6</v>
      </c>
      <c r="F241" s="35">
        <v>5</v>
      </c>
      <c r="G241" s="35">
        <v>24</v>
      </c>
      <c r="H241" s="34" t="s">
        <v>40</v>
      </c>
      <c r="I241" s="2">
        <v>57.2</v>
      </c>
      <c r="J241">
        <v>89.908096651123358</v>
      </c>
      <c r="K241">
        <v>8.3000000000000007</v>
      </c>
    </row>
    <row r="242" spans="1:11" x14ac:dyDescent="0.25">
      <c r="A242">
        <v>2025</v>
      </c>
      <c r="B242" t="s">
        <v>115</v>
      </c>
      <c r="C242" s="34" t="s">
        <v>97</v>
      </c>
      <c r="D242" s="35">
        <v>1</v>
      </c>
      <c r="E242" s="35">
        <v>11</v>
      </c>
      <c r="F242" s="35">
        <v>1</v>
      </c>
      <c r="G242" s="35">
        <v>33</v>
      </c>
      <c r="H242" s="34" t="s">
        <v>41</v>
      </c>
      <c r="I242" s="2">
        <v>59.4</v>
      </c>
      <c r="J242">
        <v>81.085808571428558</v>
      </c>
      <c r="K242">
        <v>9.6999999999999993</v>
      </c>
    </row>
    <row r="243" spans="1:11" x14ac:dyDescent="0.25">
      <c r="A243">
        <v>2025</v>
      </c>
      <c r="B243" t="s">
        <v>115</v>
      </c>
      <c r="C243" s="34" t="s">
        <v>97</v>
      </c>
      <c r="D243" s="35">
        <v>2</v>
      </c>
      <c r="E243" s="35">
        <v>14</v>
      </c>
      <c r="F243" s="35">
        <v>4</v>
      </c>
      <c r="G243" s="35">
        <v>33</v>
      </c>
      <c r="H243" s="34" t="s">
        <v>41</v>
      </c>
      <c r="I243" s="2">
        <v>60.6</v>
      </c>
      <c r="J243">
        <v>79.523909395973149</v>
      </c>
    </row>
    <row r="244" spans="1:11" x14ac:dyDescent="0.25">
      <c r="A244">
        <v>2025</v>
      </c>
      <c r="B244" t="s">
        <v>115</v>
      </c>
      <c r="C244" s="34" t="s">
        <v>97</v>
      </c>
      <c r="D244" s="35">
        <v>3</v>
      </c>
      <c r="E244" s="35">
        <v>12</v>
      </c>
      <c r="F244" s="35">
        <v>5</v>
      </c>
      <c r="G244" s="35">
        <v>33</v>
      </c>
      <c r="H244" s="34" t="s">
        <v>41</v>
      </c>
      <c r="I244" s="2">
        <v>61.5</v>
      </c>
      <c r="J244">
        <v>74.75504874947012</v>
      </c>
    </row>
    <row r="245" spans="1:11" x14ac:dyDescent="0.25">
      <c r="A245">
        <v>2025</v>
      </c>
      <c r="B245" t="s">
        <v>115</v>
      </c>
      <c r="C245" s="34" t="s">
        <v>97</v>
      </c>
      <c r="D245" s="35">
        <v>1</v>
      </c>
      <c r="E245" s="35">
        <v>5</v>
      </c>
      <c r="F245" s="35">
        <v>2</v>
      </c>
      <c r="G245" s="35">
        <v>25</v>
      </c>
      <c r="H245" s="34" t="s">
        <v>130</v>
      </c>
      <c r="I245" s="2">
        <v>60.2</v>
      </c>
      <c r="J245">
        <v>70.828114979055314</v>
      </c>
      <c r="K245">
        <v>10.6</v>
      </c>
    </row>
    <row r="246" spans="1:11" x14ac:dyDescent="0.25">
      <c r="A246">
        <v>2025</v>
      </c>
      <c r="B246" t="s">
        <v>115</v>
      </c>
      <c r="C246" s="34" t="s">
        <v>97</v>
      </c>
      <c r="D246" s="35">
        <v>2</v>
      </c>
      <c r="E246" s="35">
        <v>11</v>
      </c>
      <c r="F246" s="35">
        <v>3</v>
      </c>
      <c r="G246" s="35">
        <v>25</v>
      </c>
      <c r="H246" s="34" t="s">
        <v>130</v>
      </c>
      <c r="I246" s="2">
        <v>60.4</v>
      </c>
      <c r="J246">
        <v>67.685353159851289</v>
      </c>
    </row>
    <row r="247" spans="1:11" x14ac:dyDescent="0.25">
      <c r="A247">
        <v>2025</v>
      </c>
      <c r="B247" t="s">
        <v>115</v>
      </c>
      <c r="C247" s="34" t="s">
        <v>97</v>
      </c>
      <c r="D247" s="35">
        <v>3</v>
      </c>
      <c r="E247" s="35">
        <v>9</v>
      </c>
      <c r="F247" s="35">
        <v>5</v>
      </c>
      <c r="G247" s="35">
        <v>25</v>
      </c>
      <c r="H247" s="34" t="s">
        <v>130</v>
      </c>
      <c r="I247" s="2">
        <v>60</v>
      </c>
      <c r="J247">
        <v>75.803476049173383</v>
      </c>
    </row>
    <row r="248" spans="1:11" x14ac:dyDescent="0.25">
      <c r="A248">
        <v>2025</v>
      </c>
      <c r="B248" t="s">
        <v>115</v>
      </c>
      <c r="C248" s="34" t="s">
        <v>97</v>
      </c>
      <c r="D248" s="35">
        <v>1</v>
      </c>
      <c r="E248" s="35">
        <v>18</v>
      </c>
      <c r="F248" s="35">
        <v>2</v>
      </c>
      <c r="G248" s="35">
        <v>34</v>
      </c>
      <c r="H248" s="34" t="s">
        <v>42</v>
      </c>
      <c r="I248" s="2">
        <v>60.9</v>
      </c>
      <c r="J248">
        <v>77.255607395637725</v>
      </c>
      <c r="K248">
        <v>9.9</v>
      </c>
    </row>
    <row r="249" spans="1:11" x14ac:dyDescent="0.25">
      <c r="A249">
        <v>2025</v>
      </c>
      <c r="B249" t="s">
        <v>115</v>
      </c>
      <c r="C249" s="34" t="s">
        <v>97</v>
      </c>
      <c r="D249" s="35">
        <v>2</v>
      </c>
      <c r="E249" s="35">
        <v>19</v>
      </c>
      <c r="F249" s="35">
        <v>4</v>
      </c>
      <c r="G249" s="35">
        <v>34</v>
      </c>
      <c r="H249" s="34" t="s">
        <v>42</v>
      </c>
      <c r="I249" s="2">
        <v>60</v>
      </c>
      <c r="J249">
        <v>74.215592042185989</v>
      </c>
    </row>
    <row r="250" spans="1:11" x14ac:dyDescent="0.25">
      <c r="A250">
        <v>2025</v>
      </c>
      <c r="B250" t="s">
        <v>115</v>
      </c>
      <c r="C250" s="34" t="s">
        <v>97</v>
      </c>
      <c r="D250" s="35">
        <v>3</v>
      </c>
      <c r="E250" s="35">
        <v>21</v>
      </c>
      <c r="F250" s="35">
        <v>5</v>
      </c>
      <c r="G250" s="35">
        <v>34</v>
      </c>
      <c r="H250" s="34" t="s">
        <v>42</v>
      </c>
      <c r="I250" s="2">
        <v>60</v>
      </c>
      <c r="J250">
        <v>74.657498940228919</v>
      </c>
    </row>
    <row r="251" spans="1:11" x14ac:dyDescent="0.25">
      <c r="A251">
        <v>2025</v>
      </c>
      <c r="B251" t="s">
        <v>115</v>
      </c>
      <c r="C251" s="34" t="s">
        <v>97</v>
      </c>
      <c r="D251" s="35">
        <v>1</v>
      </c>
      <c r="E251" s="35">
        <v>15</v>
      </c>
      <c r="F251" s="35">
        <v>1</v>
      </c>
      <c r="G251" s="35">
        <v>35</v>
      </c>
      <c r="H251" s="34" t="s">
        <v>129</v>
      </c>
      <c r="I251" s="2">
        <v>60.7</v>
      </c>
      <c r="J251">
        <v>76.461989999999986</v>
      </c>
      <c r="K251">
        <v>10.3</v>
      </c>
    </row>
    <row r="252" spans="1:11" x14ac:dyDescent="0.25">
      <c r="A252">
        <v>2025</v>
      </c>
      <c r="B252" t="s">
        <v>115</v>
      </c>
      <c r="C252" s="34" t="s">
        <v>97</v>
      </c>
      <c r="D252" s="35">
        <v>2</v>
      </c>
      <c r="E252" s="35">
        <v>6</v>
      </c>
      <c r="F252" s="35">
        <v>3</v>
      </c>
      <c r="G252" s="35">
        <v>35</v>
      </c>
      <c r="H252" s="34" t="s">
        <v>129</v>
      </c>
      <c r="I252" s="2" t="s">
        <v>12</v>
      </c>
      <c r="J252" t="s">
        <v>12</v>
      </c>
    </row>
    <row r="253" spans="1:11" x14ac:dyDescent="0.25">
      <c r="A253">
        <v>2025</v>
      </c>
      <c r="B253" t="s">
        <v>115</v>
      </c>
      <c r="C253" s="34" t="s">
        <v>97</v>
      </c>
      <c r="D253" s="35">
        <v>3</v>
      </c>
      <c r="E253" s="35">
        <v>20</v>
      </c>
      <c r="F253" s="35">
        <v>5</v>
      </c>
      <c r="G253" s="35">
        <v>35</v>
      </c>
      <c r="H253" s="34" t="s">
        <v>129</v>
      </c>
      <c r="I253" s="2">
        <v>61.1</v>
      </c>
      <c r="J253">
        <v>77.71269181856718</v>
      </c>
    </row>
    <row r="254" spans="1:11" x14ac:dyDescent="0.25">
      <c r="A254">
        <v>2025</v>
      </c>
      <c r="B254" t="s">
        <v>115</v>
      </c>
      <c r="C254" s="34" t="s">
        <v>97</v>
      </c>
      <c r="D254" s="35">
        <v>1</v>
      </c>
      <c r="E254" s="35">
        <v>14</v>
      </c>
      <c r="F254" s="35">
        <v>1</v>
      </c>
      <c r="G254" s="35">
        <v>26</v>
      </c>
      <c r="H254" s="34" t="s">
        <v>44</v>
      </c>
      <c r="I254" s="2">
        <v>60.1</v>
      </c>
      <c r="J254">
        <v>80.864472857142829</v>
      </c>
      <c r="K254">
        <v>9.4</v>
      </c>
    </row>
    <row r="255" spans="1:11" x14ac:dyDescent="0.25">
      <c r="A255">
        <v>2025</v>
      </c>
      <c r="B255" t="s">
        <v>115</v>
      </c>
      <c r="C255" s="34" t="s">
        <v>97</v>
      </c>
      <c r="D255" s="35">
        <v>2</v>
      </c>
      <c r="E255" s="35">
        <v>20</v>
      </c>
      <c r="F255" s="35">
        <v>4</v>
      </c>
      <c r="G255" s="35">
        <v>26</v>
      </c>
      <c r="H255" s="34" t="s">
        <v>44</v>
      </c>
      <c r="I255" s="2" t="s">
        <v>12</v>
      </c>
      <c r="J255" t="s">
        <v>12</v>
      </c>
    </row>
    <row r="256" spans="1:11" x14ac:dyDescent="0.25">
      <c r="A256">
        <v>2025</v>
      </c>
      <c r="B256" t="s">
        <v>115</v>
      </c>
      <c r="C256" s="34" t="s">
        <v>97</v>
      </c>
      <c r="D256" s="35">
        <v>3</v>
      </c>
      <c r="E256" s="35">
        <v>3</v>
      </c>
      <c r="F256" s="35">
        <v>6</v>
      </c>
      <c r="G256" s="35">
        <v>26</v>
      </c>
      <c r="H256" s="34" t="s">
        <v>44</v>
      </c>
      <c r="I256" s="2">
        <v>60</v>
      </c>
      <c r="J256">
        <v>79.668942399389664</v>
      </c>
    </row>
    <row r="257" spans="1:11" x14ac:dyDescent="0.25">
      <c r="A257">
        <v>2025</v>
      </c>
      <c r="B257" t="s">
        <v>115</v>
      </c>
      <c r="C257" s="34" t="s">
        <v>97</v>
      </c>
      <c r="D257" s="35">
        <v>1</v>
      </c>
      <c r="E257" s="35">
        <v>16</v>
      </c>
      <c r="F257" s="35">
        <v>1</v>
      </c>
      <c r="G257" s="35">
        <v>36</v>
      </c>
      <c r="H257" s="34" t="s">
        <v>45</v>
      </c>
      <c r="I257" s="2">
        <v>59.7</v>
      </c>
      <c r="J257">
        <v>79.529999999999987</v>
      </c>
      <c r="K257">
        <v>10.4</v>
      </c>
    </row>
    <row r="258" spans="1:11" x14ac:dyDescent="0.25">
      <c r="A258">
        <v>2025</v>
      </c>
      <c r="B258" t="s">
        <v>115</v>
      </c>
      <c r="C258" s="34" t="s">
        <v>97</v>
      </c>
      <c r="D258" s="35">
        <v>2</v>
      </c>
      <c r="E258" s="35">
        <v>5</v>
      </c>
      <c r="F258" s="35">
        <v>4</v>
      </c>
      <c r="G258" s="35">
        <v>36</v>
      </c>
      <c r="H258" s="34" t="s">
        <v>45</v>
      </c>
      <c r="I258" s="2">
        <v>58.7</v>
      </c>
      <c r="J258">
        <v>72.088895493767978</v>
      </c>
    </row>
    <row r="259" spans="1:11" x14ac:dyDescent="0.25">
      <c r="A259">
        <v>2025</v>
      </c>
      <c r="B259" t="s">
        <v>115</v>
      </c>
      <c r="C259" s="34" t="s">
        <v>97</v>
      </c>
      <c r="D259" s="35">
        <v>3</v>
      </c>
      <c r="E259" s="35">
        <v>19</v>
      </c>
      <c r="F259" s="35">
        <v>5</v>
      </c>
      <c r="G259" s="35">
        <v>36</v>
      </c>
      <c r="H259" s="34" t="s">
        <v>45</v>
      </c>
      <c r="I259" s="2">
        <v>60.8</v>
      </c>
      <c r="J259">
        <v>75.260330648579881</v>
      </c>
    </row>
    <row r="260" spans="1:11" x14ac:dyDescent="0.25">
      <c r="A260">
        <v>2025</v>
      </c>
      <c r="B260" s="31" t="s">
        <v>115</v>
      </c>
      <c r="C260" s="31" t="s">
        <v>132</v>
      </c>
      <c r="D260" s="32">
        <v>1</v>
      </c>
      <c r="E260" s="32">
        <v>1</v>
      </c>
      <c r="F260" s="32">
        <v>1</v>
      </c>
      <c r="G260" s="32">
        <v>3</v>
      </c>
      <c r="H260" s="31" t="s">
        <v>122</v>
      </c>
      <c r="I260" s="2">
        <v>61</v>
      </c>
      <c r="J260">
        <v>71.551067450942568</v>
      </c>
      <c r="K260">
        <v>10.1</v>
      </c>
    </row>
    <row r="261" spans="1:11" x14ac:dyDescent="0.25">
      <c r="A261">
        <v>2025</v>
      </c>
      <c r="B261" s="31" t="s">
        <v>115</v>
      </c>
      <c r="C261" s="31" t="s">
        <v>132</v>
      </c>
      <c r="D261" s="32">
        <v>1</v>
      </c>
      <c r="E261" s="32">
        <v>2</v>
      </c>
      <c r="F261" s="32">
        <v>1</v>
      </c>
      <c r="G261" s="32">
        <v>45</v>
      </c>
      <c r="H261" s="31" t="s">
        <v>39</v>
      </c>
      <c r="I261" s="2">
        <v>59.4</v>
      </c>
      <c r="J261">
        <v>71.440759847644742</v>
      </c>
      <c r="K261">
        <v>10.199999999999999</v>
      </c>
    </row>
    <row r="262" spans="1:11" x14ac:dyDescent="0.25">
      <c r="A262">
        <v>2025</v>
      </c>
      <c r="B262" s="31" t="s">
        <v>115</v>
      </c>
      <c r="C262" s="31" t="s">
        <v>132</v>
      </c>
      <c r="D262" s="32">
        <v>1</v>
      </c>
      <c r="E262" s="32">
        <v>3</v>
      </c>
      <c r="F262" s="32">
        <v>1</v>
      </c>
      <c r="G262" s="32">
        <v>44</v>
      </c>
      <c r="H262" s="31" t="s">
        <v>123</v>
      </c>
      <c r="I262" s="2">
        <v>58.2</v>
      </c>
      <c r="J262">
        <v>63.527251337929712</v>
      </c>
      <c r="K262">
        <v>10.3</v>
      </c>
    </row>
    <row r="263" spans="1:11" x14ac:dyDescent="0.25">
      <c r="A263">
        <v>2025</v>
      </c>
      <c r="B263" s="31" t="s">
        <v>115</v>
      </c>
      <c r="C263" s="31" t="s">
        <v>132</v>
      </c>
      <c r="D263" s="32">
        <v>1</v>
      </c>
      <c r="E263" s="32">
        <v>4</v>
      </c>
      <c r="F263" s="32">
        <v>1</v>
      </c>
      <c r="G263" s="32">
        <v>31</v>
      </c>
      <c r="H263" s="31" t="s">
        <v>36</v>
      </c>
      <c r="I263" s="2">
        <v>60</v>
      </c>
      <c r="J263">
        <v>63.805812641627689</v>
      </c>
      <c r="K263">
        <v>10.5</v>
      </c>
    </row>
    <row r="264" spans="1:11" x14ac:dyDescent="0.25">
      <c r="A264">
        <v>2025</v>
      </c>
      <c r="B264" s="31" t="s">
        <v>115</v>
      </c>
      <c r="C264" s="31" t="s">
        <v>132</v>
      </c>
      <c r="D264" s="32">
        <v>1</v>
      </c>
      <c r="E264" s="32">
        <v>5</v>
      </c>
      <c r="F264" s="32">
        <v>1</v>
      </c>
      <c r="G264" s="32">
        <v>22</v>
      </c>
      <c r="H264" s="31" t="s">
        <v>28</v>
      </c>
      <c r="I264" s="2">
        <v>59.6</v>
      </c>
      <c r="J264">
        <v>69.452072706234034</v>
      </c>
      <c r="K264">
        <v>9.9</v>
      </c>
    </row>
    <row r="265" spans="1:11" x14ac:dyDescent="0.25">
      <c r="A265">
        <v>2025</v>
      </c>
      <c r="B265" s="31" t="s">
        <v>115</v>
      </c>
      <c r="C265" s="31" t="s">
        <v>132</v>
      </c>
      <c r="D265" s="32">
        <v>1</v>
      </c>
      <c r="E265" s="32">
        <v>6</v>
      </c>
      <c r="F265" s="32">
        <v>1</v>
      </c>
      <c r="G265" s="32">
        <v>23</v>
      </c>
      <c r="H265" s="31" t="s">
        <v>37</v>
      </c>
      <c r="I265" s="2">
        <v>60.6</v>
      </c>
      <c r="J265">
        <v>64.391287787474084</v>
      </c>
      <c r="K265">
        <v>10.5</v>
      </c>
    </row>
    <row r="266" spans="1:11" x14ac:dyDescent="0.25">
      <c r="A266">
        <v>2025</v>
      </c>
      <c r="B266" s="31" t="s">
        <v>115</v>
      </c>
      <c r="C266" s="31" t="s">
        <v>132</v>
      </c>
      <c r="D266" s="32">
        <v>1</v>
      </c>
      <c r="E266" s="32">
        <v>7</v>
      </c>
      <c r="F266" s="32">
        <v>1</v>
      </c>
      <c r="G266" s="32">
        <v>25</v>
      </c>
      <c r="H266" s="31" t="s">
        <v>130</v>
      </c>
      <c r="I266" s="2">
        <v>59.5</v>
      </c>
      <c r="J266">
        <v>69.700276746540652</v>
      </c>
      <c r="K266">
        <v>10.3</v>
      </c>
    </row>
    <row r="267" spans="1:11" x14ac:dyDescent="0.25">
      <c r="A267">
        <v>2025</v>
      </c>
      <c r="B267" s="31" t="s">
        <v>115</v>
      </c>
      <c r="C267" s="31" t="s">
        <v>132</v>
      </c>
      <c r="D267" s="32">
        <v>1</v>
      </c>
      <c r="E267" s="32">
        <v>8</v>
      </c>
      <c r="F267" s="32">
        <v>1</v>
      </c>
      <c r="G267" s="32">
        <v>37</v>
      </c>
      <c r="H267" s="31" t="s">
        <v>89</v>
      </c>
      <c r="I267" s="2">
        <v>60.6</v>
      </c>
      <c r="J267">
        <v>66.983397136107229</v>
      </c>
      <c r="K267">
        <v>9.1</v>
      </c>
    </row>
    <row r="268" spans="1:11" x14ac:dyDescent="0.25">
      <c r="A268">
        <v>2025</v>
      </c>
      <c r="B268" s="31" t="s">
        <v>115</v>
      </c>
      <c r="C268" s="31" t="s">
        <v>132</v>
      </c>
      <c r="D268" s="32">
        <v>1</v>
      </c>
      <c r="E268" s="32">
        <v>9</v>
      </c>
      <c r="F268" s="32">
        <v>1</v>
      </c>
      <c r="G268" s="32">
        <v>17</v>
      </c>
      <c r="H268" s="31" t="s">
        <v>33</v>
      </c>
      <c r="I268" s="2">
        <v>56.4</v>
      </c>
      <c r="J268">
        <v>65.139813895183451</v>
      </c>
      <c r="K268" t="s">
        <v>12</v>
      </c>
    </row>
    <row r="269" spans="1:11" x14ac:dyDescent="0.25">
      <c r="A269">
        <v>2025</v>
      </c>
      <c r="B269" s="31" t="s">
        <v>115</v>
      </c>
      <c r="C269" s="31" t="s">
        <v>132</v>
      </c>
      <c r="D269" s="32">
        <v>1</v>
      </c>
      <c r="E269" s="32">
        <v>10</v>
      </c>
      <c r="F269" s="32">
        <v>1</v>
      </c>
      <c r="G269" s="32">
        <v>42</v>
      </c>
      <c r="H269" s="31" t="s">
        <v>34</v>
      </c>
      <c r="I269" s="2">
        <v>61.8</v>
      </c>
      <c r="J269">
        <v>64.004805457788919</v>
      </c>
      <c r="K269">
        <v>9.6</v>
      </c>
    </row>
    <row r="270" spans="1:11" x14ac:dyDescent="0.25">
      <c r="A270">
        <v>2025</v>
      </c>
      <c r="B270" s="31" t="s">
        <v>115</v>
      </c>
      <c r="C270" s="31" t="s">
        <v>132</v>
      </c>
      <c r="D270" s="32">
        <v>1</v>
      </c>
      <c r="E270" s="32">
        <v>11</v>
      </c>
      <c r="F270" s="32">
        <v>1</v>
      </c>
      <c r="G270" s="32">
        <v>27</v>
      </c>
      <c r="H270" s="31" t="s">
        <v>35</v>
      </c>
      <c r="I270" s="2">
        <v>61.8</v>
      </c>
      <c r="J270">
        <v>61.50753869148064</v>
      </c>
      <c r="K270">
        <v>10.8</v>
      </c>
    </row>
    <row r="271" spans="1:11" x14ac:dyDescent="0.25">
      <c r="A271">
        <v>2025</v>
      </c>
      <c r="B271" s="31" t="s">
        <v>115</v>
      </c>
      <c r="C271" s="31" t="s">
        <v>132</v>
      </c>
      <c r="D271" s="32">
        <v>1</v>
      </c>
      <c r="E271" s="32">
        <v>12</v>
      </c>
      <c r="F271" s="32">
        <v>1</v>
      </c>
      <c r="G271" s="32">
        <v>28</v>
      </c>
      <c r="H271" s="31" t="s">
        <v>38</v>
      </c>
      <c r="I271" s="2">
        <v>58.7</v>
      </c>
      <c r="J271">
        <v>65.198428233932788</v>
      </c>
      <c r="K271">
        <v>10.3</v>
      </c>
    </row>
    <row r="272" spans="1:11" x14ac:dyDescent="0.25">
      <c r="A272">
        <v>2025</v>
      </c>
      <c r="B272" s="31" t="s">
        <v>115</v>
      </c>
      <c r="C272" s="31" t="s">
        <v>132</v>
      </c>
      <c r="D272" s="32">
        <v>1</v>
      </c>
      <c r="E272" s="32">
        <v>13</v>
      </c>
      <c r="F272" s="32">
        <v>1</v>
      </c>
      <c r="G272" s="32">
        <v>9</v>
      </c>
      <c r="H272" s="31" t="s">
        <v>94</v>
      </c>
      <c r="I272" s="2">
        <v>59.1</v>
      </c>
      <c r="J272">
        <v>61.132273275155484</v>
      </c>
      <c r="K272">
        <v>10.3</v>
      </c>
    </row>
    <row r="273" spans="1:11" x14ac:dyDescent="0.25">
      <c r="A273">
        <v>2025</v>
      </c>
      <c r="B273" s="31" t="s">
        <v>115</v>
      </c>
      <c r="C273" s="31" t="s">
        <v>132</v>
      </c>
      <c r="D273" s="32">
        <v>1</v>
      </c>
      <c r="E273" s="32">
        <v>14</v>
      </c>
      <c r="F273" s="32">
        <v>1</v>
      </c>
      <c r="G273" s="32">
        <v>5</v>
      </c>
      <c r="H273" s="31" t="s">
        <v>128</v>
      </c>
      <c r="I273" s="2">
        <v>60.5</v>
      </c>
      <c r="J273">
        <v>61.341910226122167</v>
      </c>
      <c r="K273">
        <v>9.6</v>
      </c>
    </row>
    <row r="274" spans="1:11" x14ac:dyDescent="0.25">
      <c r="A274">
        <v>2025</v>
      </c>
      <c r="B274" s="31" t="s">
        <v>115</v>
      </c>
      <c r="C274" s="31" t="s">
        <v>132</v>
      </c>
      <c r="D274" s="32">
        <v>1</v>
      </c>
      <c r="E274" s="32">
        <v>15</v>
      </c>
      <c r="F274" s="32">
        <v>1</v>
      </c>
      <c r="G274" s="32">
        <v>30</v>
      </c>
      <c r="H274" s="31" t="s">
        <v>21</v>
      </c>
      <c r="I274" s="2">
        <v>61.3</v>
      </c>
      <c r="J274">
        <v>58.526464972759271</v>
      </c>
      <c r="K274">
        <v>10.3</v>
      </c>
    </row>
    <row r="275" spans="1:11" x14ac:dyDescent="0.25">
      <c r="A275">
        <v>2025</v>
      </c>
      <c r="B275" s="31" t="s">
        <v>115</v>
      </c>
      <c r="C275" s="31" t="s">
        <v>132</v>
      </c>
      <c r="D275" s="32">
        <v>1</v>
      </c>
      <c r="E275" s="32">
        <v>16</v>
      </c>
      <c r="F275" s="32">
        <v>1</v>
      </c>
      <c r="G275" s="32">
        <v>14</v>
      </c>
      <c r="H275" s="31" t="s">
        <v>30</v>
      </c>
      <c r="I275" s="2">
        <v>61.5</v>
      </c>
      <c r="J275">
        <v>62.580352924159875</v>
      </c>
      <c r="K275">
        <v>10.199999999999999</v>
      </c>
    </row>
    <row r="276" spans="1:11" x14ac:dyDescent="0.25">
      <c r="A276">
        <v>2025</v>
      </c>
      <c r="B276" s="31" t="s">
        <v>115</v>
      </c>
      <c r="C276" s="31" t="s">
        <v>132</v>
      </c>
      <c r="D276" s="32">
        <v>1</v>
      </c>
      <c r="E276" s="32">
        <v>17</v>
      </c>
      <c r="F276" s="32">
        <v>1</v>
      </c>
      <c r="G276" s="32">
        <v>29</v>
      </c>
      <c r="H276" s="31" t="s">
        <v>27</v>
      </c>
      <c r="I276" s="2">
        <v>61.5</v>
      </c>
      <c r="J276">
        <v>61.129361650836508</v>
      </c>
      <c r="K276">
        <v>10.1</v>
      </c>
    </row>
    <row r="277" spans="1:11" x14ac:dyDescent="0.25">
      <c r="A277">
        <v>2025</v>
      </c>
      <c r="B277" s="31" t="s">
        <v>115</v>
      </c>
      <c r="C277" s="31" t="s">
        <v>132</v>
      </c>
      <c r="D277" s="32">
        <v>1</v>
      </c>
      <c r="E277" s="32">
        <v>18</v>
      </c>
      <c r="F277" s="32">
        <v>1</v>
      </c>
      <c r="G277" s="32">
        <v>21</v>
      </c>
      <c r="H277" s="31" t="s">
        <v>26</v>
      </c>
      <c r="I277" s="2">
        <v>62.1</v>
      </c>
      <c r="J277">
        <v>62.610996576828498</v>
      </c>
      <c r="K277">
        <v>10.3</v>
      </c>
    </row>
    <row r="278" spans="1:11" x14ac:dyDescent="0.25">
      <c r="A278">
        <v>2025</v>
      </c>
      <c r="B278" s="31" t="s">
        <v>115</v>
      </c>
      <c r="C278" s="31" t="s">
        <v>132</v>
      </c>
      <c r="D278" s="32">
        <v>1</v>
      </c>
      <c r="E278" s="32">
        <v>19</v>
      </c>
      <c r="F278" s="32">
        <v>1</v>
      </c>
      <c r="G278" s="32">
        <v>12</v>
      </c>
      <c r="H278" s="31" t="s">
        <v>92</v>
      </c>
      <c r="I278" s="2">
        <v>61.7</v>
      </c>
      <c r="J278">
        <v>56.831088182826285</v>
      </c>
      <c r="K278">
        <v>9.6999999999999993</v>
      </c>
    </row>
    <row r="279" spans="1:11" x14ac:dyDescent="0.25">
      <c r="A279">
        <v>2025</v>
      </c>
      <c r="B279" s="31" t="s">
        <v>115</v>
      </c>
      <c r="C279" s="31" t="s">
        <v>132</v>
      </c>
      <c r="D279" s="32">
        <v>1</v>
      </c>
      <c r="E279" s="32">
        <v>20</v>
      </c>
      <c r="F279" s="32">
        <v>1</v>
      </c>
      <c r="G279" s="32">
        <v>41</v>
      </c>
      <c r="H279" s="31" t="s">
        <v>124</v>
      </c>
      <c r="I279" s="2">
        <v>60.8</v>
      </c>
      <c r="J279">
        <v>61.60352683091461</v>
      </c>
      <c r="K279">
        <v>10.1</v>
      </c>
    </row>
    <row r="280" spans="1:11" x14ac:dyDescent="0.25">
      <c r="A280">
        <v>2025</v>
      </c>
      <c r="B280" s="31" t="s">
        <v>115</v>
      </c>
      <c r="C280" s="31" t="s">
        <v>132</v>
      </c>
      <c r="D280" s="32">
        <v>1</v>
      </c>
      <c r="E280" s="32">
        <v>21</v>
      </c>
      <c r="F280" s="32">
        <v>1</v>
      </c>
      <c r="G280" s="32">
        <v>2</v>
      </c>
      <c r="H280" s="31" t="s">
        <v>126</v>
      </c>
      <c r="I280" s="2">
        <v>62.8</v>
      </c>
      <c r="J280">
        <v>69.994684923581303</v>
      </c>
      <c r="K280">
        <v>9.9</v>
      </c>
    </row>
    <row r="281" spans="1:11" x14ac:dyDescent="0.25">
      <c r="A281">
        <v>2025</v>
      </c>
      <c r="B281" s="31" t="s">
        <v>115</v>
      </c>
      <c r="C281" s="31" t="s">
        <v>132</v>
      </c>
      <c r="D281" s="32">
        <v>1</v>
      </c>
      <c r="E281" s="32">
        <v>21</v>
      </c>
      <c r="F281" s="32">
        <v>2</v>
      </c>
      <c r="G281" s="32">
        <v>6</v>
      </c>
      <c r="H281" s="31" t="s">
        <v>119</v>
      </c>
      <c r="I281" s="2">
        <v>60.4</v>
      </c>
      <c r="J281">
        <v>55.558660623885054</v>
      </c>
      <c r="K281">
        <v>12</v>
      </c>
    </row>
    <row r="282" spans="1:11" x14ac:dyDescent="0.25">
      <c r="A282">
        <v>2025</v>
      </c>
      <c r="B282" s="31" t="s">
        <v>115</v>
      </c>
      <c r="C282" s="31" t="s">
        <v>132</v>
      </c>
      <c r="D282" s="32">
        <v>1</v>
      </c>
      <c r="E282" s="32">
        <v>20</v>
      </c>
      <c r="F282" s="32">
        <v>2</v>
      </c>
      <c r="G282" s="32">
        <v>16</v>
      </c>
      <c r="H282" s="31" t="s">
        <v>32</v>
      </c>
      <c r="I282" s="2">
        <v>60.3</v>
      </c>
      <c r="J282">
        <v>65.030413191263676</v>
      </c>
      <c r="K282" t="s">
        <v>12</v>
      </c>
    </row>
    <row r="283" spans="1:11" x14ac:dyDescent="0.25">
      <c r="A283">
        <v>2025</v>
      </c>
      <c r="B283" s="31" t="s">
        <v>115</v>
      </c>
      <c r="C283" s="31" t="s">
        <v>132</v>
      </c>
      <c r="D283" s="32">
        <v>1</v>
      </c>
      <c r="E283" s="32">
        <v>19</v>
      </c>
      <c r="F283" s="32">
        <v>2</v>
      </c>
      <c r="G283" s="32">
        <v>36</v>
      </c>
      <c r="H283" s="31" t="s">
        <v>45</v>
      </c>
      <c r="I283" s="2">
        <v>63</v>
      </c>
      <c r="J283">
        <v>68.556151583819499</v>
      </c>
      <c r="K283">
        <v>10.4</v>
      </c>
    </row>
    <row r="284" spans="1:11" x14ac:dyDescent="0.25">
      <c r="A284">
        <v>2025</v>
      </c>
      <c r="B284" s="31" t="s">
        <v>115</v>
      </c>
      <c r="C284" s="31" t="s">
        <v>132</v>
      </c>
      <c r="D284" s="32">
        <v>1</v>
      </c>
      <c r="E284" s="32">
        <v>18</v>
      </c>
      <c r="F284" s="32">
        <v>2</v>
      </c>
      <c r="G284" s="32">
        <v>26</v>
      </c>
      <c r="H284" s="31" t="s">
        <v>44</v>
      </c>
      <c r="I284" s="2">
        <v>61.7</v>
      </c>
      <c r="J284">
        <v>73.96046044067306</v>
      </c>
      <c r="K284" t="s">
        <v>12</v>
      </c>
    </row>
    <row r="285" spans="1:11" x14ac:dyDescent="0.25">
      <c r="A285">
        <v>2025</v>
      </c>
      <c r="B285" s="31" t="s">
        <v>115</v>
      </c>
      <c r="C285" s="31" t="s">
        <v>132</v>
      </c>
      <c r="D285" s="32">
        <v>1</v>
      </c>
      <c r="E285" s="32">
        <v>17</v>
      </c>
      <c r="F285" s="32">
        <v>2</v>
      </c>
      <c r="G285" s="32">
        <v>43</v>
      </c>
      <c r="H285" s="31" t="s">
        <v>125</v>
      </c>
      <c r="I285" s="2">
        <v>61.7</v>
      </c>
      <c r="J285">
        <v>62.377493852755407</v>
      </c>
      <c r="K285">
        <v>10.3</v>
      </c>
    </row>
    <row r="286" spans="1:11" x14ac:dyDescent="0.25">
      <c r="A286">
        <v>2025</v>
      </c>
      <c r="B286" s="31" t="s">
        <v>115</v>
      </c>
      <c r="C286" s="31" t="s">
        <v>132</v>
      </c>
      <c r="D286" s="32">
        <v>1</v>
      </c>
      <c r="E286" s="32">
        <v>16</v>
      </c>
      <c r="F286" s="32">
        <v>2</v>
      </c>
      <c r="G286" s="32">
        <v>1</v>
      </c>
      <c r="H286" s="31" t="s">
        <v>120</v>
      </c>
      <c r="I286" s="2">
        <v>61.9</v>
      </c>
      <c r="J286">
        <v>69.084826189672626</v>
      </c>
      <c r="K286">
        <v>10.1</v>
      </c>
    </row>
    <row r="287" spans="1:11" x14ac:dyDescent="0.25">
      <c r="A287">
        <v>2025</v>
      </c>
      <c r="B287" s="31" t="s">
        <v>115</v>
      </c>
      <c r="C287" s="31" t="s">
        <v>132</v>
      </c>
      <c r="D287" s="32">
        <v>1</v>
      </c>
      <c r="E287" s="32">
        <v>15</v>
      </c>
      <c r="F287" s="32">
        <v>2</v>
      </c>
      <c r="G287" s="32">
        <v>10</v>
      </c>
      <c r="H287" s="31" t="s">
        <v>91</v>
      </c>
      <c r="I287" s="2">
        <v>56.3</v>
      </c>
      <c r="J287">
        <v>58.640877489031382</v>
      </c>
      <c r="K287">
        <v>10</v>
      </c>
    </row>
    <row r="288" spans="1:11" x14ac:dyDescent="0.25">
      <c r="A288">
        <v>2025</v>
      </c>
      <c r="B288" s="31" t="s">
        <v>115</v>
      </c>
      <c r="C288" s="31" t="s">
        <v>132</v>
      </c>
      <c r="D288" s="32">
        <v>1</v>
      </c>
      <c r="E288" s="32">
        <v>14</v>
      </c>
      <c r="F288" s="32">
        <v>2</v>
      </c>
      <c r="G288" s="32">
        <v>34</v>
      </c>
      <c r="H288" s="31" t="s">
        <v>42</v>
      </c>
      <c r="I288" s="2">
        <v>59.3</v>
      </c>
      <c r="J288">
        <v>61.827865098114842</v>
      </c>
      <c r="K288">
        <v>10.5</v>
      </c>
    </row>
    <row r="289" spans="1:11" x14ac:dyDescent="0.25">
      <c r="A289">
        <v>2025</v>
      </c>
      <c r="B289" s="31" t="s">
        <v>115</v>
      </c>
      <c r="C289" s="31" t="s">
        <v>132</v>
      </c>
      <c r="D289" s="32">
        <v>1</v>
      </c>
      <c r="E289" s="32">
        <v>13</v>
      </c>
      <c r="F289" s="32">
        <v>2</v>
      </c>
      <c r="G289" s="32">
        <v>20</v>
      </c>
      <c r="H289" s="31" t="s">
        <v>24</v>
      </c>
      <c r="I289" s="2">
        <v>60.4</v>
      </c>
      <c r="J289">
        <v>67.245920640277703</v>
      </c>
      <c r="K289">
        <v>10.3</v>
      </c>
    </row>
    <row r="290" spans="1:11" x14ac:dyDescent="0.25">
      <c r="A290">
        <v>2025</v>
      </c>
      <c r="B290" s="31" t="s">
        <v>115</v>
      </c>
      <c r="C290" s="31" t="s">
        <v>132</v>
      </c>
      <c r="D290" s="32">
        <v>1</v>
      </c>
      <c r="E290" s="32">
        <v>12</v>
      </c>
      <c r="F290" s="32">
        <v>2</v>
      </c>
      <c r="G290" s="32">
        <v>24</v>
      </c>
      <c r="H290" s="31" t="s">
        <v>40</v>
      </c>
      <c r="I290" s="2">
        <v>60.7</v>
      </c>
      <c r="J290">
        <v>64.116831396750399</v>
      </c>
      <c r="K290">
        <v>10.1</v>
      </c>
    </row>
    <row r="291" spans="1:11" x14ac:dyDescent="0.25">
      <c r="A291">
        <v>2025</v>
      </c>
      <c r="B291" s="31" t="s">
        <v>115</v>
      </c>
      <c r="C291" s="31" t="s">
        <v>132</v>
      </c>
      <c r="D291" s="32">
        <v>1</v>
      </c>
      <c r="E291" s="32">
        <v>11</v>
      </c>
      <c r="F291" s="32">
        <v>2</v>
      </c>
      <c r="G291" s="32">
        <v>35</v>
      </c>
      <c r="H291" s="31" t="s">
        <v>129</v>
      </c>
      <c r="I291" s="2">
        <v>61.4</v>
      </c>
      <c r="J291">
        <v>60.12986307314015</v>
      </c>
      <c r="K291">
        <v>9.9</v>
      </c>
    </row>
    <row r="292" spans="1:11" x14ac:dyDescent="0.25">
      <c r="A292">
        <v>2025</v>
      </c>
      <c r="B292" s="31" t="s">
        <v>115</v>
      </c>
      <c r="C292" s="31" t="s">
        <v>132</v>
      </c>
      <c r="D292" s="32">
        <v>1</v>
      </c>
      <c r="E292" s="32">
        <v>10</v>
      </c>
      <c r="F292" s="32">
        <v>2</v>
      </c>
      <c r="G292" s="32">
        <v>46</v>
      </c>
      <c r="H292" s="31" t="s">
        <v>127</v>
      </c>
      <c r="I292" s="2">
        <v>61.7</v>
      </c>
      <c r="J292">
        <v>57.761137360782989</v>
      </c>
      <c r="K292">
        <v>10.5</v>
      </c>
    </row>
    <row r="293" spans="1:11" x14ac:dyDescent="0.25">
      <c r="A293">
        <v>2025</v>
      </c>
      <c r="B293" s="31" t="s">
        <v>115</v>
      </c>
      <c r="C293" s="31" t="s">
        <v>132</v>
      </c>
      <c r="D293" s="32">
        <v>1</v>
      </c>
      <c r="E293" s="32">
        <v>9</v>
      </c>
      <c r="F293" s="32">
        <v>2</v>
      </c>
      <c r="G293" s="32">
        <v>40</v>
      </c>
      <c r="H293" s="31" t="s">
        <v>121</v>
      </c>
      <c r="I293" s="2">
        <v>62</v>
      </c>
      <c r="J293">
        <v>66.934424569692879</v>
      </c>
      <c r="K293" t="s">
        <v>12</v>
      </c>
    </row>
    <row r="294" spans="1:11" x14ac:dyDescent="0.25">
      <c r="A294">
        <v>2025</v>
      </c>
      <c r="B294" s="31" t="s">
        <v>115</v>
      </c>
      <c r="C294" s="31" t="s">
        <v>132</v>
      </c>
      <c r="D294" s="32">
        <v>1</v>
      </c>
      <c r="E294" s="32">
        <v>8</v>
      </c>
      <c r="F294" s="32">
        <v>2</v>
      </c>
      <c r="G294" s="32">
        <v>18</v>
      </c>
      <c r="H294" s="31" t="s">
        <v>29</v>
      </c>
      <c r="I294" s="2">
        <v>58.3</v>
      </c>
      <c r="J294">
        <v>58.466752808447026</v>
      </c>
      <c r="K294">
        <v>10.4</v>
      </c>
    </row>
    <row r="295" spans="1:11" x14ac:dyDescent="0.25">
      <c r="A295">
        <v>2025</v>
      </c>
      <c r="B295" s="31" t="s">
        <v>115</v>
      </c>
      <c r="C295" s="31" t="s">
        <v>132</v>
      </c>
      <c r="D295" s="32">
        <v>2</v>
      </c>
      <c r="E295" s="32">
        <v>7</v>
      </c>
      <c r="F295" s="32">
        <v>2</v>
      </c>
      <c r="G295" s="32">
        <v>20</v>
      </c>
      <c r="H295" s="31" t="s">
        <v>24</v>
      </c>
      <c r="I295" s="2">
        <v>60.2</v>
      </c>
      <c r="J295">
        <v>74.722876428330352</v>
      </c>
      <c r="K295">
        <v>10.199999999999999</v>
      </c>
    </row>
    <row r="296" spans="1:11" x14ac:dyDescent="0.25">
      <c r="A296">
        <v>2025</v>
      </c>
      <c r="B296" s="31" t="s">
        <v>115</v>
      </c>
      <c r="C296" s="31" t="s">
        <v>132</v>
      </c>
      <c r="D296" s="32">
        <v>1</v>
      </c>
      <c r="E296" s="32">
        <v>6</v>
      </c>
      <c r="F296" s="32">
        <v>2</v>
      </c>
      <c r="G296" s="32">
        <v>13</v>
      </c>
      <c r="H296" s="31" t="s">
        <v>93</v>
      </c>
      <c r="I296" s="2">
        <v>62.5</v>
      </c>
      <c r="J296">
        <v>68.634144930331232</v>
      </c>
      <c r="K296">
        <v>9.4</v>
      </c>
    </row>
    <row r="297" spans="1:11" x14ac:dyDescent="0.25">
      <c r="A297">
        <v>2025</v>
      </c>
      <c r="B297" s="31" t="s">
        <v>115</v>
      </c>
      <c r="C297" s="31" t="s">
        <v>132</v>
      </c>
      <c r="D297" s="32">
        <v>1</v>
      </c>
      <c r="E297" s="32">
        <v>5</v>
      </c>
      <c r="F297" s="32">
        <v>2</v>
      </c>
      <c r="G297" s="32">
        <v>15</v>
      </c>
      <c r="H297" s="31" t="s">
        <v>31</v>
      </c>
      <c r="I297" s="2">
        <v>60.4</v>
      </c>
      <c r="J297">
        <v>67.885332433344587</v>
      </c>
      <c r="K297">
        <v>9.3000000000000007</v>
      </c>
    </row>
    <row r="298" spans="1:11" x14ac:dyDescent="0.25">
      <c r="A298">
        <v>2025</v>
      </c>
      <c r="B298" s="31" t="s">
        <v>115</v>
      </c>
      <c r="C298" s="31" t="s">
        <v>132</v>
      </c>
      <c r="D298" s="32">
        <v>1</v>
      </c>
      <c r="E298" s="32">
        <v>4</v>
      </c>
      <c r="F298" s="32">
        <v>2</v>
      </c>
      <c r="G298" s="32">
        <v>11</v>
      </c>
      <c r="H298" s="31" t="s">
        <v>90</v>
      </c>
      <c r="I298" s="2">
        <v>61.3</v>
      </c>
      <c r="J298">
        <v>65.447968757533403</v>
      </c>
      <c r="K298">
        <v>9.5</v>
      </c>
    </row>
    <row r="299" spans="1:11" x14ac:dyDescent="0.25">
      <c r="A299">
        <v>2025</v>
      </c>
      <c r="B299" s="31" t="s">
        <v>115</v>
      </c>
      <c r="C299" s="31" t="s">
        <v>132</v>
      </c>
      <c r="D299" s="32">
        <v>1</v>
      </c>
      <c r="E299" s="32">
        <v>3</v>
      </c>
      <c r="F299" s="32">
        <v>2</v>
      </c>
      <c r="G299" s="32">
        <v>4</v>
      </c>
      <c r="H299" s="31" t="s">
        <v>117</v>
      </c>
      <c r="I299" s="2">
        <v>54.5</v>
      </c>
      <c r="J299">
        <v>65.799654790029408</v>
      </c>
      <c r="K299">
        <v>9.6999999999999993</v>
      </c>
    </row>
    <row r="300" spans="1:11" x14ac:dyDescent="0.25">
      <c r="A300">
        <v>2025</v>
      </c>
      <c r="B300" s="31" t="s">
        <v>115</v>
      </c>
      <c r="C300" s="31" t="s">
        <v>132</v>
      </c>
      <c r="D300" s="32">
        <v>1</v>
      </c>
      <c r="E300" s="32">
        <v>2</v>
      </c>
      <c r="F300" s="32">
        <v>2</v>
      </c>
      <c r="G300" s="32">
        <v>8</v>
      </c>
      <c r="H300" s="31" t="s">
        <v>118</v>
      </c>
      <c r="I300" s="2">
        <v>60.9</v>
      </c>
      <c r="J300">
        <v>66.08375295308808</v>
      </c>
      <c r="K300">
        <v>9.1999999999999993</v>
      </c>
    </row>
    <row r="301" spans="1:11" x14ac:dyDescent="0.25">
      <c r="A301">
        <v>2025</v>
      </c>
      <c r="B301" s="31" t="s">
        <v>115</v>
      </c>
      <c r="C301" s="31" t="s">
        <v>132</v>
      </c>
      <c r="D301" s="32">
        <v>1</v>
      </c>
      <c r="E301" s="32">
        <v>1</v>
      </c>
      <c r="F301" s="32">
        <v>2</v>
      </c>
      <c r="G301" s="32">
        <v>33</v>
      </c>
      <c r="H301" s="31" t="s">
        <v>41</v>
      </c>
      <c r="I301" s="2">
        <v>58</v>
      </c>
      <c r="J301">
        <v>64.775192613663762</v>
      </c>
      <c r="K301">
        <v>10.1</v>
      </c>
    </row>
    <row r="302" spans="1:11" x14ac:dyDescent="0.25">
      <c r="A302">
        <v>2025</v>
      </c>
      <c r="B302" s="31" t="s">
        <v>115</v>
      </c>
      <c r="C302" s="31" t="s">
        <v>132</v>
      </c>
      <c r="D302" s="32">
        <v>2</v>
      </c>
      <c r="E302" s="32">
        <v>1</v>
      </c>
      <c r="F302" s="32">
        <v>3</v>
      </c>
      <c r="G302" s="32">
        <v>9</v>
      </c>
      <c r="H302" s="31" t="s">
        <v>94</v>
      </c>
      <c r="I302" s="2">
        <v>57.2</v>
      </c>
      <c r="J302">
        <v>74.446428571428569</v>
      </c>
    </row>
    <row r="303" spans="1:11" x14ac:dyDescent="0.25">
      <c r="A303">
        <v>2025</v>
      </c>
      <c r="B303" s="31" t="s">
        <v>115</v>
      </c>
      <c r="C303" s="31" t="s">
        <v>132</v>
      </c>
      <c r="D303" s="32">
        <v>2</v>
      </c>
      <c r="E303" s="32">
        <v>2</v>
      </c>
      <c r="F303" s="32">
        <v>3</v>
      </c>
      <c r="G303" s="32">
        <v>34</v>
      </c>
      <c r="H303" s="31" t="s">
        <v>42</v>
      </c>
      <c r="I303" s="2">
        <v>57.4</v>
      </c>
      <c r="J303">
        <v>79.170843373493952</v>
      </c>
    </row>
    <row r="304" spans="1:11" x14ac:dyDescent="0.25">
      <c r="A304">
        <v>2025</v>
      </c>
      <c r="B304" s="31" t="s">
        <v>115</v>
      </c>
      <c r="C304" s="31" t="s">
        <v>132</v>
      </c>
      <c r="D304" s="32">
        <v>2</v>
      </c>
      <c r="E304" s="32">
        <v>3</v>
      </c>
      <c r="F304" s="32">
        <v>3</v>
      </c>
      <c r="G304" s="32">
        <v>27</v>
      </c>
      <c r="H304" s="31" t="s">
        <v>35</v>
      </c>
      <c r="I304" s="2">
        <v>58.8</v>
      </c>
      <c r="J304" t="s">
        <v>12</v>
      </c>
    </row>
    <row r="305" spans="1:10" x14ac:dyDescent="0.25">
      <c r="A305">
        <v>2025</v>
      </c>
      <c r="B305" s="31" t="s">
        <v>115</v>
      </c>
      <c r="C305" s="31" t="s">
        <v>132</v>
      </c>
      <c r="D305" s="32">
        <v>2</v>
      </c>
      <c r="E305" s="32">
        <v>4</v>
      </c>
      <c r="F305" s="32">
        <v>3</v>
      </c>
      <c r="G305" s="32">
        <v>12</v>
      </c>
      <c r="H305" s="31" t="s">
        <v>92</v>
      </c>
      <c r="I305" s="2">
        <v>60</v>
      </c>
      <c r="J305">
        <v>58.588016351118753</v>
      </c>
    </row>
    <row r="306" spans="1:10" x14ac:dyDescent="0.25">
      <c r="A306">
        <v>2025</v>
      </c>
      <c r="B306" s="31" t="s">
        <v>115</v>
      </c>
      <c r="C306" s="31" t="s">
        <v>132</v>
      </c>
      <c r="D306" s="32">
        <v>2</v>
      </c>
      <c r="E306" s="32">
        <v>5</v>
      </c>
      <c r="F306" s="32">
        <v>3</v>
      </c>
      <c r="G306" s="32">
        <v>8</v>
      </c>
      <c r="H306" s="31" t="s">
        <v>118</v>
      </c>
      <c r="I306" s="2">
        <v>62.1</v>
      </c>
      <c r="J306">
        <v>72.684487951807228</v>
      </c>
    </row>
    <row r="307" spans="1:10" x14ac:dyDescent="0.25">
      <c r="A307">
        <v>2025</v>
      </c>
      <c r="B307" s="31" t="s">
        <v>115</v>
      </c>
      <c r="C307" s="31" t="s">
        <v>132</v>
      </c>
      <c r="D307" s="32">
        <v>2</v>
      </c>
      <c r="E307" s="32">
        <v>6</v>
      </c>
      <c r="F307" s="32">
        <v>3</v>
      </c>
      <c r="G307" s="32">
        <v>21</v>
      </c>
      <c r="H307" s="31" t="s">
        <v>26</v>
      </c>
      <c r="I307" s="2">
        <v>61.3</v>
      </c>
      <c r="J307">
        <v>66.596385542168662</v>
      </c>
    </row>
    <row r="308" spans="1:10" x14ac:dyDescent="0.25">
      <c r="A308">
        <v>2025</v>
      </c>
      <c r="B308" s="31" t="s">
        <v>115</v>
      </c>
      <c r="C308" s="31" t="s">
        <v>132</v>
      </c>
      <c r="D308" s="32">
        <v>1</v>
      </c>
      <c r="E308" s="32">
        <v>7</v>
      </c>
      <c r="F308" s="32">
        <v>3</v>
      </c>
      <c r="G308" s="32">
        <v>32</v>
      </c>
      <c r="H308" s="31" t="s">
        <v>25</v>
      </c>
      <c r="I308" s="2">
        <v>62.1</v>
      </c>
      <c r="J308">
        <v>70.347319277108426</v>
      </c>
    </row>
    <row r="309" spans="1:10" x14ac:dyDescent="0.25">
      <c r="A309">
        <v>2025</v>
      </c>
      <c r="B309" s="31" t="s">
        <v>115</v>
      </c>
      <c r="C309" s="31" t="s">
        <v>132</v>
      </c>
      <c r="D309" s="32">
        <v>2</v>
      </c>
      <c r="E309" s="32">
        <v>8</v>
      </c>
      <c r="F309" s="32">
        <v>3</v>
      </c>
      <c r="G309" s="32">
        <v>4</v>
      </c>
      <c r="H309" s="31" t="s">
        <v>117</v>
      </c>
      <c r="I309" s="2">
        <v>58.9</v>
      </c>
      <c r="J309">
        <v>69.882706540447487</v>
      </c>
    </row>
    <row r="310" spans="1:10" x14ac:dyDescent="0.25">
      <c r="A310">
        <v>2025</v>
      </c>
      <c r="B310" s="31" t="s">
        <v>115</v>
      </c>
      <c r="C310" s="31" t="s">
        <v>132</v>
      </c>
      <c r="D310" s="32">
        <v>2</v>
      </c>
      <c r="E310" s="32">
        <v>9</v>
      </c>
      <c r="F310" s="32">
        <v>3</v>
      </c>
      <c r="G310" s="32">
        <v>30</v>
      </c>
      <c r="H310" s="31" t="s">
        <v>21</v>
      </c>
      <c r="I310" s="2">
        <v>61.4</v>
      </c>
      <c r="J310">
        <v>66.803463855421668</v>
      </c>
    </row>
    <row r="311" spans="1:10" x14ac:dyDescent="0.25">
      <c r="A311">
        <v>2025</v>
      </c>
      <c r="B311" s="31" t="s">
        <v>115</v>
      </c>
      <c r="C311" s="31" t="s">
        <v>132</v>
      </c>
      <c r="D311" s="32">
        <v>2</v>
      </c>
      <c r="E311" s="32">
        <v>10</v>
      </c>
      <c r="F311" s="32">
        <v>3</v>
      </c>
      <c r="G311" s="32">
        <v>22</v>
      </c>
      <c r="H311" s="31" t="s">
        <v>28</v>
      </c>
      <c r="I311" s="2">
        <v>61.6</v>
      </c>
      <c r="J311">
        <v>69.439724612736669</v>
      </c>
    </row>
    <row r="312" spans="1:10" x14ac:dyDescent="0.25">
      <c r="A312">
        <v>2025</v>
      </c>
      <c r="B312" s="31" t="s">
        <v>115</v>
      </c>
      <c r="C312" s="31" t="s">
        <v>132</v>
      </c>
      <c r="D312" s="32">
        <v>2</v>
      </c>
      <c r="E312" s="32">
        <v>11</v>
      </c>
      <c r="F312" s="32">
        <v>3</v>
      </c>
      <c r="G312" s="32">
        <v>36</v>
      </c>
      <c r="H312" s="31" t="s">
        <v>45</v>
      </c>
      <c r="I312" s="2">
        <v>63.2</v>
      </c>
      <c r="J312">
        <v>68.643029259896736</v>
      </c>
    </row>
    <row r="313" spans="1:10" x14ac:dyDescent="0.25">
      <c r="A313">
        <v>2025</v>
      </c>
      <c r="B313" s="31" t="s">
        <v>115</v>
      </c>
      <c r="C313" s="31" t="s">
        <v>132</v>
      </c>
      <c r="D313" s="32">
        <v>2</v>
      </c>
      <c r="E313" s="32">
        <v>12</v>
      </c>
      <c r="F313" s="32">
        <v>3</v>
      </c>
      <c r="G313" s="32">
        <v>18</v>
      </c>
      <c r="H313" s="31" t="s">
        <v>29</v>
      </c>
      <c r="I313" s="2">
        <v>59.5</v>
      </c>
      <c r="J313">
        <v>58.011084337349388</v>
      </c>
    </row>
    <row r="314" spans="1:10" x14ac:dyDescent="0.25">
      <c r="A314">
        <v>2025</v>
      </c>
      <c r="B314" s="31" t="s">
        <v>115</v>
      </c>
      <c r="C314" s="31" t="s">
        <v>132</v>
      </c>
      <c r="D314" s="32">
        <v>2</v>
      </c>
      <c r="E314" s="32">
        <v>13</v>
      </c>
      <c r="F314" s="32">
        <v>3</v>
      </c>
      <c r="G314" s="32">
        <v>44</v>
      </c>
      <c r="H314" s="31" t="s">
        <v>123</v>
      </c>
      <c r="I314" s="2">
        <v>60.9</v>
      </c>
      <c r="J314">
        <v>70.986445783132538</v>
      </c>
    </row>
    <row r="315" spans="1:10" x14ac:dyDescent="0.25">
      <c r="A315">
        <v>2025</v>
      </c>
      <c r="B315" s="31" t="s">
        <v>115</v>
      </c>
      <c r="C315" s="31" t="s">
        <v>132</v>
      </c>
      <c r="D315" s="32">
        <v>2</v>
      </c>
      <c r="E315" s="32">
        <v>14</v>
      </c>
      <c r="F315" s="32">
        <v>3</v>
      </c>
      <c r="G315" s="32">
        <v>23</v>
      </c>
      <c r="H315" s="31" t="s">
        <v>37</v>
      </c>
      <c r="I315" s="2">
        <v>61.8</v>
      </c>
      <c r="J315">
        <v>70.543653184165223</v>
      </c>
    </row>
    <row r="316" spans="1:10" x14ac:dyDescent="0.25">
      <c r="A316">
        <v>2025</v>
      </c>
      <c r="B316" s="31" t="s">
        <v>115</v>
      </c>
      <c r="C316" s="31" t="s">
        <v>132</v>
      </c>
      <c r="D316" s="32">
        <v>2</v>
      </c>
      <c r="E316" s="32">
        <v>15</v>
      </c>
      <c r="F316" s="32">
        <v>3</v>
      </c>
      <c r="G316" s="32">
        <v>5</v>
      </c>
      <c r="H316" s="31" t="s">
        <v>128</v>
      </c>
      <c r="I316" s="2">
        <v>60.4</v>
      </c>
      <c r="J316">
        <v>72.141824440619615</v>
      </c>
    </row>
    <row r="317" spans="1:10" x14ac:dyDescent="0.25">
      <c r="A317">
        <v>2025</v>
      </c>
      <c r="B317" s="31" t="s">
        <v>115</v>
      </c>
      <c r="C317" s="31" t="s">
        <v>132</v>
      </c>
      <c r="D317" s="32">
        <v>2</v>
      </c>
      <c r="E317" s="32">
        <v>16</v>
      </c>
      <c r="F317" s="32">
        <v>3</v>
      </c>
      <c r="G317" s="32">
        <v>46</v>
      </c>
      <c r="H317" s="31" t="s">
        <v>127</v>
      </c>
      <c r="I317" s="2">
        <v>60.9</v>
      </c>
      <c r="J317">
        <v>64.033347676419965</v>
      </c>
    </row>
    <row r="318" spans="1:10" x14ac:dyDescent="0.25">
      <c r="A318">
        <v>2025</v>
      </c>
      <c r="B318" s="31" t="s">
        <v>115</v>
      </c>
      <c r="C318" s="31" t="s">
        <v>132</v>
      </c>
      <c r="D318" s="32">
        <v>2</v>
      </c>
      <c r="E318" s="32">
        <v>17</v>
      </c>
      <c r="F318" s="32">
        <v>3</v>
      </c>
      <c r="G318" s="32">
        <v>24</v>
      </c>
      <c r="H318" s="31" t="s">
        <v>40</v>
      </c>
      <c r="I318" s="2">
        <v>61.5</v>
      </c>
      <c r="J318">
        <v>69.816867469879497</v>
      </c>
    </row>
    <row r="319" spans="1:10" x14ac:dyDescent="0.25">
      <c r="A319">
        <v>2025</v>
      </c>
      <c r="B319" s="31" t="s">
        <v>115</v>
      </c>
      <c r="C319" s="31" t="s">
        <v>132</v>
      </c>
      <c r="D319" s="32">
        <v>2</v>
      </c>
      <c r="E319" s="32">
        <v>18</v>
      </c>
      <c r="F319" s="32">
        <v>3</v>
      </c>
      <c r="G319" s="32">
        <v>11</v>
      </c>
      <c r="H319" s="31" t="s">
        <v>90</v>
      </c>
      <c r="I319" s="2">
        <v>58.3</v>
      </c>
      <c r="J319">
        <v>72.277099827882964</v>
      </c>
    </row>
    <row r="320" spans="1:10" x14ac:dyDescent="0.25">
      <c r="A320">
        <v>2025</v>
      </c>
      <c r="B320" s="31" t="s">
        <v>115</v>
      </c>
      <c r="C320" s="31" t="s">
        <v>132</v>
      </c>
      <c r="D320" s="32">
        <v>2</v>
      </c>
      <c r="E320" s="32">
        <v>19</v>
      </c>
      <c r="F320" s="32">
        <v>3</v>
      </c>
      <c r="G320" s="32">
        <v>40</v>
      </c>
      <c r="H320" s="31" t="s">
        <v>121</v>
      </c>
      <c r="I320" s="2">
        <v>61.4</v>
      </c>
      <c r="J320">
        <v>74.680959552495693</v>
      </c>
    </row>
    <row r="321" spans="1:10" x14ac:dyDescent="0.25">
      <c r="A321">
        <v>2025</v>
      </c>
      <c r="B321" s="31" t="s">
        <v>115</v>
      </c>
      <c r="C321" s="31" t="s">
        <v>132</v>
      </c>
      <c r="D321" s="32">
        <v>2</v>
      </c>
      <c r="E321" s="32">
        <v>20</v>
      </c>
      <c r="F321" s="32">
        <v>3</v>
      </c>
      <c r="G321" s="32">
        <v>6</v>
      </c>
      <c r="H321" s="31" t="s">
        <v>119</v>
      </c>
      <c r="I321" s="2">
        <v>56.3</v>
      </c>
      <c r="J321">
        <v>62.276140275387256</v>
      </c>
    </row>
    <row r="322" spans="1:10" x14ac:dyDescent="0.25">
      <c r="A322">
        <v>2025</v>
      </c>
      <c r="B322" s="31" t="s">
        <v>115</v>
      </c>
      <c r="C322" s="31" t="s">
        <v>132</v>
      </c>
      <c r="D322" s="32">
        <v>2</v>
      </c>
      <c r="E322" s="32">
        <v>21</v>
      </c>
      <c r="F322" s="32">
        <v>3</v>
      </c>
      <c r="G322" s="32">
        <v>45</v>
      </c>
      <c r="H322" s="31" t="s">
        <v>39</v>
      </c>
      <c r="I322" s="2">
        <v>60.9</v>
      </c>
      <c r="J322">
        <v>74.72838640275387</v>
      </c>
    </row>
    <row r="323" spans="1:10" x14ac:dyDescent="0.25">
      <c r="A323">
        <v>2025</v>
      </c>
      <c r="B323" s="31" t="s">
        <v>115</v>
      </c>
      <c r="C323" s="31" t="s">
        <v>132</v>
      </c>
      <c r="D323" s="32">
        <v>2</v>
      </c>
      <c r="E323" s="32">
        <v>21</v>
      </c>
      <c r="F323" s="32">
        <v>4</v>
      </c>
      <c r="G323" s="32">
        <v>33</v>
      </c>
      <c r="H323" s="31" t="s">
        <v>41</v>
      </c>
      <c r="I323" s="2">
        <v>61.2</v>
      </c>
      <c r="J323">
        <v>66.897787735619303</v>
      </c>
    </row>
    <row r="324" spans="1:10" x14ac:dyDescent="0.25">
      <c r="A324">
        <v>2025</v>
      </c>
      <c r="B324" s="31" t="s">
        <v>115</v>
      </c>
      <c r="C324" s="31" t="s">
        <v>132</v>
      </c>
      <c r="D324" s="32">
        <v>2</v>
      </c>
      <c r="E324" s="32">
        <v>20</v>
      </c>
      <c r="F324" s="32">
        <v>4</v>
      </c>
      <c r="G324" s="32">
        <v>1</v>
      </c>
      <c r="H324" s="31" t="s">
        <v>120</v>
      </c>
      <c r="I324" s="2">
        <v>61.4</v>
      </c>
      <c r="J324">
        <v>63.577760459792508</v>
      </c>
    </row>
    <row r="325" spans="1:10" x14ac:dyDescent="0.25">
      <c r="A325">
        <v>2025</v>
      </c>
      <c r="B325" s="31" t="s">
        <v>115</v>
      </c>
      <c r="C325" s="31" t="s">
        <v>132</v>
      </c>
      <c r="D325" s="32">
        <v>2</v>
      </c>
      <c r="E325" s="32">
        <v>19</v>
      </c>
      <c r="F325" s="32">
        <v>4</v>
      </c>
      <c r="G325" s="32">
        <v>31</v>
      </c>
      <c r="H325" s="31" t="s">
        <v>36</v>
      </c>
      <c r="I325" s="2">
        <v>61.8</v>
      </c>
      <c r="J325">
        <v>57.785023622814272</v>
      </c>
    </row>
    <row r="326" spans="1:10" x14ac:dyDescent="0.25">
      <c r="A326">
        <v>2025</v>
      </c>
      <c r="B326" s="31" t="s">
        <v>115</v>
      </c>
      <c r="C326" s="31" t="s">
        <v>132</v>
      </c>
      <c r="D326" s="32">
        <v>2</v>
      </c>
      <c r="E326" s="32">
        <v>18</v>
      </c>
      <c r="F326" s="32">
        <v>4</v>
      </c>
      <c r="G326" s="32">
        <v>37</v>
      </c>
      <c r="H326" s="31" t="s">
        <v>89</v>
      </c>
      <c r="I326" s="2">
        <v>60.8</v>
      </c>
      <c r="J326">
        <v>65.795821440748142</v>
      </c>
    </row>
    <row r="327" spans="1:10" x14ac:dyDescent="0.25">
      <c r="A327">
        <v>2025</v>
      </c>
      <c r="B327" s="31" t="s">
        <v>115</v>
      </c>
      <c r="C327" s="31" t="s">
        <v>132</v>
      </c>
      <c r="D327" s="32">
        <v>2</v>
      </c>
      <c r="E327" s="32">
        <v>17</v>
      </c>
      <c r="F327" s="32">
        <v>4</v>
      </c>
      <c r="G327" s="32">
        <v>13</v>
      </c>
      <c r="H327" s="31" t="s">
        <v>93</v>
      </c>
      <c r="I327" s="2">
        <v>62.2</v>
      </c>
      <c r="J327">
        <v>63.881111002873702</v>
      </c>
    </row>
    <row r="328" spans="1:10" x14ac:dyDescent="0.25">
      <c r="A328">
        <v>2025</v>
      </c>
      <c r="B328" s="31" t="s">
        <v>115</v>
      </c>
      <c r="C328" s="31" t="s">
        <v>132</v>
      </c>
      <c r="D328" s="32">
        <v>2</v>
      </c>
      <c r="E328" s="32">
        <v>16</v>
      </c>
      <c r="F328" s="32">
        <v>4</v>
      </c>
      <c r="G328" s="32">
        <v>3</v>
      </c>
      <c r="H328" s="31" t="s">
        <v>122</v>
      </c>
      <c r="I328" s="2">
        <v>61.8</v>
      </c>
      <c r="J328">
        <v>66.534596463883872</v>
      </c>
    </row>
    <row r="329" spans="1:10" x14ac:dyDescent="0.25">
      <c r="A329">
        <v>2025</v>
      </c>
      <c r="B329" s="31" t="s">
        <v>115</v>
      </c>
      <c r="C329" s="31" t="s">
        <v>132</v>
      </c>
      <c r="D329" s="32">
        <v>2</v>
      </c>
      <c r="E329" s="32">
        <v>15</v>
      </c>
      <c r="F329" s="32">
        <v>4</v>
      </c>
      <c r="G329" s="32">
        <v>15</v>
      </c>
      <c r="H329" s="31" t="s">
        <v>31</v>
      </c>
      <c r="I329" s="2">
        <v>61.8</v>
      </c>
      <c r="J329">
        <v>69.395812673518094</v>
      </c>
    </row>
    <row r="330" spans="1:10" x14ac:dyDescent="0.25">
      <c r="A330">
        <v>2025</v>
      </c>
      <c r="B330" s="31" t="s">
        <v>115</v>
      </c>
      <c r="C330" s="31" t="s">
        <v>132</v>
      </c>
      <c r="D330" s="32">
        <v>2</v>
      </c>
      <c r="E330" s="32">
        <v>14</v>
      </c>
      <c r="F330" s="32">
        <v>4</v>
      </c>
      <c r="G330" s="32">
        <v>43</v>
      </c>
      <c r="H330" s="31" t="s">
        <v>125</v>
      </c>
      <c r="I330" s="2">
        <v>61.5</v>
      </c>
      <c r="J330">
        <v>65.229576737616284</v>
      </c>
    </row>
    <row r="331" spans="1:10" x14ac:dyDescent="0.25">
      <c r="A331">
        <v>2025</v>
      </c>
      <c r="B331" s="31" t="s">
        <v>115</v>
      </c>
      <c r="C331" s="31" t="s">
        <v>132</v>
      </c>
      <c r="D331" s="32">
        <v>2</v>
      </c>
      <c r="E331" s="32">
        <v>13</v>
      </c>
      <c r="F331" s="32">
        <v>4</v>
      </c>
      <c r="G331" s="32">
        <v>42</v>
      </c>
      <c r="H331" s="31" t="s">
        <v>34</v>
      </c>
      <c r="I331" s="2">
        <v>62.9</v>
      </c>
      <c r="J331">
        <v>67.349510496322637</v>
      </c>
    </row>
    <row r="332" spans="1:10" x14ac:dyDescent="0.25">
      <c r="A332">
        <v>2025</v>
      </c>
      <c r="B332" s="31" t="s">
        <v>115</v>
      </c>
      <c r="C332" s="31" t="s">
        <v>132</v>
      </c>
      <c r="D332" s="32">
        <v>2</v>
      </c>
      <c r="E332" s="32">
        <v>12</v>
      </c>
      <c r="F332" s="32">
        <v>4</v>
      </c>
      <c r="G332" s="32">
        <v>25</v>
      </c>
      <c r="H332" s="31" t="s">
        <v>130</v>
      </c>
      <c r="I332" s="2">
        <v>61.4</v>
      </c>
      <c r="J332">
        <v>66.989067751205482</v>
      </c>
    </row>
    <row r="333" spans="1:10" x14ac:dyDescent="0.25">
      <c r="A333">
        <v>2025</v>
      </c>
      <c r="B333" s="31" t="s">
        <v>115</v>
      </c>
      <c r="C333" s="31" t="s">
        <v>132</v>
      </c>
      <c r="D333" s="32">
        <v>2</v>
      </c>
      <c r="E333" s="32">
        <v>11</v>
      </c>
      <c r="F333" s="32">
        <v>4</v>
      </c>
      <c r="G333" s="32">
        <v>10</v>
      </c>
      <c r="H333" s="31" t="s">
        <v>91</v>
      </c>
      <c r="I333" s="2">
        <v>57.6</v>
      </c>
      <c r="J333">
        <v>58.04092591690614</v>
      </c>
    </row>
    <row r="334" spans="1:10" x14ac:dyDescent="0.25">
      <c r="A334">
        <v>2025</v>
      </c>
      <c r="B334" s="31" t="s">
        <v>115</v>
      </c>
      <c r="C334" s="31" t="s">
        <v>132</v>
      </c>
      <c r="D334" s="32">
        <v>2</v>
      </c>
      <c r="E334" s="32">
        <v>10</v>
      </c>
      <c r="F334" s="32">
        <v>4</v>
      </c>
      <c r="G334" s="32">
        <v>32</v>
      </c>
      <c r="H334" s="31" t="s">
        <v>25</v>
      </c>
      <c r="I334" s="2">
        <v>64.5</v>
      </c>
      <c r="J334">
        <v>69.225066484827806</v>
      </c>
    </row>
    <row r="335" spans="1:10" x14ac:dyDescent="0.25">
      <c r="A335">
        <v>2025</v>
      </c>
      <c r="B335" s="31" t="s">
        <v>115</v>
      </c>
      <c r="C335" s="31" t="s">
        <v>132</v>
      </c>
      <c r="D335" s="32">
        <v>2</v>
      </c>
      <c r="E335" s="32">
        <v>9</v>
      </c>
      <c r="F335" s="32">
        <v>4</v>
      </c>
      <c r="G335" s="32">
        <v>28</v>
      </c>
      <c r="H335" s="31" t="s">
        <v>38</v>
      </c>
      <c r="I335" s="2">
        <v>59.7</v>
      </c>
      <c r="J335">
        <v>69.421224489795932</v>
      </c>
    </row>
    <row r="336" spans="1:10" x14ac:dyDescent="0.25">
      <c r="A336">
        <v>2025</v>
      </c>
      <c r="B336" s="31" t="s">
        <v>115</v>
      </c>
      <c r="C336" s="31" t="s">
        <v>132</v>
      </c>
      <c r="D336" s="32">
        <v>2</v>
      </c>
      <c r="E336" s="32">
        <v>8</v>
      </c>
      <c r="F336" s="32">
        <v>4</v>
      </c>
      <c r="G336" s="32">
        <v>17</v>
      </c>
      <c r="H336" s="31" t="s">
        <v>33</v>
      </c>
      <c r="I336" s="2">
        <v>60.8</v>
      </c>
      <c r="J336">
        <v>67.26734401636547</v>
      </c>
    </row>
    <row r="337" spans="1:10" x14ac:dyDescent="0.25">
      <c r="A337">
        <v>2025</v>
      </c>
      <c r="B337" s="31" t="s">
        <v>115</v>
      </c>
      <c r="C337" s="31" t="s">
        <v>132</v>
      </c>
      <c r="D337" s="32">
        <v>2</v>
      </c>
      <c r="E337" s="32">
        <v>7</v>
      </c>
      <c r="F337" s="32">
        <v>4</v>
      </c>
      <c r="G337" s="32">
        <v>29</v>
      </c>
      <c r="H337" s="31" t="s">
        <v>27</v>
      </c>
      <c r="I337" s="2">
        <v>60.8</v>
      </c>
      <c r="J337">
        <v>62.499662948711709</v>
      </c>
    </row>
    <row r="338" spans="1:10" x14ac:dyDescent="0.25">
      <c r="A338">
        <v>2025</v>
      </c>
      <c r="B338" s="31" t="s">
        <v>115</v>
      </c>
      <c r="C338" s="31" t="s">
        <v>132</v>
      </c>
      <c r="D338" s="32">
        <v>2</v>
      </c>
      <c r="E338" s="32">
        <v>6</v>
      </c>
      <c r="F338" s="32">
        <v>4</v>
      </c>
      <c r="G338" s="32">
        <v>35</v>
      </c>
      <c r="H338" s="31" t="s">
        <v>129</v>
      </c>
      <c r="I338" s="2">
        <v>61.5</v>
      </c>
      <c r="J338">
        <v>72.233208319127172</v>
      </c>
    </row>
    <row r="339" spans="1:10" x14ac:dyDescent="0.25">
      <c r="A339">
        <v>2025</v>
      </c>
      <c r="B339" s="31" t="s">
        <v>115</v>
      </c>
      <c r="C339" s="31" t="s">
        <v>132</v>
      </c>
      <c r="D339" s="32">
        <v>2</v>
      </c>
      <c r="E339" s="32">
        <v>5</v>
      </c>
      <c r="F339" s="32">
        <v>4</v>
      </c>
      <c r="G339" s="32">
        <v>41</v>
      </c>
      <c r="H339" s="31" t="s">
        <v>124</v>
      </c>
      <c r="I339" s="2">
        <v>57.7</v>
      </c>
      <c r="J339">
        <v>63.945195070868444</v>
      </c>
    </row>
    <row r="340" spans="1:10" x14ac:dyDescent="0.25">
      <c r="A340">
        <v>2025</v>
      </c>
      <c r="B340" s="31" t="s">
        <v>115</v>
      </c>
      <c r="C340" s="31" t="s">
        <v>132</v>
      </c>
      <c r="D340" s="32">
        <v>2</v>
      </c>
      <c r="E340" s="32">
        <v>4</v>
      </c>
      <c r="F340" s="32">
        <v>4</v>
      </c>
      <c r="G340" s="32">
        <v>16</v>
      </c>
      <c r="H340" s="31" t="s">
        <v>32</v>
      </c>
      <c r="I340" s="2">
        <v>59.8</v>
      </c>
      <c r="J340">
        <v>66.248171058399492</v>
      </c>
    </row>
    <row r="341" spans="1:10" x14ac:dyDescent="0.25">
      <c r="A341">
        <v>2025</v>
      </c>
      <c r="B341" s="31" t="s">
        <v>115</v>
      </c>
      <c r="C341" s="31" t="s">
        <v>132</v>
      </c>
      <c r="D341" s="32">
        <v>2</v>
      </c>
      <c r="E341" s="32">
        <v>3</v>
      </c>
      <c r="F341" s="32">
        <v>4</v>
      </c>
      <c r="G341" s="32">
        <v>26</v>
      </c>
      <c r="H341" s="31" t="s">
        <v>44</v>
      </c>
      <c r="I341" s="2" t="s">
        <v>12</v>
      </c>
      <c r="J341" t="s">
        <v>12</v>
      </c>
    </row>
    <row r="342" spans="1:10" x14ac:dyDescent="0.25">
      <c r="A342">
        <v>2025</v>
      </c>
      <c r="B342" s="31" t="s">
        <v>115</v>
      </c>
      <c r="C342" s="31" t="s">
        <v>132</v>
      </c>
      <c r="D342" s="32">
        <v>2</v>
      </c>
      <c r="E342" s="32">
        <v>2</v>
      </c>
      <c r="F342" s="32">
        <v>4</v>
      </c>
      <c r="G342" s="32">
        <v>14</v>
      </c>
      <c r="H342" s="31" t="s">
        <v>30</v>
      </c>
      <c r="I342" s="2">
        <v>62.1</v>
      </c>
      <c r="J342">
        <v>70.813618430665827</v>
      </c>
    </row>
    <row r="343" spans="1:10" x14ac:dyDescent="0.25">
      <c r="A343">
        <v>2025</v>
      </c>
      <c r="B343" s="31" t="s">
        <v>115</v>
      </c>
      <c r="C343" s="31" t="s">
        <v>132</v>
      </c>
      <c r="D343" s="32">
        <v>2</v>
      </c>
      <c r="E343" s="32">
        <v>1</v>
      </c>
      <c r="F343" s="32">
        <v>4</v>
      </c>
      <c r="G343" s="32">
        <v>2</v>
      </c>
      <c r="H343" s="31" t="s">
        <v>126</v>
      </c>
      <c r="I343" s="2">
        <v>58.7</v>
      </c>
      <c r="J343">
        <v>67.883399736983094</v>
      </c>
    </row>
    <row r="344" spans="1:10" x14ac:dyDescent="0.25">
      <c r="A344">
        <v>2025</v>
      </c>
      <c r="B344" s="31" t="s">
        <v>115</v>
      </c>
      <c r="C344" s="31" t="s">
        <v>132</v>
      </c>
      <c r="D344" s="32">
        <v>3</v>
      </c>
      <c r="E344" s="32">
        <v>1</v>
      </c>
      <c r="F344" s="32">
        <v>5</v>
      </c>
      <c r="G344" s="32">
        <v>34</v>
      </c>
      <c r="H344" s="31" t="s">
        <v>42</v>
      </c>
      <c r="I344" s="2">
        <v>58.7</v>
      </c>
      <c r="J344">
        <v>68.320857333587625</v>
      </c>
    </row>
    <row r="345" spans="1:10" x14ac:dyDescent="0.25">
      <c r="A345">
        <v>2025</v>
      </c>
      <c r="B345" s="31" t="s">
        <v>115</v>
      </c>
      <c r="C345" s="31" t="s">
        <v>132</v>
      </c>
      <c r="D345" s="32">
        <v>3</v>
      </c>
      <c r="E345" s="32">
        <v>2</v>
      </c>
      <c r="F345" s="32">
        <v>5</v>
      </c>
      <c r="G345" s="32">
        <v>27</v>
      </c>
      <c r="H345" s="31" t="s">
        <v>35</v>
      </c>
      <c r="I345" s="2">
        <v>60.8</v>
      </c>
      <c r="J345">
        <v>60.150761014686246</v>
      </c>
    </row>
    <row r="346" spans="1:10" x14ac:dyDescent="0.25">
      <c r="A346">
        <v>2025</v>
      </c>
      <c r="B346" s="31" t="s">
        <v>115</v>
      </c>
      <c r="C346" s="31" t="s">
        <v>132</v>
      </c>
      <c r="D346" s="32">
        <v>3</v>
      </c>
      <c r="E346" s="32">
        <v>3</v>
      </c>
      <c r="F346" s="32">
        <v>5</v>
      </c>
      <c r="G346" s="32">
        <v>20</v>
      </c>
      <c r="H346" s="31" t="s">
        <v>24</v>
      </c>
      <c r="I346" s="2">
        <v>61.9</v>
      </c>
      <c r="J346">
        <v>73.600259393477018</v>
      </c>
    </row>
    <row r="347" spans="1:10" x14ac:dyDescent="0.25">
      <c r="A347">
        <v>2025</v>
      </c>
      <c r="B347" s="31" t="s">
        <v>115</v>
      </c>
      <c r="C347" s="31" t="s">
        <v>132</v>
      </c>
      <c r="D347" s="32">
        <v>3</v>
      </c>
      <c r="E347" s="32">
        <v>4</v>
      </c>
      <c r="F347" s="32">
        <v>5</v>
      </c>
      <c r="G347" s="32">
        <v>8</v>
      </c>
      <c r="H347" s="31" t="s">
        <v>118</v>
      </c>
      <c r="I347" s="2">
        <v>62.1</v>
      </c>
      <c r="J347">
        <v>68.342383177570085</v>
      </c>
    </row>
    <row r="348" spans="1:10" x14ac:dyDescent="0.25">
      <c r="A348">
        <v>2025</v>
      </c>
      <c r="B348" s="31" t="s">
        <v>115</v>
      </c>
      <c r="C348" s="31" t="s">
        <v>132</v>
      </c>
      <c r="D348" s="32">
        <v>3</v>
      </c>
      <c r="E348" s="32">
        <v>5</v>
      </c>
      <c r="F348" s="32">
        <v>5</v>
      </c>
      <c r="G348" s="32">
        <v>23</v>
      </c>
      <c r="H348" s="31" t="s">
        <v>37</v>
      </c>
      <c r="I348" s="2">
        <v>61.1</v>
      </c>
      <c r="J348">
        <v>68.768840358573328</v>
      </c>
    </row>
    <row r="349" spans="1:10" x14ac:dyDescent="0.25">
      <c r="A349">
        <v>2025</v>
      </c>
      <c r="B349" s="31" t="s">
        <v>115</v>
      </c>
      <c r="C349" s="31" t="s">
        <v>132</v>
      </c>
      <c r="D349" s="32">
        <v>3</v>
      </c>
      <c r="E349" s="32">
        <v>6</v>
      </c>
      <c r="F349" s="32">
        <v>5</v>
      </c>
      <c r="G349" s="32">
        <v>37</v>
      </c>
      <c r="H349" s="31" t="s">
        <v>89</v>
      </c>
      <c r="I349" s="2">
        <v>61.3</v>
      </c>
      <c r="J349">
        <v>70.220890711424772</v>
      </c>
    </row>
    <row r="350" spans="1:10" x14ac:dyDescent="0.25">
      <c r="A350">
        <v>2025</v>
      </c>
      <c r="B350" s="31" t="s">
        <v>115</v>
      </c>
      <c r="C350" s="31" t="s">
        <v>132</v>
      </c>
      <c r="D350" s="32">
        <v>3</v>
      </c>
      <c r="E350" s="32">
        <v>7</v>
      </c>
      <c r="F350" s="32">
        <v>5</v>
      </c>
      <c r="G350" s="32">
        <v>26</v>
      </c>
      <c r="H350" s="31" t="s">
        <v>44</v>
      </c>
      <c r="I350" s="2">
        <v>61.7</v>
      </c>
      <c r="J350">
        <v>77.090844936105285</v>
      </c>
    </row>
    <row r="351" spans="1:10" x14ac:dyDescent="0.25">
      <c r="A351">
        <v>2025</v>
      </c>
      <c r="B351" s="31" t="s">
        <v>115</v>
      </c>
      <c r="C351" s="31" t="s">
        <v>132</v>
      </c>
      <c r="D351" s="32">
        <v>3</v>
      </c>
      <c r="E351" s="32">
        <v>8</v>
      </c>
      <c r="F351" s="32">
        <v>5</v>
      </c>
      <c r="G351" s="32">
        <v>13</v>
      </c>
      <c r="H351" s="31" t="s">
        <v>93</v>
      </c>
      <c r="I351" s="2">
        <v>62.9</v>
      </c>
      <c r="J351">
        <v>66.590387182910547</v>
      </c>
    </row>
    <row r="352" spans="1:10" x14ac:dyDescent="0.25">
      <c r="A352">
        <v>2025</v>
      </c>
      <c r="B352" s="31" t="s">
        <v>115</v>
      </c>
      <c r="C352" s="31" t="s">
        <v>132</v>
      </c>
      <c r="D352" s="32">
        <v>3</v>
      </c>
      <c r="E352" s="32">
        <v>9</v>
      </c>
      <c r="F352" s="32">
        <v>5</v>
      </c>
      <c r="G352" s="32">
        <v>3</v>
      </c>
      <c r="H352" s="31" t="s">
        <v>122</v>
      </c>
      <c r="I352" s="2">
        <v>63.4</v>
      </c>
      <c r="J352">
        <v>65.452585828724011</v>
      </c>
    </row>
    <row r="353" spans="1:10" x14ac:dyDescent="0.25">
      <c r="A353">
        <v>2025</v>
      </c>
      <c r="B353" s="31" t="s">
        <v>115</v>
      </c>
      <c r="C353" s="31" t="s">
        <v>132</v>
      </c>
      <c r="D353" s="32">
        <v>3</v>
      </c>
      <c r="E353" s="32">
        <v>10</v>
      </c>
      <c r="F353" s="32">
        <v>5</v>
      </c>
      <c r="G353" s="32">
        <v>5</v>
      </c>
      <c r="H353" s="31" t="s">
        <v>128</v>
      </c>
      <c r="I353" s="2">
        <v>62.2</v>
      </c>
      <c r="J353">
        <v>65.055490654205599</v>
      </c>
    </row>
    <row r="354" spans="1:10" x14ac:dyDescent="0.25">
      <c r="A354">
        <v>2025</v>
      </c>
      <c r="B354" s="31" t="s">
        <v>115</v>
      </c>
      <c r="C354" s="31" t="s">
        <v>132</v>
      </c>
      <c r="D354" s="32">
        <v>3</v>
      </c>
      <c r="E354" s="32">
        <v>11</v>
      </c>
      <c r="F354" s="32">
        <v>5</v>
      </c>
      <c r="G354" s="32">
        <v>29</v>
      </c>
      <c r="H354" s="31" t="s">
        <v>27</v>
      </c>
      <c r="I354" s="2">
        <v>62</v>
      </c>
      <c r="J354">
        <v>62.430423421705129</v>
      </c>
    </row>
    <row r="355" spans="1:10" x14ac:dyDescent="0.25">
      <c r="A355">
        <v>2025</v>
      </c>
      <c r="B355" s="31" t="s">
        <v>115</v>
      </c>
      <c r="C355" s="31" t="s">
        <v>132</v>
      </c>
      <c r="D355" s="32">
        <v>3</v>
      </c>
      <c r="E355" s="32">
        <v>12</v>
      </c>
      <c r="F355" s="32">
        <v>5</v>
      </c>
      <c r="G355" s="32">
        <v>9</v>
      </c>
      <c r="H355" s="31" t="s">
        <v>94</v>
      </c>
      <c r="I355" s="2" t="s">
        <v>12</v>
      </c>
      <c r="J355">
        <v>60.12399532710279</v>
      </c>
    </row>
    <row r="356" spans="1:10" x14ac:dyDescent="0.25">
      <c r="A356">
        <v>2025</v>
      </c>
      <c r="B356" s="31" t="s">
        <v>115</v>
      </c>
      <c r="C356" s="31" t="s">
        <v>132</v>
      </c>
      <c r="D356" s="32">
        <v>3</v>
      </c>
      <c r="E356" s="32">
        <v>13</v>
      </c>
      <c r="F356" s="32">
        <v>5</v>
      </c>
      <c r="G356" s="32">
        <v>4</v>
      </c>
      <c r="H356" s="31" t="s">
        <v>117</v>
      </c>
      <c r="I356" s="2">
        <v>58.7</v>
      </c>
      <c r="J356">
        <v>64.97859240892619</v>
      </c>
    </row>
    <row r="357" spans="1:10" x14ac:dyDescent="0.25">
      <c r="A357">
        <v>2025</v>
      </c>
      <c r="B357" s="31" t="s">
        <v>115</v>
      </c>
      <c r="C357" s="31" t="s">
        <v>132</v>
      </c>
      <c r="D357" s="32">
        <v>3</v>
      </c>
      <c r="E357" s="32">
        <v>14</v>
      </c>
      <c r="F357" s="32">
        <v>5</v>
      </c>
      <c r="G357" s="32">
        <v>14</v>
      </c>
      <c r="H357" s="31" t="s">
        <v>30</v>
      </c>
      <c r="I357" s="2">
        <v>62.3</v>
      </c>
      <c r="J357">
        <v>66.783930955559782</v>
      </c>
    </row>
    <row r="358" spans="1:10" x14ac:dyDescent="0.25">
      <c r="A358">
        <v>2025</v>
      </c>
      <c r="B358" s="31" t="s">
        <v>115</v>
      </c>
      <c r="C358" s="31" t="s">
        <v>132</v>
      </c>
      <c r="D358" s="32">
        <v>3</v>
      </c>
      <c r="E358" s="32">
        <v>15</v>
      </c>
      <c r="F358" s="32">
        <v>5</v>
      </c>
      <c r="G358" s="32">
        <v>24</v>
      </c>
      <c r="H358" s="31" t="s">
        <v>40</v>
      </c>
      <c r="I358" s="2">
        <v>61</v>
      </c>
      <c r="J358">
        <v>66.521938775510208</v>
      </c>
    </row>
    <row r="359" spans="1:10" x14ac:dyDescent="0.25">
      <c r="A359">
        <v>2025</v>
      </c>
      <c r="B359" s="31" t="s">
        <v>115</v>
      </c>
      <c r="C359" s="31" t="s">
        <v>132</v>
      </c>
      <c r="D359" s="32">
        <v>3</v>
      </c>
      <c r="E359" s="32">
        <v>16</v>
      </c>
      <c r="F359" s="32">
        <v>5</v>
      </c>
      <c r="G359" s="32">
        <v>41</v>
      </c>
      <c r="H359" s="31" t="s">
        <v>124</v>
      </c>
      <c r="I359" s="2">
        <v>61.3</v>
      </c>
      <c r="J359">
        <v>64.274753957657822</v>
      </c>
    </row>
    <row r="360" spans="1:10" x14ac:dyDescent="0.25">
      <c r="A360">
        <v>2025</v>
      </c>
      <c r="B360" s="31" t="s">
        <v>115</v>
      </c>
      <c r="C360" s="31" t="s">
        <v>132</v>
      </c>
      <c r="D360" s="32">
        <v>3</v>
      </c>
      <c r="E360" s="32">
        <v>17</v>
      </c>
      <c r="F360" s="32">
        <v>5</v>
      </c>
      <c r="G360" s="32">
        <v>25</v>
      </c>
      <c r="H360" s="31" t="s">
        <v>130</v>
      </c>
      <c r="I360" s="2">
        <v>60.4</v>
      </c>
      <c r="J360">
        <v>68.051406637421323</v>
      </c>
    </row>
    <row r="361" spans="1:10" x14ac:dyDescent="0.25">
      <c r="A361">
        <v>2025</v>
      </c>
      <c r="B361" s="31" t="s">
        <v>115</v>
      </c>
      <c r="C361" s="31" t="s">
        <v>132</v>
      </c>
      <c r="D361" s="32">
        <v>3</v>
      </c>
      <c r="E361" s="32">
        <v>18</v>
      </c>
      <c r="F361" s="32">
        <v>5</v>
      </c>
      <c r="G361" s="32">
        <v>30</v>
      </c>
      <c r="H361" s="31" t="s">
        <v>21</v>
      </c>
      <c r="I361" s="2">
        <v>61.2</v>
      </c>
      <c r="J361">
        <v>61.069669082586302</v>
      </c>
    </row>
    <row r="362" spans="1:10" x14ac:dyDescent="0.25">
      <c r="A362">
        <v>2025</v>
      </c>
      <c r="B362" s="31" t="s">
        <v>115</v>
      </c>
      <c r="C362" s="31" t="s">
        <v>132</v>
      </c>
      <c r="D362" s="32">
        <v>3</v>
      </c>
      <c r="E362" s="32">
        <v>19</v>
      </c>
      <c r="F362" s="32">
        <v>5</v>
      </c>
      <c r="G362" s="32">
        <v>1</v>
      </c>
      <c r="H362" s="31" t="s">
        <v>120</v>
      </c>
      <c r="I362" s="12">
        <v>59.9</v>
      </c>
      <c r="J362">
        <v>67.374097844745378</v>
      </c>
    </row>
    <row r="363" spans="1:10" x14ac:dyDescent="0.25">
      <c r="A363">
        <v>2025</v>
      </c>
      <c r="B363" s="31" t="s">
        <v>115</v>
      </c>
      <c r="C363" s="31" t="s">
        <v>132</v>
      </c>
      <c r="D363" s="32">
        <v>3</v>
      </c>
      <c r="E363" s="32">
        <v>20</v>
      </c>
      <c r="F363" s="32">
        <v>5</v>
      </c>
      <c r="G363" s="32">
        <v>35</v>
      </c>
      <c r="H363" s="31" t="s">
        <v>129</v>
      </c>
      <c r="I363" s="12">
        <v>60.6</v>
      </c>
      <c r="J363">
        <v>65.262016021361802</v>
      </c>
    </row>
    <row r="364" spans="1:10" x14ac:dyDescent="0.25">
      <c r="A364">
        <v>2025</v>
      </c>
      <c r="B364" s="31" t="s">
        <v>115</v>
      </c>
      <c r="C364" s="31" t="s">
        <v>132</v>
      </c>
      <c r="D364" s="32">
        <v>3</v>
      </c>
      <c r="E364" s="32">
        <v>21</v>
      </c>
      <c r="F364" s="32">
        <v>5</v>
      </c>
      <c r="G364" s="32">
        <v>11</v>
      </c>
      <c r="H364" s="31" t="s">
        <v>90</v>
      </c>
      <c r="I364" s="12">
        <v>63</v>
      </c>
      <c r="J364">
        <v>69.602022696929239</v>
      </c>
    </row>
    <row r="365" spans="1:10" x14ac:dyDescent="0.25">
      <c r="A365">
        <v>2025</v>
      </c>
      <c r="B365" s="31" t="s">
        <v>115</v>
      </c>
      <c r="C365" s="31" t="s">
        <v>132</v>
      </c>
      <c r="D365" s="32">
        <v>3</v>
      </c>
      <c r="E365" s="32">
        <v>21</v>
      </c>
      <c r="F365" s="32">
        <v>6</v>
      </c>
      <c r="G365" s="32">
        <v>42</v>
      </c>
      <c r="H365" s="31" t="s">
        <v>34</v>
      </c>
      <c r="I365" s="12">
        <v>62.1</v>
      </c>
      <c r="J365">
        <v>59.414300158890647</v>
      </c>
    </row>
    <row r="366" spans="1:10" x14ac:dyDescent="0.25">
      <c r="A366">
        <v>2025</v>
      </c>
      <c r="B366" s="31" t="s">
        <v>115</v>
      </c>
      <c r="C366" s="31" t="s">
        <v>132</v>
      </c>
      <c r="D366" s="32">
        <v>3</v>
      </c>
      <c r="E366" s="32">
        <v>20</v>
      </c>
      <c r="F366" s="32">
        <v>6</v>
      </c>
      <c r="G366" s="32">
        <v>36</v>
      </c>
      <c r="H366" s="31" t="s">
        <v>45</v>
      </c>
      <c r="I366" s="12">
        <v>62.5</v>
      </c>
      <c r="J366">
        <v>59.229351437238179</v>
      </c>
    </row>
    <row r="367" spans="1:10" x14ac:dyDescent="0.25">
      <c r="A367">
        <v>2025</v>
      </c>
      <c r="B367" s="31" t="s">
        <v>115</v>
      </c>
      <c r="C367" s="31" t="s">
        <v>132</v>
      </c>
      <c r="D367" s="32">
        <v>3</v>
      </c>
      <c r="E367" s="32">
        <v>19</v>
      </c>
      <c r="F367" s="32">
        <v>6</v>
      </c>
      <c r="G367" s="32">
        <v>15</v>
      </c>
      <c r="H367" s="31" t="s">
        <v>31</v>
      </c>
      <c r="I367" s="12">
        <v>61.1</v>
      </c>
      <c r="J367">
        <v>61.38271703018922</v>
      </c>
    </row>
    <row r="368" spans="1:10" x14ac:dyDescent="0.25">
      <c r="A368">
        <v>2025</v>
      </c>
      <c r="B368" s="31" t="s">
        <v>115</v>
      </c>
      <c r="C368" s="31" t="s">
        <v>132</v>
      </c>
      <c r="D368" s="32">
        <v>3</v>
      </c>
      <c r="E368" s="32">
        <v>18</v>
      </c>
      <c r="F368" s="32">
        <v>6</v>
      </c>
      <c r="G368" s="32">
        <v>33</v>
      </c>
      <c r="H368" s="31" t="s">
        <v>41</v>
      </c>
      <c r="I368" s="12">
        <v>60.2</v>
      </c>
      <c r="J368">
        <v>60.644113823486919</v>
      </c>
    </row>
    <row r="369" spans="1:11" x14ac:dyDescent="0.25">
      <c r="A369">
        <v>2025</v>
      </c>
      <c r="B369" s="31" t="s">
        <v>115</v>
      </c>
      <c r="C369" s="31" t="s">
        <v>132</v>
      </c>
      <c r="D369" s="32">
        <v>3</v>
      </c>
      <c r="E369" s="32">
        <v>17</v>
      </c>
      <c r="F369" s="32">
        <v>6</v>
      </c>
      <c r="G369" s="32">
        <v>16</v>
      </c>
      <c r="H369" s="31" t="s">
        <v>32</v>
      </c>
      <c r="I369" s="12">
        <v>61.1</v>
      </c>
      <c r="J369">
        <v>65.457976310847897</v>
      </c>
    </row>
    <row r="370" spans="1:11" x14ac:dyDescent="0.25">
      <c r="A370">
        <v>2025</v>
      </c>
      <c r="B370" s="31" t="s">
        <v>115</v>
      </c>
      <c r="C370" s="31" t="s">
        <v>132</v>
      </c>
      <c r="D370" s="32">
        <v>3</v>
      </c>
      <c r="E370" s="32">
        <v>16</v>
      </c>
      <c r="F370" s="32">
        <v>6</v>
      </c>
      <c r="G370" s="32">
        <v>40</v>
      </c>
      <c r="H370" s="31" t="s">
        <v>121</v>
      </c>
      <c r="I370" s="12">
        <v>62.3</v>
      </c>
      <c r="J370">
        <v>63.585942510472336</v>
      </c>
      <c r="K370">
        <v>9.1999999999999993</v>
      </c>
    </row>
    <row r="371" spans="1:11" x14ac:dyDescent="0.25">
      <c r="A371">
        <v>2025</v>
      </c>
      <c r="B371" s="31" t="s">
        <v>115</v>
      </c>
      <c r="C371" s="31" t="s">
        <v>132</v>
      </c>
      <c r="D371" s="32">
        <v>3</v>
      </c>
      <c r="E371" s="32">
        <v>15</v>
      </c>
      <c r="F371" s="32">
        <v>6</v>
      </c>
      <c r="G371" s="32">
        <v>17</v>
      </c>
      <c r="H371" s="31" t="s">
        <v>33</v>
      </c>
      <c r="I371" s="12">
        <v>61.1</v>
      </c>
      <c r="J371">
        <v>66.074551495016607</v>
      </c>
      <c r="K371">
        <v>9.5</v>
      </c>
    </row>
    <row r="372" spans="1:11" x14ac:dyDescent="0.25">
      <c r="A372">
        <v>2025</v>
      </c>
      <c r="B372" s="31" t="s">
        <v>115</v>
      </c>
      <c r="C372" s="31" t="s">
        <v>132</v>
      </c>
      <c r="D372" s="32">
        <v>3</v>
      </c>
      <c r="E372" s="32">
        <v>14</v>
      </c>
      <c r="F372" s="32">
        <v>6</v>
      </c>
      <c r="G372" s="32">
        <v>21</v>
      </c>
      <c r="H372" s="31" t="s">
        <v>26</v>
      </c>
      <c r="I372" s="12">
        <v>61.8</v>
      </c>
      <c r="J372">
        <v>61.879218546872728</v>
      </c>
    </row>
    <row r="373" spans="1:11" x14ac:dyDescent="0.25">
      <c r="A373">
        <v>2025</v>
      </c>
      <c r="B373" s="31" t="s">
        <v>115</v>
      </c>
      <c r="C373" s="31" t="s">
        <v>132</v>
      </c>
      <c r="D373" s="32">
        <v>3</v>
      </c>
      <c r="E373" s="32">
        <v>13</v>
      </c>
      <c r="F373" s="32">
        <v>6</v>
      </c>
      <c r="G373" s="32">
        <v>2</v>
      </c>
      <c r="H373" s="31" t="s">
        <v>126</v>
      </c>
      <c r="I373" s="12">
        <v>61.8</v>
      </c>
      <c r="J373">
        <v>67.247355192835471</v>
      </c>
    </row>
    <row r="374" spans="1:11" x14ac:dyDescent="0.25">
      <c r="A374">
        <v>2025</v>
      </c>
      <c r="B374" s="31" t="s">
        <v>115</v>
      </c>
      <c r="C374" s="31" t="s">
        <v>132</v>
      </c>
      <c r="D374" s="32">
        <v>3</v>
      </c>
      <c r="E374" s="32">
        <v>12</v>
      </c>
      <c r="F374" s="32">
        <v>6</v>
      </c>
      <c r="G374" s="32">
        <v>43</v>
      </c>
      <c r="H374" s="31" t="s">
        <v>125</v>
      </c>
      <c r="I374" s="12" t="s">
        <v>12</v>
      </c>
      <c r="J374">
        <v>62.125038278203078</v>
      </c>
    </row>
    <row r="375" spans="1:11" x14ac:dyDescent="0.25">
      <c r="A375">
        <v>2025</v>
      </c>
      <c r="B375" s="31" t="s">
        <v>115</v>
      </c>
      <c r="C375" s="31" t="s">
        <v>132</v>
      </c>
      <c r="D375" s="32">
        <v>3</v>
      </c>
      <c r="E375" s="32">
        <v>11</v>
      </c>
      <c r="F375" s="32">
        <v>6</v>
      </c>
      <c r="G375" s="32">
        <v>44</v>
      </c>
      <c r="H375" s="31" t="s">
        <v>123</v>
      </c>
      <c r="I375" s="12">
        <v>60.6</v>
      </c>
      <c r="J375">
        <v>56.145283836487067</v>
      </c>
    </row>
    <row r="376" spans="1:11" x14ac:dyDescent="0.25">
      <c r="A376">
        <v>2025</v>
      </c>
      <c r="B376" s="31" t="s">
        <v>115</v>
      </c>
      <c r="C376" s="31" t="s">
        <v>132</v>
      </c>
      <c r="D376" s="32">
        <v>3</v>
      </c>
      <c r="E376" s="32">
        <v>10</v>
      </c>
      <c r="F376" s="32">
        <v>6</v>
      </c>
      <c r="G376" s="32">
        <v>10</v>
      </c>
      <c r="H376" s="31" t="s">
        <v>91</v>
      </c>
      <c r="I376" s="12">
        <v>58.8</v>
      </c>
      <c r="J376">
        <v>52.194721941354892</v>
      </c>
    </row>
    <row r="377" spans="1:11" x14ac:dyDescent="0.25">
      <c r="A377">
        <v>2025</v>
      </c>
      <c r="B377" s="31" t="s">
        <v>115</v>
      </c>
      <c r="C377" s="31" t="s">
        <v>132</v>
      </c>
      <c r="D377" s="32">
        <v>3</v>
      </c>
      <c r="E377" s="32">
        <v>9</v>
      </c>
      <c r="F377" s="32">
        <v>6</v>
      </c>
      <c r="G377" s="32">
        <v>46</v>
      </c>
      <c r="H377" s="31" t="s">
        <v>127</v>
      </c>
      <c r="I377" s="12">
        <v>62.2</v>
      </c>
      <c r="J377">
        <v>60.862334248158312</v>
      </c>
    </row>
    <row r="378" spans="1:11" x14ac:dyDescent="0.25">
      <c r="A378">
        <v>2025</v>
      </c>
      <c r="B378" s="31" t="s">
        <v>115</v>
      </c>
      <c r="C378" s="31" t="s">
        <v>132</v>
      </c>
      <c r="D378" s="32">
        <v>3</v>
      </c>
      <c r="E378" s="32">
        <v>8</v>
      </c>
      <c r="F378" s="32">
        <v>6</v>
      </c>
      <c r="G378" s="32">
        <v>31</v>
      </c>
      <c r="H378" s="31" t="s">
        <v>36</v>
      </c>
      <c r="I378" s="12">
        <v>59.9</v>
      </c>
      <c r="J378">
        <v>58.02890076556406</v>
      </c>
    </row>
    <row r="379" spans="1:11" x14ac:dyDescent="0.25">
      <c r="A379">
        <v>2025</v>
      </c>
      <c r="B379" s="31" t="s">
        <v>115</v>
      </c>
      <c r="C379" s="31" t="s">
        <v>132</v>
      </c>
      <c r="D379" s="32">
        <v>3</v>
      </c>
      <c r="E379" s="32">
        <v>7</v>
      </c>
      <c r="F379" s="32">
        <v>6</v>
      </c>
      <c r="G379" s="32">
        <v>18</v>
      </c>
      <c r="H379" s="31" t="s">
        <v>29</v>
      </c>
      <c r="I379" s="12">
        <v>60.1</v>
      </c>
      <c r="J379">
        <v>55.67223458038422</v>
      </c>
    </row>
    <row r="380" spans="1:11" x14ac:dyDescent="0.25">
      <c r="A380">
        <v>2025</v>
      </c>
      <c r="B380" s="31" t="s">
        <v>115</v>
      </c>
      <c r="C380" s="31" t="s">
        <v>132</v>
      </c>
      <c r="D380" s="32">
        <v>3</v>
      </c>
      <c r="E380" s="32">
        <v>6</v>
      </c>
      <c r="F380" s="32">
        <v>6</v>
      </c>
      <c r="G380" s="32">
        <v>12</v>
      </c>
      <c r="H380" s="31" t="s">
        <v>92</v>
      </c>
      <c r="I380" s="12">
        <v>60.9</v>
      </c>
      <c r="J380">
        <v>57.695564061822907</v>
      </c>
    </row>
    <row r="381" spans="1:11" x14ac:dyDescent="0.25">
      <c r="A381">
        <v>2025</v>
      </c>
      <c r="B381" s="31" t="s">
        <v>115</v>
      </c>
      <c r="C381" s="31" t="s">
        <v>132</v>
      </c>
      <c r="D381" s="32">
        <v>3</v>
      </c>
      <c r="E381" s="32">
        <v>5</v>
      </c>
      <c r="F381" s="32">
        <v>6</v>
      </c>
      <c r="G381" s="32">
        <v>45</v>
      </c>
      <c r="H381" s="31" t="s">
        <v>39</v>
      </c>
      <c r="I381" s="12">
        <v>59.7</v>
      </c>
      <c r="J381">
        <v>62.506995522172467</v>
      </c>
    </row>
    <row r="382" spans="1:11" x14ac:dyDescent="0.25">
      <c r="A382">
        <v>2025</v>
      </c>
      <c r="B382" s="31" t="s">
        <v>115</v>
      </c>
      <c r="C382" s="31" t="s">
        <v>132</v>
      </c>
      <c r="D382" s="32">
        <v>3</v>
      </c>
      <c r="E382" s="32">
        <v>4</v>
      </c>
      <c r="F382" s="32">
        <v>6</v>
      </c>
      <c r="G382" s="32">
        <v>28</v>
      </c>
      <c r="H382" s="31" t="s">
        <v>38</v>
      </c>
      <c r="I382" s="12">
        <v>56.9</v>
      </c>
      <c r="J382">
        <v>64.925581395348829</v>
      </c>
    </row>
    <row r="383" spans="1:11" x14ac:dyDescent="0.25">
      <c r="A383">
        <v>2025</v>
      </c>
      <c r="B383" s="31" t="s">
        <v>115</v>
      </c>
      <c r="C383" s="31" t="s">
        <v>132</v>
      </c>
      <c r="D383" s="32">
        <v>3</v>
      </c>
      <c r="E383" s="32">
        <v>3</v>
      </c>
      <c r="F383" s="32">
        <v>6</v>
      </c>
      <c r="G383" s="32">
        <v>32</v>
      </c>
      <c r="H383" s="31" t="s">
        <v>25</v>
      </c>
      <c r="I383" s="12">
        <v>62.4</v>
      </c>
      <c r="J383">
        <v>64.47198035533728</v>
      </c>
    </row>
    <row r="384" spans="1:11" x14ac:dyDescent="0.25">
      <c r="A384">
        <v>2025</v>
      </c>
      <c r="B384" s="31" t="s">
        <v>115</v>
      </c>
      <c r="C384" s="31" t="s">
        <v>132</v>
      </c>
      <c r="D384" s="32">
        <v>3</v>
      </c>
      <c r="E384" s="32">
        <v>2</v>
      </c>
      <c r="F384" s="32">
        <v>6</v>
      </c>
      <c r="G384" s="32">
        <v>22</v>
      </c>
      <c r="H384" s="31" t="s">
        <v>28</v>
      </c>
      <c r="I384" s="12">
        <v>55.6</v>
      </c>
      <c r="J384">
        <v>59.78610429004766</v>
      </c>
    </row>
    <row r="385" spans="1:11" x14ac:dyDescent="0.25">
      <c r="A385">
        <v>2025</v>
      </c>
      <c r="B385" s="31" t="s">
        <v>115</v>
      </c>
      <c r="C385" s="31" t="s">
        <v>132</v>
      </c>
      <c r="D385" s="32">
        <v>3</v>
      </c>
      <c r="E385" s="32">
        <v>1</v>
      </c>
      <c r="F385" s="32">
        <v>6</v>
      </c>
      <c r="G385" s="32">
        <v>6</v>
      </c>
      <c r="H385" s="31" t="s">
        <v>119</v>
      </c>
      <c r="I385" s="12">
        <v>57.3</v>
      </c>
      <c r="J385">
        <v>55.881445904954496</v>
      </c>
    </row>
    <row r="386" spans="1:11" x14ac:dyDescent="0.25">
      <c r="A386">
        <v>2025</v>
      </c>
      <c r="B386" s="31" t="s">
        <v>115</v>
      </c>
      <c r="C386" s="31" t="s">
        <v>13</v>
      </c>
      <c r="D386" s="32">
        <v>1</v>
      </c>
      <c r="E386" s="36">
        <v>7</v>
      </c>
      <c r="F386" s="36">
        <v>2</v>
      </c>
      <c r="G386" s="32">
        <v>30</v>
      </c>
      <c r="H386" s="31" t="s">
        <v>21</v>
      </c>
      <c r="I386" s="12">
        <v>57.2</v>
      </c>
      <c r="J386">
        <v>62.851799999999983</v>
      </c>
      <c r="K386">
        <v>13.890599999999999</v>
      </c>
    </row>
    <row r="387" spans="1:11" x14ac:dyDescent="0.25">
      <c r="A387">
        <v>2025</v>
      </c>
      <c r="B387" s="31" t="s">
        <v>115</v>
      </c>
      <c r="C387" s="31" t="s">
        <v>13</v>
      </c>
      <c r="D387" s="32">
        <v>2</v>
      </c>
      <c r="E387" s="36">
        <v>3</v>
      </c>
      <c r="F387" s="36">
        <v>3</v>
      </c>
      <c r="G387" s="32">
        <v>30</v>
      </c>
      <c r="H387" s="31" t="s">
        <v>21</v>
      </c>
      <c r="I387" s="12">
        <v>57.9</v>
      </c>
      <c r="J387">
        <v>67.114959999999996</v>
      </c>
      <c r="K387">
        <v>14.070600000000001</v>
      </c>
    </row>
    <row r="388" spans="1:11" x14ac:dyDescent="0.25">
      <c r="A388">
        <v>2025</v>
      </c>
      <c r="B388" s="31" t="s">
        <v>115</v>
      </c>
      <c r="C388" s="31" t="s">
        <v>13</v>
      </c>
      <c r="D388" s="32">
        <v>3</v>
      </c>
      <c r="E388" s="36">
        <v>16</v>
      </c>
      <c r="F388" s="36">
        <v>6</v>
      </c>
      <c r="G388" s="32">
        <v>30</v>
      </c>
      <c r="H388" s="31" t="s">
        <v>21</v>
      </c>
      <c r="I388" s="12">
        <v>56.4</v>
      </c>
      <c r="J388">
        <v>60.80415</v>
      </c>
      <c r="K388">
        <v>13.890599999999999</v>
      </c>
    </row>
    <row r="389" spans="1:11" x14ac:dyDescent="0.25">
      <c r="A389">
        <v>2025</v>
      </c>
      <c r="B389" s="31" t="s">
        <v>115</v>
      </c>
      <c r="C389" s="31" t="s">
        <v>13</v>
      </c>
      <c r="D389" s="32">
        <v>1</v>
      </c>
      <c r="E389" s="36">
        <v>9</v>
      </c>
      <c r="F389" s="36">
        <v>2</v>
      </c>
      <c r="G389" s="32">
        <v>37</v>
      </c>
      <c r="H389" s="31" t="s">
        <v>89</v>
      </c>
      <c r="I389" s="12">
        <v>59.2</v>
      </c>
      <c r="J389">
        <v>68.603040000000007</v>
      </c>
      <c r="K389">
        <v>13.3506</v>
      </c>
    </row>
    <row r="390" spans="1:11" x14ac:dyDescent="0.25">
      <c r="A390">
        <v>2025</v>
      </c>
      <c r="B390" s="31" t="s">
        <v>115</v>
      </c>
      <c r="C390" s="31" t="s">
        <v>13</v>
      </c>
      <c r="D390" s="32">
        <v>2</v>
      </c>
      <c r="E390" s="36">
        <v>4</v>
      </c>
      <c r="F390" s="36">
        <v>3</v>
      </c>
      <c r="G390" s="32">
        <v>37</v>
      </c>
      <c r="H390" s="31" t="s">
        <v>89</v>
      </c>
      <c r="I390" s="12">
        <v>58.7</v>
      </c>
      <c r="J390">
        <v>72.454139999999981</v>
      </c>
      <c r="K390">
        <v>14.2506</v>
      </c>
    </row>
    <row r="391" spans="1:11" x14ac:dyDescent="0.25">
      <c r="A391">
        <v>2025</v>
      </c>
      <c r="B391" s="31" t="s">
        <v>115</v>
      </c>
      <c r="C391" s="31" t="s">
        <v>13</v>
      </c>
      <c r="D391" s="32">
        <v>3</v>
      </c>
      <c r="E391" s="36">
        <v>10</v>
      </c>
      <c r="F391" s="36">
        <v>6</v>
      </c>
      <c r="G391" s="32">
        <v>37</v>
      </c>
      <c r="H391" s="31" t="s">
        <v>89</v>
      </c>
      <c r="I391" s="12">
        <v>58.7</v>
      </c>
      <c r="J391">
        <v>60.074629999999999</v>
      </c>
      <c r="K391">
        <v>14.610600000000002</v>
      </c>
    </row>
    <row r="392" spans="1:11" x14ac:dyDescent="0.25">
      <c r="A392">
        <v>2025</v>
      </c>
      <c r="B392" s="31" t="s">
        <v>115</v>
      </c>
      <c r="C392" s="31" t="s">
        <v>13</v>
      </c>
      <c r="D392" s="32">
        <v>1</v>
      </c>
      <c r="E392" s="36">
        <v>11</v>
      </c>
      <c r="F392" s="36">
        <v>1</v>
      </c>
      <c r="G392" s="32">
        <v>40</v>
      </c>
      <c r="H392" s="31" t="s">
        <v>121</v>
      </c>
      <c r="I392" s="12">
        <v>58.7</v>
      </c>
      <c r="J392">
        <v>80.600849999999994</v>
      </c>
      <c r="K392">
        <v>12.630600000000001</v>
      </c>
    </row>
    <row r="393" spans="1:11" x14ac:dyDescent="0.25">
      <c r="A393">
        <v>2025</v>
      </c>
      <c r="B393" s="31" t="s">
        <v>115</v>
      </c>
      <c r="C393" s="31" t="s">
        <v>13</v>
      </c>
      <c r="D393" s="32">
        <v>2</v>
      </c>
      <c r="E393" s="36">
        <v>16</v>
      </c>
      <c r="F393" s="36">
        <v>4</v>
      </c>
      <c r="G393" s="32">
        <v>40</v>
      </c>
      <c r="H393" s="31" t="s">
        <v>121</v>
      </c>
      <c r="I393" s="12">
        <v>59.1</v>
      </c>
      <c r="J393">
        <v>62.79619499999999</v>
      </c>
      <c r="K393">
        <v>13.980600000000001</v>
      </c>
    </row>
    <row r="394" spans="1:11" x14ac:dyDescent="0.25">
      <c r="A394">
        <v>2025</v>
      </c>
      <c r="B394" s="31" t="s">
        <v>115</v>
      </c>
      <c r="C394" s="31" t="s">
        <v>13</v>
      </c>
      <c r="D394" s="32">
        <v>3</v>
      </c>
      <c r="E394" s="36">
        <v>3</v>
      </c>
      <c r="F394" s="36">
        <v>5</v>
      </c>
      <c r="G394" s="32">
        <v>40</v>
      </c>
      <c r="H394" s="31" t="s">
        <v>121</v>
      </c>
      <c r="I394" s="12">
        <v>59</v>
      </c>
      <c r="J394">
        <v>60.678639999999994</v>
      </c>
      <c r="K394">
        <v>13.710599999999999</v>
      </c>
    </row>
    <row r="395" spans="1:11" x14ac:dyDescent="0.25">
      <c r="A395">
        <v>2025</v>
      </c>
      <c r="B395" s="31" t="s">
        <v>115</v>
      </c>
      <c r="C395" s="31" t="s">
        <v>13</v>
      </c>
      <c r="D395" s="32">
        <v>1</v>
      </c>
      <c r="E395" s="36">
        <v>21</v>
      </c>
      <c r="F395" s="36">
        <v>1</v>
      </c>
      <c r="G395" s="32">
        <v>41</v>
      </c>
      <c r="H395" s="31" t="s">
        <v>124</v>
      </c>
      <c r="I395" s="12" t="s">
        <v>12</v>
      </c>
      <c r="J395" t="s">
        <v>12</v>
      </c>
      <c r="K395">
        <v>14.3406</v>
      </c>
    </row>
    <row r="396" spans="1:11" x14ac:dyDescent="0.25">
      <c r="A396">
        <v>2025</v>
      </c>
      <c r="B396" s="31" t="s">
        <v>115</v>
      </c>
      <c r="C396" s="31" t="s">
        <v>13</v>
      </c>
      <c r="D396" s="32">
        <v>2</v>
      </c>
      <c r="E396" s="36">
        <v>18</v>
      </c>
      <c r="F396" s="36">
        <v>3</v>
      </c>
      <c r="G396" s="32">
        <v>41</v>
      </c>
      <c r="H396" s="31" t="s">
        <v>124</v>
      </c>
      <c r="I396" s="12">
        <v>56.9</v>
      </c>
      <c r="J396">
        <v>68.888819999999996</v>
      </c>
      <c r="K396">
        <v>14.610600000000002</v>
      </c>
    </row>
    <row r="397" spans="1:11" x14ac:dyDescent="0.25">
      <c r="A397">
        <v>2025</v>
      </c>
      <c r="B397" s="31" t="s">
        <v>115</v>
      </c>
      <c r="C397" s="31" t="s">
        <v>13</v>
      </c>
      <c r="D397" s="32">
        <v>3</v>
      </c>
      <c r="E397" s="36">
        <v>13</v>
      </c>
      <c r="F397" s="36">
        <v>6</v>
      </c>
      <c r="G397" s="32">
        <v>41</v>
      </c>
      <c r="H397" s="31" t="s">
        <v>124</v>
      </c>
      <c r="I397" s="12">
        <v>56.5</v>
      </c>
      <c r="J397">
        <v>60.607634999999995</v>
      </c>
      <c r="K397">
        <v>14.610600000000002</v>
      </c>
    </row>
    <row r="398" spans="1:11" x14ac:dyDescent="0.25">
      <c r="A398">
        <v>2025</v>
      </c>
      <c r="B398" s="31" t="s">
        <v>115</v>
      </c>
      <c r="C398" s="31" t="s">
        <v>13</v>
      </c>
      <c r="D398" s="32">
        <v>1</v>
      </c>
      <c r="E398" s="36">
        <v>1</v>
      </c>
      <c r="F398" s="36">
        <v>2</v>
      </c>
      <c r="G398" s="32">
        <v>20</v>
      </c>
      <c r="H398" s="31" t="s">
        <v>24</v>
      </c>
      <c r="I398" s="12">
        <v>56.9</v>
      </c>
      <c r="J398">
        <v>64.377224999999996</v>
      </c>
      <c r="K398">
        <v>14.2506</v>
      </c>
    </row>
    <row r="399" spans="1:11" x14ac:dyDescent="0.25">
      <c r="A399">
        <v>2025</v>
      </c>
      <c r="B399" s="31" t="s">
        <v>115</v>
      </c>
      <c r="C399" s="31" t="s">
        <v>13</v>
      </c>
      <c r="D399" s="32">
        <v>2</v>
      </c>
      <c r="E399" s="36">
        <v>16</v>
      </c>
      <c r="F399" s="36">
        <v>3</v>
      </c>
      <c r="G399" s="32">
        <v>20</v>
      </c>
      <c r="H399" s="31" t="s">
        <v>24</v>
      </c>
      <c r="I399" s="12">
        <v>57.1</v>
      </c>
      <c r="J399">
        <v>79.025759999999991</v>
      </c>
      <c r="K399">
        <v>13.980600000000001</v>
      </c>
    </row>
    <row r="400" spans="1:11" x14ac:dyDescent="0.25">
      <c r="A400">
        <v>2025</v>
      </c>
      <c r="B400" s="31" t="s">
        <v>115</v>
      </c>
      <c r="C400" s="31" t="s">
        <v>13</v>
      </c>
      <c r="D400" s="32">
        <v>3</v>
      </c>
      <c r="E400" s="36">
        <v>21</v>
      </c>
      <c r="F400" s="36">
        <v>6</v>
      </c>
      <c r="G400" s="32">
        <v>20</v>
      </c>
      <c r="H400" s="31" t="s">
        <v>24</v>
      </c>
      <c r="I400" s="12">
        <v>56.9</v>
      </c>
      <c r="J400">
        <v>83.401064999999988</v>
      </c>
      <c r="K400">
        <v>13.710599999999999</v>
      </c>
    </row>
    <row r="401" spans="1:11" x14ac:dyDescent="0.25">
      <c r="A401">
        <v>2025</v>
      </c>
      <c r="B401" s="31" t="s">
        <v>115</v>
      </c>
      <c r="C401" s="31" t="s">
        <v>13</v>
      </c>
      <c r="D401" s="32">
        <v>1</v>
      </c>
      <c r="E401" s="36">
        <v>14</v>
      </c>
      <c r="F401" s="36">
        <v>2</v>
      </c>
      <c r="G401" s="32">
        <v>32</v>
      </c>
      <c r="H401" s="31" t="s">
        <v>25</v>
      </c>
      <c r="I401" s="12">
        <v>59.3</v>
      </c>
      <c r="J401">
        <v>74.324249999999992</v>
      </c>
      <c r="K401">
        <v>14.3406</v>
      </c>
    </row>
    <row r="402" spans="1:11" x14ac:dyDescent="0.25">
      <c r="A402">
        <v>2025</v>
      </c>
      <c r="B402" s="31" t="s">
        <v>115</v>
      </c>
      <c r="C402" s="31" t="s">
        <v>13</v>
      </c>
      <c r="D402" s="32">
        <v>2</v>
      </c>
      <c r="E402" s="36">
        <v>11</v>
      </c>
      <c r="F402" s="36">
        <v>4</v>
      </c>
      <c r="G402" s="32">
        <v>32</v>
      </c>
      <c r="H402" s="31" t="s">
        <v>25</v>
      </c>
      <c r="I402" s="12">
        <v>58.9</v>
      </c>
      <c r="J402">
        <v>75.469239999999999</v>
      </c>
      <c r="K402">
        <v>15.240600000000001</v>
      </c>
    </row>
    <row r="403" spans="1:11" x14ac:dyDescent="0.25">
      <c r="A403">
        <v>2025</v>
      </c>
      <c r="B403" s="31" t="s">
        <v>115</v>
      </c>
      <c r="C403" s="31" t="s">
        <v>13</v>
      </c>
      <c r="D403" s="32">
        <v>3</v>
      </c>
      <c r="E403" s="36">
        <v>9</v>
      </c>
      <c r="F403" s="36">
        <v>6</v>
      </c>
      <c r="G403" s="32">
        <v>32</v>
      </c>
      <c r="H403" s="31" t="s">
        <v>25</v>
      </c>
      <c r="I403" s="12">
        <v>59</v>
      </c>
      <c r="J403">
        <v>79.609529999999992</v>
      </c>
      <c r="K403">
        <v>15.150600000000001</v>
      </c>
    </row>
    <row r="404" spans="1:11" x14ac:dyDescent="0.25">
      <c r="A404">
        <v>2025</v>
      </c>
      <c r="B404" s="31" t="s">
        <v>115</v>
      </c>
      <c r="C404" s="31" t="s">
        <v>13</v>
      </c>
      <c r="D404" s="32">
        <v>1</v>
      </c>
      <c r="E404" s="36">
        <v>6</v>
      </c>
      <c r="F404" s="36">
        <v>2</v>
      </c>
      <c r="G404" s="32">
        <v>21</v>
      </c>
      <c r="H404" s="31" t="s">
        <v>26</v>
      </c>
      <c r="I404" s="12">
        <v>57.6</v>
      </c>
      <c r="J404">
        <v>71.420359999999988</v>
      </c>
      <c r="K404">
        <v>13.980600000000001</v>
      </c>
    </row>
    <row r="405" spans="1:11" x14ac:dyDescent="0.25">
      <c r="A405">
        <v>2025</v>
      </c>
      <c r="B405" s="31" t="s">
        <v>115</v>
      </c>
      <c r="C405" s="31" t="s">
        <v>13</v>
      </c>
      <c r="D405" s="32">
        <v>2</v>
      </c>
      <c r="E405" s="36">
        <v>5</v>
      </c>
      <c r="F405" s="36">
        <v>3</v>
      </c>
      <c r="G405" s="32">
        <v>21</v>
      </c>
      <c r="H405" s="31" t="s">
        <v>26</v>
      </c>
      <c r="I405" s="12">
        <v>58.3</v>
      </c>
      <c r="J405">
        <v>77.82929</v>
      </c>
      <c r="K405">
        <v>13.2606</v>
      </c>
    </row>
    <row r="406" spans="1:11" x14ac:dyDescent="0.25">
      <c r="A406">
        <v>2025</v>
      </c>
      <c r="B406" s="31" t="s">
        <v>115</v>
      </c>
      <c r="C406" s="31" t="s">
        <v>13</v>
      </c>
      <c r="D406" s="32">
        <v>3</v>
      </c>
      <c r="E406" s="36">
        <v>18</v>
      </c>
      <c r="F406" s="36">
        <v>6</v>
      </c>
      <c r="G406" s="32">
        <v>21</v>
      </c>
      <c r="H406" s="31" t="s">
        <v>26</v>
      </c>
      <c r="I406" s="12">
        <v>57.2</v>
      </c>
      <c r="J406">
        <v>77.774234999999976</v>
      </c>
      <c r="K406">
        <v>14.2506</v>
      </c>
    </row>
    <row r="407" spans="1:11" x14ac:dyDescent="0.25">
      <c r="A407">
        <v>2025</v>
      </c>
      <c r="B407" s="31" t="s">
        <v>115</v>
      </c>
      <c r="C407" s="31" t="s">
        <v>13</v>
      </c>
      <c r="D407" s="32">
        <v>1</v>
      </c>
      <c r="E407" s="36">
        <v>16</v>
      </c>
      <c r="F407" s="36">
        <v>1</v>
      </c>
      <c r="G407" s="32">
        <v>29</v>
      </c>
      <c r="H407" s="31" t="s">
        <v>27</v>
      </c>
      <c r="I407" s="12">
        <v>57.8</v>
      </c>
      <c r="J407">
        <v>64.639574999999994</v>
      </c>
      <c r="K407">
        <v>13.620600000000001</v>
      </c>
    </row>
    <row r="408" spans="1:11" x14ac:dyDescent="0.25">
      <c r="A408">
        <v>2025</v>
      </c>
      <c r="B408" s="31" t="s">
        <v>115</v>
      </c>
      <c r="C408" s="31" t="s">
        <v>13</v>
      </c>
      <c r="D408" s="32">
        <v>2</v>
      </c>
      <c r="E408" s="36">
        <v>14</v>
      </c>
      <c r="F408" s="36">
        <v>3</v>
      </c>
      <c r="G408" s="32">
        <v>29</v>
      </c>
      <c r="H408" s="31" t="s">
        <v>27</v>
      </c>
      <c r="I408" s="12">
        <v>57.5</v>
      </c>
      <c r="J408">
        <v>69.678619999999981</v>
      </c>
      <c r="K408">
        <v>14.070600000000001</v>
      </c>
    </row>
    <row r="409" spans="1:11" x14ac:dyDescent="0.25">
      <c r="A409">
        <v>2025</v>
      </c>
      <c r="B409" s="31" t="s">
        <v>115</v>
      </c>
      <c r="C409" s="31" t="s">
        <v>13</v>
      </c>
      <c r="D409" s="32">
        <v>3</v>
      </c>
      <c r="E409" s="36">
        <v>21</v>
      </c>
      <c r="F409" s="36">
        <v>5</v>
      </c>
      <c r="G409" s="32">
        <v>29</v>
      </c>
      <c r="H409" s="31" t="s">
        <v>27</v>
      </c>
      <c r="I409" s="12">
        <v>57.6</v>
      </c>
      <c r="J409">
        <v>55.23265</v>
      </c>
      <c r="K409">
        <v>13.3506</v>
      </c>
    </row>
    <row r="410" spans="1:11" x14ac:dyDescent="0.25">
      <c r="A410">
        <v>2025</v>
      </c>
      <c r="B410" s="31" t="s">
        <v>115</v>
      </c>
      <c r="C410" s="31" t="s">
        <v>13</v>
      </c>
      <c r="D410" s="32">
        <v>1</v>
      </c>
      <c r="E410" s="36">
        <v>18</v>
      </c>
      <c r="F410" s="36">
        <v>2</v>
      </c>
      <c r="G410" s="32">
        <v>22</v>
      </c>
      <c r="H410" s="31" t="s">
        <v>28</v>
      </c>
      <c r="I410" s="12">
        <v>58.7</v>
      </c>
      <c r="J410">
        <v>71.162409999999994</v>
      </c>
      <c r="K410">
        <v>12.720600000000001</v>
      </c>
    </row>
    <row r="411" spans="1:11" x14ac:dyDescent="0.25">
      <c r="A411">
        <v>2025</v>
      </c>
      <c r="B411" s="31" t="s">
        <v>115</v>
      </c>
      <c r="C411" s="31" t="s">
        <v>13</v>
      </c>
      <c r="D411" s="32">
        <v>2</v>
      </c>
      <c r="E411" s="36">
        <v>1</v>
      </c>
      <c r="F411" s="36">
        <v>3</v>
      </c>
      <c r="G411" s="32">
        <v>22</v>
      </c>
      <c r="H411" s="31" t="s">
        <v>28</v>
      </c>
      <c r="I411" s="12">
        <v>59</v>
      </c>
      <c r="J411">
        <v>71.572050000000004</v>
      </c>
      <c r="K411">
        <v>12.810600000000001</v>
      </c>
    </row>
    <row r="412" spans="1:11" x14ac:dyDescent="0.25">
      <c r="A412">
        <v>2025</v>
      </c>
      <c r="B412" s="31" t="s">
        <v>115</v>
      </c>
      <c r="C412" s="31" t="s">
        <v>13</v>
      </c>
      <c r="D412" s="32">
        <v>3</v>
      </c>
      <c r="E412" s="36">
        <v>7</v>
      </c>
      <c r="F412" s="36">
        <v>5</v>
      </c>
      <c r="G412" s="32">
        <v>22</v>
      </c>
      <c r="H412" s="31" t="s">
        <v>28</v>
      </c>
      <c r="I412" s="12">
        <v>58.7</v>
      </c>
      <c r="J412">
        <v>61.910199999999989</v>
      </c>
      <c r="K412">
        <v>13.530600000000002</v>
      </c>
    </row>
    <row r="413" spans="1:11" x14ac:dyDescent="0.25">
      <c r="A413">
        <v>2025</v>
      </c>
      <c r="B413" s="31" t="s">
        <v>115</v>
      </c>
      <c r="C413" s="31" t="s">
        <v>13</v>
      </c>
      <c r="D413" s="32">
        <v>1</v>
      </c>
      <c r="E413" s="36">
        <v>18</v>
      </c>
      <c r="F413" s="36">
        <v>1</v>
      </c>
      <c r="G413" s="32">
        <v>18</v>
      </c>
      <c r="H413" s="31" t="s">
        <v>29</v>
      </c>
      <c r="I413" s="12">
        <v>57.8</v>
      </c>
      <c r="J413">
        <v>54.973379999999992</v>
      </c>
      <c r="K413">
        <v>14.4306</v>
      </c>
    </row>
    <row r="414" spans="1:11" x14ac:dyDescent="0.25">
      <c r="A414">
        <v>2025</v>
      </c>
      <c r="B414" s="31" t="s">
        <v>115</v>
      </c>
      <c r="C414" s="31" t="s">
        <v>13</v>
      </c>
      <c r="D414" s="32">
        <v>2</v>
      </c>
      <c r="E414" s="36">
        <v>6</v>
      </c>
      <c r="F414" s="36">
        <v>4</v>
      </c>
      <c r="G414" s="32">
        <v>18</v>
      </c>
      <c r="H414" s="31" t="s">
        <v>29</v>
      </c>
      <c r="I414" s="12">
        <v>56.9</v>
      </c>
      <c r="J414">
        <v>64.671749999999989</v>
      </c>
      <c r="K414">
        <v>14.070600000000001</v>
      </c>
    </row>
    <row r="415" spans="1:11" x14ac:dyDescent="0.25">
      <c r="A415">
        <v>2025</v>
      </c>
      <c r="B415" s="31" t="s">
        <v>115</v>
      </c>
      <c r="C415" s="31" t="s">
        <v>13</v>
      </c>
      <c r="D415" s="32">
        <v>3</v>
      </c>
      <c r="E415" s="36">
        <v>14</v>
      </c>
      <c r="F415" s="36">
        <v>6</v>
      </c>
      <c r="G415" s="32">
        <v>18</v>
      </c>
      <c r="H415" s="31" t="s">
        <v>29</v>
      </c>
      <c r="I415" s="12">
        <v>56.9</v>
      </c>
      <c r="J415">
        <v>59.245339999999992</v>
      </c>
      <c r="K415">
        <v>14.5206</v>
      </c>
    </row>
    <row r="416" spans="1:11" x14ac:dyDescent="0.25">
      <c r="A416">
        <v>2025</v>
      </c>
      <c r="B416" s="31" t="s">
        <v>115</v>
      </c>
      <c r="C416" s="31" t="s">
        <v>13</v>
      </c>
      <c r="D416" s="32">
        <v>1</v>
      </c>
      <c r="E416" s="36">
        <v>1</v>
      </c>
      <c r="F416" s="36">
        <v>1</v>
      </c>
      <c r="G416" s="32">
        <v>14</v>
      </c>
      <c r="H416" s="31" t="s">
        <v>30</v>
      </c>
      <c r="I416" s="12">
        <v>58.9</v>
      </c>
      <c r="J416">
        <v>76.619784999999993</v>
      </c>
      <c r="K416">
        <v>12.720600000000001</v>
      </c>
    </row>
    <row r="417" spans="1:11" x14ac:dyDescent="0.25">
      <c r="A417">
        <v>2025</v>
      </c>
      <c r="B417" s="31" t="s">
        <v>115</v>
      </c>
      <c r="C417" s="31" t="s">
        <v>13</v>
      </c>
      <c r="D417" s="32">
        <v>2</v>
      </c>
      <c r="E417" s="36">
        <v>8</v>
      </c>
      <c r="F417" s="36">
        <v>4</v>
      </c>
      <c r="G417" s="32">
        <v>14</v>
      </c>
      <c r="H417" s="31" t="s">
        <v>30</v>
      </c>
      <c r="I417" s="12">
        <v>58.4</v>
      </c>
      <c r="J417">
        <v>72.672600000000003</v>
      </c>
      <c r="K417">
        <v>14.070600000000001</v>
      </c>
    </row>
    <row r="418" spans="1:11" x14ac:dyDescent="0.25">
      <c r="A418">
        <v>2025</v>
      </c>
      <c r="B418" s="31" t="s">
        <v>115</v>
      </c>
      <c r="C418" s="31" t="s">
        <v>13</v>
      </c>
      <c r="D418" s="32">
        <v>3</v>
      </c>
      <c r="E418" s="36">
        <v>9</v>
      </c>
      <c r="F418" s="36">
        <v>5</v>
      </c>
      <c r="G418" s="32">
        <v>14</v>
      </c>
      <c r="H418" s="31" t="s">
        <v>30</v>
      </c>
      <c r="I418" s="12">
        <v>59</v>
      </c>
      <c r="J418">
        <v>76.070279999999997</v>
      </c>
      <c r="K418">
        <v>13.2606</v>
      </c>
    </row>
    <row r="419" spans="1:11" x14ac:dyDescent="0.25">
      <c r="A419">
        <v>2025</v>
      </c>
      <c r="B419" s="31" t="s">
        <v>115</v>
      </c>
      <c r="C419" s="31" t="s">
        <v>13</v>
      </c>
      <c r="D419" s="32">
        <v>1</v>
      </c>
      <c r="E419" s="36">
        <v>19</v>
      </c>
      <c r="F419" s="36">
        <v>1</v>
      </c>
      <c r="G419" s="32">
        <v>15</v>
      </c>
      <c r="H419" s="31" t="s">
        <v>31</v>
      </c>
      <c r="I419" s="12">
        <v>56.9</v>
      </c>
      <c r="J419">
        <v>72.779849999999982</v>
      </c>
      <c r="K419">
        <v>13.800599999999999</v>
      </c>
    </row>
    <row r="420" spans="1:11" x14ac:dyDescent="0.25">
      <c r="A420">
        <v>2025</v>
      </c>
      <c r="B420" s="31" t="s">
        <v>115</v>
      </c>
      <c r="C420" s="31" t="s">
        <v>13</v>
      </c>
      <c r="D420" s="32">
        <v>2</v>
      </c>
      <c r="E420" s="36">
        <v>13</v>
      </c>
      <c r="F420" s="36">
        <v>4</v>
      </c>
      <c r="G420" s="32">
        <v>15</v>
      </c>
      <c r="H420" s="31" t="s">
        <v>31</v>
      </c>
      <c r="I420" s="12">
        <v>56.2</v>
      </c>
      <c r="J420">
        <v>68.777005000000003</v>
      </c>
      <c r="K420">
        <v>13.800599999999999</v>
      </c>
    </row>
    <row r="421" spans="1:11" x14ac:dyDescent="0.25">
      <c r="A421">
        <v>2025</v>
      </c>
      <c r="B421" s="31" t="s">
        <v>115</v>
      </c>
      <c r="C421" s="31" t="s">
        <v>13</v>
      </c>
      <c r="D421" s="32">
        <v>3</v>
      </c>
      <c r="E421" s="36">
        <v>14</v>
      </c>
      <c r="F421" s="36">
        <v>5</v>
      </c>
      <c r="G421" s="32">
        <v>15</v>
      </c>
      <c r="H421" s="31" t="s">
        <v>31</v>
      </c>
      <c r="I421" s="12">
        <v>56.9</v>
      </c>
      <c r="J421">
        <v>61.942649999999986</v>
      </c>
      <c r="K421">
        <v>13.530600000000002</v>
      </c>
    </row>
    <row r="422" spans="1:11" x14ac:dyDescent="0.25">
      <c r="A422">
        <v>2025</v>
      </c>
      <c r="B422" s="31" t="s">
        <v>115</v>
      </c>
      <c r="C422" s="31" t="s">
        <v>13</v>
      </c>
      <c r="D422" s="32">
        <v>1</v>
      </c>
      <c r="E422" s="36">
        <v>4</v>
      </c>
      <c r="F422" s="36">
        <v>1</v>
      </c>
      <c r="G422" s="32">
        <v>16</v>
      </c>
      <c r="H422" s="31" t="s">
        <v>32</v>
      </c>
      <c r="I422" s="12">
        <v>60.3</v>
      </c>
      <c r="J422">
        <v>70.808319999999981</v>
      </c>
      <c r="K422">
        <v>12.900600000000001</v>
      </c>
    </row>
    <row r="423" spans="1:11" x14ac:dyDescent="0.25">
      <c r="A423">
        <v>2025</v>
      </c>
      <c r="B423" s="31" t="s">
        <v>115</v>
      </c>
      <c r="C423" s="31" t="s">
        <v>13</v>
      </c>
      <c r="D423" s="32">
        <v>2</v>
      </c>
      <c r="E423" s="36">
        <v>19</v>
      </c>
      <c r="F423" s="36">
        <v>3</v>
      </c>
      <c r="G423" s="32">
        <v>16</v>
      </c>
      <c r="H423" s="31" t="s">
        <v>32</v>
      </c>
      <c r="I423" s="12">
        <v>60.4</v>
      </c>
      <c r="J423">
        <v>77.614845000000003</v>
      </c>
      <c r="K423">
        <v>11.640599999999999</v>
      </c>
    </row>
    <row r="424" spans="1:11" x14ac:dyDescent="0.25">
      <c r="A424">
        <v>2025</v>
      </c>
      <c r="B424" s="31" t="s">
        <v>115</v>
      </c>
      <c r="C424" s="31" t="s">
        <v>13</v>
      </c>
      <c r="D424" s="32">
        <v>3</v>
      </c>
      <c r="E424" s="36">
        <v>17</v>
      </c>
      <c r="F424" s="36">
        <v>5</v>
      </c>
      <c r="G424" s="32">
        <v>16</v>
      </c>
      <c r="H424" s="31" t="s">
        <v>32</v>
      </c>
      <c r="I424" s="12">
        <v>59.3</v>
      </c>
      <c r="J424">
        <v>66.267299999999992</v>
      </c>
      <c r="K424">
        <v>13.1706</v>
      </c>
    </row>
    <row r="425" spans="1:11" x14ac:dyDescent="0.25">
      <c r="A425">
        <v>2025</v>
      </c>
      <c r="B425" s="31" t="s">
        <v>115</v>
      </c>
      <c r="C425" s="31" t="s">
        <v>13</v>
      </c>
      <c r="D425" s="32">
        <v>1</v>
      </c>
      <c r="E425" s="36">
        <v>20</v>
      </c>
      <c r="F425" s="36">
        <v>1</v>
      </c>
      <c r="G425" s="32">
        <v>11</v>
      </c>
      <c r="H425" s="31" t="s">
        <v>90</v>
      </c>
      <c r="I425" s="12">
        <v>59.7</v>
      </c>
      <c r="J425">
        <v>74.686700000000002</v>
      </c>
      <c r="K425">
        <v>13.620600000000001</v>
      </c>
    </row>
    <row r="426" spans="1:11" x14ac:dyDescent="0.25">
      <c r="A426">
        <v>2025</v>
      </c>
      <c r="B426" s="31" t="s">
        <v>115</v>
      </c>
      <c r="C426" s="31" t="s">
        <v>13</v>
      </c>
      <c r="D426" s="32">
        <v>2</v>
      </c>
      <c r="E426" s="36">
        <v>3</v>
      </c>
      <c r="F426" s="36">
        <v>4</v>
      </c>
      <c r="G426" s="32">
        <v>11</v>
      </c>
      <c r="H426" s="31" t="s">
        <v>90</v>
      </c>
      <c r="I426" s="12">
        <v>59.1</v>
      </c>
      <c r="J426">
        <v>70.16069499999999</v>
      </c>
      <c r="K426">
        <v>12.990599999999999</v>
      </c>
    </row>
    <row r="427" spans="1:11" x14ac:dyDescent="0.25">
      <c r="A427">
        <v>2025</v>
      </c>
      <c r="B427" s="31" t="s">
        <v>115</v>
      </c>
      <c r="C427" s="31" t="s">
        <v>13</v>
      </c>
      <c r="D427" s="32">
        <v>3</v>
      </c>
      <c r="E427" s="36">
        <v>11</v>
      </c>
      <c r="F427" s="36">
        <v>6</v>
      </c>
      <c r="G427" s="32">
        <v>11</v>
      </c>
      <c r="H427" s="31" t="s">
        <v>90</v>
      </c>
      <c r="I427" s="12">
        <v>58.9</v>
      </c>
      <c r="J427">
        <v>68.628559999999993</v>
      </c>
      <c r="K427">
        <v>13.620600000000001</v>
      </c>
    </row>
    <row r="428" spans="1:11" x14ac:dyDescent="0.25">
      <c r="A428">
        <v>2025</v>
      </c>
      <c r="B428" s="31" t="s">
        <v>115</v>
      </c>
      <c r="C428" s="31" t="s">
        <v>13</v>
      </c>
      <c r="D428" s="32">
        <v>1</v>
      </c>
      <c r="E428" s="36">
        <v>4</v>
      </c>
      <c r="F428" s="36">
        <v>2</v>
      </c>
      <c r="G428" s="32">
        <v>1</v>
      </c>
      <c r="H428" s="31" t="s">
        <v>120</v>
      </c>
      <c r="I428" s="12">
        <v>57.9</v>
      </c>
      <c r="J428">
        <v>70.231754999999993</v>
      </c>
      <c r="K428">
        <v>13.0806</v>
      </c>
    </row>
    <row r="429" spans="1:11" x14ac:dyDescent="0.25">
      <c r="A429">
        <v>2025</v>
      </c>
      <c r="B429" s="31" t="s">
        <v>115</v>
      </c>
      <c r="C429" s="31" t="s">
        <v>13</v>
      </c>
      <c r="D429" s="32">
        <v>2</v>
      </c>
      <c r="E429" s="36">
        <v>10</v>
      </c>
      <c r="F429" s="36">
        <v>4</v>
      </c>
      <c r="G429" s="32">
        <v>1</v>
      </c>
      <c r="H429" s="31" t="s">
        <v>120</v>
      </c>
      <c r="I429" s="12">
        <v>57.1</v>
      </c>
      <c r="J429">
        <v>68.552494999999993</v>
      </c>
      <c r="K429">
        <v>13.3506</v>
      </c>
    </row>
    <row r="430" spans="1:11" x14ac:dyDescent="0.25">
      <c r="A430">
        <v>2025</v>
      </c>
      <c r="B430" s="31" t="s">
        <v>115</v>
      </c>
      <c r="C430" s="31" t="s">
        <v>13</v>
      </c>
      <c r="D430" s="32">
        <v>3</v>
      </c>
      <c r="E430" s="36">
        <v>5</v>
      </c>
      <c r="F430" s="36">
        <v>5</v>
      </c>
      <c r="G430" s="32">
        <v>1</v>
      </c>
      <c r="H430" s="31" t="s">
        <v>120</v>
      </c>
      <c r="I430" s="12">
        <v>57.6</v>
      </c>
      <c r="J430">
        <v>61.182274999999997</v>
      </c>
      <c r="K430">
        <v>13.710599999999999</v>
      </c>
    </row>
    <row r="431" spans="1:11" x14ac:dyDescent="0.25">
      <c r="A431">
        <v>2025</v>
      </c>
      <c r="B431" s="31" t="s">
        <v>115</v>
      </c>
      <c r="C431" s="31" t="s">
        <v>13</v>
      </c>
      <c r="D431" s="32">
        <v>1</v>
      </c>
      <c r="E431" s="36">
        <v>12</v>
      </c>
      <c r="F431" s="36">
        <v>1</v>
      </c>
      <c r="G431" s="32">
        <v>17</v>
      </c>
      <c r="H431" s="31" t="s">
        <v>33</v>
      </c>
      <c r="I431" s="12">
        <v>58.6</v>
      </c>
      <c r="J431">
        <v>83.865704999999991</v>
      </c>
      <c r="K431">
        <v>11.460599999999999</v>
      </c>
    </row>
    <row r="432" spans="1:11" x14ac:dyDescent="0.25">
      <c r="A432">
        <v>2025</v>
      </c>
      <c r="B432" s="31" t="s">
        <v>115</v>
      </c>
      <c r="C432" s="31" t="s">
        <v>13</v>
      </c>
      <c r="D432" s="32">
        <v>2</v>
      </c>
      <c r="E432" s="36">
        <v>10</v>
      </c>
      <c r="F432" s="36">
        <v>3</v>
      </c>
      <c r="G432" s="32">
        <v>17</v>
      </c>
      <c r="H432" s="31" t="s">
        <v>33</v>
      </c>
      <c r="I432" s="12">
        <v>58.5</v>
      </c>
      <c r="J432">
        <v>82.492409999999992</v>
      </c>
      <c r="K432">
        <v>12.4506</v>
      </c>
    </row>
    <row r="433" spans="1:11" x14ac:dyDescent="0.25">
      <c r="A433">
        <v>2025</v>
      </c>
      <c r="B433" s="31" t="s">
        <v>115</v>
      </c>
      <c r="C433" s="31" t="s">
        <v>13</v>
      </c>
      <c r="D433" s="32">
        <v>3</v>
      </c>
      <c r="E433" s="36">
        <v>19</v>
      </c>
      <c r="F433" s="36">
        <v>5</v>
      </c>
      <c r="G433" s="32">
        <v>17</v>
      </c>
      <c r="H433" s="31" t="s">
        <v>33</v>
      </c>
      <c r="I433" s="12">
        <v>57.6</v>
      </c>
      <c r="J433">
        <v>60.238859999999988</v>
      </c>
      <c r="K433">
        <v>13.1706</v>
      </c>
    </row>
    <row r="434" spans="1:11" x14ac:dyDescent="0.25">
      <c r="A434">
        <v>2025</v>
      </c>
      <c r="B434" s="31" t="s">
        <v>115</v>
      </c>
      <c r="C434" s="31" t="s">
        <v>13</v>
      </c>
      <c r="D434" s="32">
        <v>1</v>
      </c>
      <c r="E434" s="36">
        <v>17</v>
      </c>
      <c r="F434" s="36">
        <v>2</v>
      </c>
      <c r="G434" s="32">
        <v>12</v>
      </c>
      <c r="H434" s="31" t="s">
        <v>92</v>
      </c>
      <c r="I434" s="12">
        <v>58.3</v>
      </c>
      <c r="J434">
        <v>69.254019999999983</v>
      </c>
      <c r="K434">
        <v>13.2606</v>
      </c>
    </row>
    <row r="435" spans="1:11" x14ac:dyDescent="0.25">
      <c r="A435">
        <v>2025</v>
      </c>
      <c r="B435" s="31" t="s">
        <v>115</v>
      </c>
      <c r="C435" s="31" t="s">
        <v>13</v>
      </c>
      <c r="D435" s="32">
        <v>2</v>
      </c>
      <c r="E435" s="36">
        <v>2</v>
      </c>
      <c r="F435" s="36">
        <v>4</v>
      </c>
      <c r="G435" s="32">
        <v>12</v>
      </c>
      <c r="H435" s="31" t="s">
        <v>92</v>
      </c>
      <c r="I435" s="12">
        <v>57.6</v>
      </c>
      <c r="J435">
        <v>60.567044999999986</v>
      </c>
      <c r="K435">
        <v>14.4306</v>
      </c>
    </row>
    <row r="436" spans="1:11" x14ac:dyDescent="0.25">
      <c r="A436">
        <v>2025</v>
      </c>
      <c r="B436" s="31" t="s">
        <v>115</v>
      </c>
      <c r="C436" s="31" t="s">
        <v>13</v>
      </c>
      <c r="D436" s="32">
        <v>3</v>
      </c>
      <c r="E436" s="36">
        <v>1</v>
      </c>
      <c r="F436" s="36">
        <v>6</v>
      </c>
      <c r="G436" s="32">
        <v>12</v>
      </c>
      <c r="H436" s="31" t="s">
        <v>92</v>
      </c>
      <c r="I436" s="12">
        <v>57.9</v>
      </c>
      <c r="J436">
        <v>53.099199999999996</v>
      </c>
      <c r="K436">
        <v>14.3406</v>
      </c>
    </row>
    <row r="437" spans="1:11" x14ac:dyDescent="0.25">
      <c r="A437">
        <v>2025</v>
      </c>
      <c r="B437" s="31" t="s">
        <v>115</v>
      </c>
      <c r="C437" s="31" t="s">
        <v>13</v>
      </c>
      <c r="D437" s="32">
        <v>1</v>
      </c>
      <c r="E437" s="36">
        <v>17</v>
      </c>
      <c r="F437" s="36">
        <v>1</v>
      </c>
      <c r="G437" s="32">
        <v>13</v>
      </c>
      <c r="H437" s="31" t="s">
        <v>93</v>
      </c>
      <c r="I437" s="12">
        <v>57.2</v>
      </c>
      <c r="J437">
        <v>65.387520000000009</v>
      </c>
      <c r="K437">
        <v>13.890599999999999</v>
      </c>
    </row>
    <row r="438" spans="1:11" x14ac:dyDescent="0.25">
      <c r="A438">
        <v>2025</v>
      </c>
      <c r="B438" s="31" t="s">
        <v>115</v>
      </c>
      <c r="C438" s="31" t="s">
        <v>13</v>
      </c>
      <c r="D438" s="32">
        <v>2</v>
      </c>
      <c r="E438" s="36">
        <v>2</v>
      </c>
      <c r="F438" s="36">
        <v>3</v>
      </c>
      <c r="G438" s="32">
        <v>13</v>
      </c>
      <c r="H438" s="31" t="s">
        <v>93</v>
      </c>
      <c r="I438" s="12">
        <v>57.6</v>
      </c>
      <c r="J438">
        <v>78.011559999999989</v>
      </c>
      <c r="K438">
        <v>13.530600000000002</v>
      </c>
    </row>
    <row r="439" spans="1:11" x14ac:dyDescent="0.25">
      <c r="A439">
        <v>2025</v>
      </c>
      <c r="B439" s="31" t="s">
        <v>115</v>
      </c>
      <c r="C439" s="31" t="s">
        <v>13</v>
      </c>
      <c r="D439" s="32">
        <v>3</v>
      </c>
      <c r="E439" s="36">
        <v>12</v>
      </c>
      <c r="F439" s="36">
        <v>6</v>
      </c>
      <c r="G439" s="32">
        <v>13</v>
      </c>
      <c r="H439" s="31" t="s">
        <v>93</v>
      </c>
      <c r="I439" s="12">
        <v>57.2</v>
      </c>
      <c r="J439">
        <v>68.047979999999981</v>
      </c>
      <c r="K439">
        <v>14.070600000000001</v>
      </c>
    </row>
    <row r="440" spans="1:11" x14ac:dyDescent="0.25">
      <c r="A440">
        <v>2025</v>
      </c>
      <c r="B440" s="31" t="s">
        <v>115</v>
      </c>
      <c r="C440" s="31" t="s">
        <v>13</v>
      </c>
      <c r="D440" s="32">
        <v>1</v>
      </c>
      <c r="E440" s="36">
        <v>8</v>
      </c>
      <c r="F440" s="36">
        <v>1</v>
      </c>
      <c r="G440" s="32">
        <v>2</v>
      </c>
      <c r="H440" s="31" t="s">
        <v>126</v>
      </c>
      <c r="I440" s="12">
        <v>57.6</v>
      </c>
      <c r="J440">
        <v>73.72475</v>
      </c>
      <c r="K440">
        <v>12.900600000000001</v>
      </c>
    </row>
    <row r="441" spans="1:11" x14ac:dyDescent="0.25">
      <c r="A441">
        <v>2025</v>
      </c>
      <c r="B441" s="31" t="s">
        <v>115</v>
      </c>
      <c r="C441" s="31" t="s">
        <v>13</v>
      </c>
      <c r="D441" s="32">
        <v>2</v>
      </c>
      <c r="E441" s="36">
        <v>13</v>
      </c>
      <c r="F441" s="36">
        <v>3</v>
      </c>
      <c r="G441" s="32">
        <v>2</v>
      </c>
      <c r="H441" s="31" t="s">
        <v>126</v>
      </c>
      <c r="I441" s="12">
        <v>58.9</v>
      </c>
      <c r="J441">
        <v>81.259200000000007</v>
      </c>
      <c r="K441">
        <v>13.0806</v>
      </c>
    </row>
    <row r="442" spans="1:11" x14ac:dyDescent="0.25">
      <c r="A442">
        <v>2025</v>
      </c>
      <c r="B442" s="31" t="s">
        <v>115</v>
      </c>
      <c r="C442" s="31" t="s">
        <v>13</v>
      </c>
      <c r="D442" s="32">
        <v>3</v>
      </c>
      <c r="E442" s="36">
        <v>3</v>
      </c>
      <c r="F442" s="36">
        <v>6</v>
      </c>
      <c r="G442" s="32">
        <v>2</v>
      </c>
      <c r="H442" s="31" t="s">
        <v>126</v>
      </c>
      <c r="I442" s="12">
        <v>57.6</v>
      </c>
      <c r="J442">
        <v>59.835380000000001</v>
      </c>
      <c r="K442">
        <v>13.530600000000002</v>
      </c>
    </row>
    <row r="443" spans="1:11" x14ac:dyDescent="0.25">
      <c r="A443">
        <v>2025</v>
      </c>
      <c r="B443" s="31" t="s">
        <v>115</v>
      </c>
      <c r="C443" s="31" t="s">
        <v>13</v>
      </c>
      <c r="D443" s="32">
        <v>1</v>
      </c>
      <c r="E443" s="36">
        <v>13</v>
      </c>
      <c r="F443" s="36">
        <v>1</v>
      </c>
      <c r="G443" s="32">
        <v>9</v>
      </c>
      <c r="H443" s="31" t="s">
        <v>94</v>
      </c>
      <c r="I443" s="12">
        <v>55.6</v>
      </c>
      <c r="J443">
        <v>68.363514999999992</v>
      </c>
      <c r="K443">
        <v>14.160600000000001</v>
      </c>
    </row>
    <row r="444" spans="1:11" x14ac:dyDescent="0.25">
      <c r="A444">
        <v>2025</v>
      </c>
      <c r="B444" s="31" t="s">
        <v>115</v>
      </c>
      <c r="C444" s="31" t="s">
        <v>13</v>
      </c>
      <c r="D444" s="32">
        <v>2</v>
      </c>
      <c r="E444" s="36">
        <v>20</v>
      </c>
      <c r="F444" s="36">
        <v>4</v>
      </c>
      <c r="G444" s="32">
        <v>9</v>
      </c>
      <c r="H444" s="31" t="s">
        <v>94</v>
      </c>
      <c r="I444" s="12">
        <v>55.2</v>
      </c>
      <c r="J444">
        <v>63.861270000000005</v>
      </c>
      <c r="K444">
        <v>15.150600000000001</v>
      </c>
    </row>
    <row r="445" spans="1:11" x14ac:dyDescent="0.25">
      <c r="A445">
        <v>2025</v>
      </c>
      <c r="B445" s="31" t="s">
        <v>115</v>
      </c>
      <c r="C445" s="31" t="s">
        <v>13</v>
      </c>
      <c r="D445" s="32">
        <v>3</v>
      </c>
      <c r="E445" s="36">
        <v>17</v>
      </c>
      <c r="F445" s="36">
        <v>6</v>
      </c>
      <c r="G445" s="32">
        <v>9</v>
      </c>
      <c r="H445" s="31" t="s">
        <v>94</v>
      </c>
      <c r="I445" s="12">
        <v>54.8</v>
      </c>
      <c r="J445">
        <v>63.512624999999986</v>
      </c>
      <c r="K445">
        <v>15.240600000000001</v>
      </c>
    </row>
    <row r="446" spans="1:11" x14ac:dyDescent="0.25">
      <c r="A446">
        <v>2025</v>
      </c>
      <c r="B446" s="31" t="s">
        <v>115</v>
      </c>
      <c r="C446" s="31" t="s">
        <v>13</v>
      </c>
      <c r="D446" s="32">
        <v>1</v>
      </c>
      <c r="E446" s="36">
        <v>5</v>
      </c>
      <c r="F446" s="36">
        <v>2</v>
      </c>
      <c r="G446" s="32">
        <v>3</v>
      </c>
      <c r="H446" s="31" t="s">
        <v>122</v>
      </c>
      <c r="I446" s="12">
        <v>58.7</v>
      </c>
      <c r="J446">
        <v>64.719269999999995</v>
      </c>
      <c r="K446">
        <v>13.4406</v>
      </c>
    </row>
    <row r="447" spans="1:11" x14ac:dyDescent="0.25">
      <c r="A447">
        <v>2025</v>
      </c>
      <c r="B447" s="31" t="s">
        <v>115</v>
      </c>
      <c r="C447" s="31" t="s">
        <v>13</v>
      </c>
      <c r="D447" s="32">
        <v>2</v>
      </c>
      <c r="E447" s="36">
        <v>15</v>
      </c>
      <c r="F447" s="36">
        <v>3</v>
      </c>
      <c r="G447" s="32">
        <v>3</v>
      </c>
      <c r="H447" s="31" t="s">
        <v>122</v>
      </c>
      <c r="I447" s="12">
        <v>58.5</v>
      </c>
      <c r="J447">
        <v>69.90120499999999</v>
      </c>
      <c r="K447">
        <v>14.070600000000001</v>
      </c>
    </row>
    <row r="448" spans="1:11" x14ac:dyDescent="0.25">
      <c r="A448">
        <v>2025</v>
      </c>
      <c r="B448" s="31" t="s">
        <v>115</v>
      </c>
      <c r="C448" s="31" t="s">
        <v>13</v>
      </c>
      <c r="D448" s="32">
        <v>3</v>
      </c>
      <c r="E448" s="36">
        <v>20</v>
      </c>
      <c r="F448" s="36">
        <v>6</v>
      </c>
      <c r="G448" s="32">
        <v>3</v>
      </c>
      <c r="H448" s="31" t="s">
        <v>122</v>
      </c>
      <c r="I448" s="12">
        <v>58.5</v>
      </c>
      <c r="J448">
        <v>68.595559999999992</v>
      </c>
      <c r="K448">
        <v>13.800599999999999</v>
      </c>
    </row>
    <row r="449" spans="1:11" x14ac:dyDescent="0.25">
      <c r="A449">
        <v>2025</v>
      </c>
      <c r="B449" s="31" t="s">
        <v>115</v>
      </c>
      <c r="C449" s="31" t="s">
        <v>13</v>
      </c>
      <c r="D449" s="32">
        <v>1</v>
      </c>
      <c r="E449" s="36">
        <v>3</v>
      </c>
      <c r="F449" s="36">
        <v>2</v>
      </c>
      <c r="G449" s="32">
        <v>10</v>
      </c>
      <c r="H449" s="31" t="s">
        <v>91</v>
      </c>
      <c r="I449" s="12">
        <v>54.4</v>
      </c>
      <c r="J449">
        <v>54.89528</v>
      </c>
      <c r="K449">
        <v>14.7006</v>
      </c>
    </row>
    <row r="450" spans="1:11" x14ac:dyDescent="0.25">
      <c r="A450">
        <v>2025</v>
      </c>
      <c r="B450" s="31" t="s">
        <v>115</v>
      </c>
      <c r="C450" s="31" t="s">
        <v>13</v>
      </c>
      <c r="D450" s="32">
        <v>2</v>
      </c>
      <c r="E450" s="36">
        <v>6</v>
      </c>
      <c r="F450" s="36">
        <v>3</v>
      </c>
      <c r="G450" s="32">
        <v>10</v>
      </c>
      <c r="H450" s="31" t="s">
        <v>91</v>
      </c>
      <c r="I450" s="12">
        <v>53.4</v>
      </c>
      <c r="J450">
        <v>59.206729999999986</v>
      </c>
      <c r="K450">
        <v>15.240600000000001</v>
      </c>
    </row>
    <row r="451" spans="1:11" x14ac:dyDescent="0.25">
      <c r="A451">
        <v>2025</v>
      </c>
      <c r="B451" s="31" t="s">
        <v>115</v>
      </c>
      <c r="C451" s="31" t="s">
        <v>13</v>
      </c>
      <c r="D451" s="32">
        <v>3</v>
      </c>
      <c r="E451" s="36">
        <v>12</v>
      </c>
      <c r="F451" s="36">
        <v>5</v>
      </c>
      <c r="G451" s="32">
        <v>10</v>
      </c>
      <c r="H451" s="31" t="s">
        <v>91</v>
      </c>
      <c r="I451" s="12">
        <v>54.1</v>
      </c>
      <c r="J451">
        <v>55.525029999999987</v>
      </c>
      <c r="K451">
        <v>15.060600000000003</v>
      </c>
    </row>
    <row r="452" spans="1:11" x14ac:dyDescent="0.25">
      <c r="A452">
        <v>2025</v>
      </c>
      <c r="B452" s="31" t="s">
        <v>115</v>
      </c>
      <c r="C452" s="31" t="s">
        <v>13</v>
      </c>
      <c r="D452" s="32">
        <v>1</v>
      </c>
      <c r="E452" s="36">
        <v>9</v>
      </c>
      <c r="F452" s="36">
        <v>1</v>
      </c>
      <c r="G452" s="32">
        <v>4</v>
      </c>
      <c r="H452" s="31" t="s">
        <v>117</v>
      </c>
      <c r="I452" s="12">
        <v>57</v>
      </c>
      <c r="J452">
        <v>74.826729999999998</v>
      </c>
      <c r="K452">
        <v>12.900600000000001</v>
      </c>
    </row>
    <row r="453" spans="1:11" x14ac:dyDescent="0.25">
      <c r="A453">
        <v>2025</v>
      </c>
      <c r="B453" s="31" t="s">
        <v>115</v>
      </c>
      <c r="C453" s="31" t="s">
        <v>13</v>
      </c>
      <c r="D453" s="32">
        <v>2</v>
      </c>
      <c r="E453" s="36">
        <v>7</v>
      </c>
      <c r="F453" s="36">
        <v>3</v>
      </c>
      <c r="G453" s="32">
        <v>4</v>
      </c>
      <c r="H453" s="31" t="s">
        <v>117</v>
      </c>
      <c r="I453" s="12">
        <v>56.1</v>
      </c>
      <c r="J453">
        <v>67.366199999999992</v>
      </c>
      <c r="K453">
        <v>13.2606</v>
      </c>
    </row>
    <row r="454" spans="1:11" x14ac:dyDescent="0.25">
      <c r="A454">
        <v>2025</v>
      </c>
      <c r="B454" s="31" t="s">
        <v>115</v>
      </c>
      <c r="C454" s="31" t="s">
        <v>13</v>
      </c>
      <c r="D454" s="32">
        <v>3</v>
      </c>
      <c r="E454" s="36">
        <v>2</v>
      </c>
      <c r="F454" s="36">
        <v>6</v>
      </c>
      <c r="G454" s="32">
        <v>4</v>
      </c>
      <c r="H454" s="31" t="s">
        <v>117</v>
      </c>
      <c r="I454" s="12">
        <v>55.1</v>
      </c>
      <c r="J454">
        <v>58.226300000000009</v>
      </c>
      <c r="K454">
        <v>13.980600000000001</v>
      </c>
    </row>
    <row r="455" spans="1:11" x14ac:dyDescent="0.25">
      <c r="A455">
        <v>2025</v>
      </c>
      <c r="B455" s="31" t="s">
        <v>115</v>
      </c>
      <c r="C455" s="31" t="s">
        <v>13</v>
      </c>
      <c r="D455" s="32">
        <v>1</v>
      </c>
      <c r="E455" s="36">
        <v>10</v>
      </c>
      <c r="F455" s="36">
        <v>1</v>
      </c>
      <c r="G455" s="32">
        <v>5</v>
      </c>
      <c r="H455" s="31" t="s">
        <v>128</v>
      </c>
      <c r="I455" s="12">
        <v>57.4</v>
      </c>
      <c r="J455">
        <v>76.936859999999996</v>
      </c>
      <c r="K455">
        <v>13.0806</v>
      </c>
    </row>
    <row r="456" spans="1:11" x14ac:dyDescent="0.25">
      <c r="A456">
        <v>2025</v>
      </c>
      <c r="B456" s="31" t="s">
        <v>115</v>
      </c>
      <c r="C456" s="31" t="s">
        <v>13</v>
      </c>
      <c r="D456" s="32">
        <v>2</v>
      </c>
      <c r="E456" s="36">
        <v>20</v>
      </c>
      <c r="F456" s="36">
        <v>3</v>
      </c>
      <c r="G456" s="32">
        <v>5</v>
      </c>
      <c r="H456" s="31" t="s">
        <v>128</v>
      </c>
      <c r="I456" s="12">
        <v>57.1</v>
      </c>
      <c r="J456">
        <v>52.842239999999997</v>
      </c>
      <c r="K456">
        <v>13.980600000000001</v>
      </c>
    </row>
    <row r="457" spans="1:11" x14ac:dyDescent="0.25">
      <c r="A457">
        <v>2025</v>
      </c>
      <c r="B457" s="31" t="s">
        <v>115</v>
      </c>
      <c r="C457" s="31" t="s">
        <v>13</v>
      </c>
      <c r="D457" s="32">
        <v>3</v>
      </c>
      <c r="E457" s="36">
        <v>19</v>
      </c>
      <c r="F457" s="36">
        <v>6</v>
      </c>
      <c r="G457" s="32">
        <v>5</v>
      </c>
      <c r="H457" s="31" t="s">
        <v>128</v>
      </c>
      <c r="I457" s="12">
        <v>57.3</v>
      </c>
      <c r="J457">
        <v>67.670459999999991</v>
      </c>
      <c r="K457">
        <v>13.800599999999999</v>
      </c>
    </row>
    <row r="458" spans="1:11" x14ac:dyDescent="0.25">
      <c r="A458">
        <v>2025</v>
      </c>
      <c r="B458" s="31" t="s">
        <v>115</v>
      </c>
      <c r="C458" s="31" t="s">
        <v>13</v>
      </c>
      <c r="D458" s="32">
        <v>1</v>
      </c>
      <c r="E458" s="36">
        <v>2</v>
      </c>
      <c r="F458" s="36">
        <v>1</v>
      </c>
      <c r="G458" s="32">
        <v>6</v>
      </c>
      <c r="H458" s="31" t="s">
        <v>119</v>
      </c>
      <c r="I458" s="12">
        <v>57.6</v>
      </c>
      <c r="J458">
        <v>61.439399999999992</v>
      </c>
      <c r="K458">
        <v>14.970600000000001</v>
      </c>
    </row>
    <row r="459" spans="1:11" x14ac:dyDescent="0.25">
      <c r="A459">
        <v>2025</v>
      </c>
      <c r="B459" s="31" t="s">
        <v>115</v>
      </c>
      <c r="C459" s="31" t="s">
        <v>13</v>
      </c>
      <c r="D459" s="32">
        <v>2</v>
      </c>
      <c r="E459" s="36">
        <v>9</v>
      </c>
      <c r="F459" s="36">
        <v>3</v>
      </c>
      <c r="G459" s="32">
        <v>6</v>
      </c>
      <c r="H459" s="31" t="s">
        <v>119</v>
      </c>
      <c r="I459" s="12">
        <v>58</v>
      </c>
      <c r="J459">
        <v>62.391559999999998</v>
      </c>
      <c r="K459">
        <v>13.890599999999999</v>
      </c>
    </row>
    <row r="460" spans="1:11" x14ac:dyDescent="0.25">
      <c r="A460">
        <v>2025</v>
      </c>
      <c r="B460" s="31" t="s">
        <v>115</v>
      </c>
      <c r="C460" s="31" t="s">
        <v>13</v>
      </c>
      <c r="D460" s="32">
        <v>3</v>
      </c>
      <c r="E460" s="36">
        <v>6</v>
      </c>
      <c r="F460" s="36">
        <v>6</v>
      </c>
      <c r="G460" s="32">
        <v>6</v>
      </c>
      <c r="H460" s="31" t="s">
        <v>119</v>
      </c>
      <c r="I460" s="12">
        <v>57.6</v>
      </c>
      <c r="J460">
        <v>56.618099999999998</v>
      </c>
      <c r="K460">
        <v>14.7006</v>
      </c>
    </row>
    <row r="461" spans="1:11" x14ac:dyDescent="0.25">
      <c r="A461">
        <v>2025</v>
      </c>
      <c r="B461" s="31" t="s">
        <v>115</v>
      </c>
      <c r="C461" s="31" t="s">
        <v>13</v>
      </c>
      <c r="D461" s="32">
        <v>1</v>
      </c>
      <c r="E461" s="36">
        <v>10</v>
      </c>
      <c r="F461" s="36">
        <v>2</v>
      </c>
      <c r="G461" s="32">
        <v>8</v>
      </c>
      <c r="H461" s="31" t="s">
        <v>118</v>
      </c>
      <c r="I461" s="12">
        <v>59</v>
      </c>
      <c r="J461">
        <v>72.662810000000007</v>
      </c>
      <c r="K461">
        <v>12.5406</v>
      </c>
    </row>
    <row r="462" spans="1:11" x14ac:dyDescent="0.25">
      <c r="A462">
        <v>2025</v>
      </c>
      <c r="B462" s="31" t="s">
        <v>115</v>
      </c>
      <c r="C462" s="31" t="s">
        <v>13</v>
      </c>
      <c r="D462" s="32">
        <v>2</v>
      </c>
      <c r="E462" s="36">
        <v>12</v>
      </c>
      <c r="F462" s="36">
        <v>4</v>
      </c>
      <c r="G462" s="32">
        <v>8</v>
      </c>
      <c r="H462" s="31" t="s">
        <v>118</v>
      </c>
      <c r="I462" s="12">
        <v>59.1</v>
      </c>
      <c r="J462">
        <v>72.56832</v>
      </c>
      <c r="K462">
        <v>13.2606</v>
      </c>
    </row>
    <row r="463" spans="1:11" x14ac:dyDescent="0.25">
      <c r="A463">
        <v>2025</v>
      </c>
      <c r="B463" s="31" t="s">
        <v>115</v>
      </c>
      <c r="C463" s="31" t="s">
        <v>13</v>
      </c>
      <c r="D463" s="32">
        <v>3</v>
      </c>
      <c r="E463" s="36">
        <v>4</v>
      </c>
      <c r="F463" s="36">
        <v>6</v>
      </c>
      <c r="G463" s="32">
        <v>8</v>
      </c>
      <c r="H463" s="31" t="s">
        <v>118</v>
      </c>
      <c r="I463" s="12">
        <v>57.2</v>
      </c>
      <c r="J463">
        <v>71.162520000000001</v>
      </c>
      <c r="K463">
        <v>13.3506</v>
      </c>
    </row>
    <row r="464" spans="1:11" x14ac:dyDescent="0.25">
      <c r="A464">
        <v>2025</v>
      </c>
      <c r="B464" s="31" t="s">
        <v>115</v>
      </c>
      <c r="C464" s="31" t="s">
        <v>13</v>
      </c>
      <c r="D464" s="32">
        <v>1</v>
      </c>
      <c r="E464" s="36">
        <v>13</v>
      </c>
      <c r="F464" s="36">
        <v>2</v>
      </c>
      <c r="G464" s="32">
        <v>42</v>
      </c>
      <c r="H464" s="31" t="s">
        <v>34</v>
      </c>
      <c r="I464" s="12">
        <v>58.8</v>
      </c>
      <c r="J464">
        <v>68.127289999999988</v>
      </c>
      <c r="K464">
        <v>13.530600000000002</v>
      </c>
    </row>
    <row r="465" spans="1:11" x14ac:dyDescent="0.25">
      <c r="A465">
        <v>2025</v>
      </c>
      <c r="B465" s="31" t="s">
        <v>115</v>
      </c>
      <c r="C465" s="31" t="s">
        <v>13</v>
      </c>
      <c r="D465" s="32">
        <v>2</v>
      </c>
      <c r="E465" s="36">
        <v>8</v>
      </c>
      <c r="F465" s="36">
        <v>3</v>
      </c>
      <c r="G465" s="32">
        <v>42</v>
      </c>
      <c r="H465" s="31" t="s">
        <v>34</v>
      </c>
      <c r="I465" s="12">
        <v>59.2</v>
      </c>
      <c r="J465">
        <v>70.618019999999987</v>
      </c>
      <c r="K465">
        <v>13.530600000000002</v>
      </c>
    </row>
    <row r="466" spans="1:11" x14ac:dyDescent="0.25">
      <c r="A466">
        <v>2025</v>
      </c>
      <c r="B466" s="31" t="s">
        <v>115</v>
      </c>
      <c r="C466" s="31" t="s">
        <v>13</v>
      </c>
      <c r="D466" s="32">
        <v>3</v>
      </c>
      <c r="E466" s="36">
        <v>2</v>
      </c>
      <c r="F466" s="36">
        <v>5</v>
      </c>
      <c r="G466" s="32">
        <v>42</v>
      </c>
      <c r="H466" s="31" t="s">
        <v>34</v>
      </c>
      <c r="I466" s="12">
        <v>59.3</v>
      </c>
      <c r="J466">
        <v>62.124479999999998</v>
      </c>
      <c r="K466">
        <v>13.710599999999999</v>
      </c>
    </row>
    <row r="467" spans="1:11" x14ac:dyDescent="0.25">
      <c r="A467">
        <v>2025</v>
      </c>
      <c r="B467" s="31" t="s">
        <v>115</v>
      </c>
      <c r="C467" s="31" t="s">
        <v>13</v>
      </c>
      <c r="D467" s="32">
        <v>1</v>
      </c>
      <c r="E467" s="36">
        <v>15</v>
      </c>
      <c r="F467" s="36">
        <v>2</v>
      </c>
      <c r="G467" s="32">
        <v>44</v>
      </c>
      <c r="H467" s="31" t="s">
        <v>123</v>
      </c>
      <c r="I467" s="12">
        <v>56.5</v>
      </c>
      <c r="J467">
        <v>61.27319</v>
      </c>
      <c r="K467">
        <v>14.5206</v>
      </c>
    </row>
    <row r="468" spans="1:11" x14ac:dyDescent="0.25">
      <c r="A468">
        <v>2025</v>
      </c>
      <c r="B468" s="31" t="s">
        <v>115</v>
      </c>
      <c r="C468" s="31" t="s">
        <v>13</v>
      </c>
      <c r="D468" s="32">
        <v>2</v>
      </c>
      <c r="E468" s="36">
        <v>19</v>
      </c>
      <c r="F468" s="36">
        <v>4</v>
      </c>
      <c r="G468" s="32">
        <v>44</v>
      </c>
      <c r="H468" s="31" t="s">
        <v>123</v>
      </c>
      <c r="I468" s="12">
        <v>56.4</v>
      </c>
      <c r="J468">
        <v>50.423724999999997</v>
      </c>
      <c r="K468">
        <v>14.4306</v>
      </c>
    </row>
    <row r="469" spans="1:11" x14ac:dyDescent="0.25">
      <c r="A469">
        <v>2025</v>
      </c>
      <c r="B469" s="31" t="s">
        <v>115</v>
      </c>
      <c r="C469" s="31" t="s">
        <v>13</v>
      </c>
      <c r="D469" s="32">
        <v>3</v>
      </c>
      <c r="E469" s="36">
        <v>1</v>
      </c>
      <c r="F469" s="36">
        <v>5</v>
      </c>
      <c r="G469" s="32">
        <v>44</v>
      </c>
      <c r="H469" s="31" t="s">
        <v>123</v>
      </c>
      <c r="I469" s="12">
        <v>57.3</v>
      </c>
      <c r="J469">
        <v>55.182160000000003</v>
      </c>
      <c r="K469">
        <v>14.070600000000001</v>
      </c>
    </row>
    <row r="470" spans="1:11" x14ac:dyDescent="0.25">
      <c r="A470">
        <v>2025</v>
      </c>
      <c r="B470" s="31" t="s">
        <v>115</v>
      </c>
      <c r="C470" s="31" t="s">
        <v>13</v>
      </c>
      <c r="D470" s="32">
        <v>1</v>
      </c>
      <c r="E470" s="36">
        <v>15</v>
      </c>
      <c r="F470" s="36">
        <v>1</v>
      </c>
      <c r="G470" s="32">
        <v>43</v>
      </c>
      <c r="H470" s="31" t="s">
        <v>125</v>
      </c>
      <c r="I470" s="12">
        <v>54.8</v>
      </c>
      <c r="J470" t="s">
        <v>12</v>
      </c>
      <c r="K470">
        <v>14.970600000000001</v>
      </c>
    </row>
    <row r="471" spans="1:11" x14ac:dyDescent="0.25">
      <c r="A471">
        <v>2025</v>
      </c>
      <c r="B471" s="31" t="s">
        <v>115</v>
      </c>
      <c r="C471" s="31" t="s">
        <v>13</v>
      </c>
      <c r="D471" s="32">
        <v>2</v>
      </c>
      <c r="E471" s="36">
        <v>11</v>
      </c>
      <c r="F471" s="36">
        <v>3</v>
      </c>
      <c r="G471" s="32">
        <v>43</v>
      </c>
      <c r="H471" s="31" t="s">
        <v>125</v>
      </c>
      <c r="I471" s="12">
        <v>55.9</v>
      </c>
      <c r="J471">
        <v>54.737100000000005</v>
      </c>
      <c r="K471">
        <v>13.980600000000001</v>
      </c>
    </row>
    <row r="472" spans="1:11" x14ac:dyDescent="0.25">
      <c r="A472">
        <v>2025</v>
      </c>
      <c r="B472" s="31" t="s">
        <v>115</v>
      </c>
      <c r="C472" s="31" t="s">
        <v>13</v>
      </c>
      <c r="D472" s="32">
        <v>3</v>
      </c>
      <c r="E472" s="36">
        <v>7</v>
      </c>
      <c r="F472" s="36">
        <v>6</v>
      </c>
      <c r="G472" s="32">
        <v>43</v>
      </c>
      <c r="H472" s="31" t="s">
        <v>125</v>
      </c>
      <c r="I472" s="12">
        <v>55.2</v>
      </c>
      <c r="J472">
        <v>47.33014</v>
      </c>
      <c r="K472">
        <v>14.790600000000001</v>
      </c>
    </row>
    <row r="473" spans="1:11" x14ac:dyDescent="0.25">
      <c r="A473">
        <v>2025</v>
      </c>
      <c r="B473" s="31" t="s">
        <v>115</v>
      </c>
      <c r="C473" s="31" t="s">
        <v>13</v>
      </c>
      <c r="D473" s="32">
        <v>1</v>
      </c>
      <c r="E473" s="36">
        <v>3</v>
      </c>
      <c r="F473" s="36">
        <v>1</v>
      </c>
      <c r="G473" s="32">
        <v>27</v>
      </c>
      <c r="H473" s="31" t="s">
        <v>35</v>
      </c>
      <c r="I473" s="12">
        <v>58.8</v>
      </c>
      <c r="J473">
        <v>73.50007500000001</v>
      </c>
      <c r="K473">
        <v>13.0806</v>
      </c>
    </row>
    <row r="474" spans="1:11" x14ac:dyDescent="0.25">
      <c r="A474">
        <v>2025</v>
      </c>
      <c r="B474" s="31" t="s">
        <v>115</v>
      </c>
      <c r="C474" s="31" t="s">
        <v>13</v>
      </c>
      <c r="D474" s="32">
        <v>2</v>
      </c>
      <c r="E474" s="36">
        <v>21</v>
      </c>
      <c r="F474" s="36">
        <v>3</v>
      </c>
      <c r="G474" s="32">
        <v>27</v>
      </c>
      <c r="H474" s="31" t="s">
        <v>35</v>
      </c>
      <c r="I474" s="12">
        <v>58.5</v>
      </c>
      <c r="J474">
        <v>62.228099999999991</v>
      </c>
      <c r="K474">
        <v>12.3606</v>
      </c>
    </row>
    <row r="475" spans="1:11" x14ac:dyDescent="0.25">
      <c r="A475">
        <v>2025</v>
      </c>
      <c r="B475" s="31" t="s">
        <v>115</v>
      </c>
      <c r="C475" s="31" t="s">
        <v>13</v>
      </c>
      <c r="D475" s="32">
        <v>3</v>
      </c>
      <c r="E475" s="36">
        <v>6</v>
      </c>
      <c r="F475" s="36">
        <v>5</v>
      </c>
      <c r="G475" s="32">
        <v>27</v>
      </c>
      <c r="H475" s="31" t="s">
        <v>35</v>
      </c>
      <c r="I475" s="12">
        <v>58.1</v>
      </c>
      <c r="J475">
        <v>57.820455000000003</v>
      </c>
      <c r="K475">
        <v>14.5206</v>
      </c>
    </row>
    <row r="476" spans="1:11" x14ac:dyDescent="0.25">
      <c r="A476">
        <v>2025</v>
      </c>
      <c r="B476" s="31" t="s">
        <v>115</v>
      </c>
      <c r="C476" s="31" t="s">
        <v>13</v>
      </c>
      <c r="D476" s="32">
        <v>1</v>
      </c>
      <c r="E476" s="36">
        <v>16</v>
      </c>
      <c r="F476" s="36">
        <v>2</v>
      </c>
      <c r="G476" s="32">
        <v>31</v>
      </c>
      <c r="H476" s="31" t="s">
        <v>36</v>
      </c>
      <c r="I476" s="12">
        <v>57.1</v>
      </c>
      <c r="J476">
        <v>63.494199999999999</v>
      </c>
      <c r="K476">
        <v>14.3406</v>
      </c>
    </row>
    <row r="477" spans="1:11" x14ac:dyDescent="0.25">
      <c r="A477">
        <v>2025</v>
      </c>
      <c r="B477" s="31" t="s">
        <v>115</v>
      </c>
      <c r="C477" s="31" t="s">
        <v>13</v>
      </c>
      <c r="D477" s="32">
        <v>2</v>
      </c>
      <c r="E477" s="36">
        <v>14</v>
      </c>
      <c r="F477" s="36">
        <v>4</v>
      </c>
      <c r="G477" s="32">
        <v>31</v>
      </c>
      <c r="H477" s="31" t="s">
        <v>36</v>
      </c>
      <c r="I477" s="12">
        <v>56.9</v>
      </c>
      <c r="J477">
        <v>56.328799999999994</v>
      </c>
      <c r="K477">
        <v>14.2506</v>
      </c>
    </row>
    <row r="478" spans="1:11" x14ac:dyDescent="0.25">
      <c r="A478">
        <v>2025</v>
      </c>
      <c r="B478" s="31" t="s">
        <v>115</v>
      </c>
      <c r="C478" s="31" t="s">
        <v>13</v>
      </c>
      <c r="D478" s="32">
        <v>3</v>
      </c>
      <c r="E478" s="36">
        <v>4</v>
      </c>
      <c r="F478" s="36">
        <v>5</v>
      </c>
      <c r="G478" s="32">
        <v>31</v>
      </c>
      <c r="H478" s="31" t="s">
        <v>36</v>
      </c>
      <c r="I478" s="12">
        <v>57.5</v>
      </c>
      <c r="J478">
        <v>54.189629999999994</v>
      </c>
      <c r="K478">
        <v>14.7006</v>
      </c>
    </row>
    <row r="479" spans="1:11" x14ac:dyDescent="0.25">
      <c r="A479">
        <v>2025</v>
      </c>
      <c r="B479" s="31" t="s">
        <v>115</v>
      </c>
      <c r="C479" s="31" t="s">
        <v>13</v>
      </c>
      <c r="D479" s="32">
        <v>1</v>
      </c>
      <c r="E479" s="36">
        <v>12</v>
      </c>
      <c r="F479" s="36">
        <v>2</v>
      </c>
      <c r="G479" s="32">
        <v>23</v>
      </c>
      <c r="H479" s="31" t="s">
        <v>37</v>
      </c>
      <c r="I479" s="12">
        <v>59</v>
      </c>
      <c r="J479">
        <v>67.355199999999982</v>
      </c>
      <c r="K479">
        <v>13.620600000000001</v>
      </c>
    </row>
    <row r="480" spans="1:11" x14ac:dyDescent="0.25">
      <c r="A480">
        <v>2025</v>
      </c>
      <c r="B480" s="31" t="s">
        <v>115</v>
      </c>
      <c r="C480" s="31" t="s">
        <v>13</v>
      </c>
      <c r="D480" s="32">
        <v>2</v>
      </c>
      <c r="E480" s="36">
        <v>15</v>
      </c>
      <c r="F480" s="36">
        <v>4</v>
      </c>
      <c r="G480" s="32">
        <v>23</v>
      </c>
      <c r="H480" s="31" t="s">
        <v>37</v>
      </c>
      <c r="I480" s="12">
        <v>58.2</v>
      </c>
      <c r="J480">
        <v>70.058339999999987</v>
      </c>
      <c r="K480">
        <v>14.160600000000001</v>
      </c>
    </row>
    <row r="481" spans="1:11" x14ac:dyDescent="0.25">
      <c r="A481">
        <v>2025</v>
      </c>
      <c r="B481" s="31" t="s">
        <v>115</v>
      </c>
      <c r="C481" s="31" t="s">
        <v>13</v>
      </c>
      <c r="D481" s="32">
        <v>3</v>
      </c>
      <c r="E481" s="36">
        <v>20</v>
      </c>
      <c r="F481" s="36">
        <v>5</v>
      </c>
      <c r="G481" s="32">
        <v>23</v>
      </c>
      <c r="H481" s="31" t="s">
        <v>37</v>
      </c>
      <c r="I481" s="12">
        <v>58</v>
      </c>
      <c r="J481" t="s">
        <v>12</v>
      </c>
      <c r="K481">
        <v>14.790600000000001</v>
      </c>
    </row>
    <row r="482" spans="1:11" x14ac:dyDescent="0.25">
      <c r="A482">
        <v>2025</v>
      </c>
      <c r="B482" s="31" t="s">
        <v>115</v>
      </c>
      <c r="C482" s="31" t="s">
        <v>13</v>
      </c>
      <c r="D482" s="32">
        <v>1</v>
      </c>
      <c r="E482" s="36">
        <v>14</v>
      </c>
      <c r="F482" s="36">
        <v>1</v>
      </c>
      <c r="G482" s="32">
        <v>28</v>
      </c>
      <c r="H482" s="31" t="s">
        <v>38</v>
      </c>
      <c r="I482" s="12">
        <v>56.2</v>
      </c>
      <c r="J482">
        <v>56.801249999999996</v>
      </c>
      <c r="K482">
        <v>14.160600000000001</v>
      </c>
    </row>
    <row r="483" spans="1:11" x14ac:dyDescent="0.25">
      <c r="A483">
        <v>2025</v>
      </c>
      <c r="B483" s="31" t="s">
        <v>115</v>
      </c>
      <c r="C483" s="31" t="s">
        <v>13</v>
      </c>
      <c r="D483" s="32">
        <v>2</v>
      </c>
      <c r="E483" s="36">
        <v>12</v>
      </c>
      <c r="F483" s="36">
        <v>3</v>
      </c>
      <c r="G483" s="32">
        <v>28</v>
      </c>
      <c r="H483" s="31" t="s">
        <v>38</v>
      </c>
      <c r="I483" s="12">
        <v>56.9</v>
      </c>
      <c r="J483">
        <v>71.055104999999983</v>
      </c>
      <c r="K483">
        <v>13.710599999999999</v>
      </c>
    </row>
    <row r="484" spans="1:11" x14ac:dyDescent="0.25">
      <c r="A484">
        <v>2025</v>
      </c>
      <c r="B484" s="31" t="s">
        <v>115</v>
      </c>
      <c r="C484" s="31" t="s">
        <v>13</v>
      </c>
      <c r="D484" s="32">
        <v>3</v>
      </c>
      <c r="E484" s="36">
        <v>11</v>
      </c>
      <c r="F484" s="36">
        <v>5</v>
      </c>
      <c r="G484" s="32">
        <v>28</v>
      </c>
      <c r="H484" s="31" t="s">
        <v>38</v>
      </c>
      <c r="I484" s="12">
        <v>56.5</v>
      </c>
      <c r="J484">
        <v>60.86849999999999</v>
      </c>
      <c r="K484">
        <v>13.980600000000001</v>
      </c>
    </row>
    <row r="485" spans="1:11" x14ac:dyDescent="0.25">
      <c r="A485">
        <v>2025</v>
      </c>
      <c r="B485" s="31" t="s">
        <v>115</v>
      </c>
      <c r="C485" s="31" t="s">
        <v>13</v>
      </c>
      <c r="D485" s="32">
        <v>1</v>
      </c>
      <c r="E485" s="36">
        <v>6</v>
      </c>
      <c r="F485" s="36">
        <v>1</v>
      </c>
      <c r="G485" s="32">
        <v>46</v>
      </c>
      <c r="H485" s="31" t="s">
        <v>127</v>
      </c>
      <c r="I485" s="12">
        <v>58.6</v>
      </c>
      <c r="J485">
        <v>70.985144999999989</v>
      </c>
      <c r="K485">
        <v>13.530600000000002</v>
      </c>
    </row>
    <row r="486" spans="1:11" x14ac:dyDescent="0.25">
      <c r="A486">
        <v>2025</v>
      </c>
      <c r="B486" s="31" t="s">
        <v>115</v>
      </c>
      <c r="C486" s="31" t="s">
        <v>13</v>
      </c>
      <c r="D486" s="32">
        <v>2</v>
      </c>
      <c r="E486" s="36">
        <v>17</v>
      </c>
      <c r="F486" s="36">
        <v>3</v>
      </c>
      <c r="G486" s="32">
        <v>46</v>
      </c>
      <c r="H486" s="31" t="s">
        <v>127</v>
      </c>
      <c r="I486" s="12">
        <v>58.6</v>
      </c>
      <c r="J486">
        <v>76.976349999999996</v>
      </c>
      <c r="K486">
        <v>12.630600000000001</v>
      </c>
    </row>
    <row r="487" spans="1:11" x14ac:dyDescent="0.25">
      <c r="A487">
        <v>2025</v>
      </c>
      <c r="B487" s="31" t="s">
        <v>115</v>
      </c>
      <c r="C487" s="31" t="s">
        <v>13</v>
      </c>
      <c r="D487" s="32">
        <v>3</v>
      </c>
      <c r="E487" s="36">
        <v>8</v>
      </c>
      <c r="F487" s="36">
        <v>5</v>
      </c>
      <c r="G487" s="32">
        <v>46</v>
      </c>
      <c r="H487" s="31" t="s">
        <v>127</v>
      </c>
      <c r="I487" s="12">
        <v>58.7</v>
      </c>
      <c r="J487">
        <v>61.46403999999999</v>
      </c>
      <c r="K487">
        <v>13.530600000000002</v>
      </c>
    </row>
    <row r="488" spans="1:11" x14ac:dyDescent="0.25">
      <c r="A488">
        <v>2025</v>
      </c>
      <c r="B488" s="31" t="s">
        <v>115</v>
      </c>
      <c r="C488" s="31" t="s">
        <v>13</v>
      </c>
      <c r="D488" s="32">
        <v>1</v>
      </c>
      <c r="E488" s="36">
        <v>20</v>
      </c>
      <c r="F488" s="36">
        <v>2</v>
      </c>
      <c r="G488" s="32">
        <v>45</v>
      </c>
      <c r="H488" s="31" t="s">
        <v>39</v>
      </c>
      <c r="I488" s="12">
        <v>59.5</v>
      </c>
      <c r="J488">
        <v>65.405339999999995</v>
      </c>
      <c r="K488">
        <v>12.4506</v>
      </c>
    </row>
    <row r="489" spans="1:11" x14ac:dyDescent="0.25">
      <c r="A489">
        <v>2025</v>
      </c>
      <c r="B489" s="31" t="s">
        <v>115</v>
      </c>
      <c r="C489" s="31" t="s">
        <v>13</v>
      </c>
      <c r="D489" s="32">
        <v>2</v>
      </c>
      <c r="E489" s="36">
        <v>9</v>
      </c>
      <c r="F489" s="36">
        <v>4</v>
      </c>
      <c r="G489" s="32">
        <v>45</v>
      </c>
      <c r="H489" s="31" t="s">
        <v>39</v>
      </c>
      <c r="I489" s="12">
        <v>58.6</v>
      </c>
      <c r="J489">
        <v>69.913799999999995</v>
      </c>
      <c r="K489">
        <v>13.530600000000002</v>
      </c>
    </row>
    <row r="490" spans="1:11" x14ac:dyDescent="0.25">
      <c r="A490">
        <v>2025</v>
      </c>
      <c r="B490" s="31" t="s">
        <v>115</v>
      </c>
      <c r="C490" s="31" t="s">
        <v>13</v>
      </c>
      <c r="D490" s="32">
        <v>3</v>
      </c>
      <c r="E490" s="36">
        <v>15</v>
      </c>
      <c r="F490" s="36">
        <v>6</v>
      </c>
      <c r="G490" s="32">
        <v>45</v>
      </c>
      <c r="H490" s="31" t="s">
        <v>39</v>
      </c>
      <c r="I490" s="12">
        <v>58.5</v>
      </c>
      <c r="J490">
        <v>68.811049999999994</v>
      </c>
      <c r="K490">
        <v>13.4406</v>
      </c>
    </row>
    <row r="491" spans="1:11" x14ac:dyDescent="0.25">
      <c r="A491">
        <v>2025</v>
      </c>
      <c r="B491" s="31" t="s">
        <v>115</v>
      </c>
      <c r="C491" s="31" t="s">
        <v>13</v>
      </c>
      <c r="D491" s="32">
        <v>1</v>
      </c>
      <c r="E491" s="36">
        <v>2</v>
      </c>
      <c r="F491" s="36">
        <v>2</v>
      </c>
      <c r="G491" s="32">
        <v>24</v>
      </c>
      <c r="H491" s="31" t="s">
        <v>40</v>
      </c>
      <c r="I491" s="12">
        <v>57.5</v>
      </c>
      <c r="J491">
        <v>64.414349999999985</v>
      </c>
      <c r="K491">
        <v>12.990599999999999</v>
      </c>
    </row>
    <row r="492" spans="1:11" x14ac:dyDescent="0.25">
      <c r="A492">
        <v>2025</v>
      </c>
      <c r="B492" s="31" t="s">
        <v>115</v>
      </c>
      <c r="C492" s="31" t="s">
        <v>13</v>
      </c>
      <c r="D492" s="32">
        <v>2</v>
      </c>
      <c r="E492" s="36">
        <v>4</v>
      </c>
      <c r="F492" s="36">
        <v>4</v>
      </c>
      <c r="G492" s="32">
        <v>24</v>
      </c>
      <c r="H492" s="31" t="s">
        <v>40</v>
      </c>
      <c r="I492" s="12">
        <v>57</v>
      </c>
      <c r="J492">
        <v>70.778179999999978</v>
      </c>
      <c r="K492">
        <v>13.710599999999999</v>
      </c>
    </row>
    <row r="493" spans="1:11" x14ac:dyDescent="0.25">
      <c r="A493">
        <v>2025</v>
      </c>
      <c r="B493" s="31" t="s">
        <v>115</v>
      </c>
      <c r="C493" s="31" t="s">
        <v>13</v>
      </c>
      <c r="D493" s="32">
        <v>3</v>
      </c>
      <c r="E493" s="36">
        <v>13</v>
      </c>
      <c r="F493" s="36">
        <v>5</v>
      </c>
      <c r="G493" s="32">
        <v>24</v>
      </c>
      <c r="H493" s="31" t="s">
        <v>40</v>
      </c>
      <c r="I493" s="12">
        <v>57.1</v>
      </c>
      <c r="J493">
        <v>70.728239999999971</v>
      </c>
      <c r="K493">
        <v>13.890599999999999</v>
      </c>
    </row>
    <row r="494" spans="1:11" x14ac:dyDescent="0.25">
      <c r="A494">
        <v>2025</v>
      </c>
      <c r="B494" s="31" t="s">
        <v>115</v>
      </c>
      <c r="C494" s="31" t="s">
        <v>13</v>
      </c>
      <c r="D494" s="32">
        <v>1</v>
      </c>
      <c r="E494" s="36">
        <v>8</v>
      </c>
      <c r="F494" s="36">
        <v>2</v>
      </c>
      <c r="G494" s="32">
        <v>33</v>
      </c>
      <c r="H494" s="31" t="s">
        <v>41</v>
      </c>
      <c r="I494" s="12">
        <v>58</v>
      </c>
      <c r="J494">
        <v>68.951959999999985</v>
      </c>
      <c r="K494">
        <v>12.990599999999999</v>
      </c>
    </row>
    <row r="495" spans="1:11" x14ac:dyDescent="0.25">
      <c r="A495">
        <v>2025</v>
      </c>
      <c r="B495" s="31" t="s">
        <v>115</v>
      </c>
      <c r="C495" s="31" t="s">
        <v>13</v>
      </c>
      <c r="D495" s="32">
        <v>2</v>
      </c>
      <c r="E495" s="36">
        <v>5</v>
      </c>
      <c r="F495" s="36">
        <v>4</v>
      </c>
      <c r="G495" s="32">
        <v>33</v>
      </c>
      <c r="H495" s="31" t="s">
        <v>41</v>
      </c>
      <c r="I495" s="12">
        <v>57.8</v>
      </c>
      <c r="J495">
        <v>72.478560000000002</v>
      </c>
      <c r="K495">
        <v>12.5406</v>
      </c>
    </row>
    <row r="496" spans="1:11" x14ac:dyDescent="0.25">
      <c r="A496">
        <v>2025</v>
      </c>
      <c r="B496" s="31" t="s">
        <v>115</v>
      </c>
      <c r="C496" s="31" t="s">
        <v>13</v>
      </c>
      <c r="D496" s="32">
        <v>3</v>
      </c>
      <c r="E496" s="36">
        <v>18</v>
      </c>
      <c r="F496" s="36">
        <v>5</v>
      </c>
      <c r="G496" s="32">
        <v>33</v>
      </c>
      <c r="H496" s="31" t="s">
        <v>41</v>
      </c>
      <c r="I496" s="12">
        <v>58</v>
      </c>
      <c r="J496">
        <v>59.103494999999995</v>
      </c>
      <c r="K496">
        <v>13.1706</v>
      </c>
    </row>
    <row r="497" spans="1:12" x14ac:dyDescent="0.25">
      <c r="A497">
        <v>2025</v>
      </c>
      <c r="B497" s="31" t="s">
        <v>115</v>
      </c>
      <c r="C497" s="31" t="s">
        <v>13</v>
      </c>
      <c r="D497" s="32">
        <v>1</v>
      </c>
      <c r="E497" s="36">
        <v>11</v>
      </c>
      <c r="F497" s="36">
        <v>2</v>
      </c>
      <c r="G497" s="32">
        <v>25</v>
      </c>
      <c r="H497" s="31" t="s">
        <v>130</v>
      </c>
      <c r="I497" s="12">
        <v>57.1</v>
      </c>
      <c r="J497">
        <v>69.505424999999988</v>
      </c>
      <c r="K497">
        <v>13.530600000000002</v>
      </c>
    </row>
    <row r="498" spans="1:12" x14ac:dyDescent="0.25">
      <c r="A498">
        <v>2025</v>
      </c>
      <c r="B498" s="31" t="s">
        <v>115</v>
      </c>
      <c r="C498" s="31" t="s">
        <v>13</v>
      </c>
      <c r="D498" s="32">
        <v>2</v>
      </c>
      <c r="E498" s="36">
        <v>18</v>
      </c>
      <c r="F498" s="36">
        <v>4</v>
      </c>
      <c r="G498" s="32">
        <v>25</v>
      </c>
      <c r="H498" s="31" t="s">
        <v>130</v>
      </c>
      <c r="I498" s="12">
        <v>57.1</v>
      </c>
      <c r="J498">
        <v>62.388480000000001</v>
      </c>
      <c r="K498">
        <v>14.070600000000001</v>
      </c>
    </row>
    <row r="499" spans="1:12" x14ac:dyDescent="0.25">
      <c r="A499">
        <v>2025</v>
      </c>
      <c r="B499" s="31" t="s">
        <v>115</v>
      </c>
      <c r="C499" s="31" t="s">
        <v>13</v>
      </c>
      <c r="D499" s="32">
        <v>3</v>
      </c>
      <c r="E499" s="36">
        <v>5</v>
      </c>
      <c r="F499" s="36">
        <v>6</v>
      </c>
      <c r="G499" s="32">
        <v>25</v>
      </c>
      <c r="H499" s="31" t="s">
        <v>130</v>
      </c>
      <c r="I499" s="12">
        <v>57.3</v>
      </c>
      <c r="J499">
        <v>68.654079999999993</v>
      </c>
      <c r="K499">
        <v>13.710599999999999</v>
      </c>
    </row>
    <row r="500" spans="1:12" x14ac:dyDescent="0.25">
      <c r="A500">
        <v>2025</v>
      </c>
      <c r="B500" s="31" t="s">
        <v>115</v>
      </c>
      <c r="C500" s="31" t="s">
        <v>13</v>
      </c>
      <c r="D500" s="32">
        <v>1</v>
      </c>
      <c r="E500" s="36">
        <v>21</v>
      </c>
      <c r="F500" s="36">
        <v>2</v>
      </c>
      <c r="G500" s="32">
        <v>34</v>
      </c>
      <c r="H500" s="31" t="s">
        <v>42</v>
      </c>
      <c r="I500" s="12">
        <v>55.8</v>
      </c>
      <c r="J500">
        <v>57.906089999999999</v>
      </c>
      <c r="K500">
        <v>14.160600000000001</v>
      </c>
    </row>
    <row r="501" spans="1:12" x14ac:dyDescent="0.25">
      <c r="A501">
        <v>2025</v>
      </c>
      <c r="B501" s="31" t="s">
        <v>115</v>
      </c>
      <c r="C501" s="31" t="s">
        <v>13</v>
      </c>
      <c r="D501" s="32">
        <v>2</v>
      </c>
      <c r="E501" s="36">
        <v>7</v>
      </c>
      <c r="F501" s="36">
        <v>4</v>
      </c>
      <c r="G501" s="32">
        <v>34</v>
      </c>
      <c r="H501" s="31" t="s">
        <v>42</v>
      </c>
      <c r="I501" s="12">
        <v>57.6</v>
      </c>
      <c r="J501">
        <v>73.418730000000011</v>
      </c>
      <c r="K501">
        <v>12.810600000000001</v>
      </c>
    </row>
    <row r="502" spans="1:12" x14ac:dyDescent="0.25">
      <c r="A502">
        <v>2025</v>
      </c>
      <c r="B502" s="31" t="s">
        <v>115</v>
      </c>
      <c r="C502" s="31" t="s">
        <v>13</v>
      </c>
      <c r="D502" s="32">
        <v>3</v>
      </c>
      <c r="E502" s="36">
        <v>10</v>
      </c>
      <c r="F502" s="36">
        <v>5</v>
      </c>
      <c r="G502" s="32">
        <v>34</v>
      </c>
      <c r="H502" s="31" t="s">
        <v>42</v>
      </c>
      <c r="I502" s="12">
        <v>58</v>
      </c>
      <c r="J502">
        <v>63.072074999999991</v>
      </c>
      <c r="K502">
        <v>13.1706</v>
      </c>
    </row>
    <row r="503" spans="1:12" x14ac:dyDescent="0.25">
      <c r="A503">
        <v>2025</v>
      </c>
      <c r="B503" s="31" t="s">
        <v>115</v>
      </c>
      <c r="C503" s="31" t="s">
        <v>13</v>
      </c>
      <c r="D503" s="32">
        <v>1</v>
      </c>
      <c r="E503" s="36">
        <v>19</v>
      </c>
      <c r="F503" s="36">
        <v>2</v>
      </c>
      <c r="G503" s="32">
        <v>35</v>
      </c>
      <c r="H503" s="31" t="s">
        <v>129</v>
      </c>
      <c r="I503" s="12">
        <v>57.4</v>
      </c>
      <c r="J503">
        <v>75.403019999999998</v>
      </c>
      <c r="K503">
        <v>13.800599999999999</v>
      </c>
    </row>
    <row r="504" spans="1:12" x14ac:dyDescent="0.25">
      <c r="A504">
        <v>2025</v>
      </c>
      <c r="B504" s="31" t="s">
        <v>115</v>
      </c>
      <c r="C504" s="31" t="s">
        <v>13</v>
      </c>
      <c r="D504" s="32">
        <v>2</v>
      </c>
      <c r="E504" s="36">
        <v>1</v>
      </c>
      <c r="F504" s="36">
        <v>4</v>
      </c>
      <c r="G504" s="32">
        <v>35</v>
      </c>
      <c r="H504" s="31" t="s">
        <v>129</v>
      </c>
      <c r="I504" s="12">
        <v>58.1</v>
      </c>
      <c r="J504">
        <v>78.254219999999975</v>
      </c>
      <c r="K504">
        <v>13.530600000000002</v>
      </c>
    </row>
    <row r="505" spans="1:12" x14ac:dyDescent="0.25">
      <c r="A505">
        <v>2025</v>
      </c>
      <c r="B505" s="31" t="s">
        <v>115</v>
      </c>
      <c r="C505" s="31" t="s">
        <v>13</v>
      </c>
      <c r="D505" s="32">
        <v>3</v>
      </c>
      <c r="E505" s="36">
        <v>15</v>
      </c>
      <c r="F505" s="36">
        <v>5</v>
      </c>
      <c r="G505" s="32">
        <v>35</v>
      </c>
      <c r="H505" s="31" t="s">
        <v>129</v>
      </c>
      <c r="I505" s="12">
        <v>57.7</v>
      </c>
      <c r="J505">
        <v>69.426719999999989</v>
      </c>
      <c r="K505">
        <v>13.980600000000001</v>
      </c>
    </row>
    <row r="506" spans="1:12" x14ac:dyDescent="0.25">
      <c r="A506">
        <v>2025</v>
      </c>
      <c r="B506" s="31" t="s">
        <v>115</v>
      </c>
      <c r="C506" s="31" t="s">
        <v>13</v>
      </c>
      <c r="D506" s="32">
        <v>1</v>
      </c>
      <c r="E506" s="36">
        <v>5</v>
      </c>
      <c r="F506" s="36">
        <v>1</v>
      </c>
      <c r="G506" s="32">
        <v>26</v>
      </c>
      <c r="H506" s="31" t="s">
        <v>44</v>
      </c>
      <c r="I506" s="12">
        <v>57</v>
      </c>
      <c r="J506">
        <v>80.176964999999996</v>
      </c>
      <c r="K506">
        <v>13.0806</v>
      </c>
    </row>
    <row r="507" spans="1:12" x14ac:dyDescent="0.25">
      <c r="A507">
        <v>2025</v>
      </c>
      <c r="B507" s="31" t="s">
        <v>115</v>
      </c>
      <c r="C507" s="31" t="s">
        <v>13</v>
      </c>
      <c r="D507" s="32">
        <v>2</v>
      </c>
      <c r="E507" s="36">
        <v>21</v>
      </c>
      <c r="F507" s="36">
        <v>4</v>
      </c>
      <c r="G507" s="32">
        <v>26</v>
      </c>
      <c r="H507" s="31" t="s">
        <v>44</v>
      </c>
      <c r="I507" s="12">
        <v>57</v>
      </c>
      <c r="J507">
        <v>82.161254999999997</v>
      </c>
      <c r="K507">
        <v>13.2606</v>
      </c>
    </row>
    <row r="508" spans="1:12" x14ac:dyDescent="0.25">
      <c r="A508">
        <v>2025</v>
      </c>
      <c r="B508" s="31" t="s">
        <v>115</v>
      </c>
      <c r="C508" s="31" t="s">
        <v>13</v>
      </c>
      <c r="D508" s="32">
        <v>3</v>
      </c>
      <c r="E508" s="36">
        <v>8</v>
      </c>
      <c r="F508" s="36">
        <v>6</v>
      </c>
      <c r="G508" s="32">
        <v>26</v>
      </c>
      <c r="H508" s="31" t="s">
        <v>44</v>
      </c>
      <c r="I508" s="12">
        <v>56.9</v>
      </c>
      <c r="J508">
        <v>78.867249999999999</v>
      </c>
      <c r="K508">
        <v>13.710599999999999</v>
      </c>
    </row>
    <row r="509" spans="1:12" x14ac:dyDescent="0.25">
      <c r="A509">
        <v>2025</v>
      </c>
      <c r="B509" s="31" t="s">
        <v>115</v>
      </c>
      <c r="C509" s="31" t="s">
        <v>13</v>
      </c>
      <c r="D509" s="32">
        <v>1</v>
      </c>
      <c r="E509" s="36">
        <v>7</v>
      </c>
      <c r="F509" s="36">
        <v>1</v>
      </c>
      <c r="G509" s="32">
        <v>36</v>
      </c>
      <c r="H509" s="31" t="s">
        <v>45</v>
      </c>
      <c r="I509" s="12">
        <v>58.9</v>
      </c>
      <c r="J509">
        <v>59.367879999999985</v>
      </c>
      <c r="K509">
        <v>13.800599999999999</v>
      </c>
    </row>
    <row r="510" spans="1:12" x14ac:dyDescent="0.25">
      <c r="A510">
        <v>2025</v>
      </c>
      <c r="B510" s="31" t="s">
        <v>115</v>
      </c>
      <c r="C510" s="31" t="s">
        <v>13</v>
      </c>
      <c r="D510" s="32">
        <v>2</v>
      </c>
      <c r="E510" s="36">
        <v>17</v>
      </c>
      <c r="F510" s="36">
        <v>4</v>
      </c>
      <c r="G510" s="32">
        <v>36</v>
      </c>
      <c r="H510" s="31" t="s">
        <v>45</v>
      </c>
      <c r="I510" s="12">
        <v>58.3</v>
      </c>
      <c r="J510">
        <v>61.585589999999989</v>
      </c>
      <c r="K510">
        <v>13.980600000000001</v>
      </c>
    </row>
    <row r="511" spans="1:12" x14ac:dyDescent="0.25">
      <c r="A511">
        <v>2025</v>
      </c>
      <c r="B511" s="31" t="s">
        <v>115</v>
      </c>
      <c r="C511" s="31" t="s">
        <v>13</v>
      </c>
      <c r="D511" s="32">
        <v>3</v>
      </c>
      <c r="E511" s="36">
        <v>16</v>
      </c>
      <c r="F511" s="36">
        <v>5</v>
      </c>
      <c r="G511" s="32">
        <v>36</v>
      </c>
      <c r="H511" s="31" t="s">
        <v>45</v>
      </c>
      <c r="I511" s="12">
        <v>58.8</v>
      </c>
      <c r="J511">
        <v>53.317440000000005</v>
      </c>
      <c r="K511">
        <v>14.3406</v>
      </c>
    </row>
    <row r="512" spans="1:12" x14ac:dyDescent="0.25">
      <c r="A512">
        <v>2025</v>
      </c>
      <c r="B512" t="s">
        <v>149</v>
      </c>
      <c r="C512" t="s">
        <v>7</v>
      </c>
      <c r="D512" s="11">
        <v>1</v>
      </c>
      <c r="E512" s="11">
        <v>1</v>
      </c>
      <c r="F512" s="11">
        <v>1</v>
      </c>
      <c r="G512" s="11">
        <v>42</v>
      </c>
      <c r="H512" t="s">
        <v>34</v>
      </c>
      <c r="I512" s="12">
        <v>57.6</v>
      </c>
      <c r="J512">
        <v>54.166433823529403</v>
      </c>
      <c r="K512">
        <v>10.199999999999999</v>
      </c>
      <c r="L512">
        <v>0</v>
      </c>
    </row>
    <row r="513" spans="1:12" x14ac:dyDescent="0.25">
      <c r="A513">
        <v>2025</v>
      </c>
      <c r="B513" t="s">
        <v>149</v>
      </c>
      <c r="C513" t="s">
        <v>7</v>
      </c>
      <c r="D513" s="11">
        <v>1</v>
      </c>
      <c r="E513" s="11">
        <v>2</v>
      </c>
      <c r="F513" s="11">
        <v>1</v>
      </c>
      <c r="G513" s="11">
        <v>38</v>
      </c>
      <c r="H513" t="s">
        <v>23</v>
      </c>
      <c r="I513" s="12">
        <v>51</v>
      </c>
      <c r="J513">
        <v>53.994233193277296</v>
      </c>
      <c r="K513">
        <v>11.5</v>
      </c>
      <c r="L513">
        <v>2</v>
      </c>
    </row>
    <row r="514" spans="1:12" x14ac:dyDescent="0.25">
      <c r="A514">
        <v>2025</v>
      </c>
      <c r="B514" t="s">
        <v>149</v>
      </c>
      <c r="C514" t="s">
        <v>7</v>
      </c>
      <c r="D514" s="11">
        <v>1</v>
      </c>
      <c r="E514" s="11">
        <v>3</v>
      </c>
      <c r="F514" s="11">
        <v>1</v>
      </c>
      <c r="G514" s="11">
        <v>7</v>
      </c>
      <c r="H514" t="s">
        <v>150</v>
      </c>
      <c r="I514" s="12">
        <v>54.1</v>
      </c>
      <c r="J514">
        <v>42.326659663865534</v>
      </c>
      <c r="K514">
        <v>11.3</v>
      </c>
      <c r="L514">
        <v>3</v>
      </c>
    </row>
    <row r="515" spans="1:12" x14ac:dyDescent="0.25">
      <c r="A515">
        <v>2025</v>
      </c>
      <c r="B515" t="s">
        <v>149</v>
      </c>
      <c r="C515" t="s">
        <v>7</v>
      </c>
      <c r="D515" s="11">
        <v>1</v>
      </c>
      <c r="E515" s="11">
        <v>4</v>
      </c>
      <c r="F515" s="11">
        <v>1</v>
      </c>
      <c r="G515" s="11">
        <v>11</v>
      </c>
      <c r="H515" t="s">
        <v>90</v>
      </c>
      <c r="I515" s="12">
        <v>55.8</v>
      </c>
      <c r="J515">
        <v>52.804852941176456</v>
      </c>
      <c r="K515">
        <v>10.6</v>
      </c>
      <c r="L515">
        <v>1</v>
      </c>
    </row>
    <row r="516" spans="1:12" x14ac:dyDescent="0.25">
      <c r="A516">
        <v>2025</v>
      </c>
      <c r="B516" t="s">
        <v>149</v>
      </c>
      <c r="C516" t="s">
        <v>7</v>
      </c>
      <c r="D516" s="11">
        <v>1</v>
      </c>
      <c r="E516" s="11">
        <v>5</v>
      </c>
      <c r="F516" s="11">
        <v>1</v>
      </c>
      <c r="G516" s="11">
        <v>5</v>
      </c>
      <c r="H516" t="s">
        <v>128</v>
      </c>
      <c r="I516" s="12">
        <v>52.1</v>
      </c>
      <c r="J516">
        <v>49.395110294117636</v>
      </c>
      <c r="K516">
        <v>10.7</v>
      </c>
      <c r="L516">
        <v>-1</v>
      </c>
    </row>
    <row r="517" spans="1:12" x14ac:dyDescent="0.25">
      <c r="A517">
        <v>2025</v>
      </c>
      <c r="B517" t="s">
        <v>149</v>
      </c>
      <c r="C517" t="s">
        <v>7</v>
      </c>
      <c r="D517" s="11">
        <v>1</v>
      </c>
      <c r="E517" s="11">
        <v>6</v>
      </c>
      <c r="F517" s="11">
        <v>1</v>
      </c>
      <c r="G517" s="11">
        <v>57</v>
      </c>
      <c r="H517" t="s">
        <v>43</v>
      </c>
      <c r="I517" s="12">
        <v>55.5</v>
      </c>
      <c r="J517">
        <v>46.004369747899155</v>
      </c>
      <c r="K517">
        <v>10.4</v>
      </c>
      <c r="L517">
        <v>-1</v>
      </c>
    </row>
    <row r="518" spans="1:12" x14ac:dyDescent="0.25">
      <c r="A518">
        <v>2025</v>
      </c>
      <c r="B518" t="s">
        <v>149</v>
      </c>
      <c r="C518" t="s">
        <v>7</v>
      </c>
      <c r="D518" s="11">
        <v>1</v>
      </c>
      <c r="E518" s="11">
        <v>7</v>
      </c>
      <c r="F518" s="11">
        <v>1</v>
      </c>
      <c r="G518" s="11">
        <v>3</v>
      </c>
      <c r="H518" t="s">
        <v>122</v>
      </c>
      <c r="I518" s="12">
        <v>55.5</v>
      </c>
      <c r="J518">
        <v>46.724464285714269</v>
      </c>
      <c r="K518">
        <v>10.9</v>
      </c>
      <c r="L518">
        <v>-1</v>
      </c>
    </row>
    <row r="519" spans="1:12" x14ac:dyDescent="0.25">
      <c r="A519">
        <v>2025</v>
      </c>
      <c r="B519" t="s">
        <v>149</v>
      </c>
      <c r="C519" t="s">
        <v>7</v>
      </c>
      <c r="D519" s="11">
        <v>1</v>
      </c>
      <c r="E519" s="11">
        <v>8</v>
      </c>
      <c r="F519" s="11">
        <v>1</v>
      </c>
      <c r="G519" s="11">
        <v>17</v>
      </c>
      <c r="H519" t="s">
        <v>33</v>
      </c>
      <c r="I519" s="12">
        <v>56.6</v>
      </c>
      <c r="J519">
        <v>49.334936974789898</v>
      </c>
      <c r="K519">
        <v>10</v>
      </c>
      <c r="L519">
        <v>0</v>
      </c>
    </row>
    <row r="520" spans="1:12" x14ac:dyDescent="0.25">
      <c r="A520">
        <v>2025</v>
      </c>
      <c r="B520" t="s">
        <v>149</v>
      </c>
      <c r="C520" t="s">
        <v>7</v>
      </c>
      <c r="D520" s="11">
        <v>1</v>
      </c>
      <c r="E520" s="11">
        <v>9</v>
      </c>
      <c r="F520" s="11">
        <v>1</v>
      </c>
      <c r="G520" s="11">
        <v>24</v>
      </c>
      <c r="H520" t="s">
        <v>40</v>
      </c>
      <c r="I520" s="12">
        <v>53.6</v>
      </c>
      <c r="J520">
        <v>52.929406512605027</v>
      </c>
      <c r="K520">
        <v>9.6999999999999993</v>
      </c>
      <c r="L520">
        <v>0</v>
      </c>
    </row>
    <row r="521" spans="1:12" x14ac:dyDescent="0.25">
      <c r="A521">
        <v>2025</v>
      </c>
      <c r="B521" t="s">
        <v>149</v>
      </c>
      <c r="C521" t="s">
        <v>7</v>
      </c>
      <c r="D521" s="11">
        <v>1</v>
      </c>
      <c r="E521" s="11">
        <v>10</v>
      </c>
      <c r="F521" s="11">
        <v>1</v>
      </c>
      <c r="G521" s="11">
        <v>35</v>
      </c>
      <c r="H521" t="s">
        <v>129</v>
      </c>
      <c r="I521" s="12">
        <v>56.4</v>
      </c>
      <c r="J521">
        <v>47.893235294117638</v>
      </c>
      <c r="K521">
        <v>9.9</v>
      </c>
      <c r="L521">
        <v>0</v>
      </c>
    </row>
    <row r="522" spans="1:12" x14ac:dyDescent="0.25">
      <c r="A522">
        <v>2025</v>
      </c>
      <c r="B522" t="s">
        <v>149</v>
      </c>
      <c r="C522" t="s">
        <v>7</v>
      </c>
      <c r="D522" s="11">
        <v>1</v>
      </c>
      <c r="E522" s="11">
        <v>11</v>
      </c>
      <c r="F522" s="11">
        <v>1</v>
      </c>
      <c r="G522" s="11">
        <v>26</v>
      </c>
      <c r="H522" t="s">
        <v>44</v>
      </c>
      <c r="I522" s="12">
        <v>55.5</v>
      </c>
      <c r="J522">
        <v>59.321864495798316</v>
      </c>
      <c r="K522">
        <v>9.8000000000000007</v>
      </c>
      <c r="L522">
        <v>-1</v>
      </c>
    </row>
    <row r="523" spans="1:12" x14ac:dyDescent="0.25">
      <c r="A523">
        <v>2025</v>
      </c>
      <c r="B523" t="s">
        <v>149</v>
      </c>
      <c r="C523" t="s">
        <v>7</v>
      </c>
      <c r="D523" s="11">
        <v>1</v>
      </c>
      <c r="E523" s="11">
        <v>12</v>
      </c>
      <c r="F523" s="11">
        <v>1</v>
      </c>
      <c r="G523" s="11">
        <v>6</v>
      </c>
      <c r="H523" t="s">
        <v>119</v>
      </c>
      <c r="I523" s="12">
        <v>57</v>
      </c>
      <c r="J523">
        <v>43.668387605042007</v>
      </c>
      <c r="K523">
        <v>12.7</v>
      </c>
      <c r="L523">
        <v>4</v>
      </c>
    </row>
    <row r="524" spans="1:12" x14ac:dyDescent="0.25">
      <c r="A524">
        <v>2025</v>
      </c>
      <c r="B524" t="s">
        <v>149</v>
      </c>
      <c r="C524" t="s">
        <v>7</v>
      </c>
      <c r="D524" s="11">
        <v>1</v>
      </c>
      <c r="E524" s="11">
        <v>13</v>
      </c>
      <c r="F524" s="11">
        <v>1</v>
      </c>
      <c r="G524" s="11">
        <v>10</v>
      </c>
      <c r="H524" t="s">
        <v>91</v>
      </c>
      <c r="I524" s="12">
        <v>48.6</v>
      </c>
      <c r="J524">
        <v>43.636575630252089</v>
      </c>
      <c r="K524">
        <v>12.4</v>
      </c>
      <c r="L524">
        <v>4</v>
      </c>
    </row>
    <row r="525" spans="1:12" x14ac:dyDescent="0.25">
      <c r="A525">
        <v>2025</v>
      </c>
      <c r="B525" t="s">
        <v>149</v>
      </c>
      <c r="C525" t="s">
        <v>7</v>
      </c>
      <c r="D525" s="11">
        <v>1</v>
      </c>
      <c r="E525" s="11">
        <v>13</v>
      </c>
      <c r="F525" s="11">
        <v>2</v>
      </c>
      <c r="G525" s="11">
        <v>28</v>
      </c>
      <c r="H525" t="s">
        <v>38</v>
      </c>
      <c r="I525" s="12">
        <v>54.5</v>
      </c>
      <c r="J525">
        <v>37.490152980877383</v>
      </c>
      <c r="K525">
        <v>10.7</v>
      </c>
      <c r="L525">
        <v>1</v>
      </c>
    </row>
    <row r="526" spans="1:12" x14ac:dyDescent="0.25">
      <c r="A526">
        <v>2025</v>
      </c>
      <c r="B526" t="s">
        <v>149</v>
      </c>
      <c r="C526" t="s">
        <v>7</v>
      </c>
      <c r="D526" s="11">
        <v>1</v>
      </c>
      <c r="E526" s="11">
        <v>12</v>
      </c>
      <c r="F526" s="11">
        <v>2</v>
      </c>
      <c r="G526" s="11">
        <v>8</v>
      </c>
      <c r="H526" t="s">
        <v>118</v>
      </c>
      <c r="I526" s="12">
        <v>57.1</v>
      </c>
      <c r="J526">
        <v>49.135092013498308</v>
      </c>
      <c r="K526">
        <v>10.3</v>
      </c>
      <c r="L526">
        <v>0</v>
      </c>
    </row>
    <row r="527" spans="1:12" x14ac:dyDescent="0.25">
      <c r="A527">
        <v>2025</v>
      </c>
      <c r="B527" t="s">
        <v>149</v>
      </c>
      <c r="C527" t="s">
        <v>7</v>
      </c>
      <c r="D527" s="11">
        <v>1</v>
      </c>
      <c r="E527" s="11">
        <v>11</v>
      </c>
      <c r="F527" s="11">
        <v>2</v>
      </c>
      <c r="G527" s="11">
        <v>40</v>
      </c>
      <c r="H527" t="s">
        <v>121</v>
      </c>
      <c r="I527" s="12">
        <v>56.2</v>
      </c>
      <c r="J527">
        <v>46.873214848143974</v>
      </c>
      <c r="K527">
        <v>10.1</v>
      </c>
      <c r="L527">
        <v>0</v>
      </c>
    </row>
    <row r="528" spans="1:12" x14ac:dyDescent="0.25">
      <c r="A528">
        <v>2025</v>
      </c>
      <c r="B528" t="s">
        <v>149</v>
      </c>
      <c r="C528" t="s">
        <v>7</v>
      </c>
      <c r="D528" s="11">
        <v>1</v>
      </c>
      <c r="E528" s="11">
        <v>10</v>
      </c>
      <c r="F528" s="11">
        <v>2</v>
      </c>
      <c r="G528" s="11">
        <v>12</v>
      </c>
      <c r="H528" t="s">
        <v>92</v>
      </c>
      <c r="I528" s="12">
        <v>54.5</v>
      </c>
      <c r="J528">
        <v>39.264134983127107</v>
      </c>
      <c r="K528">
        <v>11</v>
      </c>
      <c r="L528">
        <v>-1</v>
      </c>
    </row>
    <row r="529" spans="1:12" x14ac:dyDescent="0.25">
      <c r="A529">
        <v>2025</v>
      </c>
      <c r="B529" t="s">
        <v>149</v>
      </c>
      <c r="C529" t="s">
        <v>7</v>
      </c>
      <c r="D529" s="11">
        <v>1</v>
      </c>
      <c r="E529" s="11">
        <v>9</v>
      </c>
      <c r="F529" s="11">
        <v>2</v>
      </c>
      <c r="G529" s="11">
        <v>43</v>
      </c>
      <c r="H529" t="s">
        <v>125</v>
      </c>
      <c r="I529" s="12">
        <v>49.1</v>
      </c>
      <c r="J529">
        <v>27.214153430821142</v>
      </c>
      <c r="K529">
        <v>12.3</v>
      </c>
      <c r="L529">
        <v>0</v>
      </c>
    </row>
    <row r="530" spans="1:12" x14ac:dyDescent="0.25">
      <c r="A530">
        <v>2025</v>
      </c>
      <c r="B530" t="s">
        <v>149</v>
      </c>
      <c r="C530" t="s">
        <v>7</v>
      </c>
      <c r="D530" s="11">
        <v>1</v>
      </c>
      <c r="E530" s="11">
        <v>8</v>
      </c>
      <c r="F530" s="11">
        <v>2</v>
      </c>
      <c r="G530" s="11">
        <v>2</v>
      </c>
      <c r="H530" t="s">
        <v>126</v>
      </c>
      <c r="I530" s="12">
        <v>55.8</v>
      </c>
      <c r="J530">
        <v>43.136738807649046</v>
      </c>
      <c r="K530">
        <v>10</v>
      </c>
      <c r="L530">
        <v>-2</v>
      </c>
    </row>
    <row r="531" spans="1:12" x14ac:dyDescent="0.25">
      <c r="A531">
        <v>2025</v>
      </c>
      <c r="B531" t="s">
        <v>149</v>
      </c>
      <c r="C531" t="s">
        <v>7</v>
      </c>
      <c r="D531" s="11">
        <v>1</v>
      </c>
      <c r="E531" s="11">
        <v>7</v>
      </c>
      <c r="F531" s="11">
        <v>2</v>
      </c>
      <c r="G531" s="11">
        <v>27</v>
      </c>
      <c r="H531" t="s">
        <v>35</v>
      </c>
      <c r="I531" s="12">
        <v>55.4</v>
      </c>
      <c r="J531">
        <v>41.06519999999999</v>
      </c>
      <c r="K531">
        <v>10.1</v>
      </c>
      <c r="L531">
        <v>-1</v>
      </c>
    </row>
    <row r="532" spans="1:12" x14ac:dyDescent="0.25">
      <c r="A532">
        <v>2025</v>
      </c>
      <c r="B532" t="s">
        <v>149</v>
      </c>
      <c r="C532" t="s">
        <v>7</v>
      </c>
      <c r="D532" s="11">
        <v>1</v>
      </c>
      <c r="E532" s="11">
        <v>6</v>
      </c>
      <c r="F532" s="11">
        <v>2</v>
      </c>
      <c r="G532" s="11">
        <v>14</v>
      </c>
      <c r="H532" t="s">
        <v>30</v>
      </c>
      <c r="I532" s="12">
        <v>57</v>
      </c>
      <c r="J532">
        <v>46.123532058492678</v>
      </c>
      <c r="K532">
        <v>9.6999999999999993</v>
      </c>
      <c r="L532">
        <v>0</v>
      </c>
    </row>
    <row r="533" spans="1:12" x14ac:dyDescent="0.25">
      <c r="A533">
        <v>2025</v>
      </c>
      <c r="B533" t="s">
        <v>149</v>
      </c>
      <c r="C533" t="s">
        <v>7</v>
      </c>
      <c r="D533" s="11">
        <v>1</v>
      </c>
      <c r="E533" s="11">
        <v>5</v>
      </c>
      <c r="F533" s="11">
        <v>2</v>
      </c>
      <c r="G533" s="11">
        <v>44</v>
      </c>
      <c r="H533" t="s">
        <v>123</v>
      </c>
      <c r="I533" s="12">
        <v>51</v>
      </c>
      <c r="J533">
        <v>32.962790551181101</v>
      </c>
      <c r="K533">
        <v>11.1</v>
      </c>
      <c r="L533">
        <v>-2</v>
      </c>
    </row>
    <row r="534" spans="1:12" x14ac:dyDescent="0.25">
      <c r="A534">
        <v>2025</v>
      </c>
      <c r="B534" t="s">
        <v>149</v>
      </c>
      <c r="C534" t="s">
        <v>7</v>
      </c>
      <c r="D534" s="11">
        <v>1</v>
      </c>
      <c r="E534" s="11">
        <v>4</v>
      </c>
      <c r="F534" s="11">
        <v>2</v>
      </c>
      <c r="G534" s="11">
        <v>32</v>
      </c>
      <c r="H534" t="s">
        <v>25</v>
      </c>
      <c r="I534" s="12">
        <v>56.1</v>
      </c>
      <c r="J534">
        <v>48.088743307086609</v>
      </c>
      <c r="K534">
        <v>10.3</v>
      </c>
      <c r="L534">
        <v>0</v>
      </c>
    </row>
    <row r="535" spans="1:12" x14ac:dyDescent="0.25">
      <c r="A535">
        <v>2025</v>
      </c>
      <c r="B535" t="s">
        <v>149</v>
      </c>
      <c r="C535" t="s">
        <v>7</v>
      </c>
      <c r="D535" s="11">
        <v>1</v>
      </c>
      <c r="E535" s="11">
        <v>3</v>
      </c>
      <c r="F535" s="11">
        <v>2</v>
      </c>
      <c r="G535" s="11">
        <v>29</v>
      </c>
      <c r="H535" t="s">
        <v>27</v>
      </c>
      <c r="I535" s="12">
        <v>55.7</v>
      </c>
      <c r="J535">
        <v>47.6359046119235</v>
      </c>
      <c r="K535">
        <v>10.3</v>
      </c>
      <c r="L535">
        <v>0</v>
      </c>
    </row>
    <row r="536" spans="1:12" x14ac:dyDescent="0.25">
      <c r="A536">
        <v>2025</v>
      </c>
      <c r="B536" t="s">
        <v>149</v>
      </c>
      <c r="C536" t="s">
        <v>7</v>
      </c>
      <c r="D536" s="11">
        <v>1</v>
      </c>
      <c r="E536" s="11">
        <v>2</v>
      </c>
      <c r="F536" s="11">
        <v>2</v>
      </c>
      <c r="G536" s="11">
        <v>4</v>
      </c>
      <c r="H536" t="s">
        <v>117</v>
      </c>
      <c r="I536" s="12">
        <v>50.5</v>
      </c>
      <c r="J536">
        <v>45.954307761529805</v>
      </c>
      <c r="K536">
        <v>10.7</v>
      </c>
      <c r="L536">
        <v>4</v>
      </c>
    </row>
    <row r="537" spans="1:12" x14ac:dyDescent="0.25">
      <c r="A537">
        <v>2025</v>
      </c>
      <c r="B537" t="s">
        <v>149</v>
      </c>
      <c r="C537" t="s">
        <v>7</v>
      </c>
      <c r="D537" s="11">
        <v>1</v>
      </c>
      <c r="E537" s="11">
        <v>1</v>
      </c>
      <c r="F537" s="11">
        <v>2</v>
      </c>
      <c r="G537" s="11">
        <v>1</v>
      </c>
      <c r="H537" t="s">
        <v>120</v>
      </c>
      <c r="I537" s="12">
        <v>57.4</v>
      </c>
      <c r="J537">
        <v>44.912725309336338</v>
      </c>
      <c r="K537">
        <v>9.8000000000000007</v>
      </c>
      <c r="L537">
        <v>-3</v>
      </c>
    </row>
    <row r="538" spans="1:12" x14ac:dyDescent="0.25">
      <c r="A538">
        <v>2025</v>
      </c>
      <c r="B538" t="s">
        <v>149</v>
      </c>
      <c r="C538" t="s">
        <v>7</v>
      </c>
      <c r="D538" s="11">
        <v>1</v>
      </c>
      <c r="E538" s="11">
        <v>1</v>
      </c>
      <c r="F538" s="11">
        <v>3</v>
      </c>
      <c r="G538" s="11">
        <v>13</v>
      </c>
      <c r="H538" t="s">
        <v>93</v>
      </c>
      <c r="I538" s="12">
        <v>55.9</v>
      </c>
      <c r="J538">
        <v>50.830733488217724</v>
      </c>
      <c r="K538">
        <v>10.4</v>
      </c>
      <c r="L538">
        <v>0</v>
      </c>
    </row>
    <row r="539" spans="1:12" x14ac:dyDescent="0.25">
      <c r="A539">
        <v>2025</v>
      </c>
      <c r="B539" t="s">
        <v>149</v>
      </c>
      <c r="C539" t="s">
        <v>7</v>
      </c>
      <c r="D539" s="11">
        <v>1</v>
      </c>
      <c r="E539" s="11">
        <v>2</v>
      </c>
      <c r="F539" s="11">
        <v>3</v>
      </c>
      <c r="G539" s="11">
        <v>39</v>
      </c>
      <c r="H539" t="s">
        <v>22</v>
      </c>
      <c r="I539" s="12">
        <v>55.1</v>
      </c>
      <c r="J539">
        <v>56.39606277559146</v>
      </c>
      <c r="K539">
        <v>10.7</v>
      </c>
      <c r="L539">
        <v>0</v>
      </c>
    </row>
    <row r="540" spans="1:12" x14ac:dyDescent="0.25">
      <c r="A540">
        <v>2025</v>
      </c>
      <c r="B540" t="s">
        <v>149</v>
      </c>
      <c r="C540" t="s">
        <v>7</v>
      </c>
      <c r="D540" s="11">
        <v>1</v>
      </c>
      <c r="E540" s="11">
        <v>3</v>
      </c>
      <c r="F540" s="11">
        <v>3</v>
      </c>
      <c r="G540" s="11">
        <v>20</v>
      </c>
      <c r="H540" t="s">
        <v>24</v>
      </c>
      <c r="I540" s="12">
        <v>56.1</v>
      </c>
      <c r="J540">
        <v>56.771202882746174</v>
      </c>
      <c r="K540">
        <v>10.3</v>
      </c>
      <c r="L540">
        <v>0</v>
      </c>
    </row>
    <row r="541" spans="1:12" x14ac:dyDescent="0.25">
      <c r="A541">
        <v>2025</v>
      </c>
      <c r="B541" t="s">
        <v>149</v>
      </c>
      <c r="C541" t="s">
        <v>7</v>
      </c>
      <c r="D541" s="11">
        <v>1</v>
      </c>
      <c r="E541" s="11">
        <v>4</v>
      </c>
      <c r="F541" s="11">
        <v>3</v>
      </c>
      <c r="G541" s="11">
        <v>16</v>
      </c>
      <c r="H541" t="s">
        <v>32</v>
      </c>
      <c r="I541" s="12">
        <v>57.9</v>
      </c>
      <c r="J541">
        <v>57.006087904793503</v>
      </c>
      <c r="K541">
        <v>10.7</v>
      </c>
      <c r="L541">
        <v>2</v>
      </c>
    </row>
    <row r="542" spans="1:12" x14ac:dyDescent="0.25">
      <c r="A542">
        <v>2025</v>
      </c>
      <c r="B542" t="s">
        <v>149</v>
      </c>
      <c r="C542" t="s">
        <v>7</v>
      </c>
      <c r="D542" s="11">
        <v>1</v>
      </c>
      <c r="E542" s="11">
        <v>5</v>
      </c>
      <c r="F542" s="11">
        <v>3</v>
      </c>
      <c r="G542" s="11">
        <v>49</v>
      </c>
      <c r="H542" t="s">
        <v>151</v>
      </c>
      <c r="I542" s="12">
        <v>50.7</v>
      </c>
      <c r="J542">
        <v>43.313896448722197</v>
      </c>
      <c r="K542">
        <v>12.8</v>
      </c>
      <c r="L542">
        <v>1</v>
      </c>
    </row>
    <row r="543" spans="1:12" x14ac:dyDescent="0.25">
      <c r="A543">
        <v>2025</v>
      </c>
      <c r="B543" t="s">
        <v>149</v>
      </c>
      <c r="C543" t="s">
        <v>7</v>
      </c>
      <c r="D543" s="11">
        <v>1</v>
      </c>
      <c r="E543" s="11">
        <v>6</v>
      </c>
      <c r="F543" s="11">
        <v>3</v>
      </c>
      <c r="G543" s="11">
        <v>34</v>
      </c>
      <c r="H543" t="s">
        <v>42</v>
      </c>
      <c r="I543" s="12">
        <v>54.2</v>
      </c>
      <c r="J543">
        <v>51.328667204020668</v>
      </c>
      <c r="K543">
        <v>9.9</v>
      </c>
      <c r="L543">
        <v>-1</v>
      </c>
    </row>
    <row r="544" spans="1:12" x14ac:dyDescent="0.25">
      <c r="A544">
        <v>2025</v>
      </c>
      <c r="B544" t="s">
        <v>149</v>
      </c>
      <c r="C544" t="s">
        <v>7</v>
      </c>
      <c r="D544" s="11">
        <v>1</v>
      </c>
      <c r="E544" s="11">
        <v>7</v>
      </c>
      <c r="F544" s="11">
        <v>3</v>
      </c>
      <c r="G544" s="11">
        <v>45</v>
      </c>
      <c r="H544" t="s">
        <v>39</v>
      </c>
      <c r="I544" s="12">
        <v>58.1</v>
      </c>
      <c r="J544">
        <v>53.667894836660189</v>
      </c>
      <c r="K544">
        <v>10.1</v>
      </c>
      <c r="L544">
        <v>0</v>
      </c>
    </row>
    <row r="545" spans="1:12" x14ac:dyDescent="0.25">
      <c r="A545">
        <v>2025</v>
      </c>
      <c r="B545" t="s">
        <v>149</v>
      </c>
      <c r="C545" t="s">
        <v>7</v>
      </c>
      <c r="D545" s="11">
        <v>1</v>
      </c>
      <c r="E545" s="11">
        <v>8</v>
      </c>
      <c r="F545" s="11">
        <v>3</v>
      </c>
      <c r="G545" s="11">
        <v>30</v>
      </c>
      <c r="H545" t="s">
        <v>21</v>
      </c>
      <c r="I545" s="12">
        <v>54.4</v>
      </c>
      <c r="J545">
        <v>46.421241287753055</v>
      </c>
      <c r="K545">
        <v>11.4</v>
      </c>
      <c r="L545">
        <v>0</v>
      </c>
    </row>
    <row r="546" spans="1:12" x14ac:dyDescent="0.25">
      <c r="A546">
        <v>2025</v>
      </c>
      <c r="B546" t="s">
        <v>149</v>
      </c>
      <c r="C546" t="s">
        <v>7</v>
      </c>
      <c r="D546" s="11">
        <v>1</v>
      </c>
      <c r="E546" s="11">
        <v>9</v>
      </c>
      <c r="F546" s="11">
        <v>3</v>
      </c>
      <c r="G546" s="11">
        <v>21</v>
      </c>
      <c r="H546" t="s">
        <v>26</v>
      </c>
      <c r="I546" s="12">
        <v>55.4</v>
      </c>
      <c r="J546">
        <v>55.164606230145544</v>
      </c>
      <c r="K546">
        <v>10.4</v>
      </c>
      <c r="L546">
        <v>-1</v>
      </c>
    </row>
    <row r="547" spans="1:12" x14ac:dyDescent="0.25">
      <c r="A547">
        <v>2025</v>
      </c>
      <c r="B547" t="s">
        <v>149</v>
      </c>
      <c r="C547" t="s">
        <v>7</v>
      </c>
      <c r="D547" s="11">
        <v>1</v>
      </c>
      <c r="E547" s="11">
        <v>10</v>
      </c>
      <c r="F547" s="11">
        <v>3</v>
      </c>
      <c r="G547" s="11">
        <v>46</v>
      </c>
      <c r="H547" t="s">
        <v>127</v>
      </c>
      <c r="I547" s="12">
        <v>54.5</v>
      </c>
      <c r="J547">
        <v>43.619894741833008</v>
      </c>
      <c r="K547">
        <v>11.1</v>
      </c>
      <c r="L547">
        <v>0</v>
      </c>
    </row>
    <row r="548" spans="1:12" x14ac:dyDescent="0.25">
      <c r="A548">
        <v>2025</v>
      </c>
      <c r="B548" t="s">
        <v>149</v>
      </c>
      <c r="C548" t="s">
        <v>7</v>
      </c>
      <c r="D548" s="11">
        <v>1</v>
      </c>
      <c r="E548" s="11">
        <v>11</v>
      </c>
      <c r="F548" s="11">
        <v>3</v>
      </c>
      <c r="G548" s="11">
        <v>48</v>
      </c>
      <c r="H548" t="s">
        <v>152</v>
      </c>
      <c r="I548" s="12">
        <v>54.8</v>
      </c>
      <c r="J548">
        <v>38.720824048172204</v>
      </c>
      <c r="K548">
        <v>11.9</v>
      </c>
      <c r="L548">
        <v>3</v>
      </c>
    </row>
    <row r="549" spans="1:12" x14ac:dyDescent="0.25">
      <c r="A549">
        <v>2025</v>
      </c>
      <c r="B549" t="s">
        <v>149</v>
      </c>
      <c r="C549" t="s">
        <v>7</v>
      </c>
      <c r="D549" s="11">
        <v>1</v>
      </c>
      <c r="E549" s="11">
        <v>12</v>
      </c>
      <c r="F549" s="11">
        <v>3</v>
      </c>
      <c r="G549" s="11">
        <v>36</v>
      </c>
      <c r="H549" t="s">
        <v>45</v>
      </c>
      <c r="I549" s="12">
        <v>55.5</v>
      </c>
      <c r="J549">
        <v>43.724663600587917</v>
      </c>
      <c r="K549">
        <v>12.3</v>
      </c>
      <c r="L549">
        <v>-2</v>
      </c>
    </row>
    <row r="550" spans="1:12" x14ac:dyDescent="0.25">
      <c r="A550">
        <v>2025</v>
      </c>
      <c r="B550" t="s">
        <v>149</v>
      </c>
      <c r="C550" t="s">
        <v>7</v>
      </c>
      <c r="D550" s="11">
        <v>1</v>
      </c>
      <c r="E550" s="11">
        <v>13</v>
      </c>
      <c r="F550" s="11">
        <v>3</v>
      </c>
      <c r="G550" s="11">
        <v>18</v>
      </c>
      <c r="H550" t="s">
        <v>29</v>
      </c>
      <c r="I550" s="12">
        <v>54.8</v>
      </c>
      <c r="J550">
        <v>38.519453795457771</v>
      </c>
      <c r="K550">
        <v>11.8</v>
      </c>
      <c r="L550">
        <v>0</v>
      </c>
    </row>
    <row r="551" spans="1:12" x14ac:dyDescent="0.25">
      <c r="A551">
        <v>2025</v>
      </c>
      <c r="B551" t="s">
        <v>149</v>
      </c>
      <c r="C551" t="s">
        <v>7</v>
      </c>
      <c r="D551" s="11">
        <v>1</v>
      </c>
      <c r="E551" s="11">
        <v>13</v>
      </c>
      <c r="F551" s="11">
        <v>4</v>
      </c>
      <c r="G551" s="11">
        <v>25</v>
      </c>
      <c r="H551" t="s">
        <v>130</v>
      </c>
      <c r="I551" s="12">
        <v>56.6</v>
      </c>
      <c r="J551">
        <v>38.174029997541183</v>
      </c>
      <c r="K551">
        <v>11.4</v>
      </c>
      <c r="L551">
        <v>1</v>
      </c>
    </row>
    <row r="552" spans="1:12" x14ac:dyDescent="0.25">
      <c r="A552">
        <v>2025</v>
      </c>
      <c r="B552" t="s">
        <v>149</v>
      </c>
      <c r="C552" t="s">
        <v>7</v>
      </c>
      <c r="D552" s="11">
        <v>1</v>
      </c>
      <c r="E552" s="11">
        <v>12</v>
      </c>
      <c r="F552" s="11">
        <v>4</v>
      </c>
      <c r="G552" s="11">
        <v>15</v>
      </c>
      <c r="H552" t="s">
        <v>31</v>
      </c>
      <c r="I552" s="12">
        <v>53.7</v>
      </c>
      <c r="J552">
        <v>44.62950184411114</v>
      </c>
      <c r="K552">
        <v>10.3</v>
      </c>
      <c r="L552">
        <v>-2</v>
      </c>
    </row>
    <row r="553" spans="1:12" x14ac:dyDescent="0.25">
      <c r="A553">
        <v>2025</v>
      </c>
      <c r="B553" t="s">
        <v>149</v>
      </c>
      <c r="C553" t="s">
        <v>7</v>
      </c>
      <c r="D553" s="11">
        <v>1</v>
      </c>
      <c r="E553" s="11">
        <v>11</v>
      </c>
      <c r="F553" s="11">
        <v>4</v>
      </c>
      <c r="G553" s="11">
        <v>22</v>
      </c>
      <c r="H553" t="s">
        <v>28</v>
      </c>
      <c r="I553" s="12">
        <v>56.9</v>
      </c>
      <c r="J553">
        <v>46.470507499385299</v>
      </c>
      <c r="K553">
        <v>10.3</v>
      </c>
      <c r="L553">
        <v>1</v>
      </c>
    </row>
    <row r="554" spans="1:12" x14ac:dyDescent="0.25">
      <c r="A554">
        <v>2025</v>
      </c>
      <c r="B554" t="s">
        <v>149</v>
      </c>
      <c r="C554" t="s">
        <v>7</v>
      </c>
      <c r="D554" s="11">
        <v>1</v>
      </c>
      <c r="E554" s="11">
        <v>10</v>
      </c>
      <c r="F554" s="11">
        <v>4</v>
      </c>
      <c r="G554" s="11">
        <v>37</v>
      </c>
      <c r="H554" t="s">
        <v>89</v>
      </c>
      <c r="I554" s="12">
        <v>55.9</v>
      </c>
      <c r="J554">
        <v>50.439903614457819</v>
      </c>
      <c r="K554">
        <v>10.5</v>
      </c>
      <c r="L554">
        <v>1</v>
      </c>
    </row>
    <row r="555" spans="1:12" x14ac:dyDescent="0.25">
      <c r="A555">
        <v>2025</v>
      </c>
      <c r="B555" t="s">
        <v>149</v>
      </c>
      <c r="C555" t="s">
        <v>7</v>
      </c>
      <c r="D555" s="11">
        <v>1</v>
      </c>
      <c r="E555" s="11">
        <v>9</v>
      </c>
      <c r="F555" s="11">
        <v>4</v>
      </c>
      <c r="G555" s="11">
        <v>31</v>
      </c>
      <c r="H555" t="s">
        <v>36</v>
      </c>
      <c r="I555" s="12">
        <v>55.3</v>
      </c>
      <c r="J555">
        <v>44.32580772067864</v>
      </c>
      <c r="K555">
        <v>11.2</v>
      </c>
      <c r="L555">
        <v>-2</v>
      </c>
    </row>
    <row r="556" spans="1:12" x14ac:dyDescent="0.25">
      <c r="A556">
        <v>2025</v>
      </c>
      <c r="B556" t="s">
        <v>149</v>
      </c>
      <c r="C556" t="s">
        <v>7</v>
      </c>
      <c r="D556" s="11">
        <v>1</v>
      </c>
      <c r="E556" s="11">
        <v>8</v>
      </c>
      <c r="F556" s="11">
        <v>4</v>
      </c>
      <c r="G556" s="11">
        <v>19</v>
      </c>
      <c r="H556" t="s">
        <v>157</v>
      </c>
      <c r="I556" s="12">
        <v>51.4</v>
      </c>
      <c r="J556">
        <v>43.991929186132282</v>
      </c>
      <c r="K556">
        <v>10.5</v>
      </c>
      <c r="L556">
        <v>1</v>
      </c>
    </row>
    <row r="557" spans="1:12" x14ac:dyDescent="0.25">
      <c r="A557">
        <v>2025</v>
      </c>
      <c r="B557" t="s">
        <v>149</v>
      </c>
      <c r="C557" t="s">
        <v>7</v>
      </c>
      <c r="D557" s="11">
        <v>1</v>
      </c>
      <c r="E557" s="11">
        <v>7</v>
      </c>
      <c r="F557" s="11">
        <v>4</v>
      </c>
      <c r="G557" s="11">
        <v>33</v>
      </c>
      <c r="H557" t="s">
        <v>41</v>
      </c>
      <c r="I557" s="12">
        <v>56.6</v>
      </c>
      <c r="J557">
        <v>43.025930661421192</v>
      </c>
      <c r="K557">
        <v>10.199999999999999</v>
      </c>
      <c r="L557">
        <v>0</v>
      </c>
    </row>
    <row r="558" spans="1:12" x14ac:dyDescent="0.25">
      <c r="A558">
        <v>2025</v>
      </c>
      <c r="B558" t="s">
        <v>149</v>
      </c>
      <c r="C558" t="s">
        <v>7</v>
      </c>
      <c r="D558" s="11">
        <v>1</v>
      </c>
      <c r="E558" s="11">
        <v>6</v>
      </c>
      <c r="F558" s="11">
        <v>4</v>
      </c>
      <c r="G558" s="11">
        <v>9</v>
      </c>
      <c r="H558" t="s">
        <v>94</v>
      </c>
      <c r="I558" s="12">
        <v>53.7</v>
      </c>
      <c r="J558">
        <v>43.81914777477256</v>
      </c>
      <c r="K558">
        <v>11.7</v>
      </c>
      <c r="L558">
        <v>1</v>
      </c>
    </row>
    <row r="559" spans="1:12" x14ac:dyDescent="0.25">
      <c r="A559">
        <v>2025</v>
      </c>
      <c r="B559" t="s">
        <v>149</v>
      </c>
      <c r="C559" t="s">
        <v>7</v>
      </c>
      <c r="D559" s="11">
        <v>1</v>
      </c>
      <c r="E559" s="11">
        <v>5</v>
      </c>
      <c r="F559" s="11">
        <v>4</v>
      </c>
      <c r="G559" s="11">
        <v>23</v>
      </c>
      <c r="H559" t="s">
        <v>37</v>
      </c>
      <c r="I559" s="12">
        <v>57.6</v>
      </c>
      <c r="J559">
        <v>49.264756331448247</v>
      </c>
      <c r="K559">
        <v>10.5</v>
      </c>
      <c r="L559">
        <v>0</v>
      </c>
    </row>
    <row r="560" spans="1:12" x14ac:dyDescent="0.25">
      <c r="A560">
        <v>2025</v>
      </c>
      <c r="B560" t="s">
        <v>149</v>
      </c>
      <c r="C560" t="s">
        <v>7</v>
      </c>
      <c r="D560" s="11">
        <v>1</v>
      </c>
      <c r="E560" s="11">
        <v>4</v>
      </c>
      <c r="F560" s="11">
        <v>4</v>
      </c>
      <c r="G560" s="11">
        <v>47</v>
      </c>
      <c r="H560" t="s">
        <v>153</v>
      </c>
      <c r="I560" s="12">
        <v>56.3</v>
      </c>
      <c r="J560">
        <v>53.460778952544878</v>
      </c>
      <c r="K560">
        <v>11.4</v>
      </c>
      <c r="L560">
        <v>1</v>
      </c>
    </row>
    <row r="561" spans="1:12" x14ac:dyDescent="0.25">
      <c r="A561">
        <v>2025</v>
      </c>
      <c r="B561" t="s">
        <v>149</v>
      </c>
      <c r="C561" t="s">
        <v>7</v>
      </c>
      <c r="D561" s="11">
        <v>1</v>
      </c>
      <c r="E561" s="11">
        <v>3</v>
      </c>
      <c r="F561" s="11">
        <v>4</v>
      </c>
      <c r="G561" s="11">
        <v>41</v>
      </c>
      <c r="H561" t="s">
        <v>124</v>
      </c>
      <c r="I561" s="12">
        <v>51.7</v>
      </c>
      <c r="J561">
        <v>38.691059749200882</v>
      </c>
      <c r="K561">
        <v>11.7</v>
      </c>
      <c r="L561">
        <v>-1</v>
      </c>
    </row>
    <row r="562" spans="1:12" x14ac:dyDescent="0.25">
      <c r="A562">
        <v>2025</v>
      </c>
      <c r="B562" t="s">
        <v>149</v>
      </c>
      <c r="C562" t="s">
        <v>7</v>
      </c>
      <c r="D562" s="11">
        <v>1</v>
      </c>
      <c r="E562" s="11">
        <v>2</v>
      </c>
      <c r="F562" s="11">
        <v>4</v>
      </c>
      <c r="G562" s="11">
        <v>58</v>
      </c>
      <c r="H562" t="s">
        <v>103</v>
      </c>
      <c r="I562" s="12">
        <v>54</v>
      </c>
      <c r="J562">
        <v>40.27749397590361</v>
      </c>
      <c r="K562">
        <v>11.6</v>
      </c>
      <c r="L562">
        <v>-3</v>
      </c>
    </row>
    <row r="563" spans="1:12" x14ac:dyDescent="0.25">
      <c r="A563">
        <v>2025</v>
      </c>
      <c r="B563" t="s">
        <v>149</v>
      </c>
      <c r="C563" t="s">
        <v>7</v>
      </c>
      <c r="D563" s="11">
        <v>1</v>
      </c>
      <c r="E563" s="11">
        <v>1</v>
      </c>
      <c r="F563" s="11">
        <v>4</v>
      </c>
      <c r="G563" s="11">
        <v>60</v>
      </c>
      <c r="H563" t="s">
        <v>154</v>
      </c>
      <c r="I563" s="12">
        <v>49.6</v>
      </c>
      <c r="J563">
        <v>26.785500368822227</v>
      </c>
      <c r="K563">
        <v>13.9</v>
      </c>
      <c r="L563">
        <v>5</v>
      </c>
    </row>
    <row r="564" spans="1:12" x14ac:dyDescent="0.25">
      <c r="A564">
        <v>2025</v>
      </c>
      <c r="B564" t="s">
        <v>149</v>
      </c>
      <c r="C564" t="s">
        <v>7</v>
      </c>
      <c r="D564" s="11">
        <v>2</v>
      </c>
      <c r="E564" s="11">
        <v>1</v>
      </c>
      <c r="F564" s="11">
        <v>5</v>
      </c>
      <c r="G564" s="11">
        <v>10</v>
      </c>
      <c r="H564" t="s">
        <v>91</v>
      </c>
      <c r="I564" s="12">
        <v>53.1</v>
      </c>
      <c r="J564">
        <v>37.501339376114942</v>
      </c>
      <c r="L564">
        <v>4</v>
      </c>
    </row>
    <row r="565" spans="1:12" x14ac:dyDescent="0.25">
      <c r="A565">
        <v>2025</v>
      </c>
      <c r="B565" t="s">
        <v>149</v>
      </c>
      <c r="C565" t="s">
        <v>7</v>
      </c>
      <c r="D565" s="11">
        <v>2</v>
      </c>
      <c r="E565" s="11">
        <v>2</v>
      </c>
      <c r="F565" s="11">
        <v>5</v>
      </c>
      <c r="G565" s="11">
        <v>44</v>
      </c>
      <c r="H565" t="s">
        <v>123</v>
      </c>
      <c r="I565" s="12">
        <v>50.3</v>
      </c>
      <c r="J565">
        <v>34.579214116966391</v>
      </c>
      <c r="L565">
        <v>-3</v>
      </c>
    </row>
    <row r="566" spans="1:12" x14ac:dyDescent="0.25">
      <c r="A566">
        <v>2025</v>
      </c>
      <c r="B566" t="s">
        <v>149</v>
      </c>
      <c r="C566" t="s">
        <v>7</v>
      </c>
      <c r="D566" s="11">
        <v>2</v>
      </c>
      <c r="E566" s="11">
        <v>3</v>
      </c>
      <c r="F566" s="11">
        <v>5</v>
      </c>
      <c r="G566" s="11">
        <v>58</v>
      </c>
      <c r="H566" t="s">
        <v>103</v>
      </c>
      <c r="I566" s="12">
        <v>53.5</v>
      </c>
      <c r="J566">
        <v>41.008987512656091</v>
      </c>
      <c r="L566">
        <v>-2</v>
      </c>
    </row>
    <row r="567" spans="1:12" x14ac:dyDescent="0.25">
      <c r="A567">
        <v>2025</v>
      </c>
      <c r="B567" t="s">
        <v>149</v>
      </c>
      <c r="C567" t="s">
        <v>7</v>
      </c>
      <c r="D567" s="11">
        <v>2</v>
      </c>
      <c r="E567" s="11">
        <v>4</v>
      </c>
      <c r="F567" s="11">
        <v>5</v>
      </c>
      <c r="G567" s="11">
        <v>4</v>
      </c>
      <c r="H567" t="s">
        <v>117</v>
      </c>
      <c r="I567" s="12">
        <v>49.8</v>
      </c>
      <c r="J567">
        <v>48.350433441010566</v>
      </c>
      <c r="L567">
        <v>3</v>
      </c>
    </row>
    <row r="568" spans="1:12" x14ac:dyDescent="0.25">
      <c r="A568">
        <v>2025</v>
      </c>
      <c r="B568" t="s">
        <v>149</v>
      </c>
      <c r="C568" t="s">
        <v>7</v>
      </c>
      <c r="D568" s="11">
        <v>2</v>
      </c>
      <c r="E568" s="11">
        <v>5</v>
      </c>
      <c r="F568" s="11">
        <v>5</v>
      </c>
      <c r="G568" s="11">
        <v>12</v>
      </c>
      <c r="H568" t="s">
        <v>92</v>
      </c>
      <c r="I568" s="12">
        <v>51.4</v>
      </c>
      <c r="J568">
        <v>38.056600453208617</v>
      </c>
      <c r="L568">
        <v>-2</v>
      </c>
    </row>
    <row r="569" spans="1:12" x14ac:dyDescent="0.25">
      <c r="A569">
        <v>2025</v>
      </c>
      <c r="B569" t="s">
        <v>149</v>
      </c>
      <c r="C569" t="s">
        <v>7</v>
      </c>
      <c r="D569" s="11">
        <v>2</v>
      </c>
      <c r="E569" s="11">
        <v>6</v>
      </c>
      <c r="F569" s="11">
        <v>5</v>
      </c>
      <c r="G569" s="11">
        <v>30</v>
      </c>
      <c r="H569" t="s">
        <v>21</v>
      </c>
      <c r="I569" s="12">
        <v>53.1</v>
      </c>
      <c r="J569">
        <v>35.747777831348536</v>
      </c>
      <c r="L569">
        <v>1</v>
      </c>
    </row>
    <row r="570" spans="1:12" x14ac:dyDescent="0.25">
      <c r="A570">
        <v>2025</v>
      </c>
      <c r="B570" t="s">
        <v>149</v>
      </c>
      <c r="C570" t="s">
        <v>7</v>
      </c>
      <c r="D570" s="11">
        <v>2</v>
      </c>
      <c r="E570" s="11">
        <v>7</v>
      </c>
      <c r="F570" s="11">
        <v>5</v>
      </c>
      <c r="G570" s="11">
        <v>1</v>
      </c>
      <c r="H570" t="s">
        <v>120</v>
      </c>
      <c r="I570" s="12">
        <v>56.2</v>
      </c>
      <c r="J570">
        <v>47.429500988380497</v>
      </c>
      <c r="L570">
        <v>-3</v>
      </c>
    </row>
    <row r="571" spans="1:12" x14ac:dyDescent="0.25">
      <c r="A571">
        <v>2025</v>
      </c>
      <c r="B571" t="s">
        <v>149</v>
      </c>
      <c r="C571" t="s">
        <v>7</v>
      </c>
      <c r="D571" s="11">
        <v>2</v>
      </c>
      <c r="E571" s="11">
        <v>8</v>
      </c>
      <c r="F571" s="11">
        <v>5</v>
      </c>
      <c r="G571" s="11">
        <v>9</v>
      </c>
      <c r="H571" t="s">
        <v>94</v>
      </c>
      <c r="I571" s="12">
        <v>51</v>
      </c>
      <c r="J571">
        <v>42.315447664047056</v>
      </c>
      <c r="L571">
        <v>4</v>
      </c>
    </row>
    <row r="572" spans="1:12" x14ac:dyDescent="0.25">
      <c r="A572">
        <v>2025</v>
      </c>
      <c r="B572" t="s">
        <v>149</v>
      </c>
      <c r="C572" t="s">
        <v>7</v>
      </c>
      <c r="D572" s="11">
        <v>2</v>
      </c>
      <c r="E572" s="11">
        <v>9</v>
      </c>
      <c r="F572" s="11">
        <v>5</v>
      </c>
      <c r="G572" s="11">
        <v>13</v>
      </c>
      <c r="H572" t="s">
        <v>93</v>
      </c>
      <c r="I572" s="12">
        <v>55.9</v>
      </c>
      <c r="J572">
        <v>45.597898365556148</v>
      </c>
      <c r="L572">
        <v>1</v>
      </c>
    </row>
    <row r="573" spans="1:12" x14ac:dyDescent="0.25">
      <c r="A573">
        <v>2025</v>
      </c>
      <c r="B573" t="s">
        <v>149</v>
      </c>
      <c r="C573" t="s">
        <v>7</v>
      </c>
      <c r="D573" s="11">
        <v>2</v>
      </c>
      <c r="E573" s="11">
        <v>10</v>
      </c>
      <c r="F573" s="11">
        <v>5</v>
      </c>
      <c r="G573" s="11">
        <v>34</v>
      </c>
      <c r="H573" t="s">
        <v>42</v>
      </c>
      <c r="I573" s="12">
        <v>54.9</v>
      </c>
      <c r="J573">
        <v>46.200318210308076</v>
      </c>
      <c r="L573">
        <v>-1</v>
      </c>
    </row>
    <row r="574" spans="1:12" x14ac:dyDescent="0.25">
      <c r="A574">
        <v>2025</v>
      </c>
      <c r="B574" t="s">
        <v>149</v>
      </c>
      <c r="C574" t="s">
        <v>7</v>
      </c>
      <c r="D574" s="11">
        <v>2</v>
      </c>
      <c r="E574" s="11">
        <v>11</v>
      </c>
      <c r="F574" s="11">
        <v>5</v>
      </c>
      <c r="G574" s="11">
        <v>3</v>
      </c>
      <c r="H574" t="s">
        <v>122</v>
      </c>
      <c r="I574" s="12">
        <v>56.7</v>
      </c>
      <c r="J574">
        <v>42.843835880622919</v>
      </c>
      <c r="L574">
        <v>2</v>
      </c>
    </row>
    <row r="575" spans="1:12" x14ac:dyDescent="0.25">
      <c r="A575">
        <v>2025</v>
      </c>
      <c r="B575" t="s">
        <v>149</v>
      </c>
      <c r="C575" t="s">
        <v>7</v>
      </c>
      <c r="D575" s="11">
        <v>2</v>
      </c>
      <c r="E575" s="11">
        <v>12</v>
      </c>
      <c r="F575" s="11">
        <v>5</v>
      </c>
      <c r="G575" s="11">
        <v>20</v>
      </c>
      <c r="H575" t="s">
        <v>24</v>
      </c>
      <c r="I575" s="12">
        <v>53.5</v>
      </c>
      <c r="J575">
        <v>45.823429921411702</v>
      </c>
      <c r="L575">
        <v>1</v>
      </c>
    </row>
    <row r="576" spans="1:12" x14ac:dyDescent="0.25">
      <c r="A576">
        <v>2025</v>
      </c>
      <c r="B576" t="s">
        <v>149</v>
      </c>
      <c r="C576" t="s">
        <v>7</v>
      </c>
      <c r="D576" s="11">
        <v>2</v>
      </c>
      <c r="E576" s="11">
        <v>13</v>
      </c>
      <c r="F576" s="11">
        <v>5</v>
      </c>
      <c r="G576" s="11">
        <v>45</v>
      </c>
      <c r="H576" t="s">
        <v>39</v>
      </c>
      <c r="I576" s="12">
        <v>58.1</v>
      </c>
      <c r="J576">
        <v>49.072420809025601</v>
      </c>
      <c r="L576">
        <v>1</v>
      </c>
    </row>
    <row r="577" spans="1:12" x14ac:dyDescent="0.25">
      <c r="A577">
        <v>2025</v>
      </c>
      <c r="B577" t="s">
        <v>149</v>
      </c>
      <c r="C577" t="s">
        <v>7</v>
      </c>
      <c r="D577" s="11">
        <v>2</v>
      </c>
      <c r="E577" s="11">
        <v>13</v>
      </c>
      <c r="F577" s="11">
        <v>6</v>
      </c>
      <c r="G577" s="11">
        <v>29</v>
      </c>
      <c r="H577" t="s">
        <v>27</v>
      </c>
      <c r="I577" s="12">
        <v>55.9</v>
      </c>
      <c r="J577">
        <v>44.153211615033506</v>
      </c>
      <c r="L577">
        <v>1</v>
      </c>
    </row>
    <row r="578" spans="1:12" x14ac:dyDescent="0.25">
      <c r="A578">
        <v>2025</v>
      </c>
      <c r="B578" t="s">
        <v>149</v>
      </c>
      <c r="C578" t="s">
        <v>7</v>
      </c>
      <c r="D578" s="11">
        <v>2</v>
      </c>
      <c r="E578" s="11">
        <v>12</v>
      </c>
      <c r="F578" s="11">
        <v>6</v>
      </c>
      <c r="G578" s="11">
        <v>37</v>
      </c>
      <c r="H578" t="s">
        <v>89</v>
      </c>
      <c r="I578" s="12">
        <v>55.6</v>
      </c>
      <c r="J578">
        <v>48.093357774108952</v>
      </c>
      <c r="L578">
        <v>0</v>
      </c>
    </row>
    <row r="579" spans="1:12" x14ac:dyDescent="0.25">
      <c r="A579">
        <v>2025</v>
      </c>
      <c r="B579" t="s">
        <v>149</v>
      </c>
      <c r="C579" t="s">
        <v>7</v>
      </c>
      <c r="D579" s="11">
        <v>2</v>
      </c>
      <c r="E579" s="11">
        <v>11</v>
      </c>
      <c r="F579" s="11">
        <v>6</v>
      </c>
      <c r="G579" s="11">
        <v>60</v>
      </c>
      <c r="H579" t="s">
        <v>154</v>
      </c>
      <c r="I579" s="12">
        <v>47.4</v>
      </c>
      <c r="J579">
        <v>22.064347382732826</v>
      </c>
      <c r="L579">
        <v>10</v>
      </c>
    </row>
    <row r="580" spans="1:12" x14ac:dyDescent="0.25">
      <c r="A580">
        <v>2025</v>
      </c>
      <c r="B580" t="s">
        <v>149</v>
      </c>
      <c r="C580" t="s">
        <v>7</v>
      </c>
      <c r="D580" s="11">
        <v>2</v>
      </c>
      <c r="E580" s="11">
        <v>10</v>
      </c>
      <c r="F580" s="11">
        <v>6</v>
      </c>
      <c r="G580" s="11">
        <v>17</v>
      </c>
      <c r="H580" t="s">
        <v>33</v>
      </c>
      <c r="I580" s="12">
        <v>56.1</v>
      </c>
      <c r="J580">
        <v>49.961060988637456</v>
      </c>
      <c r="L580">
        <v>1</v>
      </c>
    </row>
    <row r="581" spans="1:12" x14ac:dyDescent="0.25">
      <c r="A581">
        <v>2025</v>
      </c>
      <c r="B581" t="s">
        <v>149</v>
      </c>
      <c r="C581" t="s">
        <v>7</v>
      </c>
      <c r="D581" s="11">
        <v>2</v>
      </c>
      <c r="E581" s="11">
        <v>9</v>
      </c>
      <c r="F581" s="11">
        <v>6</v>
      </c>
      <c r="G581" s="11">
        <v>2</v>
      </c>
      <c r="H581" t="s">
        <v>126</v>
      </c>
      <c r="I581" s="12">
        <v>55.9</v>
      </c>
      <c r="J581">
        <v>48.780262212294836</v>
      </c>
      <c r="L581">
        <v>0</v>
      </c>
    </row>
    <row r="582" spans="1:12" x14ac:dyDescent="0.25">
      <c r="A582">
        <v>2025</v>
      </c>
      <c r="B582" t="s">
        <v>149</v>
      </c>
      <c r="C582" t="s">
        <v>7</v>
      </c>
      <c r="D582" s="11">
        <v>2</v>
      </c>
      <c r="E582" s="11">
        <v>8</v>
      </c>
      <c r="F582" s="11">
        <v>6</v>
      </c>
      <c r="G582" s="11">
        <v>5</v>
      </c>
      <c r="H582" t="s">
        <v>128</v>
      </c>
      <c r="I582" s="12">
        <v>52.9</v>
      </c>
      <c r="J582">
        <v>51.197623579683395</v>
      </c>
      <c r="L582">
        <v>-1</v>
      </c>
    </row>
    <row r="583" spans="1:12" x14ac:dyDescent="0.25">
      <c r="A583">
        <v>2025</v>
      </c>
      <c r="B583" t="s">
        <v>149</v>
      </c>
      <c r="C583" t="s">
        <v>7</v>
      </c>
      <c r="D583" s="11">
        <v>2</v>
      </c>
      <c r="E583" s="11">
        <v>7</v>
      </c>
      <c r="F583" s="11">
        <v>6</v>
      </c>
      <c r="G583" s="11">
        <v>39</v>
      </c>
      <c r="H583" t="s">
        <v>22</v>
      </c>
      <c r="I583" s="12">
        <v>55.9</v>
      </c>
      <c r="J583">
        <v>49.274877634262388</v>
      </c>
      <c r="L583">
        <v>-1</v>
      </c>
    </row>
    <row r="584" spans="1:12" x14ac:dyDescent="0.25">
      <c r="A584">
        <v>2025</v>
      </c>
      <c r="B584" t="s">
        <v>149</v>
      </c>
      <c r="C584" t="s">
        <v>7</v>
      </c>
      <c r="D584" s="11">
        <v>2</v>
      </c>
      <c r="E584" s="11">
        <v>6</v>
      </c>
      <c r="F584" s="11">
        <v>6</v>
      </c>
      <c r="G584" s="11">
        <v>47</v>
      </c>
      <c r="H584" t="s">
        <v>153</v>
      </c>
      <c r="I584" s="12">
        <v>54.4</v>
      </c>
      <c r="J584">
        <v>54.394716907837235</v>
      </c>
      <c r="L584">
        <v>-1</v>
      </c>
    </row>
    <row r="585" spans="1:12" x14ac:dyDescent="0.25">
      <c r="A585">
        <v>2025</v>
      </c>
      <c r="B585" t="s">
        <v>149</v>
      </c>
      <c r="C585" t="s">
        <v>7</v>
      </c>
      <c r="D585" s="11">
        <v>2</v>
      </c>
      <c r="E585" s="11">
        <v>5</v>
      </c>
      <c r="F585" s="11">
        <v>6</v>
      </c>
      <c r="G585" s="11">
        <v>11</v>
      </c>
      <c r="H585" t="s">
        <v>90</v>
      </c>
      <c r="I585" s="12">
        <v>56</v>
      </c>
      <c r="J585">
        <v>51.073933670000962</v>
      </c>
      <c r="L585">
        <v>2</v>
      </c>
    </row>
    <row r="586" spans="1:12" x14ac:dyDescent="0.25">
      <c r="A586">
        <v>2025</v>
      </c>
      <c r="B586" t="s">
        <v>149</v>
      </c>
      <c r="C586" t="s">
        <v>7</v>
      </c>
      <c r="D586" s="11">
        <v>2</v>
      </c>
      <c r="E586" s="11">
        <v>4</v>
      </c>
      <c r="F586" s="11">
        <v>6</v>
      </c>
      <c r="G586" s="11">
        <v>21</v>
      </c>
      <c r="H586" t="s">
        <v>26</v>
      </c>
      <c r="I586" s="12">
        <v>54.8</v>
      </c>
      <c r="J586">
        <v>53.350106827231208</v>
      </c>
      <c r="L586">
        <v>0</v>
      </c>
    </row>
    <row r="587" spans="1:12" x14ac:dyDescent="0.25">
      <c r="A587">
        <v>2025</v>
      </c>
      <c r="B587" t="s">
        <v>149</v>
      </c>
      <c r="C587" t="s">
        <v>7</v>
      </c>
      <c r="D587" s="11">
        <v>2</v>
      </c>
      <c r="E587" s="11">
        <v>3</v>
      </c>
      <c r="F587" s="11">
        <v>6</v>
      </c>
      <c r="G587" s="11">
        <v>26</v>
      </c>
      <c r="H587" t="s">
        <v>44</v>
      </c>
      <c r="I587" s="12">
        <v>56.9</v>
      </c>
      <c r="J587">
        <v>61.636321258618999</v>
      </c>
      <c r="L587">
        <v>1</v>
      </c>
    </row>
    <row r="588" spans="1:12" x14ac:dyDescent="0.25">
      <c r="A588">
        <v>2025</v>
      </c>
      <c r="B588" t="s">
        <v>149</v>
      </c>
      <c r="C588" t="s">
        <v>7</v>
      </c>
      <c r="D588" s="11">
        <v>2</v>
      </c>
      <c r="E588" s="11">
        <v>2</v>
      </c>
      <c r="F588" s="11">
        <v>6</v>
      </c>
      <c r="G588" s="11">
        <v>19</v>
      </c>
      <c r="H588" t="s">
        <v>157</v>
      </c>
      <c r="I588" s="12">
        <v>52.1</v>
      </c>
      <c r="J588">
        <v>44.688928814217725</v>
      </c>
      <c r="L588">
        <v>2</v>
      </c>
    </row>
    <row r="589" spans="1:12" x14ac:dyDescent="0.25">
      <c r="A589">
        <v>2025</v>
      </c>
      <c r="B589" t="s">
        <v>149</v>
      </c>
      <c r="C589" t="s">
        <v>7</v>
      </c>
      <c r="D589" s="11">
        <v>2</v>
      </c>
      <c r="E589" s="11">
        <v>1</v>
      </c>
      <c r="F589" s="11">
        <v>6</v>
      </c>
      <c r="G589" s="11">
        <v>24</v>
      </c>
      <c r="H589" t="s">
        <v>40</v>
      </c>
      <c r="I589" s="12">
        <v>56.7</v>
      </c>
      <c r="J589">
        <v>47.404915023793336</v>
      </c>
      <c r="L589">
        <v>-3</v>
      </c>
    </row>
    <row r="590" spans="1:12" x14ac:dyDescent="0.25">
      <c r="A590">
        <v>2025</v>
      </c>
      <c r="B590" t="s">
        <v>149</v>
      </c>
      <c r="C590" t="s">
        <v>7</v>
      </c>
      <c r="D590" s="11">
        <v>2</v>
      </c>
      <c r="E590" s="11">
        <v>1</v>
      </c>
      <c r="F590" s="11">
        <v>7</v>
      </c>
      <c r="G590" s="11">
        <v>48</v>
      </c>
      <c r="H590" t="s">
        <v>152</v>
      </c>
      <c r="I590" s="12">
        <v>52.4</v>
      </c>
      <c r="J590">
        <v>41.098288590604028</v>
      </c>
      <c r="L590">
        <v>1</v>
      </c>
    </row>
    <row r="591" spans="1:12" x14ac:dyDescent="0.25">
      <c r="A591">
        <v>2025</v>
      </c>
      <c r="B591" t="s">
        <v>149</v>
      </c>
      <c r="C591" t="s">
        <v>7</v>
      </c>
      <c r="D591" s="11">
        <v>2</v>
      </c>
      <c r="E591" s="11">
        <v>2</v>
      </c>
      <c r="F591" s="11">
        <v>7</v>
      </c>
      <c r="G591" s="11">
        <v>36</v>
      </c>
      <c r="H591" t="s">
        <v>45</v>
      </c>
      <c r="I591" s="12">
        <v>51.1</v>
      </c>
      <c r="J591">
        <v>44.553417066155319</v>
      </c>
      <c r="L591">
        <v>-2</v>
      </c>
    </row>
    <row r="592" spans="1:12" x14ac:dyDescent="0.25">
      <c r="A592">
        <v>2025</v>
      </c>
      <c r="B592" t="s">
        <v>149</v>
      </c>
      <c r="C592" t="s">
        <v>7</v>
      </c>
      <c r="D592" s="11">
        <v>2</v>
      </c>
      <c r="E592" s="11">
        <v>3</v>
      </c>
      <c r="F592" s="11">
        <v>7</v>
      </c>
      <c r="G592" s="11">
        <v>6</v>
      </c>
      <c r="H592" t="s">
        <v>119</v>
      </c>
      <c r="I592" s="12">
        <v>54.8</v>
      </c>
      <c r="J592">
        <v>39.559517257909867</v>
      </c>
      <c r="L592">
        <v>2</v>
      </c>
    </row>
    <row r="593" spans="1:12" x14ac:dyDescent="0.25">
      <c r="A593">
        <v>2025</v>
      </c>
      <c r="B593" t="s">
        <v>149</v>
      </c>
      <c r="C593" t="s">
        <v>7</v>
      </c>
      <c r="D593" s="11">
        <v>2</v>
      </c>
      <c r="E593" s="11">
        <v>4</v>
      </c>
      <c r="F593" s="11">
        <v>7</v>
      </c>
      <c r="G593" s="11">
        <v>46</v>
      </c>
      <c r="H593" t="s">
        <v>127</v>
      </c>
      <c r="I593" s="12">
        <v>50.3</v>
      </c>
      <c r="J593">
        <v>44.706425695110262</v>
      </c>
      <c r="L593">
        <v>1</v>
      </c>
    </row>
    <row r="594" spans="1:12" x14ac:dyDescent="0.25">
      <c r="A594">
        <v>2025</v>
      </c>
      <c r="B594" t="s">
        <v>149</v>
      </c>
      <c r="C594" t="s">
        <v>7</v>
      </c>
      <c r="D594" s="11">
        <v>2</v>
      </c>
      <c r="E594" s="11">
        <v>5</v>
      </c>
      <c r="F594" s="11">
        <v>7</v>
      </c>
      <c r="G594" s="11">
        <v>40</v>
      </c>
      <c r="H594" t="s">
        <v>121</v>
      </c>
      <c r="I594" s="12">
        <v>55.6</v>
      </c>
      <c r="J594">
        <v>48.958062799616499</v>
      </c>
      <c r="L594">
        <v>1</v>
      </c>
    </row>
    <row r="595" spans="1:12" x14ac:dyDescent="0.25">
      <c r="A595">
        <v>2025</v>
      </c>
      <c r="B595" t="s">
        <v>149</v>
      </c>
      <c r="C595" t="s">
        <v>7</v>
      </c>
      <c r="D595" s="11">
        <v>2</v>
      </c>
      <c r="E595" s="11">
        <v>6</v>
      </c>
      <c r="F595" s="11">
        <v>7</v>
      </c>
      <c r="G595" s="11">
        <v>28</v>
      </c>
      <c r="H595" t="s">
        <v>38</v>
      </c>
      <c r="I595" s="12">
        <v>50.6</v>
      </c>
      <c r="J595">
        <v>40.006298657718119</v>
      </c>
      <c r="L595">
        <v>0</v>
      </c>
    </row>
    <row r="596" spans="1:12" x14ac:dyDescent="0.25">
      <c r="A596">
        <v>2025</v>
      </c>
      <c r="B596" t="s">
        <v>149</v>
      </c>
      <c r="C596" t="s">
        <v>7</v>
      </c>
      <c r="D596" s="11">
        <v>2</v>
      </c>
      <c r="E596" s="11">
        <v>7</v>
      </c>
      <c r="F596" s="11">
        <v>7</v>
      </c>
      <c r="G596" s="11">
        <v>7</v>
      </c>
      <c r="H596" t="s">
        <v>150</v>
      </c>
      <c r="I596" s="12">
        <v>53.6</v>
      </c>
      <c r="J596">
        <v>40.447669702780438</v>
      </c>
      <c r="L596">
        <v>4</v>
      </c>
    </row>
    <row r="597" spans="1:12" x14ac:dyDescent="0.25">
      <c r="A597">
        <v>2025</v>
      </c>
      <c r="B597" t="s">
        <v>149</v>
      </c>
      <c r="C597" t="s">
        <v>7</v>
      </c>
      <c r="D597" s="11">
        <v>2</v>
      </c>
      <c r="E597" s="11">
        <v>8</v>
      </c>
      <c r="F597" s="11">
        <v>7</v>
      </c>
      <c r="G597" s="11">
        <v>38</v>
      </c>
      <c r="H597" t="s">
        <v>23</v>
      </c>
      <c r="I597" s="12">
        <v>51.7</v>
      </c>
      <c r="J597">
        <v>56.200534515819747</v>
      </c>
      <c r="L597">
        <v>4</v>
      </c>
    </row>
    <row r="598" spans="1:12" x14ac:dyDescent="0.25">
      <c r="A598">
        <v>2025</v>
      </c>
      <c r="B598" t="s">
        <v>149</v>
      </c>
      <c r="C598" t="s">
        <v>7</v>
      </c>
      <c r="D598" s="11">
        <v>2</v>
      </c>
      <c r="E598" s="11">
        <v>9</v>
      </c>
      <c r="F598" s="11">
        <v>7</v>
      </c>
      <c r="G598" s="11">
        <v>22</v>
      </c>
      <c r="H598" t="s">
        <v>28</v>
      </c>
      <c r="I598" s="12">
        <v>56.1</v>
      </c>
      <c r="J598">
        <v>49.839428571428563</v>
      </c>
      <c r="L598">
        <v>0</v>
      </c>
    </row>
    <row r="599" spans="1:12" x14ac:dyDescent="0.25">
      <c r="A599">
        <v>2025</v>
      </c>
      <c r="B599" t="s">
        <v>149</v>
      </c>
      <c r="C599" t="s">
        <v>7</v>
      </c>
      <c r="D599" s="11">
        <v>2</v>
      </c>
      <c r="E599" s="11">
        <v>10</v>
      </c>
      <c r="F599" s="11">
        <v>7</v>
      </c>
      <c r="G599" s="11">
        <v>14</v>
      </c>
      <c r="H599" t="s">
        <v>30</v>
      </c>
      <c r="I599" s="12">
        <v>49.3</v>
      </c>
      <c r="J599">
        <v>58.703488015340348</v>
      </c>
      <c r="L599">
        <v>0</v>
      </c>
    </row>
    <row r="600" spans="1:12" x14ac:dyDescent="0.25">
      <c r="A600">
        <v>2025</v>
      </c>
      <c r="B600" t="s">
        <v>149</v>
      </c>
      <c r="C600" t="s">
        <v>7</v>
      </c>
      <c r="D600" s="11">
        <v>2</v>
      </c>
      <c r="E600" s="11">
        <v>11</v>
      </c>
      <c r="F600" s="11">
        <v>7</v>
      </c>
      <c r="G600" s="11">
        <v>25</v>
      </c>
      <c r="H600" t="s">
        <v>130</v>
      </c>
      <c r="I600" s="12">
        <v>55.7</v>
      </c>
      <c r="J600">
        <v>44.705476510067108</v>
      </c>
      <c r="L600">
        <v>2</v>
      </c>
    </row>
    <row r="601" spans="1:12" x14ac:dyDescent="0.25">
      <c r="A601">
        <v>2025</v>
      </c>
      <c r="B601" t="s">
        <v>149</v>
      </c>
      <c r="C601" t="s">
        <v>7</v>
      </c>
      <c r="D601" s="11">
        <v>2</v>
      </c>
      <c r="E601" s="11">
        <v>12</v>
      </c>
      <c r="F601" s="11">
        <v>7</v>
      </c>
      <c r="G601" s="11">
        <v>16</v>
      </c>
      <c r="H601" t="s">
        <v>32</v>
      </c>
      <c r="I601" s="12">
        <v>56.9</v>
      </c>
      <c r="J601">
        <v>54.934464046021084</v>
      </c>
      <c r="L601">
        <v>1</v>
      </c>
    </row>
    <row r="602" spans="1:12" x14ac:dyDescent="0.25">
      <c r="A602">
        <v>2025</v>
      </c>
      <c r="B602" t="s">
        <v>149</v>
      </c>
      <c r="C602" t="s">
        <v>7</v>
      </c>
      <c r="D602" s="11">
        <v>2</v>
      </c>
      <c r="E602" s="11">
        <v>13</v>
      </c>
      <c r="F602" s="11">
        <v>7</v>
      </c>
      <c r="G602" s="11">
        <v>35</v>
      </c>
      <c r="H602" t="s">
        <v>129</v>
      </c>
      <c r="I602" s="12">
        <v>55.3</v>
      </c>
      <c r="J602">
        <v>40.075731543624158</v>
      </c>
      <c r="L602">
        <v>0</v>
      </c>
    </row>
    <row r="603" spans="1:12" x14ac:dyDescent="0.25">
      <c r="A603">
        <v>2025</v>
      </c>
      <c r="B603" t="s">
        <v>149</v>
      </c>
      <c r="C603" t="s">
        <v>7</v>
      </c>
      <c r="D603" s="11">
        <v>2</v>
      </c>
      <c r="E603" s="11">
        <v>13</v>
      </c>
      <c r="F603" s="11">
        <v>8</v>
      </c>
      <c r="G603" s="11">
        <v>8</v>
      </c>
      <c r="H603" t="s">
        <v>118</v>
      </c>
      <c r="I603" s="12">
        <v>54.1</v>
      </c>
      <c r="J603">
        <v>53.385188071840055</v>
      </c>
      <c r="L603">
        <v>0</v>
      </c>
    </row>
    <row r="604" spans="1:12" x14ac:dyDescent="0.25">
      <c r="A604">
        <v>2025</v>
      </c>
      <c r="B604" t="s">
        <v>149</v>
      </c>
      <c r="C604" t="s">
        <v>7</v>
      </c>
      <c r="D604" s="11">
        <v>2</v>
      </c>
      <c r="E604" s="11">
        <v>12</v>
      </c>
      <c r="F604" s="11">
        <v>8</v>
      </c>
      <c r="G604" s="11">
        <v>18</v>
      </c>
      <c r="H604" t="s">
        <v>29</v>
      </c>
      <c r="I604" s="12">
        <v>53.2</v>
      </c>
      <c r="J604">
        <v>48.588981459069565</v>
      </c>
      <c r="L604">
        <v>0</v>
      </c>
    </row>
    <row r="605" spans="1:12" x14ac:dyDescent="0.25">
      <c r="A605">
        <v>2025</v>
      </c>
      <c r="B605" t="s">
        <v>149</v>
      </c>
      <c r="C605" t="s">
        <v>7</v>
      </c>
      <c r="D605" s="11">
        <v>2</v>
      </c>
      <c r="E605" s="11">
        <v>11</v>
      </c>
      <c r="F605" s="11">
        <v>8</v>
      </c>
      <c r="G605" s="11">
        <v>33</v>
      </c>
      <c r="H605" t="s">
        <v>41</v>
      </c>
      <c r="I605" s="12">
        <v>54.1</v>
      </c>
      <c r="J605">
        <v>53.647676816575498</v>
      </c>
      <c r="L605">
        <v>1</v>
      </c>
    </row>
    <row r="606" spans="1:12" x14ac:dyDescent="0.25">
      <c r="A606">
        <v>2025</v>
      </c>
      <c r="B606" t="s">
        <v>149</v>
      </c>
      <c r="C606" t="s">
        <v>7</v>
      </c>
      <c r="D606" s="11">
        <v>2</v>
      </c>
      <c r="E606" s="11">
        <v>10</v>
      </c>
      <c r="F606" s="11">
        <v>8</v>
      </c>
      <c r="G606" s="11">
        <v>23</v>
      </c>
      <c r="H606" t="s">
        <v>37</v>
      </c>
      <c r="I606" s="12">
        <v>56.2</v>
      </c>
      <c r="J606">
        <v>55.562593793871315</v>
      </c>
      <c r="L606">
        <v>2</v>
      </c>
    </row>
    <row r="607" spans="1:12" x14ac:dyDescent="0.25">
      <c r="A607">
        <v>2025</v>
      </c>
      <c r="B607" t="s">
        <v>149</v>
      </c>
      <c r="C607" t="s">
        <v>7</v>
      </c>
      <c r="D607" s="11">
        <v>2</v>
      </c>
      <c r="E607" s="11">
        <v>9</v>
      </c>
      <c r="F607" s="11">
        <v>8</v>
      </c>
      <c r="G607" s="11">
        <v>49</v>
      </c>
      <c r="H607" t="s">
        <v>151</v>
      </c>
      <c r="I607" s="12">
        <v>49.7</v>
      </c>
      <c r="J607">
        <v>39.945543883429337</v>
      </c>
      <c r="L607">
        <v>1</v>
      </c>
    </row>
    <row r="608" spans="1:12" x14ac:dyDescent="0.25">
      <c r="A608">
        <v>2025</v>
      </c>
      <c r="B608" t="s">
        <v>149</v>
      </c>
      <c r="C608" t="s">
        <v>7</v>
      </c>
      <c r="D608" s="11">
        <v>2</v>
      </c>
      <c r="E608" s="11">
        <v>8</v>
      </c>
      <c r="F608" s="11">
        <v>8</v>
      </c>
      <c r="G608" s="11">
        <v>32</v>
      </c>
      <c r="H608" t="s">
        <v>25</v>
      </c>
      <c r="I608" s="12">
        <v>54.1</v>
      </c>
      <c r="J608">
        <v>51.670696132061771</v>
      </c>
      <c r="L608">
        <v>-1</v>
      </c>
    </row>
    <row r="609" spans="1:12" x14ac:dyDescent="0.25">
      <c r="A609">
        <v>2025</v>
      </c>
      <c r="B609" t="s">
        <v>149</v>
      </c>
      <c r="C609" t="s">
        <v>7</v>
      </c>
      <c r="D609" s="11">
        <v>2</v>
      </c>
      <c r="E609" s="11">
        <v>7</v>
      </c>
      <c r="F609" s="11">
        <v>8</v>
      </c>
      <c r="G609" s="11">
        <v>31</v>
      </c>
      <c r="H609" t="s">
        <v>36</v>
      </c>
      <c r="I609" s="12">
        <v>52.1</v>
      </c>
      <c r="J609">
        <v>44.542763227961466</v>
      </c>
      <c r="L609">
        <v>0</v>
      </c>
    </row>
    <row r="610" spans="1:12" x14ac:dyDescent="0.25">
      <c r="A610">
        <v>2025</v>
      </c>
      <c r="B610" t="s">
        <v>149</v>
      </c>
      <c r="C610" t="s">
        <v>7</v>
      </c>
      <c r="D610" s="11">
        <v>2</v>
      </c>
      <c r="E610" s="11">
        <v>6</v>
      </c>
      <c r="F610" s="11">
        <v>8</v>
      </c>
      <c r="G610" s="11">
        <v>41</v>
      </c>
      <c r="H610" t="s">
        <v>124</v>
      </c>
      <c r="I610" s="12">
        <v>49.9</v>
      </c>
      <c r="J610">
        <v>37.028885123686884</v>
      </c>
      <c r="L610">
        <v>-1</v>
      </c>
    </row>
    <row r="611" spans="1:12" x14ac:dyDescent="0.25">
      <c r="A611">
        <v>2025</v>
      </c>
      <c r="B611" t="s">
        <v>149</v>
      </c>
      <c r="C611" t="s">
        <v>7</v>
      </c>
      <c r="D611" s="11">
        <v>2</v>
      </c>
      <c r="E611" s="11">
        <v>5</v>
      </c>
      <c r="F611" s="11">
        <v>8</v>
      </c>
      <c r="G611" s="11">
        <v>42</v>
      </c>
      <c r="H611" t="s">
        <v>34</v>
      </c>
      <c r="I611" s="12">
        <v>55.2</v>
      </c>
      <c r="J611">
        <v>47.889027448322608</v>
      </c>
      <c r="L611">
        <v>0</v>
      </c>
    </row>
    <row r="612" spans="1:12" x14ac:dyDescent="0.25">
      <c r="A612">
        <v>2025</v>
      </c>
      <c r="B612" t="s">
        <v>149</v>
      </c>
      <c r="C612" t="s">
        <v>7</v>
      </c>
      <c r="D612" s="11">
        <v>2</v>
      </c>
      <c r="E612" s="11">
        <v>4</v>
      </c>
      <c r="F612" s="11">
        <v>8</v>
      </c>
      <c r="G612" s="11">
        <v>57</v>
      </c>
      <c r="H612" t="s">
        <v>43</v>
      </c>
      <c r="I612" s="12">
        <v>54.5</v>
      </c>
      <c r="J612">
        <v>45.137232899259331</v>
      </c>
      <c r="L612">
        <v>0</v>
      </c>
    </row>
    <row r="613" spans="1:12" x14ac:dyDescent="0.25">
      <c r="A613">
        <v>2025</v>
      </c>
      <c r="B613" t="s">
        <v>149</v>
      </c>
      <c r="C613" t="s">
        <v>7</v>
      </c>
      <c r="D613" s="11">
        <v>2</v>
      </c>
      <c r="E613" s="11">
        <v>3</v>
      </c>
      <c r="F613" s="11">
        <v>8</v>
      </c>
      <c r="G613" s="11">
        <v>27</v>
      </c>
      <c r="H613" t="s">
        <v>35</v>
      </c>
      <c r="I613" s="12">
        <v>52.7</v>
      </c>
      <c r="J613">
        <v>49.259892530377108</v>
      </c>
      <c r="L613">
        <v>1</v>
      </c>
    </row>
    <row r="614" spans="1:12" x14ac:dyDescent="0.25">
      <c r="A614">
        <v>2025</v>
      </c>
      <c r="B614" t="s">
        <v>149</v>
      </c>
      <c r="C614" t="s">
        <v>7</v>
      </c>
      <c r="D614" s="11">
        <v>2</v>
      </c>
      <c r="E614" s="11">
        <v>2</v>
      </c>
      <c r="F614" s="11">
        <v>8</v>
      </c>
      <c r="G614" s="11">
        <v>15</v>
      </c>
      <c r="H614" t="s">
        <v>31</v>
      </c>
      <c r="I614" s="12">
        <v>52.9</v>
      </c>
      <c r="J614">
        <v>50.005903083700439</v>
      </c>
      <c r="L614">
        <v>-1</v>
      </c>
    </row>
    <row r="615" spans="1:12" x14ac:dyDescent="0.25">
      <c r="A615">
        <v>2025</v>
      </c>
      <c r="B615" t="s">
        <v>149</v>
      </c>
      <c r="C615" t="s">
        <v>7</v>
      </c>
      <c r="D615" s="11">
        <v>2</v>
      </c>
      <c r="E615" s="11">
        <v>1</v>
      </c>
      <c r="F615" s="11">
        <v>8</v>
      </c>
      <c r="G615" s="11">
        <v>43</v>
      </c>
      <c r="H615" t="s">
        <v>125</v>
      </c>
      <c r="I615" s="12">
        <v>48.6</v>
      </c>
      <c r="J615">
        <v>26.160020332090816</v>
      </c>
      <c r="L615">
        <v>-2</v>
      </c>
    </row>
    <row r="616" spans="1:12" x14ac:dyDescent="0.25">
      <c r="A616">
        <v>2025</v>
      </c>
      <c r="B616" t="s">
        <v>149</v>
      </c>
      <c r="C616" t="s">
        <v>7</v>
      </c>
      <c r="D616" s="11">
        <v>3</v>
      </c>
      <c r="E616" s="11">
        <v>1</v>
      </c>
      <c r="F616" s="11">
        <v>9</v>
      </c>
      <c r="G616" s="11">
        <v>4</v>
      </c>
      <c r="H616" t="s">
        <v>117</v>
      </c>
      <c r="I616" s="12">
        <v>47.6</v>
      </c>
      <c r="J616">
        <v>50.427986792269586</v>
      </c>
      <c r="L616">
        <v>2</v>
      </c>
    </row>
    <row r="617" spans="1:12" x14ac:dyDescent="0.25">
      <c r="A617">
        <v>2025</v>
      </c>
      <c r="B617" t="s">
        <v>149</v>
      </c>
      <c r="C617" t="s">
        <v>7</v>
      </c>
      <c r="D617" s="11">
        <v>3</v>
      </c>
      <c r="E617" s="11">
        <v>2</v>
      </c>
      <c r="F617" s="11">
        <v>9</v>
      </c>
      <c r="G617" s="11">
        <v>28</v>
      </c>
      <c r="H617" t="s">
        <v>38</v>
      </c>
      <c r="I617" s="12">
        <v>49.4</v>
      </c>
      <c r="J617">
        <v>37.942276391181885</v>
      </c>
      <c r="L617">
        <v>0</v>
      </c>
    </row>
    <row r="618" spans="1:12" x14ac:dyDescent="0.25">
      <c r="A618">
        <v>2025</v>
      </c>
      <c r="B618" t="s">
        <v>149</v>
      </c>
      <c r="C618" t="s">
        <v>7</v>
      </c>
      <c r="D618" s="11">
        <v>3</v>
      </c>
      <c r="E618" s="11">
        <v>3</v>
      </c>
      <c r="F618" s="11">
        <v>9</v>
      </c>
      <c r="G618" s="11">
        <v>21</v>
      </c>
      <c r="H618" t="s">
        <v>26</v>
      </c>
      <c r="I618" s="12">
        <v>52.3</v>
      </c>
      <c r="J618">
        <v>51.338667573079526</v>
      </c>
      <c r="L618">
        <v>0</v>
      </c>
    </row>
    <row r="619" spans="1:12" x14ac:dyDescent="0.25">
      <c r="A619">
        <v>2025</v>
      </c>
      <c r="B619" t="s">
        <v>149</v>
      </c>
      <c r="C619" t="s">
        <v>7</v>
      </c>
      <c r="D619" s="11">
        <v>3</v>
      </c>
      <c r="E619" s="11">
        <v>4</v>
      </c>
      <c r="F619" s="11">
        <v>9</v>
      </c>
      <c r="G619" s="11">
        <v>45</v>
      </c>
      <c r="H619" t="s">
        <v>39</v>
      </c>
      <c r="I619" s="12">
        <v>54.9</v>
      </c>
      <c r="J619">
        <v>58.002828008157699</v>
      </c>
      <c r="L619">
        <v>-1</v>
      </c>
    </row>
    <row r="620" spans="1:12" x14ac:dyDescent="0.25">
      <c r="A620">
        <v>2025</v>
      </c>
      <c r="B620" t="s">
        <v>149</v>
      </c>
      <c r="C620" t="s">
        <v>7</v>
      </c>
      <c r="D620" s="11">
        <v>3</v>
      </c>
      <c r="E620" s="11">
        <v>5</v>
      </c>
      <c r="F620" s="11">
        <v>9</v>
      </c>
      <c r="G620" s="11">
        <v>22</v>
      </c>
      <c r="H620" t="s">
        <v>28</v>
      </c>
      <c r="I620" s="12">
        <v>55.2</v>
      </c>
      <c r="J620">
        <v>47.126192094784884</v>
      </c>
      <c r="L620">
        <v>-1</v>
      </c>
    </row>
    <row r="621" spans="1:12" x14ac:dyDescent="0.25">
      <c r="A621">
        <v>2025</v>
      </c>
      <c r="B621" t="s">
        <v>149</v>
      </c>
      <c r="C621" t="s">
        <v>7</v>
      </c>
      <c r="D621" s="11">
        <v>3</v>
      </c>
      <c r="E621" s="11">
        <v>6</v>
      </c>
      <c r="F621" s="11">
        <v>9</v>
      </c>
      <c r="G621" s="11">
        <v>19</v>
      </c>
      <c r="H621" t="s">
        <v>157</v>
      </c>
      <c r="I621" s="12">
        <v>48.6</v>
      </c>
      <c r="J621">
        <v>47.398954064290557</v>
      </c>
      <c r="L621">
        <v>3</v>
      </c>
    </row>
    <row r="622" spans="1:12" x14ac:dyDescent="0.25">
      <c r="A622">
        <v>2025</v>
      </c>
      <c r="B622" t="s">
        <v>149</v>
      </c>
      <c r="C622" t="s">
        <v>7</v>
      </c>
      <c r="D622" s="11">
        <v>3</v>
      </c>
      <c r="E622" s="11">
        <v>7</v>
      </c>
      <c r="F622" s="11">
        <v>9</v>
      </c>
      <c r="G622" s="11">
        <v>32</v>
      </c>
      <c r="H622" t="s">
        <v>25</v>
      </c>
      <c r="I622" s="12">
        <v>55.1</v>
      </c>
      <c r="J622">
        <v>48.980819656210535</v>
      </c>
      <c r="L622">
        <v>-1</v>
      </c>
    </row>
    <row r="623" spans="1:12" x14ac:dyDescent="0.25">
      <c r="A623">
        <v>2025</v>
      </c>
      <c r="B623" t="s">
        <v>149</v>
      </c>
      <c r="C623" t="s">
        <v>7</v>
      </c>
      <c r="D623" s="11">
        <v>3</v>
      </c>
      <c r="E623" s="11">
        <v>8</v>
      </c>
      <c r="F623" s="11">
        <v>9</v>
      </c>
      <c r="G623" s="11">
        <v>31</v>
      </c>
      <c r="H623" t="s">
        <v>36</v>
      </c>
      <c r="I623" s="12">
        <v>51</v>
      </c>
      <c r="J623">
        <v>46.078601534427492</v>
      </c>
      <c r="L623">
        <v>-1</v>
      </c>
    </row>
    <row r="624" spans="1:12" x14ac:dyDescent="0.25">
      <c r="A624">
        <v>2025</v>
      </c>
      <c r="B624" t="s">
        <v>149</v>
      </c>
      <c r="C624" t="s">
        <v>7</v>
      </c>
      <c r="D624" s="11">
        <v>3</v>
      </c>
      <c r="E624" s="11">
        <v>9</v>
      </c>
      <c r="F624" s="11">
        <v>9</v>
      </c>
      <c r="G624" s="11">
        <v>33</v>
      </c>
      <c r="H624" t="s">
        <v>41</v>
      </c>
      <c r="I624" s="12">
        <v>53.9</v>
      </c>
      <c r="J624">
        <v>49.563695736622307</v>
      </c>
      <c r="L624">
        <v>0</v>
      </c>
    </row>
    <row r="625" spans="1:12" x14ac:dyDescent="0.25">
      <c r="A625">
        <v>2025</v>
      </c>
      <c r="B625" t="s">
        <v>149</v>
      </c>
      <c r="C625" t="s">
        <v>7</v>
      </c>
      <c r="D625" s="11">
        <v>3</v>
      </c>
      <c r="E625" s="11">
        <v>10</v>
      </c>
      <c r="F625" s="11">
        <v>9</v>
      </c>
      <c r="G625" s="11">
        <v>60</v>
      </c>
      <c r="H625" t="s">
        <v>154</v>
      </c>
      <c r="I625" s="12">
        <v>43</v>
      </c>
      <c r="J625">
        <v>22.572374963581623</v>
      </c>
      <c r="L625">
        <v>8</v>
      </c>
    </row>
    <row r="626" spans="1:12" x14ac:dyDescent="0.25">
      <c r="A626">
        <v>2025</v>
      </c>
      <c r="B626" t="s">
        <v>149</v>
      </c>
      <c r="C626" t="s">
        <v>7</v>
      </c>
      <c r="D626" s="11">
        <v>3</v>
      </c>
      <c r="E626" s="11">
        <v>11</v>
      </c>
      <c r="F626" s="11">
        <v>9</v>
      </c>
      <c r="G626" s="11">
        <v>38</v>
      </c>
      <c r="H626" t="s">
        <v>23</v>
      </c>
      <c r="I626" s="12">
        <v>53.4</v>
      </c>
      <c r="J626">
        <v>49.396548509274531</v>
      </c>
      <c r="L626">
        <v>4</v>
      </c>
    </row>
    <row r="627" spans="1:12" x14ac:dyDescent="0.25">
      <c r="A627">
        <v>2025</v>
      </c>
      <c r="B627" t="s">
        <v>149</v>
      </c>
      <c r="C627" t="s">
        <v>7</v>
      </c>
      <c r="D627" s="11">
        <v>3</v>
      </c>
      <c r="E627" s="11">
        <v>12</v>
      </c>
      <c r="F627" s="11">
        <v>9</v>
      </c>
      <c r="G627" s="11">
        <v>30</v>
      </c>
      <c r="H627" t="s">
        <v>21</v>
      </c>
      <c r="I627" s="12">
        <v>53.8</v>
      </c>
      <c r="J627">
        <v>39.783203360201995</v>
      </c>
      <c r="L627">
        <v>-1</v>
      </c>
    </row>
    <row r="628" spans="1:12" x14ac:dyDescent="0.25">
      <c r="A628">
        <v>2025</v>
      </c>
      <c r="B628" t="s">
        <v>149</v>
      </c>
      <c r="C628" t="s">
        <v>7</v>
      </c>
      <c r="D628" s="11">
        <v>3</v>
      </c>
      <c r="E628" s="11">
        <v>13</v>
      </c>
      <c r="F628" s="11">
        <v>9</v>
      </c>
      <c r="G628" s="11">
        <v>16</v>
      </c>
      <c r="H628" t="s">
        <v>32</v>
      </c>
      <c r="I628" s="12">
        <v>57.3</v>
      </c>
      <c r="J628">
        <v>50.728246091094483</v>
      </c>
      <c r="L628">
        <v>1</v>
      </c>
    </row>
    <row r="629" spans="1:12" x14ac:dyDescent="0.25">
      <c r="A629">
        <v>2025</v>
      </c>
      <c r="B629" t="s">
        <v>149</v>
      </c>
      <c r="C629" t="s">
        <v>7</v>
      </c>
      <c r="D629" s="11">
        <v>3</v>
      </c>
      <c r="E629" s="11">
        <v>13</v>
      </c>
      <c r="F629" s="11">
        <v>10</v>
      </c>
      <c r="G629" s="11">
        <v>3</v>
      </c>
      <c r="H629" t="s">
        <v>122</v>
      </c>
      <c r="I629" s="12">
        <v>54.8</v>
      </c>
      <c r="J629">
        <v>36.492861476238616</v>
      </c>
      <c r="L629">
        <v>3</v>
      </c>
    </row>
    <row r="630" spans="1:12" x14ac:dyDescent="0.25">
      <c r="A630">
        <v>2025</v>
      </c>
      <c r="B630" t="s">
        <v>149</v>
      </c>
      <c r="C630" t="s">
        <v>7</v>
      </c>
      <c r="D630" s="11">
        <v>3</v>
      </c>
      <c r="E630" s="11">
        <v>12</v>
      </c>
      <c r="F630" s="11">
        <v>10</v>
      </c>
      <c r="G630" s="11">
        <v>17</v>
      </c>
      <c r="H630" t="s">
        <v>33</v>
      </c>
      <c r="I630" s="12">
        <v>54.5</v>
      </c>
      <c r="J630">
        <v>42.951099234435937</v>
      </c>
      <c r="L630">
        <v>1</v>
      </c>
    </row>
    <row r="631" spans="1:12" x14ac:dyDescent="0.25">
      <c r="A631">
        <v>2025</v>
      </c>
      <c r="B631" t="s">
        <v>149</v>
      </c>
      <c r="C631" t="s">
        <v>7</v>
      </c>
      <c r="D631" s="11">
        <v>3</v>
      </c>
      <c r="E631" s="11">
        <v>11</v>
      </c>
      <c r="F631" s="11">
        <v>10</v>
      </c>
      <c r="G631" s="11">
        <v>9</v>
      </c>
      <c r="H631" t="s">
        <v>94</v>
      </c>
      <c r="I631" s="12">
        <v>50</v>
      </c>
      <c r="J631">
        <v>37.27384082045355</v>
      </c>
      <c r="L631">
        <v>3</v>
      </c>
    </row>
    <row r="632" spans="1:12" x14ac:dyDescent="0.25">
      <c r="A632">
        <v>2025</v>
      </c>
      <c r="B632" t="s">
        <v>149</v>
      </c>
      <c r="C632" t="s">
        <v>7</v>
      </c>
      <c r="D632" s="11">
        <v>3</v>
      </c>
      <c r="E632" s="11">
        <v>10</v>
      </c>
      <c r="F632" s="11">
        <v>10</v>
      </c>
      <c r="G632" s="11">
        <v>10</v>
      </c>
      <c r="H632" t="s">
        <v>91</v>
      </c>
      <c r="I632" s="12">
        <v>50.1</v>
      </c>
      <c r="J632">
        <v>35.372491694352156</v>
      </c>
      <c r="L632">
        <v>4</v>
      </c>
    </row>
    <row r="633" spans="1:12" x14ac:dyDescent="0.25">
      <c r="A633">
        <v>2025</v>
      </c>
      <c r="B633" t="s">
        <v>149</v>
      </c>
      <c r="C633" t="s">
        <v>7</v>
      </c>
      <c r="D633" s="11">
        <v>3</v>
      </c>
      <c r="E633" s="11">
        <v>9</v>
      </c>
      <c r="F633" s="11">
        <v>10</v>
      </c>
      <c r="G633" s="11">
        <v>20</v>
      </c>
      <c r="H633" t="s">
        <v>24</v>
      </c>
      <c r="I633" s="12">
        <v>52.5</v>
      </c>
      <c r="J633">
        <v>45.18945543839375</v>
      </c>
      <c r="L633">
        <v>0</v>
      </c>
    </row>
    <row r="634" spans="1:12" x14ac:dyDescent="0.25">
      <c r="A634">
        <v>2025</v>
      </c>
      <c r="B634" t="s">
        <v>149</v>
      </c>
      <c r="C634" t="s">
        <v>7</v>
      </c>
      <c r="D634" s="11">
        <v>3</v>
      </c>
      <c r="E634" s="11">
        <v>8</v>
      </c>
      <c r="F634" s="11">
        <v>10</v>
      </c>
      <c r="G634" s="11">
        <v>42</v>
      </c>
      <c r="H634" t="s">
        <v>34</v>
      </c>
      <c r="I634" s="12">
        <v>53.7</v>
      </c>
      <c r="J634">
        <v>46.688684096489965</v>
      </c>
      <c r="L634">
        <v>0</v>
      </c>
    </row>
    <row r="635" spans="1:12" x14ac:dyDescent="0.25">
      <c r="A635">
        <v>2025</v>
      </c>
      <c r="B635" t="s">
        <v>149</v>
      </c>
      <c r="C635" t="s">
        <v>7</v>
      </c>
      <c r="D635" s="11">
        <v>3</v>
      </c>
      <c r="E635" s="11">
        <v>7</v>
      </c>
      <c r="F635" s="11">
        <v>10</v>
      </c>
      <c r="G635" s="11">
        <v>26</v>
      </c>
      <c r="H635" t="s">
        <v>44</v>
      </c>
      <c r="I635" s="12">
        <v>54.1</v>
      </c>
      <c r="J635">
        <v>52.751427126968075</v>
      </c>
      <c r="L635">
        <v>1</v>
      </c>
    </row>
    <row r="636" spans="1:12" x14ac:dyDescent="0.25">
      <c r="A636">
        <v>2025</v>
      </c>
      <c r="B636" t="s">
        <v>149</v>
      </c>
      <c r="C636" t="s">
        <v>7</v>
      </c>
      <c r="D636" s="11">
        <v>3</v>
      </c>
      <c r="E636" s="11">
        <v>6</v>
      </c>
      <c r="F636" s="11">
        <v>10</v>
      </c>
      <c r="G636" s="11">
        <v>36</v>
      </c>
      <c r="H636" t="s">
        <v>45</v>
      </c>
      <c r="I636" s="12">
        <v>51.6</v>
      </c>
      <c r="J636">
        <v>38.722923588039862</v>
      </c>
      <c r="L636">
        <v>0</v>
      </c>
    </row>
    <row r="637" spans="1:12" x14ac:dyDescent="0.25">
      <c r="A637">
        <v>2025</v>
      </c>
      <c r="B637" t="s">
        <v>149</v>
      </c>
      <c r="C637" t="s">
        <v>7</v>
      </c>
      <c r="D637" s="11">
        <v>3</v>
      </c>
      <c r="E637" s="11">
        <v>5</v>
      </c>
      <c r="F637" s="11">
        <v>10</v>
      </c>
      <c r="G637" s="11">
        <v>18</v>
      </c>
      <c r="H637" t="s">
        <v>29</v>
      </c>
      <c r="I637" s="12">
        <v>53.2</v>
      </c>
      <c r="J637">
        <v>31.573892821031336</v>
      </c>
      <c r="L637">
        <v>0</v>
      </c>
    </row>
    <row r="638" spans="1:12" x14ac:dyDescent="0.25">
      <c r="A638">
        <v>2025</v>
      </c>
      <c r="B638" t="s">
        <v>149</v>
      </c>
      <c r="C638" t="s">
        <v>7</v>
      </c>
      <c r="D638" s="11">
        <v>3</v>
      </c>
      <c r="E638" s="11">
        <v>4</v>
      </c>
      <c r="F638" s="11">
        <v>10</v>
      </c>
      <c r="G638" s="11">
        <v>49</v>
      </c>
      <c r="H638" t="s">
        <v>151</v>
      </c>
      <c r="I638" s="12">
        <v>45.8</v>
      </c>
      <c r="J638">
        <v>37.077594973277478</v>
      </c>
      <c r="L638">
        <v>1</v>
      </c>
    </row>
    <row r="639" spans="1:12" x14ac:dyDescent="0.25">
      <c r="A639">
        <v>2025</v>
      </c>
      <c r="B639" t="s">
        <v>149</v>
      </c>
      <c r="C639" t="s">
        <v>7</v>
      </c>
      <c r="D639" s="11">
        <v>3</v>
      </c>
      <c r="E639" s="11">
        <v>3</v>
      </c>
      <c r="F639" s="11">
        <v>10</v>
      </c>
      <c r="G639" s="11">
        <v>13</v>
      </c>
      <c r="H639" t="s">
        <v>93</v>
      </c>
      <c r="I639" s="12">
        <v>51.5</v>
      </c>
      <c r="J639">
        <v>42.821253791708799</v>
      </c>
      <c r="L639">
        <v>0</v>
      </c>
    </row>
    <row r="640" spans="1:12" x14ac:dyDescent="0.25">
      <c r="A640">
        <v>2025</v>
      </c>
      <c r="B640" t="s">
        <v>149</v>
      </c>
      <c r="C640" t="s">
        <v>7</v>
      </c>
      <c r="D640" s="11">
        <v>3</v>
      </c>
      <c r="E640" s="11">
        <v>2</v>
      </c>
      <c r="F640" s="11">
        <v>10</v>
      </c>
      <c r="G640" s="11">
        <v>14</v>
      </c>
      <c r="H640" t="s">
        <v>30</v>
      </c>
      <c r="I640" s="12">
        <v>53.7</v>
      </c>
      <c r="J640">
        <v>45.865185613173466</v>
      </c>
      <c r="L640">
        <v>1</v>
      </c>
    </row>
    <row r="641" spans="1:12" x14ac:dyDescent="0.25">
      <c r="A641">
        <v>2025</v>
      </c>
      <c r="B641" t="s">
        <v>149</v>
      </c>
      <c r="C641" t="s">
        <v>7</v>
      </c>
      <c r="D641" s="11">
        <v>3</v>
      </c>
      <c r="E641" s="11">
        <v>1</v>
      </c>
      <c r="F641" s="11">
        <v>10</v>
      </c>
      <c r="G641" s="11">
        <v>37</v>
      </c>
      <c r="H641" t="s">
        <v>89</v>
      </c>
      <c r="I641" s="12">
        <v>53.5</v>
      </c>
      <c r="J641">
        <v>44.120137223746923</v>
      </c>
      <c r="L641">
        <v>-1</v>
      </c>
    </row>
    <row r="642" spans="1:12" x14ac:dyDescent="0.25">
      <c r="A642">
        <v>2025</v>
      </c>
      <c r="B642" t="s">
        <v>149</v>
      </c>
      <c r="C642" t="s">
        <v>7</v>
      </c>
      <c r="D642" s="11">
        <v>3</v>
      </c>
      <c r="E642" s="11">
        <v>1</v>
      </c>
      <c r="F642" s="11">
        <v>11</v>
      </c>
      <c r="G642" s="11">
        <v>34</v>
      </c>
      <c r="H642" t="s">
        <v>42</v>
      </c>
      <c r="I642" s="12">
        <v>53.5</v>
      </c>
      <c r="J642">
        <v>43.926320054017545</v>
      </c>
      <c r="L642">
        <v>-3</v>
      </c>
    </row>
    <row r="643" spans="1:12" x14ac:dyDescent="0.25">
      <c r="A643">
        <v>2025</v>
      </c>
      <c r="B643" t="s">
        <v>149</v>
      </c>
      <c r="C643" t="s">
        <v>7</v>
      </c>
      <c r="D643" s="11">
        <v>3</v>
      </c>
      <c r="E643" s="11">
        <v>2</v>
      </c>
      <c r="F643" s="11">
        <v>11</v>
      </c>
      <c r="G643" s="11">
        <v>48</v>
      </c>
      <c r="H643" t="s">
        <v>152</v>
      </c>
      <c r="I643" s="12">
        <v>47.5</v>
      </c>
      <c r="J643">
        <v>34.066237098485573</v>
      </c>
      <c r="L643">
        <v>2</v>
      </c>
    </row>
    <row r="644" spans="1:12" x14ac:dyDescent="0.25">
      <c r="A644">
        <v>2025</v>
      </c>
      <c r="B644" t="s">
        <v>149</v>
      </c>
      <c r="C644" t="s">
        <v>7</v>
      </c>
      <c r="D644" s="11">
        <v>3</v>
      </c>
      <c r="E644" s="11">
        <v>3</v>
      </c>
      <c r="F644" s="11">
        <v>11</v>
      </c>
      <c r="G644" s="11">
        <v>23</v>
      </c>
      <c r="H644" t="s">
        <v>37</v>
      </c>
      <c r="I644" s="2">
        <v>55.7</v>
      </c>
      <c r="J644">
        <v>45.637214237484322</v>
      </c>
      <c r="L644">
        <v>-1</v>
      </c>
    </row>
    <row r="645" spans="1:12" x14ac:dyDescent="0.25">
      <c r="A645">
        <v>2025</v>
      </c>
      <c r="B645" t="s">
        <v>149</v>
      </c>
      <c r="C645" t="s">
        <v>7</v>
      </c>
      <c r="D645" s="11">
        <v>3</v>
      </c>
      <c r="E645" s="11">
        <v>4</v>
      </c>
      <c r="F645" s="11">
        <v>11</v>
      </c>
      <c r="G645" s="11">
        <v>58</v>
      </c>
      <c r="H645" t="s">
        <v>103</v>
      </c>
      <c r="I645" s="2">
        <v>49.3</v>
      </c>
      <c r="J645">
        <v>32.30644931031155</v>
      </c>
      <c r="L645">
        <v>-1</v>
      </c>
    </row>
    <row r="646" spans="1:12" x14ac:dyDescent="0.25">
      <c r="A646">
        <v>2025</v>
      </c>
      <c r="B646" t="s">
        <v>149</v>
      </c>
      <c r="C646" t="s">
        <v>7</v>
      </c>
      <c r="D646" s="11">
        <v>3</v>
      </c>
      <c r="E646" s="11">
        <v>5</v>
      </c>
      <c r="F646" s="11">
        <v>11</v>
      </c>
      <c r="G646" s="11">
        <v>35</v>
      </c>
      <c r="H646" t="s">
        <v>129</v>
      </c>
      <c r="I646" s="2">
        <v>52.8</v>
      </c>
      <c r="J646">
        <v>35.92409858203915</v>
      </c>
      <c r="L646">
        <v>0</v>
      </c>
    </row>
    <row r="647" spans="1:12" x14ac:dyDescent="0.25">
      <c r="A647">
        <v>2025</v>
      </c>
      <c r="B647" t="s">
        <v>149</v>
      </c>
      <c r="C647" t="s">
        <v>7</v>
      </c>
      <c r="D647" s="11">
        <v>3</v>
      </c>
      <c r="E647" s="11">
        <v>6</v>
      </c>
      <c r="F647" s="11">
        <v>11</v>
      </c>
      <c r="G647" s="11">
        <v>39</v>
      </c>
      <c r="H647" t="s">
        <v>22</v>
      </c>
      <c r="I647" s="2">
        <v>51.5</v>
      </c>
      <c r="J647">
        <v>44.392719205170238</v>
      </c>
      <c r="L647">
        <v>0</v>
      </c>
    </row>
    <row r="648" spans="1:12" x14ac:dyDescent="0.25">
      <c r="A648">
        <v>2025</v>
      </c>
      <c r="B648" t="s">
        <v>149</v>
      </c>
      <c r="C648" t="s">
        <v>7</v>
      </c>
      <c r="D648" s="11">
        <v>3</v>
      </c>
      <c r="E648" s="11">
        <v>7</v>
      </c>
      <c r="F648" s="11">
        <v>11</v>
      </c>
      <c r="G648" s="11">
        <v>15</v>
      </c>
      <c r="H648" t="s">
        <v>31</v>
      </c>
      <c r="I648" s="2">
        <v>51.4</v>
      </c>
      <c r="J648">
        <v>40.912201215394994</v>
      </c>
      <c r="L648">
        <v>-1</v>
      </c>
    </row>
    <row r="649" spans="1:12" x14ac:dyDescent="0.25">
      <c r="A649">
        <v>2025</v>
      </c>
      <c r="B649" t="s">
        <v>149</v>
      </c>
      <c r="C649" t="s">
        <v>7</v>
      </c>
      <c r="D649" s="11">
        <v>3</v>
      </c>
      <c r="E649" s="11">
        <v>8</v>
      </c>
      <c r="F649" s="11">
        <v>11</v>
      </c>
      <c r="G649" s="11">
        <v>46</v>
      </c>
      <c r="H649" t="s">
        <v>127</v>
      </c>
      <c r="I649" s="2">
        <v>52</v>
      </c>
      <c r="J649">
        <v>42.017941545287925</v>
      </c>
      <c r="L649">
        <v>0</v>
      </c>
    </row>
    <row r="650" spans="1:12" x14ac:dyDescent="0.25">
      <c r="A650">
        <v>2025</v>
      </c>
      <c r="B650" t="s">
        <v>149</v>
      </c>
      <c r="C650" t="s">
        <v>7</v>
      </c>
      <c r="D650" s="11">
        <v>3</v>
      </c>
      <c r="E650" s="11">
        <v>9</v>
      </c>
      <c r="F650" s="11">
        <v>11</v>
      </c>
      <c r="G650" s="11">
        <v>5</v>
      </c>
      <c r="H650" t="s">
        <v>128</v>
      </c>
      <c r="I650" s="2">
        <v>52.2</v>
      </c>
      <c r="J650">
        <v>40.270615896594947</v>
      </c>
      <c r="L650">
        <v>1</v>
      </c>
    </row>
    <row r="651" spans="1:12" x14ac:dyDescent="0.25">
      <c r="A651">
        <v>2025</v>
      </c>
      <c r="B651" t="s">
        <v>149</v>
      </c>
      <c r="C651" t="s">
        <v>7</v>
      </c>
      <c r="D651" s="11">
        <v>3</v>
      </c>
      <c r="E651" s="11">
        <v>10</v>
      </c>
      <c r="F651" s="11">
        <v>11</v>
      </c>
      <c r="G651" s="11">
        <v>1</v>
      </c>
      <c r="H651" t="s">
        <v>120</v>
      </c>
      <c r="I651" s="2">
        <v>53.1</v>
      </c>
      <c r="J651">
        <v>47.942662293816916</v>
      </c>
      <c r="L651">
        <v>-3</v>
      </c>
    </row>
    <row r="652" spans="1:12" x14ac:dyDescent="0.25">
      <c r="A652">
        <v>2025</v>
      </c>
      <c r="B652" t="s">
        <v>149</v>
      </c>
      <c r="C652" t="s">
        <v>7</v>
      </c>
      <c r="D652" s="11">
        <v>3</v>
      </c>
      <c r="E652" s="11">
        <v>11</v>
      </c>
      <c r="F652" s="11">
        <v>11</v>
      </c>
      <c r="G652" s="11">
        <v>2</v>
      </c>
      <c r="H652" t="s">
        <v>126</v>
      </c>
      <c r="I652" s="2">
        <v>53.4</v>
      </c>
      <c r="J652">
        <v>40.98897945403683</v>
      </c>
      <c r="L652">
        <v>-1</v>
      </c>
    </row>
    <row r="653" spans="1:12" x14ac:dyDescent="0.25">
      <c r="A653">
        <v>2025</v>
      </c>
      <c r="B653" t="s">
        <v>149</v>
      </c>
      <c r="C653" t="s">
        <v>7</v>
      </c>
      <c r="D653" s="11">
        <v>3</v>
      </c>
      <c r="E653" s="11">
        <v>12</v>
      </c>
      <c r="F653" s="11">
        <v>11</v>
      </c>
      <c r="G653" s="11">
        <v>24</v>
      </c>
      <c r="H653" t="s">
        <v>40</v>
      </c>
      <c r="I653" s="2">
        <v>51.7</v>
      </c>
      <c r="J653">
        <v>44.817339153081896</v>
      </c>
      <c r="L653">
        <v>-2</v>
      </c>
    </row>
    <row r="654" spans="1:12" x14ac:dyDescent="0.25">
      <c r="A654">
        <v>2025</v>
      </c>
      <c r="B654" t="s">
        <v>149</v>
      </c>
      <c r="C654" t="s">
        <v>7</v>
      </c>
      <c r="D654" s="11">
        <v>3</v>
      </c>
      <c r="E654" s="11">
        <v>13</v>
      </c>
      <c r="F654" s="11">
        <v>11</v>
      </c>
      <c r="G654" s="11">
        <v>57</v>
      </c>
      <c r="H654" t="s">
        <v>43</v>
      </c>
      <c r="I654" s="2">
        <v>51.8</v>
      </c>
      <c r="J654">
        <v>34.220557538342817</v>
      </c>
      <c r="L654">
        <v>1</v>
      </c>
    </row>
    <row r="655" spans="1:12" x14ac:dyDescent="0.25">
      <c r="A655">
        <v>2025</v>
      </c>
      <c r="B655" t="s">
        <v>149</v>
      </c>
      <c r="C655" t="s">
        <v>7</v>
      </c>
      <c r="D655" s="11">
        <v>3</v>
      </c>
      <c r="E655" s="11">
        <v>13</v>
      </c>
      <c r="F655" s="11">
        <v>12</v>
      </c>
      <c r="G655" s="11">
        <v>44</v>
      </c>
      <c r="H655" t="s">
        <v>123</v>
      </c>
      <c r="I655" s="2">
        <v>50</v>
      </c>
      <c r="J655">
        <v>29.639939332659246</v>
      </c>
      <c r="L655">
        <v>-3</v>
      </c>
    </row>
    <row r="656" spans="1:12" x14ac:dyDescent="0.25">
      <c r="A656">
        <v>2025</v>
      </c>
      <c r="B656" t="s">
        <v>149</v>
      </c>
      <c r="C656" t="s">
        <v>7</v>
      </c>
      <c r="D656" s="11">
        <v>3</v>
      </c>
      <c r="E656" s="11">
        <v>12</v>
      </c>
      <c r="F656" s="11">
        <v>12</v>
      </c>
      <c r="G656" s="11">
        <v>25</v>
      </c>
      <c r="H656" t="s">
        <v>130</v>
      </c>
      <c r="I656" s="2">
        <v>50.7</v>
      </c>
      <c r="J656">
        <v>39.553095478838642</v>
      </c>
      <c r="L656">
        <v>0</v>
      </c>
    </row>
    <row r="657" spans="1:13" x14ac:dyDescent="0.25">
      <c r="A657">
        <v>2025</v>
      </c>
      <c r="B657" t="s">
        <v>149</v>
      </c>
      <c r="C657" t="s">
        <v>7</v>
      </c>
      <c r="D657" s="11">
        <v>3</v>
      </c>
      <c r="E657" s="11">
        <v>11</v>
      </c>
      <c r="F657" s="11">
        <v>12</v>
      </c>
      <c r="G657" s="11">
        <v>27</v>
      </c>
      <c r="H657" t="s">
        <v>35</v>
      </c>
      <c r="I657" s="2">
        <v>52.4</v>
      </c>
      <c r="J657">
        <v>49.356998411093443</v>
      </c>
      <c r="L657">
        <v>0</v>
      </c>
    </row>
    <row r="658" spans="1:13" x14ac:dyDescent="0.25">
      <c r="A658">
        <v>2025</v>
      </c>
      <c r="B658" t="s">
        <v>149</v>
      </c>
      <c r="C658" t="s">
        <v>7</v>
      </c>
      <c r="D658" s="11">
        <v>3</v>
      </c>
      <c r="E658" s="11">
        <v>10</v>
      </c>
      <c r="F658" s="11">
        <v>12</v>
      </c>
      <c r="G658" s="11">
        <v>6</v>
      </c>
      <c r="H658" t="s">
        <v>119</v>
      </c>
      <c r="I658" s="2">
        <v>49</v>
      </c>
      <c r="J658">
        <v>32.178789542106017</v>
      </c>
      <c r="L658">
        <v>4</v>
      </c>
    </row>
    <row r="659" spans="1:13" x14ac:dyDescent="0.25">
      <c r="A659">
        <v>2025</v>
      </c>
      <c r="B659" t="s">
        <v>149</v>
      </c>
      <c r="C659" t="s">
        <v>7</v>
      </c>
      <c r="D659" s="11">
        <v>3</v>
      </c>
      <c r="E659" s="11">
        <v>9</v>
      </c>
      <c r="F659" s="11">
        <v>12</v>
      </c>
      <c r="G659" s="11">
        <v>12</v>
      </c>
      <c r="H659" t="s">
        <v>92</v>
      </c>
      <c r="I659" s="2">
        <v>48.8</v>
      </c>
      <c r="J659">
        <v>34.960313447927199</v>
      </c>
      <c r="L659">
        <v>-3</v>
      </c>
    </row>
    <row r="660" spans="1:13" x14ac:dyDescent="0.25">
      <c r="A660">
        <v>2025</v>
      </c>
      <c r="B660" t="s">
        <v>149</v>
      </c>
      <c r="C660" t="s">
        <v>7</v>
      </c>
      <c r="D660" s="11">
        <v>3</v>
      </c>
      <c r="E660" s="11">
        <v>8</v>
      </c>
      <c r="F660" s="11">
        <v>12</v>
      </c>
      <c r="G660" s="11">
        <v>7</v>
      </c>
      <c r="H660" t="s">
        <v>150</v>
      </c>
      <c r="I660" s="2">
        <v>48.7</v>
      </c>
      <c r="J660">
        <v>29.45441860465116</v>
      </c>
      <c r="L660">
        <v>3</v>
      </c>
    </row>
    <row r="661" spans="1:13" x14ac:dyDescent="0.25">
      <c r="A661">
        <v>2025</v>
      </c>
      <c r="B661" t="s">
        <v>149</v>
      </c>
      <c r="C661" t="s">
        <v>7</v>
      </c>
      <c r="D661" s="11">
        <v>3</v>
      </c>
      <c r="E661" s="11">
        <v>7</v>
      </c>
      <c r="F661" s="11">
        <v>12</v>
      </c>
      <c r="G661" s="11">
        <v>43</v>
      </c>
      <c r="H661" t="s">
        <v>125</v>
      </c>
      <c r="I661" s="2" t="s">
        <v>12</v>
      </c>
      <c r="J661">
        <v>15.933427704752273</v>
      </c>
      <c r="L661">
        <v>-2</v>
      </c>
    </row>
    <row r="662" spans="1:13" x14ac:dyDescent="0.25">
      <c r="A662">
        <v>2025</v>
      </c>
      <c r="B662" t="s">
        <v>149</v>
      </c>
      <c r="C662" t="s">
        <v>7</v>
      </c>
      <c r="D662" s="11">
        <v>3</v>
      </c>
      <c r="E662" s="11">
        <v>6</v>
      </c>
      <c r="F662" s="11">
        <v>12</v>
      </c>
      <c r="G662" s="11">
        <v>40</v>
      </c>
      <c r="H662" t="s">
        <v>121</v>
      </c>
      <c r="I662" s="2">
        <v>52.9</v>
      </c>
      <c r="J662">
        <v>40.508346092734357</v>
      </c>
      <c r="L662">
        <v>-1</v>
      </c>
    </row>
    <row r="663" spans="1:13" x14ac:dyDescent="0.25">
      <c r="A663">
        <v>2025</v>
      </c>
      <c r="B663" t="s">
        <v>149</v>
      </c>
      <c r="C663" t="s">
        <v>7</v>
      </c>
      <c r="D663" s="11">
        <v>3</v>
      </c>
      <c r="E663" s="11">
        <v>5</v>
      </c>
      <c r="F663" s="11">
        <v>12</v>
      </c>
      <c r="G663" s="11">
        <v>8</v>
      </c>
      <c r="H663" t="s">
        <v>118</v>
      </c>
      <c r="I663" s="2">
        <v>52.3</v>
      </c>
      <c r="J663">
        <v>40.212046800520007</v>
      </c>
      <c r="L663">
        <v>-2</v>
      </c>
    </row>
    <row r="664" spans="1:13" x14ac:dyDescent="0.25">
      <c r="A664">
        <v>2025</v>
      </c>
      <c r="B664" t="s">
        <v>149</v>
      </c>
      <c r="C664" t="s">
        <v>7</v>
      </c>
      <c r="D664" s="11">
        <v>3</v>
      </c>
      <c r="E664" s="11">
        <v>4</v>
      </c>
      <c r="F664" s="11">
        <v>12</v>
      </c>
      <c r="G664" s="11">
        <v>29</v>
      </c>
      <c r="H664" t="s">
        <v>27</v>
      </c>
      <c r="I664" s="2">
        <v>49.5</v>
      </c>
      <c r="J664">
        <v>37.581913910154555</v>
      </c>
      <c r="L664">
        <v>1</v>
      </c>
    </row>
    <row r="665" spans="1:13" x14ac:dyDescent="0.25">
      <c r="A665">
        <v>2025</v>
      </c>
      <c r="B665" t="s">
        <v>149</v>
      </c>
      <c r="C665" t="s">
        <v>7</v>
      </c>
      <c r="D665" s="11">
        <v>3</v>
      </c>
      <c r="E665" s="11">
        <v>3</v>
      </c>
      <c r="F665" s="11">
        <v>12</v>
      </c>
      <c r="G665" s="11">
        <v>11</v>
      </c>
      <c r="H665" t="s">
        <v>90</v>
      </c>
      <c r="I665" s="2">
        <v>52.3</v>
      </c>
      <c r="J665">
        <v>43.442166690741004</v>
      </c>
      <c r="L665">
        <v>1</v>
      </c>
    </row>
    <row r="666" spans="1:13" x14ac:dyDescent="0.25">
      <c r="A666">
        <v>2025</v>
      </c>
      <c r="B666" t="s">
        <v>149</v>
      </c>
      <c r="C666" t="s">
        <v>7</v>
      </c>
      <c r="D666" s="11">
        <v>3</v>
      </c>
      <c r="E666" s="11">
        <v>2</v>
      </c>
      <c r="F666" s="11">
        <v>12</v>
      </c>
      <c r="G666" s="11">
        <v>47</v>
      </c>
      <c r="H666" t="s">
        <v>153</v>
      </c>
      <c r="I666" s="2">
        <v>52.8</v>
      </c>
      <c r="J666">
        <v>47.760242669362981</v>
      </c>
      <c r="L666">
        <v>-2</v>
      </c>
    </row>
    <row r="667" spans="1:13" x14ac:dyDescent="0.25">
      <c r="A667">
        <v>2025</v>
      </c>
      <c r="B667" t="s">
        <v>149</v>
      </c>
      <c r="C667" t="s">
        <v>7</v>
      </c>
      <c r="D667" s="11">
        <v>3</v>
      </c>
      <c r="E667" s="11">
        <v>1</v>
      </c>
      <c r="F667" s="11">
        <v>12</v>
      </c>
      <c r="G667" s="11">
        <v>41</v>
      </c>
      <c r="H667" t="s">
        <v>124</v>
      </c>
      <c r="I667" s="2">
        <v>49.6</v>
      </c>
      <c r="J667">
        <v>28.695842842698251</v>
      </c>
      <c r="L667">
        <v>-2</v>
      </c>
    </row>
    <row r="668" spans="1:13" x14ac:dyDescent="0.25">
      <c r="A668">
        <v>2025</v>
      </c>
      <c r="B668" s="31" t="s">
        <v>149</v>
      </c>
      <c r="C668" s="31" t="s">
        <v>156</v>
      </c>
      <c r="D668" s="32">
        <v>1</v>
      </c>
      <c r="E668" s="32">
        <v>23</v>
      </c>
      <c r="F668" s="32">
        <v>1</v>
      </c>
      <c r="G668" s="32">
        <v>30</v>
      </c>
      <c r="H668" s="31" t="s">
        <v>21</v>
      </c>
      <c r="I668" s="2">
        <v>58.5</v>
      </c>
      <c r="J668">
        <v>54.077684393230797</v>
      </c>
      <c r="K668" s="59">
        <v>14.6</v>
      </c>
      <c r="M668">
        <v>1</v>
      </c>
    </row>
    <row r="669" spans="1:13" x14ac:dyDescent="0.25">
      <c r="A669">
        <v>2025</v>
      </c>
      <c r="B669" s="31" t="s">
        <v>149</v>
      </c>
      <c r="C669" s="31" t="s">
        <v>156</v>
      </c>
      <c r="D669" s="32">
        <v>2</v>
      </c>
      <c r="E669" s="32">
        <v>24</v>
      </c>
      <c r="F669" s="32">
        <v>3</v>
      </c>
      <c r="G669" s="32">
        <v>30</v>
      </c>
      <c r="H669" s="31" t="s">
        <v>21</v>
      </c>
      <c r="I669" s="2">
        <v>58.3</v>
      </c>
      <c r="J669">
        <v>50.038325924497371</v>
      </c>
      <c r="K669" s="31"/>
    </row>
    <row r="670" spans="1:13" x14ac:dyDescent="0.25">
      <c r="A670">
        <v>2025</v>
      </c>
      <c r="B670" s="31" t="s">
        <v>149</v>
      </c>
      <c r="C670" s="31" t="s">
        <v>156</v>
      </c>
      <c r="D670" s="32">
        <v>3</v>
      </c>
      <c r="E670" s="32">
        <v>15</v>
      </c>
      <c r="F670" s="32">
        <v>6</v>
      </c>
      <c r="G670" s="32">
        <v>30</v>
      </c>
      <c r="H670" s="31" t="s">
        <v>21</v>
      </c>
      <c r="I670" s="2">
        <v>57.5</v>
      </c>
      <c r="J670">
        <v>51.807318363225463</v>
      </c>
      <c r="K670" s="31"/>
    </row>
    <row r="671" spans="1:13" x14ac:dyDescent="0.25">
      <c r="A671">
        <v>2025</v>
      </c>
      <c r="B671" s="31" t="s">
        <v>149</v>
      </c>
      <c r="C671" s="31" t="s">
        <v>156</v>
      </c>
      <c r="D671" s="32">
        <v>1</v>
      </c>
      <c r="E671" s="32">
        <v>2</v>
      </c>
      <c r="F671" s="32">
        <v>2</v>
      </c>
      <c r="G671" s="32">
        <v>39</v>
      </c>
      <c r="H671" s="31" t="s">
        <v>22</v>
      </c>
      <c r="I671" s="2">
        <v>53.6</v>
      </c>
      <c r="J671">
        <v>47.441730728310269</v>
      </c>
      <c r="K671" s="59">
        <v>14.9</v>
      </c>
      <c r="M671">
        <v>3</v>
      </c>
    </row>
    <row r="672" spans="1:13" x14ac:dyDescent="0.25">
      <c r="A672">
        <v>2025</v>
      </c>
      <c r="B672" s="31" t="s">
        <v>149</v>
      </c>
      <c r="C672" s="31" t="s">
        <v>156</v>
      </c>
      <c r="D672" s="32">
        <v>2</v>
      </c>
      <c r="E672" s="32">
        <v>17</v>
      </c>
      <c r="F672" s="32">
        <v>4</v>
      </c>
      <c r="G672" s="32">
        <v>39</v>
      </c>
      <c r="H672" s="31" t="s">
        <v>22</v>
      </c>
      <c r="I672" s="2">
        <v>57.3</v>
      </c>
      <c r="J672">
        <v>49.883291225674284</v>
      </c>
      <c r="K672" s="31"/>
    </row>
    <row r="673" spans="1:13" x14ac:dyDescent="0.25">
      <c r="A673">
        <v>2025</v>
      </c>
      <c r="B673" s="31" t="s">
        <v>149</v>
      </c>
      <c r="C673" s="31" t="s">
        <v>156</v>
      </c>
      <c r="D673" s="32">
        <v>3</v>
      </c>
      <c r="E673" s="32">
        <v>16</v>
      </c>
      <c r="F673" s="32">
        <v>5</v>
      </c>
      <c r="G673" s="32">
        <v>39</v>
      </c>
      <c r="H673" s="31" t="s">
        <v>22</v>
      </c>
      <c r="I673" s="2">
        <v>54.5</v>
      </c>
      <c r="J673">
        <v>44.945559531869613</v>
      </c>
      <c r="K673" s="59"/>
    </row>
    <row r="674" spans="1:13" x14ac:dyDescent="0.25">
      <c r="A674">
        <v>2025</v>
      </c>
      <c r="B674" s="31" t="s">
        <v>149</v>
      </c>
      <c r="C674" s="31" t="s">
        <v>156</v>
      </c>
      <c r="D674" s="32">
        <v>1</v>
      </c>
      <c r="E674" s="32">
        <v>21</v>
      </c>
      <c r="F674" s="32">
        <v>1</v>
      </c>
      <c r="G674" s="32">
        <v>38</v>
      </c>
      <c r="H674" s="31" t="s">
        <v>23</v>
      </c>
      <c r="I674" s="2">
        <v>60.1</v>
      </c>
      <c r="J674">
        <v>55.440572778554561</v>
      </c>
      <c r="K674" s="59">
        <v>14.1</v>
      </c>
      <c r="M674">
        <v>1</v>
      </c>
    </row>
    <row r="675" spans="1:13" x14ac:dyDescent="0.25">
      <c r="A675">
        <v>2025</v>
      </c>
      <c r="B675" s="31" t="s">
        <v>149</v>
      </c>
      <c r="C675" s="31" t="s">
        <v>156</v>
      </c>
      <c r="D675" s="32">
        <v>2</v>
      </c>
      <c r="E675" s="32">
        <v>11</v>
      </c>
      <c r="F675" s="32">
        <v>3</v>
      </c>
      <c r="G675" s="32">
        <v>38</v>
      </c>
      <c r="H675" s="31" t="s">
        <v>23</v>
      </c>
      <c r="I675" s="2">
        <v>57.6</v>
      </c>
      <c r="J675">
        <v>50.593911576105292</v>
      </c>
      <c r="K675" s="59"/>
    </row>
    <row r="676" spans="1:13" x14ac:dyDescent="0.25">
      <c r="A676">
        <v>2025</v>
      </c>
      <c r="B676" s="31" t="s">
        <v>149</v>
      </c>
      <c r="C676" s="31" t="s">
        <v>156</v>
      </c>
      <c r="D676" s="32">
        <v>3</v>
      </c>
      <c r="E676" s="32">
        <v>8</v>
      </c>
      <c r="F676" s="32">
        <v>5</v>
      </c>
      <c r="G676" s="32">
        <v>38</v>
      </c>
      <c r="H676" s="31" t="s">
        <v>23</v>
      </c>
      <c r="I676" s="2">
        <v>58.2</v>
      </c>
      <c r="J676">
        <v>42.721674243156983</v>
      </c>
      <c r="K676" s="31"/>
    </row>
    <row r="677" spans="1:13" x14ac:dyDescent="0.25">
      <c r="A677">
        <v>2025</v>
      </c>
      <c r="B677" s="31" t="s">
        <v>149</v>
      </c>
      <c r="C677" s="31" t="s">
        <v>156</v>
      </c>
      <c r="D677" s="32">
        <v>1</v>
      </c>
      <c r="E677" s="32">
        <v>10</v>
      </c>
      <c r="F677" s="32">
        <v>1</v>
      </c>
      <c r="G677" s="32">
        <v>37</v>
      </c>
      <c r="H677" s="31" t="s">
        <v>89</v>
      </c>
      <c r="I677" s="2">
        <v>53.3</v>
      </c>
      <c r="J677">
        <v>43.633296562364393</v>
      </c>
      <c r="K677" s="59">
        <v>16</v>
      </c>
      <c r="M677">
        <v>4</v>
      </c>
    </row>
    <row r="678" spans="1:13" x14ac:dyDescent="0.25">
      <c r="A678">
        <v>2025</v>
      </c>
      <c r="B678" s="31" t="s">
        <v>149</v>
      </c>
      <c r="C678" s="31" t="s">
        <v>156</v>
      </c>
      <c r="D678" s="32">
        <v>2</v>
      </c>
      <c r="E678" s="32">
        <v>16</v>
      </c>
      <c r="F678" s="32">
        <v>3</v>
      </c>
      <c r="G678" s="32">
        <v>37</v>
      </c>
      <c r="H678" s="31" t="s">
        <v>89</v>
      </c>
      <c r="I678" s="2">
        <v>60.5</v>
      </c>
      <c r="J678">
        <v>58.805264934188308</v>
      </c>
      <c r="K678" s="61"/>
    </row>
    <row r="679" spans="1:13" x14ac:dyDescent="0.25">
      <c r="A679">
        <v>2025</v>
      </c>
      <c r="B679" s="31" t="s">
        <v>149</v>
      </c>
      <c r="C679" s="31" t="s">
        <v>156</v>
      </c>
      <c r="D679" s="32">
        <v>3</v>
      </c>
      <c r="E679" s="32">
        <v>3</v>
      </c>
      <c r="F679" s="32">
        <v>6</v>
      </c>
      <c r="G679" s="32">
        <v>37</v>
      </c>
      <c r="H679" s="31" t="s">
        <v>89</v>
      </c>
      <c r="I679" s="2">
        <v>58.5</v>
      </c>
      <c r="J679">
        <v>56.834530461124196</v>
      </c>
      <c r="K679" s="31"/>
    </row>
    <row r="680" spans="1:13" x14ac:dyDescent="0.25">
      <c r="A680">
        <v>2025</v>
      </c>
      <c r="B680" s="31" t="s">
        <v>149</v>
      </c>
      <c r="C680" s="31" t="s">
        <v>156</v>
      </c>
      <c r="D680" s="32">
        <v>1</v>
      </c>
      <c r="E680" s="32">
        <v>26</v>
      </c>
      <c r="F680" s="32">
        <v>1</v>
      </c>
      <c r="G680" s="32">
        <v>40</v>
      </c>
      <c r="H680" s="31" t="s">
        <v>121</v>
      </c>
      <c r="I680" s="2">
        <v>58.1</v>
      </c>
      <c r="J680">
        <v>58.575055686803907</v>
      </c>
      <c r="K680" s="59">
        <v>13.5</v>
      </c>
      <c r="M680">
        <v>2</v>
      </c>
    </row>
    <row r="681" spans="1:13" x14ac:dyDescent="0.25">
      <c r="A681">
        <v>2025</v>
      </c>
      <c r="B681" s="31" t="s">
        <v>149</v>
      </c>
      <c r="C681" s="31" t="s">
        <v>156</v>
      </c>
      <c r="D681" s="32">
        <v>2</v>
      </c>
      <c r="E681" s="32">
        <v>7</v>
      </c>
      <c r="F681" s="32">
        <v>4</v>
      </c>
      <c r="G681" s="32">
        <v>40</v>
      </c>
      <c r="H681" s="31" t="s">
        <v>121</v>
      </c>
      <c r="I681" s="2">
        <v>57.5</v>
      </c>
      <c r="J681">
        <v>42.320218504609073</v>
      </c>
      <c r="K681" s="61"/>
    </row>
    <row r="682" spans="1:13" x14ac:dyDescent="0.25">
      <c r="A682">
        <v>2025</v>
      </c>
      <c r="B682" s="31" t="s">
        <v>149</v>
      </c>
      <c r="C682" s="31" t="s">
        <v>156</v>
      </c>
      <c r="D682" s="32">
        <v>3</v>
      </c>
      <c r="E682" s="32">
        <v>6</v>
      </c>
      <c r="F682" s="32">
        <v>6</v>
      </c>
      <c r="G682" s="32">
        <v>40</v>
      </c>
      <c r="H682" s="31" t="s">
        <v>121</v>
      </c>
      <c r="I682" s="2">
        <v>53.8</v>
      </c>
      <c r="J682">
        <v>32.192446506707689</v>
      </c>
      <c r="K682" s="31"/>
    </row>
    <row r="683" spans="1:13" x14ac:dyDescent="0.25">
      <c r="A683">
        <v>2025</v>
      </c>
      <c r="B683" s="31" t="s">
        <v>149</v>
      </c>
      <c r="C683" s="31" t="s">
        <v>156</v>
      </c>
      <c r="D683" s="32">
        <v>1</v>
      </c>
      <c r="E683" s="32">
        <v>24</v>
      </c>
      <c r="F683" s="32">
        <v>2</v>
      </c>
      <c r="G683" s="32">
        <v>41</v>
      </c>
      <c r="H683" s="31" t="s">
        <v>124</v>
      </c>
      <c r="I683" s="2">
        <v>58.8</v>
      </c>
      <c r="J683">
        <v>44.935218106199819</v>
      </c>
      <c r="K683" s="59">
        <v>15.1</v>
      </c>
      <c r="M683">
        <v>3</v>
      </c>
    </row>
    <row r="684" spans="1:13" x14ac:dyDescent="0.25">
      <c r="A684">
        <v>2025</v>
      </c>
      <c r="B684" s="31" t="s">
        <v>149</v>
      </c>
      <c r="C684" s="31" t="s">
        <v>156</v>
      </c>
      <c r="D684" s="32">
        <v>2</v>
      </c>
      <c r="E684" s="32">
        <v>12</v>
      </c>
      <c r="F684" s="32">
        <v>3</v>
      </c>
      <c r="G684" s="32">
        <v>41</v>
      </c>
      <c r="H684" s="31" t="s">
        <v>124</v>
      </c>
      <c r="I684" s="2">
        <v>58.9</v>
      </c>
      <c r="J684">
        <v>44.802810134516172</v>
      </c>
      <c r="K684" s="31"/>
    </row>
    <row r="685" spans="1:13" x14ac:dyDescent="0.25">
      <c r="A685">
        <v>2025</v>
      </c>
      <c r="B685" s="31" t="s">
        <v>149</v>
      </c>
      <c r="C685" s="31" t="s">
        <v>156</v>
      </c>
      <c r="D685" s="32">
        <v>3</v>
      </c>
      <c r="E685" s="32">
        <v>15</v>
      </c>
      <c r="F685" s="32">
        <v>5</v>
      </c>
      <c r="G685" s="32">
        <v>41</v>
      </c>
      <c r="H685" s="31" t="s">
        <v>124</v>
      </c>
      <c r="I685" s="2">
        <v>59.7</v>
      </c>
      <c r="J685">
        <v>48.176144307960151</v>
      </c>
      <c r="K685" s="61"/>
    </row>
    <row r="686" spans="1:13" x14ac:dyDescent="0.25">
      <c r="A686">
        <v>2025</v>
      </c>
      <c r="B686" s="31" t="s">
        <v>149</v>
      </c>
      <c r="C686" s="31" t="s">
        <v>156</v>
      </c>
      <c r="D686" s="32">
        <v>1</v>
      </c>
      <c r="E686" s="32">
        <v>9</v>
      </c>
      <c r="F686" s="32">
        <v>2</v>
      </c>
      <c r="G686" s="32">
        <v>20</v>
      </c>
      <c r="H686" s="31" t="s">
        <v>24</v>
      </c>
      <c r="I686" s="2">
        <v>59</v>
      </c>
      <c r="J686">
        <v>57.732904729664376</v>
      </c>
      <c r="K686" s="59">
        <v>13.9</v>
      </c>
      <c r="M686">
        <v>3</v>
      </c>
    </row>
    <row r="687" spans="1:13" x14ac:dyDescent="0.25">
      <c r="A687">
        <v>2025</v>
      </c>
      <c r="B687" s="31" t="s">
        <v>149</v>
      </c>
      <c r="C687" s="31" t="s">
        <v>156</v>
      </c>
      <c r="D687" s="32">
        <v>2</v>
      </c>
      <c r="E687" s="32">
        <v>19</v>
      </c>
      <c r="F687" s="32">
        <v>3</v>
      </c>
      <c r="G687" s="32">
        <v>20</v>
      </c>
      <c r="H687" s="31" t="s">
        <v>24</v>
      </c>
      <c r="I687" s="2">
        <v>57.3</v>
      </c>
      <c r="J687">
        <v>39.00120775276023</v>
      </c>
      <c r="K687" s="61"/>
    </row>
    <row r="688" spans="1:13" x14ac:dyDescent="0.25">
      <c r="A688">
        <v>2025</v>
      </c>
      <c r="B688" s="31" t="s">
        <v>149</v>
      </c>
      <c r="C688" s="31" t="s">
        <v>156</v>
      </c>
      <c r="D688" s="32">
        <v>3</v>
      </c>
      <c r="E688" s="32">
        <v>1</v>
      </c>
      <c r="F688" s="32">
        <v>6</v>
      </c>
      <c r="G688" s="32">
        <v>20</v>
      </c>
      <c r="H688" s="31" t="s">
        <v>24</v>
      </c>
      <c r="I688" s="2">
        <v>56.1</v>
      </c>
      <c r="J688">
        <v>40.584002019522039</v>
      </c>
      <c r="K688" s="59"/>
    </row>
    <row r="689" spans="1:13" x14ac:dyDescent="0.25">
      <c r="A689">
        <v>2025</v>
      </c>
      <c r="B689" s="31" t="s">
        <v>149</v>
      </c>
      <c r="C689" s="31" t="s">
        <v>156</v>
      </c>
      <c r="D689" s="32">
        <v>1</v>
      </c>
      <c r="E689" s="32">
        <v>13</v>
      </c>
      <c r="F689" s="32">
        <v>2</v>
      </c>
      <c r="G689" s="32">
        <v>32</v>
      </c>
      <c r="H689" s="31" t="s">
        <v>25</v>
      </c>
      <c r="I689" s="2">
        <v>61.4</v>
      </c>
      <c r="J689">
        <v>58.020032498307373</v>
      </c>
      <c r="K689" s="59">
        <v>14.4</v>
      </c>
      <c r="M689">
        <v>3</v>
      </c>
    </row>
    <row r="690" spans="1:13" x14ac:dyDescent="0.25">
      <c r="A690">
        <v>2025</v>
      </c>
      <c r="B690" s="31" t="s">
        <v>149</v>
      </c>
      <c r="C690" s="31" t="s">
        <v>156</v>
      </c>
      <c r="D690" s="32">
        <v>2</v>
      </c>
      <c r="E690" s="32">
        <v>6</v>
      </c>
      <c r="F690" s="32">
        <v>4</v>
      </c>
      <c r="G690" s="32">
        <v>32</v>
      </c>
      <c r="H690" s="31" t="s">
        <v>25</v>
      </c>
      <c r="I690" s="2">
        <v>55.7</v>
      </c>
      <c r="J690">
        <v>34.649758571916301</v>
      </c>
      <c r="K690" s="59"/>
    </row>
    <row r="691" spans="1:13" x14ac:dyDescent="0.25">
      <c r="A691">
        <v>2025</v>
      </c>
      <c r="B691" s="31" t="s">
        <v>149</v>
      </c>
      <c r="C691" s="31" t="s">
        <v>156</v>
      </c>
      <c r="D691" s="32">
        <v>3</v>
      </c>
      <c r="E691" s="32">
        <v>23</v>
      </c>
      <c r="F691" s="32">
        <v>6</v>
      </c>
      <c r="G691" s="32">
        <v>32</v>
      </c>
      <c r="H691" s="31" t="s">
        <v>25</v>
      </c>
      <c r="I691" s="2">
        <v>60.2</v>
      </c>
      <c r="J691">
        <v>50.116183007164487</v>
      </c>
      <c r="K691" s="61"/>
    </row>
    <row r="692" spans="1:13" x14ac:dyDescent="0.25">
      <c r="A692">
        <v>2025</v>
      </c>
      <c r="B692" s="31" t="s">
        <v>149</v>
      </c>
      <c r="C692" s="31" t="s">
        <v>156</v>
      </c>
      <c r="D692" s="32">
        <v>1</v>
      </c>
      <c r="E692" s="32">
        <v>17</v>
      </c>
      <c r="F692" s="32">
        <v>1</v>
      </c>
      <c r="G692" s="32">
        <v>21</v>
      </c>
      <c r="H692" s="31" t="s">
        <v>26</v>
      </c>
      <c r="I692" s="2">
        <v>57.7</v>
      </c>
      <c r="J692">
        <v>53.921564051877922</v>
      </c>
      <c r="K692" s="59">
        <v>14.5</v>
      </c>
      <c r="M692">
        <v>2</v>
      </c>
    </row>
    <row r="693" spans="1:13" x14ac:dyDescent="0.25">
      <c r="A693">
        <v>2025</v>
      </c>
      <c r="B693" s="31" t="s">
        <v>149</v>
      </c>
      <c r="C693" s="31" t="s">
        <v>156</v>
      </c>
      <c r="D693" s="32">
        <v>2</v>
      </c>
      <c r="E693" s="32">
        <v>11</v>
      </c>
      <c r="F693" s="32">
        <v>4</v>
      </c>
      <c r="G693" s="32">
        <v>21</v>
      </c>
      <c r="H693" s="31" t="s">
        <v>26</v>
      </c>
      <c r="I693" s="2">
        <v>55.3</v>
      </c>
      <c r="J693">
        <v>52.868501194947072</v>
      </c>
      <c r="K693" s="31"/>
    </row>
    <row r="694" spans="1:13" x14ac:dyDescent="0.25">
      <c r="A694">
        <v>2025</v>
      </c>
      <c r="B694" s="31" t="s">
        <v>149</v>
      </c>
      <c r="C694" s="31" t="s">
        <v>156</v>
      </c>
      <c r="D694" s="32">
        <v>3</v>
      </c>
      <c r="E694" s="32">
        <v>23</v>
      </c>
      <c r="F694" s="32">
        <v>5</v>
      </c>
      <c r="G694" s="32">
        <v>21</v>
      </c>
      <c r="H694" s="31" t="s">
        <v>26</v>
      </c>
      <c r="I694" s="2">
        <v>55.9</v>
      </c>
      <c r="J694">
        <v>45.507328755198763</v>
      </c>
      <c r="K694" s="31"/>
    </row>
    <row r="695" spans="1:13" x14ac:dyDescent="0.25">
      <c r="A695">
        <v>2025</v>
      </c>
      <c r="B695" s="31" t="s">
        <v>149</v>
      </c>
      <c r="C695" s="31" t="s">
        <v>156</v>
      </c>
      <c r="D695" s="32">
        <v>1</v>
      </c>
      <c r="E695" s="32">
        <v>1</v>
      </c>
      <c r="F695" s="32">
        <v>1</v>
      </c>
      <c r="G695" s="32">
        <v>29</v>
      </c>
      <c r="H695" s="31" t="s">
        <v>27</v>
      </c>
      <c r="I695" s="2">
        <v>55.2</v>
      </c>
      <c r="J695">
        <v>33.919468685212863</v>
      </c>
      <c r="K695" s="59">
        <v>16</v>
      </c>
      <c r="M695">
        <v>2</v>
      </c>
    </row>
    <row r="696" spans="1:13" x14ac:dyDescent="0.25">
      <c r="A696">
        <v>2025</v>
      </c>
      <c r="B696" s="31" t="s">
        <v>149</v>
      </c>
      <c r="C696" s="31" t="s">
        <v>156</v>
      </c>
      <c r="D696" s="32">
        <v>2</v>
      </c>
      <c r="E696" s="32">
        <v>10</v>
      </c>
      <c r="F696" s="32">
        <v>4</v>
      </c>
      <c r="G696" s="32">
        <v>29</v>
      </c>
      <c r="H696" s="31" t="s">
        <v>27</v>
      </c>
      <c r="I696" s="2">
        <v>56.6</v>
      </c>
      <c r="J696">
        <v>48.658429985855733</v>
      </c>
      <c r="K696" s="61"/>
    </row>
    <row r="697" spans="1:13" x14ac:dyDescent="0.25">
      <c r="A697">
        <v>2025</v>
      </c>
      <c r="B697" s="31" t="s">
        <v>149</v>
      </c>
      <c r="C697" s="31" t="s">
        <v>156</v>
      </c>
      <c r="D697" s="32">
        <v>3</v>
      </c>
      <c r="E697" s="32">
        <v>4</v>
      </c>
      <c r="F697" s="32">
        <v>6</v>
      </c>
      <c r="G697" s="32">
        <v>29</v>
      </c>
      <c r="H697" s="31" t="s">
        <v>27</v>
      </c>
      <c r="I697" s="2">
        <v>56.8</v>
      </c>
      <c r="J697">
        <v>46.727695340674124</v>
      </c>
      <c r="K697" s="59"/>
    </row>
    <row r="698" spans="1:13" x14ac:dyDescent="0.25">
      <c r="A698">
        <v>2025</v>
      </c>
      <c r="B698" s="31" t="s">
        <v>149</v>
      </c>
      <c r="C698" s="31" t="s">
        <v>156</v>
      </c>
      <c r="D698" s="32">
        <v>1</v>
      </c>
      <c r="E698" s="32">
        <v>11</v>
      </c>
      <c r="F698" s="32">
        <v>2</v>
      </c>
      <c r="G698" s="32">
        <v>22</v>
      </c>
      <c r="H698" s="31" t="s">
        <v>28</v>
      </c>
      <c r="I698" s="2">
        <v>58.3</v>
      </c>
      <c r="J698">
        <v>51.411880646097302</v>
      </c>
      <c r="K698" s="59">
        <v>14.6</v>
      </c>
      <c r="M698">
        <v>5</v>
      </c>
    </row>
    <row r="699" spans="1:13" x14ac:dyDescent="0.25">
      <c r="A699">
        <v>2025</v>
      </c>
      <c r="B699" s="31" t="s">
        <v>149</v>
      </c>
      <c r="C699" s="31" t="s">
        <v>156</v>
      </c>
      <c r="D699" s="32">
        <v>2</v>
      </c>
      <c r="E699" s="32">
        <v>3</v>
      </c>
      <c r="F699" s="32">
        <v>3</v>
      </c>
      <c r="G699" s="32">
        <v>22</v>
      </c>
      <c r="H699" s="31" t="s">
        <v>28</v>
      </c>
      <c r="I699" s="2">
        <v>55.4</v>
      </c>
      <c r="J699">
        <v>44.556682416469791</v>
      </c>
      <c r="K699" s="31"/>
    </row>
    <row r="700" spans="1:13" x14ac:dyDescent="0.25">
      <c r="A700">
        <v>2025</v>
      </c>
      <c r="B700" s="31" t="s">
        <v>149</v>
      </c>
      <c r="C700" s="31" t="s">
        <v>156</v>
      </c>
      <c r="D700" s="32">
        <v>3</v>
      </c>
      <c r="E700" s="32">
        <v>7</v>
      </c>
      <c r="F700" s="32">
        <v>5</v>
      </c>
      <c r="G700" s="32">
        <v>22</v>
      </c>
      <c r="H700" s="31" t="s">
        <v>28</v>
      </c>
      <c r="I700" s="2">
        <v>59.3</v>
      </c>
      <c r="J700">
        <v>37.49450488441822</v>
      </c>
      <c r="K700" s="59"/>
    </row>
    <row r="701" spans="1:13" x14ac:dyDescent="0.25">
      <c r="A701">
        <v>2025</v>
      </c>
      <c r="B701" s="31" t="s">
        <v>149</v>
      </c>
      <c r="C701" s="31" t="s">
        <v>156</v>
      </c>
      <c r="D701" s="32">
        <v>1</v>
      </c>
      <c r="E701" s="32">
        <v>11</v>
      </c>
      <c r="F701" s="32">
        <v>1</v>
      </c>
      <c r="G701" s="32">
        <v>18</v>
      </c>
      <c r="H701" s="31" t="s">
        <v>29</v>
      </c>
      <c r="I701" s="2">
        <v>53.9</v>
      </c>
      <c r="J701">
        <v>45.02039438792729</v>
      </c>
      <c r="K701" s="59">
        <v>15.6</v>
      </c>
      <c r="M701">
        <v>2</v>
      </c>
    </row>
    <row r="702" spans="1:13" x14ac:dyDescent="0.25">
      <c r="A702">
        <v>2025</v>
      </c>
      <c r="B702" s="31" t="s">
        <v>149</v>
      </c>
      <c r="C702" s="31" t="s">
        <v>156</v>
      </c>
      <c r="D702" s="32">
        <v>2</v>
      </c>
      <c r="E702" s="32">
        <v>25</v>
      </c>
      <c r="F702" s="32">
        <v>3</v>
      </c>
      <c r="G702" s="32">
        <v>18</v>
      </c>
      <c r="H702" s="31" t="s">
        <v>29</v>
      </c>
      <c r="I702" s="2">
        <v>53.3</v>
      </c>
      <c r="J702">
        <v>32.918729087314979</v>
      </c>
      <c r="K702" s="61"/>
    </row>
    <row r="703" spans="1:13" x14ac:dyDescent="0.25">
      <c r="A703">
        <v>2025</v>
      </c>
      <c r="B703" s="31" t="s">
        <v>149</v>
      </c>
      <c r="C703" s="31" t="s">
        <v>156</v>
      </c>
      <c r="D703" s="32">
        <v>3</v>
      </c>
      <c r="E703" s="32">
        <v>2</v>
      </c>
      <c r="F703" s="32">
        <v>6</v>
      </c>
      <c r="G703" s="32">
        <v>18</v>
      </c>
      <c r="H703" s="31" t="s">
        <v>29</v>
      </c>
      <c r="I703" s="2">
        <v>54.8</v>
      </c>
      <c r="J703">
        <v>40.929790354378028</v>
      </c>
      <c r="K703" s="61"/>
    </row>
    <row r="704" spans="1:13" x14ac:dyDescent="0.25">
      <c r="A704">
        <v>2025</v>
      </c>
      <c r="B704" s="31" t="s">
        <v>149</v>
      </c>
      <c r="C704" s="31" t="s">
        <v>156</v>
      </c>
      <c r="D704" s="32">
        <v>1</v>
      </c>
      <c r="E704" s="32">
        <v>15</v>
      </c>
      <c r="F704" s="32">
        <v>1</v>
      </c>
      <c r="G704" s="32">
        <v>14</v>
      </c>
      <c r="H704" s="31" t="s">
        <v>30</v>
      </c>
      <c r="I704" s="2">
        <v>58</v>
      </c>
      <c r="J704">
        <v>48.031118943156066</v>
      </c>
      <c r="K704" s="59">
        <v>16.100000000000001</v>
      </c>
      <c r="M704">
        <v>4</v>
      </c>
    </row>
    <row r="705" spans="1:13" x14ac:dyDescent="0.25">
      <c r="A705">
        <v>2025</v>
      </c>
      <c r="B705" s="31" t="s">
        <v>149</v>
      </c>
      <c r="C705" s="31" t="s">
        <v>156</v>
      </c>
      <c r="D705" s="32">
        <v>2</v>
      </c>
      <c r="E705" s="32">
        <v>14</v>
      </c>
      <c r="F705" s="32">
        <v>4</v>
      </c>
      <c r="G705" s="32">
        <v>14</v>
      </c>
      <c r="H705" s="31" t="s">
        <v>30</v>
      </c>
      <c r="I705" s="2">
        <v>60.1</v>
      </c>
      <c r="J705">
        <v>51.018582646441985</v>
      </c>
      <c r="K705" s="31"/>
    </row>
    <row r="706" spans="1:13" x14ac:dyDescent="0.25">
      <c r="A706">
        <v>2025</v>
      </c>
      <c r="B706" s="31" t="s">
        <v>149</v>
      </c>
      <c r="C706" s="31" t="s">
        <v>156</v>
      </c>
      <c r="D706" s="32">
        <v>3</v>
      </c>
      <c r="E706" s="32">
        <v>20</v>
      </c>
      <c r="F706" s="32">
        <v>5</v>
      </c>
      <c r="G706" s="32">
        <v>14</v>
      </c>
      <c r="H706" s="31" t="s">
        <v>30</v>
      </c>
      <c r="I706" s="2">
        <v>58.9</v>
      </c>
      <c r="J706">
        <v>45.217768836444527</v>
      </c>
      <c r="K706" s="31"/>
    </row>
    <row r="707" spans="1:13" x14ac:dyDescent="0.25">
      <c r="A707">
        <v>2025</v>
      </c>
      <c r="B707" s="31" t="s">
        <v>149</v>
      </c>
      <c r="C707" s="31" t="s">
        <v>156</v>
      </c>
      <c r="D707" s="32">
        <v>1</v>
      </c>
      <c r="E707" s="32">
        <v>8</v>
      </c>
      <c r="F707" s="32">
        <v>1</v>
      </c>
      <c r="G707" s="32">
        <v>15</v>
      </c>
      <c r="H707" s="31" t="s">
        <v>31</v>
      </c>
      <c r="I707" s="2">
        <v>54.8</v>
      </c>
      <c r="J707">
        <v>44.978123330601221</v>
      </c>
      <c r="K707" s="59">
        <v>14.8</v>
      </c>
      <c r="M707">
        <v>5</v>
      </c>
    </row>
    <row r="708" spans="1:13" x14ac:dyDescent="0.25">
      <c r="A708">
        <v>2025</v>
      </c>
      <c r="B708" s="31" t="s">
        <v>149</v>
      </c>
      <c r="C708" s="31" t="s">
        <v>156</v>
      </c>
      <c r="D708" s="32">
        <v>2</v>
      </c>
      <c r="E708" s="32">
        <v>15</v>
      </c>
      <c r="F708" s="32">
        <v>4</v>
      </c>
      <c r="G708" s="32">
        <v>15</v>
      </c>
      <c r="H708" s="31" t="s">
        <v>31</v>
      </c>
      <c r="I708" s="2">
        <v>55.1</v>
      </c>
      <c r="J708">
        <v>51.844701263229773</v>
      </c>
      <c r="K708" s="59"/>
    </row>
    <row r="709" spans="1:13" x14ac:dyDescent="0.25">
      <c r="A709">
        <v>2025</v>
      </c>
      <c r="B709" s="31" t="s">
        <v>149</v>
      </c>
      <c r="C709" s="31" t="s">
        <v>156</v>
      </c>
      <c r="D709" s="32">
        <v>3</v>
      </c>
      <c r="E709" s="32">
        <v>13</v>
      </c>
      <c r="F709" s="32">
        <v>6</v>
      </c>
      <c r="G709" s="32">
        <v>15</v>
      </c>
      <c r="H709" s="31" t="s">
        <v>31</v>
      </c>
      <c r="I709" s="2">
        <v>56.9</v>
      </c>
      <c r="J709">
        <v>45.637967014473219</v>
      </c>
      <c r="K709" s="59"/>
    </row>
    <row r="710" spans="1:13" x14ac:dyDescent="0.25">
      <c r="A710">
        <v>2025</v>
      </c>
      <c r="B710" s="31" t="s">
        <v>149</v>
      </c>
      <c r="C710" s="31" t="s">
        <v>156</v>
      </c>
      <c r="D710" s="32">
        <v>1</v>
      </c>
      <c r="E710" s="32">
        <v>4</v>
      </c>
      <c r="F710" s="32">
        <v>1</v>
      </c>
      <c r="G710" s="32">
        <v>16</v>
      </c>
      <c r="H710" s="31" t="s">
        <v>32</v>
      </c>
      <c r="I710" s="2">
        <v>51.1</v>
      </c>
      <c r="J710">
        <v>30.391105057615349</v>
      </c>
      <c r="K710" s="59">
        <v>16</v>
      </c>
      <c r="M710">
        <v>4</v>
      </c>
    </row>
    <row r="711" spans="1:13" x14ac:dyDescent="0.25">
      <c r="A711">
        <v>2025</v>
      </c>
      <c r="B711" s="31" t="s">
        <v>149</v>
      </c>
      <c r="C711" s="31" t="s">
        <v>156</v>
      </c>
      <c r="D711" s="32">
        <v>2</v>
      </c>
      <c r="E711" s="32">
        <v>26</v>
      </c>
      <c r="F711" s="32">
        <v>4</v>
      </c>
      <c r="G711" s="32">
        <v>16</v>
      </c>
      <c r="H711" s="31" t="s">
        <v>32</v>
      </c>
      <c r="I711" s="2">
        <v>59.8</v>
      </c>
      <c r="J711">
        <v>52.659443788713844</v>
      </c>
      <c r="K711" s="31"/>
    </row>
    <row r="712" spans="1:13" x14ac:dyDescent="0.25">
      <c r="A712">
        <v>2025</v>
      </c>
      <c r="B712" s="31" t="s">
        <v>149</v>
      </c>
      <c r="C712" s="31" t="s">
        <v>156</v>
      </c>
      <c r="D712" s="32">
        <v>3</v>
      </c>
      <c r="E712" s="32">
        <v>7</v>
      </c>
      <c r="F712" s="32">
        <v>6</v>
      </c>
      <c r="G712" s="32">
        <v>16</v>
      </c>
      <c r="H712" s="31" t="s">
        <v>32</v>
      </c>
      <c r="I712" s="2">
        <v>54.4</v>
      </c>
      <c r="J712">
        <v>33.412369091695915</v>
      </c>
      <c r="K712" s="31"/>
    </row>
    <row r="713" spans="1:13" x14ac:dyDescent="0.25">
      <c r="A713">
        <v>2025</v>
      </c>
      <c r="B713" s="31" t="s">
        <v>149</v>
      </c>
      <c r="C713" s="31" t="s">
        <v>156</v>
      </c>
      <c r="D713" s="32">
        <v>1</v>
      </c>
      <c r="E713" s="32">
        <v>18</v>
      </c>
      <c r="F713" s="32">
        <v>1</v>
      </c>
      <c r="G713" s="32">
        <v>11</v>
      </c>
      <c r="H713" s="31" t="s">
        <v>90</v>
      </c>
      <c r="I713" s="2">
        <v>58.8</v>
      </c>
      <c r="J713">
        <v>46.60985487681404</v>
      </c>
      <c r="K713" s="59">
        <v>15.1</v>
      </c>
      <c r="M713">
        <v>4</v>
      </c>
    </row>
    <row r="714" spans="1:13" x14ac:dyDescent="0.25">
      <c r="A714">
        <v>2025</v>
      </c>
      <c r="B714" s="31" t="s">
        <v>149</v>
      </c>
      <c r="C714" s="31" t="s">
        <v>156</v>
      </c>
      <c r="D714" s="32">
        <v>2</v>
      </c>
      <c r="E714" s="32">
        <v>4</v>
      </c>
      <c r="F714" s="32">
        <v>3</v>
      </c>
      <c r="G714" s="32">
        <v>11</v>
      </c>
      <c r="H714" s="31" t="s">
        <v>90</v>
      </c>
      <c r="I714" s="2">
        <v>57.8</v>
      </c>
      <c r="J714">
        <v>40.075024347909938</v>
      </c>
      <c r="K714" s="61"/>
    </row>
    <row r="715" spans="1:13" x14ac:dyDescent="0.25">
      <c r="A715">
        <v>2025</v>
      </c>
      <c r="B715" s="31" t="s">
        <v>149</v>
      </c>
      <c r="C715" s="31" t="s">
        <v>156</v>
      </c>
      <c r="D715" s="32">
        <v>3</v>
      </c>
      <c r="E715" s="32">
        <v>10</v>
      </c>
      <c r="F715" s="32">
        <v>5</v>
      </c>
      <c r="G715" s="32">
        <v>11</v>
      </c>
      <c r="H715" s="31" t="s">
        <v>90</v>
      </c>
      <c r="I715" s="2">
        <v>60.1</v>
      </c>
      <c r="J715">
        <v>45.120932875519877</v>
      </c>
      <c r="K715" s="59"/>
    </row>
    <row r="716" spans="1:13" x14ac:dyDescent="0.25">
      <c r="A716">
        <v>2025</v>
      </c>
      <c r="B716" s="31" t="s">
        <v>149</v>
      </c>
      <c r="C716" s="31" t="s">
        <v>156</v>
      </c>
      <c r="D716" s="32">
        <v>1</v>
      </c>
      <c r="E716" s="32">
        <v>16</v>
      </c>
      <c r="F716" s="32">
        <v>2</v>
      </c>
      <c r="G716" s="32">
        <v>1</v>
      </c>
      <c r="H716" s="31" t="s">
        <v>120</v>
      </c>
      <c r="I716" s="2">
        <v>61.7</v>
      </c>
      <c r="J716">
        <v>70.601545023696659</v>
      </c>
      <c r="K716" s="59">
        <v>13.1</v>
      </c>
      <c r="M716">
        <v>2</v>
      </c>
    </row>
    <row r="717" spans="1:13" x14ac:dyDescent="0.25">
      <c r="A717">
        <v>2025</v>
      </c>
      <c r="B717" s="31" t="s">
        <v>149</v>
      </c>
      <c r="C717" s="31" t="s">
        <v>156</v>
      </c>
      <c r="D717" s="32">
        <v>2</v>
      </c>
      <c r="E717" s="32">
        <v>26</v>
      </c>
      <c r="F717" s="32">
        <v>3</v>
      </c>
      <c r="G717" s="32">
        <v>1</v>
      </c>
      <c r="H717" s="31" t="s">
        <v>120</v>
      </c>
      <c r="I717" s="2">
        <v>58.3</v>
      </c>
      <c r="J717">
        <v>50.922662600646063</v>
      </c>
      <c r="K717" s="61"/>
    </row>
    <row r="718" spans="1:13" x14ac:dyDescent="0.25">
      <c r="A718">
        <v>2025</v>
      </c>
      <c r="B718" s="31" t="s">
        <v>149</v>
      </c>
      <c r="C718" s="31" t="s">
        <v>156</v>
      </c>
      <c r="D718" s="32">
        <v>3</v>
      </c>
      <c r="E718" s="32">
        <v>21</v>
      </c>
      <c r="F718" s="32">
        <v>5</v>
      </c>
      <c r="G718" s="32">
        <v>1</v>
      </c>
      <c r="H718" s="31" t="s">
        <v>120</v>
      </c>
      <c r="I718" s="2">
        <v>56.6</v>
      </c>
      <c r="J718">
        <v>54.297751233194688</v>
      </c>
      <c r="K718" s="61"/>
    </row>
    <row r="719" spans="1:13" x14ac:dyDescent="0.25">
      <c r="A719">
        <v>2025</v>
      </c>
      <c r="B719" s="31" t="s">
        <v>149</v>
      </c>
      <c r="C719" s="31" t="s">
        <v>156</v>
      </c>
      <c r="D719" s="32">
        <v>1</v>
      </c>
      <c r="E719" s="32">
        <v>6</v>
      </c>
      <c r="F719" s="32">
        <v>1</v>
      </c>
      <c r="G719" s="32">
        <v>17</v>
      </c>
      <c r="H719" s="31" t="s">
        <v>33</v>
      </c>
      <c r="I719" s="2">
        <v>45.8</v>
      </c>
      <c r="J719">
        <v>17.659574273178727</v>
      </c>
      <c r="K719" s="59">
        <v>17.600000000000001</v>
      </c>
      <c r="M719">
        <v>4</v>
      </c>
    </row>
    <row r="720" spans="1:13" x14ac:dyDescent="0.25">
      <c r="A720">
        <v>2025</v>
      </c>
      <c r="B720" s="31" t="s">
        <v>149</v>
      </c>
      <c r="C720" s="31" t="s">
        <v>156</v>
      </c>
      <c r="D720" s="32">
        <v>2</v>
      </c>
      <c r="E720" s="32">
        <v>3</v>
      </c>
      <c r="F720" s="32">
        <v>4</v>
      </c>
      <c r="G720" s="32">
        <v>17</v>
      </c>
      <c r="H720" s="31" t="s">
        <v>33</v>
      </c>
      <c r="I720" s="2">
        <v>50.3</v>
      </c>
      <c r="J720">
        <v>37.902808857240402</v>
      </c>
      <c r="K720" s="59"/>
    </row>
    <row r="721" spans="1:13" x14ac:dyDescent="0.25">
      <c r="A721">
        <v>2025</v>
      </c>
      <c r="B721" s="31" t="s">
        <v>149</v>
      </c>
      <c r="C721" s="31" t="s">
        <v>156</v>
      </c>
      <c r="D721" s="32">
        <v>3</v>
      </c>
      <c r="E721" s="32">
        <v>5</v>
      </c>
      <c r="F721" s="32">
        <v>6</v>
      </c>
      <c r="G721" s="32">
        <v>17</v>
      </c>
      <c r="H721" s="31" t="s">
        <v>33</v>
      </c>
      <c r="I721" s="2">
        <v>45.8</v>
      </c>
      <c r="J721">
        <v>20.423932778766162</v>
      </c>
      <c r="K721" s="61"/>
    </row>
    <row r="722" spans="1:13" x14ac:dyDescent="0.25">
      <c r="A722">
        <v>2025</v>
      </c>
      <c r="B722" s="31" t="s">
        <v>149</v>
      </c>
      <c r="C722" s="31" t="s">
        <v>156</v>
      </c>
      <c r="D722" s="32">
        <v>1</v>
      </c>
      <c r="E722" s="32">
        <v>18</v>
      </c>
      <c r="F722" s="32">
        <v>2</v>
      </c>
      <c r="G722" s="32">
        <v>12</v>
      </c>
      <c r="H722" s="31" t="s">
        <v>92</v>
      </c>
      <c r="I722" s="2">
        <v>59.7</v>
      </c>
      <c r="J722">
        <v>57.330149289099523</v>
      </c>
      <c r="K722" s="59">
        <v>14.1</v>
      </c>
      <c r="M722">
        <v>1</v>
      </c>
    </row>
    <row r="723" spans="1:13" x14ac:dyDescent="0.25">
      <c r="A723">
        <v>2025</v>
      </c>
      <c r="B723" s="31" t="s">
        <v>149</v>
      </c>
      <c r="C723" s="31" t="s">
        <v>156</v>
      </c>
      <c r="D723" s="32">
        <v>2</v>
      </c>
      <c r="E723" s="32">
        <v>2</v>
      </c>
      <c r="F723" s="32">
        <v>4</v>
      </c>
      <c r="G723" s="32">
        <v>12</v>
      </c>
      <c r="H723" s="31" t="s">
        <v>92</v>
      </c>
      <c r="I723" s="2">
        <v>56.9</v>
      </c>
      <c r="J723">
        <v>47.697729698092957</v>
      </c>
      <c r="K723" s="31"/>
    </row>
    <row r="724" spans="1:13" x14ac:dyDescent="0.25">
      <c r="A724">
        <v>2025</v>
      </c>
      <c r="B724" s="31" t="s">
        <v>149</v>
      </c>
      <c r="C724" s="31" t="s">
        <v>156</v>
      </c>
      <c r="D724" s="32">
        <v>3</v>
      </c>
      <c r="E724" s="32">
        <v>1</v>
      </c>
      <c r="F724" s="32">
        <v>5</v>
      </c>
      <c r="G724" s="32">
        <v>12</v>
      </c>
      <c r="H724" s="31" t="s">
        <v>92</v>
      </c>
      <c r="I724" s="2">
        <v>56.9</v>
      </c>
      <c r="J724">
        <v>39.9839733049618</v>
      </c>
      <c r="K724" s="61"/>
    </row>
    <row r="725" spans="1:13" x14ac:dyDescent="0.25">
      <c r="A725">
        <v>2025</v>
      </c>
      <c r="B725" s="31" t="s">
        <v>149</v>
      </c>
      <c r="C725" s="31" t="s">
        <v>156</v>
      </c>
      <c r="D725" s="32">
        <v>1</v>
      </c>
      <c r="E725" s="32">
        <v>3</v>
      </c>
      <c r="F725" s="32">
        <v>1</v>
      </c>
      <c r="G725" s="32">
        <v>13</v>
      </c>
      <c r="H725" s="31" t="s">
        <v>93</v>
      </c>
      <c r="I725" s="2">
        <v>54.2</v>
      </c>
      <c r="J725">
        <v>45.718468251289707</v>
      </c>
      <c r="K725" s="59">
        <v>15.3</v>
      </c>
      <c r="M725">
        <v>1</v>
      </c>
    </row>
    <row r="726" spans="1:13" x14ac:dyDescent="0.25">
      <c r="A726">
        <v>2025</v>
      </c>
      <c r="B726" s="31" t="s">
        <v>149</v>
      </c>
      <c r="C726" s="31" t="s">
        <v>156</v>
      </c>
      <c r="D726" s="32">
        <v>2</v>
      </c>
      <c r="E726" s="32">
        <v>5</v>
      </c>
      <c r="F726" s="32">
        <v>3</v>
      </c>
      <c r="G726" s="32">
        <v>13</v>
      </c>
      <c r="H726" s="31" t="s">
        <v>93</v>
      </c>
      <c r="I726" s="2">
        <v>52.8</v>
      </c>
      <c r="J726">
        <v>34.598879514006072</v>
      </c>
      <c r="K726" s="59"/>
    </row>
    <row r="727" spans="1:13" x14ac:dyDescent="0.25">
      <c r="A727">
        <v>2025</v>
      </c>
      <c r="B727" s="31" t="s">
        <v>149</v>
      </c>
      <c r="C727" s="31" t="s">
        <v>156</v>
      </c>
      <c r="D727" s="32">
        <v>3</v>
      </c>
      <c r="E727" s="32">
        <v>13</v>
      </c>
      <c r="F727" s="32">
        <v>5</v>
      </c>
      <c r="G727" s="32">
        <v>13</v>
      </c>
      <c r="H727" s="31" t="s">
        <v>93</v>
      </c>
      <c r="I727" s="2">
        <v>58.5</v>
      </c>
      <c r="J727">
        <v>47.672622207176715</v>
      </c>
      <c r="K727" s="61"/>
    </row>
    <row r="728" spans="1:13" x14ac:dyDescent="0.25">
      <c r="A728">
        <v>2025</v>
      </c>
      <c r="B728" s="31" t="s">
        <v>149</v>
      </c>
      <c r="C728" s="31" t="s">
        <v>156</v>
      </c>
      <c r="D728" s="32">
        <v>1</v>
      </c>
      <c r="E728" s="32">
        <v>9</v>
      </c>
      <c r="F728" s="32">
        <v>1</v>
      </c>
      <c r="G728" s="32">
        <v>2</v>
      </c>
      <c r="H728" s="31" t="s">
        <v>126</v>
      </c>
      <c r="I728" s="2">
        <v>57.8</v>
      </c>
      <c r="J728">
        <v>45.461815727303403</v>
      </c>
      <c r="K728" s="59">
        <v>14.6</v>
      </c>
      <c r="M728">
        <v>3</v>
      </c>
    </row>
    <row r="729" spans="1:13" x14ac:dyDescent="0.25">
      <c r="A729">
        <v>2025</v>
      </c>
      <c r="B729" s="31" t="s">
        <v>149</v>
      </c>
      <c r="C729" s="31" t="s">
        <v>156</v>
      </c>
      <c r="D729" s="32">
        <v>2</v>
      </c>
      <c r="E729" s="32">
        <v>6</v>
      </c>
      <c r="F729" s="32">
        <v>3</v>
      </c>
      <c r="G729" s="32">
        <v>2</v>
      </c>
      <c r="H729" s="31" t="s">
        <v>126</v>
      </c>
      <c r="I729" s="2">
        <v>55.5</v>
      </c>
      <c r="J729">
        <v>33.641957475531562</v>
      </c>
      <c r="K729" s="31"/>
    </row>
    <row r="730" spans="1:13" x14ac:dyDescent="0.25">
      <c r="A730">
        <v>2025</v>
      </c>
      <c r="B730" s="31" t="s">
        <v>149</v>
      </c>
      <c r="C730" s="31" t="s">
        <v>156</v>
      </c>
      <c r="D730" s="32">
        <v>3</v>
      </c>
      <c r="E730" s="32">
        <v>19</v>
      </c>
      <c r="F730" s="32">
        <v>5</v>
      </c>
      <c r="G730" s="32">
        <v>2</v>
      </c>
      <c r="H730" s="31" t="s">
        <v>126</v>
      </c>
      <c r="I730" s="2">
        <v>60.2</v>
      </c>
      <c r="J730">
        <v>48.178911596866229</v>
      </c>
      <c r="K730" s="61"/>
    </row>
    <row r="731" spans="1:13" x14ac:dyDescent="0.25">
      <c r="A731">
        <v>2025</v>
      </c>
      <c r="B731" s="31" t="s">
        <v>149</v>
      </c>
      <c r="C731" s="31" t="s">
        <v>156</v>
      </c>
      <c r="D731" s="32">
        <v>1</v>
      </c>
      <c r="E731" s="32">
        <v>5</v>
      </c>
      <c r="F731" s="32">
        <v>1</v>
      </c>
      <c r="G731" s="32">
        <v>9</v>
      </c>
      <c r="H731" s="31" t="s">
        <v>94</v>
      </c>
      <c r="I731" s="2" t="s">
        <v>12</v>
      </c>
      <c r="J731" t="s">
        <v>12</v>
      </c>
      <c r="K731" s="59">
        <v>19</v>
      </c>
      <c r="M731">
        <v>1</v>
      </c>
    </row>
    <row r="732" spans="1:13" x14ac:dyDescent="0.25">
      <c r="A732">
        <v>2025</v>
      </c>
      <c r="B732" s="31" t="s">
        <v>149</v>
      </c>
      <c r="C732" s="31" t="s">
        <v>156</v>
      </c>
      <c r="D732" s="32">
        <v>2</v>
      </c>
      <c r="E732" s="32">
        <v>21</v>
      </c>
      <c r="F732" s="32">
        <v>3</v>
      </c>
      <c r="G732" s="32">
        <v>9</v>
      </c>
      <c r="H732" s="31" t="s">
        <v>94</v>
      </c>
      <c r="I732" s="2">
        <v>55.2</v>
      </c>
      <c r="J732">
        <v>41.146311171110362</v>
      </c>
      <c r="K732" s="31"/>
    </row>
    <row r="733" spans="1:13" x14ac:dyDescent="0.25">
      <c r="A733">
        <v>2025</v>
      </c>
      <c r="B733" s="31" t="s">
        <v>149</v>
      </c>
      <c r="C733" s="31" t="s">
        <v>156</v>
      </c>
      <c r="D733" s="32">
        <v>3</v>
      </c>
      <c r="E733" s="32">
        <v>22</v>
      </c>
      <c r="F733" s="32">
        <v>5</v>
      </c>
      <c r="G733" s="32">
        <v>9</v>
      </c>
      <c r="H733" s="31" t="s">
        <v>94</v>
      </c>
      <c r="I733" s="2">
        <v>52.9</v>
      </c>
      <c r="J733">
        <v>41.801239481574619</v>
      </c>
      <c r="K733" s="59"/>
    </row>
    <row r="734" spans="1:13" x14ac:dyDescent="0.25">
      <c r="A734">
        <v>2025</v>
      </c>
      <c r="B734" s="31" t="s">
        <v>149</v>
      </c>
      <c r="C734" s="31" t="s">
        <v>156</v>
      </c>
      <c r="D734" s="32">
        <v>1</v>
      </c>
      <c r="E734" s="32">
        <v>4</v>
      </c>
      <c r="F734" s="32">
        <v>2</v>
      </c>
      <c r="G734" s="32">
        <v>3</v>
      </c>
      <c r="H734" s="31" t="s">
        <v>122</v>
      </c>
      <c r="I734" s="2">
        <v>55.3</v>
      </c>
      <c r="J734">
        <v>42.897765741367635</v>
      </c>
      <c r="K734" s="59">
        <v>16.2</v>
      </c>
      <c r="M734">
        <v>1</v>
      </c>
    </row>
    <row r="735" spans="1:13" x14ac:dyDescent="0.25">
      <c r="A735">
        <v>2025</v>
      </c>
      <c r="B735" s="31" t="s">
        <v>149</v>
      </c>
      <c r="C735" s="31" t="s">
        <v>156</v>
      </c>
      <c r="D735" s="32">
        <v>2</v>
      </c>
      <c r="E735" s="32">
        <v>24</v>
      </c>
      <c r="F735" s="32">
        <v>4</v>
      </c>
      <c r="G735" s="32">
        <v>3</v>
      </c>
      <c r="H735" s="31" t="s">
        <v>122</v>
      </c>
      <c r="I735" s="2">
        <v>58.1</v>
      </c>
      <c r="J735">
        <v>51.570390674535432</v>
      </c>
      <c r="K735" s="59"/>
    </row>
    <row r="736" spans="1:13" x14ac:dyDescent="0.25">
      <c r="A736">
        <v>2025</v>
      </c>
      <c r="B736" s="31" t="s">
        <v>149</v>
      </c>
      <c r="C736" s="31" t="s">
        <v>156</v>
      </c>
      <c r="D736" s="32">
        <v>3</v>
      </c>
      <c r="E736" s="32">
        <v>17</v>
      </c>
      <c r="F736" s="32">
        <v>6</v>
      </c>
      <c r="G736" s="32">
        <v>3</v>
      </c>
      <c r="H736" s="31" t="s">
        <v>122</v>
      </c>
      <c r="I736" s="2">
        <v>61.1</v>
      </c>
      <c r="J736">
        <v>57.067928066548056</v>
      </c>
      <c r="K736" s="61"/>
    </row>
    <row r="737" spans="1:13" x14ac:dyDescent="0.25">
      <c r="A737">
        <v>2025</v>
      </c>
      <c r="B737" s="31" t="s">
        <v>149</v>
      </c>
      <c r="C737" s="31" t="s">
        <v>156</v>
      </c>
      <c r="D737" s="32">
        <v>1</v>
      </c>
      <c r="E737" s="32">
        <v>20</v>
      </c>
      <c r="F737" s="32">
        <v>2</v>
      </c>
      <c r="G737" s="32">
        <v>10</v>
      </c>
      <c r="H737" s="31" t="s">
        <v>91</v>
      </c>
      <c r="I737" s="2">
        <v>57.5</v>
      </c>
      <c r="J737">
        <v>49.524541735177479</v>
      </c>
      <c r="K737" s="59">
        <v>15.8</v>
      </c>
      <c r="M737">
        <v>2</v>
      </c>
    </row>
    <row r="738" spans="1:13" x14ac:dyDescent="0.25">
      <c r="A738">
        <v>2025</v>
      </c>
      <c r="B738" s="31" t="s">
        <v>149</v>
      </c>
      <c r="C738" s="31" t="s">
        <v>156</v>
      </c>
      <c r="D738" s="32">
        <v>2</v>
      </c>
      <c r="E738" s="32">
        <v>2</v>
      </c>
      <c r="F738" s="32">
        <v>3</v>
      </c>
      <c r="G738" s="32">
        <v>10</v>
      </c>
      <c r="H738" s="31" t="s">
        <v>91</v>
      </c>
      <c r="I738" s="2">
        <v>49.9</v>
      </c>
      <c r="J738">
        <v>35.708074731208711</v>
      </c>
      <c r="K738" s="59"/>
    </row>
    <row r="739" spans="1:13" x14ac:dyDescent="0.25">
      <c r="A739">
        <v>2025</v>
      </c>
      <c r="B739" s="31" t="s">
        <v>149</v>
      </c>
      <c r="C739" s="31" t="s">
        <v>156</v>
      </c>
      <c r="D739" s="32">
        <v>3</v>
      </c>
      <c r="E739" s="32">
        <v>25</v>
      </c>
      <c r="F739" s="32">
        <v>6</v>
      </c>
      <c r="G739" s="32">
        <v>10</v>
      </c>
      <c r="H739" s="31" t="s">
        <v>91</v>
      </c>
      <c r="I739" s="2">
        <v>51.1</v>
      </c>
      <c r="J739">
        <v>31.504916093667351</v>
      </c>
      <c r="K739" s="59"/>
    </row>
    <row r="740" spans="1:13" x14ac:dyDescent="0.25">
      <c r="A740">
        <v>2025</v>
      </c>
      <c r="B740" s="31" t="s">
        <v>149</v>
      </c>
      <c r="C740" s="31" t="s">
        <v>156</v>
      </c>
      <c r="D740" s="32">
        <v>1</v>
      </c>
      <c r="E740" s="32">
        <v>20</v>
      </c>
      <c r="F740" s="32">
        <v>1</v>
      </c>
      <c r="G740" s="32">
        <v>4</v>
      </c>
      <c r="H740" s="31" t="s">
        <v>117</v>
      </c>
      <c r="I740" s="2">
        <v>54.1</v>
      </c>
      <c r="J740">
        <v>46.872975025312179</v>
      </c>
      <c r="K740" s="59">
        <v>15.1</v>
      </c>
      <c r="M740">
        <v>0</v>
      </c>
    </row>
    <row r="741" spans="1:13" x14ac:dyDescent="0.25">
      <c r="A741">
        <v>2025</v>
      </c>
      <c r="B741" s="31" t="s">
        <v>149</v>
      </c>
      <c r="C741" s="31" t="s">
        <v>156</v>
      </c>
      <c r="D741" s="32">
        <v>2</v>
      </c>
      <c r="E741" s="32">
        <v>18</v>
      </c>
      <c r="F741" s="32">
        <v>4</v>
      </c>
      <c r="G741" s="32">
        <v>4</v>
      </c>
      <c r="H741" s="31" t="s">
        <v>117</v>
      </c>
      <c r="I741" s="2">
        <v>53.5</v>
      </c>
      <c r="J741">
        <v>39.410816953616539</v>
      </c>
      <c r="K741" s="61"/>
    </row>
    <row r="742" spans="1:13" x14ac:dyDescent="0.25">
      <c r="A742">
        <v>2025</v>
      </c>
      <c r="B742" s="31" t="s">
        <v>149</v>
      </c>
      <c r="C742" s="31" t="s">
        <v>156</v>
      </c>
      <c r="D742" s="32">
        <v>3</v>
      </c>
      <c r="E742" s="32">
        <v>14</v>
      </c>
      <c r="F742" s="32">
        <v>6</v>
      </c>
      <c r="G742" s="32">
        <v>4</v>
      </c>
      <c r="H742" s="31" t="s">
        <v>117</v>
      </c>
      <c r="I742" s="2">
        <v>52.7</v>
      </c>
      <c r="J742">
        <v>42.360937058229531</v>
      </c>
      <c r="K742" s="61"/>
    </row>
    <row r="743" spans="1:13" x14ac:dyDescent="0.25">
      <c r="A743">
        <v>2025</v>
      </c>
      <c r="B743" s="31" t="s">
        <v>149</v>
      </c>
      <c r="C743" s="31" t="s">
        <v>156</v>
      </c>
      <c r="D743" s="32">
        <v>1</v>
      </c>
      <c r="E743" s="32">
        <v>15</v>
      </c>
      <c r="F743" s="32">
        <v>2</v>
      </c>
      <c r="G743" s="32">
        <v>5</v>
      </c>
      <c r="H743" s="31" t="s">
        <v>128</v>
      </c>
      <c r="I743" s="2">
        <v>54.3</v>
      </c>
      <c r="J743">
        <v>44.928228068478568</v>
      </c>
      <c r="K743" s="59">
        <v>15.8</v>
      </c>
      <c r="M743">
        <v>1</v>
      </c>
    </row>
    <row r="744" spans="1:13" x14ac:dyDescent="0.25">
      <c r="A744">
        <v>2025</v>
      </c>
      <c r="B744" s="31" t="s">
        <v>149</v>
      </c>
      <c r="C744" s="31" t="s">
        <v>156</v>
      </c>
      <c r="D744" s="32">
        <v>2</v>
      </c>
      <c r="E744" s="32">
        <v>14</v>
      </c>
      <c r="F744" s="32">
        <v>3</v>
      </c>
      <c r="G744" s="32">
        <v>5</v>
      </c>
      <c r="H744" s="31" t="s">
        <v>128</v>
      </c>
      <c r="I744" s="2">
        <v>54.8</v>
      </c>
      <c r="J744">
        <v>47.063495492020635</v>
      </c>
      <c r="K744" s="31"/>
    </row>
    <row r="745" spans="1:13" x14ac:dyDescent="0.25">
      <c r="A745">
        <v>2025</v>
      </c>
      <c r="B745" s="31" t="s">
        <v>149</v>
      </c>
      <c r="C745" s="31" t="s">
        <v>156</v>
      </c>
      <c r="D745" s="32">
        <v>3</v>
      </c>
      <c r="E745" s="32">
        <v>8</v>
      </c>
      <c r="F745" s="32">
        <v>6</v>
      </c>
      <c r="G745" s="32">
        <v>5</v>
      </c>
      <c r="H745" s="31" t="s">
        <v>128</v>
      </c>
      <c r="I745" s="2">
        <v>53</v>
      </c>
      <c r="J745">
        <v>46.689136894744422</v>
      </c>
      <c r="K745" s="61"/>
    </row>
    <row r="746" spans="1:13" x14ac:dyDescent="0.25">
      <c r="A746">
        <v>2025</v>
      </c>
      <c r="B746" s="31" t="s">
        <v>149</v>
      </c>
      <c r="C746" s="31" t="s">
        <v>156</v>
      </c>
      <c r="D746" s="32">
        <v>1</v>
      </c>
      <c r="E746" s="32">
        <v>8</v>
      </c>
      <c r="F746" s="32">
        <v>2</v>
      </c>
      <c r="G746" s="32">
        <v>19</v>
      </c>
      <c r="H746" s="31" t="s">
        <v>157</v>
      </c>
      <c r="I746" s="2">
        <v>54.5</v>
      </c>
      <c r="J746">
        <v>53.879545894187061</v>
      </c>
      <c r="K746" s="59">
        <v>14.5</v>
      </c>
      <c r="M746">
        <v>1</v>
      </c>
    </row>
    <row r="747" spans="1:13" x14ac:dyDescent="0.25">
      <c r="A747">
        <v>2025</v>
      </c>
      <c r="B747" s="31" t="s">
        <v>149</v>
      </c>
      <c r="C747" s="31" t="s">
        <v>156</v>
      </c>
      <c r="D747" s="32">
        <v>2</v>
      </c>
      <c r="E747" s="32">
        <v>10</v>
      </c>
      <c r="F747" s="32">
        <v>3</v>
      </c>
      <c r="G747" s="32">
        <v>19</v>
      </c>
      <c r="H747" s="31" t="s">
        <v>157</v>
      </c>
      <c r="I747" s="2">
        <v>54.4</v>
      </c>
      <c r="J747">
        <v>47.034426980377035</v>
      </c>
      <c r="K747" s="61"/>
    </row>
    <row r="748" spans="1:13" x14ac:dyDescent="0.25">
      <c r="A748">
        <v>2025</v>
      </c>
      <c r="B748" s="31" t="s">
        <v>149</v>
      </c>
      <c r="C748" s="31" t="s">
        <v>156</v>
      </c>
      <c r="D748" s="32">
        <v>3</v>
      </c>
      <c r="E748" s="32">
        <v>22</v>
      </c>
      <c r="F748" s="32">
        <v>6</v>
      </c>
      <c r="G748" s="32">
        <v>19</v>
      </c>
      <c r="H748" s="31" t="s">
        <v>157</v>
      </c>
      <c r="I748" s="2">
        <v>55.6</v>
      </c>
      <c r="J748">
        <v>45.52609991825743</v>
      </c>
      <c r="K748" s="59"/>
    </row>
    <row r="749" spans="1:13" x14ac:dyDescent="0.25">
      <c r="A749">
        <v>2025</v>
      </c>
      <c r="B749" s="31" t="s">
        <v>149</v>
      </c>
      <c r="C749" s="31" t="s">
        <v>156</v>
      </c>
      <c r="D749" s="32">
        <v>1</v>
      </c>
      <c r="E749" s="32">
        <v>7</v>
      </c>
      <c r="F749" s="32">
        <v>1</v>
      </c>
      <c r="G749" s="32">
        <v>6</v>
      </c>
      <c r="H749" s="31" t="s">
        <v>119</v>
      </c>
      <c r="I749" s="2">
        <v>50</v>
      </c>
      <c r="J749">
        <v>24.670145123185957</v>
      </c>
      <c r="K749" s="59">
        <v>18.2</v>
      </c>
      <c r="M749">
        <v>1</v>
      </c>
    </row>
    <row r="750" spans="1:13" x14ac:dyDescent="0.25">
      <c r="A750">
        <v>2025</v>
      </c>
      <c r="B750" s="31" t="s">
        <v>149</v>
      </c>
      <c r="C750" s="31" t="s">
        <v>156</v>
      </c>
      <c r="D750" s="32">
        <v>2</v>
      </c>
      <c r="E750" s="32">
        <v>9</v>
      </c>
      <c r="F750" s="32">
        <v>4</v>
      </c>
      <c r="G750" s="32">
        <v>6</v>
      </c>
      <c r="H750" s="31" t="s">
        <v>119</v>
      </c>
      <c r="I750" s="2">
        <v>51.1</v>
      </c>
      <c r="J750">
        <v>34.34497975905964</v>
      </c>
      <c r="K750" s="59"/>
    </row>
    <row r="751" spans="1:13" x14ac:dyDescent="0.25">
      <c r="A751">
        <v>2025</v>
      </c>
      <c r="B751" s="31" t="s">
        <v>149</v>
      </c>
      <c r="C751" s="31" t="s">
        <v>156</v>
      </c>
      <c r="D751" s="32">
        <v>3</v>
      </c>
      <c r="E751" s="32">
        <v>11</v>
      </c>
      <c r="F751" s="32">
        <v>5</v>
      </c>
      <c r="G751" s="32">
        <v>6</v>
      </c>
      <c r="H751" s="31" t="s">
        <v>119</v>
      </c>
      <c r="I751" s="2">
        <v>55.2</v>
      </c>
      <c r="J751">
        <v>41.220807815069158</v>
      </c>
      <c r="K751" s="31"/>
    </row>
    <row r="752" spans="1:13" x14ac:dyDescent="0.25">
      <c r="A752">
        <v>2025</v>
      </c>
      <c r="B752" s="31" t="s">
        <v>149</v>
      </c>
      <c r="C752" s="31" t="s">
        <v>156</v>
      </c>
      <c r="D752" s="32">
        <v>1</v>
      </c>
      <c r="E752" s="32">
        <v>19</v>
      </c>
      <c r="F752" s="32">
        <v>2</v>
      </c>
      <c r="G752" s="32">
        <v>8</v>
      </c>
      <c r="H752" s="31" t="s">
        <v>118</v>
      </c>
      <c r="I752" s="2">
        <v>58</v>
      </c>
      <c r="J752">
        <v>55.307131830931411</v>
      </c>
      <c r="K752" s="59">
        <v>14.1</v>
      </c>
      <c r="M752">
        <v>1</v>
      </c>
    </row>
    <row r="753" spans="1:13" x14ac:dyDescent="0.25">
      <c r="A753">
        <v>2025</v>
      </c>
      <c r="B753" s="31" t="s">
        <v>149</v>
      </c>
      <c r="C753" s="31" t="s">
        <v>156</v>
      </c>
      <c r="D753" s="32">
        <v>2</v>
      </c>
      <c r="E753" s="32">
        <v>13</v>
      </c>
      <c r="F753" s="32">
        <v>4</v>
      </c>
      <c r="G753" s="32">
        <v>8</v>
      </c>
      <c r="H753" s="31" t="s">
        <v>118</v>
      </c>
      <c r="I753" s="2">
        <v>55.1</v>
      </c>
      <c r="J753">
        <v>50.562283568258302</v>
      </c>
      <c r="K753" s="61"/>
    </row>
    <row r="754" spans="1:13" x14ac:dyDescent="0.25">
      <c r="A754">
        <v>2025</v>
      </c>
      <c r="B754" s="31" t="s">
        <v>149</v>
      </c>
      <c r="C754" s="31" t="s">
        <v>156</v>
      </c>
      <c r="D754" s="32">
        <v>3</v>
      </c>
      <c r="E754" s="32">
        <v>18</v>
      </c>
      <c r="F754" s="32">
        <v>5</v>
      </c>
      <c r="G754" s="32">
        <v>8</v>
      </c>
      <c r="H754" s="31" t="s">
        <v>118</v>
      </c>
      <c r="I754" s="2">
        <v>58.4</v>
      </c>
      <c r="J754">
        <v>56.125981236096329</v>
      </c>
      <c r="K754" s="61"/>
    </row>
    <row r="755" spans="1:13" x14ac:dyDescent="0.25">
      <c r="A755">
        <v>2025</v>
      </c>
      <c r="B755" s="31" t="s">
        <v>149</v>
      </c>
      <c r="C755" s="31" t="s">
        <v>156</v>
      </c>
      <c r="D755" s="32">
        <v>1</v>
      </c>
      <c r="E755" s="32">
        <v>25</v>
      </c>
      <c r="F755" s="32">
        <v>2</v>
      </c>
      <c r="G755" s="32">
        <v>7</v>
      </c>
      <c r="H755" s="31" t="s">
        <v>150</v>
      </c>
      <c r="I755" s="2">
        <v>56.4</v>
      </c>
      <c r="J755">
        <v>41.614327787987222</v>
      </c>
      <c r="K755" s="59">
        <v>15.1</v>
      </c>
      <c r="M755">
        <v>1</v>
      </c>
    </row>
    <row r="756" spans="1:13" x14ac:dyDescent="0.25">
      <c r="A756">
        <v>2025</v>
      </c>
      <c r="B756" s="31" t="s">
        <v>149</v>
      </c>
      <c r="C756" s="31" t="s">
        <v>156</v>
      </c>
      <c r="D756" s="32">
        <v>2</v>
      </c>
      <c r="E756" s="32">
        <v>20</v>
      </c>
      <c r="F756" s="32">
        <v>4</v>
      </c>
      <c r="G756" s="32">
        <v>7</v>
      </c>
      <c r="H756" s="31" t="s">
        <v>150</v>
      </c>
      <c r="I756" s="2">
        <v>57</v>
      </c>
      <c r="J756">
        <v>41.108104667609631</v>
      </c>
      <c r="K756" s="31"/>
    </row>
    <row r="757" spans="1:13" x14ac:dyDescent="0.25">
      <c r="A757">
        <v>2025</v>
      </c>
      <c r="B757" s="31" t="s">
        <v>149</v>
      </c>
      <c r="C757" s="31" t="s">
        <v>156</v>
      </c>
      <c r="D757" s="32">
        <v>3</v>
      </c>
      <c r="E757" s="32">
        <v>6</v>
      </c>
      <c r="F757" s="32">
        <v>5</v>
      </c>
      <c r="G757" s="32">
        <v>7</v>
      </c>
      <c r="H757" s="31" t="s">
        <v>150</v>
      </c>
      <c r="I757" s="2">
        <v>53.2</v>
      </c>
      <c r="J757">
        <v>27.362646290743783</v>
      </c>
      <c r="K757" s="61"/>
    </row>
    <row r="758" spans="1:13" x14ac:dyDescent="0.25">
      <c r="A758">
        <v>2025</v>
      </c>
      <c r="B758" s="31" t="s">
        <v>149</v>
      </c>
      <c r="C758" s="31" t="s">
        <v>156</v>
      </c>
      <c r="D758" s="32">
        <v>1</v>
      </c>
      <c r="E758" s="32">
        <v>6</v>
      </c>
      <c r="F758" s="32">
        <v>2</v>
      </c>
      <c r="G758" s="32">
        <v>42</v>
      </c>
      <c r="H758" s="31" t="s">
        <v>34</v>
      </c>
      <c r="I758" s="2">
        <v>54.5</v>
      </c>
      <c r="J758">
        <v>37.986957829577328</v>
      </c>
      <c r="K758" s="59">
        <v>14.9</v>
      </c>
      <c r="M758">
        <v>2</v>
      </c>
    </row>
    <row r="759" spans="1:13" x14ac:dyDescent="0.25">
      <c r="A759">
        <v>2025</v>
      </c>
      <c r="B759" s="31" t="s">
        <v>149</v>
      </c>
      <c r="C759" s="31" t="s">
        <v>156</v>
      </c>
      <c r="D759" s="32">
        <v>2</v>
      </c>
      <c r="E759" s="32">
        <v>22</v>
      </c>
      <c r="F759" s="32">
        <v>3</v>
      </c>
      <c r="G759" s="32">
        <v>42</v>
      </c>
      <c r="H759" s="31" t="s">
        <v>34</v>
      </c>
      <c r="I759" s="2">
        <v>59.2</v>
      </c>
      <c r="J759">
        <v>49.012398389662984</v>
      </c>
      <c r="K759" s="61"/>
    </row>
    <row r="760" spans="1:13" x14ac:dyDescent="0.25">
      <c r="A760">
        <v>2025</v>
      </c>
      <c r="B760" s="31" t="s">
        <v>149</v>
      </c>
      <c r="C760" s="31" t="s">
        <v>156</v>
      </c>
      <c r="D760" s="32">
        <v>3</v>
      </c>
      <c r="E760" s="32">
        <v>24</v>
      </c>
      <c r="F760" s="32">
        <v>6</v>
      </c>
      <c r="G760" s="32">
        <v>42</v>
      </c>
      <c r="H760" s="31" t="s">
        <v>34</v>
      </c>
      <c r="I760" s="2">
        <v>58.7</v>
      </c>
      <c r="J760">
        <v>41.554056354281869</v>
      </c>
      <c r="K760" s="31"/>
    </row>
    <row r="761" spans="1:13" x14ac:dyDescent="0.25">
      <c r="A761">
        <v>2025</v>
      </c>
      <c r="B761" s="31" t="s">
        <v>149</v>
      </c>
      <c r="C761" s="31" t="s">
        <v>156</v>
      </c>
      <c r="D761" s="32">
        <v>1</v>
      </c>
      <c r="E761" s="32">
        <v>16</v>
      </c>
      <c r="F761" s="32">
        <v>1</v>
      </c>
      <c r="G761" s="32">
        <v>44</v>
      </c>
      <c r="H761" s="31" t="s">
        <v>123</v>
      </c>
      <c r="I761" s="2">
        <v>58.3</v>
      </c>
      <c r="J761">
        <v>50.964461115664626</v>
      </c>
      <c r="K761" s="59">
        <v>15</v>
      </c>
      <c r="M761">
        <v>3</v>
      </c>
    </row>
    <row r="762" spans="1:13" x14ac:dyDescent="0.25">
      <c r="A762">
        <v>2025</v>
      </c>
      <c r="B762" s="31" t="s">
        <v>149</v>
      </c>
      <c r="C762" s="31" t="s">
        <v>156</v>
      </c>
      <c r="D762" s="32">
        <v>2</v>
      </c>
      <c r="E762" s="32">
        <v>7</v>
      </c>
      <c r="F762" s="32">
        <v>3</v>
      </c>
      <c r="G762" s="32">
        <v>44</v>
      </c>
      <c r="H762" s="31" t="s">
        <v>123</v>
      </c>
      <c r="I762" s="2">
        <v>56.8</v>
      </c>
      <c r="J762">
        <v>38.788850103659414</v>
      </c>
      <c r="K762" s="61"/>
    </row>
    <row r="763" spans="1:13" x14ac:dyDescent="0.25">
      <c r="A763">
        <v>2025</v>
      </c>
      <c r="B763" s="31" t="s">
        <v>149</v>
      </c>
      <c r="C763" s="31" t="s">
        <v>156</v>
      </c>
      <c r="D763" s="32">
        <v>3</v>
      </c>
      <c r="E763" s="32">
        <v>25</v>
      </c>
      <c r="F763" s="32">
        <v>5</v>
      </c>
      <c r="G763" s="32">
        <v>44</v>
      </c>
      <c r="H763" s="31" t="s">
        <v>123</v>
      </c>
      <c r="I763" s="2">
        <v>58.4</v>
      </c>
      <c r="J763">
        <v>42.587364977270525</v>
      </c>
      <c r="K763" s="59"/>
    </row>
    <row r="764" spans="1:13" x14ac:dyDescent="0.25">
      <c r="A764">
        <v>2025</v>
      </c>
      <c r="B764" s="31" t="s">
        <v>149</v>
      </c>
      <c r="C764" s="31" t="s">
        <v>156</v>
      </c>
      <c r="D764" s="32">
        <v>1</v>
      </c>
      <c r="E764" s="32">
        <v>19</v>
      </c>
      <c r="F764" s="32">
        <v>1</v>
      </c>
      <c r="G764" s="32">
        <v>43</v>
      </c>
      <c r="H764" s="31" t="s">
        <v>125</v>
      </c>
      <c r="I764" s="2">
        <v>58.3</v>
      </c>
      <c r="J764">
        <v>44.314349356347336</v>
      </c>
      <c r="K764" s="59">
        <v>15</v>
      </c>
      <c r="M764">
        <v>2</v>
      </c>
    </row>
    <row r="765" spans="1:13" x14ac:dyDescent="0.25">
      <c r="A765">
        <v>2025</v>
      </c>
      <c r="B765" s="31" t="s">
        <v>149</v>
      </c>
      <c r="C765" s="31" t="s">
        <v>156</v>
      </c>
      <c r="D765" s="32">
        <v>2</v>
      </c>
      <c r="E765" s="32">
        <v>12</v>
      </c>
      <c r="F765" s="32">
        <v>4</v>
      </c>
      <c r="G765" s="32">
        <v>43</v>
      </c>
      <c r="H765" s="31" t="s">
        <v>125</v>
      </c>
      <c r="I765" s="2">
        <v>56.4</v>
      </c>
      <c r="J765">
        <v>51.658033897478411</v>
      </c>
      <c r="K765" s="61"/>
    </row>
    <row r="766" spans="1:13" x14ac:dyDescent="0.25">
      <c r="A766">
        <v>2025</v>
      </c>
      <c r="B766" s="31" t="s">
        <v>149</v>
      </c>
      <c r="C766" s="31" t="s">
        <v>156</v>
      </c>
      <c r="D766" s="32">
        <v>3</v>
      </c>
      <c r="E766" s="32">
        <v>9</v>
      </c>
      <c r="F766" s="32">
        <v>5</v>
      </c>
      <c r="G766" s="32">
        <v>43</v>
      </c>
      <c r="H766" s="31" t="s">
        <v>125</v>
      </c>
      <c r="I766" s="2">
        <v>56.2</v>
      </c>
      <c r="J766">
        <v>38.902241029113064</v>
      </c>
      <c r="K766" s="61"/>
    </row>
    <row r="767" spans="1:13" x14ac:dyDescent="0.25">
      <c r="A767">
        <v>2025</v>
      </c>
      <c r="B767" s="31" t="s">
        <v>149</v>
      </c>
      <c r="C767" s="31" t="s">
        <v>156</v>
      </c>
      <c r="D767" s="32">
        <v>1</v>
      </c>
      <c r="E767" s="32">
        <v>23</v>
      </c>
      <c r="F767" s="32">
        <v>2</v>
      </c>
      <c r="G767" s="32">
        <v>27</v>
      </c>
      <c r="H767" s="31" t="s">
        <v>35</v>
      </c>
      <c r="I767" s="2">
        <v>58.8</v>
      </c>
      <c r="J767">
        <v>53.485671631685847</v>
      </c>
      <c r="K767" s="59">
        <v>14.1</v>
      </c>
      <c r="M767">
        <v>2</v>
      </c>
    </row>
    <row r="768" spans="1:13" x14ac:dyDescent="0.25">
      <c r="A768">
        <v>2025</v>
      </c>
      <c r="B768" s="31" t="s">
        <v>149</v>
      </c>
      <c r="C768" s="31" t="s">
        <v>156</v>
      </c>
      <c r="D768" s="32">
        <v>2</v>
      </c>
      <c r="E768" s="32">
        <v>1</v>
      </c>
      <c r="F768" s="32">
        <v>4</v>
      </c>
      <c r="G768" s="32">
        <v>27</v>
      </c>
      <c r="H768" s="31" t="s">
        <v>35</v>
      </c>
      <c r="I768" s="2">
        <v>55.6</v>
      </c>
      <c r="J768">
        <v>38.203097107740327</v>
      </c>
      <c r="K768" s="31"/>
    </row>
    <row r="769" spans="1:13" x14ac:dyDescent="0.25">
      <c r="A769">
        <v>2025</v>
      </c>
      <c r="B769" s="31" t="s">
        <v>149</v>
      </c>
      <c r="C769" s="31" t="s">
        <v>156</v>
      </c>
      <c r="D769" s="32">
        <v>3</v>
      </c>
      <c r="E769" s="32">
        <v>12</v>
      </c>
      <c r="F769" s="32">
        <v>6</v>
      </c>
      <c r="G769" s="32">
        <v>27</v>
      </c>
      <c r="H769" s="31" t="s">
        <v>35</v>
      </c>
      <c r="I769" s="2">
        <v>57.9</v>
      </c>
      <c r="J769">
        <v>51.382509015723407</v>
      </c>
      <c r="K769" s="31"/>
    </row>
    <row r="770" spans="1:13" x14ac:dyDescent="0.25">
      <c r="A770">
        <v>2025</v>
      </c>
      <c r="B770" s="31" t="s">
        <v>149</v>
      </c>
      <c r="C770" s="31" t="s">
        <v>156</v>
      </c>
      <c r="D770" s="32">
        <v>1</v>
      </c>
      <c r="E770" s="32">
        <v>13</v>
      </c>
      <c r="F770" s="32">
        <v>1</v>
      </c>
      <c r="G770" s="32">
        <v>31</v>
      </c>
      <c r="H770" s="31" t="s">
        <v>36</v>
      </c>
      <c r="I770" s="2">
        <v>56.4</v>
      </c>
      <c r="J770">
        <v>44.860016392652241</v>
      </c>
      <c r="K770" s="59">
        <v>14.7</v>
      </c>
      <c r="M770">
        <v>1</v>
      </c>
    </row>
    <row r="771" spans="1:13" x14ac:dyDescent="0.25">
      <c r="A771">
        <v>2025</v>
      </c>
      <c r="B771" s="31" t="s">
        <v>149</v>
      </c>
      <c r="C771" s="31" t="s">
        <v>156</v>
      </c>
      <c r="D771" s="32">
        <v>2</v>
      </c>
      <c r="E771" s="32">
        <v>23</v>
      </c>
      <c r="F771" s="32">
        <v>3</v>
      </c>
      <c r="G771" s="32">
        <v>31</v>
      </c>
      <c r="H771" s="31" t="s">
        <v>36</v>
      </c>
      <c r="I771" s="2">
        <v>58.6</v>
      </c>
      <c r="J771">
        <v>44.320268068077723</v>
      </c>
      <c r="K771" s="61"/>
    </row>
    <row r="772" spans="1:13" x14ac:dyDescent="0.25">
      <c r="A772">
        <v>2025</v>
      </c>
      <c r="B772" s="31" t="s">
        <v>149</v>
      </c>
      <c r="C772" s="31" t="s">
        <v>156</v>
      </c>
      <c r="D772" s="32">
        <v>3</v>
      </c>
      <c r="E772" s="32">
        <v>5</v>
      </c>
      <c r="F772" s="32">
        <v>5</v>
      </c>
      <c r="G772" s="32">
        <v>31</v>
      </c>
      <c r="H772" s="31" t="s">
        <v>36</v>
      </c>
      <c r="I772" s="2">
        <v>50</v>
      </c>
      <c r="J772">
        <v>27.89025050778605</v>
      </c>
      <c r="K772" s="31"/>
    </row>
    <row r="773" spans="1:13" x14ac:dyDescent="0.25">
      <c r="A773">
        <v>2025</v>
      </c>
      <c r="B773" s="31" t="s">
        <v>149</v>
      </c>
      <c r="C773" s="31" t="s">
        <v>156</v>
      </c>
      <c r="D773" s="32">
        <v>1</v>
      </c>
      <c r="E773" s="32">
        <v>5</v>
      </c>
      <c r="F773" s="32">
        <v>2</v>
      </c>
      <c r="G773" s="32">
        <v>23</v>
      </c>
      <c r="H773" s="31" t="s">
        <v>37</v>
      </c>
      <c r="I773" s="2">
        <v>50.2</v>
      </c>
      <c r="J773">
        <v>29.808967985298384</v>
      </c>
      <c r="K773" s="59">
        <v>17.5</v>
      </c>
      <c r="M773">
        <v>3</v>
      </c>
    </row>
    <row r="774" spans="1:13" x14ac:dyDescent="0.25">
      <c r="A774">
        <v>2025</v>
      </c>
      <c r="B774" s="31" t="s">
        <v>149</v>
      </c>
      <c r="C774" s="31" t="s">
        <v>156</v>
      </c>
      <c r="D774" s="32">
        <v>2</v>
      </c>
      <c r="E774" s="32">
        <v>20</v>
      </c>
      <c r="F774" s="32">
        <v>3</v>
      </c>
      <c r="G774" s="32">
        <v>23</v>
      </c>
      <c r="H774" s="31" t="s">
        <v>37</v>
      </c>
      <c r="I774" s="2">
        <v>56.2</v>
      </c>
      <c r="J774">
        <v>34.622974398534296</v>
      </c>
      <c r="K774" s="59"/>
    </row>
    <row r="775" spans="1:13" x14ac:dyDescent="0.25">
      <c r="A775">
        <v>2025</v>
      </c>
      <c r="B775" s="31" t="s">
        <v>149</v>
      </c>
      <c r="C775" s="31" t="s">
        <v>156</v>
      </c>
      <c r="D775" s="32">
        <v>3</v>
      </c>
      <c r="E775" s="32">
        <v>9</v>
      </c>
      <c r="F775" s="32">
        <v>6</v>
      </c>
      <c r="G775" s="32">
        <v>23</v>
      </c>
      <c r="H775" s="31" t="s">
        <v>37</v>
      </c>
      <c r="I775" s="2">
        <v>58.5</v>
      </c>
      <c r="J775">
        <v>39.406303312977819</v>
      </c>
      <c r="K775" s="31"/>
    </row>
    <row r="776" spans="1:13" x14ac:dyDescent="0.25">
      <c r="A776">
        <v>2025</v>
      </c>
      <c r="B776" s="31" t="s">
        <v>149</v>
      </c>
      <c r="C776" s="31" t="s">
        <v>156</v>
      </c>
      <c r="D776" s="32">
        <v>1</v>
      </c>
      <c r="E776" s="32">
        <v>25</v>
      </c>
      <c r="F776" s="32">
        <v>1</v>
      </c>
      <c r="G776" s="32">
        <v>28</v>
      </c>
      <c r="H776" s="31" t="s">
        <v>38</v>
      </c>
      <c r="I776" s="12">
        <v>55.2</v>
      </c>
      <c r="J776">
        <v>45.142014367677554</v>
      </c>
      <c r="K776" s="59">
        <v>14.3</v>
      </c>
      <c r="M776">
        <v>2</v>
      </c>
    </row>
    <row r="777" spans="1:13" x14ac:dyDescent="0.25">
      <c r="A777">
        <v>2025</v>
      </c>
      <c r="B777" s="31" t="s">
        <v>149</v>
      </c>
      <c r="C777" s="31" t="s">
        <v>156</v>
      </c>
      <c r="D777" s="32">
        <v>2</v>
      </c>
      <c r="E777" s="32">
        <v>4</v>
      </c>
      <c r="F777" s="32">
        <v>4</v>
      </c>
      <c r="G777" s="32">
        <v>28</v>
      </c>
      <c r="H777" s="31" t="s">
        <v>38</v>
      </c>
      <c r="I777" s="12">
        <v>52.8</v>
      </c>
      <c r="J777">
        <v>30.528291469541038</v>
      </c>
      <c r="K777" s="61"/>
    </row>
    <row r="778" spans="1:13" x14ac:dyDescent="0.25">
      <c r="A778">
        <v>2025</v>
      </c>
      <c r="B778" s="31" t="s">
        <v>149</v>
      </c>
      <c r="C778" s="31" t="s">
        <v>156</v>
      </c>
      <c r="D778" s="32">
        <v>3</v>
      </c>
      <c r="E778" s="32">
        <v>21</v>
      </c>
      <c r="F778" s="32">
        <v>6</v>
      </c>
      <c r="G778" s="32">
        <v>28</v>
      </c>
      <c r="H778" s="31" t="s">
        <v>38</v>
      </c>
      <c r="I778" s="12">
        <v>55.4</v>
      </c>
      <c r="J778">
        <v>49.735292205606576</v>
      </c>
      <c r="K778" s="31"/>
    </row>
    <row r="779" spans="1:13" x14ac:dyDescent="0.25">
      <c r="A779">
        <v>2025</v>
      </c>
      <c r="B779" s="31" t="s">
        <v>149</v>
      </c>
      <c r="C779" s="31" t="s">
        <v>156</v>
      </c>
      <c r="D779" s="32">
        <v>1</v>
      </c>
      <c r="E779" s="32">
        <v>22</v>
      </c>
      <c r="F779" s="32">
        <v>1</v>
      </c>
      <c r="G779" s="32">
        <v>46</v>
      </c>
      <c r="H779" s="31" t="s">
        <v>127</v>
      </c>
      <c r="I779" s="12">
        <v>58.7</v>
      </c>
      <c r="J779">
        <v>54.638229352490235</v>
      </c>
      <c r="K779" s="59">
        <v>14.3</v>
      </c>
      <c r="M779">
        <v>2</v>
      </c>
    </row>
    <row r="780" spans="1:13" x14ac:dyDescent="0.25">
      <c r="A780">
        <v>2025</v>
      </c>
      <c r="B780" s="31" t="s">
        <v>149</v>
      </c>
      <c r="C780" s="31" t="s">
        <v>156</v>
      </c>
      <c r="D780" s="32">
        <v>2</v>
      </c>
      <c r="E780" s="32">
        <v>9</v>
      </c>
      <c r="F780" s="32">
        <v>3</v>
      </c>
      <c r="G780" s="32">
        <v>46</v>
      </c>
      <c r="H780" s="31" t="s">
        <v>127</v>
      </c>
      <c r="I780" s="12">
        <v>57.2</v>
      </c>
      <c r="J780">
        <v>49.231032737090779</v>
      </c>
      <c r="K780" s="31"/>
    </row>
    <row r="781" spans="1:13" x14ac:dyDescent="0.25">
      <c r="A781">
        <v>2025</v>
      </c>
      <c r="B781" s="31" t="s">
        <v>149</v>
      </c>
      <c r="C781" s="31" t="s">
        <v>156</v>
      </c>
      <c r="D781" s="32">
        <v>3</v>
      </c>
      <c r="E781" s="32">
        <v>3</v>
      </c>
      <c r="F781" s="32">
        <v>5</v>
      </c>
      <c r="G781" s="32">
        <v>46</v>
      </c>
      <c r="H781" s="31" t="s">
        <v>127</v>
      </c>
      <c r="I781" s="12">
        <v>55.8</v>
      </c>
      <c r="J781">
        <v>44.913960731211908</v>
      </c>
      <c r="K781" s="59"/>
    </row>
    <row r="782" spans="1:13" x14ac:dyDescent="0.25">
      <c r="A782">
        <v>2025</v>
      </c>
      <c r="B782" s="31" t="s">
        <v>149</v>
      </c>
      <c r="C782" s="31" t="s">
        <v>156</v>
      </c>
      <c r="D782" s="32">
        <v>1</v>
      </c>
      <c r="E782" s="32">
        <v>12</v>
      </c>
      <c r="F782" s="32">
        <v>2</v>
      </c>
      <c r="G782" s="32">
        <v>47</v>
      </c>
      <c r="H782" s="31" t="s">
        <v>153</v>
      </c>
      <c r="I782" s="2">
        <v>58.1</v>
      </c>
      <c r="J782">
        <v>52.83391285424122</v>
      </c>
      <c r="K782" s="59">
        <v>14.4</v>
      </c>
      <c r="M782">
        <v>4</v>
      </c>
    </row>
    <row r="783" spans="1:13" x14ac:dyDescent="0.25">
      <c r="A783">
        <v>2025</v>
      </c>
      <c r="B783" s="31" t="s">
        <v>149</v>
      </c>
      <c r="C783" s="31" t="s">
        <v>156</v>
      </c>
      <c r="D783" s="32">
        <v>2</v>
      </c>
      <c r="E783" s="32">
        <v>8</v>
      </c>
      <c r="F783" s="32">
        <v>4</v>
      </c>
      <c r="G783" s="32">
        <v>47</v>
      </c>
      <c r="H783" s="31" t="s">
        <v>153</v>
      </c>
      <c r="I783" s="2">
        <v>59.1</v>
      </c>
      <c r="J783">
        <v>45.974546407842759</v>
      </c>
      <c r="K783" s="31"/>
    </row>
    <row r="784" spans="1:13" x14ac:dyDescent="0.25">
      <c r="A784">
        <v>2025</v>
      </c>
      <c r="B784" s="31" t="s">
        <v>149</v>
      </c>
      <c r="C784" s="31" t="s">
        <v>156</v>
      </c>
      <c r="D784" s="32">
        <v>3</v>
      </c>
      <c r="E784" s="32">
        <v>16</v>
      </c>
      <c r="F784" s="32">
        <v>6</v>
      </c>
      <c r="G784" s="32">
        <v>47</v>
      </c>
      <c r="H784" s="31" t="s">
        <v>153</v>
      </c>
      <c r="I784" s="2">
        <v>59.1</v>
      </c>
      <c r="J784">
        <v>46.030501514641514</v>
      </c>
      <c r="K784" s="59"/>
    </row>
    <row r="785" spans="1:13" x14ac:dyDescent="0.25">
      <c r="A785">
        <v>2025</v>
      </c>
      <c r="B785" s="31" t="s">
        <v>149</v>
      </c>
      <c r="C785" s="31" t="s">
        <v>156</v>
      </c>
      <c r="D785" s="32">
        <v>1</v>
      </c>
      <c r="E785" s="32">
        <v>24</v>
      </c>
      <c r="F785" s="32">
        <v>1</v>
      </c>
      <c r="G785" s="32">
        <v>45</v>
      </c>
      <c r="H785" s="31" t="s">
        <v>39</v>
      </c>
      <c r="I785" s="2">
        <v>56.3</v>
      </c>
      <c r="J785">
        <v>47.093423171496063</v>
      </c>
      <c r="K785" s="59">
        <v>15.6</v>
      </c>
      <c r="M785">
        <v>4</v>
      </c>
    </row>
    <row r="786" spans="1:13" x14ac:dyDescent="0.25">
      <c r="A786">
        <v>2025</v>
      </c>
      <c r="B786" s="31" t="s">
        <v>149</v>
      </c>
      <c r="C786" s="31" t="s">
        <v>156</v>
      </c>
      <c r="D786" s="32">
        <v>2</v>
      </c>
      <c r="E786" s="32">
        <v>25</v>
      </c>
      <c r="F786" s="32">
        <v>4</v>
      </c>
      <c r="G786" s="32">
        <v>45</v>
      </c>
      <c r="H786" s="31" t="s">
        <v>39</v>
      </c>
      <c r="I786" s="2">
        <v>56</v>
      </c>
      <c r="J786">
        <v>51.974637857874463</v>
      </c>
      <c r="K786" s="61"/>
    </row>
    <row r="787" spans="1:13" x14ac:dyDescent="0.25">
      <c r="A787">
        <v>2025</v>
      </c>
      <c r="B787" s="31" t="s">
        <v>149</v>
      </c>
      <c r="C787" s="31" t="s">
        <v>156</v>
      </c>
      <c r="D787" s="32">
        <v>3</v>
      </c>
      <c r="E787" s="32">
        <v>19</v>
      </c>
      <c r="F787" s="32">
        <v>6</v>
      </c>
      <c r="G787" s="32">
        <v>45</v>
      </c>
      <c r="H787" s="31" t="s">
        <v>39</v>
      </c>
      <c r="I787" s="2">
        <v>54.1</v>
      </c>
      <c r="J787">
        <v>44.351495407991536</v>
      </c>
      <c r="K787" s="59"/>
    </row>
    <row r="788" spans="1:13" x14ac:dyDescent="0.25">
      <c r="A788">
        <v>2025</v>
      </c>
      <c r="B788" s="31" t="s">
        <v>149</v>
      </c>
      <c r="C788" s="31" t="s">
        <v>156</v>
      </c>
      <c r="D788" s="32">
        <v>1</v>
      </c>
      <c r="E788" s="32">
        <v>7</v>
      </c>
      <c r="F788" s="32">
        <v>2</v>
      </c>
      <c r="G788" s="32">
        <v>24</v>
      </c>
      <c r="H788" s="31" t="s">
        <v>40</v>
      </c>
      <c r="I788" s="2">
        <v>53.9</v>
      </c>
      <c r="J788">
        <v>44.41872134635846</v>
      </c>
      <c r="K788" s="59">
        <v>14.2</v>
      </c>
      <c r="M788">
        <v>3</v>
      </c>
    </row>
    <row r="789" spans="1:13" x14ac:dyDescent="0.25">
      <c r="A789">
        <v>2025</v>
      </c>
      <c r="B789" s="31" t="s">
        <v>149</v>
      </c>
      <c r="C789" s="31" t="s">
        <v>156</v>
      </c>
      <c r="D789" s="32">
        <v>2</v>
      </c>
      <c r="E789" s="32">
        <v>19</v>
      </c>
      <c r="F789" s="32">
        <v>4</v>
      </c>
      <c r="G789" s="32">
        <v>24</v>
      </c>
      <c r="H789" s="31" t="s">
        <v>40</v>
      </c>
      <c r="I789" s="2">
        <v>55.5</v>
      </c>
      <c r="J789">
        <v>38.332599131834371</v>
      </c>
      <c r="K789" s="61"/>
    </row>
    <row r="790" spans="1:13" x14ac:dyDescent="0.25">
      <c r="A790">
        <v>2025</v>
      </c>
      <c r="B790" s="31" t="s">
        <v>149</v>
      </c>
      <c r="C790" s="31" t="s">
        <v>156</v>
      </c>
      <c r="D790" s="32">
        <v>3</v>
      </c>
      <c r="E790" s="32">
        <v>24</v>
      </c>
      <c r="F790" s="32">
        <v>5</v>
      </c>
      <c r="G790" s="32">
        <v>24</v>
      </c>
      <c r="H790" s="31" t="s">
        <v>40</v>
      </c>
      <c r="I790" s="2">
        <v>57.8</v>
      </c>
      <c r="J790">
        <v>40.975409614082601</v>
      </c>
      <c r="K790" s="61"/>
    </row>
    <row r="791" spans="1:13" x14ac:dyDescent="0.25">
      <c r="A791">
        <v>2025</v>
      </c>
      <c r="B791" s="31" t="s">
        <v>149</v>
      </c>
      <c r="C791" s="31" t="s">
        <v>156</v>
      </c>
      <c r="D791" s="32">
        <v>1</v>
      </c>
      <c r="E791" s="32">
        <v>22</v>
      </c>
      <c r="F791" s="32">
        <v>2</v>
      </c>
      <c r="G791" s="32">
        <v>33</v>
      </c>
      <c r="H791" s="31" t="s">
        <v>41</v>
      </c>
      <c r="I791" s="2">
        <v>57.9</v>
      </c>
      <c r="J791">
        <v>49.758889931327978</v>
      </c>
      <c r="K791" s="59">
        <v>13.9</v>
      </c>
      <c r="M791">
        <v>3</v>
      </c>
    </row>
    <row r="792" spans="1:13" x14ac:dyDescent="0.25">
      <c r="A792">
        <v>2025</v>
      </c>
      <c r="B792" s="31" t="s">
        <v>149</v>
      </c>
      <c r="C792" s="31" t="s">
        <v>156</v>
      </c>
      <c r="D792" s="32">
        <v>2</v>
      </c>
      <c r="E792" s="32">
        <v>17</v>
      </c>
      <c r="F792" s="32">
        <v>3</v>
      </c>
      <c r="G792" s="32">
        <v>33</v>
      </c>
      <c r="H792" s="31" t="s">
        <v>41</v>
      </c>
      <c r="I792" s="2">
        <v>56.6</v>
      </c>
      <c r="J792">
        <v>46.026336724362366</v>
      </c>
      <c r="K792" s="59"/>
    </row>
    <row r="793" spans="1:13" x14ac:dyDescent="0.25">
      <c r="A793">
        <v>2025</v>
      </c>
      <c r="B793" s="31" t="s">
        <v>149</v>
      </c>
      <c r="C793" s="31" t="s">
        <v>156</v>
      </c>
      <c r="D793" s="32">
        <v>3</v>
      </c>
      <c r="E793" s="32">
        <v>10</v>
      </c>
      <c r="F793" s="32">
        <v>6</v>
      </c>
      <c r="G793" s="32">
        <v>33</v>
      </c>
      <c r="H793" s="31" t="s">
        <v>41</v>
      </c>
      <c r="I793" s="2">
        <v>55.2</v>
      </c>
      <c r="J793">
        <v>39.920606337452504</v>
      </c>
      <c r="K793" s="59"/>
    </row>
    <row r="794" spans="1:13" x14ac:dyDescent="0.25">
      <c r="A794">
        <v>2025</v>
      </c>
      <c r="B794" s="31" t="s">
        <v>149</v>
      </c>
      <c r="C794" s="31" t="s">
        <v>156</v>
      </c>
      <c r="D794" s="32">
        <v>1</v>
      </c>
      <c r="E794" s="32">
        <v>14</v>
      </c>
      <c r="F794" s="32">
        <v>1</v>
      </c>
      <c r="G794" s="32">
        <v>60</v>
      </c>
      <c r="H794" s="31" t="s">
        <v>154</v>
      </c>
      <c r="I794" s="2">
        <v>51.2</v>
      </c>
      <c r="J794">
        <v>31.547115375343523</v>
      </c>
      <c r="K794" s="59">
        <v>18.3</v>
      </c>
      <c r="M794">
        <v>1</v>
      </c>
    </row>
    <row r="795" spans="1:13" x14ac:dyDescent="0.25">
      <c r="A795">
        <v>2025</v>
      </c>
      <c r="B795" s="31" t="s">
        <v>149</v>
      </c>
      <c r="C795" s="31" t="s">
        <v>156</v>
      </c>
      <c r="D795" s="32">
        <v>2</v>
      </c>
      <c r="E795" s="32">
        <v>22</v>
      </c>
      <c r="F795" s="32">
        <v>4</v>
      </c>
      <c r="G795" s="32">
        <v>60</v>
      </c>
      <c r="H795" s="31" t="s">
        <v>154</v>
      </c>
      <c r="I795" s="2">
        <v>53.2</v>
      </c>
      <c r="J795">
        <v>42.744069648344144</v>
      </c>
      <c r="K795" s="61"/>
    </row>
    <row r="796" spans="1:13" x14ac:dyDescent="0.25">
      <c r="A796">
        <v>2025</v>
      </c>
      <c r="B796" s="31" t="s">
        <v>149</v>
      </c>
      <c r="C796" s="31" t="s">
        <v>156</v>
      </c>
      <c r="D796" s="32">
        <v>3</v>
      </c>
      <c r="E796" s="32">
        <v>20</v>
      </c>
      <c r="F796" s="32">
        <v>6</v>
      </c>
      <c r="G796" s="32">
        <v>60</v>
      </c>
      <c r="H796" s="31" t="s">
        <v>154</v>
      </c>
      <c r="I796" s="2">
        <v>51.3</v>
      </c>
      <c r="J796">
        <v>31.159460979949024</v>
      </c>
      <c r="K796" s="61"/>
    </row>
    <row r="797" spans="1:13" x14ac:dyDescent="0.25">
      <c r="A797">
        <v>2025</v>
      </c>
      <c r="B797" s="31" t="s">
        <v>149</v>
      </c>
      <c r="C797" s="31" t="s">
        <v>156</v>
      </c>
      <c r="D797" s="32">
        <v>1</v>
      </c>
      <c r="E797" s="32">
        <v>17</v>
      </c>
      <c r="F797" s="32">
        <v>2</v>
      </c>
      <c r="G797" s="32">
        <v>58</v>
      </c>
      <c r="H797" s="31" t="s">
        <v>103</v>
      </c>
      <c r="I797" s="2">
        <v>59</v>
      </c>
      <c r="J797">
        <v>52.537496953283679</v>
      </c>
      <c r="K797" s="59">
        <v>14.6</v>
      </c>
      <c r="M797">
        <v>3</v>
      </c>
    </row>
    <row r="798" spans="1:13" x14ac:dyDescent="0.25">
      <c r="A798">
        <v>2025</v>
      </c>
      <c r="B798" s="31" t="s">
        <v>149</v>
      </c>
      <c r="C798" s="31" t="s">
        <v>156</v>
      </c>
      <c r="D798" s="32">
        <v>2</v>
      </c>
      <c r="E798" s="32">
        <v>16</v>
      </c>
      <c r="F798" s="32">
        <v>4</v>
      </c>
      <c r="G798" s="32">
        <v>58</v>
      </c>
      <c r="H798" s="31" t="s">
        <v>103</v>
      </c>
      <c r="I798" s="2">
        <v>56.4</v>
      </c>
      <c r="J798">
        <v>47.470169243525334</v>
      </c>
      <c r="K798" s="61"/>
    </row>
    <row r="799" spans="1:13" x14ac:dyDescent="0.25">
      <c r="A799">
        <v>2025</v>
      </c>
      <c r="B799" s="31" t="s">
        <v>149</v>
      </c>
      <c r="C799" s="31" t="s">
        <v>156</v>
      </c>
      <c r="D799" s="32">
        <v>3</v>
      </c>
      <c r="E799" s="32">
        <v>4</v>
      </c>
      <c r="F799" s="32">
        <v>5</v>
      </c>
      <c r="G799" s="32">
        <v>58</v>
      </c>
      <c r="H799" s="31" t="s">
        <v>103</v>
      </c>
      <c r="I799" s="2">
        <v>53.5</v>
      </c>
      <c r="J799">
        <v>35.548650739916816</v>
      </c>
      <c r="K799" s="59"/>
    </row>
    <row r="800" spans="1:13" x14ac:dyDescent="0.25">
      <c r="A800">
        <v>2025</v>
      </c>
      <c r="B800" s="31" t="s">
        <v>149</v>
      </c>
      <c r="C800" s="31" t="s">
        <v>156</v>
      </c>
      <c r="D800" s="32">
        <v>1</v>
      </c>
      <c r="E800" s="32">
        <v>21</v>
      </c>
      <c r="F800" s="32">
        <v>2</v>
      </c>
      <c r="G800" s="32">
        <v>25</v>
      </c>
      <c r="H800" s="31" t="s">
        <v>130</v>
      </c>
      <c r="I800" s="2">
        <v>58</v>
      </c>
      <c r="J800">
        <v>50.678156494825416</v>
      </c>
      <c r="K800" s="59">
        <v>13.4</v>
      </c>
      <c r="M800">
        <v>2</v>
      </c>
    </row>
    <row r="801" spans="1:13" x14ac:dyDescent="0.25">
      <c r="A801">
        <v>2025</v>
      </c>
      <c r="B801" s="31" t="s">
        <v>149</v>
      </c>
      <c r="C801" s="31" t="s">
        <v>156</v>
      </c>
      <c r="D801" s="32">
        <v>2</v>
      </c>
      <c r="E801" s="32">
        <v>23</v>
      </c>
      <c r="F801" s="32">
        <v>4</v>
      </c>
      <c r="G801" s="32">
        <v>25</v>
      </c>
      <c r="H801" s="31" t="s">
        <v>130</v>
      </c>
      <c r="I801" s="2">
        <v>56.9</v>
      </c>
      <c r="J801">
        <v>53.48433595083646</v>
      </c>
      <c r="K801" s="31"/>
    </row>
    <row r="802" spans="1:13" x14ac:dyDescent="0.25">
      <c r="A802">
        <v>2025</v>
      </c>
      <c r="B802" s="31" t="s">
        <v>149</v>
      </c>
      <c r="C802" s="31" t="s">
        <v>156</v>
      </c>
      <c r="D802" s="32">
        <v>3</v>
      </c>
      <c r="E802" s="32">
        <v>14</v>
      </c>
      <c r="F802" s="32">
        <v>5</v>
      </c>
      <c r="G802" s="32">
        <v>25</v>
      </c>
      <c r="H802" s="31" t="s">
        <v>130</v>
      </c>
      <c r="I802" s="2">
        <v>55.4</v>
      </c>
      <c r="J802">
        <v>47.656736628300607</v>
      </c>
      <c r="K802" s="31"/>
    </row>
    <row r="803" spans="1:13" x14ac:dyDescent="0.25">
      <c r="A803">
        <v>2025</v>
      </c>
      <c r="B803" s="31" t="s">
        <v>149</v>
      </c>
      <c r="C803" s="31" t="s">
        <v>156</v>
      </c>
      <c r="D803" s="32">
        <v>1</v>
      </c>
      <c r="E803" s="32">
        <v>12</v>
      </c>
      <c r="F803" s="32">
        <v>1</v>
      </c>
      <c r="G803" s="32">
        <v>34</v>
      </c>
      <c r="H803" s="31" t="s">
        <v>42</v>
      </c>
      <c r="I803" s="2">
        <v>57.2</v>
      </c>
      <c r="J803">
        <v>47.89574273178728</v>
      </c>
      <c r="K803" s="59">
        <v>15</v>
      </c>
      <c r="M803">
        <v>4</v>
      </c>
    </row>
    <row r="804" spans="1:13" x14ac:dyDescent="0.25">
      <c r="A804">
        <v>2025</v>
      </c>
      <c r="B804" s="31" t="s">
        <v>149</v>
      </c>
      <c r="C804" s="31" t="s">
        <v>156</v>
      </c>
      <c r="D804" s="32">
        <v>2</v>
      </c>
      <c r="E804" s="32">
        <v>1</v>
      </c>
      <c r="F804" s="32">
        <v>3</v>
      </c>
      <c r="G804" s="32">
        <v>34</v>
      </c>
      <c r="H804" s="31" t="s">
        <v>42</v>
      </c>
      <c r="I804" s="2">
        <v>55.2</v>
      </c>
      <c r="J804">
        <v>33.866820789740125</v>
      </c>
      <c r="K804" s="61"/>
    </row>
    <row r="805" spans="1:13" x14ac:dyDescent="0.25">
      <c r="A805">
        <v>2025</v>
      </c>
      <c r="B805" s="31" t="s">
        <v>149</v>
      </c>
      <c r="C805" s="31" t="s">
        <v>156</v>
      </c>
      <c r="D805" s="32">
        <v>3</v>
      </c>
      <c r="E805" s="32">
        <v>2</v>
      </c>
      <c r="F805" s="32">
        <v>5</v>
      </c>
      <c r="G805" s="32">
        <v>34</v>
      </c>
      <c r="H805" s="31" t="s">
        <v>42</v>
      </c>
      <c r="I805" s="2">
        <v>58.6</v>
      </c>
      <c r="J805">
        <v>34.859222361930549</v>
      </c>
      <c r="K805" s="61"/>
    </row>
    <row r="806" spans="1:13" x14ac:dyDescent="0.25">
      <c r="A806">
        <v>2025</v>
      </c>
      <c r="B806" s="31" t="s">
        <v>149</v>
      </c>
      <c r="C806" s="31" t="s">
        <v>156</v>
      </c>
      <c r="D806" s="32">
        <v>1</v>
      </c>
      <c r="E806" s="32">
        <v>14</v>
      </c>
      <c r="F806" s="32">
        <v>2</v>
      </c>
      <c r="G806" s="32">
        <v>35</v>
      </c>
      <c r="H806" s="31" t="s">
        <v>129</v>
      </c>
      <c r="I806" s="2">
        <v>51.6</v>
      </c>
      <c r="J806">
        <v>47.520430892736236</v>
      </c>
      <c r="K806" s="59">
        <v>15</v>
      </c>
      <c r="M806">
        <v>5</v>
      </c>
    </row>
    <row r="807" spans="1:13" x14ac:dyDescent="0.25">
      <c r="A807">
        <v>2025</v>
      </c>
      <c r="B807" s="31" t="s">
        <v>149</v>
      </c>
      <c r="C807" s="31" t="s">
        <v>156</v>
      </c>
      <c r="D807" s="32">
        <v>2</v>
      </c>
      <c r="E807" s="32">
        <v>15</v>
      </c>
      <c r="F807" s="32">
        <v>3</v>
      </c>
      <c r="G807" s="32">
        <v>35</v>
      </c>
      <c r="H807" s="31" t="s">
        <v>129</v>
      </c>
      <c r="I807" s="2">
        <v>55.9</v>
      </c>
      <c r="J807">
        <v>50.929149317776371</v>
      </c>
      <c r="K807" s="31"/>
    </row>
    <row r="808" spans="1:13" x14ac:dyDescent="0.25">
      <c r="A808">
        <v>2025</v>
      </c>
      <c r="B808" s="31" t="s">
        <v>149</v>
      </c>
      <c r="C808" s="31" t="s">
        <v>156</v>
      </c>
      <c r="D808" s="32">
        <v>3</v>
      </c>
      <c r="E808" s="32">
        <v>18</v>
      </c>
      <c r="F808" s="32">
        <v>6</v>
      </c>
      <c r="G808" s="32">
        <v>35</v>
      </c>
      <c r="H808" s="31" t="s">
        <v>129</v>
      </c>
      <c r="I808" s="2">
        <v>57.9</v>
      </c>
      <c r="J808">
        <v>46.902403183151414</v>
      </c>
      <c r="K808" s="31"/>
    </row>
    <row r="809" spans="1:13" x14ac:dyDescent="0.25">
      <c r="A809">
        <v>2025</v>
      </c>
      <c r="B809" s="31" t="s">
        <v>149</v>
      </c>
      <c r="C809" s="31" t="s">
        <v>156</v>
      </c>
      <c r="D809" s="32">
        <v>1</v>
      </c>
      <c r="E809" s="32">
        <v>3</v>
      </c>
      <c r="F809" s="32">
        <v>2</v>
      </c>
      <c r="G809" s="32">
        <v>57</v>
      </c>
      <c r="H809" s="31" t="s">
        <v>43</v>
      </c>
      <c r="I809" s="2">
        <v>51</v>
      </c>
      <c r="J809">
        <v>43.343395009188498</v>
      </c>
      <c r="K809" s="59">
        <v>15.3</v>
      </c>
      <c r="M809">
        <v>3</v>
      </c>
    </row>
    <row r="810" spans="1:13" x14ac:dyDescent="0.25">
      <c r="A810">
        <v>2025</v>
      </c>
      <c r="B810" s="31" t="s">
        <v>149</v>
      </c>
      <c r="C810" s="31" t="s">
        <v>156</v>
      </c>
      <c r="D810" s="32">
        <v>2</v>
      </c>
      <c r="E810" s="32">
        <v>21</v>
      </c>
      <c r="F810" s="32">
        <v>4</v>
      </c>
      <c r="G810" s="32">
        <v>57</v>
      </c>
      <c r="H810" s="31" t="s">
        <v>43</v>
      </c>
      <c r="I810" s="2">
        <v>55.9</v>
      </c>
      <c r="J810">
        <v>45.600163878456797</v>
      </c>
      <c r="K810" s="61"/>
    </row>
    <row r="811" spans="1:13" x14ac:dyDescent="0.25">
      <c r="A811">
        <v>2025</v>
      </c>
      <c r="B811" s="31" t="s">
        <v>149</v>
      </c>
      <c r="C811" s="31" t="s">
        <v>156</v>
      </c>
      <c r="D811" s="32">
        <v>3</v>
      </c>
      <c r="E811" s="32">
        <v>26</v>
      </c>
      <c r="F811" s="32">
        <v>5</v>
      </c>
      <c r="G811" s="32">
        <v>57</v>
      </c>
      <c r="H811" s="31" t="s">
        <v>43</v>
      </c>
      <c r="I811" s="2">
        <v>55.9</v>
      </c>
      <c r="J811">
        <v>48.723512138504681</v>
      </c>
      <c r="K811" s="31"/>
    </row>
    <row r="812" spans="1:13" x14ac:dyDescent="0.25">
      <c r="A812">
        <v>2025</v>
      </c>
      <c r="B812" s="31" t="s">
        <v>149</v>
      </c>
      <c r="C812" s="31" t="s">
        <v>156</v>
      </c>
      <c r="D812" s="32">
        <v>1</v>
      </c>
      <c r="E812" s="32">
        <v>26</v>
      </c>
      <c r="F812" s="32">
        <v>2</v>
      </c>
      <c r="G812" s="32">
        <v>49</v>
      </c>
      <c r="H812" s="31" t="s">
        <v>151</v>
      </c>
      <c r="I812" s="2">
        <v>60.9</v>
      </c>
      <c r="J812">
        <v>57.184330399458368</v>
      </c>
      <c r="K812" s="59">
        <v>15.2</v>
      </c>
      <c r="M812">
        <v>1</v>
      </c>
    </row>
    <row r="813" spans="1:13" x14ac:dyDescent="0.25">
      <c r="A813">
        <v>2025</v>
      </c>
      <c r="B813" s="31" t="s">
        <v>149</v>
      </c>
      <c r="C813" s="31" t="s">
        <v>156</v>
      </c>
      <c r="D813" s="32">
        <v>2</v>
      </c>
      <c r="E813" s="32">
        <v>13</v>
      </c>
      <c r="F813" s="32">
        <v>3</v>
      </c>
      <c r="G813" s="32">
        <v>49</v>
      </c>
      <c r="H813" s="31" t="s">
        <v>151</v>
      </c>
      <c r="I813" s="2">
        <v>57.3</v>
      </c>
      <c r="J813">
        <v>47.567683814666601</v>
      </c>
      <c r="K813" s="61"/>
    </row>
    <row r="814" spans="1:13" x14ac:dyDescent="0.25">
      <c r="A814">
        <v>2025</v>
      </c>
      <c r="B814" s="31" t="s">
        <v>149</v>
      </c>
      <c r="C814" s="31" t="s">
        <v>156</v>
      </c>
      <c r="D814" s="32">
        <v>3</v>
      </c>
      <c r="E814" s="32">
        <v>12</v>
      </c>
      <c r="F814" s="32">
        <v>5</v>
      </c>
      <c r="G814" s="32">
        <v>49</v>
      </c>
      <c r="H814" s="31" t="s">
        <v>151</v>
      </c>
      <c r="I814" s="2">
        <v>57</v>
      </c>
      <c r="J814">
        <v>46.654192861978906</v>
      </c>
      <c r="K814" s="61"/>
    </row>
    <row r="815" spans="1:13" x14ac:dyDescent="0.25">
      <c r="A815">
        <v>2025</v>
      </c>
      <c r="B815" s="31" t="s">
        <v>149</v>
      </c>
      <c r="C815" s="31" t="s">
        <v>156</v>
      </c>
      <c r="D815" s="32">
        <v>1</v>
      </c>
      <c r="E815" s="32">
        <v>2</v>
      </c>
      <c r="F815" s="32">
        <v>1</v>
      </c>
      <c r="G815" s="32">
        <v>48</v>
      </c>
      <c r="H815" s="31" t="s">
        <v>152</v>
      </c>
      <c r="I815" s="2">
        <v>52.2</v>
      </c>
      <c r="J815">
        <v>37.506112530736225</v>
      </c>
      <c r="K815" s="59">
        <v>17</v>
      </c>
      <c r="M815">
        <v>0</v>
      </c>
    </row>
    <row r="816" spans="1:13" x14ac:dyDescent="0.25">
      <c r="A816">
        <v>2025</v>
      </c>
      <c r="B816" s="31" t="s">
        <v>149</v>
      </c>
      <c r="C816" s="31" t="s">
        <v>156</v>
      </c>
      <c r="D816" s="32">
        <v>2</v>
      </c>
      <c r="E816" s="32">
        <v>18</v>
      </c>
      <c r="F816" s="32">
        <v>3</v>
      </c>
      <c r="G816" s="32">
        <v>48</v>
      </c>
      <c r="H816" s="31" t="s">
        <v>152</v>
      </c>
      <c r="I816" s="2">
        <v>49.3</v>
      </c>
      <c r="J816">
        <v>36.63109782556289</v>
      </c>
      <c r="K816" s="31"/>
    </row>
    <row r="817" spans="1:13" x14ac:dyDescent="0.25">
      <c r="A817">
        <v>2025</v>
      </c>
      <c r="B817" s="31" t="s">
        <v>149</v>
      </c>
      <c r="C817" s="31" t="s">
        <v>156</v>
      </c>
      <c r="D817" s="32">
        <v>3</v>
      </c>
      <c r="E817" s="32">
        <v>11</v>
      </c>
      <c r="F817" s="32">
        <v>6</v>
      </c>
      <c r="G817" s="32">
        <v>48</v>
      </c>
      <c r="H817" s="31" t="s">
        <v>152</v>
      </c>
      <c r="I817" s="2">
        <v>53.6</v>
      </c>
      <c r="J817">
        <v>40.141817569841798</v>
      </c>
      <c r="K817" s="61"/>
    </row>
    <row r="818" spans="1:13" x14ac:dyDescent="0.25">
      <c r="A818">
        <v>2025</v>
      </c>
      <c r="B818" s="31" t="s">
        <v>149</v>
      </c>
      <c r="C818" s="31" t="s">
        <v>156</v>
      </c>
      <c r="D818" s="32">
        <v>1</v>
      </c>
      <c r="E818" s="32">
        <v>10</v>
      </c>
      <c r="F818" s="32">
        <v>2</v>
      </c>
      <c r="G818" s="32">
        <v>26</v>
      </c>
      <c r="H818" s="31" t="s">
        <v>44</v>
      </c>
      <c r="I818" s="2">
        <v>58.7</v>
      </c>
      <c r="J818">
        <v>58.362324112583416</v>
      </c>
      <c r="K818" s="59">
        <v>13.7</v>
      </c>
      <c r="M818">
        <v>2</v>
      </c>
    </row>
    <row r="819" spans="1:13" x14ac:dyDescent="0.25">
      <c r="A819">
        <v>2025</v>
      </c>
      <c r="B819" s="31" t="s">
        <v>149</v>
      </c>
      <c r="C819" s="31" t="s">
        <v>156</v>
      </c>
      <c r="D819" s="32">
        <v>2</v>
      </c>
      <c r="E819" s="32">
        <v>5</v>
      </c>
      <c r="F819" s="32">
        <v>4</v>
      </c>
      <c r="G819" s="32">
        <v>26</v>
      </c>
      <c r="H819" s="31" t="s">
        <v>44</v>
      </c>
      <c r="I819" s="2" t="s">
        <v>12</v>
      </c>
      <c r="J819" t="s">
        <v>12</v>
      </c>
      <c r="K819" s="31"/>
    </row>
    <row r="820" spans="1:13" x14ac:dyDescent="0.25">
      <c r="A820">
        <v>2025</v>
      </c>
      <c r="B820" s="31" t="s">
        <v>149</v>
      </c>
      <c r="C820" s="31" t="s">
        <v>156</v>
      </c>
      <c r="D820" s="32">
        <v>3</v>
      </c>
      <c r="E820" s="32">
        <v>17</v>
      </c>
      <c r="F820" s="32">
        <v>5</v>
      </c>
      <c r="G820" s="32">
        <v>26</v>
      </c>
      <c r="H820" s="31" t="s">
        <v>44</v>
      </c>
      <c r="I820" s="2">
        <v>56.4</v>
      </c>
      <c r="J820">
        <v>49.210009188509517</v>
      </c>
      <c r="K820" s="31"/>
    </row>
    <row r="821" spans="1:13" x14ac:dyDescent="0.25">
      <c r="A821">
        <v>2025</v>
      </c>
      <c r="B821" s="31" t="s">
        <v>149</v>
      </c>
      <c r="C821" s="31" t="s">
        <v>156</v>
      </c>
      <c r="D821" s="32">
        <v>1</v>
      </c>
      <c r="E821" s="32">
        <v>1</v>
      </c>
      <c r="F821" s="32">
        <v>2</v>
      </c>
      <c r="G821" s="32">
        <v>36</v>
      </c>
      <c r="H821" s="31" t="s">
        <v>45</v>
      </c>
      <c r="I821" s="2">
        <v>59</v>
      </c>
      <c r="J821">
        <v>53.397951445981235</v>
      </c>
      <c r="K821" s="59">
        <v>15.7</v>
      </c>
      <c r="M821">
        <v>1</v>
      </c>
    </row>
    <row r="822" spans="1:13" x14ac:dyDescent="0.25">
      <c r="A822">
        <v>2025</v>
      </c>
      <c r="B822" s="31" t="s">
        <v>149</v>
      </c>
      <c r="C822" s="31" t="s">
        <v>156</v>
      </c>
      <c r="D822" s="32">
        <v>2</v>
      </c>
      <c r="E822" s="32">
        <v>8</v>
      </c>
      <c r="F822" s="32">
        <v>3</v>
      </c>
      <c r="G822" s="32">
        <v>36</v>
      </c>
      <c r="H822" s="31" t="s">
        <v>45</v>
      </c>
      <c r="I822" s="2">
        <v>58</v>
      </c>
      <c r="J822">
        <v>49.678134130466226</v>
      </c>
      <c r="K822" s="59"/>
    </row>
    <row r="823" spans="1:13" x14ac:dyDescent="0.25">
      <c r="A823">
        <v>2025</v>
      </c>
      <c r="B823" s="31" t="s">
        <v>149</v>
      </c>
      <c r="C823" s="31" t="s">
        <v>156</v>
      </c>
      <c r="D823" s="32">
        <v>3</v>
      </c>
      <c r="E823" s="32">
        <v>26</v>
      </c>
      <c r="F823" s="32">
        <v>6</v>
      </c>
      <c r="G823" s="32">
        <v>36</v>
      </c>
      <c r="H823" s="31" t="s">
        <v>45</v>
      </c>
      <c r="I823" s="2">
        <v>58.4</v>
      </c>
      <c r="J823">
        <v>51.074674568447357</v>
      </c>
      <c r="K823" s="61"/>
    </row>
    <row r="824" spans="1:13" x14ac:dyDescent="0.25">
      <c r="A824">
        <v>2025</v>
      </c>
      <c r="B824" s="31" t="s">
        <v>149</v>
      </c>
      <c r="C824" s="31" t="s">
        <v>10</v>
      </c>
      <c r="D824" s="32">
        <v>1</v>
      </c>
      <c r="E824" s="32">
        <v>1</v>
      </c>
      <c r="F824" s="32">
        <v>1</v>
      </c>
      <c r="G824" s="32">
        <v>34</v>
      </c>
      <c r="H824" s="31" t="s">
        <v>42</v>
      </c>
      <c r="I824" s="2">
        <v>56.2</v>
      </c>
      <c r="J824">
        <v>53.905276691729306</v>
      </c>
      <c r="K824">
        <v>14.8</v>
      </c>
    </row>
    <row r="825" spans="1:13" x14ac:dyDescent="0.25">
      <c r="A825">
        <v>2025</v>
      </c>
      <c r="B825" s="31" t="s">
        <v>149</v>
      </c>
      <c r="C825" s="31" t="s">
        <v>10</v>
      </c>
      <c r="D825" s="32">
        <v>1</v>
      </c>
      <c r="E825" s="32">
        <v>2</v>
      </c>
      <c r="F825" s="32">
        <v>1</v>
      </c>
      <c r="G825" s="32">
        <v>23</v>
      </c>
      <c r="H825" s="31" t="s">
        <v>37</v>
      </c>
      <c r="I825" s="2">
        <v>53.6</v>
      </c>
      <c r="J825">
        <v>44.768842105263154</v>
      </c>
      <c r="K825">
        <v>15.5</v>
      </c>
    </row>
    <row r="826" spans="1:13" x14ac:dyDescent="0.25">
      <c r="A826">
        <v>2025</v>
      </c>
      <c r="B826" s="31" t="s">
        <v>149</v>
      </c>
      <c r="C826" s="31" t="s">
        <v>10</v>
      </c>
      <c r="D826" s="32">
        <v>1</v>
      </c>
      <c r="E826" s="32">
        <v>3</v>
      </c>
      <c r="F826" s="32">
        <v>1</v>
      </c>
      <c r="G826" s="32">
        <v>18</v>
      </c>
      <c r="H826" s="31" t="s">
        <v>29</v>
      </c>
      <c r="I826" s="2">
        <v>57.2</v>
      </c>
      <c r="J826">
        <v>57.949190977443607</v>
      </c>
      <c r="K826">
        <v>13.4</v>
      </c>
    </row>
    <row r="827" spans="1:13" x14ac:dyDescent="0.25">
      <c r="A827">
        <v>2025</v>
      </c>
      <c r="B827" s="31" t="s">
        <v>149</v>
      </c>
      <c r="C827" s="31" t="s">
        <v>10</v>
      </c>
      <c r="D827" s="32">
        <v>1</v>
      </c>
      <c r="E827" s="32">
        <v>4</v>
      </c>
      <c r="F827" s="32">
        <v>1</v>
      </c>
      <c r="G827" s="32">
        <v>46</v>
      </c>
      <c r="H827" s="31" t="s">
        <v>127</v>
      </c>
      <c r="I827" s="2">
        <v>58.2</v>
      </c>
      <c r="J827">
        <v>72.608336842105231</v>
      </c>
      <c r="K827">
        <v>14.1</v>
      </c>
    </row>
    <row r="828" spans="1:13" x14ac:dyDescent="0.25">
      <c r="A828">
        <v>2025</v>
      </c>
      <c r="B828" s="31" t="s">
        <v>149</v>
      </c>
      <c r="C828" s="31" t="s">
        <v>10</v>
      </c>
      <c r="D828" s="32">
        <v>1</v>
      </c>
      <c r="E828" s="32">
        <v>5</v>
      </c>
      <c r="F828" s="32">
        <v>1</v>
      </c>
      <c r="G828" s="32">
        <v>43</v>
      </c>
      <c r="H828" s="31" t="s">
        <v>125</v>
      </c>
      <c r="I828" s="2">
        <v>58.5</v>
      </c>
      <c r="J828">
        <v>54.405953684210516</v>
      </c>
      <c r="K828">
        <v>14</v>
      </c>
    </row>
    <row r="829" spans="1:13" x14ac:dyDescent="0.25">
      <c r="A829">
        <v>2025</v>
      </c>
      <c r="B829" s="31" t="s">
        <v>149</v>
      </c>
      <c r="C829" s="31" t="s">
        <v>10</v>
      </c>
      <c r="D829" s="32">
        <v>1</v>
      </c>
      <c r="E829" s="32">
        <v>6</v>
      </c>
      <c r="F829" s="32">
        <v>1</v>
      </c>
      <c r="G829" s="32">
        <v>37</v>
      </c>
      <c r="H829" s="31" t="s">
        <v>89</v>
      </c>
      <c r="I829" s="2">
        <v>58.6</v>
      </c>
      <c r="J829">
        <v>60.811526616541336</v>
      </c>
      <c r="K829">
        <v>13.2</v>
      </c>
    </row>
    <row r="830" spans="1:13" x14ac:dyDescent="0.25">
      <c r="A830">
        <v>2025</v>
      </c>
      <c r="B830" s="31" t="s">
        <v>149</v>
      </c>
      <c r="C830" s="31" t="s">
        <v>10</v>
      </c>
      <c r="D830" s="32">
        <v>1</v>
      </c>
      <c r="E830" s="32">
        <v>7</v>
      </c>
      <c r="F830" s="32">
        <v>1</v>
      </c>
      <c r="G830" s="32">
        <v>28</v>
      </c>
      <c r="H830" s="31" t="s">
        <v>38</v>
      </c>
      <c r="I830" s="2">
        <v>56.6</v>
      </c>
      <c r="J830">
        <v>53.842105263157876</v>
      </c>
      <c r="K830">
        <v>12.3</v>
      </c>
    </row>
    <row r="831" spans="1:13" x14ac:dyDescent="0.25">
      <c r="A831">
        <v>2025</v>
      </c>
      <c r="B831" s="31" t="s">
        <v>149</v>
      </c>
      <c r="C831" s="31" t="s">
        <v>10</v>
      </c>
      <c r="D831" s="32">
        <v>1</v>
      </c>
      <c r="E831" s="32">
        <v>8</v>
      </c>
      <c r="F831" s="32">
        <v>1</v>
      </c>
      <c r="G831" s="32">
        <v>35</v>
      </c>
      <c r="H831" s="31" t="s">
        <v>129</v>
      </c>
      <c r="I831" s="2">
        <v>55.8</v>
      </c>
      <c r="J831">
        <v>53.23669172932329</v>
      </c>
      <c r="K831">
        <v>14</v>
      </c>
    </row>
    <row r="832" spans="1:13" x14ac:dyDescent="0.25">
      <c r="A832">
        <v>2025</v>
      </c>
      <c r="B832" s="31" t="s">
        <v>149</v>
      </c>
      <c r="C832" s="31" t="s">
        <v>10</v>
      </c>
      <c r="D832" s="32">
        <v>1</v>
      </c>
      <c r="E832" s="32">
        <v>9</v>
      </c>
      <c r="F832" s="32">
        <v>1</v>
      </c>
      <c r="G832" s="32">
        <v>49</v>
      </c>
      <c r="H832" s="31" t="s">
        <v>151</v>
      </c>
      <c r="I832" s="2">
        <v>55.2</v>
      </c>
      <c r="J832">
        <v>50.831314285714285</v>
      </c>
      <c r="K832">
        <v>15.2</v>
      </c>
    </row>
    <row r="833" spans="1:11" x14ac:dyDescent="0.25">
      <c r="A833">
        <v>2025</v>
      </c>
      <c r="B833" s="31" t="s">
        <v>149</v>
      </c>
      <c r="C833" s="31" t="s">
        <v>10</v>
      </c>
      <c r="D833" s="32">
        <v>1</v>
      </c>
      <c r="E833" s="32">
        <v>10</v>
      </c>
      <c r="F833" s="32">
        <v>1</v>
      </c>
      <c r="G833" s="32">
        <v>7</v>
      </c>
      <c r="H833" s="31" t="s">
        <v>150</v>
      </c>
      <c r="I833" s="2">
        <v>56.4</v>
      </c>
      <c r="J833">
        <v>42.335675187969919</v>
      </c>
      <c r="K833">
        <v>14.6</v>
      </c>
    </row>
    <row r="834" spans="1:11" x14ac:dyDescent="0.25">
      <c r="A834">
        <v>2025</v>
      </c>
      <c r="B834" s="31" t="s">
        <v>149</v>
      </c>
      <c r="C834" s="31" t="s">
        <v>10</v>
      </c>
      <c r="D834" s="32">
        <v>1</v>
      </c>
      <c r="E834" s="32">
        <v>11</v>
      </c>
      <c r="F834" s="32">
        <v>1</v>
      </c>
      <c r="G834" s="32">
        <v>20</v>
      </c>
      <c r="H834" s="31" t="s">
        <v>24</v>
      </c>
      <c r="I834" s="2">
        <v>58.2</v>
      </c>
      <c r="J834">
        <v>61.188153383458641</v>
      </c>
      <c r="K834">
        <v>13.1</v>
      </c>
    </row>
    <row r="835" spans="1:11" x14ac:dyDescent="0.25">
      <c r="A835">
        <v>2025</v>
      </c>
      <c r="B835" s="31" t="s">
        <v>149</v>
      </c>
      <c r="C835" s="31" t="s">
        <v>10</v>
      </c>
      <c r="D835" s="32">
        <v>1</v>
      </c>
      <c r="E835" s="32">
        <v>12</v>
      </c>
      <c r="F835" s="32">
        <v>1</v>
      </c>
      <c r="G835" s="32">
        <v>21</v>
      </c>
      <c r="H835" s="31" t="s">
        <v>26</v>
      </c>
      <c r="I835" s="2">
        <v>57.6</v>
      </c>
      <c r="J835">
        <v>57.165428571428563</v>
      </c>
      <c r="K835">
        <v>13.5</v>
      </c>
    </row>
    <row r="836" spans="1:11" x14ac:dyDescent="0.25">
      <c r="A836">
        <v>2025</v>
      </c>
      <c r="B836" s="31" t="s">
        <v>149</v>
      </c>
      <c r="C836" s="31" t="s">
        <v>10</v>
      </c>
      <c r="D836" s="32">
        <v>1</v>
      </c>
      <c r="E836" s="32">
        <v>13</v>
      </c>
      <c r="F836" s="32">
        <v>1</v>
      </c>
      <c r="G836" s="32">
        <v>40</v>
      </c>
      <c r="H836" s="31" t="s">
        <v>121</v>
      </c>
      <c r="I836" s="2">
        <v>59.2</v>
      </c>
      <c r="J836">
        <v>60.799199999999985</v>
      </c>
      <c r="K836">
        <v>14</v>
      </c>
    </row>
    <row r="837" spans="1:11" x14ac:dyDescent="0.25">
      <c r="A837">
        <v>2025</v>
      </c>
      <c r="B837" s="31" t="s">
        <v>149</v>
      </c>
      <c r="C837" s="31" t="s">
        <v>10</v>
      </c>
      <c r="D837" s="32">
        <v>1</v>
      </c>
      <c r="E837" s="32">
        <v>13</v>
      </c>
      <c r="F837" s="32">
        <v>2</v>
      </c>
      <c r="G837" s="32">
        <v>9</v>
      </c>
      <c r="H837" s="31" t="s">
        <v>94</v>
      </c>
      <c r="I837" s="2">
        <v>54.6</v>
      </c>
      <c r="J837">
        <v>57.360368337425967</v>
      </c>
      <c r="K837">
        <v>14.5</v>
      </c>
    </row>
    <row r="838" spans="1:11" x14ac:dyDescent="0.25">
      <c r="A838">
        <v>2025</v>
      </c>
      <c r="B838" s="31" t="s">
        <v>149</v>
      </c>
      <c r="C838" s="31" t="s">
        <v>10</v>
      </c>
      <c r="D838" s="32">
        <v>1</v>
      </c>
      <c r="E838" s="32">
        <v>12</v>
      </c>
      <c r="F838" s="32">
        <v>2</v>
      </c>
      <c r="G838" s="32">
        <v>32</v>
      </c>
      <c r="H838" s="31" t="s">
        <v>25</v>
      </c>
      <c r="I838" s="2">
        <v>57.6</v>
      </c>
      <c r="J838">
        <v>55.242657807308966</v>
      </c>
      <c r="K838">
        <v>13.6</v>
      </c>
    </row>
    <row r="839" spans="1:11" x14ac:dyDescent="0.25">
      <c r="A839">
        <v>2025</v>
      </c>
      <c r="B839" s="31" t="s">
        <v>149</v>
      </c>
      <c r="C839" s="31" t="s">
        <v>10</v>
      </c>
      <c r="D839" s="32">
        <v>1</v>
      </c>
      <c r="E839" s="32">
        <v>11</v>
      </c>
      <c r="F839" s="32">
        <v>2</v>
      </c>
      <c r="G839" s="32">
        <v>17</v>
      </c>
      <c r="H839" s="31" t="s">
        <v>33</v>
      </c>
      <c r="I839" s="2">
        <v>56.7</v>
      </c>
      <c r="J839">
        <v>60.487069478549756</v>
      </c>
      <c r="K839">
        <v>13.7</v>
      </c>
    </row>
    <row r="840" spans="1:11" x14ac:dyDescent="0.25">
      <c r="A840">
        <v>2025</v>
      </c>
      <c r="B840" s="31" t="s">
        <v>149</v>
      </c>
      <c r="C840" s="31" t="s">
        <v>10</v>
      </c>
      <c r="D840" s="32">
        <v>1</v>
      </c>
      <c r="E840" s="32">
        <v>10</v>
      </c>
      <c r="F840" s="32">
        <v>2</v>
      </c>
      <c r="G840" s="32">
        <v>36</v>
      </c>
      <c r="H840" s="31" t="s">
        <v>45</v>
      </c>
      <c r="I840" s="2">
        <v>59.6</v>
      </c>
      <c r="J840">
        <v>58.27320468005199</v>
      </c>
      <c r="K840">
        <v>14</v>
      </c>
    </row>
    <row r="841" spans="1:11" x14ac:dyDescent="0.25">
      <c r="A841">
        <v>2025</v>
      </c>
      <c r="B841" s="31" t="s">
        <v>149</v>
      </c>
      <c r="C841" s="31" t="s">
        <v>10</v>
      </c>
      <c r="D841" s="32">
        <v>1</v>
      </c>
      <c r="E841" s="32">
        <v>9</v>
      </c>
      <c r="F841" s="32">
        <v>2</v>
      </c>
      <c r="G841" s="32">
        <v>13</v>
      </c>
      <c r="H841" s="31" t="s">
        <v>93</v>
      </c>
      <c r="I841" s="2">
        <v>58.1</v>
      </c>
      <c r="J841">
        <v>57.670219413549027</v>
      </c>
      <c r="K841">
        <v>13.2</v>
      </c>
    </row>
    <row r="842" spans="1:11" x14ac:dyDescent="0.25">
      <c r="A842">
        <v>2025</v>
      </c>
      <c r="B842" s="31" t="s">
        <v>149</v>
      </c>
      <c r="C842" s="31" t="s">
        <v>10</v>
      </c>
      <c r="D842" s="32">
        <v>1</v>
      </c>
      <c r="E842" s="32">
        <v>8</v>
      </c>
      <c r="F842" s="32">
        <v>2</v>
      </c>
      <c r="G842" s="32">
        <v>2</v>
      </c>
      <c r="H842" s="31" t="s">
        <v>126</v>
      </c>
      <c r="I842" s="2">
        <v>56.2</v>
      </c>
      <c r="J842">
        <v>71.660956232847028</v>
      </c>
      <c r="K842">
        <v>12.8</v>
      </c>
    </row>
    <row r="843" spans="1:11" x14ac:dyDescent="0.25">
      <c r="A843">
        <v>2025</v>
      </c>
      <c r="B843" s="31" t="s">
        <v>149</v>
      </c>
      <c r="C843" s="31" t="s">
        <v>10</v>
      </c>
      <c r="D843" s="32">
        <v>1</v>
      </c>
      <c r="E843" s="32">
        <v>7</v>
      </c>
      <c r="F843" s="32">
        <v>2</v>
      </c>
      <c r="G843" s="32">
        <v>11</v>
      </c>
      <c r="H843" s="31" t="s">
        <v>90</v>
      </c>
      <c r="I843" s="2">
        <v>58.2</v>
      </c>
      <c r="J843">
        <v>63.282493138812647</v>
      </c>
      <c r="K843">
        <v>13.3</v>
      </c>
    </row>
    <row r="844" spans="1:11" x14ac:dyDescent="0.25">
      <c r="A844">
        <v>2025</v>
      </c>
      <c r="B844" s="31" t="s">
        <v>149</v>
      </c>
      <c r="C844" s="31" t="s">
        <v>10</v>
      </c>
      <c r="D844" s="32">
        <v>1</v>
      </c>
      <c r="E844" s="32">
        <v>6</v>
      </c>
      <c r="F844" s="32">
        <v>2</v>
      </c>
      <c r="G844" s="32">
        <v>41</v>
      </c>
      <c r="H844" s="31" t="s">
        <v>124</v>
      </c>
      <c r="I844" s="2">
        <v>58.3</v>
      </c>
      <c r="J844">
        <v>59.090830564784042</v>
      </c>
      <c r="K844">
        <v>14.3</v>
      </c>
    </row>
    <row r="845" spans="1:11" x14ac:dyDescent="0.25">
      <c r="A845">
        <v>2025</v>
      </c>
      <c r="B845" s="31" t="s">
        <v>149</v>
      </c>
      <c r="C845" s="31" t="s">
        <v>10</v>
      </c>
      <c r="D845" s="32">
        <v>1</v>
      </c>
      <c r="E845" s="32">
        <v>5</v>
      </c>
      <c r="F845" s="32">
        <v>2</v>
      </c>
      <c r="G845" s="32">
        <v>12</v>
      </c>
      <c r="H845" s="31" t="s">
        <v>92</v>
      </c>
      <c r="I845" s="2">
        <v>59.6</v>
      </c>
      <c r="J845">
        <v>61.797564639607103</v>
      </c>
      <c r="K845">
        <v>14.3</v>
      </c>
    </row>
    <row r="846" spans="1:11" x14ac:dyDescent="0.25">
      <c r="A846">
        <v>2025</v>
      </c>
      <c r="B846" s="31" t="s">
        <v>149</v>
      </c>
      <c r="C846" s="31" t="s">
        <v>10</v>
      </c>
      <c r="D846" s="32">
        <v>1</v>
      </c>
      <c r="E846" s="32">
        <v>4</v>
      </c>
      <c r="F846" s="32">
        <v>2</v>
      </c>
      <c r="G846" s="32">
        <v>1</v>
      </c>
      <c r="H846" s="31" t="s">
        <v>120</v>
      </c>
      <c r="I846" s="2">
        <v>58.7</v>
      </c>
      <c r="J846">
        <v>66.133944821609134</v>
      </c>
      <c r="K846">
        <v>14</v>
      </c>
    </row>
    <row r="847" spans="1:11" x14ac:dyDescent="0.25">
      <c r="A847">
        <v>2025</v>
      </c>
      <c r="B847" s="31" t="s">
        <v>149</v>
      </c>
      <c r="C847" s="31" t="s">
        <v>10</v>
      </c>
      <c r="D847" s="32">
        <v>1</v>
      </c>
      <c r="E847" s="32">
        <v>3</v>
      </c>
      <c r="F847" s="32">
        <v>2</v>
      </c>
      <c r="G847" s="32">
        <v>4</v>
      </c>
      <c r="H847" s="31" t="s">
        <v>117</v>
      </c>
      <c r="I847" s="2">
        <v>56.8</v>
      </c>
      <c r="J847">
        <v>62.849198324425821</v>
      </c>
      <c r="K847">
        <v>13.2</v>
      </c>
    </row>
    <row r="848" spans="1:11" x14ac:dyDescent="0.25">
      <c r="A848">
        <v>2025</v>
      </c>
      <c r="B848" s="31" t="s">
        <v>149</v>
      </c>
      <c r="C848" s="31" t="s">
        <v>10</v>
      </c>
      <c r="D848" s="32">
        <v>1</v>
      </c>
      <c r="E848" s="32">
        <v>2</v>
      </c>
      <c r="F848" s="32">
        <v>2</v>
      </c>
      <c r="G848" s="32">
        <v>48</v>
      </c>
      <c r="H848" s="31" t="s">
        <v>152</v>
      </c>
      <c r="I848" s="2">
        <v>53.5</v>
      </c>
      <c r="J848">
        <v>48.690182002022233</v>
      </c>
      <c r="K848">
        <v>15.6</v>
      </c>
    </row>
    <row r="849" spans="1:11" x14ac:dyDescent="0.25">
      <c r="A849">
        <v>2025</v>
      </c>
      <c r="B849" s="31" t="s">
        <v>149</v>
      </c>
      <c r="C849" s="31" t="s">
        <v>10</v>
      </c>
      <c r="D849" s="32">
        <v>1</v>
      </c>
      <c r="E849" s="32">
        <v>1</v>
      </c>
      <c r="F849" s="32">
        <v>2</v>
      </c>
      <c r="G849" s="32">
        <v>6</v>
      </c>
      <c r="H849" s="31" t="s">
        <v>119</v>
      </c>
      <c r="I849" s="2">
        <v>57.3</v>
      </c>
      <c r="J849">
        <v>53.325292503250026</v>
      </c>
      <c r="K849">
        <v>15.8</v>
      </c>
    </row>
    <row r="850" spans="1:11" x14ac:dyDescent="0.25">
      <c r="A850">
        <v>2025</v>
      </c>
      <c r="B850" s="31" t="s">
        <v>149</v>
      </c>
      <c r="C850" s="31" t="s">
        <v>10</v>
      </c>
      <c r="D850" s="32">
        <v>1</v>
      </c>
      <c r="E850" s="32">
        <v>1</v>
      </c>
      <c r="F850" s="32">
        <v>3</v>
      </c>
      <c r="G850" s="32">
        <v>16</v>
      </c>
      <c r="H850" s="31" t="s">
        <v>32</v>
      </c>
      <c r="I850" s="2">
        <v>57.4</v>
      </c>
      <c r="J850">
        <v>64.883083939482106</v>
      </c>
      <c r="K850">
        <v>13.6</v>
      </c>
    </row>
    <row r="851" spans="1:11" x14ac:dyDescent="0.25">
      <c r="A851">
        <v>2025</v>
      </c>
      <c r="B851" s="31" t="s">
        <v>149</v>
      </c>
      <c r="C851" s="31" t="s">
        <v>10</v>
      </c>
      <c r="D851" s="32">
        <v>1</v>
      </c>
      <c r="E851" s="32">
        <v>2</v>
      </c>
      <c r="F851" s="32">
        <v>3</v>
      </c>
      <c r="G851" s="32">
        <v>8</v>
      </c>
      <c r="H851" s="31" t="s">
        <v>118</v>
      </c>
      <c r="I851" s="2">
        <v>58.1</v>
      </c>
      <c r="J851">
        <v>63.889421006691883</v>
      </c>
      <c r="K851">
        <v>13.4</v>
      </c>
    </row>
    <row r="852" spans="1:11" x14ac:dyDescent="0.25">
      <c r="A852">
        <v>2025</v>
      </c>
      <c r="B852" s="31" t="s">
        <v>149</v>
      </c>
      <c r="C852" s="31" t="s">
        <v>10</v>
      </c>
      <c r="D852" s="32">
        <v>1</v>
      </c>
      <c r="E852" s="32">
        <v>3</v>
      </c>
      <c r="F852" s="32">
        <v>3</v>
      </c>
      <c r="G852" s="32">
        <v>33</v>
      </c>
      <c r="H852" s="31" t="s">
        <v>41</v>
      </c>
      <c r="I852" s="2">
        <v>58</v>
      </c>
      <c r="J852">
        <v>62.900069100960131</v>
      </c>
      <c r="K852">
        <v>13</v>
      </c>
    </row>
    <row r="853" spans="1:11" x14ac:dyDescent="0.25">
      <c r="A853">
        <v>2025</v>
      </c>
      <c r="B853" s="31" t="s">
        <v>149</v>
      </c>
      <c r="C853" s="31" t="s">
        <v>10</v>
      </c>
      <c r="D853" s="32">
        <v>1</v>
      </c>
      <c r="E853" s="32">
        <v>4</v>
      </c>
      <c r="F853" s="32">
        <v>3</v>
      </c>
      <c r="G853" s="32">
        <v>5</v>
      </c>
      <c r="H853" s="31" t="s">
        <v>128</v>
      </c>
      <c r="I853" s="2">
        <v>55.5</v>
      </c>
      <c r="J853">
        <v>61.098487052662207</v>
      </c>
      <c r="K853">
        <v>13.3</v>
      </c>
    </row>
    <row r="854" spans="1:11" x14ac:dyDescent="0.25">
      <c r="A854">
        <v>2025</v>
      </c>
      <c r="B854" s="31" t="s">
        <v>149</v>
      </c>
      <c r="C854" s="31" t="s">
        <v>10</v>
      </c>
      <c r="D854" s="32">
        <v>1</v>
      </c>
      <c r="E854" s="32">
        <v>5</v>
      </c>
      <c r="F854" s="32">
        <v>3</v>
      </c>
      <c r="G854" s="32">
        <v>42</v>
      </c>
      <c r="H854" s="31" t="s">
        <v>34</v>
      </c>
      <c r="I854" s="2">
        <v>58</v>
      </c>
      <c r="J854">
        <v>62.585743380855391</v>
      </c>
      <c r="K854">
        <v>13.5</v>
      </c>
    </row>
    <row r="855" spans="1:11" x14ac:dyDescent="0.25">
      <c r="A855">
        <v>2025</v>
      </c>
      <c r="B855" s="31" t="s">
        <v>149</v>
      </c>
      <c r="C855" s="31" t="s">
        <v>10</v>
      </c>
      <c r="D855" s="32">
        <v>1</v>
      </c>
      <c r="E855" s="32">
        <v>6</v>
      </c>
      <c r="F855" s="32">
        <v>3</v>
      </c>
      <c r="G855" s="32">
        <v>3</v>
      </c>
      <c r="H855" s="31" t="s">
        <v>122</v>
      </c>
      <c r="I855" s="2">
        <v>60.1</v>
      </c>
      <c r="J855">
        <v>68.674661041606043</v>
      </c>
      <c r="K855">
        <v>13.3</v>
      </c>
    </row>
    <row r="856" spans="1:11" x14ac:dyDescent="0.25">
      <c r="A856">
        <v>2025</v>
      </c>
      <c r="B856" s="31" t="s">
        <v>149</v>
      </c>
      <c r="C856" s="31" t="s">
        <v>10</v>
      </c>
      <c r="D856" s="32">
        <v>1</v>
      </c>
      <c r="E856" s="32">
        <v>7</v>
      </c>
      <c r="F856" s="32">
        <v>3</v>
      </c>
      <c r="G856" s="32">
        <v>15</v>
      </c>
      <c r="H856" s="31" t="s">
        <v>31</v>
      </c>
      <c r="I856" s="2">
        <v>56.3</v>
      </c>
      <c r="J856">
        <v>60.970841286005232</v>
      </c>
      <c r="K856">
        <v>13.4</v>
      </c>
    </row>
    <row r="857" spans="1:11" x14ac:dyDescent="0.25">
      <c r="A857">
        <v>2025</v>
      </c>
      <c r="B857" s="31" t="s">
        <v>149</v>
      </c>
      <c r="C857" s="31" t="s">
        <v>10</v>
      </c>
      <c r="D857" s="32">
        <v>1</v>
      </c>
      <c r="E857" s="32">
        <v>8</v>
      </c>
      <c r="F857" s="32">
        <v>3</v>
      </c>
      <c r="G857" s="32">
        <v>47</v>
      </c>
      <c r="H857" s="31" t="s">
        <v>153</v>
      </c>
      <c r="I857" s="2">
        <v>55.3</v>
      </c>
      <c r="J857">
        <v>59.548341576956638</v>
      </c>
      <c r="K857">
        <v>14.9</v>
      </c>
    </row>
    <row r="858" spans="1:11" x14ac:dyDescent="0.25">
      <c r="A858">
        <v>2025</v>
      </c>
      <c r="B858" s="31" t="s">
        <v>149</v>
      </c>
      <c r="C858" s="31" t="s">
        <v>10</v>
      </c>
      <c r="D858" s="32">
        <v>1</v>
      </c>
      <c r="E858" s="32">
        <v>9</v>
      </c>
      <c r="F858" s="32">
        <v>3</v>
      </c>
      <c r="G858" s="32">
        <v>30</v>
      </c>
      <c r="H858" s="31" t="s">
        <v>21</v>
      </c>
      <c r="I858" s="2">
        <v>57.7</v>
      </c>
      <c r="J858">
        <v>55.526182135583355</v>
      </c>
      <c r="K858">
        <v>13.7</v>
      </c>
    </row>
    <row r="859" spans="1:11" x14ac:dyDescent="0.25">
      <c r="A859">
        <v>2025</v>
      </c>
      <c r="B859" s="31" t="s">
        <v>149</v>
      </c>
      <c r="C859" s="31" t="s">
        <v>10</v>
      </c>
      <c r="D859" s="32">
        <v>1</v>
      </c>
      <c r="E859" s="32">
        <v>10</v>
      </c>
      <c r="F859" s="32">
        <v>3</v>
      </c>
      <c r="G859" s="32">
        <v>57</v>
      </c>
      <c r="H859" s="31" t="s">
        <v>43</v>
      </c>
      <c r="I859" s="2">
        <v>52.4</v>
      </c>
      <c r="J859">
        <v>56.255878673261549</v>
      </c>
      <c r="K859">
        <v>14.3</v>
      </c>
    </row>
    <row r="860" spans="1:11" x14ac:dyDescent="0.25">
      <c r="A860">
        <v>2025</v>
      </c>
      <c r="B860" s="31" t="s">
        <v>149</v>
      </c>
      <c r="C860" s="31" t="s">
        <v>10</v>
      </c>
      <c r="D860" s="32">
        <v>1</v>
      </c>
      <c r="E860" s="32">
        <v>11</v>
      </c>
      <c r="F860" s="32">
        <v>3</v>
      </c>
      <c r="G860" s="32">
        <v>22</v>
      </c>
      <c r="H860" s="31" t="s">
        <v>28</v>
      </c>
      <c r="I860" s="2">
        <v>58</v>
      </c>
      <c r="J860">
        <v>71.476828629618836</v>
      </c>
      <c r="K860">
        <v>13.5</v>
      </c>
    </row>
    <row r="861" spans="1:11" x14ac:dyDescent="0.25">
      <c r="A861">
        <v>2025</v>
      </c>
      <c r="B861" s="31" t="s">
        <v>149</v>
      </c>
      <c r="C861" s="31" t="s">
        <v>10</v>
      </c>
      <c r="D861" s="32">
        <v>1</v>
      </c>
      <c r="E861" s="32">
        <v>12</v>
      </c>
      <c r="F861" s="32">
        <v>3</v>
      </c>
      <c r="G861" s="32">
        <v>31</v>
      </c>
      <c r="H861" s="31" t="s">
        <v>36</v>
      </c>
      <c r="I861" s="2">
        <v>54.8</v>
      </c>
      <c r="J861">
        <v>44.50852196683153</v>
      </c>
      <c r="K861">
        <v>13.5</v>
      </c>
    </row>
    <row r="862" spans="1:11" x14ac:dyDescent="0.25">
      <c r="A862">
        <v>2025</v>
      </c>
      <c r="B862" s="31" t="s">
        <v>149</v>
      </c>
      <c r="C862" s="31" t="s">
        <v>10</v>
      </c>
      <c r="D862" s="32">
        <v>1</v>
      </c>
      <c r="E862" s="32">
        <v>13</v>
      </c>
      <c r="F862" s="32">
        <v>3</v>
      </c>
      <c r="G862" s="32">
        <v>26</v>
      </c>
      <c r="H862" s="31" t="s">
        <v>44</v>
      </c>
      <c r="I862" s="2">
        <v>56.4</v>
      </c>
      <c r="J862">
        <v>71.642740762292703</v>
      </c>
      <c r="K862">
        <v>13.2</v>
      </c>
    </row>
    <row r="863" spans="1:11" x14ac:dyDescent="0.25">
      <c r="A863">
        <v>2025</v>
      </c>
      <c r="B863" s="31" t="s">
        <v>149</v>
      </c>
      <c r="C863" s="31" t="s">
        <v>10</v>
      </c>
      <c r="D863" s="32">
        <v>1</v>
      </c>
      <c r="E863" s="32">
        <v>13</v>
      </c>
      <c r="F863" s="32">
        <v>4</v>
      </c>
      <c r="G863" s="32">
        <v>29</v>
      </c>
      <c r="H863" s="31" t="s">
        <v>27</v>
      </c>
      <c r="I863" s="2">
        <v>58.5</v>
      </c>
      <c r="J863">
        <v>69.681861909576767</v>
      </c>
      <c r="K863">
        <v>12.8</v>
      </c>
    </row>
    <row r="864" spans="1:11" x14ac:dyDescent="0.25">
      <c r="A864">
        <v>2025</v>
      </c>
      <c r="B864" s="31" t="s">
        <v>149</v>
      </c>
      <c r="C864" s="31" t="s">
        <v>10</v>
      </c>
      <c r="D864" s="32">
        <v>1</v>
      </c>
      <c r="E864" s="32">
        <v>12</v>
      </c>
      <c r="F864" s="32">
        <v>4</v>
      </c>
      <c r="G864" s="32">
        <v>39</v>
      </c>
      <c r="H864" s="31" t="s">
        <v>22</v>
      </c>
      <c r="I864" s="2">
        <v>58.1</v>
      </c>
      <c r="J864">
        <v>68.895119601328901</v>
      </c>
      <c r="K864">
        <v>13.3</v>
      </c>
    </row>
    <row r="865" spans="1:11" x14ac:dyDescent="0.25">
      <c r="A865">
        <v>2025</v>
      </c>
      <c r="B865" s="31" t="s">
        <v>149</v>
      </c>
      <c r="C865" s="31" t="s">
        <v>10</v>
      </c>
      <c r="D865" s="32">
        <v>1</v>
      </c>
      <c r="E865" s="32">
        <v>11</v>
      </c>
      <c r="F865" s="32">
        <v>4</v>
      </c>
      <c r="G865" s="32">
        <v>24</v>
      </c>
      <c r="H865" s="31" t="s">
        <v>40</v>
      </c>
      <c r="I865" s="2">
        <v>59</v>
      </c>
      <c r="J865">
        <v>74.132023689152092</v>
      </c>
      <c r="K865">
        <v>13.1</v>
      </c>
    </row>
    <row r="866" spans="1:11" x14ac:dyDescent="0.25">
      <c r="A866">
        <v>2025</v>
      </c>
      <c r="B866" s="31" t="s">
        <v>149</v>
      </c>
      <c r="C866" s="31" t="s">
        <v>10</v>
      </c>
      <c r="D866" s="32">
        <v>1</v>
      </c>
      <c r="E866" s="32">
        <v>10</v>
      </c>
      <c r="F866" s="32">
        <v>4</v>
      </c>
      <c r="G866" s="32">
        <v>38</v>
      </c>
      <c r="H866" s="31" t="s">
        <v>23</v>
      </c>
      <c r="I866" s="2">
        <v>58.4</v>
      </c>
      <c r="J866">
        <v>62.87259338437093</v>
      </c>
      <c r="K866">
        <v>13.8</v>
      </c>
    </row>
    <row r="867" spans="1:11" x14ac:dyDescent="0.25">
      <c r="A867">
        <v>2025</v>
      </c>
      <c r="B867" s="31" t="s">
        <v>149</v>
      </c>
      <c r="C867" s="31" t="s">
        <v>10</v>
      </c>
      <c r="D867" s="32">
        <v>1</v>
      </c>
      <c r="E867" s="32">
        <v>9</v>
      </c>
      <c r="F867" s="32">
        <v>4</v>
      </c>
      <c r="G867" s="32">
        <v>19</v>
      </c>
      <c r="H867" s="31" t="s">
        <v>157</v>
      </c>
      <c r="I867" s="2">
        <v>56.6</v>
      </c>
      <c r="J867">
        <v>64.887571573017468</v>
      </c>
      <c r="K867">
        <v>13.7</v>
      </c>
    </row>
    <row r="868" spans="1:11" x14ac:dyDescent="0.25">
      <c r="A868">
        <v>2025</v>
      </c>
      <c r="B868" s="31" t="s">
        <v>149</v>
      </c>
      <c r="C868" s="31" t="s">
        <v>10</v>
      </c>
      <c r="D868" s="32">
        <v>1</v>
      </c>
      <c r="E868" s="32">
        <v>8</v>
      </c>
      <c r="F868" s="32">
        <v>4</v>
      </c>
      <c r="G868" s="32">
        <v>25</v>
      </c>
      <c r="H868" s="31" t="s">
        <v>130</v>
      </c>
      <c r="I868" s="2">
        <v>58</v>
      </c>
      <c r="J868">
        <v>69.112667918532424</v>
      </c>
      <c r="K868">
        <v>13.3</v>
      </c>
    </row>
    <row r="869" spans="1:11" x14ac:dyDescent="0.25">
      <c r="A869">
        <v>2025</v>
      </c>
      <c r="B869" s="31" t="s">
        <v>149</v>
      </c>
      <c r="C869" s="31" t="s">
        <v>10</v>
      </c>
      <c r="D869" s="32">
        <v>1</v>
      </c>
      <c r="E869" s="32">
        <v>7</v>
      </c>
      <c r="F869" s="32">
        <v>4</v>
      </c>
      <c r="G869" s="32">
        <v>14</v>
      </c>
      <c r="H869" s="31" t="s">
        <v>30</v>
      </c>
      <c r="I869" s="2">
        <v>59.2</v>
      </c>
      <c r="J869">
        <v>59.556348403871155</v>
      </c>
      <c r="K869">
        <v>13.9</v>
      </c>
    </row>
    <row r="870" spans="1:11" x14ac:dyDescent="0.25">
      <c r="A870">
        <v>2025</v>
      </c>
      <c r="B870" s="31" t="s">
        <v>149</v>
      </c>
      <c r="C870" s="31" t="s">
        <v>10</v>
      </c>
      <c r="D870" s="32">
        <v>1</v>
      </c>
      <c r="E870" s="32">
        <v>6</v>
      </c>
      <c r="F870" s="32">
        <v>4</v>
      </c>
      <c r="G870" s="32">
        <v>10</v>
      </c>
      <c r="H870" s="31" t="s">
        <v>91</v>
      </c>
      <c r="I870" s="2">
        <v>53.5</v>
      </c>
      <c r="J870">
        <v>55.913144590495449</v>
      </c>
      <c r="K870">
        <v>15.2</v>
      </c>
    </row>
    <row r="871" spans="1:11" x14ac:dyDescent="0.25">
      <c r="A871">
        <v>2025</v>
      </c>
      <c r="B871" s="31" t="s">
        <v>149</v>
      </c>
      <c r="C871" s="31" t="s">
        <v>10</v>
      </c>
      <c r="D871" s="32">
        <v>1</v>
      </c>
      <c r="E871" s="32">
        <v>5</v>
      </c>
      <c r="F871" s="32">
        <v>4</v>
      </c>
      <c r="G871" s="32">
        <v>27</v>
      </c>
      <c r="H871" s="31" t="s">
        <v>35</v>
      </c>
      <c r="I871" s="2">
        <v>58.8</v>
      </c>
      <c r="J871">
        <v>67.605788675429707</v>
      </c>
      <c r="K871">
        <v>13.3</v>
      </c>
    </row>
    <row r="872" spans="1:11" x14ac:dyDescent="0.25">
      <c r="A872">
        <v>2025</v>
      </c>
      <c r="B872" s="31" t="s">
        <v>149</v>
      </c>
      <c r="C872" s="31" t="s">
        <v>10</v>
      </c>
      <c r="D872" s="32">
        <v>1</v>
      </c>
      <c r="E872" s="32">
        <v>4</v>
      </c>
      <c r="F872" s="32">
        <v>4</v>
      </c>
      <c r="G872" s="32">
        <v>58</v>
      </c>
      <c r="H872" s="31" t="s">
        <v>103</v>
      </c>
      <c r="I872" s="2">
        <v>57.3</v>
      </c>
      <c r="J872">
        <v>58.621585150946125</v>
      </c>
      <c r="K872">
        <v>14.7</v>
      </c>
    </row>
    <row r="873" spans="1:11" x14ac:dyDescent="0.25">
      <c r="A873">
        <v>2025</v>
      </c>
      <c r="B873" s="31" t="s">
        <v>149</v>
      </c>
      <c r="C873" s="31" t="s">
        <v>10</v>
      </c>
      <c r="D873" s="32">
        <v>1</v>
      </c>
      <c r="E873" s="32">
        <v>3</v>
      </c>
      <c r="F873" s="32">
        <v>4</v>
      </c>
      <c r="G873" s="32">
        <v>60</v>
      </c>
      <c r="H873" s="31" t="s">
        <v>154</v>
      </c>
      <c r="I873" s="2">
        <v>54.8</v>
      </c>
      <c r="J873">
        <v>50.9950339448216</v>
      </c>
      <c r="K873">
        <v>15.4</v>
      </c>
    </row>
    <row r="874" spans="1:11" x14ac:dyDescent="0.25">
      <c r="A874">
        <v>2025</v>
      </c>
      <c r="B874" s="31" t="s">
        <v>149</v>
      </c>
      <c r="C874" s="31" t="s">
        <v>10</v>
      </c>
      <c r="D874" s="32">
        <v>1</v>
      </c>
      <c r="E874" s="32">
        <v>2</v>
      </c>
      <c r="F874" s="32">
        <v>4</v>
      </c>
      <c r="G874" s="32">
        <v>45</v>
      </c>
      <c r="H874" s="31" t="s">
        <v>39</v>
      </c>
      <c r="I874" s="2">
        <v>55.3</v>
      </c>
      <c r="J874">
        <v>47.238668207424524</v>
      </c>
      <c r="K874">
        <v>14.2</v>
      </c>
    </row>
    <row r="875" spans="1:11" x14ac:dyDescent="0.25">
      <c r="A875">
        <v>2025</v>
      </c>
      <c r="B875" s="31" t="s">
        <v>149</v>
      </c>
      <c r="C875" s="31" t="s">
        <v>10</v>
      </c>
      <c r="D875" s="32">
        <v>1</v>
      </c>
      <c r="E875" s="32">
        <v>1</v>
      </c>
      <c r="F875" s="32">
        <v>4</v>
      </c>
      <c r="G875" s="32">
        <v>44</v>
      </c>
      <c r="H875" s="31" t="s">
        <v>123</v>
      </c>
      <c r="I875" s="2">
        <v>57.4</v>
      </c>
      <c r="J875">
        <v>45.716101382488482</v>
      </c>
      <c r="K875">
        <v>14.5</v>
      </c>
    </row>
    <row r="876" spans="1:11" x14ac:dyDescent="0.25">
      <c r="A876">
        <v>2025</v>
      </c>
      <c r="B876" s="31" t="s">
        <v>149</v>
      </c>
      <c r="C876" s="31" t="s">
        <v>10</v>
      </c>
      <c r="D876" s="32">
        <v>2</v>
      </c>
      <c r="E876" s="32">
        <v>1</v>
      </c>
      <c r="F876" s="32">
        <v>5</v>
      </c>
      <c r="G876" s="32">
        <v>35</v>
      </c>
      <c r="H876" s="31" t="s">
        <v>129</v>
      </c>
      <c r="I876" s="2">
        <v>56.2</v>
      </c>
      <c r="J876">
        <v>49.21618479262672</v>
      </c>
    </row>
    <row r="877" spans="1:11" x14ac:dyDescent="0.25">
      <c r="A877">
        <v>2025</v>
      </c>
      <c r="B877" s="31" t="s">
        <v>149</v>
      </c>
      <c r="C877" s="31" t="s">
        <v>10</v>
      </c>
      <c r="D877" s="32">
        <v>2</v>
      </c>
      <c r="E877" s="32">
        <v>2</v>
      </c>
      <c r="F877" s="32">
        <v>5</v>
      </c>
      <c r="G877" s="32">
        <v>19</v>
      </c>
      <c r="H877" s="31" t="s">
        <v>157</v>
      </c>
      <c r="I877" s="2">
        <v>55.8</v>
      </c>
      <c r="J877">
        <v>43.526695852534559</v>
      </c>
    </row>
    <row r="878" spans="1:11" x14ac:dyDescent="0.25">
      <c r="A878">
        <v>2025</v>
      </c>
      <c r="B878" s="31" t="s">
        <v>149</v>
      </c>
      <c r="C878" s="31" t="s">
        <v>10</v>
      </c>
      <c r="D878" s="32">
        <v>2</v>
      </c>
      <c r="E878" s="32">
        <v>3</v>
      </c>
      <c r="F878" s="32">
        <v>5</v>
      </c>
      <c r="G878" s="32">
        <v>45</v>
      </c>
      <c r="H878" s="31" t="s">
        <v>39</v>
      </c>
      <c r="I878" s="2">
        <v>59.4</v>
      </c>
      <c r="J878">
        <v>60.445111520737321</v>
      </c>
    </row>
    <row r="879" spans="1:11" x14ac:dyDescent="0.25">
      <c r="A879">
        <v>2025</v>
      </c>
      <c r="B879" s="31" t="s">
        <v>149</v>
      </c>
      <c r="C879" s="31" t="s">
        <v>10</v>
      </c>
      <c r="D879" s="32">
        <v>2</v>
      </c>
      <c r="E879" s="32">
        <v>4</v>
      </c>
      <c r="F879" s="32">
        <v>5</v>
      </c>
      <c r="G879" s="32">
        <v>20</v>
      </c>
      <c r="H879" s="31" t="s">
        <v>24</v>
      </c>
      <c r="I879" s="2">
        <v>59</v>
      </c>
      <c r="J879">
        <v>55.288790046082951</v>
      </c>
    </row>
    <row r="880" spans="1:11" x14ac:dyDescent="0.25">
      <c r="A880">
        <v>2025</v>
      </c>
      <c r="B880" s="31" t="s">
        <v>149</v>
      </c>
      <c r="C880" s="31" t="s">
        <v>10</v>
      </c>
      <c r="D880" s="32">
        <v>2</v>
      </c>
      <c r="E880" s="32">
        <v>5</v>
      </c>
      <c r="F880" s="32">
        <v>5</v>
      </c>
      <c r="G880" s="32">
        <v>29</v>
      </c>
      <c r="H880" s="31" t="s">
        <v>27</v>
      </c>
      <c r="I880" s="2">
        <v>59.4</v>
      </c>
      <c r="J880">
        <v>59.808025990783413</v>
      </c>
    </row>
    <row r="881" spans="1:10" x14ac:dyDescent="0.25">
      <c r="A881">
        <v>2025</v>
      </c>
      <c r="B881" s="31" t="s">
        <v>149</v>
      </c>
      <c r="C881" s="31" t="s">
        <v>10</v>
      </c>
      <c r="D881" s="32">
        <v>2</v>
      </c>
      <c r="E881" s="32">
        <v>6</v>
      </c>
      <c r="F881" s="32">
        <v>5</v>
      </c>
      <c r="G881" s="32">
        <v>8</v>
      </c>
      <c r="H881" s="31" t="s">
        <v>118</v>
      </c>
      <c r="I881" s="2">
        <v>58.6</v>
      </c>
      <c r="J881">
        <v>63.907853225806448</v>
      </c>
    </row>
    <row r="882" spans="1:10" x14ac:dyDescent="0.25">
      <c r="A882">
        <v>2025</v>
      </c>
      <c r="B882" s="31" t="s">
        <v>149</v>
      </c>
      <c r="C882" s="31" t="s">
        <v>10</v>
      </c>
      <c r="D882" s="32">
        <v>2</v>
      </c>
      <c r="E882" s="32">
        <v>7</v>
      </c>
      <c r="F882" s="32">
        <v>5</v>
      </c>
      <c r="G882" s="32">
        <v>37</v>
      </c>
      <c r="H882" s="31" t="s">
        <v>89</v>
      </c>
      <c r="I882" s="2">
        <v>58</v>
      </c>
      <c r="J882">
        <v>48.603251612903222</v>
      </c>
    </row>
    <row r="883" spans="1:10" x14ac:dyDescent="0.25">
      <c r="A883">
        <v>2025</v>
      </c>
      <c r="B883" s="31" t="s">
        <v>149</v>
      </c>
      <c r="C883" s="31" t="s">
        <v>10</v>
      </c>
      <c r="D883" s="32">
        <v>2</v>
      </c>
      <c r="E883" s="32">
        <v>8</v>
      </c>
      <c r="F883" s="32">
        <v>5</v>
      </c>
      <c r="G883" s="32">
        <v>39</v>
      </c>
      <c r="H883" s="31" t="s">
        <v>22</v>
      </c>
      <c r="I883" s="2">
        <v>58</v>
      </c>
      <c r="J883">
        <v>58.170780414746545</v>
      </c>
    </row>
    <row r="884" spans="1:10" x14ac:dyDescent="0.25">
      <c r="A884">
        <v>2025</v>
      </c>
      <c r="B884" s="31" t="s">
        <v>149</v>
      </c>
      <c r="C884" s="31" t="s">
        <v>10</v>
      </c>
      <c r="D884" s="32">
        <v>2</v>
      </c>
      <c r="E884" s="32">
        <v>9</v>
      </c>
      <c r="F884" s="32">
        <v>5</v>
      </c>
      <c r="G884" s="32">
        <v>22</v>
      </c>
      <c r="H884" s="31" t="s">
        <v>28</v>
      </c>
      <c r="I884" s="2">
        <v>57</v>
      </c>
      <c r="J884">
        <v>57.048179723502308</v>
      </c>
    </row>
    <row r="885" spans="1:10" x14ac:dyDescent="0.25">
      <c r="A885">
        <v>2025</v>
      </c>
      <c r="B885" s="31" t="s">
        <v>149</v>
      </c>
      <c r="C885" s="31" t="s">
        <v>10</v>
      </c>
      <c r="D885" s="32">
        <v>2</v>
      </c>
      <c r="E885" s="32">
        <v>10</v>
      </c>
      <c r="F885" s="32">
        <v>5</v>
      </c>
      <c r="G885" s="32">
        <v>13</v>
      </c>
      <c r="H885" s="31" t="s">
        <v>93</v>
      </c>
      <c r="I885" s="2">
        <v>57.3</v>
      </c>
      <c r="J885">
        <v>55.153639078341016</v>
      </c>
    </row>
    <row r="886" spans="1:10" x14ac:dyDescent="0.25">
      <c r="A886">
        <v>2025</v>
      </c>
      <c r="B886" s="31" t="s">
        <v>149</v>
      </c>
      <c r="C886" s="31" t="s">
        <v>10</v>
      </c>
      <c r="D886" s="32">
        <v>2</v>
      </c>
      <c r="E886" s="32">
        <v>11</v>
      </c>
      <c r="F886" s="32">
        <v>5</v>
      </c>
      <c r="G886" s="32">
        <v>58</v>
      </c>
      <c r="H886" s="31" t="s">
        <v>103</v>
      </c>
      <c r="I886" s="2">
        <v>58.8</v>
      </c>
      <c r="J886">
        <v>50.967252995391696</v>
      </c>
    </row>
    <row r="887" spans="1:10" x14ac:dyDescent="0.25">
      <c r="A887">
        <v>2025</v>
      </c>
      <c r="B887" s="31" t="s">
        <v>149</v>
      </c>
      <c r="C887" s="31" t="s">
        <v>10</v>
      </c>
      <c r="D887" s="32">
        <v>2</v>
      </c>
      <c r="E887" s="32">
        <v>12</v>
      </c>
      <c r="F887" s="32">
        <v>5</v>
      </c>
      <c r="G887" s="32">
        <v>17</v>
      </c>
      <c r="H887" s="31" t="s">
        <v>33</v>
      </c>
      <c r="I887" s="2">
        <v>55.9</v>
      </c>
      <c r="J887">
        <v>47.978297004608294</v>
      </c>
    </row>
    <row r="888" spans="1:10" x14ac:dyDescent="0.25">
      <c r="A888">
        <v>2025</v>
      </c>
      <c r="B888" s="31" t="s">
        <v>149</v>
      </c>
      <c r="C888" s="31" t="s">
        <v>10</v>
      </c>
      <c r="D888" s="32">
        <v>2</v>
      </c>
      <c r="E888" s="32">
        <v>13</v>
      </c>
      <c r="F888" s="32">
        <v>5</v>
      </c>
      <c r="G888" s="32">
        <v>12</v>
      </c>
      <c r="H888" s="31" t="s">
        <v>92</v>
      </c>
      <c r="I888" s="2">
        <v>59.7</v>
      </c>
      <c r="J888">
        <v>56.333700829493075</v>
      </c>
    </row>
    <row r="889" spans="1:10" x14ac:dyDescent="0.25">
      <c r="A889">
        <v>2025</v>
      </c>
      <c r="B889" s="31" t="s">
        <v>149</v>
      </c>
      <c r="C889" s="31" t="s">
        <v>10</v>
      </c>
      <c r="D889" s="32">
        <v>2</v>
      </c>
      <c r="E889" s="32">
        <v>13</v>
      </c>
      <c r="F889" s="32">
        <v>6</v>
      </c>
      <c r="G889" s="32">
        <v>6</v>
      </c>
      <c r="H889" s="31" t="s">
        <v>119</v>
      </c>
      <c r="I889" s="2">
        <v>58.6</v>
      </c>
      <c r="J889">
        <v>48.025135951661618</v>
      </c>
    </row>
    <row r="890" spans="1:10" x14ac:dyDescent="0.25">
      <c r="A890">
        <v>2025</v>
      </c>
      <c r="B890" s="31" t="s">
        <v>149</v>
      </c>
      <c r="C890" s="31" t="s">
        <v>10</v>
      </c>
      <c r="D890" s="32">
        <v>2</v>
      </c>
      <c r="E890" s="32">
        <v>12</v>
      </c>
      <c r="F890" s="32">
        <v>6</v>
      </c>
      <c r="G890" s="32">
        <v>14</v>
      </c>
      <c r="H890" s="31" t="s">
        <v>30</v>
      </c>
      <c r="I890" s="2">
        <v>57.4</v>
      </c>
      <c r="J890">
        <v>50.191903323262835</v>
      </c>
    </row>
    <row r="891" spans="1:10" x14ac:dyDescent="0.25">
      <c r="A891">
        <v>2025</v>
      </c>
      <c r="B891" s="31" t="s">
        <v>149</v>
      </c>
      <c r="C891" s="31" t="s">
        <v>10</v>
      </c>
      <c r="D891" s="32">
        <v>2</v>
      </c>
      <c r="E891" s="32">
        <v>11</v>
      </c>
      <c r="F891" s="32">
        <v>6</v>
      </c>
      <c r="G891" s="32">
        <v>1</v>
      </c>
      <c r="H891" s="31" t="s">
        <v>120</v>
      </c>
      <c r="I891" s="2">
        <v>59.1</v>
      </c>
      <c r="J891">
        <v>68.463534743202416</v>
      </c>
    </row>
    <row r="892" spans="1:10" x14ac:dyDescent="0.25">
      <c r="A892">
        <v>2025</v>
      </c>
      <c r="B892" s="31" t="s">
        <v>149</v>
      </c>
      <c r="C892" s="31" t="s">
        <v>10</v>
      </c>
      <c r="D892" s="32">
        <v>2</v>
      </c>
      <c r="E892" s="32">
        <v>10</v>
      </c>
      <c r="F892" s="32">
        <v>6</v>
      </c>
      <c r="G892" s="32">
        <v>42</v>
      </c>
      <c r="H892" s="31" t="s">
        <v>34</v>
      </c>
      <c r="I892" s="2">
        <v>57.8</v>
      </c>
      <c r="J892">
        <v>53.842792403970641</v>
      </c>
    </row>
    <row r="893" spans="1:10" x14ac:dyDescent="0.25">
      <c r="A893">
        <v>2025</v>
      </c>
      <c r="B893" s="31" t="s">
        <v>149</v>
      </c>
      <c r="C893" s="31" t="s">
        <v>10</v>
      </c>
      <c r="D893" s="32">
        <v>2</v>
      </c>
      <c r="E893" s="32">
        <v>9</v>
      </c>
      <c r="F893" s="32">
        <v>6</v>
      </c>
      <c r="G893" s="32">
        <v>7</v>
      </c>
      <c r="H893" s="31" t="s">
        <v>150</v>
      </c>
      <c r="I893" s="2">
        <v>58</v>
      </c>
      <c r="J893">
        <v>51.121965904186439</v>
      </c>
    </row>
    <row r="894" spans="1:10" x14ac:dyDescent="0.25">
      <c r="A894">
        <v>2025</v>
      </c>
      <c r="B894" s="31" t="s">
        <v>149</v>
      </c>
      <c r="C894" s="31" t="s">
        <v>10</v>
      </c>
      <c r="D894" s="32">
        <v>2</v>
      </c>
      <c r="E894" s="32">
        <v>8</v>
      </c>
      <c r="F894" s="32">
        <v>6</v>
      </c>
      <c r="G894" s="32">
        <v>23</v>
      </c>
      <c r="H894" s="31" t="s">
        <v>37</v>
      </c>
      <c r="I894" s="2">
        <v>56.4</v>
      </c>
      <c r="J894">
        <v>53.002054380664653</v>
      </c>
    </row>
    <row r="895" spans="1:10" x14ac:dyDescent="0.25">
      <c r="A895">
        <v>2025</v>
      </c>
      <c r="B895" s="31" t="s">
        <v>149</v>
      </c>
      <c r="C895" s="31" t="s">
        <v>10</v>
      </c>
      <c r="D895" s="32">
        <v>2</v>
      </c>
      <c r="E895" s="32">
        <v>7</v>
      </c>
      <c r="F895" s="32">
        <v>6</v>
      </c>
      <c r="G895" s="32">
        <v>57</v>
      </c>
      <c r="H895" s="31" t="s">
        <v>43</v>
      </c>
      <c r="I895" s="2">
        <v>53.1</v>
      </c>
      <c r="J895">
        <v>41.908243418213203</v>
      </c>
    </row>
    <row r="896" spans="1:10" x14ac:dyDescent="0.25">
      <c r="A896">
        <v>2025</v>
      </c>
      <c r="B896" s="31" t="s">
        <v>149</v>
      </c>
      <c r="C896" s="31" t="s">
        <v>10</v>
      </c>
      <c r="D896" s="32">
        <v>2</v>
      </c>
      <c r="E896" s="32">
        <v>6</v>
      </c>
      <c r="F896" s="32">
        <v>6</v>
      </c>
      <c r="G896" s="32">
        <v>43</v>
      </c>
      <c r="H896" s="31" t="s">
        <v>125</v>
      </c>
      <c r="I896" s="2">
        <v>58.5</v>
      </c>
      <c r="J896">
        <v>59.545402244281391</v>
      </c>
    </row>
    <row r="897" spans="1:10" x14ac:dyDescent="0.25">
      <c r="A897">
        <v>2025</v>
      </c>
      <c r="B897" s="31" t="s">
        <v>149</v>
      </c>
      <c r="C897" s="31" t="s">
        <v>10</v>
      </c>
      <c r="D897" s="32">
        <v>2</v>
      </c>
      <c r="E897" s="32">
        <v>5</v>
      </c>
      <c r="F897" s="32">
        <v>6</v>
      </c>
      <c r="G897" s="32">
        <v>28</v>
      </c>
      <c r="H897" s="31" t="s">
        <v>38</v>
      </c>
      <c r="I897" s="2">
        <v>58.7</v>
      </c>
      <c r="J897">
        <v>59.252447129909349</v>
      </c>
    </row>
    <row r="898" spans="1:10" x14ac:dyDescent="0.25">
      <c r="A898">
        <v>2025</v>
      </c>
      <c r="B898" s="31" t="s">
        <v>149</v>
      </c>
      <c r="C898" s="31" t="s">
        <v>10</v>
      </c>
      <c r="D898" s="32">
        <v>2</v>
      </c>
      <c r="E898" s="32">
        <v>4</v>
      </c>
      <c r="F898" s="32">
        <v>6</v>
      </c>
      <c r="G898" s="32">
        <v>60</v>
      </c>
      <c r="H898" s="31" t="s">
        <v>154</v>
      </c>
      <c r="I898" s="2">
        <v>54.6</v>
      </c>
      <c r="J898">
        <v>50.050807078118254</v>
      </c>
    </row>
    <row r="899" spans="1:10" x14ac:dyDescent="0.25">
      <c r="A899">
        <v>2025</v>
      </c>
      <c r="B899" s="31" t="s">
        <v>149</v>
      </c>
      <c r="C899" s="31" t="s">
        <v>10</v>
      </c>
      <c r="D899" s="32">
        <v>2</v>
      </c>
      <c r="E899" s="32">
        <v>3</v>
      </c>
      <c r="F899" s="32">
        <v>6</v>
      </c>
      <c r="G899" s="32">
        <v>16</v>
      </c>
      <c r="H899" s="31" t="s">
        <v>32</v>
      </c>
      <c r="I899" s="2">
        <v>58.7</v>
      </c>
      <c r="J899">
        <v>56.29963314630988</v>
      </c>
    </row>
    <row r="900" spans="1:10" x14ac:dyDescent="0.25">
      <c r="A900">
        <v>2025</v>
      </c>
      <c r="B900" s="31" t="s">
        <v>149</v>
      </c>
      <c r="C900" s="31" t="s">
        <v>10</v>
      </c>
      <c r="D900" s="32">
        <v>2</v>
      </c>
      <c r="E900" s="32">
        <v>2</v>
      </c>
      <c r="F900" s="32">
        <v>6</v>
      </c>
      <c r="G900" s="32">
        <v>3</v>
      </c>
      <c r="H900" s="31" t="s">
        <v>122</v>
      </c>
      <c r="I900" s="2">
        <v>58</v>
      </c>
      <c r="J900">
        <v>48.784738886491148</v>
      </c>
    </row>
    <row r="901" spans="1:10" x14ac:dyDescent="0.25">
      <c r="A901">
        <v>2025</v>
      </c>
      <c r="B901" s="31" t="s">
        <v>149</v>
      </c>
      <c r="C901" s="31" t="s">
        <v>10</v>
      </c>
      <c r="D901" s="32">
        <v>2</v>
      </c>
      <c r="E901" s="32">
        <v>1</v>
      </c>
      <c r="F901" s="32">
        <v>6</v>
      </c>
      <c r="G901" s="32">
        <v>26</v>
      </c>
      <c r="H901" s="31" t="s">
        <v>44</v>
      </c>
      <c r="I901" s="2">
        <v>55.2</v>
      </c>
      <c r="J901">
        <v>49.667112645662492</v>
      </c>
    </row>
    <row r="902" spans="1:10" x14ac:dyDescent="0.25">
      <c r="A902">
        <v>2025</v>
      </c>
      <c r="B902" s="31" t="s">
        <v>149</v>
      </c>
      <c r="C902" s="31" t="s">
        <v>10</v>
      </c>
      <c r="D902" s="32">
        <v>2</v>
      </c>
      <c r="E902" s="32">
        <v>1</v>
      </c>
      <c r="F902" s="32">
        <v>7</v>
      </c>
      <c r="G902" s="32">
        <v>2</v>
      </c>
      <c r="H902" s="31" t="s">
        <v>126</v>
      </c>
      <c r="I902" s="2">
        <v>59.3</v>
      </c>
      <c r="J902">
        <v>56.645465004793863</v>
      </c>
    </row>
    <row r="903" spans="1:10" x14ac:dyDescent="0.25">
      <c r="A903">
        <v>2025</v>
      </c>
      <c r="B903" s="31" t="s">
        <v>149</v>
      </c>
      <c r="C903" s="31" t="s">
        <v>10</v>
      </c>
      <c r="D903" s="32">
        <v>2</v>
      </c>
      <c r="E903" s="32">
        <v>2</v>
      </c>
      <c r="F903" s="32">
        <v>7</v>
      </c>
      <c r="G903" s="32">
        <v>46</v>
      </c>
      <c r="H903" s="31" t="s">
        <v>127</v>
      </c>
      <c r="I903" s="2">
        <v>56.5</v>
      </c>
      <c r="J903">
        <v>43.945843720038361</v>
      </c>
    </row>
    <row r="904" spans="1:10" x14ac:dyDescent="0.25">
      <c r="A904">
        <v>2025</v>
      </c>
      <c r="B904" s="31" t="s">
        <v>149</v>
      </c>
      <c r="C904" s="31" t="s">
        <v>10</v>
      </c>
      <c r="D904" s="32">
        <v>2</v>
      </c>
      <c r="E904" s="32">
        <v>3</v>
      </c>
      <c r="F904" s="32">
        <v>7</v>
      </c>
      <c r="G904" s="32">
        <v>48</v>
      </c>
      <c r="H904" s="31" t="s">
        <v>152</v>
      </c>
      <c r="I904" s="2">
        <v>55.9</v>
      </c>
      <c r="J904">
        <v>47.509407094918494</v>
      </c>
    </row>
    <row r="905" spans="1:10" x14ac:dyDescent="0.25">
      <c r="A905">
        <v>2025</v>
      </c>
      <c r="B905" s="31" t="s">
        <v>149</v>
      </c>
      <c r="C905" s="31" t="s">
        <v>10</v>
      </c>
      <c r="D905" s="32">
        <v>2</v>
      </c>
      <c r="E905" s="32">
        <v>4</v>
      </c>
      <c r="F905" s="32">
        <v>7</v>
      </c>
      <c r="G905" s="32">
        <v>32</v>
      </c>
      <c r="H905" s="31" t="s">
        <v>25</v>
      </c>
      <c r="I905" s="2">
        <v>59.5</v>
      </c>
      <c r="J905">
        <v>60.150805369127511</v>
      </c>
    </row>
    <row r="906" spans="1:10" x14ac:dyDescent="0.25">
      <c r="A906">
        <v>2025</v>
      </c>
      <c r="B906" s="31" t="s">
        <v>149</v>
      </c>
      <c r="C906" s="31" t="s">
        <v>10</v>
      </c>
      <c r="D906" s="32">
        <v>2</v>
      </c>
      <c r="E906" s="32">
        <v>5</v>
      </c>
      <c r="F906" s="32">
        <v>7</v>
      </c>
      <c r="G906" s="32">
        <v>44</v>
      </c>
      <c r="H906" s="31" t="s">
        <v>123</v>
      </c>
      <c r="I906" s="2">
        <v>59.7</v>
      </c>
      <c r="J906">
        <v>55.00238772770853</v>
      </c>
    </row>
    <row r="907" spans="1:10" x14ac:dyDescent="0.25">
      <c r="A907">
        <v>2025</v>
      </c>
      <c r="B907" s="31" t="s">
        <v>149</v>
      </c>
      <c r="C907" s="31" t="s">
        <v>10</v>
      </c>
      <c r="D907" s="32">
        <v>2</v>
      </c>
      <c r="E907" s="32">
        <v>6</v>
      </c>
      <c r="F907" s="32">
        <v>7</v>
      </c>
      <c r="G907" s="32">
        <v>15</v>
      </c>
      <c r="H907" s="31" t="s">
        <v>31</v>
      </c>
      <c r="I907" s="2">
        <v>57.1</v>
      </c>
      <c r="J907">
        <v>55.927558389261726</v>
      </c>
    </row>
    <row r="908" spans="1:10" x14ac:dyDescent="0.25">
      <c r="A908">
        <v>2025</v>
      </c>
      <c r="B908" s="31" t="s">
        <v>149</v>
      </c>
      <c r="C908" s="31" t="s">
        <v>10</v>
      </c>
      <c r="D908" s="32">
        <v>2</v>
      </c>
      <c r="E908" s="32">
        <v>7</v>
      </c>
      <c r="F908" s="32">
        <v>7</v>
      </c>
      <c r="G908" s="32">
        <v>9</v>
      </c>
      <c r="H908" s="31" t="s">
        <v>94</v>
      </c>
      <c r="I908" s="2">
        <v>54.5</v>
      </c>
      <c r="J908">
        <v>46.977208533077665</v>
      </c>
    </row>
    <row r="909" spans="1:10" x14ac:dyDescent="0.25">
      <c r="A909">
        <v>2025</v>
      </c>
      <c r="B909" s="31" t="s">
        <v>149</v>
      </c>
      <c r="C909" s="31" t="s">
        <v>10</v>
      </c>
      <c r="D909" s="32">
        <v>2</v>
      </c>
      <c r="E909" s="32">
        <v>8</v>
      </c>
      <c r="F909" s="32">
        <v>7</v>
      </c>
      <c r="G909" s="32">
        <v>18</v>
      </c>
      <c r="H909" s="31" t="s">
        <v>29</v>
      </c>
      <c r="I909" s="2">
        <v>54.6</v>
      </c>
      <c r="J909">
        <v>45.093503355704691</v>
      </c>
    </row>
    <row r="910" spans="1:10" x14ac:dyDescent="0.25">
      <c r="A910">
        <v>2025</v>
      </c>
      <c r="B910" s="31" t="s">
        <v>149</v>
      </c>
      <c r="C910" s="31" t="s">
        <v>10</v>
      </c>
      <c r="D910" s="32">
        <v>2</v>
      </c>
      <c r="E910" s="32">
        <v>9</v>
      </c>
      <c r="F910" s="32">
        <v>7</v>
      </c>
      <c r="G910" s="32">
        <v>41</v>
      </c>
      <c r="H910" s="31" t="s">
        <v>124</v>
      </c>
      <c r="I910" s="2">
        <v>57.5</v>
      </c>
      <c r="J910">
        <v>47.604762224352832</v>
      </c>
    </row>
    <row r="911" spans="1:10" x14ac:dyDescent="0.25">
      <c r="A911">
        <v>2025</v>
      </c>
      <c r="B911" s="31" t="s">
        <v>149</v>
      </c>
      <c r="C911" s="31" t="s">
        <v>10</v>
      </c>
      <c r="D911" s="32">
        <v>2</v>
      </c>
      <c r="E911" s="32">
        <v>10</v>
      </c>
      <c r="F911" s="32">
        <v>7</v>
      </c>
      <c r="G911" s="32">
        <v>10</v>
      </c>
      <c r="H911" s="31" t="s">
        <v>91</v>
      </c>
      <c r="I911" s="2">
        <v>52</v>
      </c>
      <c r="J911">
        <v>40.917943432406517</v>
      </c>
    </row>
    <row r="912" spans="1:10" x14ac:dyDescent="0.25">
      <c r="A912">
        <v>2025</v>
      </c>
      <c r="B912" s="31" t="s">
        <v>149</v>
      </c>
      <c r="C912" s="31" t="s">
        <v>10</v>
      </c>
      <c r="D912" s="32">
        <v>2</v>
      </c>
      <c r="E912" s="32">
        <v>11</v>
      </c>
      <c r="F912" s="32">
        <v>7</v>
      </c>
      <c r="G912" s="32">
        <v>49</v>
      </c>
      <c r="H912" s="31" t="s">
        <v>151</v>
      </c>
      <c r="I912" s="2">
        <v>55</v>
      </c>
      <c r="J912">
        <v>53.161671140939603</v>
      </c>
    </row>
    <row r="913" spans="1:10" x14ac:dyDescent="0.25">
      <c r="A913">
        <v>2025</v>
      </c>
      <c r="B913" s="31" t="s">
        <v>149</v>
      </c>
      <c r="C913" s="31" t="s">
        <v>10</v>
      </c>
      <c r="D913" s="32">
        <v>2</v>
      </c>
      <c r="E913" s="32">
        <v>12</v>
      </c>
      <c r="F913" s="32">
        <v>7</v>
      </c>
      <c r="G913" s="32">
        <v>33</v>
      </c>
      <c r="H913" s="31" t="s">
        <v>41</v>
      </c>
      <c r="I913" s="2">
        <v>56.5</v>
      </c>
      <c r="J913">
        <v>56.406507670182165</v>
      </c>
    </row>
    <row r="914" spans="1:10" x14ac:dyDescent="0.25">
      <c r="A914">
        <v>2025</v>
      </c>
      <c r="B914" s="31" t="s">
        <v>149</v>
      </c>
      <c r="C914" s="31" t="s">
        <v>10</v>
      </c>
      <c r="D914" s="32">
        <v>2</v>
      </c>
      <c r="E914" s="32">
        <v>13</v>
      </c>
      <c r="F914" s="32">
        <v>7</v>
      </c>
      <c r="G914" s="32">
        <v>31</v>
      </c>
      <c r="H914" s="31" t="s">
        <v>36</v>
      </c>
      <c r="I914" s="12">
        <v>57.8</v>
      </c>
      <c r="J914">
        <v>59.100057526366243</v>
      </c>
    </row>
    <row r="915" spans="1:10" x14ac:dyDescent="0.25">
      <c r="A915">
        <v>2025</v>
      </c>
      <c r="B915" s="31" t="s">
        <v>149</v>
      </c>
      <c r="C915" s="31" t="s">
        <v>10</v>
      </c>
      <c r="D915" s="32">
        <v>2</v>
      </c>
      <c r="E915" s="32">
        <v>13</v>
      </c>
      <c r="F915" s="32">
        <v>8</v>
      </c>
      <c r="G915" s="32">
        <v>24</v>
      </c>
      <c r="H915" s="31" t="s">
        <v>40</v>
      </c>
      <c r="I915" s="12">
        <v>58</v>
      </c>
      <c r="J915">
        <v>57.233892093654561</v>
      </c>
    </row>
    <row r="916" spans="1:10" x14ac:dyDescent="0.25">
      <c r="A916">
        <v>2025</v>
      </c>
      <c r="B916" s="31" t="s">
        <v>149</v>
      </c>
      <c r="C916" s="31" t="s">
        <v>10</v>
      </c>
      <c r="D916" s="32">
        <v>2</v>
      </c>
      <c r="E916" s="32">
        <v>12</v>
      </c>
      <c r="F916" s="32">
        <v>8</v>
      </c>
      <c r="G916" s="32">
        <v>25</v>
      </c>
      <c r="H916" s="31" t="s">
        <v>130</v>
      </c>
      <c r="I916" s="12">
        <v>55.2</v>
      </c>
      <c r="J916">
        <v>54.715532502787333</v>
      </c>
    </row>
    <row r="917" spans="1:10" x14ac:dyDescent="0.25">
      <c r="A917">
        <v>2025</v>
      </c>
      <c r="B917" s="31" t="s">
        <v>149</v>
      </c>
      <c r="C917" s="31" t="s">
        <v>10</v>
      </c>
      <c r="D917" s="32">
        <v>2</v>
      </c>
      <c r="E917" s="32">
        <v>11</v>
      </c>
      <c r="F917" s="32">
        <v>8</v>
      </c>
      <c r="G917" s="32">
        <v>47</v>
      </c>
      <c r="H917" s="31" t="s">
        <v>153</v>
      </c>
      <c r="I917" s="12">
        <v>58</v>
      </c>
      <c r="J917">
        <v>59.444343400067865</v>
      </c>
    </row>
    <row r="918" spans="1:10" x14ac:dyDescent="0.25">
      <c r="A918">
        <v>2025</v>
      </c>
      <c r="B918" s="31" t="s">
        <v>149</v>
      </c>
      <c r="C918" s="31" t="s">
        <v>10</v>
      </c>
      <c r="D918" s="32">
        <v>2</v>
      </c>
      <c r="E918" s="32">
        <v>10</v>
      </c>
      <c r="F918" s="32">
        <v>8</v>
      </c>
      <c r="G918" s="32">
        <v>5</v>
      </c>
      <c r="H918" s="31" t="s">
        <v>128</v>
      </c>
      <c r="I918" s="12">
        <v>55.5</v>
      </c>
      <c r="J918">
        <v>52.076428329051332</v>
      </c>
    </row>
    <row r="919" spans="1:10" x14ac:dyDescent="0.25">
      <c r="A919">
        <v>2025</v>
      </c>
      <c r="B919" s="31" t="s">
        <v>149</v>
      </c>
      <c r="C919" s="31" t="s">
        <v>10</v>
      </c>
      <c r="D919" s="32">
        <v>2</v>
      </c>
      <c r="E919" s="32">
        <v>9</v>
      </c>
      <c r="F919" s="32">
        <v>8</v>
      </c>
      <c r="G919" s="32">
        <v>11</v>
      </c>
      <c r="H919" s="31" t="s">
        <v>90</v>
      </c>
      <c r="I919" s="12">
        <v>56.9</v>
      </c>
      <c r="J919">
        <v>56.271438751272477</v>
      </c>
    </row>
    <row r="920" spans="1:10" x14ac:dyDescent="0.25">
      <c r="A920">
        <v>2025</v>
      </c>
      <c r="B920" s="31" t="s">
        <v>149</v>
      </c>
      <c r="C920" s="31" t="s">
        <v>10</v>
      </c>
      <c r="D920" s="32">
        <v>2</v>
      </c>
      <c r="E920" s="32">
        <v>8</v>
      </c>
      <c r="F920" s="32">
        <v>8</v>
      </c>
      <c r="G920" s="32">
        <v>38</v>
      </c>
      <c r="H920" s="31" t="s">
        <v>23</v>
      </c>
      <c r="I920" s="2">
        <v>56.8</v>
      </c>
      <c r="J920">
        <v>54.732425226622709</v>
      </c>
    </row>
    <row r="921" spans="1:10" x14ac:dyDescent="0.25">
      <c r="A921">
        <v>2025</v>
      </c>
      <c r="B921" s="31" t="s">
        <v>149</v>
      </c>
      <c r="C921" s="31" t="s">
        <v>10</v>
      </c>
      <c r="D921" s="32">
        <v>2</v>
      </c>
      <c r="E921" s="32">
        <v>7</v>
      </c>
      <c r="F921" s="32">
        <v>8</v>
      </c>
      <c r="G921" s="32">
        <v>4</v>
      </c>
      <c r="H921" s="31" t="s">
        <v>117</v>
      </c>
      <c r="I921" s="2">
        <v>53</v>
      </c>
      <c r="J921">
        <v>36.382320034902321</v>
      </c>
    </row>
    <row r="922" spans="1:10" x14ac:dyDescent="0.25">
      <c r="A922">
        <v>2025</v>
      </c>
      <c r="B922" s="31" t="s">
        <v>149</v>
      </c>
      <c r="C922" s="31" t="s">
        <v>10</v>
      </c>
      <c r="D922" s="32">
        <v>2</v>
      </c>
      <c r="E922" s="32">
        <v>6</v>
      </c>
      <c r="F922" s="32">
        <v>8</v>
      </c>
      <c r="G922" s="32">
        <v>21</v>
      </c>
      <c r="H922" s="31" t="s">
        <v>26</v>
      </c>
      <c r="I922" s="2">
        <v>59.2</v>
      </c>
      <c r="J922">
        <v>53.910882156187888</v>
      </c>
    </row>
    <row r="923" spans="1:10" x14ac:dyDescent="0.25">
      <c r="A923">
        <v>2025</v>
      </c>
      <c r="B923" s="31" t="s">
        <v>149</v>
      </c>
      <c r="C923" s="31" t="s">
        <v>10</v>
      </c>
      <c r="D923" s="32">
        <v>2</v>
      </c>
      <c r="E923" s="32">
        <v>5</v>
      </c>
      <c r="F923" s="32">
        <v>8</v>
      </c>
      <c r="G923" s="32">
        <v>36</v>
      </c>
      <c r="H923" s="31" t="s">
        <v>45</v>
      </c>
      <c r="I923" s="2">
        <v>61</v>
      </c>
      <c r="J923">
        <v>56.983380677686753</v>
      </c>
    </row>
    <row r="924" spans="1:10" x14ac:dyDescent="0.25">
      <c r="A924">
        <v>2025</v>
      </c>
      <c r="B924" s="31" t="s">
        <v>149</v>
      </c>
      <c r="C924" s="31" t="s">
        <v>10</v>
      </c>
      <c r="D924" s="32">
        <v>2</v>
      </c>
      <c r="E924" s="32">
        <v>4</v>
      </c>
      <c r="F924" s="32">
        <v>8</v>
      </c>
      <c r="G924" s="32">
        <v>34</v>
      </c>
      <c r="H924" s="31" t="s">
        <v>42</v>
      </c>
      <c r="I924" s="2">
        <v>57</v>
      </c>
      <c r="J924">
        <v>53.766415773910502</v>
      </c>
    </row>
    <row r="925" spans="1:10" x14ac:dyDescent="0.25">
      <c r="A925">
        <v>2025</v>
      </c>
      <c r="B925" s="31" t="s">
        <v>149</v>
      </c>
      <c r="C925" s="31" t="s">
        <v>10</v>
      </c>
      <c r="D925" s="32">
        <v>2</v>
      </c>
      <c r="E925" s="32">
        <v>3</v>
      </c>
      <c r="F925" s="32">
        <v>8</v>
      </c>
      <c r="G925" s="32">
        <v>27</v>
      </c>
      <c r="H925" s="31" t="s">
        <v>35</v>
      </c>
      <c r="I925" s="2">
        <v>60</v>
      </c>
      <c r="J925">
        <v>51.484923845072473</v>
      </c>
    </row>
    <row r="926" spans="1:10" x14ac:dyDescent="0.25">
      <c r="A926">
        <v>2025</v>
      </c>
      <c r="B926" s="31" t="s">
        <v>149</v>
      </c>
      <c r="C926" s="31" t="s">
        <v>10</v>
      </c>
      <c r="D926" s="32">
        <v>2</v>
      </c>
      <c r="E926" s="32">
        <v>2</v>
      </c>
      <c r="F926" s="32">
        <v>8</v>
      </c>
      <c r="G926" s="32">
        <v>30</v>
      </c>
      <c r="H926" s="31" t="s">
        <v>21</v>
      </c>
      <c r="I926" s="2">
        <v>57.3</v>
      </c>
      <c r="J926">
        <v>43.3689682485821</v>
      </c>
    </row>
    <row r="927" spans="1:10" x14ac:dyDescent="0.25">
      <c r="A927">
        <v>2025</v>
      </c>
      <c r="B927" s="31" t="s">
        <v>149</v>
      </c>
      <c r="C927" s="31" t="s">
        <v>10</v>
      </c>
      <c r="D927" s="32">
        <v>2</v>
      </c>
      <c r="E927" s="32">
        <v>1</v>
      </c>
      <c r="F927" s="32">
        <v>8</v>
      </c>
      <c r="G927" s="32">
        <v>40</v>
      </c>
      <c r="H927" s="31" t="s">
        <v>121</v>
      </c>
      <c r="I927" s="2">
        <v>60.2</v>
      </c>
      <c r="J927">
        <v>46.988167143341897</v>
      </c>
    </row>
    <row r="928" spans="1:10" x14ac:dyDescent="0.25">
      <c r="A928">
        <v>2025</v>
      </c>
      <c r="B928" s="31" t="s">
        <v>149</v>
      </c>
      <c r="C928" s="31" t="s">
        <v>10</v>
      </c>
      <c r="D928" s="32">
        <v>3</v>
      </c>
      <c r="E928" s="32">
        <v>1</v>
      </c>
      <c r="F928" s="32">
        <v>9</v>
      </c>
      <c r="G928" s="32">
        <v>57</v>
      </c>
      <c r="H928" s="31" t="s">
        <v>43</v>
      </c>
      <c r="I928" s="2">
        <v>54.8</v>
      </c>
      <c r="J928">
        <v>34.660834866828083</v>
      </c>
    </row>
    <row r="929" spans="1:10" x14ac:dyDescent="0.25">
      <c r="A929">
        <v>2025</v>
      </c>
      <c r="B929" s="31" t="s">
        <v>149</v>
      </c>
      <c r="C929" s="31" t="s">
        <v>10</v>
      </c>
      <c r="D929" s="32">
        <v>3</v>
      </c>
      <c r="E929" s="32">
        <v>2</v>
      </c>
      <c r="F929" s="32">
        <v>9</v>
      </c>
      <c r="G929" s="32">
        <v>34</v>
      </c>
      <c r="H929" s="31" t="s">
        <v>42</v>
      </c>
      <c r="I929" s="2">
        <v>54.5</v>
      </c>
      <c r="J929">
        <v>38.574427118644067</v>
      </c>
    </row>
    <row r="930" spans="1:10" x14ac:dyDescent="0.25">
      <c r="A930">
        <v>2025</v>
      </c>
      <c r="B930" s="31" t="s">
        <v>149</v>
      </c>
      <c r="C930" s="31" t="s">
        <v>10</v>
      </c>
      <c r="D930" s="32">
        <v>3</v>
      </c>
      <c r="E930" s="32">
        <v>3</v>
      </c>
      <c r="F930" s="32">
        <v>9</v>
      </c>
      <c r="G930" s="32">
        <v>17</v>
      </c>
      <c r="H930" s="31" t="s">
        <v>33</v>
      </c>
      <c r="I930" s="2">
        <v>55.8</v>
      </c>
      <c r="J930">
        <v>53.62204358353511</v>
      </c>
    </row>
    <row r="931" spans="1:10" x14ac:dyDescent="0.25">
      <c r="A931">
        <v>2025</v>
      </c>
      <c r="B931" s="31" t="s">
        <v>149</v>
      </c>
      <c r="C931" s="31" t="s">
        <v>10</v>
      </c>
      <c r="D931" s="32">
        <v>3</v>
      </c>
      <c r="E931" s="32">
        <v>4</v>
      </c>
      <c r="F931" s="32">
        <v>9</v>
      </c>
      <c r="G931" s="32">
        <v>47</v>
      </c>
      <c r="H931" s="31" t="s">
        <v>153</v>
      </c>
      <c r="I931" s="2">
        <v>58</v>
      </c>
      <c r="J931">
        <v>54.328563196125899</v>
      </c>
    </row>
    <row r="932" spans="1:10" x14ac:dyDescent="0.25">
      <c r="A932">
        <v>2025</v>
      </c>
      <c r="B932" s="31" t="s">
        <v>149</v>
      </c>
      <c r="C932" s="31" t="s">
        <v>10</v>
      </c>
      <c r="D932" s="32">
        <v>3</v>
      </c>
      <c r="E932" s="32">
        <v>5</v>
      </c>
      <c r="F932" s="32">
        <v>9</v>
      </c>
      <c r="G932" s="32">
        <v>38</v>
      </c>
      <c r="H932" s="31" t="s">
        <v>23</v>
      </c>
      <c r="I932" s="2">
        <v>60.4</v>
      </c>
      <c r="J932">
        <v>58.74881491525425</v>
      </c>
    </row>
    <row r="933" spans="1:10" x14ac:dyDescent="0.25">
      <c r="A933">
        <v>2025</v>
      </c>
      <c r="B933" s="31" t="s">
        <v>149</v>
      </c>
      <c r="C933" s="31" t="s">
        <v>10</v>
      </c>
      <c r="D933" s="32">
        <v>3</v>
      </c>
      <c r="E933" s="32">
        <v>6</v>
      </c>
      <c r="F933" s="32">
        <v>9</v>
      </c>
      <c r="G933" s="32">
        <v>30</v>
      </c>
      <c r="H933" s="31" t="s">
        <v>21</v>
      </c>
      <c r="I933" s="2">
        <v>59.5</v>
      </c>
      <c r="J933">
        <v>58.613992736077478</v>
      </c>
    </row>
    <row r="934" spans="1:10" x14ac:dyDescent="0.25">
      <c r="A934">
        <v>2025</v>
      </c>
      <c r="B934" s="31" t="s">
        <v>149</v>
      </c>
      <c r="C934" s="31" t="s">
        <v>10</v>
      </c>
      <c r="D934" s="32">
        <v>3</v>
      </c>
      <c r="E934" s="32">
        <v>7</v>
      </c>
      <c r="F934" s="32">
        <v>9</v>
      </c>
      <c r="G934" s="32">
        <v>24</v>
      </c>
      <c r="H934" s="31" t="s">
        <v>40</v>
      </c>
      <c r="I934" s="2">
        <v>58.5</v>
      </c>
      <c r="J934">
        <v>54.517981598062953</v>
      </c>
    </row>
    <row r="935" spans="1:10" x14ac:dyDescent="0.25">
      <c r="A935">
        <v>2025</v>
      </c>
      <c r="B935" s="31" t="s">
        <v>149</v>
      </c>
      <c r="C935" s="31" t="s">
        <v>10</v>
      </c>
      <c r="D935" s="32">
        <v>3</v>
      </c>
      <c r="E935" s="32">
        <v>8</v>
      </c>
      <c r="F935" s="32">
        <v>9</v>
      </c>
      <c r="G935" s="32">
        <v>8</v>
      </c>
      <c r="H935" s="31" t="s">
        <v>118</v>
      </c>
      <c r="I935" s="2">
        <v>59</v>
      </c>
      <c r="J935">
        <v>62.375666731234865</v>
      </c>
    </row>
    <row r="936" spans="1:10" x14ac:dyDescent="0.25">
      <c r="A936">
        <v>2025</v>
      </c>
      <c r="B936" s="31" t="s">
        <v>149</v>
      </c>
      <c r="C936" s="31" t="s">
        <v>10</v>
      </c>
      <c r="D936" s="32">
        <v>3</v>
      </c>
      <c r="E936" s="32">
        <v>9</v>
      </c>
      <c r="F936" s="32">
        <v>9</v>
      </c>
      <c r="G936" s="32">
        <v>6</v>
      </c>
      <c r="H936" s="31" t="s">
        <v>119</v>
      </c>
      <c r="I936" s="2">
        <v>57.8</v>
      </c>
      <c r="J936">
        <v>51.017648426150117</v>
      </c>
    </row>
    <row r="937" spans="1:10" x14ac:dyDescent="0.25">
      <c r="A937">
        <v>2025</v>
      </c>
      <c r="B937" s="31" t="s">
        <v>149</v>
      </c>
      <c r="C937" s="31" t="s">
        <v>10</v>
      </c>
      <c r="D937" s="32">
        <v>3</v>
      </c>
      <c r="E937" s="32">
        <v>10</v>
      </c>
      <c r="F937" s="32">
        <v>9</v>
      </c>
      <c r="G937" s="32">
        <v>15</v>
      </c>
      <c r="H937" s="31" t="s">
        <v>31</v>
      </c>
      <c r="I937" s="2">
        <v>56.9</v>
      </c>
      <c r="J937">
        <v>61.069312590799036</v>
      </c>
    </row>
    <row r="938" spans="1:10" x14ac:dyDescent="0.25">
      <c r="A938">
        <v>2025</v>
      </c>
      <c r="B938" s="31" t="s">
        <v>149</v>
      </c>
      <c r="C938" s="31" t="s">
        <v>10</v>
      </c>
      <c r="D938" s="32">
        <v>3</v>
      </c>
      <c r="E938" s="32">
        <v>11</v>
      </c>
      <c r="F938" s="32">
        <v>9</v>
      </c>
      <c r="G938" s="32">
        <v>44</v>
      </c>
      <c r="H938" s="31" t="s">
        <v>123</v>
      </c>
      <c r="I938" s="2">
        <v>58.3</v>
      </c>
      <c r="J938">
        <v>61.590944309927359</v>
      </c>
    </row>
    <row r="939" spans="1:10" x14ac:dyDescent="0.25">
      <c r="A939">
        <v>2025</v>
      </c>
      <c r="B939" s="31" t="s">
        <v>149</v>
      </c>
      <c r="C939" s="31" t="s">
        <v>10</v>
      </c>
      <c r="D939" s="32">
        <v>3</v>
      </c>
      <c r="E939" s="32">
        <v>12</v>
      </c>
      <c r="F939" s="32">
        <v>9</v>
      </c>
      <c r="G939" s="32">
        <v>40</v>
      </c>
      <c r="H939" s="31" t="s">
        <v>121</v>
      </c>
      <c r="I939" s="2">
        <v>56.8</v>
      </c>
      <c r="J939">
        <v>58.532635351089581</v>
      </c>
    </row>
    <row r="940" spans="1:10" x14ac:dyDescent="0.25">
      <c r="A940">
        <v>2025</v>
      </c>
      <c r="B940" s="31" t="s">
        <v>149</v>
      </c>
      <c r="C940" s="31" t="s">
        <v>10</v>
      </c>
      <c r="D940" s="32">
        <v>3</v>
      </c>
      <c r="E940" s="32">
        <v>13</v>
      </c>
      <c r="F940" s="32">
        <v>9</v>
      </c>
      <c r="G940" s="32">
        <v>39</v>
      </c>
      <c r="H940" s="31" t="s">
        <v>22</v>
      </c>
      <c r="I940" s="2">
        <v>57.2</v>
      </c>
      <c r="J940">
        <v>62.751713317191282</v>
      </c>
    </row>
    <row r="941" spans="1:10" x14ac:dyDescent="0.25">
      <c r="A941">
        <v>2025</v>
      </c>
      <c r="B941" s="31" t="s">
        <v>149</v>
      </c>
      <c r="C941" s="31" t="s">
        <v>10</v>
      </c>
      <c r="D941" s="32">
        <v>3</v>
      </c>
      <c r="E941" s="32">
        <v>13</v>
      </c>
      <c r="F941" s="32">
        <v>10</v>
      </c>
      <c r="G941" s="32">
        <v>4</v>
      </c>
      <c r="H941" s="31" t="s">
        <v>117</v>
      </c>
      <c r="I941" s="2">
        <v>54.7</v>
      </c>
      <c r="J941">
        <v>54.805398174225495</v>
      </c>
    </row>
    <row r="942" spans="1:10" x14ac:dyDescent="0.25">
      <c r="A942">
        <v>2025</v>
      </c>
      <c r="B942" s="31" t="s">
        <v>149</v>
      </c>
      <c r="C942" s="31" t="s">
        <v>10</v>
      </c>
      <c r="D942" s="32">
        <v>3</v>
      </c>
      <c r="E942" s="32">
        <v>12</v>
      </c>
      <c r="F942" s="32">
        <v>10</v>
      </c>
      <c r="G942" s="32">
        <v>9</v>
      </c>
      <c r="H942" s="31" t="s">
        <v>94</v>
      </c>
      <c r="I942" s="2">
        <v>54.1</v>
      </c>
      <c r="J942">
        <v>62.577383703991437</v>
      </c>
    </row>
    <row r="943" spans="1:10" x14ac:dyDescent="0.25">
      <c r="A943">
        <v>2025</v>
      </c>
      <c r="B943" s="31" t="s">
        <v>149</v>
      </c>
      <c r="C943" s="31" t="s">
        <v>10</v>
      </c>
      <c r="D943" s="32">
        <v>3</v>
      </c>
      <c r="E943" s="32">
        <v>11</v>
      </c>
      <c r="F943" s="32">
        <v>10</v>
      </c>
      <c r="G943" s="32">
        <v>60</v>
      </c>
      <c r="H943" s="31" t="s">
        <v>154</v>
      </c>
      <c r="I943" s="2">
        <v>53.7</v>
      </c>
      <c r="J943">
        <v>52.241849082256948</v>
      </c>
    </row>
    <row r="944" spans="1:10" x14ac:dyDescent="0.25">
      <c r="A944">
        <v>2025</v>
      </c>
      <c r="B944" s="31" t="s">
        <v>149</v>
      </c>
      <c r="C944" s="31" t="s">
        <v>10</v>
      </c>
      <c r="D944" s="32">
        <v>3</v>
      </c>
      <c r="E944" s="32">
        <v>10</v>
      </c>
      <c r="F944" s="32">
        <v>10</v>
      </c>
      <c r="G944" s="32">
        <v>23</v>
      </c>
      <c r="H944" s="31" t="s">
        <v>37</v>
      </c>
      <c r="I944" s="2">
        <v>59.4</v>
      </c>
      <c r="J944">
        <v>59.532679421190622</v>
      </c>
    </row>
    <row r="945" spans="1:10" x14ac:dyDescent="0.25">
      <c r="A945">
        <v>2025</v>
      </c>
      <c r="B945" s="31" t="s">
        <v>149</v>
      </c>
      <c r="C945" s="31" t="s">
        <v>10</v>
      </c>
      <c r="D945" s="32">
        <v>3</v>
      </c>
      <c r="E945" s="32">
        <v>9</v>
      </c>
      <c r="F945" s="32">
        <v>10</v>
      </c>
      <c r="G945" s="32">
        <v>10</v>
      </c>
      <c r="H945" s="31" t="s">
        <v>91</v>
      </c>
      <c r="I945" s="2">
        <v>54.6</v>
      </c>
      <c r="J945">
        <v>54.607196270758472</v>
      </c>
    </row>
    <row r="946" spans="1:10" x14ac:dyDescent="0.25">
      <c r="A946">
        <v>2025</v>
      </c>
      <c r="B946" s="31" t="s">
        <v>149</v>
      </c>
      <c r="C946" s="31" t="s">
        <v>10</v>
      </c>
      <c r="D946" s="32">
        <v>3</v>
      </c>
      <c r="E946" s="32">
        <v>8</v>
      </c>
      <c r="F946" s="32">
        <v>10</v>
      </c>
      <c r="G946" s="32">
        <v>21</v>
      </c>
      <c r="H946" s="31" t="s">
        <v>26</v>
      </c>
      <c r="I946" s="2">
        <v>58</v>
      </c>
      <c r="J946">
        <v>62.465375352044276</v>
      </c>
    </row>
    <row r="947" spans="1:10" x14ac:dyDescent="0.25">
      <c r="A947">
        <v>2025</v>
      </c>
      <c r="B947" s="31" t="s">
        <v>149</v>
      </c>
      <c r="C947" s="31" t="s">
        <v>10</v>
      </c>
      <c r="D947" s="32">
        <v>3</v>
      </c>
      <c r="E947" s="32">
        <v>7</v>
      </c>
      <c r="F947" s="32">
        <v>10</v>
      </c>
      <c r="G947" s="32">
        <v>49</v>
      </c>
      <c r="H947" s="31" t="s">
        <v>151</v>
      </c>
      <c r="I947" s="2">
        <v>54.5</v>
      </c>
      <c r="J947">
        <v>48.249208021753894</v>
      </c>
    </row>
    <row r="948" spans="1:10" x14ac:dyDescent="0.25">
      <c r="A948">
        <v>2025</v>
      </c>
      <c r="B948" s="31" t="s">
        <v>149</v>
      </c>
      <c r="C948" s="31" t="s">
        <v>10</v>
      </c>
      <c r="D948" s="32">
        <v>3</v>
      </c>
      <c r="E948" s="32">
        <v>6</v>
      </c>
      <c r="F948" s="32">
        <v>10</v>
      </c>
      <c r="G948" s="32">
        <v>12</v>
      </c>
      <c r="H948" s="31" t="s">
        <v>92</v>
      </c>
      <c r="I948" s="2">
        <v>57.9</v>
      </c>
      <c r="J948">
        <v>52.284936243566065</v>
      </c>
    </row>
    <row r="949" spans="1:10" x14ac:dyDescent="0.25">
      <c r="A949">
        <v>2025</v>
      </c>
      <c r="B949" s="31" t="s">
        <v>149</v>
      </c>
      <c r="C949" s="31" t="s">
        <v>10</v>
      </c>
      <c r="D949" s="32">
        <v>3</v>
      </c>
      <c r="E949" s="32">
        <v>5</v>
      </c>
      <c r="F949" s="32">
        <v>10</v>
      </c>
      <c r="G949" s="32">
        <v>37</v>
      </c>
      <c r="H949" s="31" t="s">
        <v>89</v>
      </c>
      <c r="I949" s="2">
        <v>59.4</v>
      </c>
      <c r="J949">
        <v>58.676849082256958</v>
      </c>
    </row>
    <row r="950" spans="1:10" x14ac:dyDescent="0.25">
      <c r="A950">
        <v>2025</v>
      </c>
      <c r="B950" s="31" t="s">
        <v>149</v>
      </c>
      <c r="C950" s="31" t="s">
        <v>10</v>
      </c>
      <c r="D950" s="32">
        <v>3</v>
      </c>
      <c r="E950" s="32">
        <v>4</v>
      </c>
      <c r="F950" s="32">
        <v>10</v>
      </c>
      <c r="G950" s="32">
        <v>45</v>
      </c>
      <c r="H950" s="31" t="s">
        <v>39</v>
      </c>
      <c r="I950" s="2">
        <v>56.5</v>
      </c>
      <c r="J950">
        <v>60.545619500825474</v>
      </c>
    </row>
    <row r="951" spans="1:10" x14ac:dyDescent="0.25">
      <c r="A951">
        <v>2025</v>
      </c>
      <c r="B951" s="31" t="s">
        <v>149</v>
      </c>
      <c r="C951" s="31" t="s">
        <v>10</v>
      </c>
      <c r="D951" s="32">
        <v>3</v>
      </c>
      <c r="E951" s="32">
        <v>3</v>
      </c>
      <c r="F951" s="32">
        <v>10</v>
      </c>
      <c r="G951" s="32">
        <v>58</v>
      </c>
      <c r="H951" s="31" t="s">
        <v>103</v>
      </c>
      <c r="I951" s="2">
        <v>57.4</v>
      </c>
      <c r="J951">
        <v>47.991579197824599</v>
      </c>
    </row>
    <row r="952" spans="1:10" x14ac:dyDescent="0.25">
      <c r="A952">
        <v>2025</v>
      </c>
      <c r="B952" s="31" t="s">
        <v>149</v>
      </c>
      <c r="C952" s="31" t="s">
        <v>10</v>
      </c>
      <c r="D952" s="32">
        <v>3</v>
      </c>
      <c r="E952" s="32">
        <v>2</v>
      </c>
      <c r="F952" s="32">
        <v>10</v>
      </c>
      <c r="G952" s="32">
        <v>36</v>
      </c>
      <c r="H952" s="31" t="s">
        <v>45</v>
      </c>
      <c r="I952" s="2">
        <v>57.9</v>
      </c>
      <c r="J952">
        <v>39.279598426726217</v>
      </c>
    </row>
    <row r="953" spans="1:10" x14ac:dyDescent="0.25">
      <c r="A953">
        <v>2025</v>
      </c>
      <c r="B953" s="31" t="s">
        <v>149</v>
      </c>
      <c r="C953" s="31" t="s">
        <v>10</v>
      </c>
      <c r="D953" s="32">
        <v>3</v>
      </c>
      <c r="E953" s="32">
        <v>1</v>
      </c>
      <c r="F953" s="32">
        <v>10</v>
      </c>
      <c r="G953" s="32">
        <v>42</v>
      </c>
      <c r="H953" s="31" t="s">
        <v>34</v>
      </c>
      <c r="I953" s="2">
        <v>57.3</v>
      </c>
      <c r="J953">
        <v>36.657016606778662</v>
      </c>
    </row>
    <row r="954" spans="1:10" x14ac:dyDescent="0.25">
      <c r="A954">
        <v>2025</v>
      </c>
      <c r="B954" s="31" t="s">
        <v>149</v>
      </c>
      <c r="C954" s="31" t="s">
        <v>10</v>
      </c>
      <c r="D954" s="32">
        <v>3</v>
      </c>
      <c r="E954" s="32">
        <v>1</v>
      </c>
      <c r="F954" s="32">
        <v>11</v>
      </c>
      <c r="G954" s="32">
        <v>13</v>
      </c>
      <c r="H954" s="31" t="s">
        <v>93</v>
      </c>
      <c r="I954" s="2">
        <v>58.2</v>
      </c>
      <c r="J954">
        <v>55.299826854606636</v>
      </c>
    </row>
    <row r="955" spans="1:10" x14ac:dyDescent="0.25">
      <c r="A955">
        <v>2025</v>
      </c>
      <c r="B955" s="31" t="s">
        <v>149</v>
      </c>
      <c r="C955" s="31" t="s">
        <v>10</v>
      </c>
      <c r="D955" s="32">
        <v>3</v>
      </c>
      <c r="E955" s="32">
        <v>2</v>
      </c>
      <c r="F955" s="32">
        <v>11</v>
      </c>
      <c r="G955" s="32">
        <v>32</v>
      </c>
      <c r="H955" s="31" t="s">
        <v>25</v>
      </c>
      <c r="I955" s="2">
        <v>60.1</v>
      </c>
      <c r="J955">
        <v>53.234332341608543</v>
      </c>
    </row>
    <row r="956" spans="1:10" x14ac:dyDescent="0.25">
      <c r="A956">
        <v>2025</v>
      </c>
      <c r="B956" s="31" t="s">
        <v>149</v>
      </c>
      <c r="C956" s="31" t="s">
        <v>10</v>
      </c>
      <c r="D956" s="32">
        <v>3</v>
      </c>
      <c r="E956" s="32">
        <v>3</v>
      </c>
      <c r="F956" s="32">
        <v>11</v>
      </c>
      <c r="G956" s="32">
        <v>11</v>
      </c>
      <c r="H956" s="31" t="s">
        <v>90</v>
      </c>
      <c r="I956" s="2">
        <v>60.9</v>
      </c>
      <c r="J956">
        <v>69.842991074476913</v>
      </c>
    </row>
    <row r="957" spans="1:10" x14ac:dyDescent="0.25">
      <c r="A957">
        <v>2025</v>
      </c>
      <c r="B957" s="31" t="s">
        <v>149</v>
      </c>
      <c r="C957" s="31" t="s">
        <v>10</v>
      </c>
      <c r="D957" s="32">
        <v>3</v>
      </c>
      <c r="E957" s="32">
        <v>4</v>
      </c>
      <c r="F957" s="32">
        <v>11</v>
      </c>
      <c r="G957" s="32">
        <v>33</v>
      </c>
      <c r="H957" s="31" t="s">
        <v>41</v>
      </c>
      <c r="I957" s="2">
        <v>57.4</v>
      </c>
      <c r="J957">
        <v>69.974260352143588</v>
      </c>
    </row>
    <row r="958" spans="1:10" x14ac:dyDescent="0.25">
      <c r="A958">
        <v>2025</v>
      </c>
      <c r="B958" s="31" t="s">
        <v>149</v>
      </c>
      <c r="C958" s="31" t="s">
        <v>10</v>
      </c>
      <c r="D958" s="32">
        <v>3</v>
      </c>
      <c r="E958" s="32">
        <v>5</v>
      </c>
      <c r="F958" s="32">
        <v>11</v>
      </c>
      <c r="G958" s="32">
        <v>31</v>
      </c>
      <c r="H958" s="31" t="s">
        <v>36</v>
      </c>
      <c r="I958" s="2">
        <v>59</v>
      </c>
      <c r="J958">
        <v>69.187803540945225</v>
      </c>
    </row>
    <row r="959" spans="1:10" x14ac:dyDescent="0.25">
      <c r="A959">
        <v>2025</v>
      </c>
      <c r="B959" s="31" t="s">
        <v>149</v>
      </c>
      <c r="C959" s="31" t="s">
        <v>10</v>
      </c>
      <c r="D959" s="32">
        <v>3</v>
      </c>
      <c r="E959" s="32">
        <v>6</v>
      </c>
      <c r="F959" s="32">
        <v>11</v>
      </c>
      <c r="G959" s="32">
        <v>22</v>
      </c>
      <c r="H959" s="31" t="s">
        <v>28</v>
      </c>
      <c r="I959" s="2">
        <v>54.8</v>
      </c>
      <c r="J959">
        <v>53.314225723064915</v>
      </c>
    </row>
    <row r="960" spans="1:10" x14ac:dyDescent="0.25">
      <c r="A960">
        <v>2025</v>
      </c>
      <c r="B960" s="31" t="s">
        <v>149</v>
      </c>
      <c r="C960" s="31" t="s">
        <v>10</v>
      </c>
      <c r="D960" s="32">
        <v>3</v>
      </c>
      <c r="E960" s="32">
        <v>7</v>
      </c>
      <c r="F960" s="32">
        <v>11</v>
      </c>
      <c r="G960" s="32">
        <v>27</v>
      </c>
      <c r="H960" s="31" t="s">
        <v>35</v>
      </c>
      <c r="I960" s="2">
        <v>57.4</v>
      </c>
      <c r="J960">
        <v>53.657391601229079</v>
      </c>
    </row>
    <row r="961" spans="1:10" x14ac:dyDescent="0.25">
      <c r="A961">
        <v>2025</v>
      </c>
      <c r="B961" s="31" t="s">
        <v>149</v>
      </c>
      <c r="C961" s="31" t="s">
        <v>10</v>
      </c>
      <c r="D961" s="32">
        <v>3</v>
      </c>
      <c r="E961" s="32">
        <v>8</v>
      </c>
      <c r="F961" s="32">
        <v>11</v>
      </c>
      <c r="G961" s="32">
        <v>7</v>
      </c>
      <c r="H961" s="31" t="s">
        <v>150</v>
      </c>
      <c r="I961" s="2">
        <v>56.6</v>
      </c>
      <c r="J961">
        <v>48.907535482612296</v>
      </c>
    </row>
    <row r="962" spans="1:10" x14ac:dyDescent="0.25">
      <c r="A962">
        <v>2025</v>
      </c>
      <c r="B962" s="31" t="s">
        <v>149</v>
      </c>
      <c r="C962" s="31" t="s">
        <v>10</v>
      </c>
      <c r="D962" s="32">
        <v>3</v>
      </c>
      <c r="E962" s="32">
        <v>9</v>
      </c>
      <c r="F962" s="32">
        <v>11</v>
      </c>
      <c r="G962" s="32">
        <v>20</v>
      </c>
      <c r="H962" s="31" t="s">
        <v>24</v>
      </c>
      <c r="I962" s="2">
        <v>57</v>
      </c>
      <c r="J962">
        <v>58.731340779398131</v>
      </c>
    </row>
    <row r="963" spans="1:10" x14ac:dyDescent="0.25">
      <c r="A963">
        <v>2025</v>
      </c>
      <c r="B963" s="31" t="s">
        <v>149</v>
      </c>
      <c r="C963" s="31" t="s">
        <v>10</v>
      </c>
      <c r="D963" s="32">
        <v>3</v>
      </c>
      <c r="E963" s="32">
        <v>10</v>
      </c>
      <c r="F963" s="32">
        <v>11</v>
      </c>
      <c r="G963" s="32">
        <v>26</v>
      </c>
      <c r="H963" s="31" t="s">
        <v>44</v>
      </c>
      <c r="I963" s="2">
        <v>57.8</v>
      </c>
      <c r="J963">
        <v>68.128108081744116</v>
      </c>
    </row>
    <row r="964" spans="1:10" x14ac:dyDescent="0.25">
      <c r="A964">
        <v>2025</v>
      </c>
      <c r="B964" s="31" t="s">
        <v>149</v>
      </c>
      <c r="C964" s="31" t="s">
        <v>10</v>
      </c>
      <c r="D964" s="32">
        <v>3</v>
      </c>
      <c r="E964" s="32">
        <v>11</v>
      </c>
      <c r="F964" s="32">
        <v>11</v>
      </c>
      <c r="G964" s="32">
        <v>46</v>
      </c>
      <c r="H964" s="31" t="s">
        <v>127</v>
      </c>
      <c r="I964" s="2">
        <v>56.8</v>
      </c>
      <c r="J964">
        <v>61.372660586255677</v>
      </c>
    </row>
    <row r="965" spans="1:10" x14ac:dyDescent="0.25">
      <c r="A965">
        <v>2025</v>
      </c>
      <c r="B965" s="31" t="s">
        <v>149</v>
      </c>
      <c r="C965" s="31" t="s">
        <v>10</v>
      </c>
      <c r="D965" s="32">
        <v>3</v>
      </c>
      <c r="E965" s="32">
        <v>12</v>
      </c>
      <c r="F965" s="32">
        <v>11</v>
      </c>
      <c r="G965" s="32">
        <v>19</v>
      </c>
      <c r="H965" s="31" t="s">
        <v>157</v>
      </c>
      <c r="I965" s="2">
        <v>53.8</v>
      </c>
      <c r="J965">
        <v>62.79076086426376</v>
      </c>
    </row>
    <row r="966" spans="1:10" x14ac:dyDescent="0.25">
      <c r="A966">
        <v>2025</v>
      </c>
      <c r="B966" s="31" t="s">
        <v>149</v>
      </c>
      <c r="C966" s="31" t="s">
        <v>10</v>
      </c>
      <c r="D966" s="32">
        <v>3</v>
      </c>
      <c r="E966" s="32">
        <v>13</v>
      </c>
      <c r="F966" s="32">
        <v>11</v>
      </c>
      <c r="G966" s="32">
        <v>35</v>
      </c>
      <c r="H966" s="31" t="s">
        <v>129</v>
      </c>
      <c r="I966" s="2">
        <v>55.7</v>
      </c>
      <c r="J966">
        <v>50.298161244695898</v>
      </c>
    </row>
    <row r="967" spans="1:10" x14ac:dyDescent="0.25">
      <c r="A967">
        <v>2025</v>
      </c>
      <c r="B967" s="31" t="s">
        <v>149</v>
      </c>
      <c r="C967" s="31" t="s">
        <v>10</v>
      </c>
      <c r="D967" s="32">
        <v>3</v>
      </c>
      <c r="E967" s="32">
        <v>13</v>
      </c>
      <c r="F967" s="32">
        <v>12</v>
      </c>
      <c r="G967" s="32">
        <v>28</v>
      </c>
      <c r="H967" s="31" t="s">
        <v>38</v>
      </c>
      <c r="I967" s="2">
        <v>54.6</v>
      </c>
      <c r="J967">
        <v>55.801428571428552</v>
      </c>
    </row>
    <row r="968" spans="1:10" x14ac:dyDescent="0.25">
      <c r="A968">
        <v>2025</v>
      </c>
      <c r="B968" s="31" t="s">
        <v>149</v>
      </c>
      <c r="C968" s="31" t="s">
        <v>10</v>
      </c>
      <c r="D968" s="32">
        <v>3</v>
      </c>
      <c r="E968" s="32">
        <v>12</v>
      </c>
      <c r="F968" s="32">
        <v>12</v>
      </c>
      <c r="G968" s="32">
        <v>16</v>
      </c>
      <c r="H968" s="31" t="s">
        <v>32</v>
      </c>
      <c r="I968" s="2">
        <v>54.8</v>
      </c>
      <c r="J968">
        <v>79.159384615384596</v>
      </c>
    </row>
    <row r="969" spans="1:10" x14ac:dyDescent="0.25">
      <c r="A969">
        <v>2025</v>
      </c>
      <c r="B969" s="31" t="s">
        <v>149</v>
      </c>
      <c r="C969" s="31" t="s">
        <v>10</v>
      </c>
      <c r="D969" s="32">
        <v>3</v>
      </c>
      <c r="E969" s="32">
        <v>11</v>
      </c>
      <c r="F969" s="32">
        <v>12</v>
      </c>
      <c r="G969" s="32">
        <v>41</v>
      </c>
      <c r="H969" s="31" t="s">
        <v>124</v>
      </c>
      <c r="I969" s="2">
        <v>57.3</v>
      </c>
      <c r="J969">
        <v>64.358074725274705</v>
      </c>
    </row>
    <row r="970" spans="1:10" x14ac:dyDescent="0.25">
      <c r="A970">
        <v>2025</v>
      </c>
      <c r="B970" s="31" t="s">
        <v>149</v>
      </c>
      <c r="C970" s="31" t="s">
        <v>10</v>
      </c>
      <c r="D970" s="32">
        <v>3</v>
      </c>
      <c r="E970" s="32">
        <v>10</v>
      </c>
      <c r="F970" s="32">
        <v>12</v>
      </c>
      <c r="G970" s="32">
        <v>18</v>
      </c>
      <c r="H970" s="31" t="s">
        <v>29</v>
      </c>
      <c r="I970" s="2">
        <v>57.6</v>
      </c>
      <c r="J970">
        <v>67.562821978021972</v>
      </c>
    </row>
    <row r="971" spans="1:10" x14ac:dyDescent="0.25">
      <c r="A971">
        <v>2025</v>
      </c>
      <c r="B971" s="31" t="s">
        <v>149</v>
      </c>
      <c r="C971" s="31" t="s">
        <v>10</v>
      </c>
      <c r="D971" s="32">
        <v>3</v>
      </c>
      <c r="E971" s="32">
        <v>9</v>
      </c>
      <c r="F971" s="32">
        <v>12</v>
      </c>
      <c r="G971" s="32">
        <v>5</v>
      </c>
      <c r="H971" s="31" t="s">
        <v>128</v>
      </c>
      <c r="I971" s="2">
        <v>58</v>
      </c>
      <c r="J971">
        <v>73.417674725274722</v>
      </c>
    </row>
    <row r="972" spans="1:10" x14ac:dyDescent="0.25">
      <c r="A972">
        <v>2025</v>
      </c>
      <c r="B972" s="31" t="s">
        <v>149</v>
      </c>
      <c r="C972" s="31" t="s">
        <v>10</v>
      </c>
      <c r="D972" s="32">
        <v>3</v>
      </c>
      <c r="E972" s="32">
        <v>8</v>
      </c>
      <c r="F972" s="32">
        <v>12</v>
      </c>
      <c r="G972" s="32">
        <v>43</v>
      </c>
      <c r="H972" s="31" t="s">
        <v>125</v>
      </c>
      <c r="I972" s="2">
        <v>57.6</v>
      </c>
      <c r="J972">
        <v>57.185185054945052</v>
      </c>
    </row>
    <row r="973" spans="1:10" x14ac:dyDescent="0.25">
      <c r="A973">
        <v>2025</v>
      </c>
      <c r="B973" s="31" t="s">
        <v>149</v>
      </c>
      <c r="C973" s="31" t="s">
        <v>10</v>
      </c>
      <c r="D973" s="32">
        <v>3</v>
      </c>
      <c r="E973" s="32">
        <v>7</v>
      </c>
      <c r="F973" s="32">
        <v>12</v>
      </c>
      <c r="G973" s="32">
        <v>48</v>
      </c>
      <c r="H973" s="31" t="s">
        <v>152</v>
      </c>
      <c r="I973" s="2">
        <v>54</v>
      </c>
      <c r="J973">
        <v>49.290830769230759</v>
      </c>
    </row>
    <row r="974" spans="1:10" x14ac:dyDescent="0.25">
      <c r="A974">
        <v>2025</v>
      </c>
      <c r="B974" s="31" t="s">
        <v>149</v>
      </c>
      <c r="C974" s="31" t="s">
        <v>10</v>
      </c>
      <c r="D974" s="32">
        <v>3</v>
      </c>
      <c r="E974" s="32">
        <v>6</v>
      </c>
      <c r="F974" s="32">
        <v>12</v>
      </c>
      <c r="G974" s="32">
        <v>29</v>
      </c>
      <c r="H974" s="31" t="s">
        <v>27</v>
      </c>
      <c r="I974" s="2">
        <v>57.4</v>
      </c>
      <c r="J974">
        <v>71.929846153846128</v>
      </c>
    </row>
    <row r="975" spans="1:10" x14ac:dyDescent="0.25">
      <c r="A975">
        <v>2025</v>
      </c>
      <c r="B975" s="31" t="s">
        <v>149</v>
      </c>
      <c r="C975" s="31" t="s">
        <v>10</v>
      </c>
      <c r="D975" s="32">
        <v>3</v>
      </c>
      <c r="E975" s="32">
        <v>5</v>
      </c>
      <c r="F975" s="32">
        <v>12</v>
      </c>
      <c r="G975" s="32">
        <v>1</v>
      </c>
      <c r="H975" s="31" t="s">
        <v>120</v>
      </c>
      <c r="I975" s="2">
        <v>57.8</v>
      </c>
      <c r="J975">
        <v>74.19608791208789</v>
      </c>
    </row>
    <row r="976" spans="1:10" x14ac:dyDescent="0.25">
      <c r="A976">
        <v>2025</v>
      </c>
      <c r="B976" s="31" t="s">
        <v>149</v>
      </c>
      <c r="C976" s="31" t="s">
        <v>10</v>
      </c>
      <c r="D976" s="32">
        <v>3</v>
      </c>
      <c r="E976" s="32">
        <v>4</v>
      </c>
      <c r="F976" s="32">
        <v>12</v>
      </c>
      <c r="G976" s="32">
        <v>3</v>
      </c>
      <c r="H976" s="31" t="s">
        <v>122</v>
      </c>
      <c r="I976" s="2">
        <v>60.8</v>
      </c>
      <c r="J976">
        <v>73.387609670329653</v>
      </c>
    </row>
    <row r="977" spans="1:13" x14ac:dyDescent="0.25">
      <c r="A977">
        <v>2025</v>
      </c>
      <c r="B977" s="31" t="s">
        <v>149</v>
      </c>
      <c r="C977" s="31" t="s">
        <v>10</v>
      </c>
      <c r="D977" s="32">
        <v>3</v>
      </c>
      <c r="E977" s="32">
        <v>3</v>
      </c>
      <c r="F977" s="32">
        <v>12</v>
      </c>
      <c r="G977" s="32">
        <v>25</v>
      </c>
      <c r="H977" s="31" t="s">
        <v>130</v>
      </c>
      <c r="I977" s="2">
        <v>57.6</v>
      </c>
      <c r="J977">
        <v>67.499868131868112</v>
      </c>
    </row>
    <row r="978" spans="1:13" x14ac:dyDescent="0.25">
      <c r="A978">
        <v>2025</v>
      </c>
      <c r="B978" s="31" t="s">
        <v>149</v>
      </c>
      <c r="C978" s="31" t="s">
        <v>10</v>
      </c>
      <c r="D978" s="32">
        <v>3</v>
      </c>
      <c r="E978" s="32">
        <v>2</v>
      </c>
      <c r="F978" s="32">
        <v>12</v>
      </c>
      <c r="G978" s="32">
        <v>2</v>
      </c>
      <c r="H978" s="31" t="s">
        <v>126</v>
      </c>
      <c r="I978" s="2">
        <v>58</v>
      </c>
      <c r="J978">
        <v>58.051472527472527</v>
      </c>
    </row>
    <row r="979" spans="1:13" x14ac:dyDescent="0.25">
      <c r="A979">
        <v>2025</v>
      </c>
      <c r="B979" s="31" t="s">
        <v>149</v>
      </c>
      <c r="C979" s="31" t="s">
        <v>10</v>
      </c>
      <c r="D979" s="32">
        <v>3</v>
      </c>
      <c r="E979" s="32">
        <v>1</v>
      </c>
      <c r="F979" s="32">
        <v>12</v>
      </c>
      <c r="G979" s="32">
        <v>14</v>
      </c>
      <c r="H979" s="31" t="s">
        <v>30</v>
      </c>
      <c r="I979" s="2">
        <v>58.5</v>
      </c>
      <c r="J979">
        <v>50.76840879120877</v>
      </c>
    </row>
    <row r="980" spans="1:13" x14ac:dyDescent="0.25">
      <c r="A980">
        <v>2025</v>
      </c>
      <c r="B980" s="31" t="s">
        <v>149</v>
      </c>
      <c r="C980" s="31" t="s">
        <v>159</v>
      </c>
      <c r="D980" s="32">
        <v>1</v>
      </c>
      <c r="E980" s="32">
        <v>1</v>
      </c>
      <c r="F980" s="32">
        <v>1</v>
      </c>
      <c r="G980" s="32">
        <v>38</v>
      </c>
      <c r="H980" s="31" t="s">
        <v>23</v>
      </c>
      <c r="I980" s="2">
        <v>58.7</v>
      </c>
      <c r="J980">
        <v>21.044288152953232</v>
      </c>
      <c r="K980">
        <v>14.862500000000001</v>
      </c>
      <c r="L980">
        <v>0</v>
      </c>
      <c r="M980">
        <v>1</v>
      </c>
    </row>
    <row r="981" spans="1:13" x14ac:dyDescent="0.25">
      <c r="A981">
        <v>2025</v>
      </c>
      <c r="B981" s="31" t="s">
        <v>149</v>
      </c>
      <c r="C981" s="31" t="s">
        <v>159</v>
      </c>
      <c r="D981" s="32">
        <v>1</v>
      </c>
      <c r="E981" s="32">
        <v>2</v>
      </c>
      <c r="F981" s="32">
        <v>1</v>
      </c>
      <c r="G981" s="32">
        <v>22</v>
      </c>
      <c r="H981" s="31" t="s">
        <v>28</v>
      </c>
      <c r="I981" s="2">
        <v>59.4</v>
      </c>
      <c r="J981">
        <v>41.329328439740543</v>
      </c>
      <c r="K981">
        <v>14.262499999999999</v>
      </c>
      <c r="L981">
        <v>0</v>
      </c>
      <c r="M981">
        <v>2</v>
      </c>
    </row>
    <row r="982" spans="1:13" x14ac:dyDescent="0.25">
      <c r="A982">
        <v>2025</v>
      </c>
      <c r="B982" s="31" t="s">
        <v>149</v>
      </c>
      <c r="C982" s="31" t="s">
        <v>159</v>
      </c>
      <c r="D982" s="32">
        <v>1</v>
      </c>
      <c r="E982" s="32">
        <v>3</v>
      </c>
      <c r="F982" s="32">
        <v>1</v>
      </c>
      <c r="G982" s="32">
        <v>49</v>
      </c>
      <c r="H982" s="31" t="s">
        <v>151</v>
      </c>
      <c r="I982" s="2">
        <v>57.6</v>
      </c>
      <c r="J982">
        <v>39.016838511437356</v>
      </c>
      <c r="K982">
        <v>15.5625</v>
      </c>
      <c r="L982">
        <v>1</v>
      </c>
      <c r="M982">
        <v>2</v>
      </c>
    </row>
    <row r="983" spans="1:13" x14ac:dyDescent="0.25">
      <c r="A983">
        <v>2025</v>
      </c>
      <c r="B983" s="31" t="s">
        <v>149</v>
      </c>
      <c r="C983" s="31" t="s">
        <v>159</v>
      </c>
      <c r="D983" s="32">
        <v>1</v>
      </c>
      <c r="E983" s="32">
        <v>4</v>
      </c>
      <c r="F983" s="32">
        <v>1</v>
      </c>
      <c r="G983" s="32">
        <v>21</v>
      </c>
      <c r="H983" s="31" t="s">
        <v>26</v>
      </c>
      <c r="I983" s="2">
        <v>57.2</v>
      </c>
      <c r="J983">
        <v>48.553111812905435</v>
      </c>
      <c r="K983">
        <v>14.862500000000001</v>
      </c>
      <c r="L983">
        <v>-1</v>
      </c>
      <c r="M983">
        <v>3</v>
      </c>
    </row>
    <row r="984" spans="1:13" x14ac:dyDescent="0.25">
      <c r="A984">
        <v>2025</v>
      </c>
      <c r="B984" s="31" t="s">
        <v>149</v>
      </c>
      <c r="C984" s="31" t="s">
        <v>159</v>
      </c>
      <c r="D984" s="32">
        <v>1</v>
      </c>
      <c r="E984" s="32">
        <v>5</v>
      </c>
      <c r="F984" s="32">
        <v>1</v>
      </c>
      <c r="G984" s="32">
        <v>57</v>
      </c>
      <c r="H984" s="31" t="s">
        <v>43</v>
      </c>
      <c r="I984" s="2">
        <v>56.7</v>
      </c>
      <c r="J984">
        <v>46.306312051894857</v>
      </c>
      <c r="K984">
        <v>15.1625</v>
      </c>
      <c r="L984">
        <v>0</v>
      </c>
      <c r="M984">
        <v>4</v>
      </c>
    </row>
    <row r="985" spans="1:13" x14ac:dyDescent="0.25">
      <c r="A985">
        <v>2025</v>
      </c>
      <c r="B985" s="31" t="s">
        <v>149</v>
      </c>
      <c r="C985" s="31" t="s">
        <v>159</v>
      </c>
      <c r="D985" s="32">
        <v>1</v>
      </c>
      <c r="E985" s="32">
        <v>6</v>
      </c>
      <c r="F985" s="32">
        <v>1</v>
      </c>
      <c r="G985" s="32">
        <v>6</v>
      </c>
      <c r="H985" s="31" t="s">
        <v>119</v>
      </c>
      <c r="I985" s="2">
        <v>60.1</v>
      </c>
      <c r="J985">
        <v>40.651820075110969</v>
      </c>
      <c r="K985">
        <v>15.9625</v>
      </c>
      <c r="L985">
        <v>2</v>
      </c>
      <c r="M985">
        <v>1</v>
      </c>
    </row>
    <row r="986" spans="1:13" x14ac:dyDescent="0.25">
      <c r="A986">
        <v>2025</v>
      </c>
      <c r="B986" s="31" t="s">
        <v>149</v>
      </c>
      <c r="C986" s="31" t="s">
        <v>159</v>
      </c>
      <c r="D986" s="32">
        <v>1</v>
      </c>
      <c r="E986" s="32">
        <v>7</v>
      </c>
      <c r="F986" s="32">
        <v>1</v>
      </c>
      <c r="G986" s="32">
        <v>17</v>
      </c>
      <c r="H986" s="31" t="s">
        <v>33</v>
      </c>
      <c r="I986" s="2">
        <v>57.6</v>
      </c>
      <c r="J986">
        <v>50.366945715261188</v>
      </c>
      <c r="K986">
        <v>14.862500000000001</v>
      </c>
      <c r="L986">
        <v>1</v>
      </c>
      <c r="M986">
        <v>4</v>
      </c>
    </row>
    <row r="987" spans="1:13" x14ac:dyDescent="0.25">
      <c r="A987">
        <v>2025</v>
      </c>
      <c r="B987" s="31" t="s">
        <v>149</v>
      </c>
      <c r="C987" s="31" t="s">
        <v>159</v>
      </c>
      <c r="D987" s="32">
        <v>1</v>
      </c>
      <c r="E987" s="32">
        <v>8</v>
      </c>
      <c r="F987" s="32">
        <v>1</v>
      </c>
      <c r="G987" s="32">
        <v>4</v>
      </c>
      <c r="H987" s="31" t="s">
        <v>117</v>
      </c>
      <c r="I987" s="2">
        <v>58.4</v>
      </c>
      <c r="J987">
        <v>42.896727039945382</v>
      </c>
      <c r="K987">
        <v>14.1625</v>
      </c>
      <c r="L987">
        <v>1</v>
      </c>
      <c r="M987">
        <v>1</v>
      </c>
    </row>
    <row r="988" spans="1:13" x14ac:dyDescent="0.25">
      <c r="A988">
        <v>2025</v>
      </c>
      <c r="B988" s="31" t="s">
        <v>149</v>
      </c>
      <c r="C988" s="31" t="s">
        <v>159</v>
      </c>
      <c r="D988" s="32">
        <v>1</v>
      </c>
      <c r="E988" s="32">
        <v>9</v>
      </c>
      <c r="F988" s="32">
        <v>1</v>
      </c>
      <c r="G988" s="32">
        <v>15</v>
      </c>
      <c r="H988" s="31" t="s">
        <v>31</v>
      </c>
      <c r="I988" s="2">
        <v>55.5</v>
      </c>
      <c r="J988">
        <v>57.15405650392627</v>
      </c>
      <c r="K988">
        <v>15.0625</v>
      </c>
      <c r="L988">
        <v>-2</v>
      </c>
      <c r="M988">
        <v>2</v>
      </c>
    </row>
    <row r="989" spans="1:13" x14ac:dyDescent="0.25">
      <c r="A989">
        <v>2025</v>
      </c>
      <c r="B989" s="31" t="s">
        <v>149</v>
      </c>
      <c r="C989" s="31" t="s">
        <v>159</v>
      </c>
      <c r="D989" s="32">
        <v>1</v>
      </c>
      <c r="E989" s="32">
        <v>10</v>
      </c>
      <c r="F989" s="32">
        <v>1</v>
      </c>
      <c r="G989" s="32">
        <v>28</v>
      </c>
      <c r="H989" s="31" t="s">
        <v>38</v>
      </c>
      <c r="I989" s="2">
        <v>58.7</v>
      </c>
      <c r="J989">
        <v>44.9309590303858</v>
      </c>
      <c r="K989">
        <v>14.262499999999999</v>
      </c>
      <c r="L989">
        <v>-1</v>
      </c>
      <c r="M989">
        <v>4</v>
      </c>
    </row>
    <row r="990" spans="1:13" x14ac:dyDescent="0.25">
      <c r="A990">
        <v>2025</v>
      </c>
      <c r="B990" s="31" t="s">
        <v>149</v>
      </c>
      <c r="C990" s="31" t="s">
        <v>159</v>
      </c>
      <c r="D990" s="32">
        <v>1</v>
      </c>
      <c r="E990" s="32">
        <v>11</v>
      </c>
      <c r="F990" s="32">
        <v>1</v>
      </c>
      <c r="G990" s="32">
        <v>23</v>
      </c>
      <c r="H990" s="31" t="s">
        <v>37</v>
      </c>
      <c r="I990" s="2">
        <v>58.4</v>
      </c>
      <c r="J990">
        <v>37.20716763400479</v>
      </c>
      <c r="K990">
        <v>15.5625</v>
      </c>
      <c r="L990">
        <v>0</v>
      </c>
      <c r="M990">
        <v>4</v>
      </c>
    </row>
    <row r="991" spans="1:13" x14ac:dyDescent="0.25">
      <c r="A991">
        <v>2025</v>
      </c>
      <c r="B991" s="31" t="s">
        <v>149</v>
      </c>
      <c r="C991" s="31" t="s">
        <v>159</v>
      </c>
      <c r="D991" s="32">
        <v>1</v>
      </c>
      <c r="E991" s="32">
        <v>12</v>
      </c>
      <c r="F991" s="32">
        <v>1</v>
      </c>
      <c r="G991" s="32">
        <v>25</v>
      </c>
      <c r="H991" s="31" t="s">
        <v>130</v>
      </c>
      <c r="I991" s="2">
        <v>58.8</v>
      </c>
      <c r="J991">
        <v>32.513168316831695</v>
      </c>
      <c r="K991">
        <v>14.862500000000001</v>
      </c>
      <c r="L991">
        <v>0</v>
      </c>
      <c r="M991">
        <v>5</v>
      </c>
    </row>
    <row r="992" spans="1:13" x14ac:dyDescent="0.25">
      <c r="A992">
        <v>2025</v>
      </c>
      <c r="B992" s="31" t="s">
        <v>149</v>
      </c>
      <c r="C992" s="31" t="s">
        <v>159</v>
      </c>
      <c r="D992" s="32">
        <v>1</v>
      </c>
      <c r="E992" s="32">
        <v>13</v>
      </c>
      <c r="F992" s="32">
        <v>1</v>
      </c>
      <c r="G992" s="32">
        <v>58</v>
      </c>
      <c r="H992" s="31" t="s">
        <v>103</v>
      </c>
      <c r="I992" s="2">
        <v>56.9</v>
      </c>
      <c r="J992">
        <v>32.486021338340741</v>
      </c>
      <c r="K992">
        <v>15.4625</v>
      </c>
      <c r="L992">
        <v>1</v>
      </c>
      <c r="M992">
        <v>3</v>
      </c>
    </row>
    <row r="993" spans="1:13" x14ac:dyDescent="0.25">
      <c r="A993">
        <v>2025</v>
      </c>
      <c r="B993" s="31" t="s">
        <v>149</v>
      </c>
      <c r="C993" s="31" t="s">
        <v>159</v>
      </c>
      <c r="D993" s="32">
        <v>1</v>
      </c>
      <c r="E993" s="32">
        <v>14</v>
      </c>
      <c r="F993" s="32">
        <v>1</v>
      </c>
      <c r="G993" s="32">
        <v>20</v>
      </c>
      <c r="H993" s="31" t="s">
        <v>24</v>
      </c>
      <c r="I993" s="2">
        <v>59.5</v>
      </c>
      <c r="J993">
        <v>40.57343803345853</v>
      </c>
      <c r="K993">
        <v>14.0625</v>
      </c>
      <c r="L993">
        <v>-2</v>
      </c>
      <c r="M993">
        <v>4</v>
      </c>
    </row>
    <row r="994" spans="1:13" x14ac:dyDescent="0.25">
      <c r="A994">
        <v>2025</v>
      </c>
      <c r="B994" s="31" t="s">
        <v>149</v>
      </c>
      <c r="C994" s="31" t="s">
        <v>159</v>
      </c>
      <c r="D994" s="32">
        <v>1</v>
      </c>
      <c r="E994" s="32">
        <v>15</v>
      </c>
      <c r="F994" s="32">
        <v>1</v>
      </c>
      <c r="G994" s="32">
        <v>18</v>
      </c>
      <c r="H994" s="31" t="s">
        <v>29</v>
      </c>
      <c r="I994" s="2">
        <v>56.2</v>
      </c>
      <c r="J994">
        <v>25.532564185728923</v>
      </c>
      <c r="K994">
        <v>15.0625</v>
      </c>
      <c r="L994">
        <v>0</v>
      </c>
      <c r="M994">
        <v>3</v>
      </c>
    </row>
    <row r="995" spans="1:13" x14ac:dyDescent="0.25">
      <c r="A995">
        <v>2025</v>
      </c>
      <c r="B995" s="31" t="s">
        <v>149</v>
      </c>
      <c r="C995" s="31" t="s">
        <v>159</v>
      </c>
      <c r="D995" s="32">
        <v>1</v>
      </c>
      <c r="E995" s="32">
        <v>16</v>
      </c>
      <c r="F995" s="32">
        <v>1</v>
      </c>
      <c r="G995" s="32">
        <v>19</v>
      </c>
      <c r="H995" s="31" t="s">
        <v>157</v>
      </c>
      <c r="I995" s="2">
        <v>58</v>
      </c>
      <c r="J995">
        <v>34.615152270399456</v>
      </c>
      <c r="K995">
        <v>15.762499999999999</v>
      </c>
      <c r="L995">
        <v>1</v>
      </c>
      <c r="M995">
        <v>3</v>
      </c>
    </row>
    <row r="996" spans="1:13" x14ac:dyDescent="0.25">
      <c r="A996">
        <v>2025</v>
      </c>
      <c r="B996" s="31" t="s">
        <v>149</v>
      </c>
      <c r="C996" s="31" t="s">
        <v>159</v>
      </c>
      <c r="D996" s="32">
        <v>1</v>
      </c>
      <c r="E996" s="32">
        <v>17</v>
      </c>
      <c r="F996" s="32">
        <v>1</v>
      </c>
      <c r="G996" s="32">
        <v>16</v>
      </c>
      <c r="H996" s="31" t="s">
        <v>32</v>
      </c>
      <c r="I996" s="2">
        <v>58.8</v>
      </c>
      <c r="J996">
        <v>23.788189143052239</v>
      </c>
      <c r="K996">
        <v>14.762499999999999</v>
      </c>
      <c r="L996">
        <v>0</v>
      </c>
      <c r="M996">
        <v>5</v>
      </c>
    </row>
    <row r="997" spans="1:13" x14ac:dyDescent="0.25">
      <c r="A997">
        <v>2025</v>
      </c>
      <c r="B997" s="31" t="s">
        <v>149</v>
      </c>
      <c r="C997" s="31" t="s">
        <v>159</v>
      </c>
      <c r="D997" s="32">
        <v>1</v>
      </c>
      <c r="E997" s="32">
        <v>18</v>
      </c>
      <c r="F997" s="32">
        <v>1</v>
      </c>
      <c r="G997" s="32">
        <v>1</v>
      </c>
      <c r="H997" s="31" t="s">
        <v>120</v>
      </c>
      <c r="I997" s="2">
        <v>57.6</v>
      </c>
      <c r="J997">
        <v>39.480151075452383</v>
      </c>
      <c r="K997">
        <v>14.762499999999999</v>
      </c>
      <c r="L997">
        <v>-2</v>
      </c>
      <c r="M997">
        <v>3</v>
      </c>
    </row>
    <row r="998" spans="1:13" x14ac:dyDescent="0.25">
      <c r="A998">
        <v>2025</v>
      </c>
      <c r="B998" s="31" t="s">
        <v>149</v>
      </c>
      <c r="C998" s="31" t="s">
        <v>159</v>
      </c>
      <c r="D998" s="32">
        <v>1</v>
      </c>
      <c r="E998" s="32">
        <v>19</v>
      </c>
      <c r="F998" s="32">
        <v>1</v>
      </c>
      <c r="G998" s="32">
        <v>10</v>
      </c>
      <c r="H998" s="31" t="s">
        <v>91</v>
      </c>
      <c r="I998" s="2">
        <v>57.2</v>
      </c>
      <c r="J998">
        <v>38.87674906111301</v>
      </c>
      <c r="K998">
        <v>15.762499999999999</v>
      </c>
      <c r="L998">
        <v>3</v>
      </c>
      <c r="M998">
        <v>4</v>
      </c>
    </row>
    <row r="999" spans="1:13" x14ac:dyDescent="0.25">
      <c r="A999">
        <v>2025</v>
      </c>
      <c r="B999" s="31" t="s">
        <v>149</v>
      </c>
      <c r="C999" s="31" t="s">
        <v>159</v>
      </c>
      <c r="D999" s="32">
        <v>1</v>
      </c>
      <c r="E999" s="32">
        <v>20</v>
      </c>
      <c r="F999" s="32">
        <v>1</v>
      </c>
      <c r="G999" s="32">
        <v>36</v>
      </c>
      <c r="H999" s="31" t="s">
        <v>45</v>
      </c>
      <c r="I999" s="2">
        <v>59.1</v>
      </c>
      <c r="J999">
        <v>50.08890747695461</v>
      </c>
      <c r="K999">
        <v>15.6625</v>
      </c>
      <c r="L999">
        <v>-1</v>
      </c>
      <c r="M999">
        <v>1</v>
      </c>
    </row>
    <row r="1000" spans="1:13" x14ac:dyDescent="0.25">
      <c r="A1000">
        <v>2025</v>
      </c>
      <c r="B1000" s="31" t="s">
        <v>149</v>
      </c>
      <c r="C1000" s="31" t="s">
        <v>159</v>
      </c>
      <c r="D1000" s="32">
        <v>1</v>
      </c>
      <c r="E1000" s="32">
        <v>21</v>
      </c>
      <c r="F1000" s="32">
        <v>1</v>
      </c>
      <c r="G1000" s="32">
        <v>24</v>
      </c>
      <c r="H1000" s="31" t="s">
        <v>40</v>
      </c>
      <c r="I1000" s="2">
        <v>56.3</v>
      </c>
      <c r="J1000">
        <v>55.670200068282711</v>
      </c>
      <c r="K1000">
        <v>15.262499999999999</v>
      </c>
      <c r="L1000">
        <v>-3</v>
      </c>
      <c r="M1000">
        <v>2</v>
      </c>
    </row>
    <row r="1001" spans="1:13" x14ac:dyDescent="0.25">
      <c r="A1001">
        <v>2025</v>
      </c>
      <c r="B1001" s="31" t="s">
        <v>149</v>
      </c>
      <c r="C1001" s="31" t="s">
        <v>159</v>
      </c>
      <c r="D1001" s="32">
        <v>1</v>
      </c>
      <c r="E1001" s="32">
        <v>22</v>
      </c>
      <c r="F1001" s="32">
        <v>1</v>
      </c>
      <c r="G1001" s="32">
        <v>48</v>
      </c>
      <c r="H1001" s="31" t="s">
        <v>152</v>
      </c>
      <c r="I1001" s="2">
        <v>58.7</v>
      </c>
      <c r="J1001">
        <v>33.199999829293283</v>
      </c>
      <c r="K1001">
        <v>16.162500000000001</v>
      </c>
      <c r="L1001">
        <v>3</v>
      </c>
      <c r="M1001">
        <v>1</v>
      </c>
    </row>
    <row r="1002" spans="1:13" x14ac:dyDescent="0.25">
      <c r="A1002">
        <v>2025</v>
      </c>
      <c r="B1002" s="31" t="s">
        <v>149</v>
      </c>
      <c r="C1002" s="31" t="s">
        <v>159</v>
      </c>
      <c r="D1002" s="32">
        <v>1</v>
      </c>
      <c r="E1002" s="32">
        <v>23</v>
      </c>
      <c r="F1002" s="32">
        <v>1</v>
      </c>
      <c r="G1002" s="32">
        <v>43</v>
      </c>
      <c r="H1002" s="31" t="s">
        <v>125</v>
      </c>
      <c r="I1002" s="2">
        <v>55.2</v>
      </c>
      <c r="J1002">
        <v>40.466799248890425</v>
      </c>
      <c r="K1002">
        <v>15.9625</v>
      </c>
      <c r="L1002">
        <v>-1</v>
      </c>
      <c r="M1002">
        <v>2</v>
      </c>
    </row>
    <row r="1003" spans="1:13" x14ac:dyDescent="0.25">
      <c r="A1003">
        <v>2025</v>
      </c>
      <c r="B1003" s="31" t="s">
        <v>149</v>
      </c>
      <c r="C1003" s="31" t="s">
        <v>159</v>
      </c>
      <c r="D1003" s="32">
        <v>1</v>
      </c>
      <c r="E1003" s="32">
        <v>24</v>
      </c>
      <c r="F1003" s="32">
        <v>1</v>
      </c>
      <c r="G1003" s="32">
        <v>30</v>
      </c>
      <c r="H1003" s="31" t="s">
        <v>21</v>
      </c>
      <c r="I1003" s="2">
        <v>59.5</v>
      </c>
      <c r="J1003">
        <v>42.750976101058384</v>
      </c>
      <c r="K1003">
        <v>14.9625</v>
      </c>
      <c r="L1003">
        <v>0</v>
      </c>
      <c r="M1003">
        <v>2</v>
      </c>
    </row>
    <row r="1004" spans="1:13" x14ac:dyDescent="0.25">
      <c r="A1004">
        <v>2025</v>
      </c>
      <c r="B1004" s="31" t="s">
        <v>149</v>
      </c>
      <c r="C1004" s="31" t="s">
        <v>159</v>
      </c>
      <c r="D1004" s="32">
        <v>1</v>
      </c>
      <c r="E1004" s="32">
        <v>25</v>
      </c>
      <c r="F1004" s="32">
        <v>1</v>
      </c>
      <c r="G1004" s="32">
        <v>44</v>
      </c>
      <c r="H1004" s="31" t="s">
        <v>123</v>
      </c>
      <c r="I1004" s="2">
        <v>56.6</v>
      </c>
      <c r="J1004">
        <v>43.086682656196665</v>
      </c>
      <c r="K1004">
        <v>15.0625</v>
      </c>
      <c r="L1004">
        <v>0</v>
      </c>
      <c r="M1004">
        <v>3</v>
      </c>
    </row>
    <row r="1005" spans="1:13" x14ac:dyDescent="0.25">
      <c r="A1005">
        <v>2025</v>
      </c>
      <c r="B1005" s="31" t="s">
        <v>149</v>
      </c>
      <c r="C1005" s="31" t="s">
        <v>159</v>
      </c>
      <c r="D1005" s="32">
        <v>1</v>
      </c>
      <c r="E1005" s="32">
        <v>26</v>
      </c>
      <c r="F1005" s="32">
        <v>1</v>
      </c>
      <c r="G1005" s="32">
        <v>13</v>
      </c>
      <c r="H1005" s="31" t="s">
        <v>93</v>
      </c>
      <c r="I1005" s="2">
        <v>60.1</v>
      </c>
      <c r="J1005">
        <v>57.78125930351657</v>
      </c>
      <c r="K1005">
        <v>14.362500000000001</v>
      </c>
      <c r="L1005">
        <v>0</v>
      </c>
      <c r="M1005">
        <v>3</v>
      </c>
    </row>
    <row r="1006" spans="1:13" x14ac:dyDescent="0.25">
      <c r="A1006">
        <v>2025</v>
      </c>
      <c r="B1006" s="31" t="s">
        <v>149</v>
      </c>
      <c r="C1006" s="31" t="s">
        <v>159</v>
      </c>
      <c r="D1006" s="32">
        <v>1</v>
      </c>
      <c r="E1006" s="32">
        <v>26</v>
      </c>
      <c r="F1006" s="32">
        <v>2</v>
      </c>
      <c r="G1006" s="32">
        <v>37</v>
      </c>
      <c r="H1006" s="31" t="s">
        <v>89</v>
      </c>
      <c r="I1006" s="2">
        <v>59.8</v>
      </c>
      <c r="J1006">
        <v>59.660567431850779</v>
      </c>
      <c r="K1006">
        <v>15.362500000000001</v>
      </c>
      <c r="L1006">
        <v>-1</v>
      </c>
      <c r="M1006">
        <v>4</v>
      </c>
    </row>
    <row r="1007" spans="1:13" x14ac:dyDescent="0.25">
      <c r="A1007">
        <v>2025</v>
      </c>
      <c r="B1007" s="31" t="s">
        <v>149</v>
      </c>
      <c r="C1007" s="31" t="s">
        <v>159</v>
      </c>
      <c r="D1007" s="32">
        <v>1</v>
      </c>
      <c r="E1007" s="32">
        <v>25</v>
      </c>
      <c r="F1007" s="32">
        <v>2</v>
      </c>
      <c r="G1007" s="32">
        <v>31</v>
      </c>
      <c r="H1007" s="31" t="s">
        <v>36</v>
      </c>
      <c r="I1007" s="2">
        <v>57.7</v>
      </c>
      <c r="J1007">
        <v>50.686810437589664</v>
      </c>
      <c r="K1007">
        <v>15.4625</v>
      </c>
      <c r="L1007">
        <v>0</v>
      </c>
      <c r="M1007">
        <v>2</v>
      </c>
    </row>
    <row r="1008" spans="1:13" x14ac:dyDescent="0.25">
      <c r="A1008">
        <v>2025</v>
      </c>
      <c r="B1008" s="31" t="s">
        <v>149</v>
      </c>
      <c r="C1008" s="31" t="s">
        <v>159</v>
      </c>
      <c r="D1008" s="32">
        <v>1</v>
      </c>
      <c r="E1008" s="32">
        <v>24</v>
      </c>
      <c r="F1008" s="32">
        <v>2</v>
      </c>
      <c r="G1008" s="32">
        <v>34</v>
      </c>
      <c r="H1008" s="31" t="s">
        <v>42</v>
      </c>
      <c r="I1008" s="2">
        <v>59.2</v>
      </c>
      <c r="J1008">
        <v>56.104130918220939</v>
      </c>
      <c r="K1008">
        <v>15.362500000000001</v>
      </c>
      <c r="L1008">
        <v>0</v>
      </c>
      <c r="M1008">
        <v>5</v>
      </c>
    </row>
    <row r="1009" spans="1:13" x14ac:dyDescent="0.25">
      <c r="A1009">
        <v>2025</v>
      </c>
      <c r="B1009" s="31" t="s">
        <v>149</v>
      </c>
      <c r="C1009" s="31" t="s">
        <v>159</v>
      </c>
      <c r="D1009" s="32">
        <v>1</v>
      </c>
      <c r="E1009" s="32">
        <v>23</v>
      </c>
      <c r="F1009" s="32">
        <v>2</v>
      </c>
      <c r="G1009" s="32">
        <v>27</v>
      </c>
      <c r="H1009" s="31" t="s">
        <v>35</v>
      </c>
      <c r="I1009" s="2">
        <v>56.6</v>
      </c>
      <c r="J1009">
        <v>64.739661585365837</v>
      </c>
      <c r="K1009">
        <v>14.9625</v>
      </c>
      <c r="L1009">
        <v>-3</v>
      </c>
      <c r="M1009">
        <v>3</v>
      </c>
    </row>
    <row r="1010" spans="1:13" x14ac:dyDescent="0.25">
      <c r="A1010">
        <v>2025</v>
      </c>
      <c r="B1010" s="31" t="s">
        <v>149</v>
      </c>
      <c r="C1010" s="31" t="s">
        <v>159</v>
      </c>
      <c r="D1010" s="32">
        <v>1</v>
      </c>
      <c r="E1010" s="32">
        <v>22</v>
      </c>
      <c r="F1010" s="32">
        <v>2</v>
      </c>
      <c r="G1010" s="32">
        <v>45</v>
      </c>
      <c r="H1010" s="31" t="s">
        <v>39</v>
      </c>
      <c r="I1010" s="2">
        <v>56.6</v>
      </c>
      <c r="J1010">
        <v>57.284141319942592</v>
      </c>
      <c r="K1010">
        <v>15.5625</v>
      </c>
      <c r="L1010">
        <v>0</v>
      </c>
      <c r="M1010">
        <v>2</v>
      </c>
    </row>
    <row r="1011" spans="1:13" x14ac:dyDescent="0.25">
      <c r="A1011">
        <v>2025</v>
      </c>
      <c r="B1011" s="31" t="s">
        <v>149</v>
      </c>
      <c r="C1011" s="31" t="s">
        <v>159</v>
      </c>
      <c r="D1011" s="32">
        <v>1</v>
      </c>
      <c r="E1011" s="32">
        <v>21</v>
      </c>
      <c r="F1011" s="32">
        <v>2</v>
      </c>
      <c r="G1011" s="32">
        <v>5</v>
      </c>
      <c r="H1011" s="31" t="s">
        <v>128</v>
      </c>
      <c r="I1011" s="2">
        <v>58</v>
      </c>
      <c r="J1011">
        <v>72.517346126255376</v>
      </c>
      <c r="K1011">
        <v>14.862500000000001</v>
      </c>
      <c r="L1011">
        <v>1</v>
      </c>
      <c r="M1011">
        <v>2</v>
      </c>
    </row>
    <row r="1012" spans="1:13" x14ac:dyDescent="0.25">
      <c r="A1012">
        <v>2025</v>
      </c>
      <c r="B1012" s="31" t="s">
        <v>149</v>
      </c>
      <c r="C1012" s="31" t="s">
        <v>159</v>
      </c>
      <c r="D1012" s="32">
        <v>1</v>
      </c>
      <c r="E1012" s="32">
        <v>20</v>
      </c>
      <c r="F1012" s="32">
        <v>2</v>
      </c>
      <c r="G1012" s="32">
        <v>29</v>
      </c>
      <c r="H1012" s="31" t="s">
        <v>27</v>
      </c>
      <c r="I1012" s="2">
        <v>58.3</v>
      </c>
      <c r="J1012">
        <v>62.203656563845044</v>
      </c>
      <c r="K1012">
        <v>15.5625</v>
      </c>
      <c r="L1012">
        <v>0</v>
      </c>
      <c r="M1012">
        <v>4</v>
      </c>
    </row>
    <row r="1013" spans="1:13" x14ac:dyDescent="0.25">
      <c r="A1013">
        <v>2025</v>
      </c>
      <c r="B1013" s="31" t="s">
        <v>149</v>
      </c>
      <c r="C1013" s="31" t="s">
        <v>159</v>
      </c>
      <c r="D1013" s="32">
        <v>1</v>
      </c>
      <c r="E1013" s="32">
        <v>19</v>
      </c>
      <c r="F1013" s="32">
        <v>2</v>
      </c>
      <c r="G1013" s="32">
        <v>46</v>
      </c>
      <c r="H1013" s="31" t="s">
        <v>127</v>
      </c>
      <c r="I1013" s="2">
        <v>57.5</v>
      </c>
      <c r="J1013">
        <v>56.211404591104724</v>
      </c>
      <c r="K1013">
        <v>15.262499999999999</v>
      </c>
      <c r="L1013">
        <v>0</v>
      </c>
      <c r="M1013">
        <v>2</v>
      </c>
    </row>
    <row r="1014" spans="1:13" x14ac:dyDescent="0.25">
      <c r="A1014">
        <v>2025</v>
      </c>
      <c r="B1014" s="31" t="s">
        <v>149</v>
      </c>
      <c r="C1014" s="31" t="s">
        <v>159</v>
      </c>
      <c r="D1014" s="32">
        <v>1</v>
      </c>
      <c r="E1014" s="32">
        <v>18</v>
      </c>
      <c r="F1014" s="32">
        <v>2</v>
      </c>
      <c r="G1014" s="32">
        <v>9</v>
      </c>
      <c r="H1014" s="31" t="s">
        <v>94</v>
      </c>
      <c r="I1014" s="2">
        <v>58.2</v>
      </c>
      <c r="J1014">
        <v>35.643302367288371</v>
      </c>
      <c r="K1014">
        <v>15.9625</v>
      </c>
      <c r="L1014">
        <v>3</v>
      </c>
      <c r="M1014">
        <v>5</v>
      </c>
    </row>
    <row r="1015" spans="1:13" x14ac:dyDescent="0.25">
      <c r="A1015">
        <v>2025</v>
      </c>
      <c r="B1015" s="31" t="s">
        <v>149</v>
      </c>
      <c r="C1015" s="31" t="s">
        <v>159</v>
      </c>
      <c r="D1015" s="32">
        <v>1</v>
      </c>
      <c r="E1015" s="32">
        <v>17</v>
      </c>
      <c r="F1015" s="32">
        <v>2</v>
      </c>
      <c r="G1015" s="32">
        <v>11</v>
      </c>
      <c r="H1015" s="31" t="s">
        <v>90</v>
      </c>
      <c r="I1015" s="2">
        <v>59.7</v>
      </c>
      <c r="J1015">
        <v>42.779422166427537</v>
      </c>
      <c r="K1015">
        <v>14.5625</v>
      </c>
      <c r="L1015">
        <v>0</v>
      </c>
      <c r="M1015">
        <v>5</v>
      </c>
    </row>
    <row r="1016" spans="1:13" x14ac:dyDescent="0.25">
      <c r="A1016">
        <v>2025</v>
      </c>
      <c r="B1016" s="31" t="s">
        <v>149</v>
      </c>
      <c r="C1016" s="31" t="s">
        <v>159</v>
      </c>
      <c r="D1016" s="32">
        <v>1</v>
      </c>
      <c r="E1016" s="32">
        <v>16</v>
      </c>
      <c r="F1016" s="32">
        <v>2</v>
      </c>
      <c r="G1016" s="32">
        <v>40</v>
      </c>
      <c r="H1016" s="31" t="s">
        <v>121</v>
      </c>
      <c r="I1016" s="2">
        <v>59</v>
      </c>
      <c r="J1016">
        <v>46.564893830703006</v>
      </c>
      <c r="K1016">
        <v>14.4625</v>
      </c>
      <c r="L1016">
        <v>1</v>
      </c>
      <c r="M1016">
        <v>3</v>
      </c>
    </row>
    <row r="1017" spans="1:13" x14ac:dyDescent="0.25">
      <c r="A1017">
        <v>2025</v>
      </c>
      <c r="B1017" s="31" t="s">
        <v>149</v>
      </c>
      <c r="C1017" s="31" t="s">
        <v>159</v>
      </c>
      <c r="D1017" s="32">
        <v>1</v>
      </c>
      <c r="E1017" s="32">
        <v>15</v>
      </c>
      <c r="F1017" s="32">
        <v>2</v>
      </c>
      <c r="G1017" s="32">
        <v>47</v>
      </c>
      <c r="H1017" s="31" t="s">
        <v>153</v>
      </c>
      <c r="I1017" s="2">
        <v>59.7</v>
      </c>
      <c r="J1017">
        <v>31.976088593974175</v>
      </c>
      <c r="K1017">
        <v>15.6625</v>
      </c>
      <c r="L1017">
        <v>1</v>
      </c>
      <c r="M1017">
        <v>6</v>
      </c>
    </row>
    <row r="1018" spans="1:13" x14ac:dyDescent="0.25">
      <c r="A1018">
        <v>2025</v>
      </c>
      <c r="B1018" s="31" t="s">
        <v>149</v>
      </c>
      <c r="C1018" s="31" t="s">
        <v>159</v>
      </c>
      <c r="D1018" s="32">
        <v>1</v>
      </c>
      <c r="E1018" s="32">
        <v>14</v>
      </c>
      <c r="F1018" s="32">
        <v>2</v>
      </c>
      <c r="G1018" s="32">
        <v>41</v>
      </c>
      <c r="H1018" s="31" t="s">
        <v>124</v>
      </c>
      <c r="I1018" s="2">
        <v>57.5</v>
      </c>
      <c r="J1018">
        <v>37.837559720229557</v>
      </c>
      <c r="K1018">
        <v>15.362500000000001</v>
      </c>
      <c r="L1018">
        <v>1</v>
      </c>
      <c r="M1018">
        <v>6</v>
      </c>
    </row>
    <row r="1019" spans="1:13" x14ac:dyDescent="0.25">
      <c r="A1019">
        <v>2025</v>
      </c>
      <c r="B1019" s="31" t="s">
        <v>149</v>
      </c>
      <c r="C1019" s="31" t="s">
        <v>159</v>
      </c>
      <c r="D1019" s="32">
        <v>1</v>
      </c>
      <c r="E1019" s="32">
        <v>13</v>
      </c>
      <c r="F1019" s="32">
        <v>2</v>
      </c>
      <c r="G1019" s="32">
        <v>32</v>
      </c>
      <c r="H1019" s="31" t="s">
        <v>25</v>
      </c>
      <c r="I1019" s="2">
        <v>58.9</v>
      </c>
      <c r="J1019">
        <v>58.721109038737445</v>
      </c>
      <c r="K1019">
        <v>15.862500000000001</v>
      </c>
      <c r="L1019">
        <v>-1</v>
      </c>
      <c r="M1019">
        <v>6</v>
      </c>
    </row>
    <row r="1020" spans="1:13" x14ac:dyDescent="0.25">
      <c r="A1020">
        <v>2025</v>
      </c>
      <c r="B1020" s="31" t="s">
        <v>149</v>
      </c>
      <c r="C1020" s="31" t="s">
        <v>159</v>
      </c>
      <c r="D1020" s="32">
        <v>1</v>
      </c>
      <c r="E1020" s="32">
        <v>12</v>
      </c>
      <c r="F1020" s="32">
        <v>2</v>
      </c>
      <c r="G1020" s="32">
        <v>35</v>
      </c>
      <c r="H1020" s="31" t="s">
        <v>129</v>
      </c>
      <c r="I1020" s="2">
        <v>58.8</v>
      </c>
      <c r="J1020">
        <v>56.497313845050208</v>
      </c>
      <c r="K1020">
        <v>14.9625</v>
      </c>
      <c r="L1020">
        <v>0</v>
      </c>
      <c r="M1020">
        <v>5</v>
      </c>
    </row>
    <row r="1021" spans="1:13" x14ac:dyDescent="0.25">
      <c r="A1021">
        <v>2025</v>
      </c>
      <c r="B1021" s="31" t="s">
        <v>149</v>
      </c>
      <c r="C1021" s="31" t="s">
        <v>159</v>
      </c>
      <c r="D1021" s="32">
        <v>1</v>
      </c>
      <c r="E1021" s="32">
        <v>11</v>
      </c>
      <c r="F1021" s="32">
        <v>2</v>
      </c>
      <c r="G1021" s="32">
        <v>60</v>
      </c>
      <c r="H1021" s="31" t="s">
        <v>154</v>
      </c>
      <c r="I1021" s="2">
        <v>59</v>
      </c>
      <c r="J1021">
        <v>42.162589670014349</v>
      </c>
      <c r="K1021">
        <v>15.6625</v>
      </c>
      <c r="L1021">
        <v>4</v>
      </c>
      <c r="M1021">
        <v>3</v>
      </c>
    </row>
    <row r="1022" spans="1:13" x14ac:dyDescent="0.25">
      <c r="A1022">
        <v>2025</v>
      </c>
      <c r="B1022" s="31" t="s">
        <v>149</v>
      </c>
      <c r="C1022" s="31" t="s">
        <v>159</v>
      </c>
      <c r="D1022" s="32">
        <v>1</v>
      </c>
      <c r="E1022" s="32">
        <v>10</v>
      </c>
      <c r="F1022" s="32">
        <v>2</v>
      </c>
      <c r="G1022" s="32">
        <v>12</v>
      </c>
      <c r="H1022" s="31" t="s">
        <v>92</v>
      </c>
      <c r="I1022" s="2">
        <v>58.9</v>
      </c>
      <c r="J1022">
        <v>65.061482604017201</v>
      </c>
      <c r="K1022">
        <v>15.0625</v>
      </c>
      <c r="L1022">
        <v>-2</v>
      </c>
      <c r="M1022">
        <v>2</v>
      </c>
    </row>
    <row r="1023" spans="1:13" x14ac:dyDescent="0.25">
      <c r="A1023">
        <v>2025</v>
      </c>
      <c r="B1023" s="31" t="s">
        <v>149</v>
      </c>
      <c r="C1023" s="31" t="s">
        <v>159</v>
      </c>
      <c r="D1023" s="32">
        <v>1</v>
      </c>
      <c r="E1023" s="32">
        <v>9</v>
      </c>
      <c r="F1023" s="32">
        <v>2</v>
      </c>
      <c r="G1023" s="32">
        <v>7</v>
      </c>
      <c r="H1023" s="31" t="s">
        <v>150</v>
      </c>
      <c r="I1023" s="2">
        <v>57.1</v>
      </c>
      <c r="J1023">
        <v>64.818545552367283</v>
      </c>
      <c r="K1023">
        <v>14.762499999999999</v>
      </c>
      <c r="L1023">
        <v>1</v>
      </c>
      <c r="M1023">
        <v>2</v>
      </c>
    </row>
    <row r="1024" spans="1:13" x14ac:dyDescent="0.25">
      <c r="A1024">
        <v>2025</v>
      </c>
      <c r="B1024" s="31" t="s">
        <v>149</v>
      </c>
      <c r="C1024" s="31" t="s">
        <v>159</v>
      </c>
      <c r="D1024" s="32">
        <v>1</v>
      </c>
      <c r="E1024" s="32">
        <v>8</v>
      </c>
      <c r="F1024" s="32">
        <v>2</v>
      </c>
      <c r="G1024" s="32">
        <v>33</v>
      </c>
      <c r="H1024" s="31" t="s">
        <v>41</v>
      </c>
      <c r="I1024" s="2">
        <v>57.3</v>
      </c>
      <c r="J1024">
        <v>67.818136657101846</v>
      </c>
      <c r="K1024">
        <v>14.9625</v>
      </c>
      <c r="L1024">
        <v>1</v>
      </c>
      <c r="M1024">
        <v>3</v>
      </c>
    </row>
    <row r="1025" spans="1:13" x14ac:dyDescent="0.25">
      <c r="A1025">
        <v>2025</v>
      </c>
      <c r="B1025" s="31" t="s">
        <v>149</v>
      </c>
      <c r="C1025" s="31" t="s">
        <v>159</v>
      </c>
      <c r="D1025" s="32">
        <v>1</v>
      </c>
      <c r="E1025" s="32">
        <v>7</v>
      </c>
      <c r="F1025" s="32">
        <v>2</v>
      </c>
      <c r="G1025" s="32">
        <v>39</v>
      </c>
      <c r="H1025" s="31" t="s">
        <v>22</v>
      </c>
      <c r="I1025" s="2">
        <v>56.3</v>
      </c>
      <c r="J1025">
        <v>65.701467180774728</v>
      </c>
      <c r="K1025">
        <v>15.362500000000001</v>
      </c>
      <c r="L1025">
        <v>0</v>
      </c>
      <c r="M1025">
        <v>6</v>
      </c>
    </row>
    <row r="1026" spans="1:13" x14ac:dyDescent="0.25">
      <c r="A1026">
        <v>2025</v>
      </c>
      <c r="B1026" s="31" t="s">
        <v>149</v>
      </c>
      <c r="C1026" s="31" t="s">
        <v>159</v>
      </c>
      <c r="D1026" s="32">
        <v>1</v>
      </c>
      <c r="E1026" s="32">
        <v>6</v>
      </c>
      <c r="F1026" s="32">
        <v>2</v>
      </c>
      <c r="G1026" s="32">
        <v>8</v>
      </c>
      <c r="H1026" s="31" t="s">
        <v>118</v>
      </c>
      <c r="I1026" s="2">
        <v>58</v>
      </c>
      <c r="J1026">
        <v>76.126028694404582</v>
      </c>
      <c r="K1026">
        <v>14.262499999999999</v>
      </c>
      <c r="L1026">
        <v>0</v>
      </c>
      <c r="M1026">
        <v>1</v>
      </c>
    </row>
    <row r="1027" spans="1:13" x14ac:dyDescent="0.25">
      <c r="A1027">
        <v>2025</v>
      </c>
      <c r="B1027" s="31" t="s">
        <v>149</v>
      </c>
      <c r="C1027" s="31" t="s">
        <v>159</v>
      </c>
      <c r="D1027" s="32">
        <v>1</v>
      </c>
      <c r="E1027" s="32">
        <v>5</v>
      </c>
      <c r="F1027" s="32">
        <v>2</v>
      </c>
      <c r="G1027" s="32">
        <v>2</v>
      </c>
      <c r="H1027" s="31" t="s">
        <v>126</v>
      </c>
      <c r="I1027" s="2">
        <v>57.6</v>
      </c>
      <c r="J1027">
        <v>63.135421269727388</v>
      </c>
      <c r="K1027">
        <v>14.9625</v>
      </c>
      <c r="L1027">
        <v>0</v>
      </c>
      <c r="M1027">
        <v>4</v>
      </c>
    </row>
    <row r="1028" spans="1:13" x14ac:dyDescent="0.25">
      <c r="A1028">
        <v>2025</v>
      </c>
      <c r="B1028" s="31" t="s">
        <v>149</v>
      </c>
      <c r="C1028" s="31" t="s">
        <v>159</v>
      </c>
      <c r="D1028" s="32">
        <v>1</v>
      </c>
      <c r="E1028" s="32">
        <v>4</v>
      </c>
      <c r="F1028" s="32">
        <v>2</v>
      </c>
      <c r="G1028" s="32">
        <v>26</v>
      </c>
      <c r="H1028" s="31" t="s">
        <v>44</v>
      </c>
      <c r="I1028" s="2">
        <v>57.8</v>
      </c>
      <c r="J1028">
        <v>64.987930954088952</v>
      </c>
      <c r="K1028">
        <v>14.6625</v>
      </c>
      <c r="L1028">
        <v>2</v>
      </c>
      <c r="M1028">
        <v>5</v>
      </c>
    </row>
    <row r="1029" spans="1:13" x14ac:dyDescent="0.25">
      <c r="A1029">
        <v>2025</v>
      </c>
      <c r="B1029" s="31" t="s">
        <v>149</v>
      </c>
      <c r="C1029" s="31" t="s">
        <v>159</v>
      </c>
      <c r="D1029" s="32">
        <v>1</v>
      </c>
      <c r="E1029" s="32">
        <v>3</v>
      </c>
      <c r="F1029" s="32">
        <v>2</v>
      </c>
      <c r="G1029" s="32">
        <v>42</v>
      </c>
      <c r="H1029" s="31" t="s">
        <v>34</v>
      </c>
      <c r="I1029" s="2">
        <v>57</v>
      </c>
      <c r="J1029">
        <v>65.842332675753227</v>
      </c>
      <c r="K1029">
        <v>14.362500000000001</v>
      </c>
      <c r="L1029">
        <v>-1</v>
      </c>
      <c r="M1029">
        <v>2</v>
      </c>
    </row>
    <row r="1030" spans="1:13" x14ac:dyDescent="0.25">
      <c r="A1030">
        <v>2025</v>
      </c>
      <c r="B1030" s="31" t="s">
        <v>149</v>
      </c>
      <c r="C1030" s="31" t="s">
        <v>159</v>
      </c>
      <c r="D1030" s="32">
        <v>1</v>
      </c>
      <c r="E1030" s="32">
        <v>2</v>
      </c>
      <c r="F1030" s="32">
        <v>2</v>
      </c>
      <c r="G1030" s="32">
        <v>14</v>
      </c>
      <c r="H1030" s="31" t="s">
        <v>30</v>
      </c>
      <c r="I1030" s="2">
        <v>58.8</v>
      </c>
      <c r="J1030">
        <v>56.239172883787639</v>
      </c>
      <c r="K1030">
        <v>14.262499999999999</v>
      </c>
      <c r="L1030">
        <v>0</v>
      </c>
      <c r="M1030">
        <v>2</v>
      </c>
    </row>
    <row r="1031" spans="1:13" x14ac:dyDescent="0.25">
      <c r="A1031">
        <v>2025</v>
      </c>
      <c r="B1031" s="31" t="s">
        <v>149</v>
      </c>
      <c r="C1031" s="31" t="s">
        <v>159</v>
      </c>
      <c r="D1031" s="32">
        <v>1</v>
      </c>
      <c r="E1031" s="32">
        <v>1</v>
      </c>
      <c r="F1031" s="32">
        <v>2</v>
      </c>
      <c r="G1031" s="32">
        <v>3</v>
      </c>
      <c r="H1031" s="31" t="s">
        <v>122</v>
      </c>
      <c r="I1031" s="2">
        <v>59.6</v>
      </c>
      <c r="J1031">
        <v>48.096789813486374</v>
      </c>
      <c r="K1031">
        <v>14.5625</v>
      </c>
      <c r="L1031">
        <v>1</v>
      </c>
      <c r="M1031">
        <v>1</v>
      </c>
    </row>
    <row r="1032" spans="1:13" x14ac:dyDescent="0.25">
      <c r="A1032">
        <v>2025</v>
      </c>
      <c r="B1032" s="31" t="s">
        <v>149</v>
      </c>
      <c r="C1032" s="31" t="s">
        <v>159</v>
      </c>
      <c r="D1032" s="32">
        <v>2</v>
      </c>
      <c r="E1032" s="32">
        <v>1</v>
      </c>
      <c r="F1032" s="32">
        <v>3</v>
      </c>
      <c r="G1032" s="32">
        <v>58</v>
      </c>
      <c r="H1032" s="31" t="s">
        <v>103</v>
      </c>
      <c r="I1032" s="2">
        <v>56.2</v>
      </c>
      <c r="J1032">
        <v>39.686402982516277</v>
      </c>
      <c r="K1032">
        <v>14.4625</v>
      </c>
      <c r="M1032">
        <v>4</v>
      </c>
    </row>
    <row r="1033" spans="1:13" x14ac:dyDescent="0.25">
      <c r="A1033">
        <v>2025</v>
      </c>
      <c r="B1033" s="31" t="s">
        <v>149</v>
      </c>
      <c r="C1033" s="31" t="s">
        <v>159</v>
      </c>
      <c r="D1033" s="32">
        <v>2</v>
      </c>
      <c r="E1033" s="32">
        <v>2</v>
      </c>
      <c r="F1033" s="32">
        <v>3</v>
      </c>
      <c r="G1033" s="32">
        <v>19</v>
      </c>
      <c r="H1033" s="31" t="s">
        <v>157</v>
      </c>
      <c r="I1033" s="2">
        <v>57.1</v>
      </c>
      <c r="J1033">
        <v>55.212218546451815</v>
      </c>
      <c r="K1033">
        <v>15.0625</v>
      </c>
      <c r="M1033">
        <v>1</v>
      </c>
    </row>
    <row r="1034" spans="1:13" x14ac:dyDescent="0.25">
      <c r="A1034">
        <v>2025</v>
      </c>
      <c r="B1034" s="31" t="s">
        <v>149</v>
      </c>
      <c r="C1034" s="31" t="s">
        <v>159</v>
      </c>
      <c r="D1034" s="32">
        <v>2</v>
      </c>
      <c r="E1034" s="32">
        <v>3</v>
      </c>
      <c r="F1034" s="32">
        <v>3</v>
      </c>
      <c r="G1034" s="32">
        <v>27</v>
      </c>
      <c r="H1034" s="31" t="s">
        <v>35</v>
      </c>
      <c r="I1034" s="2">
        <v>57.3</v>
      </c>
      <c r="J1034">
        <v>64.911503428179614</v>
      </c>
      <c r="K1034">
        <v>13.6625</v>
      </c>
      <c r="M1034">
        <v>2</v>
      </c>
    </row>
    <row r="1035" spans="1:13" x14ac:dyDescent="0.25">
      <c r="A1035">
        <v>2025</v>
      </c>
      <c r="B1035" s="31" t="s">
        <v>149</v>
      </c>
      <c r="C1035" s="31" t="s">
        <v>159</v>
      </c>
      <c r="D1035" s="32">
        <v>2</v>
      </c>
      <c r="E1035" s="32">
        <v>4</v>
      </c>
      <c r="F1035" s="32">
        <v>3</v>
      </c>
      <c r="G1035" s="32">
        <v>47</v>
      </c>
      <c r="H1035" s="31" t="s">
        <v>153</v>
      </c>
      <c r="I1035" s="2">
        <v>58.4</v>
      </c>
      <c r="J1035">
        <v>49.401559993143628</v>
      </c>
      <c r="K1035">
        <v>15.9625</v>
      </c>
      <c r="M1035">
        <v>2</v>
      </c>
    </row>
    <row r="1036" spans="1:13" x14ac:dyDescent="0.25">
      <c r="A1036">
        <v>2025</v>
      </c>
      <c r="B1036" s="31" t="s">
        <v>149</v>
      </c>
      <c r="C1036" s="31" t="s">
        <v>159</v>
      </c>
      <c r="D1036" s="32">
        <v>2</v>
      </c>
      <c r="E1036" s="32">
        <v>5</v>
      </c>
      <c r="F1036" s="32">
        <v>3</v>
      </c>
      <c r="G1036" s="32">
        <v>45</v>
      </c>
      <c r="H1036" s="31" t="s">
        <v>39</v>
      </c>
      <c r="I1036" s="2">
        <v>56.3</v>
      </c>
      <c r="J1036">
        <v>49.006306650668492</v>
      </c>
      <c r="K1036">
        <v>15.5625</v>
      </c>
      <c r="M1036">
        <v>3</v>
      </c>
    </row>
    <row r="1037" spans="1:13" x14ac:dyDescent="0.25">
      <c r="A1037">
        <v>2025</v>
      </c>
      <c r="B1037" s="31" t="s">
        <v>149</v>
      </c>
      <c r="C1037" s="31" t="s">
        <v>159</v>
      </c>
      <c r="D1037" s="32">
        <v>2</v>
      </c>
      <c r="E1037" s="32">
        <v>6</v>
      </c>
      <c r="F1037" s="32">
        <v>3</v>
      </c>
      <c r="G1037" s="32">
        <v>39</v>
      </c>
      <c r="H1037" s="31" t="s">
        <v>22</v>
      </c>
      <c r="I1037" s="2">
        <v>56.6</v>
      </c>
      <c r="J1037">
        <v>55.714588961261562</v>
      </c>
      <c r="K1037">
        <v>15.762499999999999</v>
      </c>
      <c r="M1037">
        <v>5</v>
      </c>
    </row>
    <row r="1038" spans="1:13" x14ac:dyDescent="0.25">
      <c r="A1038">
        <v>2025</v>
      </c>
      <c r="B1038" s="31" t="s">
        <v>149</v>
      </c>
      <c r="C1038" s="31" t="s">
        <v>159</v>
      </c>
      <c r="D1038" s="32">
        <v>2</v>
      </c>
      <c r="E1038" s="32">
        <v>7</v>
      </c>
      <c r="F1038" s="32">
        <v>3</v>
      </c>
      <c r="G1038" s="32">
        <v>20</v>
      </c>
      <c r="H1038" s="31" t="s">
        <v>24</v>
      </c>
      <c r="I1038" s="2">
        <v>55.2</v>
      </c>
      <c r="J1038">
        <v>66.701812821391826</v>
      </c>
      <c r="K1038">
        <v>15.5625</v>
      </c>
      <c r="M1038">
        <v>2</v>
      </c>
    </row>
    <row r="1039" spans="1:13" x14ac:dyDescent="0.25">
      <c r="A1039">
        <v>2025</v>
      </c>
      <c r="B1039" s="31" t="s">
        <v>149</v>
      </c>
      <c r="C1039" s="31" t="s">
        <v>159</v>
      </c>
      <c r="D1039" s="32">
        <v>2</v>
      </c>
      <c r="E1039" s="32">
        <v>8</v>
      </c>
      <c r="F1039" s="32">
        <v>3</v>
      </c>
      <c r="G1039" s="32">
        <v>10</v>
      </c>
      <c r="H1039" s="31" t="s">
        <v>91</v>
      </c>
      <c r="I1039" s="2">
        <v>54.6</v>
      </c>
      <c r="J1039">
        <v>54.639215461090146</v>
      </c>
      <c r="K1039">
        <v>16.762499999999999</v>
      </c>
      <c r="M1039">
        <v>4</v>
      </c>
    </row>
    <row r="1040" spans="1:13" x14ac:dyDescent="0.25">
      <c r="A1040">
        <v>2025</v>
      </c>
      <c r="B1040" s="31" t="s">
        <v>149</v>
      </c>
      <c r="C1040" s="31" t="s">
        <v>159</v>
      </c>
      <c r="D1040" s="32">
        <v>2</v>
      </c>
      <c r="E1040" s="32">
        <v>9</v>
      </c>
      <c r="F1040" s="32">
        <v>3</v>
      </c>
      <c r="G1040" s="32">
        <v>22</v>
      </c>
      <c r="H1040" s="31" t="s">
        <v>28</v>
      </c>
      <c r="I1040" s="2">
        <v>57.6</v>
      </c>
      <c r="J1040">
        <v>69.106219746314679</v>
      </c>
      <c r="K1040">
        <v>15.762499999999999</v>
      </c>
      <c r="M1040">
        <v>3</v>
      </c>
    </row>
    <row r="1041" spans="1:13" x14ac:dyDescent="0.25">
      <c r="A1041">
        <v>2025</v>
      </c>
      <c r="B1041" s="31" t="s">
        <v>149</v>
      </c>
      <c r="C1041" s="31" t="s">
        <v>159</v>
      </c>
      <c r="D1041" s="32">
        <v>2</v>
      </c>
      <c r="E1041" s="32">
        <v>10</v>
      </c>
      <c r="F1041" s="32">
        <v>3</v>
      </c>
      <c r="G1041" s="32">
        <v>57</v>
      </c>
      <c r="H1041" s="31" t="s">
        <v>43</v>
      </c>
      <c r="I1041" s="2">
        <v>57.8</v>
      </c>
      <c r="J1041">
        <v>69.514375557079177</v>
      </c>
      <c r="K1041">
        <v>13.262499999999999</v>
      </c>
      <c r="M1041">
        <v>5</v>
      </c>
    </row>
    <row r="1042" spans="1:13" x14ac:dyDescent="0.25">
      <c r="A1042">
        <v>2025</v>
      </c>
      <c r="B1042" s="31" t="s">
        <v>149</v>
      </c>
      <c r="C1042" s="31" t="s">
        <v>159</v>
      </c>
      <c r="D1042" s="32">
        <v>2</v>
      </c>
      <c r="E1042" s="32">
        <v>11</v>
      </c>
      <c r="F1042" s="32">
        <v>3</v>
      </c>
      <c r="G1042" s="32">
        <v>1</v>
      </c>
      <c r="H1042" s="31" t="s">
        <v>120</v>
      </c>
      <c r="I1042" s="2">
        <v>55</v>
      </c>
      <c r="J1042">
        <v>59.657625128556731</v>
      </c>
      <c r="K1042">
        <v>15.362500000000001</v>
      </c>
      <c r="M1042">
        <v>2</v>
      </c>
    </row>
    <row r="1043" spans="1:13" x14ac:dyDescent="0.25">
      <c r="A1043">
        <v>2025</v>
      </c>
      <c r="B1043" s="31" t="s">
        <v>149</v>
      </c>
      <c r="C1043" s="31" t="s">
        <v>159</v>
      </c>
      <c r="D1043" s="32">
        <v>2</v>
      </c>
      <c r="E1043" s="32">
        <v>12</v>
      </c>
      <c r="F1043" s="32">
        <v>3</v>
      </c>
      <c r="G1043" s="32">
        <v>9</v>
      </c>
      <c r="H1043" s="31" t="s">
        <v>94</v>
      </c>
      <c r="I1043" s="2">
        <v>58.3</v>
      </c>
      <c r="J1043">
        <v>42.157856359273211</v>
      </c>
      <c r="K1043">
        <v>15.1625</v>
      </c>
      <c r="M1043">
        <v>5</v>
      </c>
    </row>
    <row r="1044" spans="1:13" x14ac:dyDescent="0.25">
      <c r="A1044">
        <v>2025</v>
      </c>
      <c r="B1044" s="31" t="s">
        <v>149</v>
      </c>
      <c r="C1044" s="31" t="s">
        <v>159</v>
      </c>
      <c r="D1044" s="32">
        <v>2</v>
      </c>
      <c r="E1044" s="32">
        <v>13</v>
      </c>
      <c r="F1044" s="32">
        <v>3</v>
      </c>
      <c r="G1044" s="32">
        <v>5</v>
      </c>
      <c r="H1044" s="31" t="s">
        <v>128</v>
      </c>
      <c r="I1044" s="2">
        <v>57</v>
      </c>
      <c r="J1044">
        <v>38.856108501885494</v>
      </c>
      <c r="K1044">
        <v>14.6625</v>
      </c>
      <c r="M1044">
        <v>1</v>
      </c>
    </row>
    <row r="1045" spans="1:13" x14ac:dyDescent="0.25">
      <c r="A1045">
        <v>2025</v>
      </c>
      <c r="B1045" s="31" t="s">
        <v>149</v>
      </c>
      <c r="C1045" s="31" t="s">
        <v>159</v>
      </c>
      <c r="D1045" s="32">
        <v>2</v>
      </c>
      <c r="E1045" s="32">
        <v>14</v>
      </c>
      <c r="F1045" s="32">
        <v>3</v>
      </c>
      <c r="G1045" s="32">
        <v>32</v>
      </c>
      <c r="H1045" s="31" t="s">
        <v>25</v>
      </c>
      <c r="I1045" s="2">
        <v>58.5</v>
      </c>
      <c r="J1045">
        <v>41.657007541995192</v>
      </c>
      <c r="K1045">
        <v>14.4625</v>
      </c>
      <c r="M1045">
        <v>3</v>
      </c>
    </row>
    <row r="1046" spans="1:13" x14ac:dyDescent="0.25">
      <c r="A1046">
        <v>2025</v>
      </c>
      <c r="B1046" s="31" t="s">
        <v>149</v>
      </c>
      <c r="C1046" s="31" t="s">
        <v>159</v>
      </c>
      <c r="D1046" s="32">
        <v>2</v>
      </c>
      <c r="E1046" s="32">
        <v>15</v>
      </c>
      <c r="F1046" s="32">
        <v>3</v>
      </c>
      <c r="G1046" s="32">
        <v>14</v>
      </c>
      <c r="H1046" s="31" t="s">
        <v>30</v>
      </c>
      <c r="I1046" s="2">
        <v>58.2</v>
      </c>
      <c r="J1046">
        <v>29.536753513884122</v>
      </c>
      <c r="K1046">
        <v>14.762499999999999</v>
      </c>
      <c r="M1046">
        <v>2</v>
      </c>
    </row>
    <row r="1047" spans="1:13" x14ac:dyDescent="0.25">
      <c r="A1047">
        <v>2025</v>
      </c>
      <c r="B1047" s="31" t="s">
        <v>149</v>
      </c>
      <c r="C1047" s="31" t="s">
        <v>159</v>
      </c>
      <c r="D1047" s="32">
        <v>2</v>
      </c>
      <c r="E1047" s="32">
        <v>16</v>
      </c>
      <c r="F1047" s="32">
        <v>3</v>
      </c>
      <c r="G1047" s="32">
        <v>42</v>
      </c>
      <c r="H1047" s="31" t="s">
        <v>34</v>
      </c>
      <c r="I1047" s="2">
        <v>59.3</v>
      </c>
      <c r="J1047">
        <v>34.693594617757959</v>
      </c>
      <c r="K1047">
        <v>14.762499999999999</v>
      </c>
      <c r="M1047">
        <v>2</v>
      </c>
    </row>
    <row r="1048" spans="1:13" x14ac:dyDescent="0.25">
      <c r="A1048">
        <v>2025</v>
      </c>
      <c r="B1048" s="31" t="s">
        <v>149</v>
      </c>
      <c r="C1048" s="31" t="s">
        <v>159</v>
      </c>
      <c r="D1048" s="32">
        <v>2</v>
      </c>
      <c r="E1048" s="32">
        <v>17</v>
      </c>
      <c r="F1048" s="32">
        <v>3</v>
      </c>
      <c r="G1048" s="32">
        <v>8</v>
      </c>
      <c r="H1048" s="31" t="s">
        <v>118</v>
      </c>
      <c r="I1048" s="2">
        <v>56.9</v>
      </c>
      <c r="J1048">
        <v>41.086046451834072</v>
      </c>
      <c r="K1048">
        <v>14.6625</v>
      </c>
      <c r="M1048">
        <v>1</v>
      </c>
    </row>
    <row r="1049" spans="1:13" x14ac:dyDescent="0.25">
      <c r="A1049">
        <v>2025</v>
      </c>
      <c r="B1049" s="31" t="s">
        <v>149</v>
      </c>
      <c r="C1049" s="31" t="s">
        <v>159</v>
      </c>
      <c r="D1049" s="32">
        <v>2</v>
      </c>
      <c r="E1049" s="32">
        <v>18</v>
      </c>
      <c r="F1049" s="32">
        <v>3</v>
      </c>
      <c r="G1049" s="32">
        <v>6</v>
      </c>
      <c r="H1049" s="31" t="s">
        <v>119</v>
      </c>
      <c r="I1049" s="2">
        <v>60.6</v>
      </c>
      <c r="J1049">
        <v>33.978262769969135</v>
      </c>
      <c r="K1049">
        <v>15.862500000000001</v>
      </c>
      <c r="M1049">
        <v>1</v>
      </c>
    </row>
    <row r="1050" spans="1:13" x14ac:dyDescent="0.25">
      <c r="A1050">
        <v>2025</v>
      </c>
      <c r="B1050" s="31" t="s">
        <v>149</v>
      </c>
      <c r="C1050" s="31" t="s">
        <v>159</v>
      </c>
      <c r="D1050" s="32">
        <v>2</v>
      </c>
      <c r="E1050" s="32">
        <v>19</v>
      </c>
      <c r="F1050" s="32">
        <v>3</v>
      </c>
      <c r="G1050" s="32">
        <v>40</v>
      </c>
      <c r="H1050" s="31" t="s">
        <v>121</v>
      </c>
      <c r="I1050" s="2">
        <v>57.7</v>
      </c>
      <c r="J1050">
        <v>49.000231573534442</v>
      </c>
      <c r="K1050">
        <v>14.6625</v>
      </c>
      <c r="M1050">
        <v>2</v>
      </c>
    </row>
    <row r="1051" spans="1:13" x14ac:dyDescent="0.25">
      <c r="A1051">
        <v>2025</v>
      </c>
      <c r="B1051" s="31" t="s">
        <v>149</v>
      </c>
      <c r="C1051" s="31" t="s">
        <v>159</v>
      </c>
      <c r="D1051" s="32">
        <v>2</v>
      </c>
      <c r="E1051" s="32">
        <v>20</v>
      </c>
      <c r="F1051" s="32">
        <v>3</v>
      </c>
      <c r="G1051" s="32">
        <v>15</v>
      </c>
      <c r="H1051" s="31" t="s">
        <v>31</v>
      </c>
      <c r="I1051" s="2">
        <v>56.7</v>
      </c>
      <c r="J1051">
        <v>59.327528968117925</v>
      </c>
      <c r="K1051">
        <v>13.1625</v>
      </c>
      <c r="M1051">
        <v>1</v>
      </c>
    </row>
    <row r="1052" spans="1:13" x14ac:dyDescent="0.25">
      <c r="A1052">
        <v>2025</v>
      </c>
      <c r="B1052" s="31" t="s">
        <v>149</v>
      </c>
      <c r="C1052" s="31" t="s">
        <v>159</v>
      </c>
      <c r="D1052" s="32">
        <v>2</v>
      </c>
      <c r="E1052" s="32">
        <v>21</v>
      </c>
      <c r="F1052" s="32">
        <v>3</v>
      </c>
      <c r="G1052" s="32">
        <v>37</v>
      </c>
      <c r="H1052" s="31" t="s">
        <v>89</v>
      </c>
      <c r="I1052" s="12">
        <v>58.7</v>
      </c>
      <c r="J1052">
        <v>60.703121014741164</v>
      </c>
      <c r="K1052">
        <v>15.5625</v>
      </c>
      <c r="M1052">
        <v>5</v>
      </c>
    </row>
    <row r="1053" spans="1:13" x14ac:dyDescent="0.25">
      <c r="A1053">
        <v>2025</v>
      </c>
      <c r="B1053" s="31" t="s">
        <v>149</v>
      </c>
      <c r="C1053" s="31" t="s">
        <v>159</v>
      </c>
      <c r="D1053" s="32">
        <v>2</v>
      </c>
      <c r="E1053" s="32">
        <v>22</v>
      </c>
      <c r="F1053" s="32">
        <v>3</v>
      </c>
      <c r="G1053" s="32">
        <v>4</v>
      </c>
      <c r="H1053" s="31" t="s">
        <v>117</v>
      </c>
      <c r="I1053" s="12">
        <v>57.7</v>
      </c>
      <c r="J1053">
        <v>53.547698320191955</v>
      </c>
      <c r="K1053">
        <v>13.762499999999999</v>
      </c>
      <c r="M1053">
        <v>1</v>
      </c>
    </row>
    <row r="1054" spans="1:13" x14ac:dyDescent="0.25">
      <c r="A1054">
        <v>2025</v>
      </c>
      <c r="B1054" s="31" t="s">
        <v>149</v>
      </c>
      <c r="C1054" s="31" t="s">
        <v>159</v>
      </c>
      <c r="D1054" s="32">
        <v>2</v>
      </c>
      <c r="E1054" s="32">
        <v>23</v>
      </c>
      <c r="F1054" s="32">
        <v>3</v>
      </c>
      <c r="G1054" s="32">
        <v>24</v>
      </c>
      <c r="H1054" s="31" t="s">
        <v>40</v>
      </c>
      <c r="I1054" s="12">
        <v>56.3</v>
      </c>
      <c r="J1054">
        <v>68.052165581076437</v>
      </c>
      <c r="K1054">
        <v>14.0625</v>
      </c>
      <c r="M1054">
        <v>4</v>
      </c>
    </row>
    <row r="1055" spans="1:13" x14ac:dyDescent="0.25">
      <c r="A1055">
        <v>2025</v>
      </c>
      <c r="B1055" s="31" t="s">
        <v>149</v>
      </c>
      <c r="C1055" s="31" t="s">
        <v>159</v>
      </c>
      <c r="D1055" s="32">
        <v>2</v>
      </c>
      <c r="E1055" s="32">
        <v>24</v>
      </c>
      <c r="F1055" s="32">
        <v>3</v>
      </c>
      <c r="G1055" s="32">
        <v>31</v>
      </c>
      <c r="H1055" s="31" t="s">
        <v>36</v>
      </c>
      <c r="I1055" s="12">
        <v>58.1</v>
      </c>
      <c r="J1055">
        <v>55.282681522111744</v>
      </c>
      <c r="K1055">
        <v>14.262499999999999</v>
      </c>
      <c r="M1055">
        <v>1</v>
      </c>
    </row>
    <row r="1056" spans="1:13" x14ac:dyDescent="0.25">
      <c r="A1056">
        <v>2025</v>
      </c>
      <c r="B1056" s="31" t="s">
        <v>149</v>
      </c>
      <c r="C1056" s="31" t="s">
        <v>159</v>
      </c>
      <c r="D1056" s="32">
        <v>2</v>
      </c>
      <c r="E1056" s="32">
        <v>25</v>
      </c>
      <c r="F1056" s="32">
        <v>3</v>
      </c>
      <c r="G1056" s="32">
        <v>13</v>
      </c>
      <c r="H1056" s="31" t="s">
        <v>93</v>
      </c>
      <c r="I1056" s="12">
        <v>57.9</v>
      </c>
      <c r="J1056">
        <v>49.770601131299266</v>
      </c>
      <c r="K1056">
        <v>14.6625</v>
      </c>
      <c r="M1056">
        <v>2</v>
      </c>
    </row>
    <row r="1057" spans="1:13" x14ac:dyDescent="0.25">
      <c r="A1057">
        <v>2025</v>
      </c>
      <c r="B1057" s="31" t="s">
        <v>149</v>
      </c>
      <c r="C1057" s="31" t="s">
        <v>159</v>
      </c>
      <c r="D1057" s="32">
        <v>2</v>
      </c>
      <c r="E1057" s="32">
        <v>26</v>
      </c>
      <c r="F1057" s="32">
        <v>3</v>
      </c>
      <c r="G1057" s="32">
        <v>30</v>
      </c>
      <c r="H1057" s="31" t="s">
        <v>21</v>
      </c>
      <c r="I1057" s="12">
        <v>59.8</v>
      </c>
      <c r="J1057">
        <v>57.864572334590314</v>
      </c>
      <c r="K1057">
        <v>14.1625</v>
      </c>
      <c r="M1057">
        <v>2</v>
      </c>
    </row>
    <row r="1058" spans="1:13" x14ac:dyDescent="0.25">
      <c r="A1058">
        <v>2025</v>
      </c>
      <c r="B1058" s="31" t="s">
        <v>149</v>
      </c>
      <c r="C1058" s="31" t="s">
        <v>159</v>
      </c>
      <c r="D1058" s="32">
        <v>2</v>
      </c>
      <c r="E1058" s="32">
        <v>26</v>
      </c>
      <c r="F1058" s="32">
        <v>4</v>
      </c>
      <c r="G1058" s="32">
        <v>46</v>
      </c>
      <c r="H1058" s="31" t="s">
        <v>127</v>
      </c>
      <c r="I1058" s="2">
        <v>58.6</v>
      </c>
      <c r="J1058">
        <v>51.695344771241835</v>
      </c>
      <c r="K1058">
        <v>14.362500000000001</v>
      </c>
      <c r="M1058">
        <v>4</v>
      </c>
    </row>
    <row r="1059" spans="1:13" x14ac:dyDescent="0.25">
      <c r="A1059">
        <v>2025</v>
      </c>
      <c r="B1059" s="31" t="s">
        <v>149</v>
      </c>
      <c r="C1059" s="31" t="s">
        <v>159</v>
      </c>
      <c r="D1059" s="32">
        <v>2</v>
      </c>
      <c r="E1059" s="32">
        <v>25</v>
      </c>
      <c r="F1059" s="32">
        <v>4</v>
      </c>
      <c r="G1059" s="32">
        <v>16</v>
      </c>
      <c r="H1059" s="31" t="s">
        <v>32</v>
      </c>
      <c r="I1059" s="2">
        <v>59.9</v>
      </c>
      <c r="J1059">
        <v>55.133443899782137</v>
      </c>
      <c r="K1059">
        <v>13.9625</v>
      </c>
      <c r="M1059">
        <v>5</v>
      </c>
    </row>
    <row r="1060" spans="1:13" x14ac:dyDescent="0.25">
      <c r="A1060">
        <v>2025</v>
      </c>
      <c r="B1060" s="31" t="s">
        <v>149</v>
      </c>
      <c r="C1060" s="31" t="s">
        <v>159</v>
      </c>
      <c r="D1060" s="32">
        <v>2</v>
      </c>
      <c r="E1060" s="32">
        <v>24</v>
      </c>
      <c r="F1060" s="32">
        <v>4</v>
      </c>
      <c r="G1060" s="32">
        <v>12</v>
      </c>
      <c r="H1060" s="31" t="s">
        <v>92</v>
      </c>
      <c r="I1060" s="14">
        <v>57.7</v>
      </c>
      <c r="J1060">
        <v>55.119957516339873</v>
      </c>
      <c r="K1060">
        <v>13.9625</v>
      </c>
      <c r="M1060">
        <v>1</v>
      </c>
    </row>
    <row r="1061" spans="1:13" x14ac:dyDescent="0.25">
      <c r="A1061">
        <v>2025</v>
      </c>
      <c r="B1061" s="31" t="s">
        <v>149</v>
      </c>
      <c r="C1061" s="31" t="s">
        <v>159</v>
      </c>
      <c r="D1061" s="32">
        <v>2</v>
      </c>
      <c r="E1061" s="32">
        <v>23</v>
      </c>
      <c r="F1061" s="32">
        <v>4</v>
      </c>
      <c r="G1061" s="32">
        <v>48</v>
      </c>
      <c r="H1061" s="31" t="s">
        <v>152</v>
      </c>
      <c r="I1061" s="2">
        <v>58</v>
      </c>
      <c r="J1061">
        <v>44.476067538126358</v>
      </c>
      <c r="K1061">
        <v>15.5625</v>
      </c>
      <c r="M1061">
        <v>1</v>
      </c>
    </row>
    <row r="1062" spans="1:13" x14ac:dyDescent="0.25">
      <c r="A1062">
        <v>2025</v>
      </c>
      <c r="B1062" s="31" t="s">
        <v>149</v>
      </c>
      <c r="C1062" s="31" t="s">
        <v>159</v>
      </c>
      <c r="D1062" s="32">
        <v>2</v>
      </c>
      <c r="E1062" s="32">
        <v>22</v>
      </c>
      <c r="F1062" s="32">
        <v>4</v>
      </c>
      <c r="G1062" s="32">
        <v>43</v>
      </c>
      <c r="H1062" s="31" t="s">
        <v>125</v>
      </c>
      <c r="I1062" s="2">
        <v>56.5</v>
      </c>
      <c r="J1062">
        <v>65.411452069716773</v>
      </c>
      <c r="K1062">
        <v>14.362500000000001</v>
      </c>
      <c r="M1062">
        <v>2</v>
      </c>
    </row>
    <row r="1063" spans="1:13" x14ac:dyDescent="0.25">
      <c r="A1063">
        <v>2025</v>
      </c>
      <c r="B1063" s="31" t="s">
        <v>149</v>
      </c>
      <c r="C1063" s="31" t="s">
        <v>159</v>
      </c>
      <c r="D1063" s="32">
        <v>2</v>
      </c>
      <c r="E1063" s="32">
        <v>21</v>
      </c>
      <c r="F1063" s="32">
        <v>4</v>
      </c>
      <c r="G1063" s="32">
        <v>38</v>
      </c>
      <c r="H1063" s="31" t="s">
        <v>23</v>
      </c>
      <c r="I1063" s="2">
        <v>59.3</v>
      </c>
      <c r="J1063">
        <v>64.526263616557756</v>
      </c>
      <c r="K1063">
        <v>13.9625</v>
      </c>
      <c r="M1063">
        <v>2</v>
      </c>
    </row>
    <row r="1064" spans="1:13" x14ac:dyDescent="0.25">
      <c r="A1064">
        <v>2025</v>
      </c>
      <c r="B1064" s="31" t="s">
        <v>149</v>
      </c>
      <c r="C1064" s="31" t="s">
        <v>159</v>
      </c>
      <c r="D1064" s="32">
        <v>2</v>
      </c>
      <c r="E1064" s="32">
        <v>20</v>
      </c>
      <c r="F1064" s="32">
        <v>4</v>
      </c>
      <c r="G1064" s="32">
        <v>26</v>
      </c>
      <c r="H1064" s="31" t="s">
        <v>44</v>
      </c>
      <c r="I1064" s="2">
        <v>59</v>
      </c>
      <c r="J1064">
        <v>64.492826252723304</v>
      </c>
      <c r="K1064">
        <v>13.9625</v>
      </c>
      <c r="M1064">
        <v>5</v>
      </c>
    </row>
    <row r="1065" spans="1:13" x14ac:dyDescent="0.25">
      <c r="A1065">
        <v>2025</v>
      </c>
      <c r="B1065" s="31" t="s">
        <v>149</v>
      </c>
      <c r="C1065" s="31" t="s">
        <v>159</v>
      </c>
      <c r="D1065" s="32">
        <v>2</v>
      </c>
      <c r="E1065" s="32">
        <v>19</v>
      </c>
      <c r="F1065" s="32">
        <v>4</v>
      </c>
      <c r="G1065" s="32">
        <v>44</v>
      </c>
      <c r="H1065" s="31" t="s">
        <v>123</v>
      </c>
      <c r="I1065" s="2">
        <v>56.3</v>
      </c>
      <c r="J1065">
        <v>50.440829520697179</v>
      </c>
      <c r="K1065">
        <v>13.4625</v>
      </c>
      <c r="M1065">
        <v>3</v>
      </c>
    </row>
    <row r="1066" spans="1:13" x14ac:dyDescent="0.25">
      <c r="A1066">
        <v>2025</v>
      </c>
      <c r="B1066" s="31" t="s">
        <v>149</v>
      </c>
      <c r="C1066" s="31" t="s">
        <v>159</v>
      </c>
      <c r="D1066" s="32">
        <v>2</v>
      </c>
      <c r="E1066" s="32">
        <v>18</v>
      </c>
      <c r="F1066" s="32">
        <v>4</v>
      </c>
      <c r="G1066" s="32">
        <v>2</v>
      </c>
      <c r="H1066" s="31" t="s">
        <v>126</v>
      </c>
      <c r="I1066" s="14">
        <v>59.4</v>
      </c>
      <c r="J1066">
        <v>37.234065359477121</v>
      </c>
      <c r="K1066">
        <v>13.9625</v>
      </c>
      <c r="M1066">
        <v>4</v>
      </c>
    </row>
    <row r="1067" spans="1:13" x14ac:dyDescent="0.25">
      <c r="A1067">
        <v>2025</v>
      </c>
      <c r="B1067" s="31" t="s">
        <v>149</v>
      </c>
      <c r="C1067" s="31" t="s">
        <v>159</v>
      </c>
      <c r="D1067" s="32">
        <v>2</v>
      </c>
      <c r="E1067" s="32">
        <v>17</v>
      </c>
      <c r="F1067" s="32">
        <v>4</v>
      </c>
      <c r="G1067" s="32">
        <v>35</v>
      </c>
      <c r="H1067" s="31" t="s">
        <v>129</v>
      </c>
      <c r="I1067" s="2">
        <v>56.9</v>
      </c>
      <c r="J1067">
        <v>36.137522331154685</v>
      </c>
      <c r="K1067">
        <v>14.5625</v>
      </c>
      <c r="M1067">
        <v>3</v>
      </c>
    </row>
    <row r="1068" spans="1:13" x14ac:dyDescent="0.25">
      <c r="A1068">
        <v>2025</v>
      </c>
      <c r="B1068" s="31" t="s">
        <v>149</v>
      </c>
      <c r="C1068" s="31" t="s">
        <v>159</v>
      </c>
      <c r="D1068" s="32">
        <v>2</v>
      </c>
      <c r="E1068" s="32">
        <v>16</v>
      </c>
      <c r="F1068" s="32">
        <v>4</v>
      </c>
      <c r="G1068" s="32">
        <v>29</v>
      </c>
      <c r="H1068" s="31" t="s">
        <v>27</v>
      </c>
      <c r="I1068" s="2">
        <v>59.6</v>
      </c>
      <c r="J1068">
        <v>41.022415032679739</v>
      </c>
      <c r="K1068">
        <v>14.262499999999999</v>
      </c>
      <c r="M1068">
        <v>5</v>
      </c>
    </row>
    <row r="1069" spans="1:13" x14ac:dyDescent="0.25">
      <c r="A1069">
        <v>2025</v>
      </c>
      <c r="B1069" s="31" t="s">
        <v>149</v>
      </c>
      <c r="C1069" s="31" t="s">
        <v>159</v>
      </c>
      <c r="D1069" s="32">
        <v>2</v>
      </c>
      <c r="E1069" s="32">
        <v>15</v>
      </c>
      <c r="F1069" s="32">
        <v>4</v>
      </c>
      <c r="G1069" s="32">
        <v>25</v>
      </c>
      <c r="H1069" s="31" t="s">
        <v>130</v>
      </c>
      <c r="I1069" s="2">
        <v>58</v>
      </c>
      <c r="J1069">
        <v>35.656416122004359</v>
      </c>
      <c r="K1069">
        <v>13.5625</v>
      </c>
      <c r="M1069">
        <v>4</v>
      </c>
    </row>
    <row r="1070" spans="1:13" x14ac:dyDescent="0.25">
      <c r="A1070">
        <v>2025</v>
      </c>
      <c r="B1070" s="31" t="s">
        <v>149</v>
      </c>
      <c r="C1070" s="31" t="s">
        <v>159</v>
      </c>
      <c r="D1070" s="32">
        <v>2</v>
      </c>
      <c r="E1070" s="32">
        <v>14</v>
      </c>
      <c r="F1070" s="32">
        <v>4</v>
      </c>
      <c r="G1070" s="32">
        <v>3</v>
      </c>
      <c r="H1070" s="31" t="s">
        <v>122</v>
      </c>
      <c r="I1070" s="2">
        <v>60</v>
      </c>
      <c r="J1070">
        <v>46.061535403050108</v>
      </c>
      <c r="K1070">
        <v>13.862500000000001</v>
      </c>
      <c r="M1070">
        <v>1</v>
      </c>
    </row>
    <row r="1071" spans="1:13" x14ac:dyDescent="0.25">
      <c r="A1071">
        <v>2025</v>
      </c>
      <c r="B1071" s="31" t="s">
        <v>149</v>
      </c>
      <c r="C1071" s="31" t="s">
        <v>159</v>
      </c>
      <c r="D1071" s="32">
        <v>2</v>
      </c>
      <c r="E1071" s="32">
        <v>13</v>
      </c>
      <c r="F1071" s="32">
        <v>4</v>
      </c>
      <c r="G1071" s="32">
        <v>49</v>
      </c>
      <c r="H1071" s="31" t="s">
        <v>151</v>
      </c>
      <c r="I1071" s="2">
        <v>56.5</v>
      </c>
      <c r="J1071">
        <v>42.012091503267982</v>
      </c>
      <c r="K1071">
        <v>15.0625</v>
      </c>
      <c r="M1071">
        <v>1</v>
      </c>
    </row>
    <row r="1072" spans="1:13" x14ac:dyDescent="0.25">
      <c r="A1072">
        <v>2025</v>
      </c>
      <c r="B1072" s="31" t="s">
        <v>149</v>
      </c>
      <c r="C1072" s="31" t="s">
        <v>159</v>
      </c>
      <c r="D1072" s="32">
        <v>2</v>
      </c>
      <c r="E1072" s="32">
        <v>12</v>
      </c>
      <c r="F1072" s="32">
        <v>4</v>
      </c>
      <c r="G1072" s="32">
        <v>34</v>
      </c>
      <c r="H1072" s="31" t="s">
        <v>42</v>
      </c>
      <c r="I1072" s="2">
        <v>58.7</v>
      </c>
      <c r="J1072">
        <v>60.530843137254912</v>
      </c>
      <c r="K1072">
        <v>13.262499999999999</v>
      </c>
      <c r="M1072">
        <v>4</v>
      </c>
    </row>
    <row r="1073" spans="1:13" x14ac:dyDescent="0.25">
      <c r="A1073">
        <v>2025</v>
      </c>
      <c r="B1073" s="31" t="s">
        <v>149</v>
      </c>
      <c r="C1073" s="31" t="s">
        <v>159</v>
      </c>
      <c r="D1073" s="32">
        <v>2</v>
      </c>
      <c r="E1073" s="32">
        <v>11</v>
      </c>
      <c r="F1073" s="32">
        <v>4</v>
      </c>
      <c r="G1073" s="32">
        <v>28</v>
      </c>
      <c r="H1073" s="31" t="s">
        <v>38</v>
      </c>
      <c r="I1073" s="2">
        <v>57.6</v>
      </c>
      <c r="J1073">
        <v>80.926874183006547</v>
      </c>
      <c r="K1073">
        <v>12.4625</v>
      </c>
      <c r="M1073">
        <v>5</v>
      </c>
    </row>
    <row r="1074" spans="1:13" x14ac:dyDescent="0.25">
      <c r="A1074">
        <v>2025</v>
      </c>
      <c r="B1074" s="31" t="s">
        <v>149</v>
      </c>
      <c r="C1074" s="31" t="s">
        <v>159</v>
      </c>
      <c r="D1074" s="32">
        <v>2</v>
      </c>
      <c r="E1074" s="32">
        <v>10</v>
      </c>
      <c r="F1074" s="32">
        <v>4</v>
      </c>
      <c r="G1074" s="32">
        <v>23</v>
      </c>
      <c r="H1074" s="31" t="s">
        <v>37</v>
      </c>
      <c r="I1074" s="2">
        <v>59.7</v>
      </c>
      <c r="J1074">
        <v>77.942638888888908</v>
      </c>
      <c r="K1074">
        <v>12.4625</v>
      </c>
      <c r="M1074">
        <v>5</v>
      </c>
    </row>
    <row r="1075" spans="1:13" x14ac:dyDescent="0.25">
      <c r="A1075">
        <v>2025</v>
      </c>
      <c r="B1075" s="31" t="s">
        <v>149</v>
      </c>
      <c r="C1075" s="31" t="s">
        <v>159</v>
      </c>
      <c r="D1075" s="32">
        <v>2</v>
      </c>
      <c r="E1075" s="32">
        <v>9</v>
      </c>
      <c r="F1075" s="32">
        <v>4</v>
      </c>
      <c r="G1075" s="32">
        <v>11</v>
      </c>
      <c r="H1075" s="31" t="s">
        <v>90</v>
      </c>
      <c r="I1075" s="2">
        <v>60.4</v>
      </c>
      <c r="J1075">
        <v>86.70678104575164</v>
      </c>
      <c r="K1075">
        <v>11.862500000000001</v>
      </c>
      <c r="M1075">
        <v>6</v>
      </c>
    </row>
    <row r="1076" spans="1:13" x14ac:dyDescent="0.25">
      <c r="A1076">
        <v>2025</v>
      </c>
      <c r="B1076" s="31" t="s">
        <v>149</v>
      </c>
      <c r="C1076" s="31" t="s">
        <v>159</v>
      </c>
      <c r="D1076" s="32">
        <v>2</v>
      </c>
      <c r="E1076" s="32">
        <v>8</v>
      </c>
      <c r="F1076" s="32">
        <v>4</v>
      </c>
      <c r="G1076" s="32">
        <v>60</v>
      </c>
      <c r="H1076" s="31" t="s">
        <v>154</v>
      </c>
      <c r="I1076" s="2">
        <v>59.4</v>
      </c>
      <c r="J1076">
        <v>54.938888888888897</v>
      </c>
      <c r="K1076">
        <v>15.5625</v>
      </c>
      <c r="M1076">
        <v>2</v>
      </c>
    </row>
    <row r="1077" spans="1:13" x14ac:dyDescent="0.25">
      <c r="A1077">
        <v>2025</v>
      </c>
      <c r="B1077" s="31" t="s">
        <v>149</v>
      </c>
      <c r="C1077" s="31" t="s">
        <v>159</v>
      </c>
      <c r="D1077" s="32">
        <v>2</v>
      </c>
      <c r="E1077" s="32">
        <v>7</v>
      </c>
      <c r="F1077" s="32">
        <v>4</v>
      </c>
      <c r="G1077" s="32">
        <v>33</v>
      </c>
      <c r="H1077" s="31" t="s">
        <v>41</v>
      </c>
      <c r="I1077" s="2">
        <v>57.5</v>
      </c>
      <c r="J1077">
        <v>81.186830065359487</v>
      </c>
      <c r="K1077">
        <v>14.0625</v>
      </c>
      <c r="M1077">
        <v>4</v>
      </c>
    </row>
    <row r="1078" spans="1:13" x14ac:dyDescent="0.25">
      <c r="A1078">
        <v>2025</v>
      </c>
      <c r="B1078" s="31" t="s">
        <v>149</v>
      </c>
      <c r="C1078" s="31" t="s">
        <v>159</v>
      </c>
      <c r="D1078" s="32">
        <v>2</v>
      </c>
      <c r="E1078" s="32">
        <v>6</v>
      </c>
      <c r="F1078" s="32">
        <v>4</v>
      </c>
      <c r="G1078" s="32">
        <v>36</v>
      </c>
      <c r="H1078" s="31" t="s">
        <v>45</v>
      </c>
      <c r="I1078" s="2">
        <v>59.1</v>
      </c>
      <c r="J1078">
        <v>63.724467864923753</v>
      </c>
      <c r="K1078">
        <v>15.4625</v>
      </c>
      <c r="M1078">
        <v>1</v>
      </c>
    </row>
    <row r="1079" spans="1:13" x14ac:dyDescent="0.25">
      <c r="A1079">
        <v>2025</v>
      </c>
      <c r="B1079" s="31" t="s">
        <v>149</v>
      </c>
      <c r="C1079" s="31" t="s">
        <v>159</v>
      </c>
      <c r="D1079" s="32">
        <v>2</v>
      </c>
      <c r="E1079" s="32">
        <v>5</v>
      </c>
      <c r="F1079" s="32">
        <v>4</v>
      </c>
      <c r="G1079" s="32">
        <v>7</v>
      </c>
      <c r="H1079" s="31" t="s">
        <v>150</v>
      </c>
      <c r="I1079" s="2">
        <v>57</v>
      </c>
      <c r="J1079">
        <v>57.815424836601302</v>
      </c>
      <c r="K1079">
        <v>14.362500000000001</v>
      </c>
      <c r="M1079">
        <v>1</v>
      </c>
    </row>
    <row r="1080" spans="1:13" x14ac:dyDescent="0.25">
      <c r="A1080">
        <v>2025</v>
      </c>
      <c r="B1080" s="31" t="s">
        <v>149</v>
      </c>
      <c r="C1080" s="31" t="s">
        <v>159</v>
      </c>
      <c r="D1080" s="32">
        <v>2</v>
      </c>
      <c r="E1080" s="32">
        <v>4</v>
      </c>
      <c r="F1080" s="32">
        <v>4</v>
      </c>
      <c r="G1080" s="32">
        <v>18</v>
      </c>
      <c r="H1080" s="31" t="s">
        <v>29</v>
      </c>
      <c r="I1080" s="2">
        <v>55.7</v>
      </c>
      <c r="J1080">
        <v>58.500258714596953</v>
      </c>
      <c r="K1080">
        <v>14.262499999999999</v>
      </c>
      <c r="M1080">
        <v>2</v>
      </c>
    </row>
    <row r="1081" spans="1:13" x14ac:dyDescent="0.25">
      <c r="A1081">
        <v>2025</v>
      </c>
      <c r="B1081" s="31" t="s">
        <v>149</v>
      </c>
      <c r="C1081" s="31" t="s">
        <v>159</v>
      </c>
      <c r="D1081" s="32">
        <v>2</v>
      </c>
      <c r="E1081" s="32">
        <v>3</v>
      </c>
      <c r="F1081" s="32">
        <v>4</v>
      </c>
      <c r="G1081" s="32">
        <v>41</v>
      </c>
      <c r="H1081" s="31" t="s">
        <v>124</v>
      </c>
      <c r="I1081" s="2">
        <v>56.6</v>
      </c>
      <c r="J1081">
        <v>61.276668300653597</v>
      </c>
      <c r="K1081">
        <v>14.762499999999999</v>
      </c>
      <c r="M1081">
        <v>4</v>
      </c>
    </row>
    <row r="1082" spans="1:13" x14ac:dyDescent="0.25">
      <c r="A1082">
        <v>2025</v>
      </c>
      <c r="B1082" s="31" t="s">
        <v>149</v>
      </c>
      <c r="C1082" s="31" t="s">
        <v>159</v>
      </c>
      <c r="D1082" s="32">
        <v>2</v>
      </c>
      <c r="E1082" s="32">
        <v>2</v>
      </c>
      <c r="F1082" s="32">
        <v>4</v>
      </c>
      <c r="G1082" s="32">
        <v>17</v>
      </c>
      <c r="H1082" s="31" t="s">
        <v>33</v>
      </c>
      <c r="I1082" s="2">
        <v>57.8</v>
      </c>
      <c r="J1082">
        <v>69.241009803921571</v>
      </c>
      <c r="K1082">
        <v>13.6625</v>
      </c>
      <c r="M1082">
        <v>2</v>
      </c>
    </row>
    <row r="1083" spans="1:13" x14ac:dyDescent="0.25">
      <c r="A1083">
        <v>2025</v>
      </c>
      <c r="B1083" s="31" t="s">
        <v>149</v>
      </c>
      <c r="C1083" s="31" t="s">
        <v>159</v>
      </c>
      <c r="D1083" s="32">
        <v>2</v>
      </c>
      <c r="E1083" s="32">
        <v>1</v>
      </c>
      <c r="F1083" s="32">
        <v>4</v>
      </c>
      <c r="G1083" s="32">
        <v>21</v>
      </c>
      <c r="H1083" s="31" t="s">
        <v>26</v>
      </c>
      <c r="I1083" s="2">
        <v>56.3</v>
      </c>
      <c r="J1083">
        <v>66.768340413943363</v>
      </c>
      <c r="K1083">
        <v>14.5625</v>
      </c>
      <c r="M1083">
        <v>2</v>
      </c>
    </row>
    <row r="1084" spans="1:13" x14ac:dyDescent="0.25">
      <c r="A1084">
        <v>2025</v>
      </c>
      <c r="B1084" s="31" t="s">
        <v>149</v>
      </c>
      <c r="C1084" s="31" t="s">
        <v>159</v>
      </c>
      <c r="D1084" s="32">
        <v>3</v>
      </c>
      <c r="E1084" s="32">
        <v>1</v>
      </c>
      <c r="F1084" s="32">
        <v>5</v>
      </c>
      <c r="G1084" s="32">
        <v>15</v>
      </c>
      <c r="H1084" s="31" t="s">
        <v>31</v>
      </c>
      <c r="I1084" s="2">
        <v>55.8</v>
      </c>
      <c r="J1084">
        <v>49.71492063222297</v>
      </c>
      <c r="K1084">
        <v>14.1625</v>
      </c>
      <c r="M1084">
        <v>2</v>
      </c>
    </row>
    <row r="1085" spans="1:13" x14ac:dyDescent="0.25">
      <c r="A1085">
        <v>2025</v>
      </c>
      <c r="B1085" s="31" t="s">
        <v>149</v>
      </c>
      <c r="C1085" s="31" t="s">
        <v>159</v>
      </c>
      <c r="D1085" s="32">
        <v>3</v>
      </c>
      <c r="E1085" s="32">
        <v>2</v>
      </c>
      <c r="F1085" s="32">
        <v>5</v>
      </c>
      <c r="G1085" s="32">
        <v>40</v>
      </c>
      <c r="H1085" s="31" t="s">
        <v>121</v>
      </c>
      <c r="I1085" s="2">
        <v>58.6</v>
      </c>
      <c r="J1085">
        <v>50.209858939496932</v>
      </c>
      <c r="K1085">
        <v>13.9625</v>
      </c>
      <c r="M1085">
        <v>1</v>
      </c>
    </row>
    <row r="1086" spans="1:13" x14ac:dyDescent="0.25">
      <c r="A1086">
        <v>2025</v>
      </c>
      <c r="B1086" s="31" t="s">
        <v>149</v>
      </c>
      <c r="C1086" s="31" t="s">
        <v>159</v>
      </c>
      <c r="D1086" s="32">
        <v>3</v>
      </c>
      <c r="E1086" s="32">
        <v>3</v>
      </c>
      <c r="F1086" s="32">
        <v>5</v>
      </c>
      <c r="G1086" s="32">
        <v>19</v>
      </c>
      <c r="H1086" s="31" t="s">
        <v>157</v>
      </c>
      <c r="I1086" s="2">
        <v>55.6</v>
      </c>
      <c r="J1086">
        <v>49.202663494221603</v>
      </c>
      <c r="K1086">
        <v>13.0625</v>
      </c>
      <c r="M1086">
        <v>1</v>
      </c>
    </row>
    <row r="1087" spans="1:13" x14ac:dyDescent="0.25">
      <c r="A1087">
        <v>2025</v>
      </c>
      <c r="B1087" s="31" t="s">
        <v>149</v>
      </c>
      <c r="C1087" s="31" t="s">
        <v>159</v>
      </c>
      <c r="D1087" s="32">
        <v>3</v>
      </c>
      <c r="E1087" s="32">
        <v>4</v>
      </c>
      <c r="F1087" s="32">
        <v>5</v>
      </c>
      <c r="G1087" s="32">
        <v>1</v>
      </c>
      <c r="H1087" s="31" t="s">
        <v>120</v>
      </c>
      <c r="I1087" s="2">
        <v>55.9</v>
      </c>
      <c r="J1087">
        <v>53.100729605710391</v>
      </c>
      <c r="K1087">
        <v>13.762499999999999</v>
      </c>
      <c r="M1087">
        <v>2</v>
      </c>
    </row>
    <row r="1088" spans="1:13" x14ac:dyDescent="0.25">
      <c r="A1088">
        <v>2025</v>
      </c>
      <c r="B1088" s="31" t="s">
        <v>149</v>
      </c>
      <c r="C1088" s="31" t="s">
        <v>159</v>
      </c>
      <c r="D1088" s="32">
        <v>3</v>
      </c>
      <c r="E1088" s="32">
        <v>5</v>
      </c>
      <c r="F1088" s="32">
        <v>5</v>
      </c>
      <c r="G1088" s="32">
        <v>3</v>
      </c>
      <c r="H1088" s="31" t="s">
        <v>122</v>
      </c>
      <c r="I1088" s="2">
        <v>58.3</v>
      </c>
      <c r="J1088">
        <v>53.646648538409238</v>
      </c>
      <c r="K1088">
        <v>14.5625</v>
      </c>
      <c r="M1088">
        <v>1</v>
      </c>
    </row>
    <row r="1089" spans="1:13" x14ac:dyDescent="0.25">
      <c r="A1089">
        <v>2025</v>
      </c>
      <c r="B1089" s="31" t="s">
        <v>149</v>
      </c>
      <c r="C1089" s="31" t="s">
        <v>159</v>
      </c>
      <c r="D1089" s="32">
        <v>3</v>
      </c>
      <c r="E1089" s="32">
        <v>6</v>
      </c>
      <c r="F1089" s="32">
        <v>5</v>
      </c>
      <c r="G1089" s="32">
        <v>22</v>
      </c>
      <c r="H1089" s="31" t="s">
        <v>28</v>
      </c>
      <c r="I1089" s="2">
        <v>58.8</v>
      </c>
      <c r="J1089">
        <v>48.634507138001347</v>
      </c>
      <c r="K1089">
        <v>14.862500000000001</v>
      </c>
      <c r="M1089">
        <v>3</v>
      </c>
    </row>
    <row r="1090" spans="1:13" x14ac:dyDescent="0.25">
      <c r="A1090">
        <v>2025</v>
      </c>
      <c r="B1090" s="31" t="s">
        <v>149</v>
      </c>
      <c r="C1090" s="31" t="s">
        <v>159</v>
      </c>
      <c r="D1090" s="32">
        <v>3</v>
      </c>
      <c r="E1090" s="32">
        <v>7</v>
      </c>
      <c r="F1090" s="32">
        <v>5</v>
      </c>
      <c r="G1090" s="32">
        <v>44</v>
      </c>
      <c r="H1090" s="31" t="s">
        <v>123</v>
      </c>
      <c r="I1090" s="2">
        <v>56.2</v>
      </c>
      <c r="J1090">
        <v>56.865887151597541</v>
      </c>
      <c r="K1090">
        <v>15.4625</v>
      </c>
      <c r="M1090">
        <v>4</v>
      </c>
    </row>
    <row r="1091" spans="1:13" x14ac:dyDescent="0.25">
      <c r="A1091">
        <v>2025</v>
      </c>
      <c r="B1091" s="31" t="s">
        <v>149</v>
      </c>
      <c r="C1091" s="31" t="s">
        <v>159</v>
      </c>
      <c r="D1091" s="32">
        <v>3</v>
      </c>
      <c r="E1091" s="32">
        <v>8</v>
      </c>
      <c r="F1091" s="32">
        <v>5</v>
      </c>
      <c r="G1091" s="32">
        <v>42</v>
      </c>
      <c r="H1091" s="31" t="s">
        <v>34</v>
      </c>
      <c r="I1091" s="2">
        <v>58.7</v>
      </c>
      <c r="J1091">
        <v>65.387587525492847</v>
      </c>
      <c r="K1091">
        <v>15.1625</v>
      </c>
      <c r="M1091">
        <v>2</v>
      </c>
    </row>
    <row r="1092" spans="1:13" x14ac:dyDescent="0.25">
      <c r="A1092">
        <v>2025</v>
      </c>
      <c r="B1092" s="31" t="s">
        <v>149</v>
      </c>
      <c r="C1092" s="31" t="s">
        <v>159</v>
      </c>
      <c r="D1092" s="32">
        <v>3</v>
      </c>
      <c r="E1092" s="32">
        <v>9</v>
      </c>
      <c r="F1092" s="32">
        <v>5</v>
      </c>
      <c r="G1092" s="32">
        <v>8</v>
      </c>
      <c r="H1092" s="31" t="s">
        <v>118</v>
      </c>
      <c r="I1092" s="2">
        <v>56.9</v>
      </c>
      <c r="J1092">
        <v>68.721574609109439</v>
      </c>
      <c r="K1092">
        <v>14.262499999999999</v>
      </c>
      <c r="M1092">
        <v>1</v>
      </c>
    </row>
    <row r="1093" spans="1:13" x14ac:dyDescent="0.25">
      <c r="A1093">
        <v>2025</v>
      </c>
      <c r="B1093" s="31" t="s">
        <v>149</v>
      </c>
      <c r="C1093" s="31" t="s">
        <v>159</v>
      </c>
      <c r="D1093" s="32">
        <v>3</v>
      </c>
      <c r="E1093" s="32">
        <v>10</v>
      </c>
      <c r="F1093" s="32">
        <v>5</v>
      </c>
      <c r="G1093" s="32">
        <v>10</v>
      </c>
      <c r="H1093" s="31" t="s">
        <v>91</v>
      </c>
      <c r="I1093" s="14">
        <v>57.3</v>
      </c>
      <c r="J1093">
        <v>53.607899898028542</v>
      </c>
      <c r="K1093">
        <v>15.4625</v>
      </c>
      <c r="M1093">
        <v>4</v>
      </c>
    </row>
    <row r="1094" spans="1:13" x14ac:dyDescent="0.25">
      <c r="A1094">
        <v>2025</v>
      </c>
      <c r="B1094" s="31" t="s">
        <v>149</v>
      </c>
      <c r="C1094" s="31" t="s">
        <v>159</v>
      </c>
      <c r="D1094" s="32">
        <v>3</v>
      </c>
      <c r="E1094" s="32">
        <v>11</v>
      </c>
      <c r="F1094" s="32">
        <v>5</v>
      </c>
      <c r="G1094" s="32">
        <v>27</v>
      </c>
      <c r="H1094" s="31" t="s">
        <v>35</v>
      </c>
      <c r="I1094" s="2">
        <v>56.6</v>
      </c>
      <c r="J1094">
        <v>52.079451393609766</v>
      </c>
      <c r="K1094">
        <v>12.9625</v>
      </c>
      <c r="M1094">
        <v>3</v>
      </c>
    </row>
    <row r="1095" spans="1:13" x14ac:dyDescent="0.25">
      <c r="A1095">
        <v>2025</v>
      </c>
      <c r="B1095" s="31" t="s">
        <v>149</v>
      </c>
      <c r="C1095" s="31" t="s">
        <v>159</v>
      </c>
      <c r="D1095" s="32">
        <v>3</v>
      </c>
      <c r="E1095" s="32">
        <v>12</v>
      </c>
      <c r="F1095" s="32">
        <v>5</v>
      </c>
      <c r="G1095" s="32">
        <v>11</v>
      </c>
      <c r="H1095" s="31" t="s">
        <v>90</v>
      </c>
      <c r="I1095" s="2">
        <v>59.7</v>
      </c>
      <c r="J1095">
        <v>40.242675560842962</v>
      </c>
      <c r="K1095">
        <v>14.362500000000001</v>
      </c>
      <c r="M1095">
        <v>5</v>
      </c>
    </row>
    <row r="1096" spans="1:13" x14ac:dyDescent="0.25">
      <c r="A1096">
        <v>2025</v>
      </c>
      <c r="B1096" s="31" t="s">
        <v>149</v>
      </c>
      <c r="C1096" s="31" t="s">
        <v>159</v>
      </c>
      <c r="D1096" s="32">
        <v>3</v>
      </c>
      <c r="E1096" s="32">
        <v>13</v>
      </c>
      <c r="F1096" s="32">
        <v>5</v>
      </c>
      <c r="G1096" s="32">
        <v>17</v>
      </c>
      <c r="H1096" s="31" t="s">
        <v>33</v>
      </c>
      <c r="I1096" s="14">
        <v>57</v>
      </c>
      <c r="J1096">
        <v>50.066843983684564</v>
      </c>
      <c r="K1096">
        <v>12.762499999999999</v>
      </c>
      <c r="M1096">
        <v>4</v>
      </c>
    </row>
    <row r="1097" spans="1:13" x14ac:dyDescent="0.25">
      <c r="A1097">
        <v>2025</v>
      </c>
      <c r="B1097" s="31" t="s">
        <v>149</v>
      </c>
      <c r="C1097" s="31" t="s">
        <v>159</v>
      </c>
      <c r="D1097" s="32">
        <v>3</v>
      </c>
      <c r="E1097" s="32">
        <v>14</v>
      </c>
      <c r="F1097" s="32">
        <v>5</v>
      </c>
      <c r="G1097" s="32">
        <v>39</v>
      </c>
      <c r="H1097" s="31" t="s">
        <v>22</v>
      </c>
      <c r="I1097" s="2">
        <v>57.6</v>
      </c>
      <c r="J1097">
        <v>40.765016655336495</v>
      </c>
      <c r="K1097">
        <v>15.0625</v>
      </c>
      <c r="M1097">
        <v>5</v>
      </c>
    </row>
    <row r="1098" spans="1:13" x14ac:dyDescent="0.25">
      <c r="A1098">
        <v>2025</v>
      </c>
      <c r="B1098" s="31" t="s">
        <v>149</v>
      </c>
      <c r="C1098" s="31" t="s">
        <v>159</v>
      </c>
      <c r="D1098" s="32">
        <v>3</v>
      </c>
      <c r="E1098" s="32">
        <v>15</v>
      </c>
      <c r="F1098" s="32">
        <v>5</v>
      </c>
      <c r="G1098" s="32">
        <v>37</v>
      </c>
      <c r="H1098" s="31" t="s">
        <v>89</v>
      </c>
      <c r="I1098" s="2">
        <v>59</v>
      </c>
      <c r="J1098">
        <v>33.831674031271241</v>
      </c>
      <c r="K1098">
        <v>13.762499999999999</v>
      </c>
      <c r="M1098">
        <v>4</v>
      </c>
    </row>
    <row r="1099" spans="1:13" x14ac:dyDescent="0.25">
      <c r="A1099">
        <v>2025</v>
      </c>
      <c r="B1099" s="31" t="s">
        <v>149</v>
      </c>
      <c r="C1099" s="31" t="s">
        <v>159</v>
      </c>
      <c r="D1099" s="32">
        <v>3</v>
      </c>
      <c r="E1099" s="32">
        <v>16</v>
      </c>
      <c r="F1099" s="32">
        <v>5</v>
      </c>
      <c r="G1099" s="32">
        <v>58</v>
      </c>
      <c r="H1099" s="31" t="s">
        <v>103</v>
      </c>
      <c r="I1099" s="2">
        <v>58.5</v>
      </c>
      <c r="J1099">
        <v>30.109892080217534</v>
      </c>
      <c r="K1099">
        <v>14.262499999999999</v>
      </c>
      <c r="M1099">
        <v>6</v>
      </c>
    </row>
    <row r="1100" spans="1:13" x14ac:dyDescent="0.25">
      <c r="A1100">
        <v>2025</v>
      </c>
      <c r="B1100" s="31" t="s">
        <v>149</v>
      </c>
      <c r="C1100" s="31" t="s">
        <v>159</v>
      </c>
      <c r="D1100" s="32">
        <v>3</v>
      </c>
      <c r="E1100" s="32">
        <v>17</v>
      </c>
      <c r="F1100" s="32">
        <v>5</v>
      </c>
      <c r="G1100" s="32">
        <v>33</v>
      </c>
      <c r="H1100" s="31" t="s">
        <v>41</v>
      </c>
      <c r="I1100" s="2">
        <v>57.9</v>
      </c>
      <c r="J1100">
        <v>34.045859959211413</v>
      </c>
      <c r="K1100">
        <v>13.6625</v>
      </c>
      <c r="M1100">
        <v>3</v>
      </c>
    </row>
    <row r="1101" spans="1:13" x14ac:dyDescent="0.25">
      <c r="A1101">
        <v>2025</v>
      </c>
      <c r="B1101" s="31" t="s">
        <v>149</v>
      </c>
      <c r="C1101" s="31" t="s">
        <v>159</v>
      </c>
      <c r="D1101" s="32">
        <v>3</v>
      </c>
      <c r="E1101" s="32">
        <v>18</v>
      </c>
      <c r="F1101" s="32">
        <v>5</v>
      </c>
      <c r="G1101" s="32">
        <v>35</v>
      </c>
      <c r="H1101" s="31" t="s">
        <v>129</v>
      </c>
      <c r="I1101" s="2">
        <v>58.1</v>
      </c>
      <c r="J1101">
        <v>44.984978585995904</v>
      </c>
      <c r="K1101">
        <v>13.0625</v>
      </c>
      <c r="M1101">
        <v>2</v>
      </c>
    </row>
    <row r="1102" spans="1:13" x14ac:dyDescent="0.25">
      <c r="A1102">
        <v>2025</v>
      </c>
      <c r="B1102" s="31" t="s">
        <v>149</v>
      </c>
      <c r="C1102" s="31" t="s">
        <v>159</v>
      </c>
      <c r="D1102" s="32">
        <v>3</v>
      </c>
      <c r="E1102" s="32">
        <v>19</v>
      </c>
      <c r="F1102" s="32">
        <v>5</v>
      </c>
      <c r="G1102" s="32">
        <v>25</v>
      </c>
      <c r="H1102" s="31" t="s">
        <v>130</v>
      </c>
      <c r="I1102" s="2">
        <v>57.7</v>
      </c>
      <c r="J1102">
        <v>53.344129843643778</v>
      </c>
      <c r="K1102">
        <v>12.762499999999999</v>
      </c>
      <c r="M1102">
        <v>3</v>
      </c>
    </row>
    <row r="1103" spans="1:13" x14ac:dyDescent="0.25">
      <c r="A1103">
        <v>2025</v>
      </c>
      <c r="B1103" s="31" t="s">
        <v>149</v>
      </c>
      <c r="C1103" s="31" t="s">
        <v>159</v>
      </c>
      <c r="D1103" s="32">
        <v>3</v>
      </c>
      <c r="E1103" s="32">
        <v>20</v>
      </c>
      <c r="F1103" s="32">
        <v>5</v>
      </c>
      <c r="G1103" s="32">
        <v>28</v>
      </c>
      <c r="H1103" s="31" t="s">
        <v>38</v>
      </c>
      <c r="I1103" s="2">
        <v>59.4</v>
      </c>
      <c r="J1103">
        <v>53.995386301835481</v>
      </c>
      <c r="K1103">
        <v>12.362500000000001</v>
      </c>
      <c r="M1103">
        <v>5</v>
      </c>
    </row>
    <row r="1104" spans="1:13" x14ac:dyDescent="0.25">
      <c r="A1104">
        <v>2025</v>
      </c>
      <c r="B1104" s="31" t="s">
        <v>149</v>
      </c>
      <c r="C1104" s="31" t="s">
        <v>159</v>
      </c>
      <c r="D1104" s="32">
        <v>3</v>
      </c>
      <c r="E1104" s="32">
        <v>21</v>
      </c>
      <c r="F1104" s="32">
        <v>5</v>
      </c>
      <c r="G1104" s="32">
        <v>21</v>
      </c>
      <c r="H1104" s="31" t="s">
        <v>26</v>
      </c>
      <c r="I1104" s="2">
        <v>56.9</v>
      </c>
      <c r="J1104">
        <v>65.909889360978909</v>
      </c>
      <c r="K1104">
        <v>12.1625</v>
      </c>
      <c r="M1104">
        <v>3</v>
      </c>
    </row>
    <row r="1105" spans="1:13" x14ac:dyDescent="0.25">
      <c r="A1105">
        <v>2025</v>
      </c>
      <c r="B1105" s="31" t="s">
        <v>149</v>
      </c>
      <c r="C1105" s="31" t="s">
        <v>159</v>
      </c>
      <c r="D1105" s="32">
        <v>3</v>
      </c>
      <c r="E1105" s="32">
        <v>22</v>
      </c>
      <c r="F1105" s="32">
        <v>5</v>
      </c>
      <c r="G1105" s="32">
        <v>30</v>
      </c>
      <c r="H1105" s="31" t="s">
        <v>21</v>
      </c>
      <c r="I1105" s="2">
        <v>59.6</v>
      </c>
      <c r="J1105">
        <v>63.185970428280065</v>
      </c>
      <c r="K1105">
        <v>13.5625</v>
      </c>
      <c r="M1105">
        <v>2</v>
      </c>
    </row>
    <row r="1106" spans="1:13" x14ac:dyDescent="0.25">
      <c r="A1106">
        <v>2025</v>
      </c>
      <c r="B1106" s="31" t="s">
        <v>149</v>
      </c>
      <c r="C1106" s="31" t="s">
        <v>159</v>
      </c>
      <c r="D1106" s="32">
        <v>3</v>
      </c>
      <c r="E1106" s="32">
        <v>23</v>
      </c>
      <c r="F1106" s="32">
        <v>5</v>
      </c>
      <c r="G1106" s="32">
        <v>13</v>
      </c>
      <c r="H1106" s="31" t="s">
        <v>93</v>
      </c>
      <c r="I1106" s="2">
        <v>59.7</v>
      </c>
      <c r="J1106">
        <v>59.592509347382723</v>
      </c>
      <c r="K1106">
        <v>12.762499999999999</v>
      </c>
      <c r="M1106">
        <v>2</v>
      </c>
    </row>
    <row r="1107" spans="1:13" x14ac:dyDescent="0.25">
      <c r="A1107">
        <v>2025</v>
      </c>
      <c r="B1107" s="31" t="s">
        <v>149</v>
      </c>
      <c r="C1107" s="31" t="s">
        <v>159</v>
      </c>
      <c r="D1107" s="32">
        <v>3</v>
      </c>
      <c r="E1107" s="32">
        <v>24</v>
      </c>
      <c r="F1107" s="32">
        <v>5</v>
      </c>
      <c r="G1107" s="32">
        <v>4</v>
      </c>
      <c r="H1107" s="31" t="s">
        <v>117</v>
      </c>
      <c r="I1107" s="2">
        <v>58.3</v>
      </c>
      <c r="J1107">
        <v>44.733614377974149</v>
      </c>
      <c r="K1107">
        <v>13.1625</v>
      </c>
      <c r="M1107">
        <v>1</v>
      </c>
    </row>
    <row r="1108" spans="1:13" x14ac:dyDescent="0.25">
      <c r="A1108">
        <v>2025</v>
      </c>
      <c r="B1108" s="31" t="s">
        <v>149</v>
      </c>
      <c r="C1108" s="31" t="s">
        <v>159</v>
      </c>
      <c r="D1108" s="32">
        <v>3</v>
      </c>
      <c r="E1108" s="32">
        <v>25</v>
      </c>
      <c r="F1108" s="32">
        <v>5</v>
      </c>
      <c r="G1108" s="32">
        <v>6</v>
      </c>
      <c r="H1108" s="31" t="s">
        <v>119</v>
      </c>
      <c r="I1108" s="2">
        <v>61.1</v>
      </c>
      <c r="J1108">
        <v>48.47945649218218</v>
      </c>
      <c r="K1108">
        <v>15.1625</v>
      </c>
      <c r="M1108">
        <v>1</v>
      </c>
    </row>
    <row r="1109" spans="1:13" x14ac:dyDescent="0.25">
      <c r="A1109">
        <v>2025</v>
      </c>
      <c r="B1109" s="31" t="s">
        <v>149</v>
      </c>
      <c r="C1109" s="31" t="s">
        <v>159</v>
      </c>
      <c r="D1109" s="32">
        <v>3</v>
      </c>
      <c r="E1109" s="32">
        <v>26</v>
      </c>
      <c r="F1109" s="32">
        <v>5</v>
      </c>
      <c r="G1109" s="32">
        <v>36</v>
      </c>
      <c r="H1109" s="31" t="s">
        <v>45</v>
      </c>
      <c r="I1109" s="2">
        <v>60</v>
      </c>
      <c r="J1109">
        <v>56.155063562202578</v>
      </c>
      <c r="K1109">
        <v>13.5625</v>
      </c>
      <c r="M1109">
        <v>1</v>
      </c>
    </row>
    <row r="1110" spans="1:13" x14ac:dyDescent="0.25">
      <c r="A1110">
        <v>2025</v>
      </c>
      <c r="B1110" s="31" t="s">
        <v>149</v>
      </c>
      <c r="C1110" s="31" t="s">
        <v>159</v>
      </c>
      <c r="D1110" s="32">
        <v>3</v>
      </c>
      <c r="E1110" s="32">
        <v>26</v>
      </c>
      <c r="F1110" s="32">
        <v>6</v>
      </c>
      <c r="G1110" s="32">
        <v>48</v>
      </c>
      <c r="H1110" s="31" t="s">
        <v>152</v>
      </c>
      <c r="I1110" s="2">
        <v>59.4</v>
      </c>
      <c r="J1110">
        <v>47.237535861809974</v>
      </c>
      <c r="K1110">
        <v>14.862500000000001</v>
      </c>
      <c r="M1110">
        <v>1</v>
      </c>
    </row>
    <row r="1111" spans="1:13" x14ac:dyDescent="0.25">
      <c r="A1111">
        <v>2025</v>
      </c>
      <c r="B1111" s="31" t="s">
        <v>149</v>
      </c>
      <c r="C1111" s="31" t="s">
        <v>159</v>
      </c>
      <c r="D1111" s="32">
        <v>3</v>
      </c>
      <c r="E1111" s="32">
        <v>25</v>
      </c>
      <c r="F1111" s="32">
        <v>6</v>
      </c>
      <c r="G1111" s="32">
        <v>18</v>
      </c>
      <c r="H1111" s="31" t="s">
        <v>29</v>
      </c>
      <c r="I1111" s="2">
        <v>58.4</v>
      </c>
      <c r="J1111">
        <v>43.647840968832142</v>
      </c>
      <c r="K1111">
        <v>14.262499999999999</v>
      </c>
      <c r="M1111">
        <v>5</v>
      </c>
    </row>
    <row r="1112" spans="1:13" x14ac:dyDescent="0.25">
      <c r="A1112">
        <v>2025</v>
      </c>
      <c r="B1112" s="31" t="s">
        <v>149</v>
      </c>
      <c r="C1112" s="31" t="s">
        <v>159</v>
      </c>
      <c r="D1112" s="32">
        <v>3</v>
      </c>
      <c r="E1112" s="32">
        <v>24</v>
      </c>
      <c r="F1112" s="32">
        <v>6</v>
      </c>
      <c r="G1112" s="32">
        <v>26</v>
      </c>
      <c r="H1112" s="31" t="s">
        <v>44</v>
      </c>
      <c r="I1112" s="2">
        <v>58.4</v>
      </c>
      <c r="J1112">
        <v>57.296686819376639</v>
      </c>
      <c r="K1112">
        <v>13.0625</v>
      </c>
      <c r="M1112">
        <v>6</v>
      </c>
    </row>
    <row r="1113" spans="1:13" x14ac:dyDescent="0.25">
      <c r="A1113">
        <v>2025</v>
      </c>
      <c r="B1113" s="31" t="s">
        <v>149</v>
      </c>
      <c r="C1113" s="31" t="s">
        <v>159</v>
      </c>
      <c r="D1113" s="32">
        <v>3</v>
      </c>
      <c r="E1113" s="32">
        <v>23</v>
      </c>
      <c r="F1113" s="32">
        <v>6</v>
      </c>
      <c r="G1113" s="32">
        <v>32</v>
      </c>
      <c r="H1113" s="31" t="s">
        <v>25</v>
      </c>
      <c r="I1113" s="2">
        <v>60.1</v>
      </c>
      <c r="J1113">
        <v>64.419909688321425</v>
      </c>
      <c r="K1113">
        <v>14.5625</v>
      </c>
      <c r="M1113">
        <v>6</v>
      </c>
    </row>
    <row r="1114" spans="1:13" x14ac:dyDescent="0.25">
      <c r="A1114">
        <v>2025</v>
      </c>
      <c r="B1114" s="31" t="s">
        <v>149</v>
      </c>
      <c r="C1114" s="31" t="s">
        <v>159</v>
      </c>
      <c r="D1114" s="32">
        <v>3</v>
      </c>
      <c r="E1114" s="32">
        <v>22</v>
      </c>
      <c r="F1114" s="32">
        <v>6</v>
      </c>
      <c r="G1114" s="32">
        <v>20</v>
      </c>
      <c r="H1114" s="31" t="s">
        <v>24</v>
      </c>
      <c r="I1114" s="2">
        <v>58.7</v>
      </c>
      <c r="J1114">
        <v>87.158520653398426</v>
      </c>
      <c r="K1114">
        <v>11.6625</v>
      </c>
      <c r="M1114">
        <v>5</v>
      </c>
    </row>
    <row r="1115" spans="1:13" x14ac:dyDescent="0.25">
      <c r="A1115">
        <v>2025</v>
      </c>
      <c r="B1115" s="31" t="s">
        <v>149</v>
      </c>
      <c r="C1115" s="31" t="s">
        <v>159</v>
      </c>
      <c r="D1115" s="32">
        <v>3</v>
      </c>
      <c r="E1115" s="32">
        <v>21</v>
      </c>
      <c r="F1115" s="32">
        <v>6</v>
      </c>
      <c r="G1115" s="32">
        <v>57</v>
      </c>
      <c r="H1115" s="31" t="s">
        <v>43</v>
      </c>
      <c r="I1115" s="2">
        <v>57.2</v>
      </c>
      <c r="J1115">
        <v>79.234034735260977</v>
      </c>
      <c r="K1115">
        <v>13.362500000000001</v>
      </c>
      <c r="M1115">
        <v>5</v>
      </c>
    </row>
    <row r="1116" spans="1:13" x14ac:dyDescent="0.25">
      <c r="A1116">
        <v>2025</v>
      </c>
      <c r="B1116" s="31" t="s">
        <v>149</v>
      </c>
      <c r="C1116" s="31" t="s">
        <v>159</v>
      </c>
      <c r="D1116" s="32">
        <v>3</v>
      </c>
      <c r="E1116" s="32">
        <v>20</v>
      </c>
      <c r="F1116" s="32">
        <v>6</v>
      </c>
      <c r="G1116" s="32">
        <v>41</v>
      </c>
      <c r="H1116" s="31" t="s">
        <v>124</v>
      </c>
      <c r="I1116" s="2">
        <v>55.6</v>
      </c>
      <c r="J1116">
        <v>65.235652835148343</v>
      </c>
      <c r="K1116">
        <v>14.5625</v>
      </c>
      <c r="M1116">
        <v>4</v>
      </c>
    </row>
    <row r="1117" spans="1:13" x14ac:dyDescent="0.25">
      <c r="A1117">
        <v>2025</v>
      </c>
      <c r="B1117" s="31" t="s">
        <v>149</v>
      </c>
      <c r="C1117" s="31" t="s">
        <v>159</v>
      </c>
      <c r="D1117" s="32">
        <v>3</v>
      </c>
      <c r="E1117" s="32">
        <v>19</v>
      </c>
      <c r="F1117" s="32">
        <v>6</v>
      </c>
      <c r="G1117" s="32">
        <v>38</v>
      </c>
      <c r="H1117" s="31" t="s">
        <v>23</v>
      </c>
      <c r="I1117" s="2">
        <v>59.7</v>
      </c>
      <c r="J1117">
        <v>61.024968081111524</v>
      </c>
      <c r="K1117">
        <v>13.362500000000001</v>
      </c>
      <c r="M1117">
        <v>2</v>
      </c>
    </row>
    <row r="1118" spans="1:13" x14ac:dyDescent="0.25">
      <c r="A1118">
        <v>2025</v>
      </c>
      <c r="B1118" s="31" t="s">
        <v>149</v>
      </c>
      <c r="C1118" s="31" t="s">
        <v>159</v>
      </c>
      <c r="D1118" s="32">
        <v>3</v>
      </c>
      <c r="E1118" s="32">
        <v>18</v>
      </c>
      <c r="F1118" s="32">
        <v>6</v>
      </c>
      <c r="G1118" s="32">
        <v>7</v>
      </c>
      <c r="H1118" s="31" t="s">
        <v>150</v>
      </c>
      <c r="I1118" s="2">
        <v>58.4</v>
      </c>
      <c r="J1118">
        <v>34.958747653022904</v>
      </c>
      <c r="K1118">
        <v>14.762499999999999</v>
      </c>
      <c r="M1118">
        <v>2</v>
      </c>
    </row>
    <row r="1119" spans="1:13" x14ac:dyDescent="0.25">
      <c r="A1119">
        <v>2025</v>
      </c>
      <c r="B1119" s="31" t="s">
        <v>149</v>
      </c>
      <c r="C1119" s="31" t="s">
        <v>159</v>
      </c>
      <c r="D1119" s="32">
        <v>3</v>
      </c>
      <c r="E1119" s="32">
        <v>17</v>
      </c>
      <c r="F1119" s="32">
        <v>6</v>
      </c>
      <c r="G1119" s="32">
        <v>12</v>
      </c>
      <c r="H1119" s="31" t="s">
        <v>92</v>
      </c>
      <c r="I1119" s="2">
        <v>58.1</v>
      </c>
      <c r="J1119">
        <v>35.899241457003384</v>
      </c>
      <c r="K1119">
        <v>13.6625</v>
      </c>
      <c r="M1119">
        <v>1</v>
      </c>
    </row>
    <row r="1120" spans="1:13" x14ac:dyDescent="0.25">
      <c r="A1120">
        <v>2025</v>
      </c>
      <c r="B1120" s="31" t="s">
        <v>149</v>
      </c>
      <c r="C1120" s="31" t="s">
        <v>159</v>
      </c>
      <c r="D1120" s="32">
        <v>3</v>
      </c>
      <c r="E1120" s="32">
        <v>16</v>
      </c>
      <c r="F1120" s="32">
        <v>6</v>
      </c>
      <c r="G1120" s="32">
        <v>47</v>
      </c>
      <c r="H1120" s="31" t="s">
        <v>153</v>
      </c>
      <c r="I1120" s="2">
        <v>59.4</v>
      </c>
      <c r="J1120">
        <v>34.920010138941045</v>
      </c>
      <c r="K1120">
        <v>14.4625</v>
      </c>
      <c r="M1120">
        <v>6</v>
      </c>
    </row>
    <row r="1121" spans="1:13" x14ac:dyDescent="0.25">
      <c r="A1121">
        <v>2025</v>
      </c>
      <c r="B1121" s="31" t="s">
        <v>149</v>
      </c>
      <c r="C1121" s="31" t="s">
        <v>159</v>
      </c>
      <c r="D1121" s="32">
        <v>3</v>
      </c>
      <c r="E1121" s="32">
        <v>15</v>
      </c>
      <c r="F1121" s="32">
        <v>6</v>
      </c>
      <c r="G1121" s="32">
        <v>34</v>
      </c>
      <c r="H1121" s="31" t="s">
        <v>42</v>
      </c>
      <c r="I1121" s="2">
        <v>57.6</v>
      </c>
      <c r="J1121">
        <v>33.206798347728125</v>
      </c>
      <c r="K1121">
        <v>14.262499999999999</v>
      </c>
      <c r="M1121">
        <v>5</v>
      </c>
    </row>
    <row r="1122" spans="1:13" x14ac:dyDescent="0.25">
      <c r="A1122">
        <v>2025</v>
      </c>
      <c r="B1122" s="31" t="s">
        <v>149</v>
      </c>
      <c r="C1122" s="31" t="s">
        <v>159</v>
      </c>
      <c r="D1122" s="32">
        <v>3</v>
      </c>
      <c r="E1122" s="32">
        <v>14</v>
      </c>
      <c r="F1122" s="32">
        <v>6</v>
      </c>
      <c r="G1122" s="32">
        <v>49</v>
      </c>
      <c r="H1122" s="31" t="s">
        <v>151</v>
      </c>
      <c r="I1122" s="2">
        <v>57.8</v>
      </c>
      <c r="J1122">
        <v>38.266975966954568</v>
      </c>
      <c r="K1122">
        <v>15.5625</v>
      </c>
      <c r="M1122">
        <v>1</v>
      </c>
    </row>
    <row r="1123" spans="1:13" x14ac:dyDescent="0.25">
      <c r="A1123">
        <v>2025</v>
      </c>
      <c r="B1123" s="31" t="s">
        <v>149</v>
      </c>
      <c r="C1123" s="31" t="s">
        <v>159</v>
      </c>
      <c r="D1123" s="32">
        <v>3</v>
      </c>
      <c r="E1123" s="32">
        <v>13</v>
      </c>
      <c r="F1123" s="32">
        <v>6</v>
      </c>
      <c r="G1123" s="32">
        <v>14</v>
      </c>
      <c r="H1123" s="31" t="s">
        <v>30</v>
      </c>
      <c r="I1123" s="2">
        <v>58.3</v>
      </c>
      <c r="J1123">
        <v>58.739250281637254</v>
      </c>
      <c r="K1123">
        <v>13.1625</v>
      </c>
      <c r="M1123">
        <v>3</v>
      </c>
    </row>
    <row r="1124" spans="1:13" x14ac:dyDescent="0.25">
      <c r="A1124">
        <v>2025</v>
      </c>
      <c r="B1124" s="31" t="s">
        <v>149</v>
      </c>
      <c r="C1124" s="31" t="s">
        <v>159</v>
      </c>
      <c r="D1124" s="32">
        <v>3</v>
      </c>
      <c r="E1124" s="32">
        <v>12</v>
      </c>
      <c r="F1124" s="32">
        <v>6</v>
      </c>
      <c r="G1124" s="32">
        <v>2</v>
      </c>
      <c r="H1124" s="31" t="s">
        <v>126</v>
      </c>
      <c r="I1124" s="2">
        <v>58.7</v>
      </c>
      <c r="J1124">
        <v>53.282149455501305</v>
      </c>
      <c r="K1124">
        <v>14.0625</v>
      </c>
      <c r="M1124">
        <v>3</v>
      </c>
    </row>
    <row r="1125" spans="1:13" x14ac:dyDescent="0.25">
      <c r="A1125">
        <v>2025</v>
      </c>
      <c r="B1125" s="31" t="s">
        <v>149</v>
      </c>
      <c r="C1125" s="31" t="s">
        <v>159</v>
      </c>
      <c r="D1125" s="32">
        <v>3</v>
      </c>
      <c r="E1125" s="32">
        <v>11</v>
      </c>
      <c r="F1125" s="32">
        <v>6</v>
      </c>
      <c r="G1125" s="32">
        <v>16</v>
      </c>
      <c r="H1125" s="31" t="s">
        <v>32</v>
      </c>
      <c r="I1125" s="2">
        <v>58.8</v>
      </c>
      <c r="J1125">
        <v>67.367554449868564</v>
      </c>
      <c r="K1125">
        <v>14.1625</v>
      </c>
      <c r="M1125">
        <v>3</v>
      </c>
    </row>
    <row r="1126" spans="1:13" x14ac:dyDescent="0.25">
      <c r="A1126">
        <v>2025</v>
      </c>
      <c r="B1126" s="31" t="s">
        <v>149</v>
      </c>
      <c r="C1126" s="31" t="s">
        <v>159</v>
      </c>
      <c r="D1126" s="32">
        <v>3</v>
      </c>
      <c r="E1126" s="32">
        <v>10</v>
      </c>
      <c r="F1126" s="32">
        <v>6</v>
      </c>
      <c r="G1126" s="32">
        <v>60</v>
      </c>
      <c r="H1126" s="31" t="s">
        <v>154</v>
      </c>
      <c r="I1126" s="2">
        <v>59.2</v>
      </c>
      <c r="J1126">
        <v>49.297947803229434</v>
      </c>
      <c r="K1126">
        <v>14.4625</v>
      </c>
      <c r="M1126">
        <v>2</v>
      </c>
    </row>
    <row r="1127" spans="1:13" x14ac:dyDescent="0.25">
      <c r="A1127">
        <v>2025</v>
      </c>
      <c r="B1127" s="31" t="s">
        <v>149</v>
      </c>
      <c r="C1127" s="31" t="s">
        <v>159</v>
      </c>
      <c r="D1127" s="32">
        <v>3</v>
      </c>
      <c r="E1127" s="32">
        <v>9</v>
      </c>
      <c r="F1127" s="32">
        <v>6</v>
      </c>
      <c r="G1127" s="32">
        <v>46</v>
      </c>
      <c r="H1127" s="31" t="s">
        <v>127</v>
      </c>
      <c r="I1127" s="2">
        <v>58</v>
      </c>
      <c r="J1127">
        <v>64.97078539241457</v>
      </c>
      <c r="K1127">
        <v>15.4625</v>
      </c>
      <c r="M1127">
        <v>2</v>
      </c>
    </row>
    <row r="1128" spans="1:13" x14ac:dyDescent="0.25">
      <c r="A1128">
        <v>2025</v>
      </c>
      <c r="B1128" s="31" t="s">
        <v>149</v>
      </c>
      <c r="C1128" s="31" t="s">
        <v>159</v>
      </c>
      <c r="D1128" s="32">
        <v>3</v>
      </c>
      <c r="E1128" s="32">
        <v>8</v>
      </c>
      <c r="F1128" s="32">
        <v>6</v>
      </c>
      <c r="G1128" s="32">
        <v>45</v>
      </c>
      <c r="H1128" s="31" t="s">
        <v>39</v>
      </c>
      <c r="I1128" s="2">
        <v>56.2</v>
      </c>
      <c r="J1128">
        <v>59.355332895230937</v>
      </c>
      <c r="K1128">
        <v>14.9625</v>
      </c>
      <c r="M1128">
        <v>3</v>
      </c>
    </row>
    <row r="1129" spans="1:13" x14ac:dyDescent="0.25">
      <c r="A1129">
        <v>2025</v>
      </c>
      <c r="B1129" s="31" t="s">
        <v>149</v>
      </c>
      <c r="C1129" s="31" t="s">
        <v>159</v>
      </c>
      <c r="D1129" s="32">
        <v>3</v>
      </c>
      <c r="E1129" s="32">
        <v>7</v>
      </c>
      <c r="F1129" s="32">
        <v>6</v>
      </c>
      <c r="G1129" s="32">
        <v>29</v>
      </c>
      <c r="H1129" s="31" t="s">
        <v>27</v>
      </c>
      <c r="I1129" s="2">
        <v>57.4</v>
      </c>
      <c r="J1129">
        <v>70.632429215170859</v>
      </c>
      <c r="K1129">
        <v>15.362500000000001</v>
      </c>
      <c r="M1129">
        <v>4</v>
      </c>
    </row>
    <row r="1130" spans="1:13" x14ac:dyDescent="0.25">
      <c r="A1130">
        <v>2025</v>
      </c>
      <c r="B1130" s="31" t="s">
        <v>149</v>
      </c>
      <c r="C1130" s="31" t="s">
        <v>159</v>
      </c>
      <c r="D1130" s="32">
        <v>3</v>
      </c>
      <c r="E1130" s="32">
        <v>6</v>
      </c>
      <c r="F1130" s="32">
        <v>6</v>
      </c>
      <c r="G1130" s="32">
        <v>24</v>
      </c>
      <c r="H1130" s="31" t="s">
        <v>40</v>
      </c>
      <c r="I1130" s="2">
        <v>56.2</v>
      </c>
      <c r="J1130">
        <v>63.187329327825758</v>
      </c>
      <c r="K1130">
        <v>13.762499999999999</v>
      </c>
      <c r="M1130">
        <v>2</v>
      </c>
    </row>
    <row r="1131" spans="1:13" x14ac:dyDescent="0.25">
      <c r="A1131">
        <v>2025</v>
      </c>
      <c r="B1131" s="31" t="s">
        <v>149</v>
      </c>
      <c r="C1131" s="31" t="s">
        <v>159</v>
      </c>
      <c r="D1131" s="32">
        <v>3</v>
      </c>
      <c r="E1131" s="32">
        <v>5</v>
      </c>
      <c r="F1131" s="32">
        <v>6</v>
      </c>
      <c r="G1131" s="32">
        <v>23</v>
      </c>
      <c r="H1131" s="31" t="s">
        <v>37</v>
      </c>
      <c r="I1131" s="2">
        <v>58</v>
      </c>
      <c r="J1131">
        <v>70.476041682313181</v>
      </c>
      <c r="K1131">
        <v>14.362500000000001</v>
      </c>
      <c r="M1131">
        <v>4</v>
      </c>
    </row>
    <row r="1132" spans="1:13" x14ac:dyDescent="0.25">
      <c r="A1132">
        <v>2025</v>
      </c>
      <c r="B1132" s="31" t="s">
        <v>149</v>
      </c>
      <c r="C1132" s="31" t="s">
        <v>159</v>
      </c>
      <c r="D1132" s="32">
        <v>3</v>
      </c>
      <c r="E1132" s="32">
        <v>4</v>
      </c>
      <c r="F1132" s="32">
        <v>6</v>
      </c>
      <c r="G1132" s="32">
        <v>5</v>
      </c>
      <c r="H1132" s="31" t="s">
        <v>128</v>
      </c>
      <c r="I1132" s="14">
        <v>57.7</v>
      </c>
      <c r="J1132">
        <v>56.068102891475775</v>
      </c>
      <c r="K1132">
        <v>12.862500000000001</v>
      </c>
      <c r="M1132">
        <v>1</v>
      </c>
    </row>
    <row r="1133" spans="1:13" x14ac:dyDescent="0.25">
      <c r="A1133">
        <v>2025</v>
      </c>
      <c r="B1133" s="31" t="s">
        <v>149</v>
      </c>
      <c r="C1133" s="31" t="s">
        <v>159</v>
      </c>
      <c r="D1133" s="32">
        <v>3</v>
      </c>
      <c r="E1133" s="32">
        <v>3</v>
      </c>
      <c r="F1133" s="32">
        <v>6</v>
      </c>
      <c r="G1133" s="32">
        <v>31</v>
      </c>
      <c r="H1133" s="31" t="s">
        <v>36</v>
      </c>
      <c r="I1133" s="2">
        <v>57</v>
      </c>
      <c r="J1133">
        <v>54.802435786706724</v>
      </c>
      <c r="K1133">
        <v>13.4625</v>
      </c>
      <c r="M1133">
        <v>2</v>
      </c>
    </row>
    <row r="1134" spans="1:13" x14ac:dyDescent="0.25">
      <c r="A1134">
        <v>2025</v>
      </c>
      <c r="B1134" s="31" t="s">
        <v>149</v>
      </c>
      <c r="C1134" s="31" t="s">
        <v>159</v>
      </c>
      <c r="D1134" s="32">
        <v>3</v>
      </c>
      <c r="E1134" s="32">
        <v>2</v>
      </c>
      <c r="F1134" s="32">
        <v>6</v>
      </c>
      <c r="G1134" s="32">
        <v>9</v>
      </c>
      <c r="H1134" s="31" t="s">
        <v>94</v>
      </c>
      <c r="I1134" s="2">
        <v>58.5</v>
      </c>
      <c r="J1134">
        <v>46.29527619226436</v>
      </c>
      <c r="K1134">
        <v>13.4625</v>
      </c>
      <c r="M1134">
        <v>2</v>
      </c>
    </row>
    <row r="1135" spans="1:13" x14ac:dyDescent="0.25">
      <c r="A1135">
        <v>2025</v>
      </c>
      <c r="B1135" s="31" t="s">
        <v>149</v>
      </c>
      <c r="C1135" s="31" t="s">
        <v>159</v>
      </c>
      <c r="D1135" s="32">
        <v>3</v>
      </c>
      <c r="E1135" s="32">
        <v>1</v>
      </c>
      <c r="F1135" s="32">
        <v>6</v>
      </c>
      <c r="G1135" s="32">
        <v>43</v>
      </c>
      <c r="H1135" s="31" t="s">
        <v>125</v>
      </c>
      <c r="I1135" s="2">
        <v>55</v>
      </c>
      <c r="J1135">
        <v>44.009744273375901</v>
      </c>
      <c r="K1135">
        <v>14.362500000000001</v>
      </c>
      <c r="M1135">
        <v>2</v>
      </c>
    </row>
    <row r="1136" spans="1:13" x14ac:dyDescent="0.25">
      <c r="A1136">
        <v>2025</v>
      </c>
      <c r="B1136" s="31" t="s">
        <v>149</v>
      </c>
      <c r="C1136" s="31" t="s">
        <v>11</v>
      </c>
      <c r="D1136" s="32">
        <v>1</v>
      </c>
      <c r="E1136" s="32">
        <v>5</v>
      </c>
      <c r="F1136" s="32">
        <v>3</v>
      </c>
      <c r="G1136" s="11">
        <v>30</v>
      </c>
      <c r="H1136" s="2" t="s">
        <v>21</v>
      </c>
      <c r="I1136" s="2">
        <v>58.7</v>
      </c>
      <c r="J1136">
        <v>33.919317101008183</v>
      </c>
      <c r="K1136">
        <v>15.4</v>
      </c>
      <c r="M1136">
        <v>1</v>
      </c>
    </row>
    <row r="1137" spans="1:13" x14ac:dyDescent="0.25">
      <c r="A1137">
        <v>2025</v>
      </c>
      <c r="B1137" s="31" t="s">
        <v>149</v>
      </c>
      <c r="C1137" s="31" t="s">
        <v>11</v>
      </c>
      <c r="D1137" s="32">
        <v>2</v>
      </c>
      <c r="E1137" s="32">
        <v>4</v>
      </c>
      <c r="F1137" s="32">
        <v>5</v>
      </c>
      <c r="G1137" s="11">
        <v>30</v>
      </c>
      <c r="H1137" s="2" t="s">
        <v>21</v>
      </c>
      <c r="I1137" s="2">
        <v>60.6</v>
      </c>
      <c r="J1137">
        <v>27.661778650447772</v>
      </c>
      <c r="M1137">
        <v>1</v>
      </c>
    </row>
    <row r="1138" spans="1:13" x14ac:dyDescent="0.25">
      <c r="A1138">
        <v>2025</v>
      </c>
      <c r="B1138" s="31" t="s">
        <v>149</v>
      </c>
      <c r="C1138" s="31" t="s">
        <v>11</v>
      </c>
      <c r="D1138" s="32">
        <v>3</v>
      </c>
      <c r="E1138" s="32">
        <v>3</v>
      </c>
      <c r="F1138" s="32">
        <v>9</v>
      </c>
      <c r="G1138" s="11">
        <v>30</v>
      </c>
      <c r="H1138" s="2" t="s">
        <v>21</v>
      </c>
      <c r="I1138" s="2">
        <v>59.2</v>
      </c>
      <c r="J1138">
        <v>41.210701264264394</v>
      </c>
      <c r="M1138">
        <v>1</v>
      </c>
    </row>
    <row r="1139" spans="1:13" x14ac:dyDescent="0.25">
      <c r="A1139">
        <v>2025</v>
      </c>
      <c r="B1139" s="31" t="s">
        <v>149</v>
      </c>
      <c r="C1139" s="31" t="s">
        <v>11</v>
      </c>
      <c r="D1139" s="32">
        <v>1</v>
      </c>
      <c r="E1139" s="32">
        <v>2</v>
      </c>
      <c r="F1139" s="32">
        <v>1</v>
      </c>
      <c r="G1139" s="11">
        <v>39</v>
      </c>
      <c r="H1139" s="2" t="s">
        <v>22</v>
      </c>
      <c r="I1139" s="2">
        <v>58.7</v>
      </c>
      <c r="J1139">
        <v>29.392416536582903</v>
      </c>
      <c r="K1139">
        <v>15.6</v>
      </c>
      <c r="M1139">
        <v>5</v>
      </c>
    </row>
    <row r="1140" spans="1:13" x14ac:dyDescent="0.25">
      <c r="A1140">
        <v>2025</v>
      </c>
      <c r="B1140" s="31" t="s">
        <v>149</v>
      </c>
      <c r="C1140" s="31" t="s">
        <v>11</v>
      </c>
      <c r="D1140" s="32">
        <v>2</v>
      </c>
      <c r="E1140" s="32">
        <v>8</v>
      </c>
      <c r="F1140" s="32">
        <v>6</v>
      </c>
      <c r="G1140" s="11">
        <v>39</v>
      </c>
      <c r="H1140" s="2" t="s">
        <v>22</v>
      </c>
      <c r="I1140" s="2">
        <v>56.9</v>
      </c>
      <c r="J1140">
        <v>19.372246010120666</v>
      </c>
      <c r="M1140">
        <v>3</v>
      </c>
    </row>
    <row r="1141" spans="1:13" x14ac:dyDescent="0.25">
      <c r="A1141">
        <v>2025</v>
      </c>
      <c r="B1141" s="31" t="s">
        <v>149</v>
      </c>
      <c r="C1141" s="31" t="s">
        <v>11</v>
      </c>
      <c r="D1141" s="32">
        <v>3</v>
      </c>
      <c r="E1141" s="32">
        <v>15</v>
      </c>
      <c r="F1141" s="32">
        <v>9</v>
      </c>
      <c r="G1141" s="11">
        <v>39</v>
      </c>
      <c r="H1141" s="2" t="s">
        <v>22</v>
      </c>
      <c r="I1141" s="2">
        <v>57.5</v>
      </c>
      <c r="J1141">
        <v>29.851600928074237</v>
      </c>
      <c r="M1141">
        <v>4</v>
      </c>
    </row>
    <row r="1142" spans="1:13" x14ac:dyDescent="0.25">
      <c r="A1142">
        <v>2025</v>
      </c>
      <c r="B1142" s="31" t="s">
        <v>149</v>
      </c>
      <c r="C1142" s="31" t="s">
        <v>11</v>
      </c>
      <c r="D1142" s="32">
        <v>1</v>
      </c>
      <c r="E1142" s="32">
        <v>3</v>
      </c>
      <c r="F1142" s="32">
        <v>2</v>
      </c>
      <c r="G1142" s="11">
        <v>38</v>
      </c>
      <c r="H1142" s="2" t="s">
        <v>23</v>
      </c>
      <c r="I1142" s="2">
        <v>57.7</v>
      </c>
      <c r="J1142">
        <v>32.581871185431446</v>
      </c>
      <c r="K1142">
        <v>15.3</v>
      </c>
      <c r="M1142">
        <v>1</v>
      </c>
    </row>
    <row r="1143" spans="1:13" x14ac:dyDescent="0.25">
      <c r="A1143">
        <v>2025</v>
      </c>
      <c r="B1143" s="31" t="s">
        <v>149</v>
      </c>
      <c r="C1143" s="31" t="s">
        <v>11</v>
      </c>
      <c r="D1143" s="32">
        <v>2</v>
      </c>
      <c r="E1143" s="32">
        <v>13</v>
      </c>
      <c r="F1143" s="32">
        <v>6</v>
      </c>
      <c r="G1143" s="11">
        <v>38</v>
      </c>
      <c r="H1143" s="2" t="s">
        <v>23</v>
      </c>
      <c r="I1143" s="2">
        <v>57.8</v>
      </c>
      <c r="J1143">
        <v>40.104104223433232</v>
      </c>
      <c r="M1143">
        <v>1</v>
      </c>
    </row>
    <row r="1144" spans="1:13" x14ac:dyDescent="0.25">
      <c r="A1144">
        <v>2025</v>
      </c>
      <c r="B1144" s="31" t="s">
        <v>149</v>
      </c>
      <c r="C1144" s="31" t="s">
        <v>11</v>
      </c>
      <c r="D1144" s="32">
        <v>3</v>
      </c>
      <c r="E1144" s="32">
        <v>12</v>
      </c>
      <c r="F1144" s="32">
        <v>8</v>
      </c>
      <c r="G1144" s="11">
        <v>38</v>
      </c>
      <c r="H1144" s="2" t="s">
        <v>23</v>
      </c>
      <c r="I1144" s="2">
        <v>56.7</v>
      </c>
      <c r="J1144">
        <v>40.440340909090907</v>
      </c>
      <c r="M1144">
        <v>1</v>
      </c>
    </row>
    <row r="1145" spans="1:13" x14ac:dyDescent="0.25">
      <c r="A1145">
        <v>2025</v>
      </c>
      <c r="B1145" s="31" t="s">
        <v>149</v>
      </c>
      <c r="C1145" s="31" t="s">
        <v>11</v>
      </c>
      <c r="D1145" s="32">
        <v>1</v>
      </c>
      <c r="E1145" s="32">
        <v>1</v>
      </c>
      <c r="F1145" s="32">
        <v>2</v>
      </c>
      <c r="G1145" s="11">
        <v>37</v>
      </c>
      <c r="H1145" s="2" t="s">
        <v>89</v>
      </c>
      <c r="I1145" s="2">
        <v>60.1</v>
      </c>
      <c r="J1145">
        <v>23.317292710762665</v>
      </c>
      <c r="K1145">
        <v>15.9</v>
      </c>
      <c r="M1145">
        <v>4</v>
      </c>
    </row>
    <row r="1146" spans="1:13" x14ac:dyDescent="0.25">
      <c r="A1146">
        <v>2025</v>
      </c>
      <c r="B1146" s="31" t="s">
        <v>149</v>
      </c>
      <c r="C1146" s="31" t="s">
        <v>11</v>
      </c>
      <c r="D1146" s="32">
        <v>2</v>
      </c>
      <c r="E1146" s="32">
        <v>16</v>
      </c>
      <c r="F1146" s="32">
        <v>4</v>
      </c>
      <c r="G1146" s="11">
        <v>37</v>
      </c>
      <c r="H1146" s="2" t="s">
        <v>89</v>
      </c>
      <c r="I1146" s="2">
        <v>59.1</v>
      </c>
      <c r="J1146">
        <v>19.166686487290022</v>
      </c>
      <c r="M1146">
        <v>3</v>
      </c>
    </row>
    <row r="1147" spans="1:13" x14ac:dyDescent="0.25">
      <c r="A1147">
        <v>2025</v>
      </c>
      <c r="B1147" s="31" t="s">
        <v>149</v>
      </c>
      <c r="C1147" s="31" t="s">
        <v>11</v>
      </c>
      <c r="D1147" s="32">
        <v>3</v>
      </c>
      <c r="E1147" s="32">
        <v>17</v>
      </c>
      <c r="F1147" s="32">
        <v>7</v>
      </c>
      <c r="G1147" s="11">
        <v>37</v>
      </c>
      <c r="H1147" s="2" t="s">
        <v>89</v>
      </c>
      <c r="I1147" s="2">
        <v>58.6</v>
      </c>
      <c r="J1147">
        <v>23.381978607083429</v>
      </c>
      <c r="M1147">
        <v>3</v>
      </c>
    </row>
    <row r="1148" spans="1:13" x14ac:dyDescent="0.25">
      <c r="A1148">
        <v>2025</v>
      </c>
      <c r="B1148" s="31" t="s">
        <v>149</v>
      </c>
      <c r="C1148" s="31" t="s">
        <v>11</v>
      </c>
      <c r="D1148" s="32">
        <v>1</v>
      </c>
      <c r="E1148" s="32">
        <v>8</v>
      </c>
      <c r="F1148" s="32">
        <v>3</v>
      </c>
      <c r="G1148" s="11">
        <v>40</v>
      </c>
      <c r="H1148" s="2" t="s">
        <v>121</v>
      </c>
      <c r="I1148" s="2">
        <v>58.7</v>
      </c>
      <c r="J1148">
        <v>17.38102529960053</v>
      </c>
      <c r="K1148">
        <v>14</v>
      </c>
      <c r="M1148">
        <v>4</v>
      </c>
    </row>
    <row r="1149" spans="1:13" x14ac:dyDescent="0.25">
      <c r="A1149">
        <v>2025</v>
      </c>
      <c r="B1149" s="31" t="s">
        <v>149</v>
      </c>
      <c r="C1149" s="31" t="s">
        <v>11</v>
      </c>
      <c r="D1149" s="32">
        <v>2</v>
      </c>
      <c r="E1149" s="32">
        <v>10</v>
      </c>
      <c r="F1149" s="32">
        <v>6</v>
      </c>
      <c r="G1149" s="11">
        <v>40</v>
      </c>
      <c r="H1149" s="2" t="s">
        <v>121</v>
      </c>
      <c r="I1149" s="2">
        <v>57.9</v>
      </c>
      <c r="J1149">
        <v>19.624274036590108</v>
      </c>
      <c r="M1149">
        <v>3</v>
      </c>
    </row>
    <row r="1150" spans="1:13" x14ac:dyDescent="0.25">
      <c r="A1150">
        <v>2025</v>
      </c>
      <c r="B1150" s="31" t="s">
        <v>149</v>
      </c>
      <c r="C1150" s="31" t="s">
        <v>11</v>
      </c>
      <c r="D1150" s="32">
        <v>3</v>
      </c>
      <c r="E1150" s="32">
        <v>18</v>
      </c>
      <c r="F1150" s="32">
        <v>7</v>
      </c>
      <c r="G1150" s="11">
        <v>40</v>
      </c>
      <c r="H1150" s="2" t="s">
        <v>121</v>
      </c>
      <c r="I1150" s="2">
        <v>62.3</v>
      </c>
      <c r="J1150">
        <v>28.960712146422626</v>
      </c>
      <c r="M1150">
        <v>3</v>
      </c>
    </row>
    <row r="1151" spans="1:13" x14ac:dyDescent="0.25">
      <c r="A1151">
        <v>2025</v>
      </c>
      <c r="B1151" s="31" t="s">
        <v>149</v>
      </c>
      <c r="C1151" s="31" t="s">
        <v>11</v>
      </c>
      <c r="D1151" s="32">
        <v>1</v>
      </c>
      <c r="E1151" s="32">
        <v>3</v>
      </c>
      <c r="F1151" s="32">
        <v>3</v>
      </c>
      <c r="G1151" s="11">
        <v>41</v>
      </c>
      <c r="H1151" s="2" t="s">
        <v>124</v>
      </c>
      <c r="I1151" s="2">
        <v>58.3</v>
      </c>
      <c r="J1151">
        <v>27.281966901274487</v>
      </c>
      <c r="K1151">
        <v>15.1</v>
      </c>
      <c r="M1151">
        <v>3</v>
      </c>
    </row>
    <row r="1152" spans="1:13" x14ac:dyDescent="0.25">
      <c r="A1152">
        <v>2025</v>
      </c>
      <c r="B1152" s="31" t="s">
        <v>149</v>
      </c>
      <c r="C1152" s="31" t="s">
        <v>11</v>
      </c>
      <c r="D1152" s="32">
        <v>2</v>
      </c>
      <c r="E1152" s="32">
        <v>17</v>
      </c>
      <c r="F1152" s="32">
        <v>6</v>
      </c>
      <c r="G1152" s="11">
        <v>41</v>
      </c>
      <c r="H1152" s="2" t="s">
        <v>124</v>
      </c>
      <c r="I1152" s="2" t="s">
        <v>12</v>
      </c>
      <c r="J1152">
        <v>16.952064032697546</v>
      </c>
      <c r="M1152">
        <v>3</v>
      </c>
    </row>
    <row r="1153" spans="1:13" x14ac:dyDescent="0.25">
      <c r="A1153">
        <v>2025</v>
      </c>
      <c r="B1153" s="31" t="s">
        <v>149</v>
      </c>
      <c r="C1153" s="31" t="s">
        <v>11</v>
      </c>
      <c r="D1153" s="32">
        <v>3</v>
      </c>
      <c r="E1153" s="32">
        <v>18</v>
      </c>
      <c r="F1153" s="32">
        <v>9</v>
      </c>
      <c r="G1153" s="11">
        <v>41</v>
      </c>
      <c r="H1153" s="2" t="s">
        <v>124</v>
      </c>
      <c r="I1153" s="2">
        <v>58</v>
      </c>
      <c r="J1153">
        <v>24.310994838770771</v>
      </c>
      <c r="M1153">
        <v>4</v>
      </c>
    </row>
    <row r="1154" spans="1:13" x14ac:dyDescent="0.25">
      <c r="A1154">
        <v>2025</v>
      </c>
      <c r="B1154" s="31" t="s">
        <v>149</v>
      </c>
      <c r="C1154" s="31" t="s">
        <v>11</v>
      </c>
      <c r="D1154" s="32">
        <v>1</v>
      </c>
      <c r="E1154" s="32">
        <v>13</v>
      </c>
      <c r="F1154" s="32">
        <v>3</v>
      </c>
      <c r="G1154" s="11">
        <v>20</v>
      </c>
      <c r="H1154" s="2" t="s">
        <v>24</v>
      </c>
      <c r="I1154" s="2">
        <v>60.9</v>
      </c>
      <c r="J1154">
        <v>24.14737492866654</v>
      </c>
      <c r="K1154">
        <v>15</v>
      </c>
      <c r="M1154">
        <v>4</v>
      </c>
    </row>
    <row r="1155" spans="1:13" x14ac:dyDescent="0.25">
      <c r="A1155">
        <v>2025</v>
      </c>
      <c r="B1155" s="31" t="s">
        <v>149</v>
      </c>
      <c r="C1155" s="31" t="s">
        <v>11</v>
      </c>
      <c r="D1155" s="32">
        <v>2</v>
      </c>
      <c r="E1155" s="32">
        <v>5</v>
      </c>
      <c r="F1155" s="32">
        <v>6</v>
      </c>
      <c r="G1155" s="11">
        <v>20</v>
      </c>
      <c r="H1155" s="2" t="s">
        <v>24</v>
      </c>
      <c r="I1155" s="2">
        <v>60.4</v>
      </c>
      <c r="J1155">
        <v>26.747245036979368</v>
      </c>
      <c r="M1155">
        <v>4</v>
      </c>
    </row>
    <row r="1156" spans="1:13" x14ac:dyDescent="0.25">
      <c r="A1156">
        <v>2025</v>
      </c>
      <c r="B1156" s="31" t="s">
        <v>149</v>
      </c>
      <c r="C1156" s="31" t="s">
        <v>11</v>
      </c>
      <c r="D1156" s="32">
        <v>3</v>
      </c>
      <c r="E1156" s="32">
        <v>2</v>
      </c>
      <c r="F1156" s="32">
        <v>9</v>
      </c>
      <c r="G1156" s="11">
        <v>20</v>
      </c>
      <c r="H1156" s="2" t="s">
        <v>24</v>
      </c>
      <c r="I1156" s="2">
        <v>61.8</v>
      </c>
      <c r="J1156">
        <v>40.822557886263539</v>
      </c>
      <c r="M1156">
        <v>3</v>
      </c>
    </row>
    <row r="1157" spans="1:13" x14ac:dyDescent="0.25">
      <c r="A1157">
        <v>2025</v>
      </c>
      <c r="B1157" s="31" t="s">
        <v>149</v>
      </c>
      <c r="C1157" s="31" t="s">
        <v>11</v>
      </c>
      <c r="D1157" s="32">
        <v>1</v>
      </c>
      <c r="E1157" s="32">
        <v>1</v>
      </c>
      <c r="F1157" s="32">
        <v>3</v>
      </c>
      <c r="G1157" s="11">
        <v>32</v>
      </c>
      <c r="H1157" s="2" t="s">
        <v>25</v>
      </c>
      <c r="I1157" s="2">
        <v>60.6</v>
      </c>
      <c r="J1157">
        <v>34.959786950732358</v>
      </c>
      <c r="K1157">
        <v>15.6</v>
      </c>
      <c r="M1157">
        <v>4</v>
      </c>
    </row>
    <row r="1158" spans="1:13" x14ac:dyDescent="0.25">
      <c r="A1158">
        <v>2025</v>
      </c>
      <c r="B1158" s="31" t="s">
        <v>149</v>
      </c>
      <c r="C1158" s="31" t="s">
        <v>11</v>
      </c>
      <c r="D1158" s="32">
        <v>2</v>
      </c>
      <c r="E1158" s="32">
        <v>9</v>
      </c>
      <c r="F1158" s="32">
        <v>6</v>
      </c>
      <c r="G1158" s="11">
        <v>32</v>
      </c>
      <c r="H1158" s="2" t="s">
        <v>25</v>
      </c>
      <c r="I1158" s="2">
        <v>59</v>
      </c>
      <c r="J1158">
        <v>25.235751265083689</v>
      </c>
      <c r="M1158">
        <v>3</v>
      </c>
    </row>
    <row r="1159" spans="1:13" x14ac:dyDescent="0.25">
      <c r="A1159">
        <v>2025</v>
      </c>
      <c r="B1159" s="31" t="s">
        <v>149</v>
      </c>
      <c r="C1159" s="31" t="s">
        <v>11</v>
      </c>
      <c r="D1159" s="32">
        <v>3</v>
      </c>
      <c r="E1159" s="32">
        <v>4</v>
      </c>
      <c r="F1159" s="32">
        <v>9</v>
      </c>
      <c r="G1159" s="11">
        <v>32</v>
      </c>
      <c r="H1159" s="2" t="s">
        <v>25</v>
      </c>
      <c r="I1159" s="14">
        <v>62.1</v>
      </c>
      <c r="J1159">
        <v>39.391537004593005</v>
      </c>
      <c r="M1159">
        <v>4</v>
      </c>
    </row>
    <row r="1160" spans="1:13" x14ac:dyDescent="0.25">
      <c r="A1160">
        <v>2025</v>
      </c>
      <c r="B1160" s="31" t="s">
        <v>149</v>
      </c>
      <c r="C1160" s="31" t="s">
        <v>11</v>
      </c>
      <c r="D1160" s="32">
        <v>1</v>
      </c>
      <c r="E1160" s="32">
        <v>3</v>
      </c>
      <c r="F1160" s="32">
        <v>1</v>
      </c>
      <c r="G1160" s="11">
        <v>21</v>
      </c>
      <c r="H1160" s="2" t="s">
        <v>26</v>
      </c>
      <c r="I1160" s="2">
        <v>56.4</v>
      </c>
      <c r="J1160">
        <v>18.067911274485116</v>
      </c>
      <c r="K1160">
        <v>15.9</v>
      </c>
      <c r="M1160">
        <v>4</v>
      </c>
    </row>
    <row r="1161" spans="1:13" x14ac:dyDescent="0.25">
      <c r="A1161">
        <v>2025</v>
      </c>
      <c r="B1161" s="31" t="s">
        <v>149</v>
      </c>
      <c r="C1161" s="31" t="s">
        <v>11</v>
      </c>
      <c r="D1161" s="32">
        <v>2</v>
      </c>
      <c r="E1161" s="32">
        <v>8</v>
      </c>
      <c r="F1161" s="32">
        <v>5</v>
      </c>
      <c r="G1161" s="11">
        <v>21</v>
      </c>
      <c r="H1161" s="2" t="s">
        <v>26</v>
      </c>
      <c r="I1161" s="2">
        <v>59.5</v>
      </c>
      <c r="J1161">
        <v>20.174693261816955</v>
      </c>
      <c r="M1161">
        <v>2</v>
      </c>
    </row>
    <row r="1162" spans="1:13" x14ac:dyDescent="0.25">
      <c r="A1162">
        <v>2025</v>
      </c>
      <c r="B1162" s="31" t="s">
        <v>149</v>
      </c>
      <c r="C1162" s="31" t="s">
        <v>11</v>
      </c>
      <c r="D1162" s="32">
        <v>3</v>
      </c>
      <c r="E1162" s="32">
        <v>7</v>
      </c>
      <c r="F1162" s="32">
        <v>8</v>
      </c>
      <c r="G1162" s="11">
        <v>21</v>
      </c>
      <c r="H1162" s="2" t="s">
        <v>26</v>
      </c>
      <c r="I1162" s="2">
        <v>60.4</v>
      </c>
      <c r="J1162">
        <v>30.989366883116876</v>
      </c>
      <c r="M1162">
        <v>3</v>
      </c>
    </row>
    <row r="1163" spans="1:13" x14ac:dyDescent="0.25">
      <c r="A1163">
        <v>2025</v>
      </c>
      <c r="B1163" s="31" t="s">
        <v>149</v>
      </c>
      <c r="C1163" s="31" t="s">
        <v>11</v>
      </c>
      <c r="D1163" s="32">
        <v>1</v>
      </c>
      <c r="E1163" s="32">
        <v>12</v>
      </c>
      <c r="F1163" s="32">
        <v>2</v>
      </c>
      <c r="G1163" s="11">
        <v>29</v>
      </c>
      <c r="H1163" s="2" t="s">
        <v>27</v>
      </c>
      <c r="I1163" s="2">
        <v>57.5</v>
      </c>
      <c r="J1163">
        <v>23.538941100580551</v>
      </c>
      <c r="K1163">
        <v>14.3</v>
      </c>
      <c r="M1163">
        <v>4</v>
      </c>
    </row>
    <row r="1164" spans="1:13" x14ac:dyDescent="0.25">
      <c r="A1164">
        <v>2025</v>
      </c>
      <c r="B1164" s="31" t="s">
        <v>149</v>
      </c>
      <c r="C1164" s="31" t="s">
        <v>11</v>
      </c>
      <c r="D1164" s="32">
        <v>2</v>
      </c>
      <c r="E1164" s="32">
        <v>7</v>
      </c>
      <c r="F1164" s="32">
        <v>4</v>
      </c>
      <c r="G1164" s="11">
        <v>29</v>
      </c>
      <c r="H1164" s="2" t="s">
        <v>27</v>
      </c>
      <c r="I1164" s="2">
        <v>58.7</v>
      </c>
      <c r="J1164">
        <v>21.265990783410135</v>
      </c>
      <c r="M1164">
        <v>4</v>
      </c>
    </row>
    <row r="1165" spans="1:13" x14ac:dyDescent="0.25">
      <c r="A1165">
        <v>2025</v>
      </c>
      <c r="B1165" s="31" t="s">
        <v>149</v>
      </c>
      <c r="C1165" s="31" t="s">
        <v>11</v>
      </c>
      <c r="D1165" s="32">
        <v>3</v>
      </c>
      <c r="E1165" s="32">
        <v>10</v>
      </c>
      <c r="F1165" s="32">
        <v>9</v>
      </c>
      <c r="G1165" s="11">
        <v>29</v>
      </c>
      <c r="H1165" s="2" t="s">
        <v>27</v>
      </c>
      <c r="I1165" s="2">
        <v>63.5</v>
      </c>
      <c r="J1165">
        <v>29.770597092665366</v>
      </c>
      <c r="M1165">
        <v>3</v>
      </c>
    </row>
    <row r="1166" spans="1:13" x14ac:dyDescent="0.25">
      <c r="A1166">
        <v>2025</v>
      </c>
      <c r="B1166" s="31" t="s">
        <v>149</v>
      </c>
      <c r="C1166" s="31" t="s">
        <v>11</v>
      </c>
      <c r="D1166" s="32">
        <v>1</v>
      </c>
      <c r="E1166" s="32">
        <v>9</v>
      </c>
      <c r="F1166" s="32">
        <v>2</v>
      </c>
      <c r="G1166" s="11">
        <v>22</v>
      </c>
      <c r="H1166" s="2" t="s">
        <v>28</v>
      </c>
      <c r="I1166" s="2">
        <v>63.1</v>
      </c>
      <c r="J1166">
        <v>29.15059494864288</v>
      </c>
      <c r="K1166">
        <v>12.7</v>
      </c>
      <c r="M1166">
        <v>3</v>
      </c>
    </row>
    <row r="1167" spans="1:13" x14ac:dyDescent="0.25">
      <c r="A1167">
        <v>2025</v>
      </c>
      <c r="B1167" s="31" t="s">
        <v>149</v>
      </c>
      <c r="C1167" s="31" t="s">
        <v>11</v>
      </c>
      <c r="D1167" s="32">
        <v>2</v>
      </c>
      <c r="E1167" s="32">
        <v>11</v>
      </c>
      <c r="F1167" s="32">
        <v>4</v>
      </c>
      <c r="G1167" s="11">
        <v>22</v>
      </c>
      <c r="H1167" s="2" t="s">
        <v>28</v>
      </c>
      <c r="I1167" s="2">
        <v>62.5</v>
      </c>
      <c r="J1167">
        <v>27.736482830385011</v>
      </c>
      <c r="M1167">
        <v>3</v>
      </c>
    </row>
    <row r="1168" spans="1:13" x14ac:dyDescent="0.25">
      <c r="A1168">
        <v>2025</v>
      </c>
      <c r="B1168" s="31" t="s">
        <v>149</v>
      </c>
      <c r="C1168" s="31" t="s">
        <v>11</v>
      </c>
      <c r="D1168" s="32">
        <v>3</v>
      </c>
      <c r="E1168" s="32">
        <v>1</v>
      </c>
      <c r="F1168" s="32">
        <v>9</v>
      </c>
      <c r="G1168" s="11">
        <v>22</v>
      </c>
      <c r="H1168" s="2" t="s">
        <v>28</v>
      </c>
      <c r="I1168" s="2">
        <v>62.6</v>
      </c>
      <c r="J1168">
        <v>35.596497940243374</v>
      </c>
      <c r="M1168">
        <v>4</v>
      </c>
    </row>
    <row r="1169" spans="1:13" x14ac:dyDescent="0.25">
      <c r="A1169">
        <v>2025</v>
      </c>
      <c r="B1169" s="31" t="s">
        <v>149</v>
      </c>
      <c r="C1169" s="31" t="s">
        <v>11</v>
      </c>
      <c r="D1169" s="32">
        <v>1</v>
      </c>
      <c r="E1169" s="32">
        <v>8</v>
      </c>
      <c r="F1169" s="32">
        <v>2</v>
      </c>
      <c r="G1169" s="11">
        <v>18</v>
      </c>
      <c r="H1169" s="2" t="s">
        <v>29</v>
      </c>
      <c r="I1169" s="2" t="s">
        <v>12</v>
      </c>
      <c r="J1169">
        <v>17.356292115317814</v>
      </c>
      <c r="K1169">
        <v>15</v>
      </c>
      <c r="M1169">
        <v>2</v>
      </c>
    </row>
    <row r="1170" spans="1:13" x14ac:dyDescent="0.25">
      <c r="A1170">
        <v>2025</v>
      </c>
      <c r="B1170" s="31" t="s">
        <v>149</v>
      </c>
      <c r="C1170" s="31" t="s">
        <v>11</v>
      </c>
      <c r="D1170" s="32">
        <v>2</v>
      </c>
      <c r="E1170" s="32">
        <v>17</v>
      </c>
      <c r="F1170" s="32">
        <v>4</v>
      </c>
      <c r="G1170" s="11">
        <v>18</v>
      </c>
      <c r="H1170" s="2" t="s">
        <v>29</v>
      </c>
      <c r="I1170" s="2">
        <v>58.2</v>
      </c>
      <c r="J1170">
        <v>19.5376482830385</v>
      </c>
      <c r="M1170">
        <v>3</v>
      </c>
    </row>
    <row r="1171" spans="1:13" x14ac:dyDescent="0.25">
      <c r="A1171">
        <v>2025</v>
      </c>
      <c r="B1171" s="31" t="s">
        <v>149</v>
      </c>
      <c r="C1171" s="31" t="s">
        <v>11</v>
      </c>
      <c r="D1171" s="32">
        <v>3</v>
      </c>
      <c r="E1171" s="32">
        <v>7</v>
      </c>
      <c r="F1171" s="32">
        <v>7</v>
      </c>
      <c r="G1171" s="11">
        <v>18</v>
      </c>
      <c r="H1171" s="2" t="s">
        <v>29</v>
      </c>
      <c r="I1171" s="2">
        <v>58.6</v>
      </c>
      <c r="J1171">
        <v>30.385916805324456</v>
      </c>
      <c r="M1171">
        <v>2</v>
      </c>
    </row>
    <row r="1172" spans="1:13" x14ac:dyDescent="0.25">
      <c r="A1172">
        <v>2025</v>
      </c>
      <c r="B1172" s="31" t="s">
        <v>149</v>
      </c>
      <c r="C1172" s="31" t="s">
        <v>11</v>
      </c>
      <c r="D1172" s="32">
        <v>1</v>
      </c>
      <c r="E1172" s="32">
        <v>12</v>
      </c>
      <c r="F1172" s="32">
        <v>1</v>
      </c>
      <c r="G1172" s="11">
        <v>14</v>
      </c>
      <c r="H1172" s="2" t="s">
        <v>30</v>
      </c>
      <c r="I1172" s="2" t="s">
        <v>12</v>
      </c>
      <c r="J1172">
        <v>18.332572637091495</v>
      </c>
      <c r="K1172">
        <v>15.7</v>
      </c>
      <c r="M1172">
        <v>4</v>
      </c>
    </row>
    <row r="1173" spans="1:13" x14ac:dyDescent="0.25">
      <c r="A1173">
        <v>2025</v>
      </c>
      <c r="B1173" s="31" t="s">
        <v>149</v>
      </c>
      <c r="C1173" s="31" t="s">
        <v>11</v>
      </c>
      <c r="D1173" s="32">
        <v>2</v>
      </c>
      <c r="E1173" s="32">
        <v>14</v>
      </c>
      <c r="F1173" s="32">
        <v>5</v>
      </c>
      <c r="G1173" s="11">
        <v>14</v>
      </c>
      <c r="H1173" s="2" t="s">
        <v>30</v>
      </c>
      <c r="I1173" s="2">
        <v>61</v>
      </c>
      <c r="J1173">
        <v>25.792057851635452</v>
      </c>
      <c r="M1173">
        <v>3</v>
      </c>
    </row>
    <row r="1174" spans="1:13" x14ac:dyDescent="0.25">
      <c r="A1174">
        <v>2025</v>
      </c>
      <c r="B1174" s="31" t="s">
        <v>149</v>
      </c>
      <c r="C1174" s="31" t="s">
        <v>11</v>
      </c>
      <c r="D1174" s="32">
        <v>3</v>
      </c>
      <c r="E1174" s="32">
        <v>17</v>
      </c>
      <c r="F1174" s="32">
        <v>9</v>
      </c>
      <c r="G1174" s="11">
        <v>14</v>
      </c>
      <c r="H1174" s="2" t="s">
        <v>30</v>
      </c>
      <c r="I1174" s="2">
        <v>58.9</v>
      </c>
      <c r="J1174">
        <v>27.867006960556839</v>
      </c>
      <c r="M1174">
        <v>3</v>
      </c>
    </row>
    <row r="1175" spans="1:13" x14ac:dyDescent="0.25">
      <c r="A1175">
        <v>2025</v>
      </c>
      <c r="B1175" s="31" t="s">
        <v>149</v>
      </c>
      <c r="C1175" s="31" t="s">
        <v>11</v>
      </c>
      <c r="D1175" s="32">
        <v>1</v>
      </c>
      <c r="E1175" s="32">
        <v>7</v>
      </c>
      <c r="F1175" s="32">
        <v>3</v>
      </c>
      <c r="G1175" s="11">
        <v>15</v>
      </c>
      <c r="H1175" s="2" t="s">
        <v>31</v>
      </c>
      <c r="I1175" s="2">
        <v>59.8</v>
      </c>
      <c r="J1175">
        <v>21.023328894806927</v>
      </c>
      <c r="K1175">
        <v>14.1</v>
      </c>
      <c r="M1175">
        <v>3</v>
      </c>
    </row>
    <row r="1176" spans="1:13" x14ac:dyDescent="0.25">
      <c r="A1176">
        <v>2025</v>
      </c>
      <c r="B1176" s="31" t="s">
        <v>149</v>
      </c>
      <c r="C1176" s="31" t="s">
        <v>11</v>
      </c>
      <c r="D1176" s="32">
        <v>2</v>
      </c>
      <c r="E1176" s="32">
        <v>15</v>
      </c>
      <c r="F1176" s="32">
        <v>5</v>
      </c>
      <c r="G1176" s="11">
        <v>15</v>
      </c>
      <c r="H1176" s="2" t="s">
        <v>31</v>
      </c>
      <c r="I1176" s="2">
        <v>59.1</v>
      </c>
      <c r="J1176">
        <v>20.476088309946839</v>
      </c>
      <c r="M1176">
        <v>3</v>
      </c>
    </row>
    <row r="1177" spans="1:13" x14ac:dyDescent="0.25">
      <c r="A1177">
        <v>2025</v>
      </c>
      <c r="B1177" s="31" t="s">
        <v>149</v>
      </c>
      <c r="C1177" s="31" t="s">
        <v>11</v>
      </c>
      <c r="D1177" s="32">
        <v>3</v>
      </c>
      <c r="E1177" s="32">
        <v>8</v>
      </c>
      <c r="F1177" s="32">
        <v>8</v>
      </c>
      <c r="G1177" s="11">
        <v>15</v>
      </c>
      <c r="H1177" s="2" t="s">
        <v>31</v>
      </c>
      <c r="I1177" s="2">
        <v>56.8</v>
      </c>
      <c r="J1177">
        <v>18.088831168831167</v>
      </c>
      <c r="M1177">
        <v>3</v>
      </c>
    </row>
    <row r="1178" spans="1:13" x14ac:dyDescent="0.25">
      <c r="A1178">
        <v>2025</v>
      </c>
      <c r="B1178" s="31" t="s">
        <v>149</v>
      </c>
      <c r="C1178" s="31" t="s">
        <v>11</v>
      </c>
      <c r="D1178" s="32">
        <v>1</v>
      </c>
      <c r="E1178" s="32">
        <v>17</v>
      </c>
      <c r="F1178" s="32">
        <v>2</v>
      </c>
      <c r="G1178" s="11">
        <v>16</v>
      </c>
      <c r="H1178" s="2" t="s">
        <v>32</v>
      </c>
      <c r="I1178" s="2">
        <v>60.5</v>
      </c>
      <c r="J1178">
        <v>23.774147769562841</v>
      </c>
      <c r="K1178">
        <v>15</v>
      </c>
      <c r="M1178">
        <v>3</v>
      </c>
    </row>
    <row r="1179" spans="1:13" x14ac:dyDescent="0.25">
      <c r="A1179">
        <v>2025</v>
      </c>
      <c r="B1179" s="31" t="s">
        <v>149</v>
      </c>
      <c r="C1179" s="31" t="s">
        <v>11</v>
      </c>
      <c r="D1179" s="32">
        <v>2</v>
      </c>
      <c r="E1179" s="32">
        <v>1</v>
      </c>
      <c r="F1179" s="32">
        <v>5</v>
      </c>
      <c r="G1179" s="11">
        <v>16</v>
      </c>
      <c r="H1179" s="2" t="s">
        <v>32</v>
      </c>
      <c r="I1179" s="2">
        <v>58.3</v>
      </c>
      <c r="J1179">
        <v>30.353330779177234</v>
      </c>
      <c r="M1179">
        <v>3</v>
      </c>
    </row>
    <row r="1180" spans="1:13" x14ac:dyDescent="0.25">
      <c r="A1180">
        <v>2025</v>
      </c>
      <c r="B1180" s="31" t="s">
        <v>149</v>
      </c>
      <c r="C1180" s="31" t="s">
        <v>11</v>
      </c>
      <c r="D1180" s="32">
        <v>3</v>
      </c>
      <c r="E1180" s="32">
        <v>2</v>
      </c>
      <c r="F1180" s="32">
        <v>8</v>
      </c>
      <c r="G1180" s="11">
        <v>16</v>
      </c>
      <c r="H1180" s="2" t="s">
        <v>32</v>
      </c>
      <c r="I1180" s="2">
        <v>58.7</v>
      </c>
      <c r="J1180">
        <v>33.456038961038963</v>
      </c>
      <c r="M1180">
        <v>3</v>
      </c>
    </row>
    <row r="1181" spans="1:13" x14ac:dyDescent="0.25">
      <c r="A1181">
        <v>2025</v>
      </c>
      <c r="B1181" s="31" t="s">
        <v>149</v>
      </c>
      <c r="C1181" s="31" t="s">
        <v>11</v>
      </c>
      <c r="D1181" s="32">
        <v>1</v>
      </c>
      <c r="E1181" s="32">
        <v>17</v>
      </c>
      <c r="F1181" s="32">
        <v>1</v>
      </c>
      <c r="G1181" s="11">
        <v>11</v>
      </c>
      <c r="H1181" s="2" t="s">
        <v>90</v>
      </c>
      <c r="I1181" s="2">
        <v>61.2</v>
      </c>
      <c r="J1181">
        <v>27.122580190341903</v>
      </c>
      <c r="K1181">
        <v>15.1</v>
      </c>
      <c r="M1181">
        <v>5</v>
      </c>
    </row>
    <row r="1182" spans="1:13" x14ac:dyDescent="0.25">
      <c r="A1182">
        <v>2025</v>
      </c>
      <c r="B1182" s="31" t="s">
        <v>149</v>
      </c>
      <c r="C1182" s="31" t="s">
        <v>11</v>
      </c>
      <c r="D1182" s="32">
        <v>2</v>
      </c>
      <c r="E1182" s="32">
        <v>9</v>
      </c>
      <c r="F1182" s="32">
        <v>4</v>
      </c>
      <c r="G1182" s="11">
        <v>11</v>
      </c>
      <c r="H1182" s="2" t="s">
        <v>90</v>
      </c>
      <c r="I1182" s="2">
        <v>61.5</v>
      </c>
      <c r="J1182">
        <v>27.887379218076401</v>
      </c>
      <c r="M1182">
        <v>4</v>
      </c>
    </row>
    <row r="1183" spans="1:13" x14ac:dyDescent="0.25">
      <c r="A1183">
        <v>2025</v>
      </c>
      <c r="B1183" s="31" t="s">
        <v>149</v>
      </c>
      <c r="C1183" s="31" t="s">
        <v>11</v>
      </c>
      <c r="D1183" s="32">
        <v>3</v>
      </c>
      <c r="E1183" s="32">
        <v>12</v>
      </c>
      <c r="F1183" s="32">
        <v>7</v>
      </c>
      <c r="G1183" s="11">
        <v>11</v>
      </c>
      <c r="H1183" s="2" t="s">
        <v>90</v>
      </c>
      <c r="I1183" s="2">
        <v>59</v>
      </c>
      <c r="J1183">
        <v>30.787658664131211</v>
      </c>
      <c r="M1183">
        <v>4</v>
      </c>
    </row>
    <row r="1184" spans="1:13" x14ac:dyDescent="0.25">
      <c r="A1184">
        <v>2025</v>
      </c>
      <c r="B1184" s="31" t="s">
        <v>149</v>
      </c>
      <c r="C1184" s="31" t="s">
        <v>11</v>
      </c>
      <c r="D1184" s="32">
        <v>1</v>
      </c>
      <c r="E1184" s="32">
        <v>18</v>
      </c>
      <c r="F1184" s="32">
        <v>1</v>
      </c>
      <c r="G1184" s="11">
        <v>1</v>
      </c>
      <c r="H1184" s="2" t="s">
        <v>120</v>
      </c>
      <c r="I1184" s="2">
        <v>57.3</v>
      </c>
      <c r="J1184">
        <v>25.266810010574545</v>
      </c>
      <c r="K1184">
        <v>15.7</v>
      </c>
      <c r="M1184">
        <v>4</v>
      </c>
    </row>
    <row r="1185" spans="1:13" x14ac:dyDescent="0.25">
      <c r="A1185">
        <v>2025</v>
      </c>
      <c r="B1185" s="31" t="s">
        <v>149</v>
      </c>
      <c r="C1185" s="31" t="s">
        <v>11</v>
      </c>
      <c r="D1185" s="32">
        <v>2</v>
      </c>
      <c r="E1185" s="32">
        <v>12</v>
      </c>
      <c r="F1185" s="32">
        <v>5</v>
      </c>
      <c r="G1185" s="11">
        <v>1</v>
      </c>
      <c r="H1185" s="2" t="s">
        <v>120</v>
      </c>
      <c r="I1185" s="2">
        <v>57.6</v>
      </c>
      <c r="J1185">
        <v>21.039716488673911</v>
      </c>
      <c r="M1185">
        <v>2</v>
      </c>
    </row>
    <row r="1186" spans="1:13" x14ac:dyDescent="0.25">
      <c r="A1186">
        <v>2025</v>
      </c>
      <c r="B1186" s="31" t="s">
        <v>149</v>
      </c>
      <c r="C1186" s="31" t="s">
        <v>11</v>
      </c>
      <c r="D1186" s="32">
        <v>3</v>
      </c>
      <c r="E1186" s="32">
        <v>14</v>
      </c>
      <c r="F1186" s="32">
        <v>8</v>
      </c>
      <c r="G1186" s="11">
        <v>1</v>
      </c>
      <c r="H1186" s="2" t="s">
        <v>120</v>
      </c>
      <c r="I1186" s="2">
        <v>56.4</v>
      </c>
      <c r="J1186">
        <v>21.68571428571428</v>
      </c>
      <c r="M1186">
        <v>2</v>
      </c>
    </row>
    <row r="1187" spans="1:13" x14ac:dyDescent="0.25">
      <c r="A1187">
        <v>2025</v>
      </c>
      <c r="B1187" s="31" t="s">
        <v>149</v>
      </c>
      <c r="C1187" s="31" t="s">
        <v>11</v>
      </c>
      <c r="D1187" s="32">
        <v>1</v>
      </c>
      <c r="E1187" s="32">
        <v>10</v>
      </c>
      <c r="F1187" s="32">
        <v>1</v>
      </c>
      <c r="G1187" s="11">
        <v>17</v>
      </c>
      <c r="H1187" s="2" t="s">
        <v>33</v>
      </c>
      <c r="I1187" s="2">
        <v>60.7</v>
      </c>
      <c r="J1187">
        <v>23.779890729643981</v>
      </c>
      <c r="K1187">
        <v>14.3</v>
      </c>
      <c r="M1187">
        <v>3</v>
      </c>
    </row>
    <row r="1188" spans="1:13" x14ac:dyDescent="0.25">
      <c r="A1188">
        <v>2025</v>
      </c>
      <c r="B1188" s="31" t="s">
        <v>149</v>
      </c>
      <c r="C1188" s="31" t="s">
        <v>11</v>
      </c>
      <c r="D1188" s="32">
        <v>2</v>
      </c>
      <c r="E1188" s="32">
        <v>13</v>
      </c>
      <c r="F1188" s="32">
        <v>4</v>
      </c>
      <c r="G1188" s="11">
        <v>17</v>
      </c>
      <c r="H1188" s="2" t="s">
        <v>33</v>
      </c>
      <c r="I1188" s="2">
        <v>59.5</v>
      </c>
      <c r="J1188">
        <v>25.383460680838411</v>
      </c>
      <c r="M1188">
        <v>3</v>
      </c>
    </row>
    <row r="1189" spans="1:13" x14ac:dyDescent="0.25">
      <c r="A1189">
        <v>2025</v>
      </c>
      <c r="B1189" s="31" t="s">
        <v>149</v>
      </c>
      <c r="C1189" s="31" t="s">
        <v>11</v>
      </c>
      <c r="D1189" s="32">
        <v>3</v>
      </c>
      <c r="E1189" s="32">
        <v>11</v>
      </c>
      <c r="F1189" s="32">
        <v>9</v>
      </c>
      <c r="G1189" s="11">
        <v>17</v>
      </c>
      <c r="H1189" s="2" t="s">
        <v>33</v>
      </c>
      <c r="I1189" s="2">
        <v>59.2</v>
      </c>
      <c r="J1189">
        <v>30.608949287371555</v>
      </c>
      <c r="M1189">
        <v>3</v>
      </c>
    </row>
    <row r="1190" spans="1:13" x14ac:dyDescent="0.25">
      <c r="A1190">
        <v>2025</v>
      </c>
      <c r="B1190" s="31" t="s">
        <v>149</v>
      </c>
      <c r="C1190" s="31" t="s">
        <v>11</v>
      </c>
      <c r="D1190" s="32">
        <v>1</v>
      </c>
      <c r="E1190" s="32">
        <v>14</v>
      </c>
      <c r="F1190" s="32">
        <v>1</v>
      </c>
      <c r="G1190" s="11">
        <v>12</v>
      </c>
      <c r="H1190" s="2" t="s">
        <v>92</v>
      </c>
      <c r="I1190" s="2">
        <v>48.7</v>
      </c>
      <c r="J1190">
        <v>13.182468905785784</v>
      </c>
      <c r="K1190">
        <v>16.7</v>
      </c>
      <c r="M1190">
        <v>2</v>
      </c>
    </row>
    <row r="1191" spans="1:13" x14ac:dyDescent="0.25">
      <c r="A1191">
        <v>2025</v>
      </c>
      <c r="B1191" s="31" t="s">
        <v>149</v>
      </c>
      <c r="C1191" s="31" t="s">
        <v>11</v>
      </c>
      <c r="D1191" s="32">
        <v>2</v>
      </c>
      <c r="E1191" s="32">
        <v>2</v>
      </c>
      <c r="F1191" s="32">
        <v>4</v>
      </c>
      <c r="G1191" s="11">
        <v>12</v>
      </c>
      <c r="H1191" s="2" t="s">
        <v>92</v>
      </c>
      <c r="I1191" s="2" t="s">
        <v>12</v>
      </c>
      <c r="J1191">
        <v>10.207581388434663</v>
      </c>
      <c r="M1191">
        <v>1</v>
      </c>
    </row>
    <row r="1192" spans="1:13" x14ac:dyDescent="0.25">
      <c r="A1192">
        <v>2025</v>
      </c>
      <c r="B1192" s="31" t="s">
        <v>149</v>
      </c>
      <c r="C1192" s="31" t="s">
        <v>11</v>
      </c>
      <c r="D1192" s="32">
        <v>3</v>
      </c>
      <c r="E1192" s="32">
        <v>12</v>
      </c>
      <c r="F1192" s="32">
        <v>9</v>
      </c>
      <c r="G1192" s="11">
        <v>12</v>
      </c>
      <c r="H1192" s="2" t="s">
        <v>92</v>
      </c>
      <c r="I1192" s="2" t="s">
        <v>12</v>
      </c>
      <c r="J1192">
        <v>16.257019745253086</v>
      </c>
      <c r="M1192">
        <v>1</v>
      </c>
    </row>
    <row r="1193" spans="1:13" x14ac:dyDescent="0.25">
      <c r="A1193">
        <v>2025</v>
      </c>
      <c r="B1193" s="31" t="s">
        <v>149</v>
      </c>
      <c r="C1193" s="31" t="s">
        <v>11</v>
      </c>
      <c r="D1193" s="32">
        <v>1</v>
      </c>
      <c r="E1193" s="32">
        <v>15</v>
      </c>
      <c r="F1193" s="32">
        <v>1</v>
      </c>
      <c r="G1193" s="11">
        <v>13</v>
      </c>
      <c r="H1193" s="2" t="s">
        <v>93</v>
      </c>
      <c r="I1193" s="2">
        <v>60.1</v>
      </c>
      <c r="J1193">
        <v>28.13207210836396</v>
      </c>
      <c r="K1193">
        <v>14.6</v>
      </c>
      <c r="M1193">
        <v>1</v>
      </c>
    </row>
    <row r="1194" spans="1:13" x14ac:dyDescent="0.25">
      <c r="A1194">
        <v>2025</v>
      </c>
      <c r="B1194" s="31" t="s">
        <v>149</v>
      </c>
      <c r="C1194" s="31" t="s">
        <v>11</v>
      </c>
      <c r="D1194" s="32">
        <v>2</v>
      </c>
      <c r="E1194" s="32">
        <v>11</v>
      </c>
      <c r="F1194" s="32">
        <v>6</v>
      </c>
      <c r="G1194" s="11">
        <v>13</v>
      </c>
      <c r="H1194" s="2" t="s">
        <v>93</v>
      </c>
      <c r="I1194" s="2">
        <v>61.4</v>
      </c>
      <c r="J1194">
        <v>22.927613857532112</v>
      </c>
      <c r="M1194">
        <v>1</v>
      </c>
    </row>
    <row r="1195" spans="1:13" x14ac:dyDescent="0.25">
      <c r="A1195">
        <v>2025</v>
      </c>
      <c r="B1195" s="31" t="s">
        <v>149</v>
      </c>
      <c r="C1195" s="31" t="s">
        <v>11</v>
      </c>
      <c r="D1195" s="32">
        <v>3</v>
      </c>
      <c r="E1195" s="32">
        <v>17</v>
      </c>
      <c r="F1195" s="32">
        <v>8</v>
      </c>
      <c r="G1195" s="11">
        <v>13</v>
      </c>
      <c r="H1195" s="2" t="s">
        <v>93</v>
      </c>
      <c r="I1195" s="2">
        <v>62.5</v>
      </c>
      <c r="J1195">
        <v>27.403636363636359</v>
      </c>
      <c r="M1195">
        <v>1</v>
      </c>
    </row>
    <row r="1196" spans="1:13" x14ac:dyDescent="0.25">
      <c r="A1196">
        <v>2025</v>
      </c>
      <c r="B1196" s="31" t="s">
        <v>149</v>
      </c>
      <c r="C1196" s="31" t="s">
        <v>11</v>
      </c>
      <c r="D1196" s="32">
        <v>1</v>
      </c>
      <c r="E1196" s="32">
        <v>17</v>
      </c>
      <c r="F1196" s="32">
        <v>3</v>
      </c>
      <c r="G1196" s="11">
        <v>2</v>
      </c>
      <c r="H1196" s="2" t="s">
        <v>126</v>
      </c>
      <c r="I1196" s="2" t="s">
        <v>12</v>
      </c>
      <c r="J1196">
        <v>10.007436750998666</v>
      </c>
      <c r="M1196">
        <v>2</v>
      </c>
    </row>
    <row r="1197" spans="1:13" x14ac:dyDescent="0.25">
      <c r="A1197">
        <v>2025</v>
      </c>
      <c r="B1197" s="31" t="s">
        <v>149</v>
      </c>
      <c r="C1197" s="31" t="s">
        <v>11</v>
      </c>
      <c r="D1197" s="32">
        <v>2</v>
      </c>
      <c r="E1197" s="32">
        <v>14</v>
      </c>
      <c r="F1197" s="32">
        <v>6</v>
      </c>
      <c r="G1197" s="11">
        <v>2</v>
      </c>
      <c r="H1197" s="2" t="s">
        <v>126</v>
      </c>
      <c r="I1197" s="2" t="s">
        <v>12</v>
      </c>
      <c r="J1197">
        <v>15.167636239782013</v>
      </c>
      <c r="M1197">
        <v>1</v>
      </c>
    </row>
    <row r="1198" spans="1:13" x14ac:dyDescent="0.25">
      <c r="A1198">
        <v>2025</v>
      </c>
      <c r="B1198" s="31" t="s">
        <v>149</v>
      </c>
      <c r="C1198" s="31" t="s">
        <v>11</v>
      </c>
      <c r="D1198" s="32">
        <v>3</v>
      </c>
      <c r="E1198" s="32">
        <v>13</v>
      </c>
      <c r="F1198" s="32">
        <v>9</v>
      </c>
      <c r="G1198" s="11">
        <v>2</v>
      </c>
      <c r="H1198" s="2" t="s">
        <v>126</v>
      </c>
      <c r="I1198" s="2">
        <v>60.4</v>
      </c>
      <c r="J1198">
        <v>23.070904872389782</v>
      </c>
      <c r="M1198">
        <v>1</v>
      </c>
    </row>
    <row r="1199" spans="1:13" x14ac:dyDescent="0.25">
      <c r="A1199">
        <v>2025</v>
      </c>
      <c r="B1199" s="31" t="s">
        <v>149</v>
      </c>
      <c r="C1199" s="31" t="s">
        <v>11</v>
      </c>
      <c r="D1199" s="32">
        <v>1</v>
      </c>
      <c r="E1199" s="32">
        <v>6</v>
      </c>
      <c r="F1199" s="32">
        <v>2</v>
      </c>
      <c r="G1199" s="11">
        <v>9</v>
      </c>
      <c r="H1199" s="2" t="s">
        <v>94</v>
      </c>
      <c r="I1199" s="2">
        <v>58.7</v>
      </c>
      <c r="J1199">
        <v>40.433834168610126</v>
      </c>
      <c r="K1199">
        <v>14.9</v>
      </c>
      <c r="M1199">
        <v>2</v>
      </c>
    </row>
    <row r="1200" spans="1:13" x14ac:dyDescent="0.25">
      <c r="A1200">
        <v>2025</v>
      </c>
      <c r="B1200" s="31" t="s">
        <v>149</v>
      </c>
      <c r="C1200" s="31" t="s">
        <v>11</v>
      </c>
      <c r="D1200" s="32">
        <v>2</v>
      </c>
      <c r="E1200" s="32">
        <v>5</v>
      </c>
      <c r="F1200" s="32">
        <v>4</v>
      </c>
      <c r="G1200" s="11">
        <v>9</v>
      </c>
      <c r="H1200" s="2" t="s">
        <v>94</v>
      </c>
      <c r="I1200" s="2">
        <v>57.6</v>
      </c>
      <c r="J1200">
        <v>30.764025568604126</v>
      </c>
      <c r="M1200">
        <v>3</v>
      </c>
    </row>
    <row r="1201" spans="1:13" x14ac:dyDescent="0.25">
      <c r="A1201">
        <v>2025</v>
      </c>
      <c r="B1201" s="31" t="s">
        <v>149</v>
      </c>
      <c r="C1201" s="31" t="s">
        <v>11</v>
      </c>
      <c r="D1201" s="32">
        <v>3</v>
      </c>
      <c r="E1201" s="32">
        <v>4</v>
      </c>
      <c r="F1201" s="32">
        <v>7</v>
      </c>
      <c r="G1201" s="11">
        <v>9</v>
      </c>
      <c r="H1201" s="2" t="s">
        <v>94</v>
      </c>
      <c r="I1201" s="2">
        <v>58.2</v>
      </c>
      <c r="J1201">
        <v>35.62188019966721</v>
      </c>
      <c r="M1201">
        <v>2</v>
      </c>
    </row>
    <row r="1202" spans="1:13" x14ac:dyDescent="0.25">
      <c r="A1202">
        <v>2025</v>
      </c>
      <c r="B1202" s="31" t="s">
        <v>149</v>
      </c>
      <c r="C1202" s="31" t="s">
        <v>11</v>
      </c>
      <c r="D1202" s="32">
        <v>1</v>
      </c>
      <c r="E1202" s="32">
        <v>14</v>
      </c>
      <c r="F1202" s="32">
        <v>3</v>
      </c>
      <c r="G1202" s="11">
        <v>3</v>
      </c>
      <c r="H1202" s="2" t="s">
        <v>122</v>
      </c>
      <c r="I1202" s="2">
        <v>59.9</v>
      </c>
      <c r="J1202">
        <v>24.525804641430472</v>
      </c>
      <c r="K1202">
        <v>14.5</v>
      </c>
      <c r="M1202">
        <v>1</v>
      </c>
    </row>
    <row r="1203" spans="1:13" x14ac:dyDescent="0.25">
      <c r="A1203">
        <v>2025</v>
      </c>
      <c r="B1203" s="31" t="s">
        <v>149</v>
      </c>
      <c r="C1203" s="31" t="s">
        <v>11</v>
      </c>
      <c r="D1203" s="32">
        <v>2</v>
      </c>
      <c r="E1203" s="32">
        <v>9</v>
      </c>
      <c r="F1203" s="32">
        <v>5</v>
      </c>
      <c r="G1203" s="11">
        <v>3</v>
      </c>
      <c r="H1203" s="2" t="s">
        <v>122</v>
      </c>
      <c r="I1203" s="2">
        <v>62.2</v>
      </c>
      <c r="J1203">
        <v>30.8522896413007</v>
      </c>
      <c r="M1203">
        <v>1</v>
      </c>
    </row>
    <row r="1204" spans="1:13" x14ac:dyDescent="0.25">
      <c r="A1204">
        <v>2025</v>
      </c>
      <c r="B1204" s="31" t="s">
        <v>149</v>
      </c>
      <c r="C1204" s="31" t="s">
        <v>11</v>
      </c>
      <c r="D1204" s="32">
        <v>3</v>
      </c>
      <c r="E1204" s="32">
        <v>8</v>
      </c>
      <c r="F1204" s="32">
        <v>7</v>
      </c>
      <c r="G1204" s="11">
        <v>3</v>
      </c>
      <c r="H1204" s="2" t="s">
        <v>122</v>
      </c>
      <c r="I1204" s="2">
        <v>60.7</v>
      </c>
      <c r="J1204">
        <v>35.404207273591631</v>
      </c>
      <c r="M1204">
        <v>1</v>
      </c>
    </row>
    <row r="1205" spans="1:13" x14ac:dyDescent="0.25">
      <c r="A1205">
        <v>2025</v>
      </c>
      <c r="B1205" s="31" t="s">
        <v>149</v>
      </c>
      <c r="C1205" s="31" t="s">
        <v>11</v>
      </c>
      <c r="D1205" s="32">
        <v>1</v>
      </c>
      <c r="E1205" s="32">
        <v>18</v>
      </c>
      <c r="F1205" s="32">
        <v>2</v>
      </c>
      <c r="G1205" s="11">
        <v>10</v>
      </c>
      <c r="H1205" s="2" t="s">
        <v>91</v>
      </c>
      <c r="I1205" s="2">
        <v>59</v>
      </c>
      <c r="J1205">
        <v>38.736396566268049</v>
      </c>
      <c r="K1205">
        <v>14.9</v>
      </c>
      <c r="M1205">
        <v>1</v>
      </c>
    </row>
    <row r="1206" spans="1:13" x14ac:dyDescent="0.25">
      <c r="A1206">
        <v>2025</v>
      </c>
      <c r="B1206" s="31" t="s">
        <v>149</v>
      </c>
      <c r="C1206" s="31" t="s">
        <v>11</v>
      </c>
      <c r="D1206" s="32">
        <v>2</v>
      </c>
      <c r="E1206" s="32">
        <v>13</v>
      </c>
      <c r="F1206" s="32">
        <v>5</v>
      </c>
      <c r="G1206" s="11">
        <v>10</v>
      </c>
      <c r="H1206" s="2" t="s">
        <v>91</v>
      </c>
      <c r="I1206" s="2">
        <v>59</v>
      </c>
      <c r="J1206">
        <v>30.993007039892717</v>
      </c>
      <c r="M1206">
        <v>2</v>
      </c>
    </row>
    <row r="1207" spans="1:13" x14ac:dyDescent="0.25">
      <c r="A1207">
        <v>2025</v>
      </c>
      <c r="B1207" s="31" t="s">
        <v>149</v>
      </c>
      <c r="C1207" s="31" t="s">
        <v>11</v>
      </c>
      <c r="D1207" s="32">
        <v>3</v>
      </c>
      <c r="E1207" s="32">
        <v>6</v>
      </c>
      <c r="F1207" s="32">
        <v>8</v>
      </c>
      <c r="G1207" s="11">
        <v>10</v>
      </c>
      <c r="H1207" s="2" t="s">
        <v>91</v>
      </c>
      <c r="I1207" s="2">
        <v>61</v>
      </c>
      <c r="J1207">
        <v>38.706331168831163</v>
      </c>
      <c r="M1207">
        <v>2</v>
      </c>
    </row>
    <row r="1208" spans="1:13" x14ac:dyDescent="0.25">
      <c r="A1208">
        <v>2025</v>
      </c>
      <c r="B1208" s="31" t="s">
        <v>149</v>
      </c>
      <c r="C1208" s="31" t="s">
        <v>11</v>
      </c>
      <c r="D1208" s="32">
        <v>1</v>
      </c>
      <c r="E1208" s="32">
        <v>5</v>
      </c>
      <c r="F1208" s="32">
        <v>1</v>
      </c>
      <c r="G1208" s="11">
        <v>4</v>
      </c>
      <c r="H1208" s="2" t="s">
        <v>117</v>
      </c>
      <c r="I1208" s="2">
        <v>59.4</v>
      </c>
      <c r="J1208">
        <v>36.883095825570258</v>
      </c>
      <c r="K1208">
        <v>14.9</v>
      </c>
      <c r="M1208">
        <v>1</v>
      </c>
    </row>
    <row r="1209" spans="1:13" x14ac:dyDescent="0.25">
      <c r="A1209">
        <v>2025</v>
      </c>
      <c r="B1209" s="31" t="s">
        <v>149</v>
      </c>
      <c r="C1209" s="31" t="s">
        <v>11</v>
      </c>
      <c r="D1209" s="32">
        <v>2</v>
      </c>
      <c r="E1209" s="32">
        <v>2</v>
      </c>
      <c r="F1209" s="32">
        <v>6</v>
      </c>
      <c r="G1209" s="11">
        <v>4</v>
      </c>
      <c r="H1209" s="2" t="s">
        <v>117</v>
      </c>
      <c r="I1209" s="2">
        <v>58.9</v>
      </c>
      <c r="J1209">
        <v>45.214222946671853</v>
      </c>
      <c r="M1209">
        <v>1</v>
      </c>
    </row>
    <row r="1210" spans="1:13" x14ac:dyDescent="0.25">
      <c r="A1210">
        <v>2025</v>
      </c>
      <c r="B1210" s="31" t="s">
        <v>149</v>
      </c>
      <c r="C1210" s="31" t="s">
        <v>11</v>
      </c>
      <c r="D1210" s="32">
        <v>3</v>
      </c>
      <c r="E1210" s="32">
        <v>1</v>
      </c>
      <c r="F1210" s="32">
        <v>7</v>
      </c>
      <c r="G1210" s="11">
        <v>4</v>
      </c>
      <c r="H1210" s="2" t="s">
        <v>117</v>
      </c>
      <c r="I1210" s="2">
        <v>57.3</v>
      </c>
      <c r="J1210">
        <v>39.808871880199661</v>
      </c>
      <c r="M1210">
        <v>1</v>
      </c>
    </row>
    <row r="1211" spans="1:13" x14ac:dyDescent="0.25">
      <c r="A1211">
        <v>2025</v>
      </c>
      <c r="B1211" s="31" t="s">
        <v>149</v>
      </c>
      <c r="C1211" s="31" t="s">
        <v>11</v>
      </c>
      <c r="D1211" s="32">
        <v>1</v>
      </c>
      <c r="E1211" s="32">
        <v>10</v>
      </c>
      <c r="F1211" s="32">
        <v>2</v>
      </c>
      <c r="G1211" s="11">
        <v>5</v>
      </c>
      <c r="H1211" s="2" t="s">
        <v>128</v>
      </c>
      <c r="I1211" s="2">
        <v>57.6</v>
      </c>
      <c r="J1211">
        <v>44.34603632213566</v>
      </c>
      <c r="K1211">
        <v>14.1</v>
      </c>
      <c r="M1211">
        <v>1</v>
      </c>
    </row>
    <row r="1212" spans="1:13" x14ac:dyDescent="0.25">
      <c r="A1212">
        <v>2025</v>
      </c>
      <c r="B1212" s="31" t="s">
        <v>149</v>
      </c>
      <c r="C1212" s="31" t="s">
        <v>11</v>
      </c>
      <c r="D1212" s="32">
        <v>2</v>
      </c>
      <c r="E1212" s="32">
        <v>12</v>
      </c>
      <c r="F1212" s="32">
        <v>4</v>
      </c>
      <c r="G1212" s="11">
        <v>5</v>
      </c>
      <c r="H1212" s="2" t="s">
        <v>128</v>
      </c>
      <c r="I1212" s="2">
        <v>59.1</v>
      </c>
      <c r="J1212">
        <v>44.955742530102562</v>
      </c>
      <c r="M1212">
        <v>2</v>
      </c>
    </row>
    <row r="1213" spans="1:13" x14ac:dyDescent="0.25">
      <c r="A1213">
        <v>2025</v>
      </c>
      <c r="B1213" s="31" t="s">
        <v>149</v>
      </c>
      <c r="C1213" s="31" t="s">
        <v>11</v>
      </c>
      <c r="D1213" s="32">
        <v>3</v>
      </c>
      <c r="E1213" s="32">
        <v>2</v>
      </c>
      <c r="F1213" s="32">
        <v>7</v>
      </c>
      <c r="G1213" s="11">
        <v>5</v>
      </c>
      <c r="H1213" s="2" t="s">
        <v>128</v>
      </c>
      <c r="I1213" s="2">
        <v>58.6</v>
      </c>
      <c r="J1213">
        <v>39.41437794152602</v>
      </c>
      <c r="M1213">
        <v>2</v>
      </c>
    </row>
    <row r="1214" spans="1:13" x14ac:dyDescent="0.25">
      <c r="A1214">
        <v>2025</v>
      </c>
      <c r="B1214" s="31" t="s">
        <v>149</v>
      </c>
      <c r="C1214" s="31" t="s">
        <v>11</v>
      </c>
      <c r="D1214" s="32">
        <v>1</v>
      </c>
      <c r="E1214" s="32">
        <v>4</v>
      </c>
      <c r="F1214" s="32">
        <v>1</v>
      </c>
      <c r="G1214" s="11">
        <v>19</v>
      </c>
      <c r="H1214" s="2" t="s">
        <v>157</v>
      </c>
      <c r="I1214" s="2">
        <v>56.6</v>
      </c>
      <c r="J1214">
        <v>19.937839266831155</v>
      </c>
      <c r="K1214">
        <v>14.8</v>
      </c>
      <c r="M1214">
        <v>4</v>
      </c>
    </row>
    <row r="1215" spans="1:13" x14ac:dyDescent="0.25">
      <c r="A1215">
        <v>2025</v>
      </c>
      <c r="B1215" s="31" t="s">
        <v>149</v>
      </c>
      <c r="C1215" s="31" t="s">
        <v>11</v>
      </c>
      <c r="D1215" s="32">
        <v>2</v>
      </c>
      <c r="E1215" s="32">
        <v>5</v>
      </c>
      <c r="F1215" s="32">
        <v>5</v>
      </c>
      <c r="G1215" s="11">
        <v>19</v>
      </c>
      <c r="H1215" s="2" t="s">
        <v>157</v>
      </c>
      <c r="I1215" s="2">
        <v>60.8</v>
      </c>
      <c r="J1215">
        <v>28.787660073751255</v>
      </c>
      <c r="M1215">
        <v>3</v>
      </c>
    </row>
    <row r="1216" spans="1:13" x14ac:dyDescent="0.25">
      <c r="A1216">
        <v>2025</v>
      </c>
      <c r="B1216" s="31" t="s">
        <v>149</v>
      </c>
      <c r="C1216" s="31" t="s">
        <v>11</v>
      </c>
      <c r="D1216" s="32">
        <v>3</v>
      </c>
      <c r="E1216" s="32">
        <v>3</v>
      </c>
      <c r="F1216" s="32">
        <v>8</v>
      </c>
      <c r="G1216" s="11">
        <v>19</v>
      </c>
      <c r="H1216" s="2" t="s">
        <v>157</v>
      </c>
      <c r="I1216" s="2">
        <v>59.9</v>
      </c>
      <c r="J1216">
        <v>32.43068181818181</v>
      </c>
      <c r="M1216">
        <v>3</v>
      </c>
    </row>
    <row r="1217" spans="1:13" x14ac:dyDescent="0.25">
      <c r="A1217">
        <v>2025</v>
      </c>
      <c r="B1217" s="31" t="s">
        <v>149</v>
      </c>
      <c r="C1217" s="31" t="s">
        <v>11</v>
      </c>
      <c r="D1217" s="32">
        <v>1</v>
      </c>
      <c r="E1217" s="32">
        <v>4</v>
      </c>
      <c r="F1217" s="32">
        <v>2</v>
      </c>
      <c r="G1217" s="11">
        <v>6</v>
      </c>
      <c r="H1217" s="2" t="s">
        <v>119</v>
      </c>
      <c r="I1217" s="2">
        <v>59.4</v>
      </c>
      <c r="J1217">
        <v>32.998542648737164</v>
      </c>
      <c r="K1217">
        <v>15.7</v>
      </c>
      <c r="M1217">
        <v>1</v>
      </c>
    </row>
    <row r="1218" spans="1:13" x14ac:dyDescent="0.25">
      <c r="A1218">
        <v>2025</v>
      </c>
      <c r="B1218" s="31" t="s">
        <v>149</v>
      </c>
      <c r="C1218" s="31" t="s">
        <v>11</v>
      </c>
      <c r="D1218" s="32">
        <v>2</v>
      </c>
      <c r="E1218" s="32">
        <v>2</v>
      </c>
      <c r="F1218" s="32">
        <v>5</v>
      </c>
      <c r="G1218" s="11">
        <v>6</v>
      </c>
      <c r="H1218" s="2" t="s">
        <v>119</v>
      </c>
      <c r="I1218" s="2">
        <v>60.1</v>
      </c>
      <c r="J1218">
        <v>42.66098271155596</v>
      </c>
      <c r="M1218">
        <v>1</v>
      </c>
    </row>
    <row r="1219" spans="1:13" x14ac:dyDescent="0.25">
      <c r="A1219">
        <v>2025</v>
      </c>
      <c r="B1219" s="31" t="s">
        <v>149</v>
      </c>
      <c r="C1219" s="31" t="s">
        <v>11</v>
      </c>
      <c r="D1219" s="32">
        <v>3</v>
      </c>
      <c r="E1219" s="32">
        <v>11</v>
      </c>
      <c r="F1219" s="32">
        <v>8</v>
      </c>
      <c r="G1219" s="11">
        <v>6</v>
      </c>
      <c r="H1219" s="2" t="s">
        <v>119</v>
      </c>
      <c r="I1219" s="2">
        <v>60</v>
      </c>
      <c r="J1219">
        <v>50.071120129870124</v>
      </c>
      <c r="M1219">
        <v>1</v>
      </c>
    </row>
    <row r="1220" spans="1:13" x14ac:dyDescent="0.25">
      <c r="A1220">
        <v>2025</v>
      </c>
      <c r="B1220" s="31" t="s">
        <v>149</v>
      </c>
      <c r="C1220" s="31" t="s">
        <v>11</v>
      </c>
      <c r="D1220" s="32">
        <v>1</v>
      </c>
      <c r="E1220" s="32">
        <v>16</v>
      </c>
      <c r="F1220" s="32">
        <v>3</v>
      </c>
      <c r="G1220" s="11">
        <v>8</v>
      </c>
      <c r="H1220" s="2" t="s">
        <v>118</v>
      </c>
      <c r="I1220" s="2">
        <v>58.8</v>
      </c>
      <c r="J1220">
        <v>20.969940079893469</v>
      </c>
      <c r="K1220">
        <v>13.2</v>
      </c>
      <c r="M1220">
        <v>2</v>
      </c>
    </row>
    <row r="1221" spans="1:13" x14ac:dyDescent="0.25">
      <c r="A1221">
        <v>2025</v>
      </c>
      <c r="B1221" s="31" t="s">
        <v>149</v>
      </c>
      <c r="C1221" s="31" t="s">
        <v>11</v>
      </c>
      <c r="D1221" s="32">
        <v>2</v>
      </c>
      <c r="E1221" s="32">
        <v>10</v>
      </c>
      <c r="F1221" s="32">
        <v>5</v>
      </c>
      <c r="G1221" s="11">
        <v>8</v>
      </c>
      <c r="H1221" s="2" t="s">
        <v>118</v>
      </c>
      <c r="I1221" s="2">
        <v>59.9</v>
      </c>
      <c r="J1221">
        <v>32.182704372395953</v>
      </c>
      <c r="M1221">
        <v>1</v>
      </c>
    </row>
    <row r="1222" spans="1:13" x14ac:dyDescent="0.25">
      <c r="A1222">
        <v>2025</v>
      </c>
      <c r="B1222" s="31" t="s">
        <v>149</v>
      </c>
      <c r="C1222" s="31" t="s">
        <v>11</v>
      </c>
      <c r="D1222" s="32">
        <v>3</v>
      </c>
      <c r="E1222" s="32">
        <v>6</v>
      </c>
      <c r="F1222" s="32">
        <v>7</v>
      </c>
      <c r="G1222" s="11">
        <v>8</v>
      </c>
      <c r="H1222" s="2" t="s">
        <v>118</v>
      </c>
      <c r="I1222" s="2">
        <v>61</v>
      </c>
      <c r="J1222">
        <v>39.413530782029945</v>
      </c>
      <c r="M1222">
        <v>1</v>
      </c>
    </row>
    <row r="1223" spans="1:13" x14ac:dyDescent="0.25">
      <c r="A1223">
        <v>2025</v>
      </c>
      <c r="B1223" s="31" t="s">
        <v>149</v>
      </c>
      <c r="C1223" s="31" t="s">
        <v>11</v>
      </c>
      <c r="D1223" s="32">
        <v>1</v>
      </c>
      <c r="E1223" s="32">
        <v>9</v>
      </c>
      <c r="F1223" s="32">
        <v>1</v>
      </c>
      <c r="G1223" s="11">
        <v>7</v>
      </c>
      <c r="H1223" s="2" t="s">
        <v>150</v>
      </c>
      <c r="I1223" s="2">
        <v>59</v>
      </c>
      <c r="J1223">
        <v>20.715671483961927</v>
      </c>
      <c r="K1223">
        <v>15</v>
      </c>
      <c r="M1223">
        <v>2</v>
      </c>
    </row>
    <row r="1224" spans="1:13" x14ac:dyDescent="0.25">
      <c r="A1224">
        <v>2025</v>
      </c>
      <c r="B1224" s="31" t="s">
        <v>149</v>
      </c>
      <c r="C1224" s="31" t="s">
        <v>11</v>
      </c>
      <c r="D1224" s="32">
        <v>2</v>
      </c>
      <c r="E1224" s="32">
        <v>18</v>
      </c>
      <c r="F1224" s="32">
        <v>4</v>
      </c>
      <c r="G1224" s="11">
        <v>7</v>
      </c>
      <c r="H1224" s="2" t="s">
        <v>150</v>
      </c>
      <c r="I1224" s="2">
        <v>58.2</v>
      </c>
      <c r="J1224">
        <v>36.258106139438084</v>
      </c>
      <c r="M1224">
        <v>1</v>
      </c>
    </row>
    <row r="1225" spans="1:13" x14ac:dyDescent="0.25">
      <c r="A1225">
        <v>2025</v>
      </c>
      <c r="B1225" s="31" t="s">
        <v>149</v>
      </c>
      <c r="C1225" s="31" t="s">
        <v>11</v>
      </c>
      <c r="D1225" s="32">
        <v>3</v>
      </c>
      <c r="E1225" s="32">
        <v>16</v>
      </c>
      <c r="F1225" s="32">
        <v>7</v>
      </c>
      <c r="G1225" s="11">
        <v>7</v>
      </c>
      <c r="H1225" s="2" t="s">
        <v>150</v>
      </c>
      <c r="I1225" s="2">
        <v>59.3</v>
      </c>
      <c r="J1225">
        <v>20.018614214404558</v>
      </c>
      <c r="M1225">
        <v>1</v>
      </c>
    </row>
    <row r="1226" spans="1:13" x14ac:dyDescent="0.25">
      <c r="A1226">
        <v>2025</v>
      </c>
      <c r="B1226" s="31" t="s">
        <v>149</v>
      </c>
      <c r="C1226" s="31" t="s">
        <v>11</v>
      </c>
      <c r="D1226" s="32">
        <v>1</v>
      </c>
      <c r="E1226" s="32">
        <v>4</v>
      </c>
      <c r="F1226" s="32">
        <v>3</v>
      </c>
      <c r="G1226" s="11">
        <v>42</v>
      </c>
      <c r="H1226" s="2" t="s">
        <v>34</v>
      </c>
      <c r="I1226" s="2">
        <v>59.6</v>
      </c>
      <c r="J1226">
        <v>23.822522351150845</v>
      </c>
      <c r="K1226">
        <v>14.9</v>
      </c>
      <c r="M1226">
        <v>3</v>
      </c>
    </row>
    <row r="1227" spans="1:13" x14ac:dyDescent="0.25">
      <c r="A1227">
        <v>2025</v>
      </c>
      <c r="B1227" s="31" t="s">
        <v>149</v>
      </c>
      <c r="C1227" s="31" t="s">
        <v>11</v>
      </c>
      <c r="D1227" s="32">
        <v>2</v>
      </c>
      <c r="E1227" s="32">
        <v>6</v>
      </c>
      <c r="F1227" s="32">
        <v>5</v>
      </c>
      <c r="G1227" s="11">
        <v>42</v>
      </c>
      <c r="H1227" s="2" t="s">
        <v>34</v>
      </c>
      <c r="I1227" s="2">
        <v>59.9</v>
      </c>
      <c r="J1227">
        <v>20.6941813131555</v>
      </c>
      <c r="M1227">
        <v>3</v>
      </c>
    </row>
    <row r="1228" spans="1:13" x14ac:dyDescent="0.25">
      <c r="A1228">
        <v>2025</v>
      </c>
      <c r="B1228" s="31" t="s">
        <v>149</v>
      </c>
      <c r="C1228" s="31" t="s">
        <v>11</v>
      </c>
      <c r="D1228" s="32">
        <v>3</v>
      </c>
      <c r="E1228" s="32">
        <v>5</v>
      </c>
      <c r="F1228" s="32">
        <v>7</v>
      </c>
      <c r="G1228" s="11">
        <v>42</v>
      </c>
      <c r="H1228" s="2" t="s">
        <v>34</v>
      </c>
      <c r="I1228" s="2">
        <v>59.9</v>
      </c>
      <c r="J1228">
        <v>25.724327549322552</v>
      </c>
      <c r="M1228">
        <v>3</v>
      </c>
    </row>
    <row r="1229" spans="1:13" x14ac:dyDescent="0.25">
      <c r="A1229">
        <v>2025</v>
      </c>
      <c r="B1229" s="31" t="s">
        <v>149</v>
      </c>
      <c r="C1229" s="31" t="s">
        <v>11</v>
      </c>
      <c r="D1229" s="32">
        <v>1</v>
      </c>
      <c r="E1229" s="32">
        <v>14</v>
      </c>
      <c r="F1229" s="32">
        <v>2</v>
      </c>
      <c r="G1229" s="11">
        <v>44</v>
      </c>
      <c r="H1229" s="2" t="s">
        <v>123</v>
      </c>
      <c r="I1229" s="2">
        <v>59</v>
      </c>
      <c r="J1229">
        <v>27.556662035428964</v>
      </c>
      <c r="K1229">
        <v>15.3</v>
      </c>
      <c r="M1229">
        <v>3</v>
      </c>
    </row>
    <row r="1230" spans="1:13" x14ac:dyDescent="0.25">
      <c r="A1230">
        <v>2025</v>
      </c>
      <c r="B1230" s="31" t="s">
        <v>149</v>
      </c>
      <c r="C1230" s="31" t="s">
        <v>11</v>
      </c>
      <c r="D1230" s="32">
        <v>2</v>
      </c>
      <c r="E1230" s="32">
        <v>7</v>
      </c>
      <c r="F1230" s="32">
        <v>6</v>
      </c>
      <c r="G1230" s="11">
        <v>44</v>
      </c>
      <c r="H1230" s="2" t="s">
        <v>123</v>
      </c>
      <c r="I1230" s="2">
        <v>59.1</v>
      </c>
      <c r="J1230">
        <v>31.10542234332425</v>
      </c>
      <c r="M1230">
        <v>4</v>
      </c>
    </row>
    <row r="1231" spans="1:13" x14ac:dyDescent="0.25">
      <c r="A1231">
        <v>2025</v>
      </c>
      <c r="B1231" s="31" t="s">
        <v>149</v>
      </c>
      <c r="C1231" s="31" t="s">
        <v>11</v>
      </c>
      <c r="D1231" s="32">
        <v>3</v>
      </c>
      <c r="E1231" s="32">
        <v>5</v>
      </c>
      <c r="F1231" s="32">
        <v>9</v>
      </c>
      <c r="G1231" s="11">
        <v>44</v>
      </c>
      <c r="H1231" s="2" t="s">
        <v>123</v>
      </c>
      <c r="I1231" s="2">
        <v>60.1</v>
      </c>
      <c r="J1231">
        <v>38.345003077797237</v>
      </c>
      <c r="M1231">
        <v>4</v>
      </c>
    </row>
    <row r="1232" spans="1:13" x14ac:dyDescent="0.25">
      <c r="A1232">
        <v>2025</v>
      </c>
      <c r="B1232" s="31" t="s">
        <v>149</v>
      </c>
      <c r="C1232" s="31" t="s">
        <v>11</v>
      </c>
      <c r="D1232" s="32">
        <v>1</v>
      </c>
      <c r="E1232" s="32">
        <v>11</v>
      </c>
      <c r="F1232" s="32">
        <v>3</v>
      </c>
      <c r="G1232" s="11">
        <v>43</v>
      </c>
      <c r="H1232" s="2" t="s">
        <v>125</v>
      </c>
      <c r="I1232" s="2">
        <v>59.4</v>
      </c>
      <c r="J1232">
        <v>19.12463619935324</v>
      </c>
      <c r="K1232">
        <v>14.8</v>
      </c>
      <c r="M1232">
        <v>4</v>
      </c>
    </row>
    <row r="1233" spans="1:13" x14ac:dyDescent="0.25">
      <c r="A1233">
        <v>2025</v>
      </c>
      <c r="B1233" s="31" t="s">
        <v>149</v>
      </c>
      <c r="C1233" s="31" t="s">
        <v>11</v>
      </c>
      <c r="D1233" s="32">
        <v>2</v>
      </c>
      <c r="E1233" s="32">
        <v>6</v>
      </c>
      <c r="F1233" s="32">
        <v>6</v>
      </c>
      <c r="G1233" s="11">
        <v>43</v>
      </c>
      <c r="H1233" s="2" t="s">
        <v>125</v>
      </c>
      <c r="I1233" s="2">
        <v>58.8</v>
      </c>
      <c r="J1233">
        <v>19.097192487349162</v>
      </c>
      <c r="M1233">
        <v>3</v>
      </c>
    </row>
    <row r="1234" spans="1:13" x14ac:dyDescent="0.25">
      <c r="A1234">
        <v>2025</v>
      </c>
      <c r="B1234" s="31" t="s">
        <v>149</v>
      </c>
      <c r="C1234" s="31" t="s">
        <v>11</v>
      </c>
      <c r="D1234" s="32">
        <v>3</v>
      </c>
      <c r="E1234" s="32">
        <v>9</v>
      </c>
      <c r="F1234" s="32">
        <v>9</v>
      </c>
      <c r="G1234" s="11">
        <v>43</v>
      </c>
      <c r="H1234" s="2" t="s">
        <v>125</v>
      </c>
      <c r="I1234" s="2">
        <v>57.5</v>
      </c>
      <c r="J1234">
        <v>19.906036270656745</v>
      </c>
      <c r="M1234">
        <v>2</v>
      </c>
    </row>
    <row r="1235" spans="1:13" x14ac:dyDescent="0.25">
      <c r="A1235">
        <v>2025</v>
      </c>
      <c r="B1235" s="31" t="s">
        <v>149</v>
      </c>
      <c r="C1235" s="31" t="s">
        <v>11</v>
      </c>
      <c r="D1235" s="32">
        <v>1</v>
      </c>
      <c r="E1235" s="32">
        <v>13</v>
      </c>
      <c r="F1235" s="32">
        <v>1</v>
      </c>
      <c r="G1235" s="11">
        <v>27</v>
      </c>
      <c r="H1235" s="2" t="s">
        <v>35</v>
      </c>
      <c r="I1235" s="2">
        <v>57.7</v>
      </c>
      <c r="J1235">
        <v>22.662271010624899</v>
      </c>
      <c r="K1235">
        <v>15.3</v>
      </c>
      <c r="M1235">
        <v>5</v>
      </c>
    </row>
    <row r="1236" spans="1:13" x14ac:dyDescent="0.25">
      <c r="A1236">
        <v>2025</v>
      </c>
      <c r="B1236" s="31" t="s">
        <v>149</v>
      </c>
      <c r="C1236" s="31" t="s">
        <v>11</v>
      </c>
      <c r="D1236" s="32">
        <v>2</v>
      </c>
      <c r="E1236" s="32">
        <v>14</v>
      </c>
      <c r="F1236" s="32">
        <v>4</v>
      </c>
      <c r="G1236" s="11">
        <v>27</v>
      </c>
      <c r="H1236" s="2" t="s">
        <v>35</v>
      </c>
      <c r="I1236" s="2">
        <v>56.6</v>
      </c>
      <c r="J1236">
        <v>18.756774193548381</v>
      </c>
      <c r="M1236">
        <v>3</v>
      </c>
    </row>
    <row r="1237" spans="1:13" x14ac:dyDescent="0.25">
      <c r="A1237">
        <v>2025</v>
      </c>
      <c r="B1237" s="31" t="s">
        <v>149</v>
      </c>
      <c r="C1237" s="31" t="s">
        <v>11</v>
      </c>
      <c r="D1237" s="32">
        <v>3</v>
      </c>
      <c r="E1237" s="32">
        <v>1</v>
      </c>
      <c r="F1237" s="32">
        <v>8</v>
      </c>
      <c r="G1237" s="11">
        <v>27</v>
      </c>
      <c r="H1237" s="2" t="s">
        <v>35</v>
      </c>
      <c r="I1237" s="2">
        <v>58.1</v>
      </c>
      <c r="J1237">
        <v>27.634042207792202</v>
      </c>
      <c r="M1237">
        <v>4</v>
      </c>
    </row>
    <row r="1238" spans="1:13" x14ac:dyDescent="0.25">
      <c r="A1238">
        <v>2025</v>
      </c>
      <c r="B1238" s="31" t="s">
        <v>149</v>
      </c>
      <c r="C1238" s="31" t="s">
        <v>11</v>
      </c>
      <c r="D1238" s="32">
        <v>1</v>
      </c>
      <c r="E1238" s="32">
        <v>7</v>
      </c>
      <c r="F1238" s="32">
        <v>2</v>
      </c>
      <c r="G1238" s="11">
        <v>31</v>
      </c>
      <c r="H1238" s="2" t="s">
        <v>36</v>
      </c>
      <c r="I1238" s="2">
        <v>59.5</v>
      </c>
      <c r="J1238">
        <v>26.008021634496099</v>
      </c>
      <c r="K1238">
        <v>14.9</v>
      </c>
      <c r="M1238">
        <v>1</v>
      </c>
    </row>
    <row r="1239" spans="1:13" x14ac:dyDescent="0.25">
      <c r="A1239">
        <v>2025</v>
      </c>
      <c r="B1239" s="31" t="s">
        <v>149</v>
      </c>
      <c r="C1239" s="31" t="s">
        <v>11</v>
      </c>
      <c r="D1239" s="32">
        <v>2</v>
      </c>
      <c r="E1239" s="32">
        <v>6</v>
      </c>
      <c r="F1239" s="32">
        <v>4</v>
      </c>
      <c r="G1239" s="11">
        <v>31</v>
      </c>
      <c r="H1239" s="2" t="s">
        <v>36</v>
      </c>
      <c r="I1239" s="2">
        <v>60.2</v>
      </c>
      <c r="J1239">
        <v>26.276771220454876</v>
      </c>
      <c r="M1239">
        <v>2</v>
      </c>
    </row>
    <row r="1240" spans="1:13" x14ac:dyDescent="0.25">
      <c r="A1240">
        <v>2025</v>
      </c>
      <c r="B1240" s="31" t="s">
        <v>149</v>
      </c>
      <c r="C1240" s="31" t="s">
        <v>11</v>
      </c>
      <c r="D1240" s="32">
        <v>3</v>
      </c>
      <c r="E1240" s="32">
        <v>16</v>
      </c>
      <c r="F1240" s="32">
        <v>9</v>
      </c>
      <c r="G1240" s="11">
        <v>31</v>
      </c>
      <c r="H1240" s="2" t="s">
        <v>36</v>
      </c>
      <c r="I1240" s="2">
        <v>58.6</v>
      </c>
      <c r="J1240">
        <v>24.337902362801263</v>
      </c>
      <c r="M1240">
        <v>1</v>
      </c>
    </row>
    <row r="1241" spans="1:13" x14ac:dyDescent="0.25">
      <c r="A1241">
        <v>2025</v>
      </c>
      <c r="B1241" s="31" t="s">
        <v>149</v>
      </c>
      <c r="C1241" s="31" t="s">
        <v>11</v>
      </c>
      <c r="D1241" s="32">
        <v>1</v>
      </c>
      <c r="E1241" s="32">
        <v>6</v>
      </c>
      <c r="F1241" s="32">
        <v>1</v>
      </c>
      <c r="G1241" s="11">
        <v>23</v>
      </c>
      <c r="H1241" s="2" t="s">
        <v>37</v>
      </c>
      <c r="I1241" s="2" t="s">
        <v>12</v>
      </c>
      <c r="J1241">
        <v>18.10205951961327</v>
      </c>
      <c r="K1241">
        <v>15.2</v>
      </c>
      <c r="M1241">
        <v>6</v>
      </c>
    </row>
    <row r="1242" spans="1:13" x14ac:dyDescent="0.25">
      <c r="A1242">
        <v>2025</v>
      </c>
      <c r="B1242" s="31" t="s">
        <v>149</v>
      </c>
      <c r="C1242" s="31" t="s">
        <v>11</v>
      </c>
      <c r="D1242" s="32">
        <v>2</v>
      </c>
      <c r="E1242" s="32">
        <v>18</v>
      </c>
      <c r="F1242" s="32">
        <v>6</v>
      </c>
      <c r="G1242" s="11">
        <v>23</v>
      </c>
      <c r="H1242" s="2" t="s">
        <v>37</v>
      </c>
      <c r="I1242" s="2">
        <v>59.8</v>
      </c>
      <c r="J1242">
        <v>26.734624367458149</v>
      </c>
      <c r="M1242">
        <v>5</v>
      </c>
    </row>
    <row r="1243" spans="1:13" x14ac:dyDescent="0.25">
      <c r="A1243">
        <v>2025</v>
      </c>
      <c r="B1243" s="31" t="s">
        <v>149</v>
      </c>
      <c r="C1243" s="31" t="s">
        <v>11</v>
      </c>
      <c r="D1243" s="32">
        <v>3</v>
      </c>
      <c r="E1243" s="32">
        <v>13</v>
      </c>
      <c r="F1243" s="32">
        <v>8</v>
      </c>
      <c r="G1243" s="11">
        <v>23</v>
      </c>
      <c r="H1243" s="2" t="s">
        <v>37</v>
      </c>
      <c r="I1243" s="2">
        <v>61.1</v>
      </c>
      <c r="J1243">
        <v>30.539415584415583</v>
      </c>
      <c r="M1243">
        <v>3</v>
      </c>
    </row>
    <row r="1244" spans="1:13" x14ac:dyDescent="0.25">
      <c r="A1244">
        <v>2025</v>
      </c>
      <c r="B1244" s="31" t="s">
        <v>149</v>
      </c>
      <c r="C1244" s="31" t="s">
        <v>11</v>
      </c>
      <c r="D1244" s="32">
        <v>1</v>
      </c>
      <c r="E1244" s="32">
        <v>16</v>
      </c>
      <c r="F1244" s="32">
        <v>2</v>
      </c>
      <c r="G1244" s="11">
        <v>28</v>
      </c>
      <c r="H1244" s="2" t="s">
        <v>38</v>
      </c>
      <c r="I1244" s="2">
        <v>60.4</v>
      </c>
      <c r="J1244">
        <v>32.236871929737504</v>
      </c>
      <c r="K1244">
        <v>13.8</v>
      </c>
      <c r="M1244">
        <v>3</v>
      </c>
    </row>
    <row r="1245" spans="1:13" x14ac:dyDescent="0.25">
      <c r="A1245">
        <v>2025</v>
      </c>
      <c r="B1245" s="31" t="s">
        <v>149</v>
      </c>
      <c r="C1245" s="31" t="s">
        <v>11</v>
      </c>
      <c r="D1245" s="32">
        <v>2</v>
      </c>
      <c r="E1245" s="32">
        <v>17</v>
      </c>
      <c r="F1245" s="32">
        <v>5</v>
      </c>
      <c r="G1245" s="11">
        <v>28</v>
      </c>
      <c r="H1245" s="2" t="s">
        <v>38</v>
      </c>
      <c r="I1245" s="2">
        <v>61.7</v>
      </c>
      <c r="J1245">
        <v>26.77542023849432</v>
      </c>
      <c r="M1245">
        <v>2</v>
      </c>
    </row>
    <row r="1246" spans="1:13" x14ac:dyDescent="0.25">
      <c r="A1246">
        <v>2025</v>
      </c>
      <c r="B1246" s="31" t="s">
        <v>149</v>
      </c>
      <c r="C1246" s="31" t="s">
        <v>11</v>
      </c>
      <c r="D1246" s="32">
        <v>3</v>
      </c>
      <c r="E1246" s="32">
        <v>10</v>
      </c>
      <c r="F1246" s="32">
        <v>8</v>
      </c>
      <c r="G1246" s="11">
        <v>28</v>
      </c>
      <c r="H1246" s="2" t="s">
        <v>38</v>
      </c>
      <c r="I1246" s="2">
        <v>60.2</v>
      </c>
      <c r="J1246">
        <v>44.774512987012983</v>
      </c>
      <c r="M1246">
        <v>2</v>
      </c>
    </row>
    <row r="1247" spans="1:13" x14ac:dyDescent="0.25">
      <c r="A1247">
        <v>2025</v>
      </c>
      <c r="B1247" s="31" t="s">
        <v>149</v>
      </c>
      <c r="C1247" s="31" t="s">
        <v>11</v>
      </c>
      <c r="D1247" s="32">
        <v>1</v>
      </c>
      <c r="E1247" s="32">
        <v>16</v>
      </c>
      <c r="F1247" s="32">
        <v>1</v>
      </c>
      <c r="G1247" s="11">
        <v>46</v>
      </c>
      <c r="H1247" s="2" t="s">
        <v>127</v>
      </c>
      <c r="I1247" s="2" t="s">
        <v>12</v>
      </c>
      <c r="J1247">
        <v>14.001378719975827</v>
      </c>
      <c r="K1247">
        <v>15.6</v>
      </c>
      <c r="M1247">
        <v>3</v>
      </c>
    </row>
    <row r="1248" spans="1:13" x14ac:dyDescent="0.25">
      <c r="A1248">
        <v>2025</v>
      </c>
      <c r="B1248" s="31" t="s">
        <v>149</v>
      </c>
      <c r="C1248" s="31" t="s">
        <v>11</v>
      </c>
      <c r="D1248" s="32">
        <v>2</v>
      </c>
      <c r="E1248" s="32">
        <v>7</v>
      </c>
      <c r="F1248" s="32">
        <v>5</v>
      </c>
      <c r="G1248" s="11">
        <v>46</v>
      </c>
      <c r="H1248" s="2" t="s">
        <v>127</v>
      </c>
      <c r="I1248" s="2">
        <v>58.5</v>
      </c>
      <c r="J1248">
        <v>20.323043915521286</v>
      </c>
      <c r="M1248">
        <v>3</v>
      </c>
    </row>
    <row r="1249" spans="1:13" x14ac:dyDescent="0.25">
      <c r="A1249">
        <v>2025</v>
      </c>
      <c r="B1249" s="31" t="s">
        <v>149</v>
      </c>
      <c r="C1249" s="31" t="s">
        <v>11</v>
      </c>
      <c r="D1249" s="32">
        <v>3</v>
      </c>
      <c r="E1249" s="32">
        <v>11</v>
      </c>
      <c r="F1249" s="32">
        <v>7</v>
      </c>
      <c r="G1249" s="11">
        <v>46</v>
      </c>
      <c r="H1249" s="2" t="s">
        <v>127</v>
      </c>
      <c r="I1249" s="2">
        <v>60.1</v>
      </c>
      <c r="J1249">
        <v>22.577271214642259</v>
      </c>
      <c r="M1249">
        <v>3</v>
      </c>
    </row>
    <row r="1250" spans="1:13" x14ac:dyDescent="0.25">
      <c r="A1250">
        <v>2025</v>
      </c>
      <c r="B1250" s="31" t="s">
        <v>149</v>
      </c>
      <c r="C1250" s="31" t="s">
        <v>11</v>
      </c>
      <c r="D1250" s="32">
        <v>1</v>
      </c>
      <c r="E1250" s="32">
        <v>12</v>
      </c>
      <c r="F1250" s="32">
        <v>3</v>
      </c>
      <c r="G1250" s="11">
        <v>47</v>
      </c>
      <c r="H1250" s="2" t="s">
        <v>153</v>
      </c>
      <c r="I1250" s="2">
        <v>59.1</v>
      </c>
      <c r="J1250">
        <v>28.687401559824991</v>
      </c>
      <c r="K1250">
        <v>15.9</v>
      </c>
      <c r="M1250">
        <v>4</v>
      </c>
    </row>
    <row r="1251" spans="1:13" x14ac:dyDescent="0.25">
      <c r="A1251">
        <v>2025</v>
      </c>
      <c r="B1251" s="31" t="s">
        <v>149</v>
      </c>
      <c r="C1251" s="31" t="s">
        <v>11</v>
      </c>
      <c r="D1251" s="32">
        <v>2</v>
      </c>
      <c r="E1251" s="32">
        <v>16</v>
      </c>
      <c r="F1251" s="32">
        <v>6</v>
      </c>
      <c r="G1251" s="11">
        <v>47</v>
      </c>
      <c r="H1251" s="2" t="s">
        <v>153</v>
      </c>
      <c r="I1251" s="2" t="s">
        <v>12</v>
      </c>
      <c r="J1251">
        <v>16.890405799922142</v>
      </c>
      <c r="M1251">
        <v>3</v>
      </c>
    </row>
    <row r="1252" spans="1:13" x14ac:dyDescent="0.25">
      <c r="A1252">
        <v>2025</v>
      </c>
      <c r="B1252" s="31" t="s">
        <v>149</v>
      </c>
      <c r="C1252" s="31" t="s">
        <v>11</v>
      </c>
      <c r="D1252" s="32">
        <v>3</v>
      </c>
      <c r="E1252" s="32">
        <v>9</v>
      </c>
      <c r="F1252" s="32">
        <v>8</v>
      </c>
      <c r="G1252" s="11">
        <v>47</v>
      </c>
      <c r="H1252" s="2" t="s">
        <v>153</v>
      </c>
      <c r="I1252" s="2">
        <v>60.4</v>
      </c>
      <c r="J1252">
        <v>39.263376623376615</v>
      </c>
      <c r="M1252">
        <v>4</v>
      </c>
    </row>
    <row r="1253" spans="1:13" x14ac:dyDescent="0.25">
      <c r="A1253">
        <v>2025</v>
      </c>
      <c r="B1253" s="31" t="s">
        <v>149</v>
      </c>
      <c r="C1253" s="31" t="s">
        <v>11</v>
      </c>
      <c r="D1253" s="32">
        <v>1</v>
      </c>
      <c r="E1253" s="32">
        <v>11</v>
      </c>
      <c r="F1253" s="32">
        <v>2</v>
      </c>
      <c r="G1253" s="11">
        <v>45</v>
      </c>
      <c r="H1253" s="2" t="s">
        <v>39</v>
      </c>
      <c r="I1253" s="2">
        <v>57.4</v>
      </c>
      <c r="J1253">
        <v>22.386192626407976</v>
      </c>
      <c r="K1253">
        <v>14.5</v>
      </c>
      <c r="M1253">
        <v>4</v>
      </c>
    </row>
    <row r="1254" spans="1:13" x14ac:dyDescent="0.25">
      <c r="A1254">
        <v>2025</v>
      </c>
      <c r="B1254" s="31" t="s">
        <v>149</v>
      </c>
      <c r="C1254" s="31" t="s">
        <v>11</v>
      </c>
      <c r="D1254" s="32">
        <v>2</v>
      </c>
      <c r="E1254" s="32">
        <v>4</v>
      </c>
      <c r="F1254" s="32">
        <v>6</v>
      </c>
      <c r="G1254" s="11">
        <v>45</v>
      </c>
      <c r="H1254" s="2" t="s">
        <v>39</v>
      </c>
      <c r="I1254" s="2" t="s">
        <v>12</v>
      </c>
      <c r="J1254" t="s">
        <v>12</v>
      </c>
      <c r="M1254">
        <v>5</v>
      </c>
    </row>
    <row r="1255" spans="1:13" x14ac:dyDescent="0.25">
      <c r="A1255">
        <v>2025</v>
      </c>
      <c r="B1255" s="31" t="s">
        <v>149</v>
      </c>
      <c r="C1255" s="31" t="s">
        <v>11</v>
      </c>
      <c r="D1255" s="32">
        <v>3</v>
      </c>
      <c r="E1255" s="32">
        <v>7</v>
      </c>
      <c r="F1255" s="32">
        <v>9</v>
      </c>
      <c r="G1255" s="11">
        <v>45</v>
      </c>
      <c r="H1255" s="2" t="s">
        <v>39</v>
      </c>
      <c r="I1255" s="2">
        <v>60.2</v>
      </c>
      <c r="J1255">
        <v>32.4470988209669</v>
      </c>
      <c r="M1255">
        <v>3</v>
      </c>
    </row>
    <row r="1256" spans="1:13" x14ac:dyDescent="0.25">
      <c r="A1256">
        <v>2025</v>
      </c>
      <c r="B1256" s="31" t="s">
        <v>149</v>
      </c>
      <c r="C1256" s="31" t="s">
        <v>11</v>
      </c>
      <c r="D1256" s="32">
        <v>1</v>
      </c>
      <c r="E1256" s="32">
        <v>1</v>
      </c>
      <c r="F1256" s="32">
        <v>1</v>
      </c>
      <c r="G1256" s="11">
        <v>24</v>
      </c>
      <c r="H1256" s="2" t="s">
        <v>40</v>
      </c>
      <c r="I1256" s="2">
        <v>59</v>
      </c>
      <c r="J1256">
        <v>24.510962284102916</v>
      </c>
      <c r="K1256">
        <v>15.7</v>
      </c>
      <c r="M1256">
        <v>4</v>
      </c>
    </row>
    <row r="1257" spans="1:13" x14ac:dyDescent="0.25">
      <c r="A1257">
        <v>2025</v>
      </c>
      <c r="B1257" s="31" t="s">
        <v>149</v>
      </c>
      <c r="C1257" s="31" t="s">
        <v>11</v>
      </c>
      <c r="D1257" s="32">
        <v>2</v>
      </c>
      <c r="E1257" s="32">
        <v>8</v>
      </c>
      <c r="F1257" s="32">
        <v>4</v>
      </c>
      <c r="G1257" s="11">
        <v>24</v>
      </c>
      <c r="H1257" s="2" t="s">
        <v>40</v>
      </c>
      <c r="I1257" s="2" t="s">
        <v>12</v>
      </c>
      <c r="J1257">
        <v>13.825856994202464</v>
      </c>
      <c r="M1257">
        <v>3</v>
      </c>
    </row>
    <row r="1258" spans="1:13" x14ac:dyDescent="0.25">
      <c r="A1258">
        <v>2025</v>
      </c>
      <c r="B1258" s="31" t="s">
        <v>149</v>
      </c>
      <c r="C1258" s="31" t="s">
        <v>11</v>
      </c>
      <c r="D1258" s="32">
        <v>3</v>
      </c>
      <c r="E1258" s="32">
        <v>4</v>
      </c>
      <c r="F1258" s="32">
        <v>8</v>
      </c>
      <c r="G1258" s="11">
        <v>24</v>
      </c>
      <c r="H1258" s="2" t="s">
        <v>40</v>
      </c>
      <c r="I1258" s="2" t="s">
        <v>12</v>
      </c>
      <c r="J1258">
        <v>11.673409090909088</v>
      </c>
      <c r="M1258">
        <v>3</v>
      </c>
    </row>
    <row r="1259" spans="1:13" x14ac:dyDescent="0.25">
      <c r="A1259">
        <v>2025</v>
      </c>
      <c r="B1259" s="31" t="s">
        <v>149</v>
      </c>
      <c r="C1259" s="31" t="s">
        <v>11</v>
      </c>
      <c r="D1259" s="32">
        <v>1</v>
      </c>
      <c r="E1259" s="32">
        <v>15</v>
      </c>
      <c r="F1259" s="32">
        <v>3</v>
      </c>
      <c r="G1259" s="11">
        <v>33</v>
      </c>
      <c r="H1259" s="2" t="s">
        <v>41</v>
      </c>
      <c r="I1259" s="2">
        <v>59.2</v>
      </c>
      <c r="J1259">
        <v>21.029119745101767</v>
      </c>
      <c r="K1259">
        <v>13.2</v>
      </c>
      <c r="M1259">
        <v>2</v>
      </c>
    </row>
    <row r="1260" spans="1:13" x14ac:dyDescent="0.25">
      <c r="A1260">
        <v>2025</v>
      </c>
      <c r="B1260" s="31" t="s">
        <v>149</v>
      </c>
      <c r="C1260" s="31" t="s">
        <v>11</v>
      </c>
      <c r="D1260" s="32">
        <v>2</v>
      </c>
      <c r="E1260" s="32">
        <v>10</v>
      </c>
      <c r="F1260" s="32">
        <v>4</v>
      </c>
      <c r="G1260" s="11">
        <v>33</v>
      </c>
      <c r="H1260" s="2" t="s">
        <v>41</v>
      </c>
      <c r="I1260" s="2">
        <v>58.6</v>
      </c>
      <c r="J1260">
        <v>25.110561914672211</v>
      </c>
      <c r="M1260">
        <v>3</v>
      </c>
    </row>
    <row r="1261" spans="1:13" x14ac:dyDescent="0.25">
      <c r="A1261">
        <v>2025</v>
      </c>
      <c r="B1261" s="31" t="s">
        <v>149</v>
      </c>
      <c r="C1261" s="31" t="s">
        <v>11</v>
      </c>
      <c r="D1261" s="32">
        <v>3</v>
      </c>
      <c r="E1261" s="32">
        <v>18</v>
      </c>
      <c r="F1261" s="32">
        <v>8</v>
      </c>
      <c r="G1261" s="11">
        <v>33</v>
      </c>
      <c r="H1261" s="2" t="s">
        <v>41</v>
      </c>
      <c r="I1261" s="2">
        <v>56.8</v>
      </c>
      <c r="J1261">
        <v>31.514025974025976</v>
      </c>
      <c r="M1261">
        <v>4</v>
      </c>
    </row>
    <row r="1262" spans="1:13" x14ac:dyDescent="0.25">
      <c r="A1262">
        <v>2025</v>
      </c>
      <c r="B1262" s="31" t="s">
        <v>149</v>
      </c>
      <c r="C1262" s="31" t="s">
        <v>11</v>
      </c>
      <c r="D1262" s="32">
        <v>1</v>
      </c>
      <c r="E1262" s="32">
        <v>15</v>
      </c>
      <c r="F1262" s="32">
        <v>2</v>
      </c>
      <c r="G1262" s="11">
        <v>60</v>
      </c>
      <c r="H1262" s="2" t="s">
        <v>154</v>
      </c>
      <c r="I1262" s="2">
        <v>60.3</v>
      </c>
      <c r="J1262">
        <v>25.95034982384756</v>
      </c>
      <c r="K1262">
        <v>15.3</v>
      </c>
      <c r="M1262">
        <v>1</v>
      </c>
    </row>
    <row r="1263" spans="1:13" x14ac:dyDescent="0.25">
      <c r="A1263">
        <v>2025</v>
      </c>
      <c r="B1263" s="31" t="s">
        <v>149</v>
      </c>
      <c r="C1263" s="31" t="s">
        <v>11</v>
      </c>
      <c r="D1263" s="32">
        <v>2</v>
      </c>
      <c r="E1263" s="32">
        <v>16</v>
      </c>
      <c r="F1263" s="32">
        <v>5</v>
      </c>
      <c r="G1263" s="11">
        <v>60</v>
      </c>
      <c r="H1263" s="2" t="s">
        <v>154</v>
      </c>
      <c r="I1263" s="2">
        <v>56.1</v>
      </c>
      <c r="J1263">
        <v>19.45768880800728</v>
      </c>
      <c r="M1263">
        <v>1</v>
      </c>
    </row>
    <row r="1264" spans="1:13" x14ac:dyDescent="0.25">
      <c r="A1264">
        <v>2025</v>
      </c>
      <c r="B1264" s="31" t="s">
        <v>149</v>
      </c>
      <c r="C1264" s="31" t="s">
        <v>11</v>
      </c>
      <c r="D1264" s="32">
        <v>3</v>
      </c>
      <c r="E1264" s="32">
        <v>9</v>
      </c>
      <c r="F1264" s="32">
        <v>7</v>
      </c>
      <c r="G1264" s="11">
        <v>60</v>
      </c>
      <c r="H1264" s="2" t="s">
        <v>154</v>
      </c>
      <c r="I1264" s="2">
        <v>59.5</v>
      </c>
      <c r="J1264">
        <v>29.365466127882101</v>
      </c>
      <c r="M1264">
        <v>1</v>
      </c>
    </row>
    <row r="1265" spans="1:13" x14ac:dyDescent="0.25">
      <c r="A1265">
        <v>2025</v>
      </c>
      <c r="B1265" s="31" t="s">
        <v>149</v>
      </c>
      <c r="C1265" s="31" t="s">
        <v>11</v>
      </c>
      <c r="D1265" s="32">
        <v>1</v>
      </c>
      <c r="E1265" s="32">
        <v>2</v>
      </c>
      <c r="F1265" s="32">
        <v>3</v>
      </c>
      <c r="G1265" s="11">
        <v>58</v>
      </c>
      <c r="H1265" s="2" t="s">
        <v>103</v>
      </c>
      <c r="I1265" s="2">
        <v>58.7</v>
      </c>
      <c r="J1265">
        <v>20.909771732927524</v>
      </c>
      <c r="K1265">
        <v>15.5</v>
      </c>
      <c r="M1265">
        <v>5</v>
      </c>
    </row>
    <row r="1266" spans="1:13" x14ac:dyDescent="0.25">
      <c r="A1266">
        <v>2025</v>
      </c>
      <c r="B1266" s="31" t="s">
        <v>149</v>
      </c>
      <c r="C1266" s="31" t="s">
        <v>11</v>
      </c>
      <c r="D1266" s="32">
        <v>2</v>
      </c>
      <c r="E1266" s="32">
        <v>1</v>
      </c>
      <c r="F1266" s="32">
        <v>6</v>
      </c>
      <c r="G1266" s="11">
        <v>58</v>
      </c>
      <c r="H1266" s="2" t="s">
        <v>103</v>
      </c>
      <c r="I1266" s="2" t="s">
        <v>12</v>
      </c>
      <c r="J1266" t="s">
        <v>12</v>
      </c>
      <c r="M1266">
        <v>4</v>
      </c>
    </row>
    <row r="1267" spans="1:13" x14ac:dyDescent="0.25">
      <c r="A1267">
        <v>2025</v>
      </c>
      <c r="B1267" s="31" t="s">
        <v>149</v>
      </c>
      <c r="C1267" s="31" t="s">
        <v>11</v>
      </c>
      <c r="D1267" s="32">
        <v>3</v>
      </c>
      <c r="E1267" s="32">
        <v>15</v>
      </c>
      <c r="F1267" s="32">
        <v>7</v>
      </c>
      <c r="G1267" s="11">
        <v>58</v>
      </c>
      <c r="H1267" s="2" t="s">
        <v>103</v>
      </c>
      <c r="I1267" s="2">
        <v>59.7</v>
      </c>
      <c r="J1267">
        <v>22.066810553838835</v>
      </c>
      <c r="M1267">
        <v>3</v>
      </c>
    </row>
    <row r="1268" spans="1:13" x14ac:dyDescent="0.25">
      <c r="A1268">
        <v>2025</v>
      </c>
      <c r="B1268" s="31" t="s">
        <v>149</v>
      </c>
      <c r="C1268" s="31" t="s">
        <v>11</v>
      </c>
      <c r="D1268" s="32">
        <v>1</v>
      </c>
      <c r="E1268" s="32">
        <v>13</v>
      </c>
      <c r="F1268" s="32">
        <v>2</v>
      </c>
      <c r="G1268" s="11">
        <v>25</v>
      </c>
      <c r="H1268" s="2" t="s">
        <v>130</v>
      </c>
      <c r="I1268" s="2">
        <v>58.9</v>
      </c>
      <c r="J1268">
        <v>25.030597429663072</v>
      </c>
      <c r="K1268">
        <v>16</v>
      </c>
      <c r="M1268">
        <v>2</v>
      </c>
    </row>
    <row r="1269" spans="1:13" x14ac:dyDescent="0.25">
      <c r="A1269">
        <v>2025</v>
      </c>
      <c r="B1269" s="31" t="s">
        <v>149</v>
      </c>
      <c r="C1269" s="31" t="s">
        <v>11</v>
      </c>
      <c r="D1269" s="32">
        <v>2</v>
      </c>
      <c r="E1269" s="32">
        <v>3</v>
      </c>
      <c r="F1269" s="32">
        <v>6</v>
      </c>
      <c r="G1269" s="11">
        <v>25</v>
      </c>
      <c r="H1269" s="2" t="s">
        <v>130</v>
      </c>
      <c r="I1269" s="2" t="s">
        <v>12</v>
      </c>
      <c r="J1269" t="s">
        <v>12</v>
      </c>
      <c r="M1269">
        <v>4</v>
      </c>
    </row>
    <row r="1270" spans="1:13" x14ac:dyDescent="0.25">
      <c r="A1270">
        <v>2025</v>
      </c>
      <c r="B1270" s="31" t="s">
        <v>149</v>
      </c>
      <c r="C1270" s="31" t="s">
        <v>11</v>
      </c>
      <c r="D1270" s="32">
        <v>3</v>
      </c>
      <c r="E1270" s="32">
        <v>8</v>
      </c>
      <c r="F1270" s="32">
        <v>9</v>
      </c>
      <c r="G1270" s="11">
        <v>25</v>
      </c>
      <c r="H1270" s="2" t="s">
        <v>130</v>
      </c>
      <c r="I1270" s="2">
        <v>57.8</v>
      </c>
      <c r="J1270">
        <v>26.958713954259196</v>
      </c>
      <c r="M1270">
        <v>2</v>
      </c>
    </row>
    <row r="1271" spans="1:13" x14ac:dyDescent="0.25">
      <c r="A1271">
        <v>2025</v>
      </c>
      <c r="B1271" s="31" t="s">
        <v>149</v>
      </c>
      <c r="C1271" s="31" t="s">
        <v>11</v>
      </c>
      <c r="D1271" s="32">
        <v>1</v>
      </c>
      <c r="E1271" s="32">
        <v>2</v>
      </c>
      <c r="F1271" s="32">
        <v>2</v>
      </c>
      <c r="G1271" s="11">
        <v>34</v>
      </c>
      <c r="H1271" s="2" t="s">
        <v>42</v>
      </c>
      <c r="I1271" s="2">
        <v>58.8</v>
      </c>
      <c r="J1271">
        <v>25.619842207115564</v>
      </c>
      <c r="K1271">
        <v>14.9</v>
      </c>
      <c r="M1271">
        <v>4</v>
      </c>
    </row>
    <row r="1272" spans="1:13" x14ac:dyDescent="0.25">
      <c r="A1272">
        <v>2025</v>
      </c>
      <c r="B1272" s="31" t="s">
        <v>149</v>
      </c>
      <c r="C1272" s="31" t="s">
        <v>11</v>
      </c>
      <c r="D1272" s="32">
        <v>2</v>
      </c>
      <c r="E1272" s="32">
        <v>3</v>
      </c>
      <c r="F1272" s="32">
        <v>4</v>
      </c>
      <c r="G1272" s="11">
        <v>34</v>
      </c>
      <c r="H1272" s="2" t="s">
        <v>42</v>
      </c>
      <c r="I1272" s="2" t="s">
        <v>12</v>
      </c>
      <c r="J1272">
        <v>17.234344432882409</v>
      </c>
      <c r="M1272">
        <v>4</v>
      </c>
    </row>
    <row r="1273" spans="1:13" x14ac:dyDescent="0.25">
      <c r="A1273">
        <v>2025</v>
      </c>
      <c r="B1273" s="31" t="s">
        <v>149</v>
      </c>
      <c r="C1273" s="31" t="s">
        <v>11</v>
      </c>
      <c r="D1273" s="32">
        <v>3</v>
      </c>
      <c r="E1273" s="32">
        <v>10</v>
      </c>
      <c r="F1273" s="32">
        <v>7</v>
      </c>
      <c r="G1273" s="11">
        <v>34</v>
      </c>
      <c r="H1273" s="2" t="s">
        <v>42</v>
      </c>
      <c r="I1273" s="2">
        <v>57.6</v>
      </c>
      <c r="J1273">
        <v>21.942560494414071</v>
      </c>
      <c r="M1273">
        <v>4</v>
      </c>
    </row>
    <row r="1274" spans="1:13" x14ac:dyDescent="0.25">
      <c r="A1274">
        <v>2025</v>
      </c>
      <c r="B1274" s="31" t="s">
        <v>149</v>
      </c>
      <c r="C1274" s="31" t="s">
        <v>11</v>
      </c>
      <c r="D1274" s="32">
        <v>1</v>
      </c>
      <c r="E1274" s="32">
        <v>9</v>
      </c>
      <c r="F1274" s="32">
        <v>3</v>
      </c>
      <c r="G1274" s="11">
        <v>35</v>
      </c>
      <c r="H1274" s="2" t="s">
        <v>129</v>
      </c>
      <c r="I1274" s="2" t="s">
        <v>12</v>
      </c>
      <c r="J1274">
        <v>15.654786950732355</v>
      </c>
      <c r="K1274">
        <v>13.1</v>
      </c>
      <c r="M1274">
        <v>3</v>
      </c>
    </row>
    <row r="1275" spans="1:13" x14ac:dyDescent="0.25">
      <c r="A1275">
        <v>2025</v>
      </c>
      <c r="B1275" s="31" t="s">
        <v>149</v>
      </c>
      <c r="C1275" s="31" t="s">
        <v>11</v>
      </c>
      <c r="D1275" s="32">
        <v>2</v>
      </c>
      <c r="E1275" s="32">
        <v>11</v>
      </c>
      <c r="F1275" s="32">
        <v>5</v>
      </c>
      <c r="G1275" s="11">
        <v>35</v>
      </c>
      <c r="H1275" s="2" t="s">
        <v>129</v>
      </c>
      <c r="I1275" s="2">
        <v>59.4</v>
      </c>
      <c r="J1275">
        <v>23.413232124898226</v>
      </c>
      <c r="M1275">
        <v>4</v>
      </c>
    </row>
    <row r="1276" spans="1:13" x14ac:dyDescent="0.25">
      <c r="A1276">
        <v>2025</v>
      </c>
      <c r="B1276" s="31" t="s">
        <v>149</v>
      </c>
      <c r="C1276" s="31" t="s">
        <v>11</v>
      </c>
      <c r="D1276" s="32">
        <v>3</v>
      </c>
      <c r="E1276" s="32">
        <v>14</v>
      </c>
      <c r="F1276" s="32">
        <v>9</v>
      </c>
      <c r="G1276" s="11">
        <v>35</v>
      </c>
      <c r="H1276" s="2" t="s">
        <v>129</v>
      </c>
      <c r="I1276" s="2">
        <v>57.7</v>
      </c>
      <c r="J1276">
        <v>20.726153226952032</v>
      </c>
      <c r="M1276">
        <v>2</v>
      </c>
    </row>
    <row r="1277" spans="1:13" x14ac:dyDescent="0.25">
      <c r="A1277">
        <v>2025</v>
      </c>
      <c r="B1277" s="31" t="s">
        <v>149</v>
      </c>
      <c r="C1277" s="31" t="s">
        <v>11</v>
      </c>
      <c r="D1277" s="32">
        <v>1</v>
      </c>
      <c r="E1277" s="32">
        <v>18</v>
      </c>
      <c r="F1277" s="32">
        <v>3</v>
      </c>
      <c r="G1277" s="11">
        <v>57</v>
      </c>
      <c r="H1277" s="2" t="s">
        <v>43</v>
      </c>
      <c r="I1277" s="2">
        <v>58.8</v>
      </c>
      <c r="J1277">
        <v>22.199295225413728</v>
      </c>
      <c r="K1277">
        <v>15.2</v>
      </c>
      <c r="M1277">
        <v>5</v>
      </c>
    </row>
    <row r="1278" spans="1:13" x14ac:dyDescent="0.25">
      <c r="A1278">
        <v>2025</v>
      </c>
      <c r="B1278" s="31" t="s">
        <v>149</v>
      </c>
      <c r="C1278" s="31" t="s">
        <v>11</v>
      </c>
      <c r="D1278" s="32">
        <v>2</v>
      </c>
      <c r="E1278" s="32">
        <v>4</v>
      </c>
      <c r="F1278" s="32">
        <v>4</v>
      </c>
      <c r="G1278" s="11">
        <v>57</v>
      </c>
      <c r="H1278" s="2" t="s">
        <v>43</v>
      </c>
      <c r="I1278" s="2">
        <v>58.7</v>
      </c>
      <c r="J1278">
        <v>22.620722461721417</v>
      </c>
      <c r="M1278">
        <v>3</v>
      </c>
    </row>
    <row r="1279" spans="1:13" x14ac:dyDescent="0.25">
      <c r="A1279">
        <v>2025</v>
      </c>
      <c r="B1279" s="31" t="s">
        <v>149</v>
      </c>
      <c r="C1279" s="31" t="s">
        <v>11</v>
      </c>
      <c r="D1279" s="32">
        <v>3</v>
      </c>
      <c r="E1279" s="32">
        <v>3</v>
      </c>
      <c r="F1279" s="32">
        <v>7</v>
      </c>
      <c r="G1279" s="11">
        <v>57</v>
      </c>
      <c r="H1279" s="2" t="s">
        <v>43</v>
      </c>
      <c r="I1279" s="2">
        <v>59.4</v>
      </c>
      <c r="J1279">
        <v>31.713651057760867</v>
      </c>
      <c r="M1279">
        <v>4</v>
      </c>
    </row>
    <row r="1280" spans="1:13" x14ac:dyDescent="0.25">
      <c r="A1280">
        <v>2025</v>
      </c>
      <c r="B1280" s="31" t="s">
        <v>149</v>
      </c>
      <c r="C1280" s="31" t="s">
        <v>11</v>
      </c>
      <c r="D1280" s="32">
        <v>1</v>
      </c>
      <c r="E1280" s="32">
        <v>11</v>
      </c>
      <c r="F1280" s="32">
        <v>1</v>
      </c>
      <c r="G1280" s="11">
        <v>49</v>
      </c>
      <c r="H1280" s="2" t="s">
        <v>151</v>
      </c>
      <c r="I1280" s="2">
        <v>58.4</v>
      </c>
      <c r="J1280">
        <v>29.270180774459931</v>
      </c>
      <c r="K1280">
        <v>16.3</v>
      </c>
      <c r="M1280">
        <v>1</v>
      </c>
    </row>
    <row r="1281" spans="1:13" x14ac:dyDescent="0.25">
      <c r="A1281">
        <v>2025</v>
      </c>
      <c r="B1281" s="31" t="s">
        <v>149</v>
      </c>
      <c r="C1281" s="31" t="s">
        <v>11</v>
      </c>
      <c r="D1281" s="32">
        <v>2</v>
      </c>
      <c r="E1281" s="32">
        <v>3</v>
      </c>
      <c r="F1281" s="32">
        <v>5</v>
      </c>
      <c r="G1281" s="11">
        <v>49</v>
      </c>
      <c r="H1281" s="2" t="s">
        <v>151</v>
      </c>
      <c r="I1281" s="2">
        <v>58.3</v>
      </c>
      <c r="J1281" t="s">
        <v>12</v>
      </c>
      <c r="M1281">
        <v>1</v>
      </c>
    </row>
    <row r="1282" spans="1:13" x14ac:dyDescent="0.25">
      <c r="A1282">
        <v>2025</v>
      </c>
      <c r="B1282" s="31" t="s">
        <v>149</v>
      </c>
      <c r="C1282" s="31" t="s">
        <v>11</v>
      </c>
      <c r="D1282" s="32">
        <v>3</v>
      </c>
      <c r="E1282" s="32">
        <v>5</v>
      </c>
      <c r="F1282" s="32">
        <v>8</v>
      </c>
      <c r="G1282" s="11">
        <v>49</v>
      </c>
      <c r="H1282" s="2" t="s">
        <v>151</v>
      </c>
      <c r="I1282" s="2">
        <v>60.1</v>
      </c>
      <c r="J1282">
        <v>40.167467532467533</v>
      </c>
      <c r="M1282">
        <v>1</v>
      </c>
    </row>
    <row r="1283" spans="1:13" x14ac:dyDescent="0.25">
      <c r="A1283">
        <v>2025</v>
      </c>
      <c r="B1283" s="31" t="s">
        <v>149</v>
      </c>
      <c r="C1283" s="31" t="s">
        <v>11</v>
      </c>
      <c r="D1283" s="32">
        <v>1</v>
      </c>
      <c r="E1283" s="32">
        <v>6</v>
      </c>
      <c r="F1283" s="32">
        <v>3</v>
      </c>
      <c r="G1283" s="11">
        <v>48</v>
      </c>
      <c r="H1283" s="2" t="s">
        <v>152</v>
      </c>
      <c r="I1283" s="2">
        <v>58.7</v>
      </c>
      <c r="J1283">
        <v>36.458628495339539</v>
      </c>
      <c r="K1283">
        <v>16.2</v>
      </c>
      <c r="M1283">
        <v>1</v>
      </c>
    </row>
    <row r="1284" spans="1:13" x14ac:dyDescent="0.25">
      <c r="A1284">
        <v>2025</v>
      </c>
      <c r="B1284" s="31" t="s">
        <v>149</v>
      </c>
      <c r="C1284" s="31" t="s">
        <v>11</v>
      </c>
      <c r="D1284" s="32">
        <v>2</v>
      </c>
      <c r="E1284" s="32">
        <v>15</v>
      </c>
      <c r="F1284" s="32">
        <v>6</v>
      </c>
      <c r="G1284" s="11">
        <v>48</v>
      </c>
      <c r="H1284" s="2" t="s">
        <v>152</v>
      </c>
      <c r="I1284" s="2">
        <v>60.1</v>
      </c>
      <c r="J1284">
        <v>40.982155994550411</v>
      </c>
      <c r="M1284">
        <v>1</v>
      </c>
    </row>
    <row r="1285" spans="1:13" x14ac:dyDescent="0.25">
      <c r="A1285">
        <v>2025</v>
      </c>
      <c r="B1285" s="31" t="s">
        <v>149</v>
      </c>
      <c r="C1285" s="31" t="s">
        <v>11</v>
      </c>
      <c r="D1285" s="32">
        <v>3</v>
      </c>
      <c r="E1285" s="32">
        <v>14</v>
      </c>
      <c r="F1285" s="32">
        <v>7</v>
      </c>
      <c r="G1285" s="11">
        <v>48</v>
      </c>
      <c r="H1285" s="2" t="s">
        <v>152</v>
      </c>
      <c r="I1285" s="2">
        <v>58.5</v>
      </c>
      <c r="J1285">
        <v>33.630349417637262</v>
      </c>
      <c r="M1285">
        <v>1</v>
      </c>
    </row>
    <row r="1286" spans="1:13" x14ac:dyDescent="0.25">
      <c r="A1286">
        <v>2025</v>
      </c>
      <c r="B1286" s="31" t="s">
        <v>149</v>
      </c>
      <c r="C1286" s="31" t="s">
        <v>11</v>
      </c>
      <c r="D1286" s="32">
        <v>1</v>
      </c>
      <c r="E1286" s="32">
        <v>5</v>
      </c>
      <c r="F1286" s="32">
        <v>2</v>
      </c>
      <c r="G1286" s="11">
        <v>26</v>
      </c>
      <c r="H1286" s="2" t="s">
        <v>44</v>
      </c>
      <c r="I1286" s="2">
        <v>59.4</v>
      </c>
      <c r="J1286">
        <v>34.906280950726931</v>
      </c>
      <c r="K1286">
        <v>14.1</v>
      </c>
      <c r="M1286">
        <v>4</v>
      </c>
    </row>
    <row r="1287" spans="1:13" x14ac:dyDescent="0.25">
      <c r="A1287">
        <v>2025</v>
      </c>
      <c r="B1287" s="31" t="s">
        <v>149</v>
      </c>
      <c r="C1287" s="31" t="s">
        <v>11</v>
      </c>
      <c r="D1287" s="32">
        <v>2</v>
      </c>
      <c r="E1287" s="32">
        <v>12</v>
      </c>
      <c r="F1287" s="32">
        <v>6</v>
      </c>
      <c r="G1287" s="11">
        <v>26</v>
      </c>
      <c r="H1287" s="2" t="s">
        <v>44</v>
      </c>
      <c r="I1287" s="2">
        <v>58.7</v>
      </c>
      <c r="J1287">
        <v>29.339492020241334</v>
      </c>
      <c r="M1287">
        <v>3</v>
      </c>
    </row>
    <row r="1288" spans="1:13" x14ac:dyDescent="0.25">
      <c r="A1288">
        <v>2025</v>
      </c>
      <c r="B1288" s="31" t="s">
        <v>149</v>
      </c>
      <c r="C1288" s="31" t="s">
        <v>11</v>
      </c>
      <c r="D1288" s="32">
        <v>3</v>
      </c>
      <c r="E1288" s="32">
        <v>6</v>
      </c>
      <c r="F1288" s="32">
        <v>9</v>
      </c>
      <c r="G1288" s="11">
        <v>26</v>
      </c>
      <c r="H1288" s="2" t="s">
        <v>44</v>
      </c>
      <c r="I1288" s="2">
        <v>59.4</v>
      </c>
      <c r="J1288">
        <v>49.203079691273246</v>
      </c>
      <c r="M1288">
        <v>3</v>
      </c>
    </row>
    <row r="1289" spans="1:13" x14ac:dyDescent="0.25">
      <c r="A1289">
        <v>2025</v>
      </c>
      <c r="B1289" s="31" t="s">
        <v>149</v>
      </c>
      <c r="C1289" s="31" t="s">
        <v>11</v>
      </c>
      <c r="D1289" s="32">
        <v>1</v>
      </c>
      <c r="E1289" s="32">
        <v>7</v>
      </c>
      <c r="F1289" s="32">
        <v>1</v>
      </c>
      <c r="G1289" s="11">
        <v>36</v>
      </c>
      <c r="H1289" s="2" t="s">
        <v>45</v>
      </c>
      <c r="I1289" s="2">
        <v>61.3</v>
      </c>
      <c r="J1289">
        <v>35.90520972858652</v>
      </c>
      <c r="K1289">
        <v>14.3</v>
      </c>
      <c r="M1289">
        <v>1</v>
      </c>
    </row>
    <row r="1290" spans="1:13" x14ac:dyDescent="0.25">
      <c r="A1290">
        <v>2025</v>
      </c>
      <c r="B1290" s="31" t="s">
        <v>149</v>
      </c>
      <c r="C1290" s="31" t="s">
        <v>11</v>
      </c>
      <c r="D1290" s="32">
        <v>2</v>
      </c>
      <c r="E1290" s="32">
        <v>1</v>
      </c>
      <c r="F1290" s="32">
        <v>4</v>
      </c>
      <c r="G1290" s="11">
        <v>36</v>
      </c>
      <c r="H1290" s="2" t="s">
        <v>45</v>
      </c>
      <c r="I1290" s="2">
        <v>56.9</v>
      </c>
      <c r="J1290">
        <v>31.227114612754566</v>
      </c>
      <c r="M1290">
        <v>2</v>
      </c>
    </row>
    <row r="1291" spans="1:13" x14ac:dyDescent="0.25">
      <c r="A1291">
        <v>2025</v>
      </c>
      <c r="B1291" s="31" t="s">
        <v>149</v>
      </c>
      <c r="C1291" s="31" t="s">
        <v>11</v>
      </c>
      <c r="D1291" s="32">
        <v>3</v>
      </c>
      <c r="E1291" s="32">
        <v>15</v>
      </c>
      <c r="F1291" s="32">
        <v>8</v>
      </c>
      <c r="G1291" s="11">
        <v>36</v>
      </c>
      <c r="H1291" s="2" t="s">
        <v>45</v>
      </c>
      <c r="I1291" s="2">
        <v>60.3</v>
      </c>
      <c r="J1291">
        <v>47.96975649350648</v>
      </c>
      <c r="M1291">
        <v>1</v>
      </c>
    </row>
    <row r="1292" spans="1:13" x14ac:dyDescent="0.25">
      <c r="A1292">
        <v>2025</v>
      </c>
      <c r="B1292" t="s">
        <v>149</v>
      </c>
      <c r="C1292" t="s">
        <v>160</v>
      </c>
      <c r="D1292" s="11">
        <v>1</v>
      </c>
      <c r="E1292" s="36">
        <v>14</v>
      </c>
      <c r="F1292" s="36">
        <v>1</v>
      </c>
      <c r="G1292" s="32">
        <v>30</v>
      </c>
      <c r="H1292" s="31" t="s">
        <v>21</v>
      </c>
      <c r="I1292" s="2">
        <v>61.3</v>
      </c>
      <c r="J1292">
        <v>81.49012048192769</v>
      </c>
      <c r="K1292">
        <v>11.4</v>
      </c>
    </row>
    <row r="1293" spans="1:13" x14ac:dyDescent="0.25">
      <c r="A1293">
        <v>2025</v>
      </c>
      <c r="B1293" t="s">
        <v>149</v>
      </c>
      <c r="C1293" t="s">
        <v>160</v>
      </c>
      <c r="D1293" s="11">
        <v>2</v>
      </c>
      <c r="E1293" s="36">
        <v>19</v>
      </c>
      <c r="F1293" s="36">
        <v>4</v>
      </c>
      <c r="G1293" s="32">
        <v>30</v>
      </c>
      <c r="H1293" s="31" t="s">
        <v>21</v>
      </c>
      <c r="I1293" s="2">
        <v>61.1</v>
      </c>
      <c r="J1293">
        <v>82.735084853523745</v>
      </c>
    </row>
    <row r="1294" spans="1:13" x14ac:dyDescent="0.25">
      <c r="A1294">
        <v>2025</v>
      </c>
      <c r="B1294" t="s">
        <v>149</v>
      </c>
      <c r="C1294" t="s">
        <v>160</v>
      </c>
      <c r="D1294" s="11">
        <v>3</v>
      </c>
      <c r="E1294" s="36">
        <v>24</v>
      </c>
      <c r="F1294" s="36">
        <v>6</v>
      </c>
      <c r="G1294" s="32">
        <v>30</v>
      </c>
      <c r="H1294" s="31" t="s">
        <v>21</v>
      </c>
      <c r="I1294" s="2">
        <v>61</v>
      </c>
      <c r="J1294">
        <v>74.991267713519704</v>
      </c>
    </row>
    <row r="1295" spans="1:13" x14ac:dyDescent="0.25">
      <c r="A1295">
        <v>2025</v>
      </c>
      <c r="B1295" t="s">
        <v>149</v>
      </c>
      <c r="C1295" t="s">
        <v>160</v>
      </c>
      <c r="D1295" s="11">
        <v>1</v>
      </c>
      <c r="E1295" s="36">
        <v>18</v>
      </c>
      <c r="F1295" s="36">
        <v>2</v>
      </c>
      <c r="G1295" s="32">
        <v>39</v>
      </c>
      <c r="H1295" s="31" t="s">
        <v>22</v>
      </c>
      <c r="I1295" s="2">
        <v>60.1</v>
      </c>
      <c r="J1295">
        <v>83.753999999999991</v>
      </c>
      <c r="K1295">
        <v>10.6</v>
      </c>
    </row>
    <row r="1296" spans="1:13" x14ac:dyDescent="0.25">
      <c r="A1296">
        <v>2025</v>
      </c>
      <c r="B1296" t="s">
        <v>149</v>
      </c>
      <c r="C1296" t="s">
        <v>160</v>
      </c>
      <c r="D1296" s="11">
        <v>2</v>
      </c>
      <c r="E1296" s="36">
        <v>7</v>
      </c>
      <c r="F1296" s="36">
        <v>3</v>
      </c>
      <c r="G1296" s="32">
        <v>39</v>
      </c>
      <c r="H1296" s="31" t="s">
        <v>22</v>
      </c>
      <c r="I1296" s="2">
        <v>60.2</v>
      </c>
      <c r="J1296">
        <v>79.233991416308996</v>
      </c>
    </row>
    <row r="1297" spans="1:11" x14ac:dyDescent="0.25">
      <c r="A1297">
        <v>2025</v>
      </c>
      <c r="B1297" t="s">
        <v>149</v>
      </c>
      <c r="C1297" t="s">
        <v>160</v>
      </c>
      <c r="D1297" s="11">
        <v>3</v>
      </c>
      <c r="E1297" s="36">
        <v>26</v>
      </c>
      <c r="F1297" s="36">
        <v>6</v>
      </c>
      <c r="G1297" s="32">
        <v>39</v>
      </c>
      <c r="H1297" s="31" t="s">
        <v>22</v>
      </c>
      <c r="I1297" s="2">
        <v>61.2</v>
      </c>
      <c r="J1297">
        <v>76.848986978169279</v>
      </c>
    </row>
    <row r="1298" spans="1:11" x14ac:dyDescent="0.25">
      <c r="A1298">
        <v>2025</v>
      </c>
      <c r="B1298" t="s">
        <v>149</v>
      </c>
      <c r="C1298" t="s">
        <v>160</v>
      </c>
      <c r="D1298" s="11">
        <v>1</v>
      </c>
      <c r="E1298" s="36">
        <v>12</v>
      </c>
      <c r="F1298" s="36">
        <v>1</v>
      </c>
      <c r="G1298" s="32">
        <v>38</v>
      </c>
      <c r="H1298" s="31" t="s">
        <v>23</v>
      </c>
      <c r="I1298" s="2">
        <v>60.1</v>
      </c>
      <c r="J1298">
        <v>83.459518072289143</v>
      </c>
      <c r="K1298">
        <v>11.6</v>
      </c>
    </row>
    <row r="1299" spans="1:11" x14ac:dyDescent="0.25">
      <c r="A1299">
        <v>2025</v>
      </c>
      <c r="B1299" t="s">
        <v>149</v>
      </c>
      <c r="C1299" t="s">
        <v>160</v>
      </c>
      <c r="D1299" s="11">
        <v>2</v>
      </c>
      <c r="E1299" s="36">
        <v>10</v>
      </c>
      <c r="F1299" s="36">
        <v>4</v>
      </c>
      <c r="G1299" s="32">
        <v>38</v>
      </c>
      <c r="H1299" s="31" t="s">
        <v>23</v>
      </c>
      <c r="I1299" s="2">
        <v>59.5</v>
      </c>
      <c r="J1299">
        <v>78.057822663471399</v>
      </c>
    </row>
    <row r="1300" spans="1:11" x14ac:dyDescent="0.25">
      <c r="A1300">
        <v>2025</v>
      </c>
      <c r="B1300" t="s">
        <v>149</v>
      </c>
      <c r="C1300" t="s">
        <v>160</v>
      </c>
      <c r="D1300" s="11">
        <v>3</v>
      </c>
      <c r="E1300" s="36">
        <v>9</v>
      </c>
      <c r="F1300" s="36">
        <v>6</v>
      </c>
      <c r="G1300" s="32">
        <v>38</v>
      </c>
      <c r="H1300" s="31" t="s">
        <v>23</v>
      </c>
      <c r="I1300" s="2">
        <v>59.5</v>
      </c>
      <c r="J1300">
        <v>76.706563098429697</v>
      </c>
    </row>
    <row r="1301" spans="1:11" x14ac:dyDescent="0.25">
      <c r="A1301">
        <v>2025</v>
      </c>
      <c r="B1301" t="s">
        <v>149</v>
      </c>
      <c r="C1301" t="s">
        <v>160</v>
      </c>
      <c r="D1301" s="11">
        <v>1</v>
      </c>
      <c r="E1301" s="36">
        <v>25</v>
      </c>
      <c r="F1301" s="36">
        <v>2</v>
      </c>
      <c r="G1301" s="32">
        <v>37</v>
      </c>
      <c r="H1301" s="31" t="s">
        <v>89</v>
      </c>
      <c r="I1301" s="2">
        <v>60.5</v>
      </c>
      <c r="J1301">
        <v>92.174033898305083</v>
      </c>
      <c r="K1301">
        <v>9.1999999999999993</v>
      </c>
    </row>
    <row r="1302" spans="1:11" x14ac:dyDescent="0.25">
      <c r="A1302">
        <v>2025</v>
      </c>
      <c r="B1302" t="s">
        <v>149</v>
      </c>
      <c r="C1302" t="s">
        <v>160</v>
      </c>
      <c r="D1302" s="11">
        <v>2</v>
      </c>
      <c r="E1302" s="36">
        <v>14</v>
      </c>
      <c r="F1302" s="36">
        <v>3</v>
      </c>
      <c r="G1302" s="32">
        <v>37</v>
      </c>
      <c r="H1302" s="31" t="s">
        <v>89</v>
      </c>
      <c r="I1302" s="2">
        <v>60.8</v>
      </c>
      <c r="J1302">
        <v>83.228636513700877</v>
      </c>
    </row>
    <row r="1303" spans="1:11" x14ac:dyDescent="0.25">
      <c r="A1303">
        <v>2025</v>
      </c>
      <c r="B1303" t="s">
        <v>149</v>
      </c>
      <c r="C1303" t="s">
        <v>160</v>
      </c>
      <c r="D1303" s="11">
        <v>3</v>
      </c>
      <c r="E1303" s="36">
        <v>5</v>
      </c>
      <c r="F1303" s="36">
        <v>5</v>
      </c>
      <c r="G1303" s="32">
        <v>37</v>
      </c>
      <c r="H1303" s="31" t="s">
        <v>89</v>
      </c>
      <c r="I1303" s="2">
        <v>60.1</v>
      </c>
      <c r="J1303">
        <v>88.091040719605374</v>
      </c>
    </row>
    <row r="1304" spans="1:11" x14ac:dyDescent="0.25">
      <c r="A1304">
        <v>2025</v>
      </c>
      <c r="B1304" t="s">
        <v>149</v>
      </c>
      <c r="C1304" t="s">
        <v>160</v>
      </c>
      <c r="D1304" s="11">
        <v>1</v>
      </c>
      <c r="E1304" s="36">
        <v>5</v>
      </c>
      <c r="F1304" s="36">
        <v>1</v>
      </c>
      <c r="G1304" s="32">
        <v>40</v>
      </c>
      <c r="H1304" s="31" t="s">
        <v>121</v>
      </c>
      <c r="I1304" s="2">
        <v>59.5</v>
      </c>
      <c r="J1304">
        <v>91.764754733218567</v>
      </c>
      <c r="K1304">
        <v>10.5</v>
      </c>
    </row>
    <row r="1305" spans="1:11" x14ac:dyDescent="0.25">
      <c r="A1305">
        <v>2025</v>
      </c>
      <c r="B1305" t="s">
        <v>149</v>
      </c>
      <c r="C1305" t="s">
        <v>160</v>
      </c>
      <c r="D1305" s="11">
        <v>2</v>
      </c>
      <c r="E1305" s="36">
        <v>1</v>
      </c>
      <c r="F1305" s="36">
        <v>4</v>
      </c>
      <c r="G1305" s="32">
        <v>40</v>
      </c>
      <c r="H1305" s="31" t="s">
        <v>121</v>
      </c>
      <c r="I1305" s="2">
        <v>60.4</v>
      </c>
      <c r="J1305">
        <v>84.693635741184522</v>
      </c>
    </row>
    <row r="1306" spans="1:11" x14ac:dyDescent="0.25">
      <c r="A1306">
        <v>2025</v>
      </c>
      <c r="B1306" t="s">
        <v>149</v>
      </c>
      <c r="C1306" t="s">
        <v>160</v>
      </c>
      <c r="D1306" s="11">
        <v>3</v>
      </c>
      <c r="E1306" s="36">
        <v>19</v>
      </c>
      <c r="F1306" s="36">
        <v>6</v>
      </c>
      <c r="G1306" s="32">
        <v>40</v>
      </c>
      <c r="H1306" s="31" t="s">
        <v>121</v>
      </c>
      <c r="I1306" s="2">
        <v>60.8</v>
      </c>
      <c r="J1306">
        <v>89.318114707008789</v>
      </c>
    </row>
    <row r="1307" spans="1:11" x14ac:dyDescent="0.25">
      <c r="A1307">
        <v>2025</v>
      </c>
      <c r="B1307" t="s">
        <v>149</v>
      </c>
      <c r="C1307" t="s">
        <v>160</v>
      </c>
      <c r="D1307" s="11">
        <v>1</v>
      </c>
      <c r="E1307" s="36">
        <v>9</v>
      </c>
      <c r="F1307" s="36">
        <v>2</v>
      </c>
      <c r="G1307" s="32">
        <v>41</v>
      </c>
      <c r="H1307" s="31" t="s">
        <v>124</v>
      </c>
      <c r="I1307" s="2">
        <v>59.9</v>
      </c>
      <c r="J1307">
        <v>87.81266440677966</v>
      </c>
      <c r="K1307">
        <v>10.5</v>
      </c>
    </row>
    <row r="1308" spans="1:11" x14ac:dyDescent="0.25">
      <c r="A1308">
        <v>2025</v>
      </c>
      <c r="B1308" t="s">
        <v>149</v>
      </c>
      <c r="C1308" t="s">
        <v>160</v>
      </c>
      <c r="D1308" s="11">
        <v>2</v>
      </c>
      <c r="E1308" s="36">
        <v>26</v>
      </c>
      <c r="F1308" s="36">
        <v>3</v>
      </c>
      <c r="G1308" s="32">
        <v>41</v>
      </c>
      <c r="H1308" s="31" t="s">
        <v>124</v>
      </c>
      <c r="I1308" s="2">
        <v>59.6</v>
      </c>
      <c r="J1308">
        <v>67.897854077253214</v>
      </c>
    </row>
    <row r="1309" spans="1:11" x14ac:dyDescent="0.25">
      <c r="A1309">
        <v>2025</v>
      </c>
      <c r="B1309" t="s">
        <v>149</v>
      </c>
      <c r="C1309" t="s">
        <v>160</v>
      </c>
      <c r="D1309" s="11">
        <v>3</v>
      </c>
      <c r="E1309" s="36">
        <v>17</v>
      </c>
      <c r="F1309" s="36">
        <v>5</v>
      </c>
      <c r="G1309" s="32">
        <v>41</v>
      </c>
      <c r="H1309" s="31" t="s">
        <v>124</v>
      </c>
      <c r="I1309" s="2">
        <v>60.2</v>
      </c>
      <c r="J1309">
        <v>75.59007640971079</v>
      </c>
    </row>
    <row r="1310" spans="1:11" x14ac:dyDescent="0.25">
      <c r="A1310">
        <v>2025</v>
      </c>
      <c r="B1310" t="s">
        <v>149</v>
      </c>
      <c r="C1310" t="s">
        <v>160</v>
      </c>
      <c r="D1310" s="11">
        <v>1</v>
      </c>
      <c r="E1310" s="36">
        <v>14</v>
      </c>
      <c r="F1310" s="36">
        <v>2</v>
      </c>
      <c r="G1310" s="32">
        <v>20</v>
      </c>
      <c r="H1310" s="31" t="s">
        <v>24</v>
      </c>
      <c r="I1310" s="2">
        <v>60.3</v>
      </c>
      <c r="J1310">
        <v>85.838033898305085</v>
      </c>
      <c r="K1310">
        <v>9.8000000000000007</v>
      </c>
    </row>
    <row r="1311" spans="1:11" x14ac:dyDescent="0.25">
      <c r="A1311">
        <v>2025</v>
      </c>
      <c r="B1311" t="s">
        <v>149</v>
      </c>
      <c r="C1311" t="s">
        <v>160</v>
      </c>
      <c r="D1311" s="11">
        <v>2</v>
      </c>
      <c r="E1311" s="36">
        <v>16</v>
      </c>
      <c r="F1311" s="36">
        <v>4</v>
      </c>
      <c r="G1311" s="32">
        <v>20</v>
      </c>
      <c r="H1311" s="31" t="s">
        <v>24</v>
      </c>
      <c r="I1311" s="2">
        <v>59.8</v>
      </c>
      <c r="J1311">
        <v>91.862238959260523</v>
      </c>
    </row>
    <row r="1312" spans="1:11" x14ac:dyDescent="0.25">
      <c r="A1312">
        <v>2025</v>
      </c>
      <c r="B1312" t="s">
        <v>149</v>
      </c>
      <c r="C1312" t="s">
        <v>160</v>
      </c>
      <c r="D1312" s="11">
        <v>3</v>
      </c>
      <c r="E1312" s="36">
        <v>12</v>
      </c>
      <c r="F1312" s="36">
        <v>6</v>
      </c>
      <c r="G1312" s="32">
        <v>20</v>
      </c>
      <c r="H1312" s="31" t="s">
        <v>24</v>
      </c>
      <c r="I1312" s="2">
        <v>60.1</v>
      </c>
      <c r="J1312">
        <v>90.257117004978909</v>
      </c>
    </row>
    <row r="1313" spans="1:11" x14ac:dyDescent="0.25">
      <c r="A1313">
        <v>2025</v>
      </c>
      <c r="B1313" t="s">
        <v>149</v>
      </c>
      <c r="C1313" t="s">
        <v>160</v>
      </c>
      <c r="D1313" s="11">
        <v>1</v>
      </c>
      <c r="E1313" s="36">
        <v>15</v>
      </c>
      <c r="F1313" s="36">
        <v>2</v>
      </c>
      <c r="G1313" s="32">
        <v>32</v>
      </c>
      <c r="H1313" s="31" t="s">
        <v>25</v>
      </c>
      <c r="I1313" s="2" t="s">
        <v>12</v>
      </c>
      <c r="J1313" t="s">
        <v>12</v>
      </c>
      <c r="K1313" t="s">
        <v>12</v>
      </c>
    </row>
    <row r="1314" spans="1:11" x14ac:dyDescent="0.25">
      <c r="A1314">
        <v>2025</v>
      </c>
      <c r="B1314" t="s">
        <v>149</v>
      </c>
      <c r="C1314" t="s">
        <v>160</v>
      </c>
      <c r="D1314" s="11">
        <v>2</v>
      </c>
      <c r="E1314" s="36">
        <v>12</v>
      </c>
      <c r="F1314" s="36">
        <v>4</v>
      </c>
      <c r="G1314" s="32">
        <v>32</v>
      </c>
      <c r="H1314" s="31" t="s">
        <v>25</v>
      </c>
      <c r="I1314" s="2">
        <v>62.3</v>
      </c>
      <c r="J1314">
        <v>93.241179635154296</v>
      </c>
    </row>
    <row r="1315" spans="1:11" x14ac:dyDescent="0.25">
      <c r="A1315">
        <v>2025</v>
      </c>
      <c r="B1315" t="s">
        <v>149</v>
      </c>
      <c r="C1315" t="s">
        <v>160</v>
      </c>
      <c r="D1315" s="11">
        <v>3</v>
      </c>
      <c r="E1315" s="36">
        <v>25</v>
      </c>
      <c r="F1315" s="36">
        <v>5</v>
      </c>
      <c r="G1315" s="32">
        <v>32</v>
      </c>
      <c r="H1315" s="31" t="s">
        <v>25</v>
      </c>
      <c r="I1315" s="2">
        <v>63.4</v>
      </c>
      <c r="J1315">
        <v>78.22713995550825</v>
      </c>
      <c r="K1315">
        <v>9.8000000000000007</v>
      </c>
    </row>
    <row r="1316" spans="1:11" x14ac:dyDescent="0.25">
      <c r="A1316">
        <v>2025</v>
      </c>
      <c r="B1316" t="s">
        <v>149</v>
      </c>
      <c r="C1316" t="s">
        <v>160</v>
      </c>
      <c r="D1316" s="11">
        <v>1</v>
      </c>
      <c r="E1316" s="36">
        <v>1</v>
      </c>
      <c r="F1316" s="36">
        <v>2</v>
      </c>
      <c r="G1316" s="32">
        <v>21</v>
      </c>
      <c r="H1316" s="31" t="s">
        <v>26</v>
      </c>
      <c r="I1316" s="2">
        <v>58.7</v>
      </c>
      <c r="J1316">
        <v>93.104490072639223</v>
      </c>
      <c r="K1316">
        <v>8.6</v>
      </c>
    </row>
    <row r="1317" spans="1:11" x14ac:dyDescent="0.25">
      <c r="A1317">
        <v>2025</v>
      </c>
      <c r="B1317" t="s">
        <v>149</v>
      </c>
      <c r="C1317" t="s">
        <v>160</v>
      </c>
      <c r="D1317" s="11">
        <v>2</v>
      </c>
      <c r="E1317" s="36">
        <v>17</v>
      </c>
      <c r="F1317" s="36">
        <v>3</v>
      </c>
      <c r="G1317" s="32">
        <v>21</v>
      </c>
      <c r="H1317" s="31" t="s">
        <v>26</v>
      </c>
      <c r="I1317" s="2">
        <v>59</v>
      </c>
      <c r="J1317">
        <v>90.579233599018991</v>
      </c>
    </row>
    <row r="1318" spans="1:11" x14ac:dyDescent="0.25">
      <c r="A1318">
        <v>2025</v>
      </c>
      <c r="B1318" t="s">
        <v>149</v>
      </c>
      <c r="C1318" t="s">
        <v>160</v>
      </c>
      <c r="D1318" s="11">
        <v>3</v>
      </c>
      <c r="E1318" s="36">
        <v>22</v>
      </c>
      <c r="F1318" s="36">
        <v>6</v>
      </c>
      <c r="G1318" s="32">
        <v>21</v>
      </c>
      <c r="H1318" s="31" t="s">
        <v>26</v>
      </c>
      <c r="I1318" s="2">
        <v>58.3</v>
      </c>
      <c r="J1318">
        <v>82.738273649942542</v>
      </c>
    </row>
    <row r="1319" spans="1:11" x14ac:dyDescent="0.25">
      <c r="A1319">
        <v>2025</v>
      </c>
      <c r="B1319" t="s">
        <v>149</v>
      </c>
      <c r="C1319" t="s">
        <v>160</v>
      </c>
      <c r="D1319" s="11">
        <v>1</v>
      </c>
      <c r="E1319" s="36">
        <v>22</v>
      </c>
      <c r="F1319" s="36">
        <v>2</v>
      </c>
      <c r="G1319" s="32">
        <v>29</v>
      </c>
      <c r="H1319" s="31" t="s">
        <v>27</v>
      </c>
      <c r="I1319" s="2">
        <v>60.1</v>
      </c>
      <c r="J1319">
        <v>91.588759322033894</v>
      </c>
      <c r="K1319">
        <v>9.1</v>
      </c>
    </row>
    <row r="1320" spans="1:11" x14ac:dyDescent="0.25">
      <c r="A1320">
        <v>2025</v>
      </c>
      <c r="B1320" t="s">
        <v>149</v>
      </c>
      <c r="C1320" t="s">
        <v>160</v>
      </c>
      <c r="D1320" s="11">
        <v>2</v>
      </c>
      <c r="E1320" s="36">
        <v>18</v>
      </c>
      <c r="F1320" s="36">
        <v>3</v>
      </c>
      <c r="G1320" s="32">
        <v>29</v>
      </c>
      <c r="H1320" s="31" t="s">
        <v>27</v>
      </c>
      <c r="I1320" s="2">
        <v>59.6</v>
      </c>
      <c r="J1320">
        <v>88.064289015705327</v>
      </c>
    </row>
    <row r="1321" spans="1:11" x14ac:dyDescent="0.25">
      <c r="A1321">
        <v>2025</v>
      </c>
      <c r="B1321" t="s">
        <v>149</v>
      </c>
      <c r="C1321" t="s">
        <v>160</v>
      </c>
      <c r="D1321" s="11">
        <v>3</v>
      </c>
      <c r="E1321" s="36">
        <v>4</v>
      </c>
      <c r="F1321" s="36">
        <v>6</v>
      </c>
      <c r="G1321" s="32">
        <v>29</v>
      </c>
      <c r="H1321" s="31" t="s">
        <v>27</v>
      </c>
      <c r="I1321" s="2">
        <v>59.4</v>
      </c>
      <c r="J1321">
        <v>82.248487169666774</v>
      </c>
    </row>
    <row r="1322" spans="1:11" x14ac:dyDescent="0.25">
      <c r="A1322">
        <v>2025</v>
      </c>
      <c r="B1322" t="s">
        <v>149</v>
      </c>
      <c r="C1322" t="s">
        <v>160</v>
      </c>
      <c r="D1322" s="11">
        <v>1</v>
      </c>
      <c r="E1322" s="36">
        <v>6</v>
      </c>
      <c r="F1322" s="36">
        <v>1</v>
      </c>
      <c r="G1322" s="32">
        <v>22</v>
      </c>
      <c r="H1322" s="31" t="s">
        <v>28</v>
      </c>
      <c r="I1322" s="14">
        <v>60.8</v>
      </c>
      <c r="J1322">
        <v>93.410021514629946</v>
      </c>
      <c r="K1322">
        <v>11.5</v>
      </c>
    </row>
    <row r="1323" spans="1:11" x14ac:dyDescent="0.25">
      <c r="A1323">
        <v>2025</v>
      </c>
      <c r="B1323" t="s">
        <v>149</v>
      </c>
      <c r="C1323" t="s">
        <v>160</v>
      </c>
      <c r="D1323" s="11">
        <v>2</v>
      </c>
      <c r="E1323" s="36">
        <v>23</v>
      </c>
      <c r="F1323" s="36">
        <v>4</v>
      </c>
      <c r="G1323" s="32">
        <v>22</v>
      </c>
      <c r="H1323" s="31" t="s">
        <v>28</v>
      </c>
      <c r="I1323" s="14">
        <v>60.7</v>
      </c>
      <c r="J1323">
        <v>85.215435027143343</v>
      </c>
    </row>
    <row r="1324" spans="1:11" x14ac:dyDescent="0.25">
      <c r="A1324">
        <v>2025</v>
      </c>
      <c r="B1324" t="s">
        <v>149</v>
      </c>
      <c r="C1324" t="s">
        <v>160</v>
      </c>
      <c r="D1324" s="11">
        <v>3</v>
      </c>
      <c r="E1324" s="36">
        <v>18</v>
      </c>
      <c r="F1324" s="36">
        <v>6</v>
      </c>
      <c r="G1324" s="32">
        <v>22</v>
      </c>
      <c r="H1324" s="31" t="s">
        <v>28</v>
      </c>
      <c r="I1324" s="14">
        <v>59.3</v>
      </c>
      <c r="J1324">
        <v>78.754670624281857</v>
      </c>
    </row>
    <row r="1325" spans="1:11" x14ac:dyDescent="0.25">
      <c r="A1325">
        <v>2025</v>
      </c>
      <c r="B1325" t="s">
        <v>149</v>
      </c>
      <c r="C1325" t="s">
        <v>160</v>
      </c>
      <c r="D1325" s="11">
        <v>1</v>
      </c>
      <c r="E1325" s="36">
        <v>8</v>
      </c>
      <c r="F1325" s="36">
        <v>1</v>
      </c>
      <c r="G1325" s="32">
        <v>18</v>
      </c>
      <c r="H1325" s="31" t="s">
        <v>29</v>
      </c>
      <c r="I1325" s="14">
        <v>58</v>
      </c>
      <c r="J1325">
        <v>93.25538726333906</v>
      </c>
      <c r="K1325">
        <v>10.1</v>
      </c>
    </row>
    <row r="1326" spans="1:11" x14ac:dyDescent="0.25">
      <c r="A1326">
        <v>2025</v>
      </c>
      <c r="B1326" t="s">
        <v>149</v>
      </c>
      <c r="C1326" t="s">
        <v>160</v>
      </c>
      <c r="D1326" s="11">
        <v>2</v>
      </c>
      <c r="E1326" s="36">
        <v>10</v>
      </c>
      <c r="F1326" s="36">
        <v>3</v>
      </c>
      <c r="G1326" s="32">
        <v>18</v>
      </c>
      <c r="H1326" s="31" t="s">
        <v>29</v>
      </c>
      <c r="I1326" s="14">
        <v>57.9</v>
      </c>
      <c r="J1326">
        <v>84.888893081167751</v>
      </c>
    </row>
    <row r="1327" spans="1:11" x14ac:dyDescent="0.25">
      <c r="A1327">
        <v>2025</v>
      </c>
      <c r="B1327" t="s">
        <v>149</v>
      </c>
      <c r="C1327" t="s">
        <v>160</v>
      </c>
      <c r="D1327" s="11">
        <v>3</v>
      </c>
      <c r="E1327" s="36">
        <v>2</v>
      </c>
      <c r="F1327" s="36">
        <v>5</v>
      </c>
      <c r="G1327" s="32">
        <v>18</v>
      </c>
      <c r="H1327" s="31" t="s">
        <v>29</v>
      </c>
      <c r="I1327" s="14">
        <v>58.1</v>
      </c>
      <c r="J1327">
        <v>85.111656833349443</v>
      </c>
    </row>
    <row r="1328" spans="1:11" x14ac:dyDescent="0.25">
      <c r="A1328">
        <v>2025</v>
      </c>
      <c r="B1328" t="s">
        <v>149</v>
      </c>
      <c r="C1328" t="s">
        <v>160</v>
      </c>
      <c r="D1328">
        <v>1</v>
      </c>
      <c r="E1328" s="36">
        <v>26</v>
      </c>
      <c r="F1328" s="36">
        <v>1</v>
      </c>
      <c r="G1328" s="32">
        <v>14</v>
      </c>
      <c r="H1328" s="31" t="s">
        <v>30</v>
      </c>
      <c r="I1328" s="13">
        <v>62.2</v>
      </c>
      <c r="J1328">
        <v>89.173270223752141</v>
      </c>
      <c r="K1328">
        <v>9</v>
      </c>
    </row>
    <row r="1329" spans="1:11" x14ac:dyDescent="0.25">
      <c r="A1329">
        <v>2025</v>
      </c>
      <c r="B1329" t="s">
        <v>149</v>
      </c>
      <c r="C1329" t="s">
        <v>160</v>
      </c>
      <c r="D1329">
        <v>2</v>
      </c>
      <c r="E1329" s="36">
        <v>3</v>
      </c>
      <c r="F1329" s="36">
        <v>3</v>
      </c>
      <c r="G1329" s="32">
        <v>14</v>
      </c>
      <c r="H1329" s="31" t="s">
        <v>30</v>
      </c>
      <c r="I1329" s="13">
        <v>61.5</v>
      </c>
      <c r="J1329">
        <v>89.778427581002688</v>
      </c>
    </row>
    <row r="1330" spans="1:11" x14ac:dyDescent="0.25">
      <c r="A1330">
        <v>2025</v>
      </c>
      <c r="B1330" t="s">
        <v>149</v>
      </c>
      <c r="C1330" t="s">
        <v>160</v>
      </c>
      <c r="D1330">
        <v>3</v>
      </c>
      <c r="E1330" s="36">
        <v>14</v>
      </c>
      <c r="F1330" s="36">
        <v>5</v>
      </c>
      <c r="G1330" s="32">
        <v>14</v>
      </c>
      <c r="H1330" s="31" t="s">
        <v>30</v>
      </c>
      <c r="I1330" s="13">
        <v>58.8</v>
      </c>
      <c r="J1330">
        <v>81.62314924073894</v>
      </c>
    </row>
    <row r="1331" spans="1:11" x14ac:dyDescent="0.25">
      <c r="A1331">
        <v>2025</v>
      </c>
      <c r="B1331" t="s">
        <v>149</v>
      </c>
      <c r="C1331" t="s">
        <v>160</v>
      </c>
      <c r="D1331">
        <v>1</v>
      </c>
      <c r="E1331" s="36">
        <v>9</v>
      </c>
      <c r="F1331" s="36">
        <v>1</v>
      </c>
      <c r="G1331" s="32">
        <v>15</v>
      </c>
      <c r="H1331" s="31" t="s">
        <v>31</v>
      </c>
      <c r="I1331" s="13">
        <v>58.5</v>
      </c>
      <c r="J1331">
        <v>106.11577882960412</v>
      </c>
      <c r="K1331">
        <v>10</v>
      </c>
    </row>
    <row r="1332" spans="1:11" x14ac:dyDescent="0.25">
      <c r="A1332">
        <v>2025</v>
      </c>
      <c r="B1332" t="s">
        <v>149</v>
      </c>
      <c r="C1332" t="s">
        <v>160</v>
      </c>
      <c r="D1332">
        <v>2</v>
      </c>
      <c r="E1332" s="36">
        <v>13</v>
      </c>
      <c r="F1332" s="36">
        <v>3</v>
      </c>
      <c r="G1332" s="32">
        <v>15</v>
      </c>
      <c r="H1332" s="31" t="s">
        <v>31</v>
      </c>
      <c r="I1332" s="13">
        <v>58</v>
      </c>
      <c r="J1332">
        <v>94.734264019242545</v>
      </c>
    </row>
    <row r="1333" spans="1:11" x14ac:dyDescent="0.25">
      <c r="A1333">
        <v>2025</v>
      </c>
      <c r="B1333" t="s">
        <v>149</v>
      </c>
      <c r="C1333" t="s">
        <v>160</v>
      </c>
      <c r="D1333">
        <v>3</v>
      </c>
      <c r="E1333" s="36">
        <v>19</v>
      </c>
      <c r="F1333" s="36">
        <v>5</v>
      </c>
      <c r="G1333" s="32">
        <v>15</v>
      </c>
      <c r="H1333" s="31" t="s">
        <v>31</v>
      </c>
      <c r="I1333" s="13">
        <v>58.2</v>
      </c>
      <c r="J1333">
        <v>87.53873198568526</v>
      </c>
    </row>
    <row r="1334" spans="1:11" x14ac:dyDescent="0.25">
      <c r="A1334">
        <v>2025</v>
      </c>
      <c r="B1334" t="s">
        <v>149</v>
      </c>
      <c r="C1334" t="s">
        <v>160</v>
      </c>
      <c r="D1334">
        <v>1</v>
      </c>
      <c r="E1334" s="36">
        <v>5</v>
      </c>
      <c r="F1334" s="36">
        <v>2</v>
      </c>
      <c r="G1334" s="32">
        <v>16</v>
      </c>
      <c r="H1334" s="31" t="s">
        <v>32</v>
      </c>
      <c r="I1334" s="13">
        <v>61.1</v>
      </c>
      <c r="J1334">
        <v>86.373305084745766</v>
      </c>
      <c r="K1334">
        <v>10.6</v>
      </c>
    </row>
    <row r="1335" spans="1:11" x14ac:dyDescent="0.25">
      <c r="A1335">
        <v>2025</v>
      </c>
      <c r="B1335" t="s">
        <v>149</v>
      </c>
      <c r="C1335" t="s">
        <v>160</v>
      </c>
      <c r="D1335">
        <v>2</v>
      </c>
      <c r="E1335" s="36">
        <v>15</v>
      </c>
      <c r="F1335" s="36">
        <v>3</v>
      </c>
      <c r="G1335" s="32">
        <v>16</v>
      </c>
      <c r="H1335" s="31" t="s">
        <v>32</v>
      </c>
      <c r="I1335" s="13" t="s">
        <v>12</v>
      </c>
      <c r="J1335" t="s">
        <v>12</v>
      </c>
    </row>
    <row r="1336" spans="1:11" x14ac:dyDescent="0.25">
      <c r="A1336">
        <v>2025</v>
      </c>
      <c r="B1336" t="s">
        <v>149</v>
      </c>
      <c r="C1336" t="s">
        <v>160</v>
      </c>
      <c r="D1336">
        <v>3</v>
      </c>
      <c r="E1336" s="36">
        <v>16</v>
      </c>
      <c r="F1336" s="36">
        <v>6</v>
      </c>
      <c r="G1336" s="32">
        <v>16</v>
      </c>
      <c r="H1336" s="31" t="s">
        <v>32</v>
      </c>
      <c r="I1336" s="13">
        <v>57.5</v>
      </c>
      <c r="J1336">
        <v>76.931739754883182</v>
      </c>
    </row>
    <row r="1337" spans="1:11" x14ac:dyDescent="0.25">
      <c r="A1337">
        <v>2025</v>
      </c>
      <c r="B1337" t="s">
        <v>149</v>
      </c>
      <c r="C1337" t="s">
        <v>160</v>
      </c>
      <c r="D1337">
        <v>1</v>
      </c>
      <c r="E1337" s="36">
        <v>3</v>
      </c>
      <c r="F1337" s="36">
        <v>2</v>
      </c>
      <c r="G1337" s="32">
        <v>11</v>
      </c>
      <c r="H1337" s="31" t="s">
        <v>90</v>
      </c>
      <c r="I1337" s="13">
        <v>60.5</v>
      </c>
      <c r="J1337">
        <v>89.513882324455196</v>
      </c>
      <c r="K1337">
        <v>9.9</v>
      </c>
    </row>
    <row r="1338" spans="1:11" x14ac:dyDescent="0.25">
      <c r="A1338">
        <v>2025</v>
      </c>
      <c r="B1338" t="s">
        <v>149</v>
      </c>
      <c r="C1338" t="s">
        <v>160</v>
      </c>
      <c r="D1338">
        <v>2</v>
      </c>
      <c r="E1338" s="36">
        <v>2</v>
      </c>
      <c r="F1338" s="36">
        <v>3</v>
      </c>
      <c r="G1338" s="32">
        <v>11</v>
      </c>
      <c r="H1338" s="31" t="s">
        <v>90</v>
      </c>
      <c r="I1338" s="13">
        <v>60.7</v>
      </c>
      <c r="J1338">
        <v>83.712033674479997</v>
      </c>
    </row>
    <row r="1339" spans="1:11" x14ac:dyDescent="0.25">
      <c r="A1339">
        <v>2025</v>
      </c>
      <c r="B1339" t="s">
        <v>149</v>
      </c>
      <c r="C1339" t="s">
        <v>160</v>
      </c>
      <c r="D1339">
        <v>3</v>
      </c>
      <c r="E1339" s="36">
        <v>21</v>
      </c>
      <c r="F1339" s="36">
        <v>5</v>
      </c>
      <c r="G1339" s="32">
        <v>11</v>
      </c>
      <c r="H1339" s="31" t="s">
        <v>90</v>
      </c>
      <c r="I1339" s="13">
        <v>61.1</v>
      </c>
      <c r="J1339">
        <v>83.08358835477317</v>
      </c>
    </row>
    <row r="1340" spans="1:11" x14ac:dyDescent="0.25">
      <c r="A1340">
        <v>2025</v>
      </c>
      <c r="B1340" t="s">
        <v>149</v>
      </c>
      <c r="C1340" t="s">
        <v>160</v>
      </c>
      <c r="D1340">
        <v>1</v>
      </c>
      <c r="E1340" s="36">
        <v>4</v>
      </c>
      <c r="F1340" s="36">
        <v>2</v>
      </c>
      <c r="G1340" s="32">
        <v>1</v>
      </c>
      <c r="H1340" s="31" t="s">
        <v>120</v>
      </c>
      <c r="I1340" s="13">
        <v>58.7</v>
      </c>
      <c r="J1340">
        <v>97.245326876513317</v>
      </c>
      <c r="K1340">
        <v>9.3000000000000007</v>
      </c>
    </row>
    <row r="1341" spans="1:11" x14ac:dyDescent="0.25">
      <c r="A1341">
        <v>2025</v>
      </c>
      <c r="B1341" t="s">
        <v>149</v>
      </c>
      <c r="C1341" t="s">
        <v>160</v>
      </c>
      <c r="D1341">
        <v>2</v>
      </c>
      <c r="E1341" s="36">
        <v>23</v>
      </c>
      <c r="F1341" s="36">
        <v>3</v>
      </c>
      <c r="G1341" s="32">
        <v>1</v>
      </c>
      <c r="H1341" s="31" t="s">
        <v>120</v>
      </c>
      <c r="I1341" s="13">
        <v>59</v>
      </c>
      <c r="J1341">
        <v>90.784396076026951</v>
      </c>
    </row>
    <row r="1342" spans="1:11" x14ac:dyDescent="0.25">
      <c r="A1342">
        <v>2025</v>
      </c>
      <c r="B1342" t="s">
        <v>149</v>
      </c>
      <c r="C1342" t="s">
        <v>160</v>
      </c>
      <c r="D1342">
        <v>3</v>
      </c>
      <c r="E1342" s="36">
        <v>3</v>
      </c>
      <c r="F1342" s="36">
        <v>5</v>
      </c>
      <c r="G1342" s="32">
        <v>1</v>
      </c>
      <c r="H1342" s="31" t="s">
        <v>120</v>
      </c>
      <c r="I1342" s="13">
        <v>58.3</v>
      </c>
      <c r="J1342">
        <v>88.392378373150208</v>
      </c>
    </row>
    <row r="1343" spans="1:11" x14ac:dyDescent="0.25">
      <c r="A1343">
        <v>2025</v>
      </c>
      <c r="B1343" t="s">
        <v>149</v>
      </c>
      <c r="C1343" t="s">
        <v>160</v>
      </c>
      <c r="D1343">
        <v>1</v>
      </c>
      <c r="E1343" s="36">
        <v>22</v>
      </c>
      <c r="F1343" s="36">
        <v>1</v>
      </c>
      <c r="G1343" s="32">
        <v>17</v>
      </c>
      <c r="H1343" s="31" t="s">
        <v>33</v>
      </c>
      <c r="I1343" s="13">
        <v>57.7</v>
      </c>
      <c r="J1343">
        <v>94.823644578313235</v>
      </c>
      <c r="K1343">
        <v>9.5</v>
      </c>
    </row>
    <row r="1344" spans="1:11" x14ac:dyDescent="0.25">
      <c r="A1344">
        <v>2025</v>
      </c>
      <c r="B1344" t="s">
        <v>149</v>
      </c>
      <c r="C1344" t="s">
        <v>160</v>
      </c>
      <c r="D1344">
        <v>2</v>
      </c>
      <c r="E1344" s="36">
        <v>18</v>
      </c>
      <c r="F1344" s="36">
        <v>4</v>
      </c>
      <c r="G1344" s="32">
        <v>17</v>
      </c>
      <c r="H1344" s="31" t="s">
        <v>33</v>
      </c>
      <c r="I1344" s="13">
        <v>60.1</v>
      </c>
      <c r="J1344">
        <v>90.820092923167195</v>
      </c>
    </row>
    <row r="1345" spans="1:11" x14ac:dyDescent="0.25">
      <c r="A1345">
        <v>2025</v>
      </c>
      <c r="B1345" t="s">
        <v>149</v>
      </c>
      <c r="C1345" t="s">
        <v>160</v>
      </c>
      <c r="D1345">
        <v>3</v>
      </c>
      <c r="E1345" s="36">
        <v>2</v>
      </c>
      <c r="F1345" s="36">
        <v>6</v>
      </c>
      <c r="G1345" s="32">
        <v>17</v>
      </c>
      <c r="H1345" s="31" t="s">
        <v>33</v>
      </c>
      <c r="I1345" s="13">
        <v>59.8</v>
      </c>
      <c r="J1345">
        <v>87.552437763309058</v>
      </c>
    </row>
    <row r="1346" spans="1:11" x14ac:dyDescent="0.25">
      <c r="A1346">
        <v>2025</v>
      </c>
      <c r="B1346" t="s">
        <v>149</v>
      </c>
      <c r="C1346" t="s">
        <v>160</v>
      </c>
      <c r="D1346">
        <v>1</v>
      </c>
      <c r="E1346" s="36">
        <v>25</v>
      </c>
      <c r="F1346" s="36">
        <v>1</v>
      </c>
      <c r="G1346" s="32">
        <v>12</v>
      </c>
      <c r="H1346" s="31" t="s">
        <v>92</v>
      </c>
      <c r="I1346" s="13">
        <v>60.4</v>
      </c>
      <c r="J1346">
        <v>82.852198795180726</v>
      </c>
      <c r="K1346">
        <v>9.6</v>
      </c>
    </row>
    <row r="1347" spans="1:11" x14ac:dyDescent="0.25">
      <c r="A1347">
        <v>2025</v>
      </c>
      <c r="B1347" t="s">
        <v>149</v>
      </c>
      <c r="C1347" t="s">
        <v>160</v>
      </c>
      <c r="D1347">
        <v>2</v>
      </c>
      <c r="E1347" s="36">
        <v>21</v>
      </c>
      <c r="F1347" s="36">
        <v>3</v>
      </c>
      <c r="G1347" s="32">
        <v>12</v>
      </c>
      <c r="H1347" s="31" t="s">
        <v>92</v>
      </c>
      <c r="I1347" s="13">
        <v>59.6</v>
      </c>
      <c r="J1347">
        <v>82.933219355751532</v>
      </c>
    </row>
    <row r="1348" spans="1:11" x14ac:dyDescent="0.25">
      <c r="A1348">
        <v>2025</v>
      </c>
      <c r="B1348" t="s">
        <v>149</v>
      </c>
      <c r="C1348" t="s">
        <v>160</v>
      </c>
      <c r="D1348">
        <v>3</v>
      </c>
      <c r="E1348" s="36">
        <v>1</v>
      </c>
      <c r="F1348" s="36">
        <v>5</v>
      </c>
      <c r="G1348" s="32">
        <v>12</v>
      </c>
      <c r="H1348" s="31" t="s">
        <v>92</v>
      </c>
      <c r="I1348" s="13">
        <v>60.1</v>
      </c>
      <c r="J1348">
        <v>82.756397137053852</v>
      </c>
    </row>
    <row r="1349" spans="1:11" x14ac:dyDescent="0.25">
      <c r="A1349">
        <v>2025</v>
      </c>
      <c r="B1349" t="s">
        <v>149</v>
      </c>
      <c r="C1349" t="s">
        <v>160</v>
      </c>
      <c r="D1349">
        <v>1</v>
      </c>
      <c r="E1349" s="36">
        <v>19</v>
      </c>
      <c r="F1349" s="36">
        <v>1</v>
      </c>
      <c r="G1349" s="32">
        <v>13</v>
      </c>
      <c r="H1349" s="31" t="s">
        <v>93</v>
      </c>
      <c r="I1349" s="13">
        <v>60.8</v>
      </c>
      <c r="J1349">
        <v>90.037271944922537</v>
      </c>
      <c r="K1349">
        <v>10.5</v>
      </c>
    </row>
    <row r="1350" spans="1:11" x14ac:dyDescent="0.25">
      <c r="A1350">
        <v>2025</v>
      </c>
      <c r="B1350" t="s">
        <v>149</v>
      </c>
      <c r="C1350" t="s">
        <v>160</v>
      </c>
      <c r="D1350">
        <v>2</v>
      </c>
      <c r="E1350" s="36">
        <v>7</v>
      </c>
      <c r="F1350" s="36">
        <v>4</v>
      </c>
      <c r="G1350" s="32">
        <v>13</v>
      </c>
      <c r="H1350" s="31" t="s">
        <v>93</v>
      </c>
      <c r="I1350" s="13">
        <v>60.9</v>
      </c>
      <c r="J1350">
        <v>88.01408421773364</v>
      </c>
    </row>
    <row r="1351" spans="1:11" x14ac:dyDescent="0.25">
      <c r="A1351">
        <v>2025</v>
      </c>
      <c r="B1351" t="s">
        <v>149</v>
      </c>
      <c r="C1351" t="s">
        <v>160</v>
      </c>
      <c r="D1351">
        <v>3</v>
      </c>
      <c r="E1351" s="36">
        <v>9</v>
      </c>
      <c r="F1351" s="36">
        <v>5</v>
      </c>
      <c r="G1351" s="32">
        <v>13</v>
      </c>
      <c r="H1351" s="31" t="s">
        <v>93</v>
      </c>
      <c r="I1351" s="13">
        <v>61</v>
      </c>
      <c r="J1351">
        <v>88.190816326530609</v>
      </c>
    </row>
    <row r="1352" spans="1:11" x14ac:dyDescent="0.25">
      <c r="A1352">
        <v>2025</v>
      </c>
      <c r="B1352" t="s">
        <v>149</v>
      </c>
      <c r="C1352" t="s">
        <v>160</v>
      </c>
      <c r="D1352">
        <v>1</v>
      </c>
      <c r="E1352" s="36">
        <v>24</v>
      </c>
      <c r="F1352" s="36">
        <v>1</v>
      </c>
      <c r="G1352" s="32">
        <v>2</v>
      </c>
      <c r="H1352" s="31" t="s">
        <v>126</v>
      </c>
      <c r="I1352" s="13">
        <v>61.4</v>
      </c>
      <c r="J1352">
        <v>92.573235800344207</v>
      </c>
      <c r="K1352">
        <v>9.4</v>
      </c>
    </row>
    <row r="1353" spans="1:11" x14ac:dyDescent="0.25">
      <c r="A1353">
        <v>2025</v>
      </c>
      <c r="B1353" t="s">
        <v>149</v>
      </c>
      <c r="C1353" t="s">
        <v>160</v>
      </c>
      <c r="D1353">
        <v>2</v>
      </c>
      <c r="E1353" s="36">
        <v>14</v>
      </c>
      <c r="F1353" s="36">
        <v>4</v>
      </c>
      <c r="G1353" s="32">
        <v>2</v>
      </c>
      <c r="H1353" s="31" t="s">
        <v>126</v>
      </c>
      <c r="I1353" s="13">
        <v>60.5</v>
      </c>
      <c r="J1353">
        <v>92.568171369883117</v>
      </c>
    </row>
    <row r="1354" spans="1:11" x14ac:dyDescent="0.25">
      <c r="A1354">
        <v>2025</v>
      </c>
      <c r="B1354" t="s">
        <v>149</v>
      </c>
      <c r="C1354" t="s">
        <v>160</v>
      </c>
      <c r="D1354">
        <v>3</v>
      </c>
      <c r="E1354" s="36">
        <v>12</v>
      </c>
      <c r="F1354" s="36">
        <v>5</v>
      </c>
      <c r="G1354" s="32">
        <v>2</v>
      </c>
      <c r="H1354" s="31" t="s">
        <v>126</v>
      </c>
      <c r="I1354" s="13">
        <v>57.9</v>
      </c>
      <c r="J1354">
        <v>79.459397427217326</v>
      </c>
    </row>
    <row r="1355" spans="1:11" x14ac:dyDescent="0.25">
      <c r="A1355">
        <v>2025</v>
      </c>
      <c r="B1355" t="s">
        <v>149</v>
      </c>
      <c r="C1355" t="s">
        <v>160</v>
      </c>
      <c r="D1355">
        <v>1</v>
      </c>
      <c r="E1355" s="36">
        <v>6</v>
      </c>
      <c r="F1355" s="36">
        <v>2</v>
      </c>
      <c r="G1355" s="32">
        <v>9</v>
      </c>
      <c r="H1355" s="31" t="s">
        <v>94</v>
      </c>
      <c r="I1355" s="13">
        <v>59</v>
      </c>
      <c r="J1355">
        <v>83.201421791767544</v>
      </c>
      <c r="K1355">
        <v>10.5</v>
      </c>
    </row>
    <row r="1356" spans="1:11" x14ac:dyDescent="0.25">
      <c r="A1356">
        <v>2025</v>
      </c>
      <c r="B1356" t="s">
        <v>149</v>
      </c>
      <c r="C1356" t="s">
        <v>160</v>
      </c>
      <c r="D1356">
        <v>2</v>
      </c>
      <c r="E1356" s="36">
        <v>3</v>
      </c>
      <c r="F1356" s="36">
        <v>4</v>
      </c>
      <c r="G1356" s="32">
        <v>9</v>
      </c>
      <c r="H1356" s="31" t="s">
        <v>94</v>
      </c>
      <c r="I1356" s="13">
        <v>59.4</v>
      </c>
      <c r="J1356">
        <v>73.673827456350566</v>
      </c>
    </row>
    <row r="1357" spans="1:11" x14ac:dyDescent="0.25">
      <c r="A1357">
        <v>2025</v>
      </c>
      <c r="B1357" t="s">
        <v>149</v>
      </c>
      <c r="C1357" t="s">
        <v>160</v>
      </c>
      <c r="D1357">
        <v>3</v>
      </c>
      <c r="E1357" s="36">
        <v>5</v>
      </c>
      <c r="F1357" s="36">
        <v>6</v>
      </c>
      <c r="G1357" s="32">
        <v>9</v>
      </c>
      <c r="H1357" s="31" t="s">
        <v>94</v>
      </c>
      <c r="I1357" s="13">
        <v>59.1</v>
      </c>
      <c r="J1357">
        <v>77.746091535810038</v>
      </c>
    </row>
    <row r="1358" spans="1:11" x14ac:dyDescent="0.25">
      <c r="A1358">
        <v>2025</v>
      </c>
      <c r="B1358" t="s">
        <v>149</v>
      </c>
      <c r="C1358" t="s">
        <v>160</v>
      </c>
      <c r="D1358">
        <v>1</v>
      </c>
      <c r="E1358" s="36">
        <v>10</v>
      </c>
      <c r="F1358" s="36">
        <v>2</v>
      </c>
      <c r="G1358" s="32">
        <v>3</v>
      </c>
      <c r="H1358" s="31" t="s">
        <v>122</v>
      </c>
      <c r="I1358" s="13">
        <v>61.4</v>
      </c>
      <c r="J1358">
        <v>88.662290556900714</v>
      </c>
      <c r="K1358">
        <v>10.7</v>
      </c>
    </row>
    <row r="1359" spans="1:11" x14ac:dyDescent="0.25">
      <c r="A1359">
        <v>2025</v>
      </c>
      <c r="B1359" t="s">
        <v>149</v>
      </c>
      <c r="C1359" t="s">
        <v>160</v>
      </c>
      <c r="D1359">
        <v>2</v>
      </c>
      <c r="E1359" s="36">
        <v>4</v>
      </c>
      <c r="F1359" s="36">
        <v>3</v>
      </c>
      <c r="G1359" s="32">
        <v>3</v>
      </c>
      <c r="H1359" s="31" t="s">
        <v>122</v>
      </c>
      <c r="I1359" s="13">
        <v>61</v>
      </c>
      <c r="J1359">
        <v>80.443628260151854</v>
      </c>
    </row>
    <row r="1360" spans="1:11" x14ac:dyDescent="0.25">
      <c r="A1360">
        <v>2025</v>
      </c>
      <c r="B1360" t="s">
        <v>149</v>
      </c>
      <c r="C1360" t="s">
        <v>160</v>
      </c>
      <c r="D1360">
        <v>3</v>
      </c>
      <c r="E1360" s="36">
        <v>11</v>
      </c>
      <c r="F1360" s="36">
        <v>6</v>
      </c>
      <c r="G1360" s="32">
        <v>3</v>
      </c>
      <c r="H1360" s="31" t="s">
        <v>122</v>
      </c>
      <c r="I1360" s="13">
        <v>60.7</v>
      </c>
      <c r="J1360">
        <v>84.015064630409782</v>
      </c>
    </row>
    <row r="1361" spans="1:11" x14ac:dyDescent="0.25">
      <c r="A1361">
        <v>2025</v>
      </c>
      <c r="B1361" t="s">
        <v>149</v>
      </c>
      <c r="C1361" t="s">
        <v>160</v>
      </c>
      <c r="D1361">
        <v>1</v>
      </c>
      <c r="E1361" s="36">
        <v>4</v>
      </c>
      <c r="F1361" s="36">
        <v>1</v>
      </c>
      <c r="G1361" s="32">
        <v>10</v>
      </c>
      <c r="H1361" s="31" t="s">
        <v>91</v>
      </c>
      <c r="I1361" s="13">
        <v>57.6</v>
      </c>
      <c r="J1361">
        <v>82.391135972461271</v>
      </c>
      <c r="K1361">
        <v>11.4</v>
      </c>
    </row>
    <row r="1362" spans="1:11" x14ac:dyDescent="0.25">
      <c r="A1362">
        <v>2025</v>
      </c>
      <c r="B1362" t="s">
        <v>149</v>
      </c>
      <c r="C1362" t="s">
        <v>160</v>
      </c>
      <c r="D1362">
        <v>2</v>
      </c>
      <c r="E1362" s="36">
        <v>6</v>
      </c>
      <c r="F1362" s="36">
        <v>4</v>
      </c>
      <c r="G1362" s="32">
        <v>10</v>
      </c>
      <c r="H1362" s="31" t="s">
        <v>91</v>
      </c>
      <c r="I1362" s="13">
        <v>57.6</v>
      </c>
      <c r="J1362">
        <v>73.578928449161225</v>
      </c>
    </row>
    <row r="1363" spans="1:11" x14ac:dyDescent="0.25">
      <c r="A1363">
        <v>2025</v>
      </c>
      <c r="B1363" t="s">
        <v>149</v>
      </c>
      <c r="C1363" t="s">
        <v>160</v>
      </c>
      <c r="D1363">
        <v>3</v>
      </c>
      <c r="E1363" s="36">
        <v>23</v>
      </c>
      <c r="F1363" s="36">
        <v>6</v>
      </c>
      <c r="G1363" s="32">
        <v>10</v>
      </c>
      <c r="H1363" s="31" t="s">
        <v>91</v>
      </c>
      <c r="I1363" s="13">
        <v>56.9</v>
      </c>
      <c r="J1363">
        <v>66.801112600536172</v>
      </c>
    </row>
    <row r="1364" spans="1:11" x14ac:dyDescent="0.25">
      <c r="A1364">
        <v>2025</v>
      </c>
      <c r="B1364" t="s">
        <v>149</v>
      </c>
      <c r="C1364" t="s">
        <v>160</v>
      </c>
      <c r="D1364">
        <v>1</v>
      </c>
      <c r="E1364" s="36">
        <v>16</v>
      </c>
      <c r="F1364" s="36">
        <v>1</v>
      </c>
      <c r="G1364" s="32">
        <v>4</v>
      </c>
      <c r="H1364" s="31" t="s">
        <v>117</v>
      </c>
      <c r="I1364" s="13">
        <v>60.1</v>
      </c>
      <c r="J1364">
        <v>85.214595524956962</v>
      </c>
      <c r="K1364">
        <v>11.1</v>
      </c>
    </row>
    <row r="1365" spans="1:11" x14ac:dyDescent="0.25">
      <c r="A1365">
        <v>2025</v>
      </c>
      <c r="B1365" t="s">
        <v>149</v>
      </c>
      <c r="C1365" t="s">
        <v>160</v>
      </c>
      <c r="D1365">
        <v>2</v>
      </c>
      <c r="E1365" s="36">
        <v>2</v>
      </c>
      <c r="F1365" s="36">
        <v>4</v>
      </c>
      <c r="G1365" s="32">
        <v>4</v>
      </c>
      <c r="H1365" s="31" t="s">
        <v>117</v>
      </c>
      <c r="I1365" s="13">
        <v>58.3</v>
      </c>
      <c r="J1365">
        <v>77.0748916711498</v>
      </c>
    </row>
    <row r="1366" spans="1:11" x14ac:dyDescent="0.25">
      <c r="A1366">
        <v>2025</v>
      </c>
      <c r="B1366" t="s">
        <v>149</v>
      </c>
      <c r="C1366" t="s">
        <v>160</v>
      </c>
      <c r="D1366">
        <v>3</v>
      </c>
      <c r="E1366" s="36">
        <v>26</v>
      </c>
      <c r="F1366" s="36">
        <v>5</v>
      </c>
      <c r="G1366" s="32">
        <v>4</v>
      </c>
      <c r="H1366" s="31" t="s">
        <v>117</v>
      </c>
      <c r="I1366" s="13">
        <v>58.7</v>
      </c>
      <c r="J1366">
        <v>71.225037237643889</v>
      </c>
    </row>
    <row r="1367" spans="1:11" x14ac:dyDescent="0.25">
      <c r="A1367">
        <v>2025</v>
      </c>
      <c r="B1367" t="s">
        <v>149</v>
      </c>
      <c r="C1367" t="s">
        <v>160</v>
      </c>
      <c r="D1367">
        <v>1</v>
      </c>
      <c r="E1367" s="36">
        <v>8</v>
      </c>
      <c r="F1367" s="36">
        <v>2</v>
      </c>
      <c r="G1367" s="32">
        <v>5</v>
      </c>
      <c r="H1367" s="31" t="s">
        <v>128</v>
      </c>
      <c r="I1367" s="13">
        <v>60.4</v>
      </c>
      <c r="J1367">
        <v>92.140762227602906</v>
      </c>
      <c r="K1367">
        <v>9.9</v>
      </c>
    </row>
    <row r="1368" spans="1:11" x14ac:dyDescent="0.25">
      <c r="A1368">
        <v>2025</v>
      </c>
      <c r="B1368" t="s">
        <v>149</v>
      </c>
      <c r="C1368" t="s">
        <v>160</v>
      </c>
      <c r="D1368">
        <v>2</v>
      </c>
      <c r="E1368" s="36">
        <v>13</v>
      </c>
      <c r="F1368" s="36">
        <v>4</v>
      </c>
      <c r="G1368" s="32">
        <v>5</v>
      </c>
      <c r="H1368" s="31" t="s">
        <v>128</v>
      </c>
      <c r="I1368" s="13">
        <v>61</v>
      </c>
      <c r="J1368">
        <v>90.250602044309673</v>
      </c>
    </row>
    <row r="1369" spans="1:11" x14ac:dyDescent="0.25">
      <c r="A1369">
        <v>2025</v>
      </c>
      <c r="B1369" t="s">
        <v>149</v>
      </c>
      <c r="C1369" t="s">
        <v>160</v>
      </c>
      <c r="D1369">
        <v>3</v>
      </c>
      <c r="E1369" s="36">
        <v>7</v>
      </c>
      <c r="F1369" s="36">
        <v>5</v>
      </c>
      <c r="G1369" s="32">
        <v>5</v>
      </c>
      <c r="H1369" s="31" t="s">
        <v>128</v>
      </c>
      <c r="I1369" s="13">
        <v>60.5</v>
      </c>
      <c r="J1369">
        <v>83.75463197601313</v>
      </c>
    </row>
    <row r="1370" spans="1:11" x14ac:dyDescent="0.25">
      <c r="A1370">
        <v>2025</v>
      </c>
      <c r="B1370" t="s">
        <v>149</v>
      </c>
      <c r="C1370" t="s">
        <v>160</v>
      </c>
      <c r="D1370">
        <v>1</v>
      </c>
      <c r="E1370" s="36">
        <v>21</v>
      </c>
      <c r="F1370" s="36">
        <v>1</v>
      </c>
      <c r="G1370" s="32">
        <v>19</v>
      </c>
      <c r="H1370" s="31" t="s">
        <v>157</v>
      </c>
      <c r="I1370" s="13">
        <v>58.3</v>
      </c>
      <c r="J1370">
        <v>84.45813253012048</v>
      </c>
      <c r="K1370">
        <v>9.9</v>
      </c>
    </row>
    <row r="1371" spans="1:11" x14ac:dyDescent="0.25">
      <c r="A1371">
        <v>2025</v>
      </c>
      <c r="B1371" t="s">
        <v>149</v>
      </c>
      <c r="C1371" t="s">
        <v>160</v>
      </c>
      <c r="D1371">
        <v>2</v>
      </c>
      <c r="E1371" s="36">
        <v>8</v>
      </c>
      <c r="F1371" s="36">
        <v>4</v>
      </c>
      <c r="G1371" s="32">
        <v>19</v>
      </c>
      <c r="H1371" s="31" t="s">
        <v>157</v>
      </c>
      <c r="I1371" s="13">
        <v>57.3</v>
      </c>
      <c r="J1371">
        <v>82.171404117963519</v>
      </c>
    </row>
    <row r="1372" spans="1:11" x14ac:dyDescent="0.25">
      <c r="A1372">
        <v>2025</v>
      </c>
      <c r="B1372" t="s">
        <v>149</v>
      </c>
      <c r="C1372" t="s">
        <v>160</v>
      </c>
      <c r="D1372">
        <v>3</v>
      </c>
      <c r="E1372" s="36">
        <v>10</v>
      </c>
      <c r="F1372" s="36">
        <v>5</v>
      </c>
      <c r="G1372" s="32">
        <v>19</v>
      </c>
      <c r="H1372" s="31" t="s">
        <v>157</v>
      </c>
      <c r="I1372" s="13">
        <v>58.5</v>
      </c>
      <c r="J1372">
        <v>78.000203114421126</v>
      </c>
    </row>
    <row r="1373" spans="1:11" x14ac:dyDescent="0.25">
      <c r="A1373">
        <v>2025</v>
      </c>
      <c r="B1373" t="s">
        <v>149</v>
      </c>
      <c r="C1373" t="s">
        <v>160</v>
      </c>
      <c r="D1373">
        <v>1</v>
      </c>
      <c r="E1373" s="36">
        <v>15</v>
      </c>
      <c r="F1373" s="36">
        <v>1</v>
      </c>
      <c r="G1373" s="32">
        <v>6</v>
      </c>
      <c r="H1373" s="31" t="s">
        <v>119</v>
      </c>
      <c r="I1373" s="13">
        <v>60.1</v>
      </c>
      <c r="J1373">
        <v>74.346652323580017</v>
      </c>
      <c r="K1373">
        <v>12.3</v>
      </c>
    </row>
    <row r="1374" spans="1:11" x14ac:dyDescent="0.25">
      <c r="A1374">
        <v>2025</v>
      </c>
      <c r="B1374" t="s">
        <v>149</v>
      </c>
      <c r="C1374" t="s">
        <v>160</v>
      </c>
      <c r="D1374">
        <v>2</v>
      </c>
      <c r="E1374" s="36">
        <v>9</v>
      </c>
      <c r="F1374" s="36">
        <v>4</v>
      </c>
      <c r="G1374" s="32">
        <v>6</v>
      </c>
      <c r="H1374" s="31" t="s">
        <v>119</v>
      </c>
      <c r="I1374" s="13">
        <v>60.4</v>
      </c>
      <c r="J1374">
        <v>70.49640534063677</v>
      </c>
    </row>
    <row r="1375" spans="1:11" x14ac:dyDescent="0.25">
      <c r="A1375">
        <v>2025</v>
      </c>
      <c r="B1375" t="s">
        <v>149</v>
      </c>
      <c r="C1375" t="s">
        <v>160</v>
      </c>
      <c r="D1375">
        <v>3</v>
      </c>
      <c r="E1375" s="36">
        <v>7</v>
      </c>
      <c r="F1375" s="36">
        <v>6</v>
      </c>
      <c r="G1375" s="32">
        <v>6</v>
      </c>
      <c r="H1375" s="31" t="s">
        <v>119</v>
      </c>
      <c r="I1375" s="13">
        <v>60.3</v>
      </c>
      <c r="J1375">
        <v>74.412282650325537</v>
      </c>
    </row>
    <row r="1376" spans="1:11" x14ac:dyDescent="0.25">
      <c r="A1376">
        <v>2025</v>
      </c>
      <c r="B1376" t="s">
        <v>149</v>
      </c>
      <c r="C1376" t="s">
        <v>160</v>
      </c>
      <c r="D1376">
        <v>1</v>
      </c>
      <c r="E1376" s="36">
        <v>3</v>
      </c>
      <c r="F1376" s="36">
        <v>1</v>
      </c>
      <c r="G1376" s="32">
        <v>8</v>
      </c>
      <c r="H1376" s="31" t="s">
        <v>118</v>
      </c>
      <c r="I1376" s="13">
        <v>59.2</v>
      </c>
      <c r="J1376">
        <v>99.62047762478484</v>
      </c>
      <c r="K1376">
        <v>10.1</v>
      </c>
    </row>
    <row r="1377" spans="1:11" x14ac:dyDescent="0.25">
      <c r="A1377">
        <v>2025</v>
      </c>
      <c r="B1377" t="s">
        <v>149</v>
      </c>
      <c r="C1377" t="s">
        <v>160</v>
      </c>
      <c r="D1377">
        <v>2</v>
      </c>
      <c r="E1377" s="36">
        <v>24</v>
      </c>
      <c r="F1377" s="36">
        <v>3</v>
      </c>
      <c r="G1377" s="32">
        <v>8</v>
      </c>
      <c r="H1377" s="31" t="s">
        <v>118</v>
      </c>
      <c r="I1377" s="13">
        <v>60.4</v>
      </c>
      <c r="J1377">
        <v>81.807627222562843</v>
      </c>
    </row>
    <row r="1378" spans="1:11" x14ac:dyDescent="0.25">
      <c r="A1378">
        <v>2025</v>
      </c>
      <c r="B1378" t="s">
        <v>149</v>
      </c>
      <c r="C1378" t="s">
        <v>160</v>
      </c>
      <c r="D1378">
        <v>3</v>
      </c>
      <c r="E1378" s="36">
        <v>20</v>
      </c>
      <c r="F1378" s="36">
        <v>5</v>
      </c>
      <c r="G1378" s="32">
        <v>8</v>
      </c>
      <c r="H1378" s="31" t="s">
        <v>118</v>
      </c>
      <c r="I1378" s="13">
        <v>60.4</v>
      </c>
      <c r="J1378">
        <v>81.786266079891661</v>
      </c>
    </row>
    <row r="1379" spans="1:11" x14ac:dyDescent="0.25">
      <c r="A1379">
        <v>2025</v>
      </c>
      <c r="B1379" t="s">
        <v>149</v>
      </c>
      <c r="C1379" t="s">
        <v>160</v>
      </c>
      <c r="D1379">
        <v>1</v>
      </c>
      <c r="E1379" s="36">
        <v>7</v>
      </c>
      <c r="F1379" s="36">
        <v>2</v>
      </c>
      <c r="G1379" s="32">
        <v>7</v>
      </c>
      <c r="H1379" s="31" t="s">
        <v>150</v>
      </c>
      <c r="I1379" s="13">
        <v>58.7</v>
      </c>
      <c r="J1379">
        <v>78.749346246973374</v>
      </c>
      <c r="K1379">
        <v>10.3</v>
      </c>
    </row>
    <row r="1380" spans="1:11" x14ac:dyDescent="0.25">
      <c r="A1380">
        <v>2025</v>
      </c>
      <c r="B1380" t="s">
        <v>149</v>
      </c>
      <c r="C1380" t="s">
        <v>160</v>
      </c>
      <c r="D1380">
        <v>2</v>
      </c>
      <c r="E1380" s="36">
        <v>24</v>
      </c>
      <c r="F1380" s="36">
        <v>4</v>
      </c>
      <c r="G1380" s="32">
        <v>7</v>
      </c>
      <c r="H1380" s="31" t="s">
        <v>150</v>
      </c>
      <c r="I1380" s="13">
        <v>59.7</v>
      </c>
      <c r="J1380">
        <v>74.341655010514984</v>
      </c>
    </row>
    <row r="1381" spans="1:11" x14ac:dyDescent="0.25">
      <c r="A1381">
        <v>2025</v>
      </c>
      <c r="B1381" t="s">
        <v>149</v>
      </c>
      <c r="C1381" t="s">
        <v>160</v>
      </c>
      <c r="D1381">
        <v>3</v>
      </c>
      <c r="E1381" s="36">
        <v>11</v>
      </c>
      <c r="F1381" s="36">
        <v>5</v>
      </c>
      <c r="G1381" s="32">
        <v>7</v>
      </c>
      <c r="H1381" s="31" t="s">
        <v>150</v>
      </c>
      <c r="I1381" s="13">
        <v>58.2</v>
      </c>
      <c r="J1381">
        <v>75.635176516104067</v>
      </c>
    </row>
    <row r="1382" spans="1:11" x14ac:dyDescent="0.25">
      <c r="A1382">
        <v>2025</v>
      </c>
      <c r="B1382" t="s">
        <v>149</v>
      </c>
      <c r="C1382" t="s">
        <v>160</v>
      </c>
      <c r="D1382">
        <v>1</v>
      </c>
      <c r="E1382" s="36">
        <v>21</v>
      </c>
      <c r="F1382" s="36">
        <v>2</v>
      </c>
      <c r="G1382" s="32">
        <v>42</v>
      </c>
      <c r="H1382" s="31" t="s">
        <v>34</v>
      </c>
      <c r="I1382" s="13">
        <v>60.4</v>
      </c>
      <c r="J1382">
        <v>88.548428571428573</v>
      </c>
      <c r="K1382">
        <v>10</v>
      </c>
    </row>
    <row r="1383" spans="1:11" x14ac:dyDescent="0.25">
      <c r="A1383">
        <v>2025</v>
      </c>
      <c r="B1383" t="s">
        <v>149</v>
      </c>
      <c r="C1383" t="s">
        <v>160</v>
      </c>
      <c r="D1383">
        <v>2</v>
      </c>
      <c r="E1383" s="36">
        <v>20</v>
      </c>
      <c r="F1383" s="36">
        <v>4</v>
      </c>
      <c r="G1383" s="32">
        <v>42</v>
      </c>
      <c r="H1383" s="31" t="s">
        <v>34</v>
      </c>
      <c r="I1383" s="13">
        <v>61.4</v>
      </c>
      <c r="J1383">
        <v>87.254988995940721</v>
      </c>
    </row>
    <row r="1384" spans="1:11" x14ac:dyDescent="0.25">
      <c r="A1384">
        <v>2025</v>
      </c>
      <c r="B1384" t="s">
        <v>149</v>
      </c>
      <c r="C1384" t="s">
        <v>160</v>
      </c>
      <c r="D1384">
        <v>3</v>
      </c>
      <c r="E1384" s="36">
        <v>18</v>
      </c>
      <c r="F1384" s="36">
        <v>5</v>
      </c>
      <c r="G1384" s="32">
        <v>42</v>
      </c>
      <c r="H1384" s="31" t="s">
        <v>34</v>
      </c>
      <c r="I1384" s="13">
        <v>60.8</v>
      </c>
      <c r="J1384">
        <v>80.483294322468325</v>
      </c>
    </row>
    <row r="1385" spans="1:11" x14ac:dyDescent="0.25">
      <c r="A1385">
        <v>2025</v>
      </c>
      <c r="B1385" t="s">
        <v>149</v>
      </c>
      <c r="C1385" t="s">
        <v>160</v>
      </c>
      <c r="D1385">
        <v>1</v>
      </c>
      <c r="E1385" s="36">
        <v>23</v>
      </c>
      <c r="F1385" s="36">
        <v>1</v>
      </c>
      <c r="G1385" s="32">
        <v>44</v>
      </c>
      <c r="H1385" s="31" t="s">
        <v>123</v>
      </c>
      <c r="I1385" s="13">
        <v>58.8</v>
      </c>
      <c r="J1385">
        <v>82.513253012048182</v>
      </c>
      <c r="K1385">
        <v>10.1</v>
      </c>
    </row>
    <row r="1386" spans="1:11" x14ac:dyDescent="0.25">
      <c r="A1386">
        <v>2025</v>
      </c>
      <c r="B1386" t="s">
        <v>149</v>
      </c>
      <c r="C1386" t="s">
        <v>160</v>
      </c>
      <c r="D1386">
        <v>2</v>
      </c>
      <c r="E1386" s="36">
        <v>25</v>
      </c>
      <c r="F1386" s="36">
        <v>3</v>
      </c>
      <c r="G1386" s="32">
        <v>44</v>
      </c>
      <c r="H1386" s="31" t="s">
        <v>123</v>
      </c>
      <c r="I1386" s="13">
        <v>60.4</v>
      </c>
      <c r="J1386">
        <v>72.892164316370327</v>
      </c>
    </row>
    <row r="1387" spans="1:11" x14ac:dyDescent="0.25">
      <c r="A1387">
        <v>2025</v>
      </c>
      <c r="B1387" t="s">
        <v>149</v>
      </c>
      <c r="C1387" t="s">
        <v>160</v>
      </c>
      <c r="D1387">
        <v>3</v>
      </c>
      <c r="E1387" s="36">
        <v>8</v>
      </c>
      <c r="F1387" s="36">
        <v>6</v>
      </c>
      <c r="G1387" s="32">
        <v>44</v>
      </c>
      <c r="H1387" s="31" t="s">
        <v>123</v>
      </c>
      <c r="I1387" s="13">
        <v>60.1</v>
      </c>
      <c r="J1387">
        <v>78.792729318268854</v>
      </c>
    </row>
    <row r="1388" spans="1:11" x14ac:dyDescent="0.25">
      <c r="A1388">
        <v>2025</v>
      </c>
      <c r="B1388" t="s">
        <v>149</v>
      </c>
      <c r="C1388" t="s">
        <v>160</v>
      </c>
      <c r="D1388">
        <v>1</v>
      </c>
      <c r="E1388" s="36">
        <v>11</v>
      </c>
      <c r="F1388" s="36">
        <v>2</v>
      </c>
      <c r="G1388" s="32">
        <v>43</v>
      </c>
      <c r="H1388" s="31" t="s">
        <v>125</v>
      </c>
      <c r="I1388" s="13">
        <v>58</v>
      </c>
      <c r="J1388">
        <v>78.241737530266349</v>
      </c>
      <c r="K1388">
        <v>10.9</v>
      </c>
    </row>
    <row r="1389" spans="1:11" x14ac:dyDescent="0.25">
      <c r="A1389">
        <v>2025</v>
      </c>
      <c r="B1389" t="s">
        <v>149</v>
      </c>
      <c r="C1389" t="s">
        <v>160</v>
      </c>
      <c r="D1389">
        <v>2</v>
      </c>
      <c r="E1389" s="36">
        <v>1</v>
      </c>
      <c r="F1389" s="36">
        <v>3</v>
      </c>
      <c r="G1389" s="32">
        <v>43</v>
      </c>
      <c r="H1389" s="31" t="s">
        <v>125</v>
      </c>
      <c r="I1389" s="13">
        <v>57.9</v>
      </c>
      <c r="J1389">
        <v>69.028722350610749</v>
      </c>
    </row>
    <row r="1390" spans="1:11" x14ac:dyDescent="0.25">
      <c r="A1390">
        <v>2025</v>
      </c>
      <c r="B1390" t="s">
        <v>149</v>
      </c>
      <c r="C1390" t="s">
        <v>160</v>
      </c>
      <c r="D1390">
        <v>3</v>
      </c>
      <c r="E1390" s="36">
        <v>22</v>
      </c>
      <c r="F1390" s="36">
        <v>5</v>
      </c>
      <c r="G1390" s="32">
        <v>43</v>
      </c>
      <c r="H1390" s="31" t="s">
        <v>125</v>
      </c>
      <c r="I1390" s="13">
        <v>58.2</v>
      </c>
      <c r="J1390">
        <v>68.999715639810404</v>
      </c>
    </row>
    <row r="1391" spans="1:11" x14ac:dyDescent="0.25">
      <c r="A1391">
        <v>2025</v>
      </c>
      <c r="B1391" t="s">
        <v>149</v>
      </c>
      <c r="C1391" t="s">
        <v>160</v>
      </c>
      <c r="D1391">
        <v>1</v>
      </c>
      <c r="E1391" s="36">
        <v>20</v>
      </c>
      <c r="F1391" s="36">
        <v>1</v>
      </c>
      <c r="G1391" s="32">
        <v>27</v>
      </c>
      <c r="H1391" s="31" t="s">
        <v>35</v>
      </c>
      <c r="I1391" s="13">
        <v>59.5</v>
      </c>
      <c r="J1391">
        <v>96.98222891566266</v>
      </c>
      <c r="K1391">
        <v>9.6</v>
      </c>
    </row>
    <row r="1392" spans="1:11" x14ac:dyDescent="0.25">
      <c r="A1392">
        <v>2025</v>
      </c>
      <c r="B1392" t="s">
        <v>149</v>
      </c>
      <c r="C1392" t="s">
        <v>160</v>
      </c>
      <c r="D1392">
        <v>2</v>
      </c>
      <c r="E1392" s="36">
        <v>21</v>
      </c>
      <c r="F1392" s="36">
        <v>4</v>
      </c>
      <c r="G1392" s="32">
        <v>27</v>
      </c>
      <c r="H1392" s="31" t="s">
        <v>35</v>
      </c>
      <c r="I1392" s="13">
        <v>59</v>
      </c>
      <c r="J1392">
        <v>89.77034528292657</v>
      </c>
    </row>
    <row r="1393" spans="1:11" x14ac:dyDescent="0.25">
      <c r="A1393">
        <v>2025</v>
      </c>
      <c r="B1393" t="s">
        <v>149</v>
      </c>
      <c r="C1393" t="s">
        <v>160</v>
      </c>
      <c r="D1393">
        <v>3</v>
      </c>
      <c r="E1393" s="36">
        <v>6</v>
      </c>
      <c r="F1393" s="36">
        <v>5</v>
      </c>
      <c r="G1393" s="32">
        <v>27</v>
      </c>
      <c r="H1393" s="31" t="s">
        <v>35</v>
      </c>
      <c r="I1393" s="13">
        <v>58.6</v>
      </c>
      <c r="J1393">
        <v>89.326458071380202</v>
      </c>
    </row>
    <row r="1394" spans="1:11" x14ac:dyDescent="0.25">
      <c r="A1394">
        <v>2025</v>
      </c>
      <c r="B1394" t="s">
        <v>149</v>
      </c>
      <c r="C1394" t="s">
        <v>160</v>
      </c>
      <c r="D1394">
        <v>1</v>
      </c>
      <c r="E1394" s="36">
        <v>12</v>
      </c>
      <c r="F1394" s="36">
        <v>2</v>
      </c>
      <c r="G1394" s="32">
        <v>31</v>
      </c>
      <c r="H1394" s="31" t="s">
        <v>36</v>
      </c>
      <c r="I1394" s="13">
        <v>59.9</v>
      </c>
      <c r="J1394">
        <v>86.486639709443097</v>
      </c>
      <c r="K1394">
        <v>10.4</v>
      </c>
    </row>
    <row r="1395" spans="1:11" x14ac:dyDescent="0.25">
      <c r="A1395">
        <v>2025</v>
      </c>
      <c r="B1395" t="s">
        <v>149</v>
      </c>
      <c r="C1395" t="s">
        <v>160</v>
      </c>
      <c r="D1395">
        <v>2</v>
      </c>
      <c r="E1395" s="36">
        <v>25</v>
      </c>
      <c r="F1395" s="36">
        <v>4</v>
      </c>
      <c r="G1395" s="32">
        <v>31</v>
      </c>
      <c r="H1395" s="31" t="s">
        <v>36</v>
      </c>
      <c r="I1395" s="13">
        <v>60.3</v>
      </c>
      <c r="J1395">
        <v>78.500846089890942</v>
      </c>
    </row>
    <row r="1396" spans="1:11" x14ac:dyDescent="0.25">
      <c r="A1396">
        <v>2025</v>
      </c>
      <c r="B1396" t="s">
        <v>149</v>
      </c>
      <c r="C1396" t="s">
        <v>160</v>
      </c>
      <c r="D1396">
        <v>3</v>
      </c>
      <c r="E1396" s="36">
        <v>24</v>
      </c>
      <c r="F1396" s="36">
        <v>5</v>
      </c>
      <c r="G1396" s="32">
        <v>31</v>
      </c>
      <c r="H1396" s="31" t="s">
        <v>36</v>
      </c>
      <c r="I1396" s="13">
        <v>60.1</v>
      </c>
      <c r="J1396">
        <v>73.604426927168959</v>
      </c>
    </row>
    <row r="1397" spans="1:11" x14ac:dyDescent="0.25">
      <c r="A1397">
        <v>2025</v>
      </c>
      <c r="B1397" t="s">
        <v>149</v>
      </c>
      <c r="C1397" t="s">
        <v>160</v>
      </c>
      <c r="D1397">
        <v>1</v>
      </c>
      <c r="E1397" s="36">
        <v>18</v>
      </c>
      <c r="F1397" s="36">
        <v>1</v>
      </c>
      <c r="G1397" s="32">
        <v>23</v>
      </c>
      <c r="H1397" s="31" t="s">
        <v>37</v>
      </c>
      <c r="I1397" s="13">
        <v>61</v>
      </c>
      <c r="J1397">
        <v>87.418192771084335</v>
      </c>
      <c r="K1397">
        <v>11</v>
      </c>
    </row>
    <row r="1398" spans="1:11" x14ac:dyDescent="0.25">
      <c r="A1398">
        <v>2025</v>
      </c>
      <c r="B1398" t="s">
        <v>149</v>
      </c>
      <c r="C1398" t="s">
        <v>160</v>
      </c>
      <c r="D1398">
        <v>2</v>
      </c>
      <c r="E1398" s="36">
        <v>22</v>
      </c>
      <c r="F1398" s="36">
        <v>4</v>
      </c>
      <c r="G1398" s="32">
        <v>23</v>
      </c>
      <c r="H1398" s="31" t="s">
        <v>37</v>
      </c>
      <c r="I1398" s="13">
        <v>60.6</v>
      </c>
      <c r="J1398">
        <v>84.477062649777466</v>
      </c>
    </row>
    <row r="1399" spans="1:11" x14ac:dyDescent="0.25">
      <c r="A1399">
        <v>2025</v>
      </c>
      <c r="B1399" t="s">
        <v>149</v>
      </c>
      <c r="C1399" t="s">
        <v>160</v>
      </c>
      <c r="D1399">
        <v>3</v>
      </c>
      <c r="E1399" s="36">
        <v>4</v>
      </c>
      <c r="F1399" s="36">
        <v>5</v>
      </c>
      <c r="G1399" s="32">
        <v>23</v>
      </c>
      <c r="H1399" s="31" t="s">
        <v>37</v>
      </c>
      <c r="I1399" s="13">
        <v>60.2</v>
      </c>
      <c r="J1399">
        <v>81.858751813521607</v>
      </c>
    </row>
    <row r="1400" spans="1:11" x14ac:dyDescent="0.25">
      <c r="A1400">
        <v>2025</v>
      </c>
      <c r="B1400" t="s">
        <v>149</v>
      </c>
      <c r="C1400" t="s">
        <v>160</v>
      </c>
      <c r="D1400">
        <v>1</v>
      </c>
      <c r="E1400" s="36">
        <v>2</v>
      </c>
      <c r="F1400" s="36">
        <v>2</v>
      </c>
      <c r="G1400" s="32">
        <v>28</v>
      </c>
      <c r="H1400" s="31" t="s">
        <v>38</v>
      </c>
      <c r="I1400" s="13">
        <v>58.3</v>
      </c>
      <c r="J1400">
        <v>95.417398547215484</v>
      </c>
      <c r="K1400">
        <v>9</v>
      </c>
    </row>
    <row r="1401" spans="1:11" x14ac:dyDescent="0.25">
      <c r="A1401">
        <v>2025</v>
      </c>
      <c r="B1401" t="s">
        <v>149</v>
      </c>
      <c r="C1401" t="s">
        <v>160</v>
      </c>
      <c r="D1401">
        <v>2</v>
      </c>
      <c r="E1401" s="36">
        <v>19</v>
      </c>
      <c r="F1401" s="36">
        <v>3</v>
      </c>
      <c r="G1401" s="32">
        <v>28</v>
      </c>
      <c r="H1401" s="31" t="s">
        <v>38</v>
      </c>
      <c r="I1401" s="13">
        <v>58.7</v>
      </c>
      <c r="J1401">
        <v>84.881422440220732</v>
      </c>
    </row>
    <row r="1402" spans="1:11" x14ac:dyDescent="0.25">
      <c r="A1402">
        <v>2025</v>
      </c>
      <c r="B1402" t="s">
        <v>149</v>
      </c>
      <c r="C1402" t="s">
        <v>160</v>
      </c>
      <c r="D1402">
        <v>3</v>
      </c>
      <c r="E1402" s="36">
        <v>6</v>
      </c>
      <c r="F1402" s="36">
        <v>6</v>
      </c>
      <c r="G1402" s="32">
        <v>28</v>
      </c>
      <c r="H1402" s="31" t="s">
        <v>38</v>
      </c>
      <c r="I1402" s="13">
        <v>56.6</v>
      </c>
      <c r="J1402">
        <v>81.881407985446174</v>
      </c>
    </row>
    <row r="1403" spans="1:11" x14ac:dyDescent="0.25">
      <c r="A1403">
        <v>2025</v>
      </c>
      <c r="B1403" t="s">
        <v>149</v>
      </c>
      <c r="C1403" t="s">
        <v>160</v>
      </c>
      <c r="D1403">
        <v>1</v>
      </c>
      <c r="E1403" s="36">
        <v>17</v>
      </c>
      <c r="F1403" s="36">
        <v>2</v>
      </c>
      <c r="G1403" s="32">
        <v>46</v>
      </c>
      <c r="H1403" s="31" t="s">
        <v>127</v>
      </c>
      <c r="I1403" s="13">
        <v>60</v>
      </c>
      <c r="J1403">
        <v>85.756772397094437</v>
      </c>
      <c r="K1403">
        <v>10.5</v>
      </c>
    </row>
    <row r="1404" spans="1:11" x14ac:dyDescent="0.25">
      <c r="A1404">
        <v>2025</v>
      </c>
      <c r="B1404" t="s">
        <v>149</v>
      </c>
      <c r="C1404" t="s">
        <v>160</v>
      </c>
      <c r="D1404">
        <v>2</v>
      </c>
      <c r="E1404" s="36">
        <v>11</v>
      </c>
      <c r="F1404" s="36">
        <v>4</v>
      </c>
      <c r="G1404" s="32">
        <v>46</v>
      </c>
      <c r="H1404" s="31" t="s">
        <v>127</v>
      </c>
      <c r="I1404" s="13">
        <v>60.7</v>
      </c>
      <c r="J1404">
        <v>83.624811463784411</v>
      </c>
    </row>
    <row r="1405" spans="1:11" x14ac:dyDescent="0.25">
      <c r="A1405">
        <v>2025</v>
      </c>
      <c r="B1405" t="s">
        <v>149</v>
      </c>
      <c r="C1405" t="s">
        <v>160</v>
      </c>
      <c r="D1405">
        <v>3</v>
      </c>
      <c r="E1405" s="36">
        <v>8</v>
      </c>
      <c r="F1405" s="36">
        <v>5</v>
      </c>
      <c r="G1405" s="32">
        <v>46</v>
      </c>
      <c r="H1405" s="31" t="s">
        <v>127</v>
      </c>
      <c r="I1405" s="13">
        <v>59.8</v>
      </c>
      <c r="J1405">
        <v>82.704211238997956</v>
      </c>
    </row>
    <row r="1406" spans="1:11" x14ac:dyDescent="0.25">
      <c r="A1406">
        <v>2025</v>
      </c>
      <c r="B1406" t="s">
        <v>149</v>
      </c>
      <c r="C1406" t="s">
        <v>160</v>
      </c>
      <c r="D1406">
        <v>1</v>
      </c>
      <c r="E1406" s="36">
        <v>19</v>
      </c>
      <c r="F1406" s="36">
        <v>2</v>
      </c>
      <c r="G1406" s="32">
        <v>47</v>
      </c>
      <c r="H1406" s="31" t="s">
        <v>153</v>
      </c>
      <c r="I1406" s="13">
        <v>61.5</v>
      </c>
      <c r="J1406">
        <v>77.172489588377715</v>
      </c>
      <c r="K1406">
        <v>12.2</v>
      </c>
    </row>
    <row r="1407" spans="1:11" x14ac:dyDescent="0.25">
      <c r="A1407">
        <v>2025</v>
      </c>
      <c r="B1407" t="s">
        <v>149</v>
      </c>
      <c r="C1407" t="s">
        <v>160</v>
      </c>
      <c r="D1407">
        <v>2</v>
      </c>
      <c r="E1407" s="36">
        <v>9</v>
      </c>
      <c r="F1407" s="36">
        <v>3</v>
      </c>
      <c r="G1407" s="32">
        <v>47</v>
      </c>
      <c r="H1407" s="31" t="s">
        <v>153</v>
      </c>
      <c r="I1407" s="13">
        <v>61.6</v>
      </c>
      <c r="J1407">
        <v>74.812819412347295</v>
      </c>
    </row>
    <row r="1408" spans="1:11" x14ac:dyDescent="0.25">
      <c r="A1408">
        <v>2025</v>
      </c>
      <c r="B1408" t="s">
        <v>149</v>
      </c>
      <c r="C1408" t="s">
        <v>160</v>
      </c>
      <c r="D1408">
        <v>3</v>
      </c>
      <c r="E1408" s="36">
        <v>13</v>
      </c>
      <c r="F1408" s="36">
        <v>6</v>
      </c>
      <c r="G1408" s="32">
        <v>47</v>
      </c>
      <c r="H1408" s="31" t="s">
        <v>153</v>
      </c>
      <c r="I1408" s="13">
        <v>61.7</v>
      </c>
      <c r="J1408">
        <v>75.136108770585963</v>
      </c>
    </row>
    <row r="1409" spans="1:11" x14ac:dyDescent="0.25">
      <c r="A1409">
        <v>2025</v>
      </c>
      <c r="B1409" t="s">
        <v>149</v>
      </c>
      <c r="C1409" t="s">
        <v>160</v>
      </c>
      <c r="D1409">
        <v>1</v>
      </c>
      <c r="E1409" s="36">
        <v>13</v>
      </c>
      <c r="F1409" s="36">
        <v>1</v>
      </c>
      <c r="G1409" s="32">
        <v>45</v>
      </c>
      <c r="H1409" s="31" t="s">
        <v>39</v>
      </c>
      <c r="I1409" s="13">
        <v>57.3</v>
      </c>
      <c r="J1409">
        <v>79.592667814113582</v>
      </c>
      <c r="K1409">
        <v>11.3</v>
      </c>
    </row>
    <row r="1410" spans="1:11" x14ac:dyDescent="0.25">
      <c r="A1410">
        <v>2025</v>
      </c>
      <c r="B1410" t="s">
        <v>149</v>
      </c>
      <c r="C1410" t="s">
        <v>160</v>
      </c>
      <c r="D1410">
        <v>2</v>
      </c>
      <c r="E1410" s="36">
        <v>15</v>
      </c>
      <c r="F1410" s="36">
        <v>4</v>
      </c>
      <c r="G1410" s="32">
        <v>45</v>
      </c>
      <c r="H1410" s="31" t="s">
        <v>39</v>
      </c>
      <c r="I1410" s="13">
        <v>56.2</v>
      </c>
      <c r="J1410">
        <v>86.307354624150236</v>
      </c>
    </row>
    <row r="1411" spans="1:11" x14ac:dyDescent="0.25">
      <c r="A1411">
        <v>2025</v>
      </c>
      <c r="B1411" t="s">
        <v>149</v>
      </c>
      <c r="C1411" t="s">
        <v>160</v>
      </c>
      <c r="D1411">
        <v>3</v>
      </c>
      <c r="E1411" s="36">
        <v>17</v>
      </c>
      <c r="F1411" s="36">
        <v>6</v>
      </c>
      <c r="G1411" s="32">
        <v>45</v>
      </c>
      <c r="H1411" s="31" t="s">
        <v>39</v>
      </c>
      <c r="I1411" s="13">
        <v>60.6</v>
      </c>
      <c r="J1411">
        <v>86.266973381846014</v>
      </c>
    </row>
    <row r="1412" spans="1:11" x14ac:dyDescent="0.25">
      <c r="A1412">
        <v>2025</v>
      </c>
      <c r="B1412" t="s">
        <v>149</v>
      </c>
      <c r="C1412" t="s">
        <v>160</v>
      </c>
      <c r="D1412">
        <v>1</v>
      </c>
      <c r="E1412" s="36">
        <v>13</v>
      </c>
      <c r="F1412" s="36">
        <v>2</v>
      </c>
      <c r="G1412" s="32">
        <v>24</v>
      </c>
      <c r="H1412" s="31" t="s">
        <v>40</v>
      </c>
      <c r="I1412" s="13">
        <v>58.4</v>
      </c>
      <c r="J1412">
        <v>90.888280387409196</v>
      </c>
      <c r="K1412">
        <v>9.6999999999999993</v>
      </c>
    </row>
    <row r="1413" spans="1:11" x14ac:dyDescent="0.25">
      <c r="A1413">
        <v>2025</v>
      </c>
      <c r="B1413" t="s">
        <v>149</v>
      </c>
      <c r="C1413" t="s">
        <v>160</v>
      </c>
      <c r="D1413">
        <v>2</v>
      </c>
      <c r="E1413" s="36">
        <v>22</v>
      </c>
      <c r="F1413" s="36">
        <v>3</v>
      </c>
      <c r="G1413" s="32">
        <v>24</v>
      </c>
      <c r="H1413" s="31" t="s">
        <v>40</v>
      </c>
      <c r="I1413" s="13">
        <v>57.7</v>
      </c>
      <c r="J1413">
        <v>86.992345422817522</v>
      </c>
    </row>
    <row r="1414" spans="1:11" x14ac:dyDescent="0.25">
      <c r="A1414">
        <v>2025</v>
      </c>
      <c r="B1414" t="s">
        <v>149</v>
      </c>
      <c r="C1414" t="s">
        <v>160</v>
      </c>
      <c r="D1414">
        <v>3</v>
      </c>
      <c r="E1414" s="36">
        <v>15</v>
      </c>
      <c r="F1414" s="36">
        <v>5</v>
      </c>
      <c r="G1414" s="32">
        <v>24</v>
      </c>
      <c r="H1414" s="31" t="s">
        <v>40</v>
      </c>
      <c r="I1414" s="13">
        <v>58.2</v>
      </c>
      <c r="J1414">
        <v>88.174298771641347</v>
      </c>
    </row>
    <row r="1415" spans="1:11" x14ac:dyDescent="0.25">
      <c r="A1415">
        <v>2025</v>
      </c>
      <c r="B1415" t="s">
        <v>149</v>
      </c>
      <c r="C1415" t="s">
        <v>160</v>
      </c>
      <c r="D1415">
        <v>1</v>
      </c>
      <c r="E1415" s="36">
        <v>20</v>
      </c>
      <c r="F1415" s="36">
        <v>2</v>
      </c>
      <c r="G1415" s="32">
        <v>33</v>
      </c>
      <c r="H1415" s="31" t="s">
        <v>41</v>
      </c>
      <c r="I1415" s="13">
        <v>60.1</v>
      </c>
      <c r="J1415">
        <v>92.372944794188868</v>
      </c>
      <c r="K1415">
        <v>9.6</v>
      </c>
    </row>
    <row r="1416" spans="1:11" x14ac:dyDescent="0.25">
      <c r="A1416">
        <v>2025</v>
      </c>
      <c r="B1416" t="s">
        <v>149</v>
      </c>
      <c r="C1416" t="s">
        <v>160</v>
      </c>
      <c r="D1416">
        <v>2</v>
      </c>
      <c r="E1416" s="36">
        <v>11</v>
      </c>
      <c r="F1416" s="36">
        <v>3</v>
      </c>
      <c r="G1416" s="32">
        <v>33</v>
      </c>
      <c r="H1416" s="31" t="s">
        <v>41</v>
      </c>
      <c r="I1416" s="13">
        <v>60.4</v>
      </c>
      <c r="J1416">
        <v>90.189312833089645</v>
      </c>
    </row>
    <row r="1417" spans="1:11" x14ac:dyDescent="0.25">
      <c r="A1417">
        <v>2025</v>
      </c>
      <c r="B1417" t="s">
        <v>149</v>
      </c>
      <c r="C1417" t="s">
        <v>160</v>
      </c>
      <c r="D1417">
        <v>3</v>
      </c>
      <c r="E1417" s="36">
        <v>13</v>
      </c>
      <c r="F1417" s="36">
        <v>5</v>
      </c>
      <c r="G1417" s="32">
        <v>33</v>
      </c>
      <c r="H1417" s="31" t="s">
        <v>41</v>
      </c>
      <c r="I1417" s="13">
        <v>59.7</v>
      </c>
      <c r="J1417">
        <v>84.512715929973879</v>
      </c>
    </row>
    <row r="1418" spans="1:11" x14ac:dyDescent="0.25">
      <c r="A1418">
        <v>2025</v>
      </c>
      <c r="B1418" t="s">
        <v>149</v>
      </c>
      <c r="C1418" t="s">
        <v>160</v>
      </c>
      <c r="D1418">
        <v>1</v>
      </c>
      <c r="E1418" s="36">
        <v>11</v>
      </c>
      <c r="F1418" s="36">
        <v>1</v>
      </c>
      <c r="G1418" s="32">
        <v>60</v>
      </c>
      <c r="H1418" s="31" t="s">
        <v>154</v>
      </c>
      <c r="I1418" s="13" t="s">
        <v>12</v>
      </c>
      <c r="J1418">
        <v>71.438468158347675</v>
      </c>
      <c r="K1418">
        <v>11.9</v>
      </c>
    </row>
    <row r="1419" spans="1:11" x14ac:dyDescent="0.25">
      <c r="A1419">
        <v>2025</v>
      </c>
      <c r="B1419" t="s">
        <v>149</v>
      </c>
      <c r="C1419" t="s">
        <v>160</v>
      </c>
      <c r="D1419">
        <v>2</v>
      </c>
      <c r="E1419" s="36">
        <v>16</v>
      </c>
      <c r="F1419" s="36">
        <v>3</v>
      </c>
      <c r="G1419" s="32">
        <v>60</v>
      </c>
      <c r="H1419" s="31" t="s">
        <v>154</v>
      </c>
      <c r="I1419" s="13">
        <v>55.6</v>
      </c>
      <c r="J1419">
        <v>63.057719190680558</v>
      </c>
    </row>
    <row r="1420" spans="1:11" x14ac:dyDescent="0.25">
      <c r="A1420">
        <v>2025</v>
      </c>
      <c r="B1420" t="s">
        <v>149</v>
      </c>
      <c r="C1420" t="s">
        <v>160</v>
      </c>
      <c r="D1420">
        <v>3</v>
      </c>
      <c r="E1420" s="36">
        <v>23</v>
      </c>
      <c r="F1420" s="36">
        <v>5</v>
      </c>
      <c r="G1420" s="32">
        <v>60</v>
      </c>
      <c r="H1420" s="31" t="s">
        <v>154</v>
      </c>
      <c r="I1420" s="13">
        <v>54</v>
      </c>
      <c r="J1420">
        <v>58.849606344907613</v>
      </c>
    </row>
    <row r="1421" spans="1:11" x14ac:dyDescent="0.25">
      <c r="A1421">
        <v>2025</v>
      </c>
      <c r="B1421" t="s">
        <v>149</v>
      </c>
      <c r="C1421" t="s">
        <v>160</v>
      </c>
      <c r="D1421">
        <v>1</v>
      </c>
      <c r="E1421" s="36">
        <v>23</v>
      </c>
      <c r="F1421" s="36">
        <v>2</v>
      </c>
      <c r="G1421" s="32">
        <v>58</v>
      </c>
      <c r="H1421" s="31" t="s">
        <v>103</v>
      </c>
      <c r="I1421" s="13">
        <v>60.3</v>
      </c>
      <c r="J1421">
        <v>84.145972881355931</v>
      </c>
      <c r="K1421">
        <v>10.5</v>
      </c>
    </row>
    <row r="1422" spans="1:11" x14ac:dyDescent="0.25">
      <c r="A1422">
        <v>2025</v>
      </c>
      <c r="B1422" t="s">
        <v>149</v>
      </c>
      <c r="C1422" t="s">
        <v>160</v>
      </c>
      <c r="D1422">
        <v>2</v>
      </c>
      <c r="E1422" s="36">
        <v>8</v>
      </c>
      <c r="F1422" s="36">
        <v>3</v>
      </c>
      <c r="G1422" s="32">
        <v>58</v>
      </c>
      <c r="H1422" s="31" t="s">
        <v>103</v>
      </c>
      <c r="I1422" s="13">
        <v>59.5</v>
      </c>
      <c r="J1422">
        <v>82.55058246474556</v>
      </c>
    </row>
    <row r="1423" spans="1:11" x14ac:dyDescent="0.25">
      <c r="A1423">
        <v>2025</v>
      </c>
      <c r="B1423" t="s">
        <v>149</v>
      </c>
      <c r="C1423" t="s">
        <v>160</v>
      </c>
      <c r="D1423">
        <v>3</v>
      </c>
      <c r="E1423" s="36">
        <v>14</v>
      </c>
      <c r="F1423" s="36">
        <v>6</v>
      </c>
      <c r="G1423" s="32">
        <v>58</v>
      </c>
      <c r="H1423" s="31" t="s">
        <v>103</v>
      </c>
      <c r="I1423" s="13">
        <v>60.1</v>
      </c>
      <c r="J1423">
        <v>80.74699348908463</v>
      </c>
    </row>
    <row r="1424" spans="1:11" x14ac:dyDescent="0.25">
      <c r="A1424">
        <v>2025</v>
      </c>
      <c r="B1424" t="s">
        <v>149</v>
      </c>
      <c r="C1424" t="s">
        <v>160</v>
      </c>
      <c r="D1424">
        <v>1</v>
      </c>
      <c r="E1424" s="36">
        <v>1</v>
      </c>
      <c r="F1424" s="36">
        <v>1</v>
      </c>
      <c r="G1424" s="32">
        <v>25</v>
      </c>
      <c r="H1424" s="31" t="s">
        <v>130</v>
      </c>
      <c r="I1424" s="13">
        <v>60</v>
      </c>
      <c r="J1424">
        <v>93.013567125645437</v>
      </c>
      <c r="K1424">
        <v>9.8000000000000007</v>
      </c>
    </row>
    <row r="1425" spans="1:11" x14ac:dyDescent="0.25">
      <c r="A1425">
        <v>2025</v>
      </c>
      <c r="B1425" t="s">
        <v>149</v>
      </c>
      <c r="C1425" t="s">
        <v>160</v>
      </c>
      <c r="D1425">
        <v>2</v>
      </c>
      <c r="E1425" s="36">
        <v>4</v>
      </c>
      <c r="F1425" s="36">
        <v>4</v>
      </c>
      <c r="G1425" s="32">
        <v>25</v>
      </c>
      <c r="H1425" s="31" t="s">
        <v>130</v>
      </c>
      <c r="I1425" s="13">
        <v>59.1</v>
      </c>
      <c r="J1425">
        <v>82.091514647625573</v>
      </c>
    </row>
    <row r="1426" spans="1:11" x14ac:dyDescent="0.25">
      <c r="A1426">
        <v>2025</v>
      </c>
      <c r="B1426" t="s">
        <v>149</v>
      </c>
      <c r="C1426" t="s">
        <v>160</v>
      </c>
      <c r="D1426">
        <v>3</v>
      </c>
      <c r="E1426" s="36">
        <v>16</v>
      </c>
      <c r="F1426" s="36">
        <v>5</v>
      </c>
      <c r="G1426" s="32">
        <v>25</v>
      </c>
      <c r="H1426" s="31" t="s">
        <v>130</v>
      </c>
      <c r="I1426" s="13">
        <v>56.1</v>
      </c>
      <c r="J1426">
        <v>74.093681690685742</v>
      </c>
    </row>
    <row r="1427" spans="1:11" x14ac:dyDescent="0.25">
      <c r="A1427">
        <v>2025</v>
      </c>
      <c r="B1427" t="s">
        <v>149</v>
      </c>
      <c r="C1427" t="s">
        <v>160</v>
      </c>
      <c r="D1427">
        <v>1</v>
      </c>
      <c r="E1427" s="36">
        <v>2</v>
      </c>
      <c r="F1427" s="36">
        <v>1</v>
      </c>
      <c r="G1427" s="32">
        <v>34</v>
      </c>
      <c r="H1427" s="31" t="s">
        <v>42</v>
      </c>
      <c r="I1427" s="13">
        <v>60.8</v>
      </c>
      <c r="J1427">
        <v>98.020223752151452</v>
      </c>
      <c r="K1427">
        <v>9.6999999999999993</v>
      </c>
    </row>
    <row r="1428" spans="1:11" x14ac:dyDescent="0.25">
      <c r="A1428">
        <v>2025</v>
      </c>
      <c r="B1428" t="s">
        <v>149</v>
      </c>
      <c r="C1428" t="s">
        <v>160</v>
      </c>
      <c r="D1428">
        <v>2</v>
      </c>
      <c r="E1428" s="36">
        <v>6</v>
      </c>
      <c r="F1428" s="36">
        <v>3</v>
      </c>
      <c r="G1428" s="32">
        <v>34</v>
      </c>
      <c r="H1428" s="31" t="s">
        <v>42</v>
      </c>
      <c r="I1428" s="13">
        <v>60</v>
      </c>
      <c r="J1428">
        <v>92.415377069282641</v>
      </c>
    </row>
    <row r="1429" spans="1:11" x14ac:dyDescent="0.25">
      <c r="A1429">
        <v>2025</v>
      </c>
      <c r="B1429" t="s">
        <v>149</v>
      </c>
      <c r="C1429" t="s">
        <v>160</v>
      </c>
      <c r="D1429">
        <v>3</v>
      </c>
      <c r="E1429" s="36">
        <v>10</v>
      </c>
      <c r="F1429" s="36">
        <v>6</v>
      </c>
      <c r="G1429" s="32">
        <v>34</v>
      </c>
      <c r="H1429" s="31" t="s">
        <v>42</v>
      </c>
      <c r="I1429" s="13">
        <v>60</v>
      </c>
      <c r="J1429">
        <v>88.104217732669468</v>
      </c>
    </row>
    <row r="1430" spans="1:11" x14ac:dyDescent="0.25">
      <c r="A1430">
        <v>2025</v>
      </c>
      <c r="B1430" t="s">
        <v>149</v>
      </c>
      <c r="C1430" t="s">
        <v>160</v>
      </c>
      <c r="D1430">
        <v>1</v>
      </c>
      <c r="E1430" s="36">
        <v>16</v>
      </c>
      <c r="F1430" s="36">
        <v>2</v>
      </c>
      <c r="G1430" s="32">
        <v>35</v>
      </c>
      <c r="H1430" s="31" t="s">
        <v>129</v>
      </c>
      <c r="I1430" s="13">
        <v>60.5</v>
      </c>
      <c r="J1430">
        <v>92.16923970944309</v>
      </c>
      <c r="K1430">
        <v>9.8000000000000007</v>
      </c>
    </row>
    <row r="1431" spans="1:11" x14ac:dyDescent="0.25">
      <c r="A1431">
        <v>2025</v>
      </c>
      <c r="B1431" t="s">
        <v>149</v>
      </c>
      <c r="C1431" t="s">
        <v>160</v>
      </c>
      <c r="D1431">
        <v>2</v>
      </c>
      <c r="E1431" s="36">
        <v>20</v>
      </c>
      <c r="F1431" s="36">
        <v>3</v>
      </c>
      <c r="G1431" s="32">
        <v>35</v>
      </c>
      <c r="H1431" s="31" t="s">
        <v>129</v>
      </c>
      <c r="I1431" s="13">
        <v>60.6</v>
      </c>
      <c r="J1431">
        <v>90.142341178135169</v>
      </c>
    </row>
    <row r="1432" spans="1:11" x14ac:dyDescent="0.25">
      <c r="A1432">
        <v>2025</v>
      </c>
      <c r="B1432" t="s">
        <v>149</v>
      </c>
      <c r="C1432" t="s">
        <v>160</v>
      </c>
      <c r="D1432">
        <v>3</v>
      </c>
      <c r="E1432" s="36">
        <v>15</v>
      </c>
      <c r="F1432" s="36">
        <v>6</v>
      </c>
      <c r="G1432" s="32">
        <v>35</v>
      </c>
      <c r="H1432" s="31" t="s">
        <v>129</v>
      </c>
      <c r="I1432" s="13">
        <v>61.2</v>
      </c>
      <c r="J1432">
        <v>88.069050172347758</v>
      </c>
    </row>
    <row r="1433" spans="1:11" x14ac:dyDescent="0.25">
      <c r="A1433">
        <v>2025</v>
      </c>
      <c r="B1433" t="s">
        <v>149</v>
      </c>
      <c r="C1433" t="s">
        <v>160</v>
      </c>
      <c r="D1433">
        <v>1</v>
      </c>
      <c r="E1433" s="36">
        <v>17</v>
      </c>
      <c r="F1433" s="36">
        <v>1</v>
      </c>
      <c r="G1433" s="32">
        <v>57</v>
      </c>
      <c r="H1433" s="31" t="s">
        <v>43</v>
      </c>
      <c r="I1433" s="13">
        <v>58.1</v>
      </c>
      <c r="J1433">
        <v>83.263941480206526</v>
      </c>
      <c r="K1433">
        <v>10.9</v>
      </c>
    </row>
    <row r="1434" spans="1:11" x14ac:dyDescent="0.25">
      <c r="A1434">
        <v>2025</v>
      </c>
      <c r="B1434" t="s">
        <v>149</v>
      </c>
      <c r="C1434" t="s">
        <v>160</v>
      </c>
      <c r="D1434">
        <v>2</v>
      </c>
      <c r="E1434" s="36">
        <v>5</v>
      </c>
      <c r="F1434" s="36">
        <v>3</v>
      </c>
      <c r="G1434" s="32">
        <v>57</v>
      </c>
      <c r="H1434" s="31" t="s">
        <v>43</v>
      </c>
      <c r="I1434" s="13">
        <v>59.7</v>
      </c>
      <c r="J1434">
        <v>83.228636513700877</v>
      </c>
    </row>
    <row r="1435" spans="1:11" x14ac:dyDescent="0.25">
      <c r="A1435">
        <v>2025</v>
      </c>
      <c r="B1435" t="s">
        <v>149</v>
      </c>
      <c r="C1435" t="s">
        <v>160</v>
      </c>
      <c r="D1435">
        <v>3</v>
      </c>
      <c r="E1435" s="36">
        <v>21</v>
      </c>
      <c r="F1435" s="36">
        <v>6</v>
      </c>
      <c r="G1435" s="32">
        <v>57</v>
      </c>
      <c r="H1435" s="31" t="s">
        <v>43</v>
      </c>
      <c r="I1435" s="13">
        <v>60.1</v>
      </c>
      <c r="J1435">
        <v>77.910838759096123</v>
      </c>
    </row>
    <row r="1436" spans="1:11" x14ac:dyDescent="0.25">
      <c r="A1436">
        <v>2025</v>
      </c>
      <c r="B1436" t="s">
        <v>149</v>
      </c>
      <c r="C1436" t="s">
        <v>160</v>
      </c>
      <c r="D1436">
        <v>1</v>
      </c>
      <c r="E1436" s="36">
        <v>24</v>
      </c>
      <c r="F1436" s="36">
        <v>2</v>
      </c>
      <c r="G1436" s="32">
        <v>49</v>
      </c>
      <c r="H1436" s="31" t="s">
        <v>151</v>
      </c>
      <c r="I1436" s="13">
        <v>58.3</v>
      </c>
      <c r="J1436">
        <v>73.02939951573849</v>
      </c>
      <c r="K1436">
        <v>11.4</v>
      </c>
    </row>
    <row r="1437" spans="1:11" x14ac:dyDescent="0.25">
      <c r="A1437">
        <v>2025</v>
      </c>
      <c r="B1437" t="s">
        <v>149</v>
      </c>
      <c r="C1437" t="s">
        <v>160</v>
      </c>
      <c r="D1437">
        <v>2</v>
      </c>
      <c r="E1437" s="36">
        <v>26</v>
      </c>
      <c r="F1437" s="36">
        <v>4</v>
      </c>
      <c r="G1437" s="32">
        <v>49</v>
      </c>
      <c r="H1437" s="31" t="s">
        <v>151</v>
      </c>
      <c r="I1437" s="13">
        <v>59.1</v>
      </c>
      <c r="J1437">
        <v>67.325761725436493</v>
      </c>
    </row>
    <row r="1438" spans="1:11" x14ac:dyDescent="0.25">
      <c r="A1438">
        <v>2025</v>
      </c>
      <c r="B1438" t="s">
        <v>149</v>
      </c>
      <c r="C1438" t="s">
        <v>160</v>
      </c>
      <c r="D1438">
        <v>3</v>
      </c>
      <c r="E1438" s="36">
        <v>25</v>
      </c>
      <c r="F1438" s="36">
        <v>6</v>
      </c>
      <c r="G1438" s="32">
        <v>49</v>
      </c>
      <c r="H1438" s="31" t="s">
        <v>151</v>
      </c>
      <c r="I1438" s="13">
        <v>56.6</v>
      </c>
      <c r="J1438">
        <v>67.437920337035592</v>
      </c>
    </row>
    <row r="1439" spans="1:11" x14ac:dyDescent="0.25">
      <c r="A1439">
        <v>2025</v>
      </c>
      <c r="B1439" t="s">
        <v>149</v>
      </c>
      <c r="C1439" t="s">
        <v>160</v>
      </c>
      <c r="D1439">
        <v>1</v>
      </c>
      <c r="E1439" s="36">
        <v>10</v>
      </c>
      <c r="F1439" s="36">
        <v>1</v>
      </c>
      <c r="G1439" s="32">
        <v>48</v>
      </c>
      <c r="H1439" s="31" t="s">
        <v>152</v>
      </c>
      <c r="I1439" s="13">
        <v>60.4</v>
      </c>
      <c r="J1439">
        <v>77.302074010327019</v>
      </c>
      <c r="K1439">
        <v>11.5</v>
      </c>
    </row>
    <row r="1440" spans="1:11" x14ac:dyDescent="0.25">
      <c r="A1440">
        <v>2025</v>
      </c>
      <c r="B1440" t="s">
        <v>149</v>
      </c>
      <c r="C1440" t="s">
        <v>160</v>
      </c>
      <c r="D1440">
        <v>2</v>
      </c>
      <c r="E1440" s="36">
        <v>17</v>
      </c>
      <c r="F1440" s="36">
        <v>4</v>
      </c>
      <c r="G1440" s="32">
        <v>48</v>
      </c>
      <c r="H1440" s="31" t="s">
        <v>152</v>
      </c>
      <c r="I1440" s="13">
        <v>60.1</v>
      </c>
      <c r="J1440">
        <v>72.124262238959261</v>
      </c>
    </row>
    <row r="1441" spans="1:13" x14ac:dyDescent="0.25">
      <c r="A1441">
        <v>2025</v>
      </c>
      <c r="B1441" t="s">
        <v>149</v>
      </c>
      <c r="C1441" t="s">
        <v>160</v>
      </c>
      <c r="D1441">
        <v>3</v>
      </c>
      <c r="E1441" s="36">
        <v>20</v>
      </c>
      <c r="F1441" s="36">
        <v>6</v>
      </c>
      <c r="G1441" s="32">
        <v>48</v>
      </c>
      <c r="H1441" s="31" t="s">
        <v>152</v>
      </c>
      <c r="I1441" s="13">
        <v>57.1</v>
      </c>
      <c r="J1441">
        <v>60.970501723477589</v>
      </c>
    </row>
    <row r="1442" spans="1:13" x14ac:dyDescent="0.25">
      <c r="A1442">
        <v>2025</v>
      </c>
      <c r="B1442" t="s">
        <v>149</v>
      </c>
      <c r="C1442" t="s">
        <v>160</v>
      </c>
      <c r="D1442">
        <v>1</v>
      </c>
      <c r="E1442" s="36">
        <v>7</v>
      </c>
      <c r="F1442" s="36">
        <v>1</v>
      </c>
      <c r="G1442" s="32">
        <v>26</v>
      </c>
      <c r="H1442" s="31" t="s">
        <v>44</v>
      </c>
      <c r="I1442" s="13">
        <v>57.6</v>
      </c>
      <c r="J1442">
        <v>101.91149741824439</v>
      </c>
      <c r="K1442">
        <v>10.3</v>
      </c>
    </row>
    <row r="1443" spans="1:13" x14ac:dyDescent="0.25">
      <c r="A1443">
        <v>2025</v>
      </c>
      <c r="B1443" t="s">
        <v>149</v>
      </c>
      <c r="C1443" t="s">
        <v>160</v>
      </c>
      <c r="D1443">
        <v>2</v>
      </c>
      <c r="E1443" s="36">
        <v>12</v>
      </c>
      <c r="F1443" s="36">
        <v>3</v>
      </c>
      <c r="G1443" s="32">
        <v>26</v>
      </c>
      <c r="H1443" s="31" t="s">
        <v>44</v>
      </c>
      <c r="I1443" s="13">
        <v>60.6</v>
      </c>
      <c r="J1443">
        <v>93.10659812290713</v>
      </c>
    </row>
    <row r="1444" spans="1:13" x14ac:dyDescent="0.25">
      <c r="A1444">
        <v>2025</v>
      </c>
      <c r="B1444" t="s">
        <v>149</v>
      </c>
      <c r="C1444" t="s">
        <v>160</v>
      </c>
      <c r="D1444">
        <v>3</v>
      </c>
      <c r="E1444" s="36">
        <v>3</v>
      </c>
      <c r="F1444" s="36">
        <v>6</v>
      </c>
      <c r="G1444" s="32">
        <v>26</v>
      </c>
      <c r="H1444" s="31" t="s">
        <v>44</v>
      </c>
      <c r="I1444" s="13">
        <v>59.2</v>
      </c>
      <c r="J1444">
        <v>85.56096801991572</v>
      </c>
    </row>
    <row r="1445" spans="1:13" x14ac:dyDescent="0.25">
      <c r="A1445">
        <v>2025</v>
      </c>
      <c r="B1445" t="s">
        <v>149</v>
      </c>
      <c r="C1445" t="s">
        <v>160</v>
      </c>
      <c r="D1445">
        <v>1</v>
      </c>
      <c r="E1445" s="36">
        <v>26</v>
      </c>
      <c r="F1445" s="36">
        <v>2</v>
      </c>
      <c r="G1445" s="32">
        <v>36</v>
      </c>
      <c r="H1445" s="31" t="s">
        <v>45</v>
      </c>
      <c r="I1445" s="13">
        <v>62.8</v>
      </c>
      <c r="J1445">
        <v>84.644999999999996</v>
      </c>
      <c r="K1445">
        <v>9.6999999999999993</v>
      </c>
    </row>
    <row r="1446" spans="1:13" x14ac:dyDescent="0.25">
      <c r="A1446">
        <v>2025</v>
      </c>
      <c r="B1446" t="s">
        <v>149</v>
      </c>
      <c r="C1446" t="s">
        <v>160</v>
      </c>
      <c r="D1446">
        <v>2</v>
      </c>
      <c r="E1446" s="36">
        <v>5</v>
      </c>
      <c r="F1446" s="36">
        <v>4</v>
      </c>
      <c r="G1446" s="32">
        <v>36</v>
      </c>
      <c r="H1446" s="31" t="s">
        <v>45</v>
      </c>
      <c r="I1446" s="13">
        <v>61.1</v>
      </c>
      <c r="J1446">
        <v>82.547901403628885</v>
      </c>
    </row>
    <row r="1447" spans="1:13" x14ac:dyDescent="0.25">
      <c r="A1447">
        <v>2025</v>
      </c>
      <c r="B1447" t="s">
        <v>149</v>
      </c>
      <c r="C1447" t="s">
        <v>160</v>
      </c>
      <c r="D1447">
        <v>3</v>
      </c>
      <c r="E1447" s="36">
        <v>1</v>
      </c>
      <c r="F1447" s="36">
        <v>6</v>
      </c>
      <c r="G1447" s="32">
        <v>36</v>
      </c>
      <c r="H1447" s="31" t="s">
        <v>45</v>
      </c>
      <c r="I1447" s="13">
        <v>62.3</v>
      </c>
      <c r="J1447">
        <v>78.338726541554934</v>
      </c>
    </row>
    <row r="1448" spans="1:13" x14ac:dyDescent="0.25">
      <c r="A1448" s="60">
        <v>2025</v>
      </c>
      <c r="B1448" t="s">
        <v>149</v>
      </c>
      <c r="C1448" s="62" t="s">
        <v>161</v>
      </c>
      <c r="D1448" s="60">
        <v>1</v>
      </c>
      <c r="E1448" s="60">
        <v>1</v>
      </c>
      <c r="F1448" s="60">
        <v>1</v>
      </c>
      <c r="G1448" s="60">
        <v>46</v>
      </c>
      <c r="H1448" s="62" t="s">
        <v>127</v>
      </c>
      <c r="I1448" s="60"/>
      <c r="M1448" s="60">
        <v>4</v>
      </c>
    </row>
    <row r="1449" spans="1:13" x14ac:dyDescent="0.25">
      <c r="A1449" s="60">
        <v>2025</v>
      </c>
      <c r="B1449" t="s">
        <v>149</v>
      </c>
      <c r="C1449" s="62" t="s">
        <v>161</v>
      </c>
      <c r="D1449" s="60">
        <v>1</v>
      </c>
      <c r="E1449" s="60">
        <v>2</v>
      </c>
      <c r="F1449" s="60">
        <v>1</v>
      </c>
      <c r="G1449" s="60">
        <v>11</v>
      </c>
      <c r="H1449" s="62" t="s">
        <v>90</v>
      </c>
      <c r="I1449" s="60"/>
      <c r="L1449" s="62"/>
      <c r="M1449" s="60">
        <v>6</v>
      </c>
    </row>
    <row r="1450" spans="1:13" x14ac:dyDescent="0.25">
      <c r="A1450" s="60">
        <v>2025</v>
      </c>
      <c r="B1450" t="s">
        <v>149</v>
      </c>
      <c r="C1450" s="62" t="s">
        <v>161</v>
      </c>
      <c r="D1450" s="60">
        <v>1</v>
      </c>
      <c r="E1450" s="60">
        <v>3</v>
      </c>
      <c r="F1450" s="60">
        <v>1</v>
      </c>
      <c r="G1450" s="60">
        <v>30</v>
      </c>
      <c r="H1450" s="62" t="s">
        <v>21</v>
      </c>
      <c r="I1450" s="60"/>
      <c r="L1450" s="62"/>
      <c r="M1450" s="60">
        <v>2</v>
      </c>
    </row>
    <row r="1451" spans="1:13" x14ac:dyDescent="0.25">
      <c r="A1451" s="60">
        <v>2025</v>
      </c>
      <c r="B1451" t="s">
        <v>149</v>
      </c>
      <c r="C1451" s="62" t="s">
        <v>161</v>
      </c>
      <c r="D1451" s="60">
        <v>1</v>
      </c>
      <c r="E1451" s="60">
        <v>4</v>
      </c>
      <c r="F1451" s="60">
        <v>1</v>
      </c>
      <c r="G1451" s="60">
        <v>32</v>
      </c>
      <c r="H1451" s="62" t="s">
        <v>25</v>
      </c>
      <c r="I1451" s="60"/>
      <c r="L1451" s="62"/>
      <c r="M1451" s="60">
        <v>5</v>
      </c>
    </row>
    <row r="1452" spans="1:13" x14ac:dyDescent="0.25">
      <c r="A1452" s="60">
        <v>2025</v>
      </c>
      <c r="B1452" t="s">
        <v>149</v>
      </c>
      <c r="C1452" s="62" t="s">
        <v>161</v>
      </c>
      <c r="D1452" s="60">
        <v>1</v>
      </c>
      <c r="E1452" s="60">
        <v>5</v>
      </c>
      <c r="F1452" s="60">
        <v>1</v>
      </c>
      <c r="G1452" s="60">
        <v>7</v>
      </c>
      <c r="H1452" s="62" t="s">
        <v>150</v>
      </c>
      <c r="I1452" s="60"/>
      <c r="L1452" s="62"/>
      <c r="M1452" s="60">
        <v>2</v>
      </c>
    </row>
    <row r="1453" spans="1:13" x14ac:dyDescent="0.25">
      <c r="A1453" s="60">
        <v>2025</v>
      </c>
      <c r="B1453" t="s">
        <v>149</v>
      </c>
      <c r="C1453" s="62" t="s">
        <v>161</v>
      </c>
      <c r="D1453" s="60">
        <v>1</v>
      </c>
      <c r="E1453" s="60">
        <v>6</v>
      </c>
      <c r="F1453" s="60">
        <v>1</v>
      </c>
      <c r="G1453" s="60">
        <v>42</v>
      </c>
      <c r="H1453" s="62" t="s">
        <v>34</v>
      </c>
      <c r="I1453" s="60"/>
      <c r="L1453" s="62"/>
      <c r="M1453" s="60">
        <v>6</v>
      </c>
    </row>
    <row r="1454" spans="1:13" x14ac:dyDescent="0.25">
      <c r="A1454" s="60">
        <v>2025</v>
      </c>
      <c r="B1454" t="s">
        <v>149</v>
      </c>
      <c r="C1454" s="62" t="s">
        <v>161</v>
      </c>
      <c r="D1454" s="60">
        <v>1</v>
      </c>
      <c r="E1454" s="60">
        <v>7</v>
      </c>
      <c r="F1454" s="60">
        <v>1</v>
      </c>
      <c r="G1454" s="60">
        <v>47</v>
      </c>
      <c r="H1454" s="62" t="s">
        <v>153</v>
      </c>
      <c r="I1454" s="60"/>
      <c r="M1454" s="60">
        <v>5</v>
      </c>
    </row>
    <row r="1455" spans="1:13" x14ac:dyDescent="0.25">
      <c r="A1455" s="60">
        <v>2025</v>
      </c>
      <c r="B1455" t="s">
        <v>149</v>
      </c>
      <c r="C1455" s="62" t="s">
        <v>161</v>
      </c>
      <c r="D1455" s="60">
        <v>1</v>
      </c>
      <c r="E1455" s="60">
        <v>8</v>
      </c>
      <c r="F1455" s="60">
        <v>1</v>
      </c>
      <c r="G1455" s="60">
        <v>12</v>
      </c>
      <c r="H1455" s="62" t="s">
        <v>92</v>
      </c>
      <c r="I1455" s="60"/>
      <c r="L1455" s="62"/>
      <c r="M1455" s="60">
        <v>2</v>
      </c>
    </row>
    <row r="1456" spans="1:13" x14ac:dyDescent="0.25">
      <c r="A1456" s="60">
        <v>2025</v>
      </c>
      <c r="B1456" t="s">
        <v>149</v>
      </c>
      <c r="C1456" s="62" t="s">
        <v>161</v>
      </c>
      <c r="D1456" s="60">
        <v>1</v>
      </c>
      <c r="E1456" s="60">
        <v>9</v>
      </c>
      <c r="F1456" s="60">
        <v>1</v>
      </c>
      <c r="G1456" s="60">
        <v>41</v>
      </c>
      <c r="H1456" s="62" t="s">
        <v>124</v>
      </c>
      <c r="I1456" s="60"/>
      <c r="M1456" s="60">
        <v>6</v>
      </c>
    </row>
    <row r="1457" spans="1:13" x14ac:dyDescent="0.25">
      <c r="A1457" s="60">
        <v>2025</v>
      </c>
      <c r="B1457" t="s">
        <v>149</v>
      </c>
      <c r="C1457" s="62" t="s">
        <v>161</v>
      </c>
      <c r="D1457" s="60">
        <v>1</v>
      </c>
      <c r="E1457" s="60">
        <v>10</v>
      </c>
      <c r="F1457" s="60">
        <v>1</v>
      </c>
      <c r="G1457" s="60">
        <v>20</v>
      </c>
      <c r="H1457" s="62" t="s">
        <v>24</v>
      </c>
      <c r="I1457" s="60"/>
      <c r="L1457" s="62"/>
      <c r="M1457" s="60">
        <v>5</v>
      </c>
    </row>
    <row r="1458" spans="1:13" x14ac:dyDescent="0.25">
      <c r="A1458" s="60">
        <v>2025</v>
      </c>
      <c r="B1458" t="s">
        <v>149</v>
      </c>
      <c r="C1458" s="62" t="s">
        <v>161</v>
      </c>
      <c r="D1458" s="60">
        <v>1</v>
      </c>
      <c r="E1458" s="60">
        <v>11</v>
      </c>
      <c r="F1458" s="60">
        <v>1</v>
      </c>
      <c r="G1458" s="60">
        <v>21</v>
      </c>
      <c r="H1458" s="62" t="s">
        <v>26</v>
      </c>
      <c r="I1458" s="60"/>
      <c r="L1458" s="62"/>
      <c r="M1458" s="60">
        <v>4</v>
      </c>
    </row>
    <row r="1459" spans="1:13" x14ac:dyDescent="0.25">
      <c r="A1459" s="60">
        <v>2025</v>
      </c>
      <c r="B1459" t="s">
        <v>149</v>
      </c>
      <c r="C1459" s="62" t="s">
        <v>161</v>
      </c>
      <c r="D1459" s="60">
        <v>1</v>
      </c>
      <c r="E1459" s="60">
        <v>12</v>
      </c>
      <c r="F1459" s="60">
        <v>1</v>
      </c>
      <c r="G1459" s="60">
        <v>35</v>
      </c>
      <c r="H1459" s="62" t="s">
        <v>129</v>
      </c>
      <c r="I1459" s="60"/>
      <c r="L1459" s="62"/>
      <c r="M1459" s="60">
        <v>3</v>
      </c>
    </row>
    <row r="1460" spans="1:13" x14ac:dyDescent="0.25">
      <c r="A1460" s="60">
        <v>2025</v>
      </c>
      <c r="B1460" t="s">
        <v>149</v>
      </c>
      <c r="C1460" s="62" t="s">
        <v>161</v>
      </c>
      <c r="D1460" s="60">
        <v>1</v>
      </c>
      <c r="E1460" s="60">
        <v>13</v>
      </c>
      <c r="F1460" s="60">
        <v>1</v>
      </c>
      <c r="G1460" s="60">
        <v>4</v>
      </c>
      <c r="H1460" s="62" t="s">
        <v>117</v>
      </c>
      <c r="I1460" s="60"/>
      <c r="L1460" s="62"/>
      <c r="M1460" s="60">
        <v>1</v>
      </c>
    </row>
    <row r="1461" spans="1:13" x14ac:dyDescent="0.25">
      <c r="A1461" s="60">
        <v>2025</v>
      </c>
      <c r="B1461" t="s">
        <v>149</v>
      </c>
      <c r="C1461" s="62" t="s">
        <v>161</v>
      </c>
      <c r="D1461" s="60">
        <v>1</v>
      </c>
      <c r="E1461" s="60">
        <v>14</v>
      </c>
      <c r="F1461" s="60">
        <v>1</v>
      </c>
      <c r="G1461" s="60">
        <v>24</v>
      </c>
      <c r="H1461" s="62" t="s">
        <v>40</v>
      </c>
      <c r="I1461" s="60"/>
      <c r="L1461" s="62"/>
      <c r="M1461" s="60">
        <v>3</v>
      </c>
    </row>
    <row r="1462" spans="1:13" x14ac:dyDescent="0.25">
      <c r="A1462" s="60">
        <v>2025</v>
      </c>
      <c r="B1462" t="s">
        <v>149</v>
      </c>
      <c r="C1462" s="62" t="s">
        <v>161</v>
      </c>
      <c r="D1462" s="60">
        <v>1</v>
      </c>
      <c r="E1462" s="60">
        <v>15</v>
      </c>
      <c r="F1462" s="60">
        <v>1</v>
      </c>
      <c r="G1462" s="60">
        <v>37</v>
      </c>
      <c r="H1462" s="62" t="s">
        <v>89</v>
      </c>
      <c r="I1462" s="60"/>
      <c r="M1462" s="60">
        <v>4</v>
      </c>
    </row>
    <row r="1463" spans="1:13" x14ac:dyDescent="0.25">
      <c r="A1463" s="60">
        <v>2025</v>
      </c>
      <c r="B1463" t="s">
        <v>149</v>
      </c>
      <c r="C1463" s="62" t="s">
        <v>161</v>
      </c>
      <c r="D1463" s="60">
        <v>1</v>
      </c>
      <c r="E1463" s="60">
        <v>16</v>
      </c>
      <c r="F1463" s="60">
        <v>1</v>
      </c>
      <c r="G1463" s="60">
        <v>49</v>
      </c>
      <c r="H1463" s="62" t="s">
        <v>151</v>
      </c>
      <c r="I1463" s="60"/>
      <c r="M1463" s="60">
        <v>2</v>
      </c>
    </row>
    <row r="1464" spans="1:13" x14ac:dyDescent="0.25">
      <c r="A1464" s="60">
        <v>2025</v>
      </c>
      <c r="B1464" t="s">
        <v>149</v>
      </c>
      <c r="C1464" s="62" t="s">
        <v>161</v>
      </c>
      <c r="D1464" s="60">
        <v>1</v>
      </c>
      <c r="E1464" s="60">
        <v>17</v>
      </c>
      <c r="F1464" s="60">
        <v>1</v>
      </c>
      <c r="G1464" s="60">
        <v>1</v>
      </c>
      <c r="H1464" s="62" t="s">
        <v>120</v>
      </c>
      <c r="I1464" s="60"/>
      <c r="L1464" s="62"/>
      <c r="M1464" s="60">
        <v>4</v>
      </c>
    </row>
    <row r="1465" spans="1:13" x14ac:dyDescent="0.25">
      <c r="A1465" s="60">
        <v>2025</v>
      </c>
      <c r="B1465" t="s">
        <v>149</v>
      </c>
      <c r="C1465" s="62" t="s">
        <v>161</v>
      </c>
      <c r="D1465" s="60">
        <v>1</v>
      </c>
      <c r="E1465" s="60">
        <v>18</v>
      </c>
      <c r="F1465" s="60">
        <v>1</v>
      </c>
      <c r="G1465" s="60">
        <v>25</v>
      </c>
      <c r="H1465" s="62" t="s">
        <v>130</v>
      </c>
      <c r="I1465" s="60"/>
      <c r="L1465" s="62"/>
      <c r="M1465" s="60">
        <v>5</v>
      </c>
    </row>
    <row r="1466" spans="1:13" x14ac:dyDescent="0.25">
      <c r="A1466" s="60">
        <v>2025</v>
      </c>
      <c r="B1466" t="s">
        <v>149</v>
      </c>
      <c r="C1466" s="62" t="s">
        <v>161</v>
      </c>
      <c r="D1466" s="60">
        <v>1</v>
      </c>
      <c r="E1466" s="60">
        <v>19</v>
      </c>
      <c r="F1466" s="60">
        <v>1</v>
      </c>
      <c r="G1466" s="60">
        <v>57</v>
      </c>
      <c r="H1466" s="62" t="s">
        <v>43</v>
      </c>
      <c r="I1466" s="60"/>
      <c r="L1466" s="62"/>
      <c r="M1466" s="60">
        <v>5</v>
      </c>
    </row>
    <row r="1467" spans="1:13" x14ac:dyDescent="0.25">
      <c r="A1467" s="60">
        <v>2025</v>
      </c>
      <c r="B1467" t="s">
        <v>149</v>
      </c>
      <c r="C1467" s="62" t="s">
        <v>161</v>
      </c>
      <c r="D1467" s="60">
        <v>1</v>
      </c>
      <c r="E1467" s="60">
        <v>20</v>
      </c>
      <c r="F1467" s="60">
        <v>1</v>
      </c>
      <c r="G1467" s="60">
        <v>29</v>
      </c>
      <c r="H1467" s="62" t="s">
        <v>27</v>
      </c>
      <c r="I1467" s="60"/>
      <c r="L1467" s="62"/>
      <c r="M1467" s="60">
        <v>5</v>
      </c>
    </row>
    <row r="1468" spans="1:13" x14ac:dyDescent="0.25">
      <c r="A1468" s="60">
        <v>2025</v>
      </c>
      <c r="B1468" t="s">
        <v>149</v>
      </c>
      <c r="C1468" s="62" t="s">
        <v>161</v>
      </c>
      <c r="D1468" s="60">
        <v>1</v>
      </c>
      <c r="E1468" s="60">
        <v>21</v>
      </c>
      <c r="F1468" s="60">
        <v>1</v>
      </c>
      <c r="G1468" s="60">
        <v>13</v>
      </c>
      <c r="H1468" s="62" t="s">
        <v>93</v>
      </c>
      <c r="I1468" s="60"/>
      <c r="L1468" s="62"/>
      <c r="M1468" s="60">
        <v>2</v>
      </c>
    </row>
    <row r="1469" spans="1:13" x14ac:dyDescent="0.25">
      <c r="A1469" s="60">
        <v>2025</v>
      </c>
      <c r="B1469" t="s">
        <v>149</v>
      </c>
      <c r="C1469" s="62" t="s">
        <v>161</v>
      </c>
      <c r="D1469" s="60">
        <v>1</v>
      </c>
      <c r="E1469" s="60">
        <v>22</v>
      </c>
      <c r="F1469" s="60">
        <v>1</v>
      </c>
      <c r="G1469" s="60">
        <v>34</v>
      </c>
      <c r="H1469" s="62" t="s">
        <v>42</v>
      </c>
      <c r="I1469" s="60"/>
      <c r="L1469" s="62"/>
      <c r="M1469" s="60">
        <v>5</v>
      </c>
    </row>
    <row r="1470" spans="1:13" x14ac:dyDescent="0.25">
      <c r="A1470" s="60">
        <v>2025</v>
      </c>
      <c r="B1470" t="s">
        <v>149</v>
      </c>
      <c r="C1470" s="62" t="s">
        <v>161</v>
      </c>
      <c r="D1470" s="60">
        <v>1</v>
      </c>
      <c r="E1470" s="60">
        <v>23</v>
      </c>
      <c r="F1470" s="60">
        <v>1</v>
      </c>
      <c r="G1470" s="60">
        <v>22</v>
      </c>
      <c r="H1470" s="62" t="s">
        <v>28</v>
      </c>
      <c r="I1470" s="60"/>
      <c r="L1470" s="62"/>
      <c r="M1470" s="60">
        <v>5</v>
      </c>
    </row>
    <row r="1471" spans="1:13" x14ac:dyDescent="0.25">
      <c r="A1471" s="60">
        <v>2025</v>
      </c>
      <c r="B1471" t="s">
        <v>149</v>
      </c>
      <c r="C1471" s="62" t="s">
        <v>161</v>
      </c>
      <c r="D1471" s="60">
        <v>1</v>
      </c>
      <c r="E1471" s="60">
        <v>24</v>
      </c>
      <c r="F1471" s="60">
        <v>1</v>
      </c>
      <c r="G1471" s="60">
        <v>5</v>
      </c>
      <c r="H1471" s="62" t="s">
        <v>128</v>
      </c>
      <c r="I1471" s="60"/>
      <c r="L1471" s="62"/>
      <c r="M1471" s="60">
        <v>2</v>
      </c>
    </row>
    <row r="1472" spans="1:13" x14ac:dyDescent="0.25">
      <c r="A1472" s="60">
        <v>2025</v>
      </c>
      <c r="B1472" t="s">
        <v>149</v>
      </c>
      <c r="C1472" s="62" t="s">
        <v>161</v>
      </c>
      <c r="D1472" s="60">
        <v>1</v>
      </c>
      <c r="E1472" s="60">
        <v>25</v>
      </c>
      <c r="F1472" s="60">
        <v>1</v>
      </c>
      <c r="G1472" s="60">
        <v>38</v>
      </c>
      <c r="H1472" s="62" t="s">
        <v>23</v>
      </c>
      <c r="I1472" s="60"/>
      <c r="L1472" s="62"/>
      <c r="M1472" s="60">
        <v>1</v>
      </c>
    </row>
    <row r="1473" spans="1:13" x14ac:dyDescent="0.25">
      <c r="A1473" s="60">
        <v>2025</v>
      </c>
      <c r="B1473" t="s">
        <v>149</v>
      </c>
      <c r="C1473" s="62" t="s">
        <v>161</v>
      </c>
      <c r="D1473" s="60">
        <v>1</v>
      </c>
      <c r="E1473" s="60">
        <v>26</v>
      </c>
      <c r="F1473" s="60">
        <v>1</v>
      </c>
      <c r="G1473" s="60">
        <v>15</v>
      </c>
      <c r="H1473" s="62" t="s">
        <v>31</v>
      </c>
      <c r="I1473" s="60"/>
      <c r="L1473" s="62"/>
      <c r="M1473" s="60">
        <v>5</v>
      </c>
    </row>
    <row r="1474" spans="1:13" x14ac:dyDescent="0.25">
      <c r="A1474" s="60">
        <v>2025</v>
      </c>
      <c r="B1474" t="s">
        <v>149</v>
      </c>
      <c r="C1474" s="62" t="s">
        <v>161</v>
      </c>
      <c r="D1474" s="60">
        <v>1</v>
      </c>
      <c r="E1474" s="60">
        <v>26</v>
      </c>
      <c r="F1474" s="60">
        <v>2</v>
      </c>
      <c r="G1474" s="60">
        <v>26</v>
      </c>
      <c r="H1474" s="62" t="s">
        <v>44</v>
      </c>
      <c r="I1474" s="60"/>
      <c r="L1474" s="62"/>
      <c r="M1474" s="60">
        <v>5</v>
      </c>
    </row>
    <row r="1475" spans="1:13" x14ac:dyDescent="0.25">
      <c r="A1475" s="60">
        <v>2025</v>
      </c>
      <c r="B1475" t="s">
        <v>149</v>
      </c>
      <c r="C1475" s="62" t="s">
        <v>161</v>
      </c>
      <c r="D1475" s="60">
        <v>1</v>
      </c>
      <c r="E1475" s="60">
        <v>25</v>
      </c>
      <c r="F1475" s="60">
        <v>2</v>
      </c>
      <c r="G1475" s="60">
        <v>17</v>
      </c>
      <c r="H1475" s="62" t="s">
        <v>33</v>
      </c>
      <c r="I1475" s="60"/>
      <c r="L1475" s="62"/>
      <c r="M1475" s="60">
        <v>5</v>
      </c>
    </row>
    <row r="1476" spans="1:13" x14ac:dyDescent="0.25">
      <c r="A1476" s="60">
        <v>2025</v>
      </c>
      <c r="B1476" t="s">
        <v>149</v>
      </c>
      <c r="C1476" s="62" t="s">
        <v>161</v>
      </c>
      <c r="D1476" s="60">
        <v>1</v>
      </c>
      <c r="E1476" s="60">
        <v>24</v>
      </c>
      <c r="F1476" s="60">
        <v>2</v>
      </c>
      <c r="G1476" s="60">
        <v>45</v>
      </c>
      <c r="H1476" s="62" t="s">
        <v>39</v>
      </c>
      <c r="I1476" s="60"/>
      <c r="L1476" s="62"/>
      <c r="M1476" s="60">
        <v>5</v>
      </c>
    </row>
    <row r="1477" spans="1:13" x14ac:dyDescent="0.25">
      <c r="A1477" s="60">
        <v>2025</v>
      </c>
      <c r="B1477" t="s">
        <v>149</v>
      </c>
      <c r="C1477" s="62" t="s">
        <v>161</v>
      </c>
      <c r="D1477" s="60">
        <v>1</v>
      </c>
      <c r="E1477" s="60">
        <v>23</v>
      </c>
      <c r="F1477" s="60">
        <v>2</v>
      </c>
      <c r="G1477" s="60">
        <v>2</v>
      </c>
      <c r="H1477" s="62" t="s">
        <v>126</v>
      </c>
      <c r="I1477" s="60"/>
      <c r="L1477" s="62"/>
      <c r="M1477" s="60">
        <v>5</v>
      </c>
    </row>
    <row r="1478" spans="1:13" x14ac:dyDescent="0.25">
      <c r="A1478" s="60">
        <v>2025</v>
      </c>
      <c r="B1478" t="s">
        <v>149</v>
      </c>
      <c r="C1478" s="62" t="s">
        <v>161</v>
      </c>
      <c r="D1478" s="60">
        <v>1</v>
      </c>
      <c r="E1478" s="60">
        <v>22</v>
      </c>
      <c r="F1478" s="60">
        <v>2</v>
      </c>
      <c r="G1478" s="60">
        <v>6</v>
      </c>
      <c r="H1478" s="62" t="s">
        <v>119</v>
      </c>
      <c r="I1478" s="60"/>
      <c r="L1478" s="62"/>
      <c r="M1478" s="60">
        <v>1</v>
      </c>
    </row>
    <row r="1479" spans="1:13" x14ac:dyDescent="0.25">
      <c r="A1479" s="60">
        <v>2025</v>
      </c>
      <c r="B1479" t="s">
        <v>149</v>
      </c>
      <c r="C1479" s="62" t="s">
        <v>161</v>
      </c>
      <c r="D1479" s="60">
        <v>1</v>
      </c>
      <c r="E1479" s="60">
        <v>21</v>
      </c>
      <c r="F1479" s="60">
        <v>2</v>
      </c>
      <c r="G1479" s="60">
        <v>19</v>
      </c>
      <c r="H1479" s="62" t="s">
        <v>157</v>
      </c>
      <c r="I1479" s="60"/>
      <c r="M1479" s="60">
        <v>4</v>
      </c>
    </row>
    <row r="1480" spans="1:13" x14ac:dyDescent="0.25">
      <c r="A1480" s="60">
        <v>2025</v>
      </c>
      <c r="B1480" t="s">
        <v>149</v>
      </c>
      <c r="C1480" s="62" t="s">
        <v>161</v>
      </c>
      <c r="D1480" s="60">
        <v>1</v>
      </c>
      <c r="E1480" s="60">
        <v>20</v>
      </c>
      <c r="F1480" s="60">
        <v>2</v>
      </c>
      <c r="G1480" s="60">
        <v>48</v>
      </c>
      <c r="H1480" s="62" t="s">
        <v>152</v>
      </c>
      <c r="I1480" s="60"/>
      <c r="M1480" s="60">
        <v>1</v>
      </c>
    </row>
    <row r="1481" spans="1:13" x14ac:dyDescent="0.25">
      <c r="A1481" s="60">
        <v>2025</v>
      </c>
      <c r="B1481" t="s">
        <v>149</v>
      </c>
      <c r="C1481" s="62" t="s">
        <v>161</v>
      </c>
      <c r="D1481" s="60">
        <v>1</v>
      </c>
      <c r="E1481" s="60">
        <v>19</v>
      </c>
      <c r="F1481" s="60">
        <v>2</v>
      </c>
      <c r="G1481" s="60">
        <v>58</v>
      </c>
      <c r="H1481" s="62" t="s">
        <v>103</v>
      </c>
      <c r="I1481" s="60"/>
      <c r="L1481" s="62"/>
      <c r="M1481" s="60">
        <v>6</v>
      </c>
    </row>
    <row r="1482" spans="1:13" x14ac:dyDescent="0.25">
      <c r="A1482" s="60">
        <v>2025</v>
      </c>
      <c r="B1482" t="s">
        <v>149</v>
      </c>
      <c r="C1482" s="62" t="s">
        <v>161</v>
      </c>
      <c r="D1482" s="60">
        <v>1</v>
      </c>
      <c r="E1482" s="60">
        <v>18</v>
      </c>
      <c r="F1482" s="60">
        <v>2</v>
      </c>
      <c r="G1482" s="60">
        <v>31</v>
      </c>
      <c r="H1482" s="62" t="s">
        <v>36</v>
      </c>
      <c r="I1482" s="60"/>
      <c r="L1482" s="62"/>
      <c r="M1482" s="60">
        <v>2</v>
      </c>
    </row>
    <row r="1483" spans="1:13" x14ac:dyDescent="0.25">
      <c r="A1483" s="60">
        <v>2025</v>
      </c>
      <c r="B1483" t="s">
        <v>149</v>
      </c>
      <c r="C1483" s="62" t="s">
        <v>161</v>
      </c>
      <c r="D1483" s="60">
        <v>1</v>
      </c>
      <c r="E1483" s="60">
        <v>17</v>
      </c>
      <c r="F1483" s="60">
        <v>2</v>
      </c>
      <c r="G1483" s="60">
        <v>40</v>
      </c>
      <c r="H1483" s="62" t="s">
        <v>121</v>
      </c>
      <c r="I1483" s="60"/>
      <c r="M1483" s="60">
        <v>5</v>
      </c>
    </row>
    <row r="1484" spans="1:13" x14ac:dyDescent="0.25">
      <c r="A1484" s="60">
        <v>2025</v>
      </c>
      <c r="B1484" t="s">
        <v>149</v>
      </c>
      <c r="C1484" s="62" t="s">
        <v>161</v>
      </c>
      <c r="D1484" s="60">
        <v>1</v>
      </c>
      <c r="E1484" s="60">
        <v>16</v>
      </c>
      <c r="F1484" s="60">
        <v>2</v>
      </c>
      <c r="G1484" s="60">
        <v>8</v>
      </c>
      <c r="H1484" s="62" t="s">
        <v>118</v>
      </c>
      <c r="I1484" s="60"/>
      <c r="L1484" s="62"/>
      <c r="M1484" s="60">
        <v>1</v>
      </c>
    </row>
    <row r="1485" spans="1:13" x14ac:dyDescent="0.25">
      <c r="A1485" s="60">
        <v>2025</v>
      </c>
      <c r="B1485" t="s">
        <v>149</v>
      </c>
      <c r="C1485" s="62" t="s">
        <v>161</v>
      </c>
      <c r="D1485" s="60">
        <v>1</v>
      </c>
      <c r="E1485" s="60">
        <v>15</v>
      </c>
      <c r="F1485" s="60">
        <v>2</v>
      </c>
      <c r="G1485" s="60">
        <v>18</v>
      </c>
      <c r="H1485" s="62" t="s">
        <v>29</v>
      </c>
      <c r="I1485" s="60"/>
      <c r="L1485" s="62"/>
      <c r="M1485" s="60">
        <v>4</v>
      </c>
    </row>
    <row r="1486" spans="1:13" x14ac:dyDescent="0.25">
      <c r="A1486" s="60">
        <v>2025</v>
      </c>
      <c r="B1486" t="s">
        <v>149</v>
      </c>
      <c r="C1486" s="62" t="s">
        <v>161</v>
      </c>
      <c r="D1486" s="60">
        <v>1</v>
      </c>
      <c r="E1486" s="60">
        <v>14</v>
      </c>
      <c r="F1486" s="60">
        <v>2</v>
      </c>
      <c r="G1486" s="60">
        <v>28</v>
      </c>
      <c r="H1486" s="62" t="s">
        <v>38</v>
      </c>
      <c r="I1486" s="60"/>
      <c r="L1486" s="62"/>
      <c r="M1486" s="60">
        <v>4</v>
      </c>
    </row>
    <row r="1487" spans="1:13" x14ac:dyDescent="0.25">
      <c r="A1487" s="60">
        <v>2025</v>
      </c>
      <c r="B1487" t="s">
        <v>149</v>
      </c>
      <c r="C1487" s="62" t="s">
        <v>161</v>
      </c>
      <c r="D1487" s="60">
        <v>1</v>
      </c>
      <c r="E1487" s="60">
        <v>13</v>
      </c>
      <c r="F1487" s="60">
        <v>2</v>
      </c>
      <c r="G1487" s="60">
        <v>43</v>
      </c>
      <c r="H1487" s="62" t="s">
        <v>125</v>
      </c>
      <c r="I1487" s="60"/>
      <c r="L1487" s="62"/>
      <c r="M1487" s="60">
        <v>4</v>
      </c>
    </row>
    <row r="1488" spans="1:13" x14ac:dyDescent="0.25">
      <c r="A1488" s="60">
        <v>2025</v>
      </c>
      <c r="B1488" t="s">
        <v>149</v>
      </c>
      <c r="C1488" s="62" t="s">
        <v>161</v>
      </c>
      <c r="D1488" s="60">
        <v>1</v>
      </c>
      <c r="E1488" s="60">
        <v>12</v>
      </c>
      <c r="F1488" s="60">
        <v>2</v>
      </c>
      <c r="G1488" s="60">
        <v>36</v>
      </c>
      <c r="H1488" s="62" t="s">
        <v>45</v>
      </c>
      <c r="I1488" s="60"/>
      <c r="L1488" s="62"/>
      <c r="M1488" s="60">
        <v>2</v>
      </c>
    </row>
    <row r="1489" spans="1:13" x14ac:dyDescent="0.25">
      <c r="A1489" s="60">
        <v>2025</v>
      </c>
      <c r="B1489" t="s">
        <v>149</v>
      </c>
      <c r="C1489" s="62" t="s">
        <v>161</v>
      </c>
      <c r="D1489" s="60">
        <v>1</v>
      </c>
      <c r="E1489" s="60">
        <v>11</v>
      </c>
      <c r="F1489" s="60">
        <v>2</v>
      </c>
      <c r="G1489" s="60">
        <v>23</v>
      </c>
      <c r="H1489" s="62" t="s">
        <v>37</v>
      </c>
      <c r="I1489" s="60"/>
      <c r="L1489" s="62"/>
      <c r="M1489" s="60">
        <v>3</v>
      </c>
    </row>
    <row r="1490" spans="1:13" x14ac:dyDescent="0.25">
      <c r="A1490" s="60">
        <v>2025</v>
      </c>
      <c r="B1490" t="s">
        <v>149</v>
      </c>
      <c r="C1490" s="62" t="s">
        <v>161</v>
      </c>
      <c r="D1490" s="60">
        <v>1</v>
      </c>
      <c r="E1490" s="60">
        <v>10</v>
      </c>
      <c r="F1490" s="60">
        <v>2</v>
      </c>
      <c r="G1490" s="60">
        <v>44</v>
      </c>
      <c r="H1490" s="62" t="s">
        <v>123</v>
      </c>
      <c r="I1490" s="60"/>
      <c r="L1490" s="62"/>
      <c r="M1490" s="60">
        <v>6</v>
      </c>
    </row>
    <row r="1491" spans="1:13" x14ac:dyDescent="0.25">
      <c r="A1491" s="60">
        <v>2025</v>
      </c>
      <c r="B1491" t="s">
        <v>149</v>
      </c>
      <c r="C1491" s="62" t="s">
        <v>161</v>
      </c>
      <c r="D1491" s="60">
        <v>1</v>
      </c>
      <c r="E1491" s="60">
        <v>9</v>
      </c>
      <c r="F1491" s="60">
        <v>2</v>
      </c>
      <c r="G1491" s="60">
        <v>16</v>
      </c>
      <c r="H1491" s="62" t="s">
        <v>32</v>
      </c>
      <c r="I1491" s="60"/>
      <c r="L1491" s="62"/>
      <c r="M1491" s="60">
        <v>5</v>
      </c>
    </row>
    <row r="1492" spans="1:13" x14ac:dyDescent="0.25">
      <c r="A1492" s="60">
        <v>2025</v>
      </c>
      <c r="B1492" t="s">
        <v>149</v>
      </c>
      <c r="C1492" s="62" t="s">
        <v>161</v>
      </c>
      <c r="D1492" s="60">
        <v>1</v>
      </c>
      <c r="E1492" s="60">
        <v>8</v>
      </c>
      <c r="F1492" s="60">
        <v>2</v>
      </c>
      <c r="G1492" s="60">
        <v>39</v>
      </c>
      <c r="H1492" s="62" t="s">
        <v>22</v>
      </c>
      <c r="I1492" s="60"/>
      <c r="L1492" s="62"/>
      <c r="M1492" s="60">
        <v>7</v>
      </c>
    </row>
    <row r="1493" spans="1:13" x14ac:dyDescent="0.25">
      <c r="A1493" s="60">
        <v>2025</v>
      </c>
      <c r="B1493" t="s">
        <v>149</v>
      </c>
      <c r="C1493" s="62" t="s">
        <v>161</v>
      </c>
      <c r="D1493" s="60">
        <v>1</v>
      </c>
      <c r="E1493" s="60">
        <v>7</v>
      </c>
      <c r="F1493" s="60">
        <v>2</v>
      </c>
      <c r="G1493" s="60">
        <v>14</v>
      </c>
      <c r="H1493" s="62" t="s">
        <v>30</v>
      </c>
      <c r="I1493" s="60"/>
      <c r="L1493" s="62"/>
      <c r="M1493" s="60">
        <v>4</v>
      </c>
    </row>
    <row r="1494" spans="1:13" x14ac:dyDescent="0.25">
      <c r="A1494" s="60">
        <v>2025</v>
      </c>
      <c r="B1494" t="s">
        <v>149</v>
      </c>
      <c r="C1494" s="62" t="s">
        <v>161</v>
      </c>
      <c r="D1494" s="60">
        <v>1</v>
      </c>
      <c r="E1494" s="60">
        <v>6</v>
      </c>
      <c r="F1494" s="60">
        <v>2</v>
      </c>
      <c r="G1494" s="60">
        <v>9</v>
      </c>
      <c r="H1494" s="62" t="s">
        <v>94</v>
      </c>
      <c r="I1494" s="60"/>
      <c r="L1494" s="62"/>
      <c r="M1494" s="60">
        <v>4</v>
      </c>
    </row>
    <row r="1495" spans="1:13" x14ac:dyDescent="0.25">
      <c r="A1495" s="60">
        <v>2025</v>
      </c>
      <c r="B1495" t="s">
        <v>149</v>
      </c>
      <c r="C1495" s="62" t="s">
        <v>161</v>
      </c>
      <c r="D1495" s="60">
        <v>1</v>
      </c>
      <c r="E1495" s="60">
        <v>5</v>
      </c>
      <c r="F1495" s="60">
        <v>2</v>
      </c>
      <c r="G1495" s="60">
        <v>33</v>
      </c>
      <c r="H1495" s="62" t="s">
        <v>41</v>
      </c>
      <c r="I1495" s="60"/>
      <c r="L1495" s="62"/>
      <c r="M1495" s="60">
        <v>3</v>
      </c>
    </row>
    <row r="1496" spans="1:13" x14ac:dyDescent="0.25">
      <c r="A1496" s="60">
        <v>2025</v>
      </c>
      <c r="B1496" t="s">
        <v>149</v>
      </c>
      <c r="C1496" s="62" t="s">
        <v>161</v>
      </c>
      <c r="D1496" s="60">
        <v>1</v>
      </c>
      <c r="E1496" s="60">
        <v>4</v>
      </c>
      <c r="F1496" s="60">
        <v>2</v>
      </c>
      <c r="G1496" s="60">
        <v>60</v>
      </c>
      <c r="H1496" s="62" t="s">
        <v>154</v>
      </c>
      <c r="I1496" s="60"/>
      <c r="M1496" s="60">
        <v>2</v>
      </c>
    </row>
    <row r="1497" spans="1:13" x14ac:dyDescent="0.25">
      <c r="A1497" s="60">
        <v>2025</v>
      </c>
      <c r="B1497" t="s">
        <v>149</v>
      </c>
      <c r="C1497" s="62" t="s">
        <v>161</v>
      </c>
      <c r="D1497" s="60">
        <v>1</v>
      </c>
      <c r="E1497" s="60">
        <v>3</v>
      </c>
      <c r="F1497" s="60">
        <v>2</v>
      </c>
      <c r="G1497" s="60">
        <v>3</v>
      </c>
      <c r="H1497" s="62" t="s">
        <v>122</v>
      </c>
      <c r="I1497" s="60"/>
      <c r="L1497" s="62"/>
      <c r="M1497" t="s">
        <v>12</v>
      </c>
    </row>
    <row r="1498" spans="1:13" x14ac:dyDescent="0.25">
      <c r="A1498" s="60">
        <v>2025</v>
      </c>
      <c r="B1498" t="s">
        <v>149</v>
      </c>
      <c r="C1498" s="62" t="s">
        <v>161</v>
      </c>
      <c r="D1498" s="60">
        <v>1</v>
      </c>
      <c r="E1498" s="60">
        <v>2</v>
      </c>
      <c r="F1498" s="60">
        <v>2</v>
      </c>
      <c r="G1498" s="60">
        <v>10</v>
      </c>
      <c r="H1498" s="62" t="s">
        <v>91</v>
      </c>
      <c r="I1498" s="60"/>
      <c r="L1498" s="62"/>
      <c r="M1498" s="60">
        <v>4</v>
      </c>
    </row>
    <row r="1499" spans="1:13" x14ac:dyDescent="0.25">
      <c r="A1499" s="60">
        <v>2025</v>
      </c>
      <c r="B1499" t="s">
        <v>149</v>
      </c>
      <c r="C1499" s="62" t="s">
        <v>161</v>
      </c>
      <c r="D1499" s="60">
        <v>1</v>
      </c>
      <c r="E1499" s="60">
        <v>1</v>
      </c>
      <c r="F1499" s="60">
        <v>2</v>
      </c>
      <c r="G1499" s="60">
        <v>27</v>
      </c>
      <c r="H1499" s="62" t="s">
        <v>35</v>
      </c>
      <c r="I1499" s="60"/>
      <c r="L1499" s="62"/>
      <c r="M1499" s="60">
        <v>6</v>
      </c>
    </row>
    <row r="1500" spans="1:13" x14ac:dyDescent="0.25">
      <c r="A1500" s="60">
        <v>2025</v>
      </c>
      <c r="B1500" t="s">
        <v>149</v>
      </c>
      <c r="C1500" s="62" t="s">
        <v>161</v>
      </c>
      <c r="D1500" s="60">
        <v>2</v>
      </c>
      <c r="E1500" s="60">
        <v>1</v>
      </c>
      <c r="F1500" s="60">
        <v>3</v>
      </c>
      <c r="G1500" s="60">
        <v>17</v>
      </c>
      <c r="H1500" s="62" t="s">
        <v>33</v>
      </c>
      <c r="I1500" s="60"/>
      <c r="L1500" s="62"/>
      <c r="M1500" s="60">
        <v>6</v>
      </c>
    </row>
    <row r="1501" spans="1:13" x14ac:dyDescent="0.25">
      <c r="A1501" s="60">
        <v>2025</v>
      </c>
      <c r="B1501" t="s">
        <v>149</v>
      </c>
      <c r="C1501" s="62" t="s">
        <v>161</v>
      </c>
      <c r="D1501" s="60">
        <v>2</v>
      </c>
      <c r="E1501" s="60">
        <v>2</v>
      </c>
      <c r="F1501" s="60">
        <v>3</v>
      </c>
      <c r="G1501" s="60">
        <v>15</v>
      </c>
      <c r="H1501" s="62" t="s">
        <v>31</v>
      </c>
      <c r="I1501" s="60"/>
      <c r="L1501" s="62"/>
      <c r="M1501" s="60">
        <v>5</v>
      </c>
    </row>
    <row r="1502" spans="1:13" x14ac:dyDescent="0.25">
      <c r="A1502" s="60">
        <v>2025</v>
      </c>
      <c r="B1502" t="s">
        <v>149</v>
      </c>
      <c r="C1502" s="62" t="s">
        <v>161</v>
      </c>
      <c r="D1502" s="60">
        <v>2</v>
      </c>
      <c r="E1502" s="60">
        <v>3</v>
      </c>
      <c r="F1502" s="60">
        <v>3</v>
      </c>
      <c r="G1502" s="60">
        <v>16</v>
      </c>
      <c r="H1502" s="62" t="s">
        <v>32</v>
      </c>
      <c r="I1502" s="60"/>
      <c r="L1502" s="62"/>
      <c r="M1502" s="60">
        <v>4</v>
      </c>
    </row>
    <row r="1503" spans="1:13" x14ac:dyDescent="0.25">
      <c r="A1503" s="60">
        <v>2025</v>
      </c>
      <c r="B1503" t="s">
        <v>149</v>
      </c>
      <c r="C1503" s="62" t="s">
        <v>161</v>
      </c>
      <c r="D1503" s="60">
        <v>2</v>
      </c>
      <c r="E1503" s="60">
        <v>4</v>
      </c>
      <c r="F1503" s="60">
        <v>3</v>
      </c>
      <c r="G1503" s="60">
        <v>39</v>
      </c>
      <c r="H1503" s="62" t="s">
        <v>22</v>
      </c>
      <c r="I1503" s="60"/>
      <c r="L1503" s="62"/>
      <c r="M1503" s="60">
        <v>6</v>
      </c>
    </row>
    <row r="1504" spans="1:13" x14ac:dyDescent="0.25">
      <c r="A1504" s="60">
        <v>2025</v>
      </c>
      <c r="B1504" t="s">
        <v>149</v>
      </c>
      <c r="C1504" s="62" t="s">
        <v>161</v>
      </c>
      <c r="D1504" s="60">
        <v>2</v>
      </c>
      <c r="E1504" s="60">
        <v>5</v>
      </c>
      <c r="F1504" s="60">
        <v>3</v>
      </c>
      <c r="G1504" s="60">
        <v>3</v>
      </c>
      <c r="H1504" s="62" t="s">
        <v>122</v>
      </c>
      <c r="I1504" s="60"/>
      <c r="L1504" s="62"/>
      <c r="M1504" s="60">
        <v>1</v>
      </c>
    </row>
    <row r="1505" spans="1:13" x14ac:dyDescent="0.25">
      <c r="A1505" s="60">
        <v>2025</v>
      </c>
      <c r="B1505" t="s">
        <v>149</v>
      </c>
      <c r="C1505" s="62" t="s">
        <v>161</v>
      </c>
      <c r="D1505" s="60">
        <v>2</v>
      </c>
      <c r="E1505" s="60">
        <v>6</v>
      </c>
      <c r="F1505" s="60">
        <v>3</v>
      </c>
      <c r="G1505" s="60">
        <v>24</v>
      </c>
      <c r="H1505" s="62" t="s">
        <v>40</v>
      </c>
      <c r="I1505" s="60"/>
      <c r="L1505" s="62"/>
      <c r="M1505" s="60">
        <v>4</v>
      </c>
    </row>
    <row r="1506" spans="1:13" x14ac:dyDescent="0.25">
      <c r="A1506" s="60">
        <v>2025</v>
      </c>
      <c r="B1506" t="s">
        <v>149</v>
      </c>
      <c r="C1506" s="62" t="s">
        <v>161</v>
      </c>
      <c r="D1506" s="60">
        <v>2</v>
      </c>
      <c r="E1506" s="60">
        <v>7</v>
      </c>
      <c r="F1506" s="60">
        <v>3</v>
      </c>
      <c r="G1506" s="60">
        <v>34</v>
      </c>
      <c r="H1506" s="62" t="s">
        <v>42</v>
      </c>
      <c r="I1506" s="60"/>
      <c r="L1506" s="62"/>
      <c r="M1506" s="60">
        <v>4</v>
      </c>
    </row>
    <row r="1507" spans="1:13" x14ac:dyDescent="0.25">
      <c r="A1507" s="60">
        <v>2025</v>
      </c>
      <c r="B1507" t="s">
        <v>149</v>
      </c>
      <c r="C1507" s="62" t="s">
        <v>161</v>
      </c>
      <c r="D1507" s="60">
        <v>2</v>
      </c>
      <c r="E1507" s="60">
        <v>8</v>
      </c>
      <c r="F1507" s="60">
        <v>3</v>
      </c>
      <c r="G1507" s="60">
        <v>4</v>
      </c>
      <c r="H1507" s="62" t="s">
        <v>117</v>
      </c>
      <c r="I1507" s="60"/>
      <c r="L1507" s="62"/>
      <c r="M1507" s="60">
        <v>1</v>
      </c>
    </row>
    <row r="1508" spans="1:13" x14ac:dyDescent="0.25">
      <c r="A1508" s="60">
        <v>2025</v>
      </c>
      <c r="B1508" t="s">
        <v>149</v>
      </c>
      <c r="C1508" s="62" t="s">
        <v>161</v>
      </c>
      <c r="D1508" s="60">
        <v>2</v>
      </c>
      <c r="E1508" s="60">
        <v>9</v>
      </c>
      <c r="F1508" s="60">
        <v>3</v>
      </c>
      <c r="G1508" s="60">
        <v>25</v>
      </c>
      <c r="H1508" s="62" t="s">
        <v>130</v>
      </c>
      <c r="I1508" s="60"/>
      <c r="L1508" s="62"/>
      <c r="M1508" s="60">
        <v>4</v>
      </c>
    </row>
    <row r="1509" spans="1:13" x14ac:dyDescent="0.25">
      <c r="A1509" s="60">
        <v>2025</v>
      </c>
      <c r="B1509" t="s">
        <v>149</v>
      </c>
      <c r="C1509" s="62" t="s">
        <v>161</v>
      </c>
      <c r="D1509" s="60">
        <v>2</v>
      </c>
      <c r="E1509" s="60">
        <v>10</v>
      </c>
      <c r="F1509" s="60">
        <v>3</v>
      </c>
      <c r="G1509" s="60">
        <v>18</v>
      </c>
      <c r="H1509" s="62" t="s">
        <v>29</v>
      </c>
      <c r="I1509" s="60"/>
      <c r="L1509" s="62"/>
      <c r="M1509" s="60">
        <v>4</v>
      </c>
    </row>
    <row r="1510" spans="1:13" x14ac:dyDescent="0.25">
      <c r="A1510" s="60">
        <v>2025</v>
      </c>
      <c r="B1510" t="s">
        <v>149</v>
      </c>
      <c r="C1510" s="62" t="s">
        <v>161</v>
      </c>
      <c r="D1510" s="60">
        <v>2</v>
      </c>
      <c r="E1510" s="60">
        <v>11</v>
      </c>
      <c r="F1510" s="60">
        <v>3</v>
      </c>
      <c r="G1510" s="60">
        <v>49</v>
      </c>
      <c r="H1510" s="62" t="s">
        <v>151</v>
      </c>
      <c r="I1510" s="60"/>
      <c r="M1510" s="60">
        <v>1</v>
      </c>
    </row>
    <row r="1511" spans="1:13" x14ac:dyDescent="0.25">
      <c r="A1511" s="60">
        <v>2025</v>
      </c>
      <c r="B1511" t="s">
        <v>149</v>
      </c>
      <c r="C1511" s="62" t="s">
        <v>161</v>
      </c>
      <c r="D1511" s="60">
        <v>2</v>
      </c>
      <c r="E1511" s="60">
        <v>12</v>
      </c>
      <c r="F1511" s="60">
        <v>3</v>
      </c>
      <c r="G1511" s="60">
        <v>38</v>
      </c>
      <c r="H1511" s="62" t="s">
        <v>23</v>
      </c>
      <c r="I1511" s="60"/>
      <c r="L1511" s="62"/>
      <c r="M1511" s="60">
        <v>2</v>
      </c>
    </row>
    <row r="1512" spans="1:13" x14ac:dyDescent="0.25">
      <c r="A1512" s="60">
        <v>2025</v>
      </c>
      <c r="B1512" t="s">
        <v>149</v>
      </c>
      <c r="C1512" s="62" t="s">
        <v>161</v>
      </c>
      <c r="D1512" s="60">
        <v>2</v>
      </c>
      <c r="E1512" s="60">
        <v>13</v>
      </c>
      <c r="F1512" s="60">
        <v>3</v>
      </c>
      <c r="G1512" s="60">
        <v>11</v>
      </c>
      <c r="H1512" s="62" t="s">
        <v>90</v>
      </c>
      <c r="I1512" s="60"/>
      <c r="L1512" s="62"/>
      <c r="M1512" s="60">
        <v>4</v>
      </c>
    </row>
    <row r="1513" spans="1:13" x14ac:dyDescent="0.25">
      <c r="A1513" s="60">
        <v>2025</v>
      </c>
      <c r="B1513" t="s">
        <v>149</v>
      </c>
      <c r="C1513" s="62" t="s">
        <v>161</v>
      </c>
      <c r="D1513" s="60">
        <v>2</v>
      </c>
      <c r="E1513" s="60">
        <v>14</v>
      </c>
      <c r="F1513" s="60">
        <v>3</v>
      </c>
      <c r="G1513" s="60">
        <v>13</v>
      </c>
      <c r="H1513" s="62" t="s">
        <v>93</v>
      </c>
      <c r="I1513" s="60"/>
      <c r="L1513" s="62"/>
      <c r="M1513" s="60">
        <v>1</v>
      </c>
    </row>
    <row r="1514" spans="1:13" x14ac:dyDescent="0.25">
      <c r="A1514" s="60">
        <v>2025</v>
      </c>
      <c r="B1514" t="s">
        <v>149</v>
      </c>
      <c r="C1514" s="62" t="s">
        <v>161</v>
      </c>
      <c r="D1514" s="60">
        <v>2</v>
      </c>
      <c r="E1514" s="60">
        <v>15</v>
      </c>
      <c r="F1514" s="60">
        <v>3</v>
      </c>
      <c r="G1514" s="60">
        <v>19</v>
      </c>
      <c r="H1514" s="62" t="s">
        <v>157</v>
      </c>
      <c r="I1514" s="60"/>
      <c r="M1514" s="60">
        <v>3</v>
      </c>
    </row>
    <row r="1515" spans="1:13" x14ac:dyDescent="0.25">
      <c r="A1515" s="60">
        <v>2025</v>
      </c>
      <c r="B1515" t="s">
        <v>149</v>
      </c>
      <c r="C1515" s="62" t="s">
        <v>161</v>
      </c>
      <c r="D1515" s="60">
        <v>2</v>
      </c>
      <c r="E1515" s="60">
        <v>16</v>
      </c>
      <c r="F1515" s="60">
        <v>3</v>
      </c>
      <c r="G1515" s="60">
        <v>37</v>
      </c>
      <c r="H1515" s="62" t="s">
        <v>89</v>
      </c>
      <c r="I1515" s="60"/>
      <c r="M1515" s="60">
        <v>4</v>
      </c>
    </row>
    <row r="1516" spans="1:13" x14ac:dyDescent="0.25">
      <c r="A1516" s="60">
        <v>2025</v>
      </c>
      <c r="B1516" t="s">
        <v>149</v>
      </c>
      <c r="C1516" s="62" t="s">
        <v>161</v>
      </c>
      <c r="D1516" s="60">
        <v>2</v>
      </c>
      <c r="E1516" s="60">
        <v>17</v>
      </c>
      <c r="F1516" s="60">
        <v>3</v>
      </c>
      <c r="G1516" s="60">
        <v>14</v>
      </c>
      <c r="H1516" s="62" t="s">
        <v>30</v>
      </c>
      <c r="I1516" s="60"/>
      <c r="L1516" s="62"/>
      <c r="M1516" s="60">
        <v>5</v>
      </c>
    </row>
    <row r="1517" spans="1:13" x14ac:dyDescent="0.25">
      <c r="A1517" s="60">
        <v>2025</v>
      </c>
      <c r="B1517" t="s">
        <v>149</v>
      </c>
      <c r="C1517" s="62" t="s">
        <v>161</v>
      </c>
      <c r="D1517" s="60">
        <v>2</v>
      </c>
      <c r="E1517" s="60">
        <v>18</v>
      </c>
      <c r="F1517" s="60">
        <v>3</v>
      </c>
      <c r="G1517" s="60">
        <v>35</v>
      </c>
      <c r="H1517" s="62" t="s">
        <v>129</v>
      </c>
      <c r="I1517" s="60"/>
      <c r="L1517" s="62"/>
      <c r="M1517" s="60">
        <v>5</v>
      </c>
    </row>
    <row r="1518" spans="1:13" x14ac:dyDescent="0.25">
      <c r="A1518" s="60">
        <v>2025</v>
      </c>
      <c r="B1518" t="s">
        <v>149</v>
      </c>
      <c r="C1518" s="62" t="s">
        <v>161</v>
      </c>
      <c r="D1518" s="60">
        <v>2</v>
      </c>
      <c r="E1518" s="60">
        <v>19</v>
      </c>
      <c r="F1518" s="60">
        <v>3</v>
      </c>
      <c r="G1518" s="60">
        <v>42</v>
      </c>
      <c r="H1518" s="62" t="s">
        <v>34</v>
      </c>
      <c r="I1518" s="60"/>
      <c r="L1518" s="62"/>
      <c r="M1518" s="60">
        <v>5</v>
      </c>
    </row>
    <row r="1519" spans="1:13" x14ac:dyDescent="0.25">
      <c r="A1519" s="60">
        <v>2025</v>
      </c>
      <c r="B1519" t="s">
        <v>149</v>
      </c>
      <c r="C1519" s="62" t="s">
        <v>161</v>
      </c>
      <c r="D1519" s="60">
        <v>2</v>
      </c>
      <c r="E1519" s="60">
        <v>20</v>
      </c>
      <c r="F1519" s="60">
        <v>3</v>
      </c>
      <c r="G1519" s="60">
        <v>41</v>
      </c>
      <c r="H1519" s="62" t="s">
        <v>124</v>
      </c>
      <c r="I1519" s="60"/>
      <c r="M1519" s="60">
        <v>6</v>
      </c>
    </row>
    <row r="1520" spans="1:13" x14ac:dyDescent="0.25">
      <c r="A1520" s="60">
        <v>2025</v>
      </c>
      <c r="B1520" t="s">
        <v>149</v>
      </c>
      <c r="C1520" s="62" t="s">
        <v>161</v>
      </c>
      <c r="D1520" s="60">
        <v>2</v>
      </c>
      <c r="E1520" s="60">
        <v>21</v>
      </c>
      <c r="F1520" s="60">
        <v>3</v>
      </c>
      <c r="G1520" s="60">
        <v>23</v>
      </c>
      <c r="H1520" s="62" t="s">
        <v>37</v>
      </c>
      <c r="I1520" s="60"/>
      <c r="L1520" s="62"/>
      <c r="M1520" s="60">
        <v>4</v>
      </c>
    </row>
    <row r="1521" spans="1:13" x14ac:dyDescent="0.25">
      <c r="A1521" s="60">
        <v>2025</v>
      </c>
      <c r="B1521" t="s">
        <v>149</v>
      </c>
      <c r="C1521" s="62" t="s">
        <v>161</v>
      </c>
      <c r="D1521" s="60">
        <v>2</v>
      </c>
      <c r="E1521" s="60">
        <v>22</v>
      </c>
      <c r="F1521" s="60">
        <v>3</v>
      </c>
      <c r="G1521" s="60">
        <v>30</v>
      </c>
      <c r="H1521" s="62" t="s">
        <v>21</v>
      </c>
      <c r="I1521" s="60"/>
      <c r="L1521" s="62"/>
      <c r="M1521" s="60">
        <v>2</v>
      </c>
    </row>
    <row r="1522" spans="1:13" x14ac:dyDescent="0.25">
      <c r="A1522" s="60">
        <v>2025</v>
      </c>
      <c r="B1522" t="s">
        <v>149</v>
      </c>
      <c r="C1522" s="62" t="s">
        <v>161</v>
      </c>
      <c r="D1522" s="60">
        <v>2</v>
      </c>
      <c r="E1522" s="60">
        <v>23</v>
      </c>
      <c r="F1522" s="60">
        <v>3</v>
      </c>
      <c r="G1522" s="60">
        <v>8</v>
      </c>
      <c r="H1522" s="62" t="s">
        <v>118</v>
      </c>
      <c r="I1522" s="60"/>
      <c r="L1522" s="62"/>
      <c r="M1522" s="60">
        <v>2</v>
      </c>
    </row>
    <row r="1523" spans="1:13" x14ac:dyDescent="0.25">
      <c r="A1523" s="60">
        <v>2025</v>
      </c>
      <c r="B1523" t="s">
        <v>149</v>
      </c>
      <c r="C1523" s="62" t="s">
        <v>161</v>
      </c>
      <c r="D1523" s="60">
        <v>2</v>
      </c>
      <c r="E1523" s="60">
        <v>24</v>
      </c>
      <c r="F1523" s="60">
        <v>3</v>
      </c>
      <c r="G1523" s="60">
        <v>6</v>
      </c>
      <c r="H1523" s="62" t="s">
        <v>119</v>
      </c>
      <c r="I1523" s="60"/>
      <c r="L1523" s="62"/>
      <c r="M1523" s="60">
        <v>1</v>
      </c>
    </row>
    <row r="1524" spans="1:13" x14ac:dyDescent="0.25">
      <c r="A1524" s="60">
        <v>2025</v>
      </c>
      <c r="B1524" t="s">
        <v>149</v>
      </c>
      <c r="C1524" s="62" t="s">
        <v>161</v>
      </c>
      <c r="D1524" s="60">
        <v>2</v>
      </c>
      <c r="E1524" s="60">
        <v>25</v>
      </c>
      <c r="F1524" s="60">
        <v>3</v>
      </c>
      <c r="G1524" s="60">
        <v>21</v>
      </c>
      <c r="H1524" s="62" t="s">
        <v>26</v>
      </c>
      <c r="I1524" s="60"/>
      <c r="L1524" s="62"/>
      <c r="M1524" s="60">
        <v>4</v>
      </c>
    </row>
    <row r="1525" spans="1:13" x14ac:dyDescent="0.25">
      <c r="A1525" s="60">
        <v>2025</v>
      </c>
      <c r="B1525" t="s">
        <v>149</v>
      </c>
      <c r="C1525" s="62" t="s">
        <v>161</v>
      </c>
      <c r="D1525" s="60">
        <v>2</v>
      </c>
      <c r="E1525" s="60">
        <v>26</v>
      </c>
      <c r="F1525" s="60">
        <v>3</v>
      </c>
      <c r="G1525" s="60">
        <v>20</v>
      </c>
      <c r="H1525" s="62" t="s">
        <v>24</v>
      </c>
      <c r="I1525" s="60"/>
      <c r="L1525" s="62"/>
      <c r="M1525" s="60">
        <v>6</v>
      </c>
    </row>
    <row r="1526" spans="1:13" x14ac:dyDescent="0.25">
      <c r="A1526" s="60">
        <v>2025</v>
      </c>
      <c r="B1526" t="s">
        <v>149</v>
      </c>
      <c r="C1526" s="62" t="s">
        <v>161</v>
      </c>
      <c r="D1526" s="60">
        <v>2</v>
      </c>
      <c r="E1526" s="60">
        <v>26</v>
      </c>
      <c r="F1526" s="60">
        <v>4</v>
      </c>
      <c r="G1526" s="60">
        <v>36</v>
      </c>
      <c r="H1526" s="62" t="s">
        <v>45</v>
      </c>
      <c r="I1526" s="60"/>
      <c r="L1526" s="62"/>
      <c r="M1526" s="60">
        <v>2</v>
      </c>
    </row>
    <row r="1527" spans="1:13" x14ac:dyDescent="0.25">
      <c r="A1527" s="60">
        <v>2025</v>
      </c>
      <c r="B1527" t="s">
        <v>149</v>
      </c>
      <c r="C1527" s="62" t="s">
        <v>161</v>
      </c>
      <c r="D1527" s="60">
        <v>2</v>
      </c>
      <c r="E1527" s="60">
        <v>25</v>
      </c>
      <c r="F1527" s="60">
        <v>4</v>
      </c>
      <c r="G1527" s="60">
        <v>46</v>
      </c>
      <c r="H1527" s="62" t="s">
        <v>127</v>
      </c>
      <c r="I1527" s="60"/>
      <c r="M1527" s="60">
        <v>4</v>
      </c>
    </row>
    <row r="1528" spans="1:13" x14ac:dyDescent="0.25">
      <c r="A1528" s="60">
        <v>2025</v>
      </c>
      <c r="B1528" t="s">
        <v>149</v>
      </c>
      <c r="C1528" s="62" t="s">
        <v>161</v>
      </c>
      <c r="D1528" s="60">
        <v>2</v>
      </c>
      <c r="E1528" s="60">
        <v>24</v>
      </c>
      <c r="F1528" s="60">
        <v>4</v>
      </c>
      <c r="G1528" s="60">
        <v>12</v>
      </c>
      <c r="H1528" s="62" t="s">
        <v>92</v>
      </c>
      <c r="I1528" s="60"/>
      <c r="L1528" s="62"/>
      <c r="M1528" s="60">
        <v>2</v>
      </c>
    </row>
    <row r="1529" spans="1:13" x14ac:dyDescent="0.25">
      <c r="A1529" s="60">
        <v>2025</v>
      </c>
      <c r="B1529" t="s">
        <v>149</v>
      </c>
      <c r="C1529" s="62" t="s">
        <v>161</v>
      </c>
      <c r="D1529" s="60">
        <v>2</v>
      </c>
      <c r="E1529" s="60">
        <v>23</v>
      </c>
      <c r="F1529" s="60">
        <v>4</v>
      </c>
      <c r="G1529" s="60">
        <v>7</v>
      </c>
      <c r="H1529" s="62" t="s">
        <v>150</v>
      </c>
      <c r="I1529" s="60"/>
      <c r="L1529" s="62"/>
      <c r="M1529" s="60">
        <v>2</v>
      </c>
    </row>
    <row r="1530" spans="1:13" x14ac:dyDescent="0.25">
      <c r="A1530" s="60">
        <v>2025</v>
      </c>
      <c r="B1530" t="s">
        <v>149</v>
      </c>
      <c r="C1530" s="62" t="s">
        <v>161</v>
      </c>
      <c r="D1530" s="60">
        <v>2</v>
      </c>
      <c r="E1530" s="60">
        <v>22</v>
      </c>
      <c r="F1530" s="60">
        <v>4</v>
      </c>
      <c r="G1530" s="60">
        <v>10</v>
      </c>
      <c r="H1530" s="62" t="s">
        <v>91</v>
      </c>
      <c r="I1530" s="60"/>
      <c r="L1530" s="62"/>
      <c r="M1530" s="60">
        <v>3</v>
      </c>
    </row>
    <row r="1531" spans="1:13" x14ac:dyDescent="0.25">
      <c r="A1531" s="60">
        <v>2025</v>
      </c>
      <c r="B1531" t="s">
        <v>149</v>
      </c>
      <c r="C1531" s="62" t="s">
        <v>161</v>
      </c>
      <c r="D1531" s="60">
        <v>2</v>
      </c>
      <c r="E1531" s="60">
        <v>21</v>
      </c>
      <c r="F1531" s="60">
        <v>4</v>
      </c>
      <c r="G1531" s="60">
        <v>44</v>
      </c>
      <c r="H1531" s="62" t="s">
        <v>123</v>
      </c>
      <c r="I1531" s="60"/>
      <c r="L1531" s="62"/>
      <c r="M1531" s="60">
        <v>5</v>
      </c>
    </row>
    <row r="1532" spans="1:13" x14ac:dyDescent="0.25">
      <c r="A1532" s="60">
        <v>2025</v>
      </c>
      <c r="B1532" t="s">
        <v>149</v>
      </c>
      <c r="C1532" s="62" t="s">
        <v>161</v>
      </c>
      <c r="D1532" s="60">
        <v>2</v>
      </c>
      <c r="E1532" s="60">
        <v>20</v>
      </c>
      <c r="F1532" s="60">
        <v>4</v>
      </c>
      <c r="G1532" s="60">
        <v>5</v>
      </c>
      <c r="H1532" s="62" t="s">
        <v>128</v>
      </c>
      <c r="I1532" s="60"/>
      <c r="L1532" s="62"/>
      <c r="M1532" s="60">
        <v>2</v>
      </c>
    </row>
    <row r="1533" spans="1:13" x14ac:dyDescent="0.25">
      <c r="A1533" s="60">
        <v>2025</v>
      </c>
      <c r="B1533" t="s">
        <v>149</v>
      </c>
      <c r="C1533" s="62" t="s">
        <v>161</v>
      </c>
      <c r="D1533" s="60">
        <v>2</v>
      </c>
      <c r="E1533" s="60">
        <v>19</v>
      </c>
      <c r="F1533" s="60">
        <v>4</v>
      </c>
      <c r="G1533" s="60">
        <v>26</v>
      </c>
      <c r="H1533" s="62" t="s">
        <v>44</v>
      </c>
      <c r="I1533" s="60"/>
      <c r="L1533" s="62"/>
      <c r="M1533" s="60">
        <v>4</v>
      </c>
    </row>
    <row r="1534" spans="1:13" x14ac:dyDescent="0.25">
      <c r="A1534" s="60">
        <v>2025</v>
      </c>
      <c r="B1534" t="s">
        <v>149</v>
      </c>
      <c r="C1534" s="62" t="s">
        <v>161</v>
      </c>
      <c r="D1534" s="60">
        <v>2</v>
      </c>
      <c r="E1534" s="60">
        <v>18</v>
      </c>
      <c r="F1534" s="60">
        <v>4</v>
      </c>
      <c r="G1534" s="60">
        <v>33</v>
      </c>
      <c r="H1534" s="62" t="s">
        <v>41</v>
      </c>
      <c r="I1534" s="60"/>
      <c r="L1534" s="62"/>
      <c r="M1534" s="60">
        <v>4</v>
      </c>
    </row>
    <row r="1535" spans="1:13" x14ac:dyDescent="0.25">
      <c r="A1535" s="60">
        <v>2025</v>
      </c>
      <c r="B1535" t="s">
        <v>149</v>
      </c>
      <c r="C1535" s="62" t="s">
        <v>161</v>
      </c>
      <c r="D1535" s="60">
        <v>2</v>
      </c>
      <c r="E1535" s="60">
        <v>17</v>
      </c>
      <c r="F1535" s="60">
        <v>4</v>
      </c>
      <c r="G1535" s="60">
        <v>43</v>
      </c>
      <c r="H1535" s="62" t="s">
        <v>125</v>
      </c>
      <c r="I1535" s="60"/>
      <c r="L1535" s="62"/>
      <c r="M1535" s="60">
        <v>3</v>
      </c>
    </row>
    <row r="1536" spans="1:13" x14ac:dyDescent="0.25">
      <c r="A1536" s="60">
        <v>2025</v>
      </c>
      <c r="B1536" t="s">
        <v>149</v>
      </c>
      <c r="C1536" s="62" t="s">
        <v>161</v>
      </c>
      <c r="D1536" s="60">
        <v>2</v>
      </c>
      <c r="E1536" s="60">
        <v>16</v>
      </c>
      <c r="F1536" s="60">
        <v>4</v>
      </c>
      <c r="G1536" s="60">
        <v>29</v>
      </c>
      <c r="H1536" s="62" t="s">
        <v>27</v>
      </c>
      <c r="I1536" s="60"/>
      <c r="L1536" s="62"/>
      <c r="M1536" s="60">
        <v>3</v>
      </c>
    </row>
    <row r="1537" spans="1:13" x14ac:dyDescent="0.25">
      <c r="A1537" s="60">
        <v>2025</v>
      </c>
      <c r="B1537" t="s">
        <v>149</v>
      </c>
      <c r="C1537" s="62" t="s">
        <v>161</v>
      </c>
      <c r="D1537" s="60">
        <v>2</v>
      </c>
      <c r="E1537" s="60">
        <v>15</v>
      </c>
      <c r="F1537" s="60">
        <v>4</v>
      </c>
      <c r="G1537" s="60">
        <v>1</v>
      </c>
      <c r="H1537" s="62" t="s">
        <v>120</v>
      </c>
      <c r="I1537" s="60"/>
      <c r="L1537" s="62"/>
      <c r="M1537" s="60">
        <v>3</v>
      </c>
    </row>
    <row r="1538" spans="1:13" x14ac:dyDescent="0.25">
      <c r="A1538" s="60">
        <v>2025</v>
      </c>
      <c r="B1538" t="s">
        <v>149</v>
      </c>
      <c r="C1538" s="62" t="s">
        <v>161</v>
      </c>
      <c r="D1538" s="60">
        <v>2</v>
      </c>
      <c r="E1538" s="60">
        <v>14</v>
      </c>
      <c r="F1538" s="60">
        <v>4</v>
      </c>
      <c r="G1538" s="60">
        <v>47</v>
      </c>
      <c r="H1538" s="62" t="s">
        <v>153</v>
      </c>
      <c r="I1538" s="60"/>
      <c r="M1538" s="60">
        <v>3</v>
      </c>
    </row>
    <row r="1539" spans="1:13" x14ac:dyDescent="0.25">
      <c r="A1539" s="60">
        <v>2025</v>
      </c>
      <c r="B1539" t="s">
        <v>149</v>
      </c>
      <c r="C1539" s="62" t="s">
        <v>161</v>
      </c>
      <c r="D1539" s="60">
        <v>2</v>
      </c>
      <c r="E1539" s="60">
        <v>13</v>
      </c>
      <c r="F1539" s="60">
        <v>4</v>
      </c>
      <c r="G1539" s="60">
        <v>22</v>
      </c>
      <c r="H1539" s="62" t="s">
        <v>28</v>
      </c>
      <c r="I1539" s="60"/>
      <c r="L1539" s="62"/>
      <c r="M1539" s="60">
        <v>4</v>
      </c>
    </row>
    <row r="1540" spans="1:13" x14ac:dyDescent="0.25">
      <c r="A1540" s="60">
        <v>2025</v>
      </c>
      <c r="B1540" t="s">
        <v>149</v>
      </c>
      <c r="C1540" s="62" t="s">
        <v>161</v>
      </c>
      <c r="D1540" s="60">
        <v>2</v>
      </c>
      <c r="E1540" s="60">
        <v>12</v>
      </c>
      <c r="F1540" s="60">
        <v>4</v>
      </c>
      <c r="G1540" s="60">
        <v>28</v>
      </c>
      <c r="H1540" s="62" t="s">
        <v>38</v>
      </c>
      <c r="I1540" s="60"/>
      <c r="L1540" s="62"/>
      <c r="M1540" s="60">
        <v>3</v>
      </c>
    </row>
    <row r="1541" spans="1:13" x14ac:dyDescent="0.25">
      <c r="A1541" s="60">
        <v>2025</v>
      </c>
      <c r="B1541" t="s">
        <v>149</v>
      </c>
      <c r="C1541" s="62" t="s">
        <v>161</v>
      </c>
      <c r="D1541" s="60">
        <v>2</v>
      </c>
      <c r="E1541" s="60">
        <v>11</v>
      </c>
      <c r="F1541" s="60">
        <v>4</v>
      </c>
      <c r="G1541" s="60">
        <v>9</v>
      </c>
      <c r="H1541" s="62" t="s">
        <v>94</v>
      </c>
      <c r="I1541" s="60"/>
      <c r="L1541" s="62"/>
      <c r="M1541" s="60">
        <v>3</v>
      </c>
    </row>
    <row r="1542" spans="1:13" x14ac:dyDescent="0.25">
      <c r="A1542" s="60">
        <v>2025</v>
      </c>
      <c r="B1542" t="s">
        <v>149</v>
      </c>
      <c r="C1542" s="62" t="s">
        <v>161</v>
      </c>
      <c r="D1542" s="60">
        <v>2</v>
      </c>
      <c r="E1542" s="60">
        <v>10</v>
      </c>
      <c r="F1542" s="60">
        <v>4</v>
      </c>
      <c r="G1542" s="60">
        <v>27</v>
      </c>
      <c r="H1542" s="62" t="s">
        <v>35</v>
      </c>
      <c r="I1542" s="60"/>
      <c r="L1542" s="62"/>
      <c r="M1542" s="60">
        <v>2</v>
      </c>
    </row>
    <row r="1543" spans="1:13" x14ac:dyDescent="0.25">
      <c r="A1543" s="60">
        <v>2025</v>
      </c>
      <c r="B1543" t="s">
        <v>149</v>
      </c>
      <c r="C1543" s="62" t="s">
        <v>161</v>
      </c>
      <c r="D1543" s="60">
        <v>2</v>
      </c>
      <c r="E1543" s="60">
        <v>9</v>
      </c>
      <c r="F1543" s="60">
        <v>4</v>
      </c>
      <c r="G1543" s="60">
        <v>2</v>
      </c>
      <c r="H1543" s="62" t="s">
        <v>126</v>
      </c>
      <c r="I1543" s="60"/>
      <c r="L1543" s="62"/>
      <c r="M1543" s="60">
        <v>4</v>
      </c>
    </row>
    <row r="1544" spans="1:13" x14ac:dyDescent="0.25">
      <c r="A1544" s="60">
        <v>2025</v>
      </c>
      <c r="B1544" t="s">
        <v>149</v>
      </c>
      <c r="C1544" s="62" t="s">
        <v>161</v>
      </c>
      <c r="D1544" s="60">
        <v>2</v>
      </c>
      <c r="E1544" s="60">
        <v>8</v>
      </c>
      <c r="F1544" s="60">
        <v>4</v>
      </c>
      <c r="G1544" s="60">
        <v>60</v>
      </c>
      <c r="H1544" s="62" t="s">
        <v>154</v>
      </c>
      <c r="I1544" s="60"/>
      <c r="M1544" s="60">
        <v>2</v>
      </c>
    </row>
    <row r="1545" spans="1:13" x14ac:dyDescent="0.25">
      <c r="A1545" s="60">
        <v>2025</v>
      </c>
      <c r="B1545" t="s">
        <v>149</v>
      </c>
      <c r="C1545" s="62" t="s">
        <v>161</v>
      </c>
      <c r="D1545" s="60">
        <v>2</v>
      </c>
      <c r="E1545" s="60">
        <v>7</v>
      </c>
      <c r="F1545" s="60">
        <v>4</v>
      </c>
      <c r="G1545" s="60">
        <v>32</v>
      </c>
      <c r="H1545" s="62" t="s">
        <v>25</v>
      </c>
      <c r="I1545" s="60"/>
      <c r="L1545" s="62"/>
      <c r="M1545" s="60">
        <v>5</v>
      </c>
    </row>
    <row r="1546" spans="1:13" x14ac:dyDescent="0.25">
      <c r="A1546" s="60">
        <v>2025</v>
      </c>
      <c r="B1546" t="s">
        <v>149</v>
      </c>
      <c r="C1546" s="62" t="s">
        <v>161</v>
      </c>
      <c r="D1546" s="60">
        <v>2</v>
      </c>
      <c r="E1546" s="60">
        <v>6</v>
      </c>
      <c r="F1546" s="60">
        <v>4</v>
      </c>
      <c r="G1546" s="60">
        <v>58</v>
      </c>
      <c r="H1546" s="62" t="s">
        <v>103</v>
      </c>
      <c r="I1546" s="60"/>
      <c r="L1546" s="62"/>
      <c r="M1546" s="60">
        <v>6</v>
      </c>
    </row>
    <row r="1547" spans="1:13" x14ac:dyDescent="0.25">
      <c r="A1547" s="60">
        <v>2025</v>
      </c>
      <c r="B1547" t="s">
        <v>149</v>
      </c>
      <c r="C1547" s="62" t="s">
        <v>161</v>
      </c>
      <c r="D1547" s="60">
        <v>2</v>
      </c>
      <c r="E1547" s="60">
        <v>5</v>
      </c>
      <c r="F1547" s="60">
        <v>4</v>
      </c>
      <c r="G1547" s="60">
        <v>31</v>
      </c>
      <c r="H1547" s="62" t="s">
        <v>36</v>
      </c>
      <c r="I1547" s="60"/>
      <c r="L1547" s="62"/>
      <c r="M1547" s="60">
        <v>2</v>
      </c>
    </row>
    <row r="1548" spans="1:13" x14ac:dyDescent="0.25">
      <c r="A1548" s="60">
        <v>2025</v>
      </c>
      <c r="B1548" t="s">
        <v>149</v>
      </c>
      <c r="C1548" s="62" t="s">
        <v>161</v>
      </c>
      <c r="D1548" s="60">
        <v>2</v>
      </c>
      <c r="E1548" s="60">
        <v>4</v>
      </c>
      <c r="F1548" s="60">
        <v>4</v>
      </c>
      <c r="G1548" s="60">
        <v>40</v>
      </c>
      <c r="H1548" s="62" t="s">
        <v>121</v>
      </c>
      <c r="I1548" s="60"/>
      <c r="M1548" s="60">
        <v>3</v>
      </c>
    </row>
    <row r="1549" spans="1:13" x14ac:dyDescent="0.25">
      <c r="A1549" s="60">
        <v>2025</v>
      </c>
      <c r="B1549" t="s">
        <v>149</v>
      </c>
      <c r="C1549" s="62" t="s">
        <v>161</v>
      </c>
      <c r="D1549" s="60">
        <v>2</v>
      </c>
      <c r="E1549" s="60">
        <v>3</v>
      </c>
      <c r="F1549" s="60">
        <v>4</v>
      </c>
      <c r="G1549" s="60">
        <v>45</v>
      </c>
      <c r="H1549" s="62" t="s">
        <v>39</v>
      </c>
      <c r="I1549" s="60"/>
      <c r="L1549" s="62"/>
      <c r="M1549" s="60">
        <v>4</v>
      </c>
    </row>
    <row r="1550" spans="1:13" x14ac:dyDescent="0.25">
      <c r="A1550" s="60">
        <v>2025</v>
      </c>
      <c r="B1550" t="s">
        <v>149</v>
      </c>
      <c r="C1550" s="62" t="s">
        <v>161</v>
      </c>
      <c r="D1550" s="60">
        <v>2</v>
      </c>
      <c r="E1550" s="60">
        <v>2</v>
      </c>
      <c r="F1550" s="60">
        <v>4</v>
      </c>
      <c r="G1550" s="60">
        <v>48</v>
      </c>
      <c r="H1550" s="62" t="s">
        <v>152</v>
      </c>
      <c r="I1550" s="60"/>
      <c r="M1550" s="60">
        <v>1</v>
      </c>
    </row>
    <row r="1551" spans="1:13" x14ac:dyDescent="0.25">
      <c r="A1551" s="60">
        <v>2025</v>
      </c>
      <c r="B1551" t="s">
        <v>149</v>
      </c>
      <c r="C1551" s="62" t="s">
        <v>161</v>
      </c>
      <c r="D1551" s="60">
        <v>2</v>
      </c>
      <c r="E1551" s="60">
        <v>1</v>
      </c>
      <c r="F1551" s="60">
        <v>4</v>
      </c>
      <c r="G1551" s="60">
        <v>57</v>
      </c>
      <c r="H1551" s="62" t="s">
        <v>43</v>
      </c>
      <c r="I1551" s="60"/>
      <c r="L1551" s="62"/>
      <c r="M1551" s="60">
        <v>4</v>
      </c>
    </row>
    <row r="1552" spans="1:13" x14ac:dyDescent="0.25">
      <c r="A1552" s="60">
        <v>2025</v>
      </c>
      <c r="B1552" t="s">
        <v>149</v>
      </c>
      <c r="C1552" s="62" t="s">
        <v>161</v>
      </c>
      <c r="D1552" s="60">
        <v>3</v>
      </c>
      <c r="E1552" s="60">
        <v>1</v>
      </c>
      <c r="F1552" s="60">
        <v>5</v>
      </c>
      <c r="G1552" s="60">
        <v>23</v>
      </c>
      <c r="H1552" s="62" t="s">
        <v>37</v>
      </c>
      <c r="I1552" s="60"/>
      <c r="L1552" s="62"/>
      <c r="M1552" s="60">
        <v>5</v>
      </c>
    </row>
    <row r="1553" spans="1:13" x14ac:dyDescent="0.25">
      <c r="A1553" s="60">
        <v>2025</v>
      </c>
      <c r="B1553" t="s">
        <v>149</v>
      </c>
      <c r="C1553" s="62" t="s">
        <v>161</v>
      </c>
      <c r="D1553" s="60">
        <v>3</v>
      </c>
      <c r="E1553" s="60">
        <v>2</v>
      </c>
      <c r="F1553" s="60">
        <v>5</v>
      </c>
      <c r="G1553" s="60">
        <v>17</v>
      </c>
      <c r="H1553" s="62" t="s">
        <v>33</v>
      </c>
      <c r="I1553" s="60"/>
      <c r="L1553" s="62"/>
      <c r="M1553" s="60">
        <v>6</v>
      </c>
    </row>
    <row r="1554" spans="1:13" x14ac:dyDescent="0.25">
      <c r="A1554" s="60">
        <v>2025</v>
      </c>
      <c r="B1554" t="s">
        <v>149</v>
      </c>
      <c r="C1554" s="62" t="s">
        <v>161</v>
      </c>
      <c r="D1554" s="60">
        <v>3</v>
      </c>
      <c r="E1554" s="60">
        <v>3</v>
      </c>
      <c r="F1554" s="60">
        <v>5</v>
      </c>
      <c r="G1554" s="60">
        <v>20</v>
      </c>
      <c r="H1554" s="62" t="s">
        <v>24</v>
      </c>
      <c r="I1554" s="60"/>
      <c r="L1554" s="62"/>
      <c r="M1554" s="60">
        <v>5</v>
      </c>
    </row>
    <row r="1555" spans="1:13" x14ac:dyDescent="0.25">
      <c r="A1555" s="60">
        <v>2025</v>
      </c>
      <c r="B1555" t="s">
        <v>149</v>
      </c>
      <c r="C1555" s="62" t="s">
        <v>161</v>
      </c>
      <c r="D1555" s="60">
        <v>3</v>
      </c>
      <c r="E1555" s="60">
        <v>4</v>
      </c>
      <c r="F1555" s="60">
        <v>5</v>
      </c>
      <c r="G1555" s="60">
        <v>3</v>
      </c>
      <c r="H1555" s="62" t="s">
        <v>122</v>
      </c>
      <c r="I1555" s="60"/>
      <c r="L1555" s="62"/>
      <c r="M1555" s="60">
        <v>2</v>
      </c>
    </row>
    <row r="1556" spans="1:13" x14ac:dyDescent="0.25">
      <c r="A1556" s="60">
        <v>2025</v>
      </c>
      <c r="B1556" t="s">
        <v>149</v>
      </c>
      <c r="C1556" s="62" t="s">
        <v>161</v>
      </c>
      <c r="D1556" s="60">
        <v>3</v>
      </c>
      <c r="E1556" s="60">
        <v>5</v>
      </c>
      <c r="F1556" s="60">
        <v>5</v>
      </c>
      <c r="G1556" s="60">
        <v>21</v>
      </c>
      <c r="H1556" s="62" t="s">
        <v>26</v>
      </c>
      <c r="I1556" s="60"/>
      <c r="L1556" s="62"/>
      <c r="M1556" s="60">
        <v>3</v>
      </c>
    </row>
    <row r="1557" spans="1:13" x14ac:dyDescent="0.25">
      <c r="A1557" s="60">
        <v>2025</v>
      </c>
      <c r="B1557" t="s">
        <v>149</v>
      </c>
      <c r="C1557" s="62" t="s">
        <v>161</v>
      </c>
      <c r="D1557" s="60">
        <v>3</v>
      </c>
      <c r="E1557" s="60">
        <v>6</v>
      </c>
      <c r="F1557" s="60">
        <v>5</v>
      </c>
      <c r="G1557" s="60">
        <v>30</v>
      </c>
      <c r="H1557" s="62" t="s">
        <v>21</v>
      </c>
      <c r="I1557" s="60"/>
      <c r="L1557" s="62"/>
      <c r="M1557" s="60">
        <v>2</v>
      </c>
    </row>
    <row r="1558" spans="1:13" x14ac:dyDescent="0.25">
      <c r="A1558" s="60">
        <v>2025</v>
      </c>
      <c r="B1558" t="s">
        <v>149</v>
      </c>
      <c r="C1558" s="62" t="s">
        <v>161</v>
      </c>
      <c r="D1558" s="60">
        <v>3</v>
      </c>
      <c r="E1558" s="60">
        <v>7</v>
      </c>
      <c r="F1558" s="60">
        <v>5</v>
      </c>
      <c r="G1558" s="60">
        <v>28</v>
      </c>
      <c r="H1558" s="62" t="s">
        <v>38</v>
      </c>
      <c r="I1558" s="60"/>
      <c r="L1558" s="62"/>
      <c r="M1558" s="60">
        <v>5</v>
      </c>
    </row>
    <row r="1559" spans="1:13" x14ac:dyDescent="0.25">
      <c r="A1559" s="60">
        <v>2025</v>
      </c>
      <c r="B1559" t="s">
        <v>149</v>
      </c>
      <c r="C1559" s="62" t="s">
        <v>161</v>
      </c>
      <c r="D1559" s="60">
        <v>3</v>
      </c>
      <c r="E1559" s="60">
        <v>8</v>
      </c>
      <c r="F1559" s="60">
        <v>5</v>
      </c>
      <c r="G1559" s="60">
        <v>15</v>
      </c>
      <c r="H1559" s="62" t="s">
        <v>31</v>
      </c>
      <c r="I1559" s="60"/>
      <c r="L1559" s="62"/>
      <c r="M1559" s="60">
        <v>4</v>
      </c>
    </row>
    <row r="1560" spans="1:13" x14ac:dyDescent="0.25">
      <c r="A1560" s="60">
        <v>2025</v>
      </c>
      <c r="B1560" t="s">
        <v>149</v>
      </c>
      <c r="C1560" s="62" t="s">
        <v>161</v>
      </c>
      <c r="D1560" s="60">
        <v>3</v>
      </c>
      <c r="E1560" s="60">
        <v>9</v>
      </c>
      <c r="F1560" s="60">
        <v>5</v>
      </c>
      <c r="G1560" s="60">
        <v>45</v>
      </c>
      <c r="H1560" s="62" t="s">
        <v>39</v>
      </c>
      <c r="I1560" s="60"/>
      <c r="L1560" s="62"/>
      <c r="M1560" s="60">
        <v>5</v>
      </c>
    </row>
    <row r="1561" spans="1:13" x14ac:dyDescent="0.25">
      <c r="A1561" s="60">
        <v>2025</v>
      </c>
      <c r="B1561" t="s">
        <v>149</v>
      </c>
      <c r="C1561" s="62" t="s">
        <v>161</v>
      </c>
      <c r="D1561" s="60">
        <v>3</v>
      </c>
      <c r="E1561" s="60">
        <v>10</v>
      </c>
      <c r="F1561" s="60">
        <v>5</v>
      </c>
      <c r="G1561" s="60">
        <v>11</v>
      </c>
      <c r="H1561" s="62" t="s">
        <v>90</v>
      </c>
      <c r="I1561" s="60"/>
      <c r="L1561" s="62"/>
      <c r="M1561" s="60">
        <v>6</v>
      </c>
    </row>
    <row r="1562" spans="1:13" x14ac:dyDescent="0.25">
      <c r="A1562" s="60">
        <v>2025</v>
      </c>
      <c r="B1562" t="s">
        <v>149</v>
      </c>
      <c r="C1562" s="62" t="s">
        <v>161</v>
      </c>
      <c r="D1562" s="60">
        <v>3</v>
      </c>
      <c r="E1562" s="60">
        <v>11</v>
      </c>
      <c r="F1562" s="60">
        <v>5</v>
      </c>
      <c r="G1562" s="60">
        <v>37</v>
      </c>
      <c r="H1562" s="62" t="s">
        <v>89</v>
      </c>
      <c r="I1562" s="60"/>
      <c r="M1562" s="60">
        <v>5</v>
      </c>
    </row>
    <row r="1563" spans="1:13" x14ac:dyDescent="0.25">
      <c r="A1563" s="60">
        <v>2025</v>
      </c>
      <c r="B1563" t="s">
        <v>149</v>
      </c>
      <c r="C1563" s="62" t="s">
        <v>161</v>
      </c>
      <c r="D1563" s="60">
        <v>3</v>
      </c>
      <c r="E1563" s="60">
        <v>12</v>
      </c>
      <c r="F1563" s="60">
        <v>5</v>
      </c>
      <c r="G1563" s="60">
        <v>58</v>
      </c>
      <c r="H1563" s="62" t="s">
        <v>103</v>
      </c>
      <c r="I1563" s="60"/>
      <c r="L1563" s="62"/>
      <c r="M1563" s="60">
        <v>6</v>
      </c>
    </row>
    <row r="1564" spans="1:13" x14ac:dyDescent="0.25">
      <c r="A1564" s="60">
        <v>2025</v>
      </c>
      <c r="B1564" t="s">
        <v>149</v>
      </c>
      <c r="C1564" s="62" t="s">
        <v>161</v>
      </c>
      <c r="D1564" s="60">
        <v>3</v>
      </c>
      <c r="E1564" s="60">
        <v>13</v>
      </c>
      <c r="F1564" s="60">
        <v>5</v>
      </c>
      <c r="G1564" s="60">
        <v>13</v>
      </c>
      <c r="H1564" s="62" t="s">
        <v>93</v>
      </c>
      <c r="I1564" s="60"/>
      <c r="L1564" s="62"/>
      <c r="M1564" s="60">
        <v>3</v>
      </c>
    </row>
    <row r="1565" spans="1:13" x14ac:dyDescent="0.25">
      <c r="A1565" s="60">
        <v>2025</v>
      </c>
      <c r="B1565" t="s">
        <v>149</v>
      </c>
      <c r="C1565" s="62" t="s">
        <v>161</v>
      </c>
      <c r="D1565" s="60">
        <v>3</v>
      </c>
      <c r="E1565" s="60">
        <v>14</v>
      </c>
      <c r="F1565" s="60">
        <v>5</v>
      </c>
      <c r="G1565" s="60">
        <v>1</v>
      </c>
      <c r="H1565" s="62" t="s">
        <v>120</v>
      </c>
      <c r="I1565" s="60"/>
      <c r="L1565" s="62"/>
      <c r="M1565" s="60">
        <v>4</v>
      </c>
    </row>
    <row r="1566" spans="1:13" x14ac:dyDescent="0.25">
      <c r="A1566" s="60">
        <v>2025</v>
      </c>
      <c r="B1566" t="s">
        <v>149</v>
      </c>
      <c r="C1566" s="62" t="s">
        <v>161</v>
      </c>
      <c r="D1566" s="60">
        <v>3</v>
      </c>
      <c r="E1566" s="60">
        <v>15</v>
      </c>
      <c r="F1566" s="60">
        <v>5</v>
      </c>
      <c r="G1566" s="60">
        <v>48</v>
      </c>
      <c r="H1566" s="62" t="s">
        <v>152</v>
      </c>
      <c r="I1566" s="60"/>
      <c r="M1566" s="60">
        <v>2</v>
      </c>
    </row>
    <row r="1567" spans="1:13" x14ac:dyDescent="0.25">
      <c r="A1567" s="60">
        <v>2025</v>
      </c>
      <c r="B1567" t="s">
        <v>149</v>
      </c>
      <c r="C1567" s="62" t="s">
        <v>161</v>
      </c>
      <c r="D1567" s="60">
        <v>3</v>
      </c>
      <c r="E1567" s="60">
        <v>16</v>
      </c>
      <c r="F1567" s="60">
        <v>5</v>
      </c>
      <c r="G1567" s="60">
        <v>4</v>
      </c>
      <c r="H1567" s="62" t="s">
        <v>117</v>
      </c>
      <c r="I1567" s="60"/>
      <c r="L1567" s="62"/>
      <c r="M1567" s="60">
        <v>2</v>
      </c>
    </row>
    <row r="1568" spans="1:13" x14ac:dyDescent="0.25">
      <c r="A1568" s="60">
        <v>2025</v>
      </c>
      <c r="B1568" t="s">
        <v>149</v>
      </c>
      <c r="C1568" s="62" t="s">
        <v>161</v>
      </c>
      <c r="D1568" s="60">
        <v>3</v>
      </c>
      <c r="E1568" s="60">
        <v>17</v>
      </c>
      <c r="F1568" s="60">
        <v>5</v>
      </c>
      <c r="G1568" s="60">
        <v>18</v>
      </c>
      <c r="H1568" s="62" t="s">
        <v>29</v>
      </c>
      <c r="I1568" s="60"/>
      <c r="L1568" s="62"/>
      <c r="M1568" s="60">
        <v>6</v>
      </c>
    </row>
    <row r="1569" spans="1:13" x14ac:dyDescent="0.25">
      <c r="A1569" s="60">
        <v>2025</v>
      </c>
      <c r="B1569" t="s">
        <v>149</v>
      </c>
      <c r="C1569" s="62" t="s">
        <v>161</v>
      </c>
      <c r="D1569" s="60">
        <v>3</v>
      </c>
      <c r="E1569" s="60">
        <v>18</v>
      </c>
      <c r="F1569" s="60">
        <v>5</v>
      </c>
      <c r="G1569" s="60">
        <v>6</v>
      </c>
      <c r="H1569" s="62" t="s">
        <v>119</v>
      </c>
      <c r="I1569" s="60"/>
      <c r="L1569" s="62"/>
      <c r="M1569" s="60">
        <v>1</v>
      </c>
    </row>
    <row r="1570" spans="1:13" x14ac:dyDescent="0.25">
      <c r="A1570" s="60">
        <v>2025</v>
      </c>
      <c r="B1570" t="s">
        <v>149</v>
      </c>
      <c r="C1570" s="62" t="s">
        <v>161</v>
      </c>
      <c r="D1570" s="60">
        <v>3</v>
      </c>
      <c r="E1570" s="60">
        <v>19</v>
      </c>
      <c r="F1570" s="60">
        <v>5</v>
      </c>
      <c r="G1570" s="60">
        <v>35</v>
      </c>
      <c r="H1570" s="62" t="s">
        <v>129</v>
      </c>
      <c r="I1570" s="60"/>
      <c r="L1570" s="62"/>
      <c r="M1570" s="60">
        <v>3</v>
      </c>
    </row>
    <row r="1571" spans="1:13" x14ac:dyDescent="0.25">
      <c r="A1571" s="60">
        <v>2025</v>
      </c>
      <c r="B1571" t="s">
        <v>149</v>
      </c>
      <c r="C1571" s="62" t="s">
        <v>161</v>
      </c>
      <c r="D1571" s="60">
        <v>3</v>
      </c>
      <c r="E1571" s="60">
        <v>20</v>
      </c>
      <c r="F1571" s="60">
        <v>5</v>
      </c>
      <c r="G1571" s="60">
        <v>14</v>
      </c>
      <c r="H1571" s="62" t="s">
        <v>30</v>
      </c>
      <c r="I1571" s="60"/>
      <c r="L1571" s="62"/>
      <c r="M1571" s="60">
        <v>6</v>
      </c>
    </row>
    <row r="1572" spans="1:13" x14ac:dyDescent="0.25">
      <c r="A1572" s="60">
        <v>2025</v>
      </c>
      <c r="B1572" t="s">
        <v>149</v>
      </c>
      <c r="C1572" s="62" t="s">
        <v>161</v>
      </c>
      <c r="D1572" s="60">
        <v>3</v>
      </c>
      <c r="E1572" s="60">
        <v>21</v>
      </c>
      <c r="F1572" s="60">
        <v>5</v>
      </c>
      <c r="G1572" s="60">
        <v>26</v>
      </c>
      <c r="H1572" s="62" t="s">
        <v>44</v>
      </c>
      <c r="I1572" s="60"/>
      <c r="L1572" s="62"/>
      <c r="M1572" s="60">
        <v>7</v>
      </c>
    </row>
    <row r="1573" spans="1:13" x14ac:dyDescent="0.25">
      <c r="A1573" s="60">
        <v>2025</v>
      </c>
      <c r="B1573" t="s">
        <v>149</v>
      </c>
      <c r="C1573" s="62" t="s">
        <v>161</v>
      </c>
      <c r="D1573" s="60">
        <v>3</v>
      </c>
      <c r="E1573" s="60">
        <v>22</v>
      </c>
      <c r="F1573" s="60">
        <v>5</v>
      </c>
      <c r="G1573" s="60">
        <v>2</v>
      </c>
      <c r="H1573" s="62" t="s">
        <v>126</v>
      </c>
      <c r="I1573" s="60"/>
      <c r="L1573" s="62"/>
      <c r="M1573" s="60">
        <v>5</v>
      </c>
    </row>
    <row r="1574" spans="1:13" x14ac:dyDescent="0.25">
      <c r="A1574" s="60">
        <v>2025</v>
      </c>
      <c r="B1574" t="s">
        <v>149</v>
      </c>
      <c r="C1574" s="62" t="s">
        <v>161</v>
      </c>
      <c r="D1574" s="60">
        <v>3</v>
      </c>
      <c r="E1574" s="60">
        <v>23</v>
      </c>
      <c r="F1574" s="60">
        <v>5</v>
      </c>
      <c r="G1574" s="60">
        <v>10</v>
      </c>
      <c r="H1574" s="62" t="s">
        <v>91</v>
      </c>
      <c r="I1574" s="60"/>
      <c r="L1574" s="62"/>
      <c r="M1574" s="60">
        <v>4</v>
      </c>
    </row>
    <row r="1575" spans="1:13" x14ac:dyDescent="0.25">
      <c r="A1575" s="60">
        <v>2025</v>
      </c>
      <c r="B1575" t="s">
        <v>149</v>
      </c>
      <c r="C1575" s="62" t="s">
        <v>161</v>
      </c>
      <c r="D1575" s="60">
        <v>3</v>
      </c>
      <c r="E1575" s="60">
        <v>24</v>
      </c>
      <c r="F1575" s="60">
        <v>5</v>
      </c>
      <c r="G1575" s="60">
        <v>22</v>
      </c>
      <c r="H1575" s="62" t="s">
        <v>28</v>
      </c>
      <c r="I1575" s="60"/>
      <c r="L1575" s="62"/>
      <c r="M1575" s="60">
        <v>5</v>
      </c>
    </row>
    <row r="1576" spans="1:13" x14ac:dyDescent="0.25">
      <c r="A1576" s="60">
        <v>2025</v>
      </c>
      <c r="B1576" t="s">
        <v>149</v>
      </c>
      <c r="C1576" s="62" t="s">
        <v>161</v>
      </c>
      <c r="D1576" s="60">
        <v>3</v>
      </c>
      <c r="E1576" s="60">
        <v>25</v>
      </c>
      <c r="F1576" s="60">
        <v>5</v>
      </c>
      <c r="G1576" s="60">
        <v>29</v>
      </c>
      <c r="H1576" s="62" t="s">
        <v>27</v>
      </c>
      <c r="I1576" s="60"/>
      <c r="L1576" s="62"/>
      <c r="M1576" s="60">
        <v>5</v>
      </c>
    </row>
    <row r="1577" spans="1:13" x14ac:dyDescent="0.25">
      <c r="A1577" s="60">
        <v>2025</v>
      </c>
      <c r="B1577" t="s">
        <v>149</v>
      </c>
      <c r="C1577" s="62" t="s">
        <v>161</v>
      </c>
      <c r="D1577" s="60">
        <v>3</v>
      </c>
      <c r="E1577" s="60">
        <v>26</v>
      </c>
      <c r="F1577" s="60">
        <v>5</v>
      </c>
      <c r="G1577" s="60">
        <v>57</v>
      </c>
      <c r="H1577" s="62" t="s">
        <v>43</v>
      </c>
      <c r="I1577" s="60"/>
      <c r="L1577" s="62"/>
      <c r="M1577" s="60">
        <v>6</v>
      </c>
    </row>
    <row r="1578" spans="1:13" x14ac:dyDescent="0.25">
      <c r="A1578" s="60">
        <v>2025</v>
      </c>
      <c r="B1578" t="s">
        <v>149</v>
      </c>
      <c r="C1578" s="62" t="s">
        <v>161</v>
      </c>
      <c r="D1578" s="60">
        <v>3</v>
      </c>
      <c r="E1578" s="60">
        <v>26</v>
      </c>
      <c r="F1578" s="60">
        <v>6</v>
      </c>
      <c r="G1578" s="60">
        <v>41</v>
      </c>
      <c r="H1578" s="62" t="s">
        <v>124</v>
      </c>
      <c r="I1578" s="60"/>
      <c r="M1578" s="60">
        <v>5</v>
      </c>
    </row>
    <row r="1579" spans="1:13" x14ac:dyDescent="0.25">
      <c r="A1579" s="60">
        <v>2025</v>
      </c>
      <c r="B1579" t="s">
        <v>149</v>
      </c>
      <c r="C1579" s="62" t="s">
        <v>161</v>
      </c>
      <c r="D1579" s="60">
        <v>3</v>
      </c>
      <c r="E1579" s="60">
        <v>25</v>
      </c>
      <c r="F1579" s="60">
        <v>6</v>
      </c>
      <c r="G1579" s="60">
        <v>33</v>
      </c>
      <c r="H1579" s="62" t="s">
        <v>41</v>
      </c>
      <c r="I1579" s="60"/>
      <c r="L1579" s="62"/>
      <c r="M1579" s="60">
        <v>2</v>
      </c>
    </row>
    <row r="1580" spans="1:13" x14ac:dyDescent="0.25">
      <c r="A1580" s="60">
        <v>2025</v>
      </c>
      <c r="B1580" t="s">
        <v>149</v>
      </c>
      <c r="C1580" s="62" t="s">
        <v>161</v>
      </c>
      <c r="D1580" s="60">
        <v>3</v>
      </c>
      <c r="E1580" s="60">
        <v>24</v>
      </c>
      <c r="F1580" s="60">
        <v>6</v>
      </c>
      <c r="G1580" s="60">
        <v>43</v>
      </c>
      <c r="H1580" s="62" t="s">
        <v>125</v>
      </c>
      <c r="I1580" s="60"/>
      <c r="L1580" s="62"/>
      <c r="M1580" s="60">
        <v>4</v>
      </c>
    </row>
    <row r="1581" spans="1:13" x14ac:dyDescent="0.25">
      <c r="A1581" s="60">
        <v>2025</v>
      </c>
      <c r="B1581" t="s">
        <v>149</v>
      </c>
      <c r="C1581" s="62" t="s">
        <v>161</v>
      </c>
      <c r="D1581" s="60">
        <v>3</v>
      </c>
      <c r="E1581" s="60">
        <v>23</v>
      </c>
      <c r="F1581" s="60">
        <v>6</v>
      </c>
      <c r="G1581" s="60">
        <v>5</v>
      </c>
      <c r="H1581" s="62" t="s">
        <v>128</v>
      </c>
      <c r="I1581" s="60"/>
      <c r="L1581" s="62"/>
      <c r="M1581" s="60">
        <v>2</v>
      </c>
    </row>
    <row r="1582" spans="1:13" x14ac:dyDescent="0.25">
      <c r="A1582" s="60">
        <v>2025</v>
      </c>
      <c r="B1582" t="s">
        <v>149</v>
      </c>
      <c r="C1582" s="62" t="s">
        <v>161</v>
      </c>
      <c r="D1582" s="60">
        <v>3</v>
      </c>
      <c r="E1582" s="60">
        <v>22</v>
      </c>
      <c r="F1582" s="60">
        <v>6</v>
      </c>
      <c r="G1582" s="60">
        <v>40</v>
      </c>
      <c r="H1582" s="62" t="s">
        <v>121</v>
      </c>
      <c r="I1582" s="60"/>
      <c r="M1582" s="60">
        <v>3</v>
      </c>
    </row>
    <row r="1583" spans="1:13" x14ac:dyDescent="0.25">
      <c r="A1583" s="60">
        <v>2025</v>
      </c>
      <c r="B1583" t="s">
        <v>149</v>
      </c>
      <c r="C1583" s="62" t="s">
        <v>161</v>
      </c>
      <c r="D1583" s="60">
        <v>3</v>
      </c>
      <c r="E1583" s="60">
        <v>21</v>
      </c>
      <c r="F1583" s="60">
        <v>6</v>
      </c>
      <c r="G1583" s="60">
        <v>32</v>
      </c>
      <c r="H1583" s="62" t="s">
        <v>25</v>
      </c>
      <c r="I1583" s="60"/>
      <c r="L1583" s="62"/>
      <c r="M1583" s="60">
        <v>5</v>
      </c>
    </row>
    <row r="1584" spans="1:13" x14ac:dyDescent="0.25">
      <c r="A1584" s="60">
        <v>2025</v>
      </c>
      <c r="B1584" t="s">
        <v>149</v>
      </c>
      <c r="C1584" s="62" t="s">
        <v>161</v>
      </c>
      <c r="D1584" s="60">
        <v>3</v>
      </c>
      <c r="E1584" s="60">
        <v>20</v>
      </c>
      <c r="F1584" s="60">
        <v>6</v>
      </c>
      <c r="G1584" s="60">
        <v>9</v>
      </c>
      <c r="H1584" s="62" t="s">
        <v>94</v>
      </c>
      <c r="I1584" s="60"/>
      <c r="L1584" s="62"/>
      <c r="M1584" s="60">
        <v>2</v>
      </c>
    </row>
    <row r="1585" spans="1:13" x14ac:dyDescent="0.25">
      <c r="A1585" s="60">
        <v>2025</v>
      </c>
      <c r="B1585" t="s">
        <v>149</v>
      </c>
      <c r="C1585" s="62" t="s">
        <v>161</v>
      </c>
      <c r="D1585" s="60">
        <v>3</v>
      </c>
      <c r="E1585" s="60">
        <v>19</v>
      </c>
      <c r="F1585" s="60">
        <v>6</v>
      </c>
      <c r="G1585" s="60">
        <v>38</v>
      </c>
      <c r="H1585" s="62" t="s">
        <v>23</v>
      </c>
      <c r="I1585" s="60"/>
      <c r="L1585" s="62"/>
      <c r="M1585" s="60">
        <v>1</v>
      </c>
    </row>
    <row r="1586" spans="1:13" x14ac:dyDescent="0.25">
      <c r="A1586" s="60">
        <v>2025</v>
      </c>
      <c r="B1586" t="s">
        <v>149</v>
      </c>
      <c r="C1586" s="62" t="s">
        <v>161</v>
      </c>
      <c r="D1586" s="60">
        <v>3</v>
      </c>
      <c r="E1586" s="60">
        <v>18</v>
      </c>
      <c r="F1586" s="60">
        <v>6</v>
      </c>
      <c r="G1586" s="60">
        <v>60</v>
      </c>
      <c r="H1586" s="62" t="s">
        <v>154</v>
      </c>
      <c r="I1586" s="60"/>
      <c r="M1586" s="60">
        <v>1</v>
      </c>
    </row>
    <row r="1587" spans="1:13" x14ac:dyDescent="0.25">
      <c r="A1587" s="60">
        <v>2025</v>
      </c>
      <c r="B1587" t="s">
        <v>149</v>
      </c>
      <c r="C1587" s="62" t="s">
        <v>161</v>
      </c>
      <c r="D1587" s="60">
        <v>3</v>
      </c>
      <c r="E1587" s="60">
        <v>17</v>
      </c>
      <c r="F1587" s="60">
        <v>6</v>
      </c>
      <c r="G1587" s="60">
        <v>19</v>
      </c>
      <c r="H1587" s="62" t="s">
        <v>157</v>
      </c>
      <c r="I1587" s="60"/>
      <c r="M1587" s="60">
        <v>2</v>
      </c>
    </row>
    <row r="1588" spans="1:13" x14ac:dyDescent="0.25">
      <c r="A1588" s="60">
        <v>2025</v>
      </c>
      <c r="B1588" t="s">
        <v>149</v>
      </c>
      <c r="C1588" s="62" t="s">
        <v>161</v>
      </c>
      <c r="D1588" s="60">
        <v>3</v>
      </c>
      <c r="E1588" s="60">
        <v>16</v>
      </c>
      <c r="F1588" s="60">
        <v>6</v>
      </c>
      <c r="G1588" s="60">
        <v>27</v>
      </c>
      <c r="H1588" s="62" t="s">
        <v>35</v>
      </c>
      <c r="I1588" s="60"/>
      <c r="L1588" s="62"/>
      <c r="M1588" s="60">
        <v>5</v>
      </c>
    </row>
    <row r="1589" spans="1:13" x14ac:dyDescent="0.25">
      <c r="A1589" s="60">
        <v>2025</v>
      </c>
      <c r="B1589" t="s">
        <v>149</v>
      </c>
      <c r="C1589" s="62" t="s">
        <v>161</v>
      </c>
      <c r="D1589" s="60">
        <v>3</v>
      </c>
      <c r="E1589" s="60">
        <v>15</v>
      </c>
      <c r="F1589" s="60">
        <v>6</v>
      </c>
      <c r="G1589" s="60">
        <v>49</v>
      </c>
      <c r="H1589" s="62" t="s">
        <v>151</v>
      </c>
      <c r="I1589" s="60"/>
      <c r="M1589" s="60">
        <v>2</v>
      </c>
    </row>
    <row r="1590" spans="1:13" x14ac:dyDescent="0.25">
      <c r="A1590" s="60">
        <v>2025</v>
      </c>
      <c r="B1590" t="s">
        <v>149</v>
      </c>
      <c r="C1590" s="62" t="s">
        <v>161</v>
      </c>
      <c r="D1590" s="60">
        <v>3</v>
      </c>
      <c r="E1590" s="60">
        <v>14</v>
      </c>
      <c r="F1590" s="60">
        <v>6</v>
      </c>
      <c r="G1590" s="60">
        <v>42</v>
      </c>
      <c r="H1590" s="62" t="s">
        <v>34</v>
      </c>
      <c r="I1590" s="60"/>
      <c r="L1590" s="62"/>
      <c r="M1590" s="60">
        <v>5</v>
      </c>
    </row>
    <row r="1591" spans="1:13" x14ac:dyDescent="0.25">
      <c r="A1591" s="60">
        <v>2025</v>
      </c>
      <c r="B1591" t="s">
        <v>149</v>
      </c>
      <c r="C1591" s="62" t="s">
        <v>161</v>
      </c>
      <c r="D1591" s="60">
        <v>3</v>
      </c>
      <c r="E1591" s="60">
        <v>13</v>
      </c>
      <c r="F1591" s="60">
        <v>6</v>
      </c>
      <c r="G1591" s="60">
        <v>47</v>
      </c>
      <c r="H1591" s="62" t="s">
        <v>153</v>
      </c>
      <c r="I1591" s="60"/>
      <c r="M1591" s="60">
        <v>6</v>
      </c>
    </row>
    <row r="1592" spans="1:13" x14ac:dyDescent="0.25">
      <c r="A1592" s="60">
        <v>2025</v>
      </c>
      <c r="B1592" t="s">
        <v>149</v>
      </c>
      <c r="C1592" s="62" t="s">
        <v>161</v>
      </c>
      <c r="D1592" s="60">
        <v>3</v>
      </c>
      <c r="E1592" s="60">
        <v>12</v>
      </c>
      <c r="F1592" s="60">
        <v>6</v>
      </c>
      <c r="G1592" s="60">
        <v>12</v>
      </c>
      <c r="H1592" s="62" t="s">
        <v>92</v>
      </c>
      <c r="I1592" s="60"/>
      <c r="L1592" s="62"/>
      <c r="M1592" s="60">
        <v>2</v>
      </c>
    </row>
    <row r="1593" spans="1:13" x14ac:dyDescent="0.25">
      <c r="A1593" s="60">
        <v>2025</v>
      </c>
      <c r="B1593" t="s">
        <v>149</v>
      </c>
      <c r="C1593" s="62" t="s">
        <v>161</v>
      </c>
      <c r="D1593" s="60">
        <v>3</v>
      </c>
      <c r="E1593" s="60">
        <v>11</v>
      </c>
      <c r="F1593" s="60">
        <v>6</v>
      </c>
      <c r="G1593" s="60">
        <v>39</v>
      </c>
      <c r="H1593" s="62" t="s">
        <v>22</v>
      </c>
      <c r="I1593" s="60"/>
      <c r="L1593" s="62"/>
      <c r="M1593" s="60">
        <v>7</v>
      </c>
    </row>
    <row r="1594" spans="1:13" x14ac:dyDescent="0.25">
      <c r="A1594" s="60">
        <v>2025</v>
      </c>
      <c r="B1594" t="s">
        <v>149</v>
      </c>
      <c r="C1594" s="62" t="s">
        <v>161</v>
      </c>
      <c r="D1594" s="60">
        <v>3</v>
      </c>
      <c r="E1594" s="60">
        <v>10</v>
      </c>
      <c r="F1594" s="60">
        <v>6</v>
      </c>
      <c r="G1594" s="60">
        <v>7</v>
      </c>
      <c r="H1594" s="62" t="s">
        <v>150</v>
      </c>
      <c r="I1594" s="60"/>
      <c r="L1594" s="62"/>
      <c r="M1594" s="60">
        <v>1</v>
      </c>
    </row>
    <row r="1595" spans="1:13" x14ac:dyDescent="0.25">
      <c r="A1595" s="60">
        <v>2025</v>
      </c>
      <c r="B1595" t="s">
        <v>149</v>
      </c>
      <c r="C1595" s="62" t="s">
        <v>161</v>
      </c>
      <c r="D1595" s="60">
        <v>3</v>
      </c>
      <c r="E1595" s="60">
        <v>9</v>
      </c>
      <c r="F1595" s="60">
        <v>6</v>
      </c>
      <c r="G1595" s="60">
        <v>46</v>
      </c>
      <c r="H1595" s="62" t="s">
        <v>127</v>
      </c>
      <c r="I1595" s="60"/>
      <c r="M1595" s="60">
        <v>3</v>
      </c>
    </row>
    <row r="1596" spans="1:13" x14ac:dyDescent="0.25">
      <c r="A1596" s="60">
        <v>2025</v>
      </c>
      <c r="B1596" t="s">
        <v>149</v>
      </c>
      <c r="C1596" s="62" t="s">
        <v>161</v>
      </c>
      <c r="D1596" s="60">
        <v>3</v>
      </c>
      <c r="E1596" s="60">
        <v>8</v>
      </c>
      <c r="F1596" s="60">
        <v>6</v>
      </c>
      <c r="G1596" s="60">
        <v>36</v>
      </c>
      <c r="H1596" s="62" t="s">
        <v>45</v>
      </c>
      <c r="I1596" s="60"/>
      <c r="L1596" s="62"/>
      <c r="M1596" s="60">
        <v>2</v>
      </c>
    </row>
    <row r="1597" spans="1:13" x14ac:dyDescent="0.25">
      <c r="A1597" s="60">
        <v>2025</v>
      </c>
      <c r="B1597" t="s">
        <v>149</v>
      </c>
      <c r="C1597" s="62" t="s">
        <v>161</v>
      </c>
      <c r="D1597" s="60">
        <v>3</v>
      </c>
      <c r="E1597" s="60">
        <v>7</v>
      </c>
      <c r="F1597" s="60">
        <v>6</v>
      </c>
      <c r="G1597" s="60">
        <v>31</v>
      </c>
      <c r="H1597" s="62" t="s">
        <v>36</v>
      </c>
      <c r="I1597" s="60"/>
      <c r="L1597" s="62"/>
      <c r="M1597" s="60">
        <v>1</v>
      </c>
    </row>
    <row r="1598" spans="1:13" x14ac:dyDescent="0.25">
      <c r="A1598" s="60">
        <v>2025</v>
      </c>
      <c r="B1598" t="s">
        <v>149</v>
      </c>
      <c r="C1598" s="62" t="s">
        <v>161</v>
      </c>
      <c r="D1598" s="60">
        <v>3</v>
      </c>
      <c r="E1598" s="60">
        <v>6</v>
      </c>
      <c r="F1598" s="60">
        <v>6</v>
      </c>
      <c r="G1598" s="60">
        <v>8</v>
      </c>
      <c r="H1598" s="62" t="s">
        <v>118</v>
      </c>
      <c r="I1598" s="60"/>
      <c r="L1598" s="62"/>
      <c r="M1598" s="60">
        <v>2</v>
      </c>
    </row>
    <row r="1599" spans="1:13" x14ac:dyDescent="0.25">
      <c r="A1599" s="60">
        <v>2025</v>
      </c>
      <c r="B1599" t="s">
        <v>149</v>
      </c>
      <c r="C1599" s="62" t="s">
        <v>161</v>
      </c>
      <c r="D1599" s="60">
        <v>3</v>
      </c>
      <c r="E1599" s="60">
        <v>5</v>
      </c>
      <c r="F1599" s="60">
        <v>6</v>
      </c>
      <c r="G1599" s="60">
        <v>34</v>
      </c>
      <c r="H1599" s="62" t="s">
        <v>42</v>
      </c>
      <c r="I1599" s="60"/>
      <c r="L1599" s="62"/>
      <c r="M1599" s="60">
        <v>1</v>
      </c>
    </row>
    <row r="1600" spans="1:13" x14ac:dyDescent="0.25">
      <c r="A1600" s="60">
        <v>2025</v>
      </c>
      <c r="B1600" t="s">
        <v>149</v>
      </c>
      <c r="C1600" s="62" t="s">
        <v>161</v>
      </c>
      <c r="D1600" s="60">
        <v>3</v>
      </c>
      <c r="E1600" s="60">
        <v>4</v>
      </c>
      <c r="F1600" s="60">
        <v>6</v>
      </c>
      <c r="G1600" s="60">
        <v>24</v>
      </c>
      <c r="H1600" s="62" t="s">
        <v>40</v>
      </c>
      <c r="I1600" s="60"/>
      <c r="L1600" s="62"/>
      <c r="M1600" s="60">
        <v>4</v>
      </c>
    </row>
    <row r="1601" spans="1:13" x14ac:dyDescent="0.25">
      <c r="A1601" s="60">
        <v>2025</v>
      </c>
      <c r="B1601" t="s">
        <v>149</v>
      </c>
      <c r="C1601" s="62" t="s">
        <v>161</v>
      </c>
      <c r="D1601" s="60">
        <v>3</v>
      </c>
      <c r="E1601" s="60">
        <v>3</v>
      </c>
      <c r="F1601" s="60">
        <v>6</v>
      </c>
      <c r="G1601" s="60">
        <v>44</v>
      </c>
      <c r="H1601" s="62" t="s">
        <v>123</v>
      </c>
      <c r="I1601" s="60"/>
      <c r="L1601" s="62"/>
      <c r="M1601" s="60">
        <v>4</v>
      </c>
    </row>
    <row r="1602" spans="1:13" x14ac:dyDescent="0.25">
      <c r="A1602" s="60">
        <v>2025</v>
      </c>
      <c r="B1602" t="s">
        <v>149</v>
      </c>
      <c r="C1602" s="62" t="s">
        <v>161</v>
      </c>
      <c r="D1602" s="60">
        <v>3</v>
      </c>
      <c r="E1602" s="60">
        <v>2</v>
      </c>
      <c r="F1602" s="60">
        <v>6</v>
      </c>
      <c r="G1602" s="60">
        <v>16</v>
      </c>
      <c r="H1602" s="62" t="s">
        <v>32</v>
      </c>
      <c r="I1602" s="60"/>
      <c r="L1602" s="62"/>
      <c r="M1602" s="60">
        <v>5</v>
      </c>
    </row>
    <row r="1603" spans="1:13" x14ac:dyDescent="0.25">
      <c r="A1603" s="60">
        <v>2025</v>
      </c>
      <c r="B1603" t="s">
        <v>149</v>
      </c>
      <c r="C1603" s="62" t="s">
        <v>161</v>
      </c>
      <c r="D1603" s="60">
        <v>3</v>
      </c>
      <c r="E1603" s="60">
        <v>1</v>
      </c>
      <c r="F1603" s="60">
        <v>6</v>
      </c>
      <c r="G1603" s="60">
        <v>25</v>
      </c>
      <c r="H1603" s="62" t="s">
        <v>130</v>
      </c>
      <c r="I1603" s="60"/>
      <c r="L1603" s="62"/>
      <c r="M1603" s="60">
        <v>4</v>
      </c>
    </row>
  </sheetData>
  <sortState xmlns:xlrd2="http://schemas.microsoft.com/office/spreadsheetml/2017/richdata2" ref="A2:I1327">
    <sortCondition descending="1" ref="B2:B1327"/>
  </sortState>
  <phoneticPr fontId="3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C9F7-507A-4C19-BFDF-61F8CF5CA0E4}">
  <dimension ref="A1:P56"/>
  <sheetViews>
    <sheetView workbookViewId="0">
      <selection activeCell="F44" sqref="F44"/>
    </sheetView>
  </sheetViews>
  <sheetFormatPr defaultRowHeight="15.75" x14ac:dyDescent="0.25"/>
  <cols>
    <col min="1" max="1" width="18.5" bestFit="1" customWidth="1"/>
    <col min="2" max="2" width="14.375" bestFit="1" customWidth="1"/>
    <col min="3" max="3" width="16.75" bestFit="1" customWidth="1"/>
    <col min="4" max="4" width="15.625" bestFit="1" customWidth="1"/>
    <col min="5" max="6" width="14.875" bestFit="1" customWidth="1"/>
    <col min="7" max="7" width="12.125" bestFit="1" customWidth="1"/>
    <col min="8" max="9" width="6" bestFit="1" customWidth="1"/>
    <col min="10" max="10" width="5" bestFit="1" customWidth="1"/>
    <col min="11" max="11" width="3.875" customWidth="1"/>
    <col min="12" max="12" width="13.875" bestFit="1" customWidth="1"/>
    <col min="13" max="13" width="7.125" bestFit="1" customWidth="1"/>
    <col min="14" max="14" width="11.625" bestFit="1" customWidth="1"/>
    <col min="15" max="15" width="10.25" bestFit="1" customWidth="1"/>
    <col min="16" max="16" width="11.25" bestFit="1" customWidth="1"/>
    <col min="17" max="17" width="11.625" bestFit="1" customWidth="1"/>
    <col min="18" max="19" width="11.75" bestFit="1" customWidth="1"/>
    <col min="20" max="21" width="14.125" bestFit="1" customWidth="1"/>
    <col min="22" max="22" width="12.75" bestFit="1" customWidth="1"/>
    <col min="23" max="23" width="14" bestFit="1" customWidth="1"/>
    <col min="24" max="24" width="12.5" bestFit="1" customWidth="1"/>
    <col min="25" max="25" width="14" bestFit="1" customWidth="1"/>
    <col min="26" max="26" width="15.125" bestFit="1" customWidth="1"/>
    <col min="27" max="27" width="12.5" bestFit="1" customWidth="1"/>
    <col min="28" max="28" width="14.375" bestFit="1" customWidth="1"/>
    <col min="29" max="29" width="13.125" bestFit="1" customWidth="1"/>
    <col min="30" max="30" width="14" bestFit="1" customWidth="1"/>
    <col min="31" max="31" width="14.125" bestFit="1" customWidth="1"/>
    <col min="32" max="32" width="10.125" bestFit="1" customWidth="1"/>
    <col min="33" max="34" width="7.375" bestFit="1" customWidth="1"/>
    <col min="35" max="35" width="11.625" bestFit="1" customWidth="1"/>
    <col min="36" max="36" width="3.5" bestFit="1" customWidth="1"/>
    <col min="37" max="37" width="9.25" bestFit="1" customWidth="1"/>
    <col min="38" max="38" width="8.625" bestFit="1" customWidth="1"/>
    <col min="39" max="39" width="9.375" bestFit="1" customWidth="1"/>
    <col min="40" max="40" width="13.375" bestFit="1" customWidth="1"/>
    <col min="41" max="41" width="19.75" bestFit="1" customWidth="1"/>
    <col min="42" max="42" width="11.625" bestFit="1" customWidth="1"/>
    <col min="43" max="43" width="6.625" bestFit="1" customWidth="1"/>
    <col min="44" max="44" width="8.5" bestFit="1" customWidth="1"/>
    <col min="45" max="45" width="11.25" bestFit="1" customWidth="1"/>
    <col min="46" max="46" width="10.375" bestFit="1" customWidth="1"/>
    <col min="47" max="47" width="8.25" bestFit="1" customWidth="1"/>
    <col min="48" max="48" width="12.5" bestFit="1" customWidth="1"/>
    <col min="49" max="49" width="8.375" bestFit="1" customWidth="1"/>
    <col min="50" max="50" width="6.25" bestFit="1" customWidth="1"/>
    <col min="51" max="51" width="8.125" bestFit="1" customWidth="1"/>
    <col min="52" max="52" width="11.875" bestFit="1" customWidth="1"/>
    <col min="53" max="53" width="8" bestFit="1" customWidth="1"/>
    <col min="54" max="54" width="10.5" bestFit="1" customWidth="1"/>
    <col min="55" max="55" width="11" bestFit="1" customWidth="1"/>
  </cols>
  <sheetData>
    <row r="1" spans="1:16" x14ac:dyDescent="0.25">
      <c r="A1" s="26" t="s">
        <v>16</v>
      </c>
      <c r="B1" t="s">
        <v>149</v>
      </c>
    </row>
    <row r="3" spans="1:16" ht="16.5" thickBot="1" x14ac:dyDescent="0.3">
      <c r="A3" s="26" t="s">
        <v>20</v>
      </c>
      <c r="B3" t="s">
        <v>173</v>
      </c>
      <c r="C3" t="s">
        <v>147</v>
      </c>
      <c r="D3" t="s">
        <v>178</v>
      </c>
      <c r="E3" t="s">
        <v>174</v>
      </c>
      <c r="G3" s="30" t="s">
        <v>20</v>
      </c>
      <c r="H3" s="30" t="s">
        <v>47</v>
      </c>
      <c r="I3" s="30" t="s">
        <v>175</v>
      </c>
      <c r="J3" s="30" t="s">
        <v>176</v>
      </c>
      <c r="K3" s="30" t="s">
        <v>177</v>
      </c>
      <c r="L3" t="s">
        <v>112</v>
      </c>
      <c r="M3" t="s">
        <v>5</v>
      </c>
      <c r="O3" t="s">
        <v>112</v>
      </c>
      <c r="P3" t="s">
        <v>5</v>
      </c>
    </row>
    <row r="4" spans="1:16" x14ac:dyDescent="0.25">
      <c r="A4" s="15" t="s">
        <v>21</v>
      </c>
      <c r="B4">
        <v>30</v>
      </c>
      <c r="C4">
        <v>13.6484375</v>
      </c>
      <c r="D4">
        <v>4</v>
      </c>
      <c r="E4">
        <v>1.6</v>
      </c>
      <c r="G4" s="15" t="s">
        <v>120</v>
      </c>
      <c r="H4">
        <v>1</v>
      </c>
      <c r="I4">
        <v>13.223437499999999</v>
      </c>
      <c r="J4">
        <v>-2.75</v>
      </c>
      <c r="K4">
        <v>2.8</v>
      </c>
      <c r="L4" s="56">
        <v>55.968400000000003</v>
      </c>
      <c r="M4" s="56">
        <v>57.151800000000001</v>
      </c>
      <c r="N4" s="7">
        <v>1</v>
      </c>
      <c r="O4" s="56">
        <v>55.968400000000003</v>
      </c>
      <c r="P4" s="56">
        <v>57.151800000000001</v>
      </c>
    </row>
    <row r="5" spans="1:16" x14ac:dyDescent="0.25">
      <c r="A5" s="15" t="s">
        <v>22</v>
      </c>
      <c r="B5">
        <v>39</v>
      </c>
      <c r="C5">
        <v>13.910937500000001</v>
      </c>
      <c r="D5">
        <v>4</v>
      </c>
      <c r="E5">
        <v>5.0999999999999996</v>
      </c>
      <c r="G5" s="15" t="s">
        <v>126</v>
      </c>
      <c r="H5">
        <v>2</v>
      </c>
      <c r="I5">
        <v>12.826785714285716</v>
      </c>
      <c r="J5">
        <v>-0.75</v>
      </c>
      <c r="K5">
        <v>3.2</v>
      </c>
      <c r="L5" s="6">
        <v>52.919499999999999</v>
      </c>
      <c r="M5" s="6">
        <v>58.448999999999998</v>
      </c>
      <c r="N5" s="5">
        <v>2</v>
      </c>
      <c r="O5" s="6">
        <v>52.919499999999999</v>
      </c>
      <c r="P5" s="6">
        <v>58.448999999999998</v>
      </c>
    </row>
    <row r="6" spans="1:16" x14ac:dyDescent="0.25">
      <c r="A6" s="15" t="s">
        <v>23</v>
      </c>
      <c r="B6">
        <v>38</v>
      </c>
      <c r="C6">
        <v>13.5609375</v>
      </c>
      <c r="D6">
        <v>4</v>
      </c>
      <c r="E6">
        <v>1.3</v>
      </c>
      <c r="G6" s="15" t="s">
        <v>122</v>
      </c>
      <c r="H6">
        <v>3</v>
      </c>
      <c r="I6">
        <v>13.573437499999999</v>
      </c>
      <c r="J6">
        <v>1.25</v>
      </c>
      <c r="K6">
        <v>1.1111111111111112</v>
      </c>
      <c r="L6" s="6">
        <v>54.056699999999999</v>
      </c>
      <c r="M6" s="6">
        <v>59.151800000000001</v>
      </c>
      <c r="N6" s="5">
        <v>3</v>
      </c>
      <c r="O6" s="6">
        <v>54.056699999999999</v>
      </c>
      <c r="P6" s="6">
        <v>59.151800000000001</v>
      </c>
    </row>
    <row r="7" spans="1:16" x14ac:dyDescent="0.25">
      <c r="A7" s="15" t="s">
        <v>89</v>
      </c>
      <c r="B7">
        <v>37</v>
      </c>
      <c r="C7">
        <v>13.6859375</v>
      </c>
      <c r="D7">
        <v>4</v>
      </c>
      <c r="E7">
        <v>4</v>
      </c>
      <c r="G7" s="15" t="s">
        <v>117</v>
      </c>
      <c r="H7">
        <v>4</v>
      </c>
      <c r="I7">
        <v>13.260937499999999</v>
      </c>
      <c r="J7">
        <v>2.5</v>
      </c>
      <c r="K7">
        <v>1</v>
      </c>
      <c r="L7" s="6">
        <v>51.412100000000002</v>
      </c>
      <c r="M7" s="6">
        <v>55.375999999999998</v>
      </c>
      <c r="N7" s="5">
        <v>4</v>
      </c>
      <c r="O7" s="6">
        <v>51.412100000000002</v>
      </c>
      <c r="P7" s="6">
        <v>55.375999999999998</v>
      </c>
    </row>
    <row r="8" spans="1:16" x14ac:dyDescent="0.25">
      <c r="A8" s="15" t="s">
        <v>121</v>
      </c>
      <c r="B8">
        <v>40</v>
      </c>
      <c r="C8">
        <v>13.1484375</v>
      </c>
      <c r="D8">
        <v>4</v>
      </c>
      <c r="E8">
        <v>2.9</v>
      </c>
      <c r="G8" s="15" t="s">
        <v>128</v>
      </c>
      <c r="H8">
        <v>5</v>
      </c>
      <c r="I8">
        <v>13.273437499999998</v>
      </c>
      <c r="J8">
        <v>0</v>
      </c>
      <c r="K8">
        <v>1.6</v>
      </c>
      <c r="L8" s="6">
        <v>53.886299999999999</v>
      </c>
      <c r="M8" s="6">
        <v>56.716299999999997</v>
      </c>
      <c r="N8" s="5">
        <v>5</v>
      </c>
      <c r="O8" s="6">
        <v>53.886299999999999</v>
      </c>
      <c r="P8" s="6">
        <v>56.716299999999997</v>
      </c>
    </row>
    <row r="9" spans="1:16" x14ac:dyDescent="0.25">
      <c r="A9" s="15" t="s">
        <v>124</v>
      </c>
      <c r="B9">
        <v>41</v>
      </c>
      <c r="C9">
        <v>13.923437499999999</v>
      </c>
      <c r="D9">
        <v>4</v>
      </c>
      <c r="E9">
        <v>4.4000000000000004</v>
      </c>
      <c r="G9" s="15" t="s">
        <v>119</v>
      </c>
      <c r="H9">
        <v>6</v>
      </c>
      <c r="I9">
        <v>15.2109375</v>
      </c>
      <c r="J9">
        <v>3</v>
      </c>
      <c r="K9">
        <v>1</v>
      </c>
      <c r="L9" s="6">
        <v>47.645600000000002</v>
      </c>
      <c r="M9" s="6">
        <v>57.421599999999998</v>
      </c>
      <c r="N9" s="5">
        <v>6</v>
      </c>
      <c r="O9" s="6">
        <v>47.645600000000002</v>
      </c>
      <c r="P9" s="6">
        <v>57.421599999999998</v>
      </c>
    </row>
    <row r="10" spans="1:16" x14ac:dyDescent="0.25">
      <c r="A10" s="15" t="s">
        <v>24</v>
      </c>
      <c r="B10">
        <v>20</v>
      </c>
      <c r="C10">
        <v>12.9234375</v>
      </c>
      <c r="D10">
        <v>4</v>
      </c>
      <c r="E10">
        <v>4.0999999999999996</v>
      </c>
      <c r="G10" s="15" t="s">
        <v>150</v>
      </c>
      <c r="H10">
        <v>7</v>
      </c>
      <c r="I10">
        <v>13.773437499999998</v>
      </c>
      <c r="J10">
        <v>2.75</v>
      </c>
      <c r="K10">
        <v>1.5</v>
      </c>
      <c r="L10" s="6">
        <v>45.2119</v>
      </c>
      <c r="M10" s="6">
        <v>56.817999999999998</v>
      </c>
      <c r="N10" s="5">
        <v>7</v>
      </c>
      <c r="O10" s="6">
        <v>45.2119</v>
      </c>
      <c r="P10" s="6">
        <v>56.817999999999998</v>
      </c>
    </row>
    <row r="11" spans="1:16" x14ac:dyDescent="0.25">
      <c r="A11" s="15" t="s">
        <v>25</v>
      </c>
      <c r="B11">
        <v>32</v>
      </c>
      <c r="C11">
        <v>13.573437500000001</v>
      </c>
      <c r="D11">
        <v>4</v>
      </c>
      <c r="E11">
        <v>4.4000000000000004</v>
      </c>
      <c r="G11" s="15" t="s">
        <v>118</v>
      </c>
      <c r="H11">
        <v>8</v>
      </c>
      <c r="I11">
        <v>13.035937499999999</v>
      </c>
      <c r="J11">
        <v>-0.5</v>
      </c>
      <c r="K11">
        <v>1.3</v>
      </c>
      <c r="L11" s="6">
        <v>58.6434</v>
      </c>
      <c r="M11" s="6">
        <v>57.671100000000003</v>
      </c>
      <c r="N11" s="5">
        <v>8</v>
      </c>
      <c r="O11" s="6">
        <v>58.6434</v>
      </c>
      <c r="P11" s="6">
        <v>57.671100000000003</v>
      </c>
    </row>
    <row r="12" spans="1:16" x14ac:dyDescent="0.25">
      <c r="A12" s="15" t="s">
        <v>26</v>
      </c>
      <c r="B12">
        <v>21</v>
      </c>
      <c r="C12">
        <v>13.0609375</v>
      </c>
      <c r="D12">
        <v>4</v>
      </c>
      <c r="E12">
        <v>3</v>
      </c>
      <c r="G12" s="15" t="s">
        <v>94</v>
      </c>
      <c r="H12">
        <v>9</v>
      </c>
      <c r="I12">
        <v>14.3984375</v>
      </c>
      <c r="J12">
        <v>2.75</v>
      </c>
      <c r="K12">
        <v>2.9</v>
      </c>
      <c r="L12" s="6">
        <v>50.063099999999999</v>
      </c>
      <c r="M12" s="6">
        <v>55.811300000000003</v>
      </c>
      <c r="N12" s="5">
        <v>9</v>
      </c>
      <c r="O12" s="6">
        <v>50.063099999999999</v>
      </c>
      <c r="P12" s="6">
        <v>55.811300000000003</v>
      </c>
    </row>
    <row r="13" spans="1:16" x14ac:dyDescent="0.25">
      <c r="A13" s="15" t="s">
        <v>27</v>
      </c>
      <c r="B13">
        <v>29</v>
      </c>
      <c r="C13">
        <v>13.4609375</v>
      </c>
      <c r="D13">
        <v>4</v>
      </c>
      <c r="E13">
        <v>3.9</v>
      </c>
      <c r="G13" s="15" t="s">
        <v>91</v>
      </c>
      <c r="H13">
        <v>10</v>
      </c>
      <c r="I13">
        <v>14.710937500000002</v>
      </c>
      <c r="J13">
        <v>3.75</v>
      </c>
      <c r="K13">
        <v>3</v>
      </c>
      <c r="L13" s="6">
        <v>46.4099</v>
      </c>
      <c r="M13" s="6">
        <v>54.919600000000003</v>
      </c>
      <c r="N13" s="5">
        <v>10</v>
      </c>
      <c r="O13" s="6">
        <v>46.4099</v>
      </c>
      <c r="P13" s="6">
        <v>54.919600000000003</v>
      </c>
    </row>
    <row r="14" spans="1:16" x14ac:dyDescent="0.25">
      <c r="A14" s="15" t="s">
        <v>28</v>
      </c>
      <c r="B14">
        <v>22</v>
      </c>
      <c r="C14">
        <v>13.4359375</v>
      </c>
      <c r="D14">
        <v>4</v>
      </c>
      <c r="E14">
        <v>3.7</v>
      </c>
      <c r="G14" s="15" t="s">
        <v>90</v>
      </c>
      <c r="H14">
        <v>11</v>
      </c>
      <c r="I14">
        <v>13.098437499999999</v>
      </c>
      <c r="J14">
        <v>1</v>
      </c>
      <c r="K14">
        <v>4.9000000000000004</v>
      </c>
      <c r="L14" s="6">
        <v>53.906599999999997</v>
      </c>
      <c r="M14" s="6">
        <v>59.033099999999997</v>
      </c>
      <c r="N14" s="5">
        <v>11</v>
      </c>
      <c r="O14" s="6">
        <v>53.906599999999997</v>
      </c>
      <c r="P14" s="6">
        <v>59.033099999999997</v>
      </c>
    </row>
    <row r="15" spans="1:16" x14ac:dyDescent="0.25">
      <c r="A15" s="15" t="s">
        <v>29</v>
      </c>
      <c r="B15">
        <v>18</v>
      </c>
      <c r="C15">
        <v>13.6859375</v>
      </c>
      <c r="D15">
        <v>4</v>
      </c>
      <c r="E15">
        <v>3.3</v>
      </c>
      <c r="G15" s="15" t="s">
        <v>92</v>
      </c>
      <c r="H15">
        <v>12</v>
      </c>
      <c r="I15">
        <v>13.5484375</v>
      </c>
      <c r="J15">
        <v>-2</v>
      </c>
      <c r="K15">
        <v>1.5</v>
      </c>
      <c r="L15" s="6">
        <v>49.103999999999999</v>
      </c>
      <c r="M15" s="6">
        <v>56.457799999999999</v>
      </c>
      <c r="N15" s="5">
        <v>12</v>
      </c>
      <c r="O15" s="6">
        <v>49.103999999999999</v>
      </c>
      <c r="P15" s="6">
        <v>56.457799999999999</v>
      </c>
    </row>
    <row r="16" spans="1:16" x14ac:dyDescent="0.25">
      <c r="A16" s="15" t="s">
        <v>30</v>
      </c>
      <c r="B16">
        <v>14</v>
      </c>
      <c r="C16">
        <v>13.323437500000001</v>
      </c>
      <c r="D16">
        <v>4</v>
      </c>
      <c r="E16">
        <v>3.6</v>
      </c>
      <c r="G16" s="15" t="s">
        <v>93</v>
      </c>
      <c r="H16">
        <v>13</v>
      </c>
      <c r="I16">
        <v>13.223437499999999</v>
      </c>
      <c r="J16">
        <v>0.25</v>
      </c>
      <c r="K16">
        <v>1.7</v>
      </c>
      <c r="L16" s="6">
        <v>53.803400000000003</v>
      </c>
      <c r="M16" s="6">
        <v>58.3108</v>
      </c>
      <c r="N16" s="5">
        <v>13</v>
      </c>
      <c r="O16" s="6">
        <v>53.803400000000003</v>
      </c>
      <c r="P16" s="6">
        <v>58.3108</v>
      </c>
    </row>
    <row r="17" spans="1:16" x14ac:dyDescent="0.25">
      <c r="A17" s="15" t="s">
        <v>31</v>
      </c>
      <c r="B17">
        <v>15</v>
      </c>
      <c r="C17">
        <v>13.123437499999998</v>
      </c>
      <c r="D17">
        <v>4</v>
      </c>
      <c r="E17">
        <v>3.3</v>
      </c>
      <c r="G17" s="15" t="s">
        <v>30</v>
      </c>
      <c r="H17">
        <v>14</v>
      </c>
      <c r="I17">
        <v>13.323437500000001</v>
      </c>
      <c r="J17">
        <v>0.25</v>
      </c>
      <c r="K17">
        <v>3.6</v>
      </c>
      <c r="L17" s="6">
        <v>53.9619</v>
      </c>
      <c r="M17" s="6">
        <v>58.550600000000003</v>
      </c>
      <c r="N17" s="5">
        <v>14</v>
      </c>
      <c r="O17" s="6">
        <v>53.9619</v>
      </c>
      <c r="P17" s="6">
        <v>58.550600000000003</v>
      </c>
    </row>
    <row r="18" spans="1:16" x14ac:dyDescent="0.25">
      <c r="A18" s="15" t="s">
        <v>32</v>
      </c>
      <c r="B18">
        <v>16</v>
      </c>
      <c r="C18">
        <v>13.598437500000001</v>
      </c>
      <c r="D18">
        <v>4</v>
      </c>
      <c r="E18">
        <v>4</v>
      </c>
      <c r="G18" s="15" t="s">
        <v>31</v>
      </c>
      <c r="H18">
        <v>15</v>
      </c>
      <c r="I18">
        <v>13.123437499999998</v>
      </c>
      <c r="J18">
        <v>-1.5</v>
      </c>
      <c r="K18">
        <v>3.3</v>
      </c>
      <c r="L18" s="6">
        <v>54.366300000000003</v>
      </c>
      <c r="M18" s="6">
        <v>56.283700000000003</v>
      </c>
      <c r="N18" s="5">
        <v>15</v>
      </c>
      <c r="O18" s="6">
        <v>54.366300000000003</v>
      </c>
      <c r="P18" s="6">
        <v>56.283700000000003</v>
      </c>
    </row>
    <row r="19" spans="1:16" x14ac:dyDescent="0.25">
      <c r="A19" s="15" t="s">
        <v>90</v>
      </c>
      <c r="B19">
        <v>11</v>
      </c>
      <c r="C19">
        <v>13.098437499999999</v>
      </c>
      <c r="D19">
        <v>4</v>
      </c>
      <c r="E19">
        <v>4.9000000000000004</v>
      </c>
      <c r="G19" s="15" t="s">
        <v>32</v>
      </c>
      <c r="H19">
        <v>16</v>
      </c>
      <c r="I19">
        <v>13.598437500000001</v>
      </c>
      <c r="J19">
        <v>1</v>
      </c>
      <c r="K19">
        <v>4</v>
      </c>
      <c r="L19" s="6">
        <v>52.935499999999998</v>
      </c>
      <c r="M19" s="6">
        <v>57.905500000000004</v>
      </c>
      <c r="N19" s="5">
        <v>16</v>
      </c>
      <c r="O19" s="6">
        <v>52.935499999999998</v>
      </c>
      <c r="P19" s="6">
        <v>57.905500000000004</v>
      </c>
    </row>
    <row r="20" spans="1:16" x14ac:dyDescent="0.25">
      <c r="A20" s="15" t="s">
        <v>120</v>
      </c>
      <c r="B20">
        <v>1</v>
      </c>
      <c r="C20">
        <v>13.223437499999999</v>
      </c>
      <c r="D20">
        <v>4</v>
      </c>
      <c r="E20">
        <v>2.8</v>
      </c>
      <c r="G20" s="15" t="s">
        <v>33</v>
      </c>
      <c r="H20">
        <v>17</v>
      </c>
      <c r="I20">
        <v>13.298437499999999</v>
      </c>
      <c r="J20">
        <v>0.75</v>
      </c>
      <c r="K20">
        <v>4</v>
      </c>
      <c r="L20" s="6">
        <v>51.726900000000001</v>
      </c>
      <c r="M20" s="6">
        <v>56.403100000000002</v>
      </c>
      <c r="N20" s="5">
        <v>17</v>
      </c>
      <c r="O20" s="6">
        <v>51.726900000000001</v>
      </c>
      <c r="P20" s="6">
        <v>56.403100000000002</v>
      </c>
    </row>
    <row r="21" spans="1:16" x14ac:dyDescent="0.25">
      <c r="A21" s="15" t="s">
        <v>33</v>
      </c>
      <c r="B21">
        <v>17</v>
      </c>
      <c r="C21">
        <v>13.298437499999999</v>
      </c>
      <c r="D21">
        <v>4</v>
      </c>
      <c r="E21">
        <v>4</v>
      </c>
      <c r="G21" s="15" t="s">
        <v>29</v>
      </c>
      <c r="H21">
        <v>18</v>
      </c>
      <c r="I21">
        <v>13.6859375</v>
      </c>
      <c r="J21">
        <v>0</v>
      </c>
      <c r="K21">
        <v>3.3</v>
      </c>
      <c r="L21" s="6">
        <v>47.628399999999999</v>
      </c>
      <c r="M21" s="6">
        <v>56.015799999999999</v>
      </c>
      <c r="N21" s="5">
        <v>18</v>
      </c>
      <c r="O21" s="6">
        <v>47.628399999999999</v>
      </c>
      <c r="P21" s="6">
        <v>56.015799999999999</v>
      </c>
    </row>
    <row r="22" spans="1:16" x14ac:dyDescent="0.25">
      <c r="A22" s="15" t="s">
        <v>92</v>
      </c>
      <c r="B22">
        <v>12</v>
      </c>
      <c r="C22">
        <v>13.5484375</v>
      </c>
      <c r="D22">
        <v>4</v>
      </c>
      <c r="E22">
        <v>1.5</v>
      </c>
      <c r="G22" s="15" t="s">
        <v>157</v>
      </c>
      <c r="H22">
        <v>19</v>
      </c>
      <c r="I22">
        <v>13.410937500000001</v>
      </c>
      <c r="J22">
        <v>1.75</v>
      </c>
      <c r="K22">
        <v>2.5</v>
      </c>
      <c r="L22" s="6">
        <v>51.384399999999999</v>
      </c>
      <c r="M22" s="6">
        <v>55.940800000000003</v>
      </c>
      <c r="N22" s="5">
        <v>19</v>
      </c>
      <c r="O22" s="6">
        <v>51.384399999999999</v>
      </c>
      <c r="P22" s="6">
        <v>55.940800000000003</v>
      </c>
    </row>
    <row r="23" spans="1:16" x14ac:dyDescent="0.25">
      <c r="A23" s="15" t="s">
        <v>93</v>
      </c>
      <c r="B23">
        <v>13</v>
      </c>
      <c r="C23">
        <v>13.223437499999999</v>
      </c>
      <c r="D23">
        <v>4</v>
      </c>
      <c r="E23">
        <v>1.7</v>
      </c>
      <c r="G23" s="15" t="s">
        <v>24</v>
      </c>
      <c r="H23">
        <v>20</v>
      </c>
      <c r="I23">
        <v>12.9234375</v>
      </c>
      <c r="J23">
        <v>-0.25</v>
      </c>
      <c r="K23">
        <v>4.0999999999999996</v>
      </c>
      <c r="L23" s="6">
        <v>54.904899999999998</v>
      </c>
      <c r="M23" s="6">
        <v>57.885599999999997</v>
      </c>
      <c r="N23" s="5">
        <v>20</v>
      </c>
      <c r="O23" s="6">
        <v>54.904899999999998</v>
      </c>
      <c r="P23" s="6">
        <v>57.885599999999997</v>
      </c>
    </row>
    <row r="24" spans="1:16" x14ac:dyDescent="0.25">
      <c r="A24" s="15" t="s">
        <v>126</v>
      </c>
      <c r="B24">
        <v>2</v>
      </c>
      <c r="C24">
        <v>12.826785714285716</v>
      </c>
      <c r="D24">
        <v>4</v>
      </c>
      <c r="E24">
        <v>3.2</v>
      </c>
      <c r="G24" s="15" t="s">
        <v>26</v>
      </c>
      <c r="H24">
        <v>21</v>
      </c>
      <c r="I24">
        <v>13.0609375</v>
      </c>
      <c r="J24">
        <v>-0.5</v>
      </c>
      <c r="K24">
        <v>3</v>
      </c>
      <c r="L24" s="6">
        <v>54.576599999999999</v>
      </c>
      <c r="M24" s="6">
        <v>57.043300000000002</v>
      </c>
      <c r="N24" s="5">
        <v>21</v>
      </c>
      <c r="O24" s="6">
        <v>54.576599999999999</v>
      </c>
      <c r="P24" s="6">
        <v>57.043300000000002</v>
      </c>
    </row>
    <row r="25" spans="1:16" x14ac:dyDescent="0.25">
      <c r="A25" s="15" t="s">
        <v>94</v>
      </c>
      <c r="B25">
        <v>9</v>
      </c>
      <c r="C25">
        <v>14.3984375</v>
      </c>
      <c r="D25">
        <v>4</v>
      </c>
      <c r="E25">
        <v>2.9</v>
      </c>
      <c r="G25" s="15" t="s">
        <v>28</v>
      </c>
      <c r="H25">
        <v>22</v>
      </c>
      <c r="I25">
        <v>13.4359375</v>
      </c>
      <c r="J25">
        <v>0</v>
      </c>
      <c r="K25">
        <v>3.7</v>
      </c>
      <c r="L25" s="6">
        <v>52.058500000000002</v>
      </c>
      <c r="M25" s="6">
        <v>58.712400000000002</v>
      </c>
      <c r="N25" s="5">
        <v>22</v>
      </c>
      <c r="O25" s="6">
        <v>52.058500000000002</v>
      </c>
      <c r="P25" s="6">
        <v>58.712400000000002</v>
      </c>
    </row>
    <row r="26" spans="1:16" x14ac:dyDescent="0.25">
      <c r="A26" s="15" t="s">
        <v>122</v>
      </c>
      <c r="B26">
        <v>3</v>
      </c>
      <c r="C26">
        <v>13.573437499999999</v>
      </c>
      <c r="D26">
        <v>4</v>
      </c>
      <c r="E26">
        <v>1.1111111111111112</v>
      </c>
      <c r="G26" s="15" t="s">
        <v>37</v>
      </c>
      <c r="H26">
        <v>23</v>
      </c>
      <c r="I26">
        <v>14.010937500000001</v>
      </c>
      <c r="J26">
        <v>0.25</v>
      </c>
      <c r="K26">
        <v>4.2</v>
      </c>
      <c r="L26" s="6">
        <v>50.380299999999998</v>
      </c>
      <c r="M26" s="6">
        <v>58.331499999999998</v>
      </c>
      <c r="N26" s="5">
        <v>23</v>
      </c>
      <c r="O26" s="6">
        <v>50.380299999999998</v>
      </c>
      <c r="P26" s="6">
        <v>58.331499999999998</v>
      </c>
    </row>
    <row r="27" spans="1:16" x14ac:dyDescent="0.25">
      <c r="A27" s="15" t="s">
        <v>91</v>
      </c>
      <c r="B27">
        <v>10</v>
      </c>
      <c r="C27">
        <v>14.710937500000002</v>
      </c>
      <c r="D27">
        <v>4</v>
      </c>
      <c r="E27">
        <v>3</v>
      </c>
      <c r="G27" s="15" t="s">
        <v>40</v>
      </c>
      <c r="H27">
        <v>24</v>
      </c>
      <c r="I27">
        <v>13.1859375</v>
      </c>
      <c r="J27">
        <v>-2</v>
      </c>
      <c r="K27">
        <v>3.2</v>
      </c>
      <c r="L27" s="6">
        <v>52.862499999999997</v>
      </c>
      <c r="M27" s="6">
        <v>56.953099999999999</v>
      </c>
      <c r="N27" s="5">
        <v>24</v>
      </c>
      <c r="O27" s="6">
        <v>52.862499999999997</v>
      </c>
      <c r="P27" s="6">
        <v>56.953099999999999</v>
      </c>
    </row>
    <row r="28" spans="1:16" x14ac:dyDescent="0.25">
      <c r="A28" s="15" t="s">
        <v>117</v>
      </c>
      <c r="B28">
        <v>4</v>
      </c>
      <c r="C28">
        <v>13.260937499999999</v>
      </c>
      <c r="D28">
        <v>4</v>
      </c>
      <c r="E28">
        <v>1</v>
      </c>
      <c r="G28" s="15" t="s">
        <v>130</v>
      </c>
      <c r="H28">
        <v>25</v>
      </c>
      <c r="I28">
        <v>13.135937499999999</v>
      </c>
      <c r="J28">
        <v>0.75</v>
      </c>
      <c r="K28">
        <v>3.5</v>
      </c>
      <c r="L28" s="6">
        <v>50.902200000000001</v>
      </c>
      <c r="M28" s="6">
        <v>57.042200000000001</v>
      </c>
      <c r="N28" s="5">
        <v>25</v>
      </c>
      <c r="O28" s="6">
        <v>50.902200000000001</v>
      </c>
      <c r="P28" s="6">
        <v>57.042200000000001</v>
      </c>
    </row>
    <row r="29" spans="1:16" x14ac:dyDescent="0.25">
      <c r="A29" s="15" t="s">
        <v>128</v>
      </c>
      <c r="B29">
        <v>5</v>
      </c>
      <c r="C29">
        <v>13.273437499999998</v>
      </c>
      <c r="D29">
        <v>4</v>
      </c>
      <c r="E29">
        <v>1.6</v>
      </c>
      <c r="G29" s="15" t="s">
        <v>44</v>
      </c>
      <c r="H29">
        <v>26</v>
      </c>
      <c r="I29">
        <v>12.848437500000001</v>
      </c>
      <c r="J29">
        <v>0.75</v>
      </c>
      <c r="K29">
        <v>4.4000000000000004</v>
      </c>
      <c r="L29" s="6">
        <v>58.968299999999999</v>
      </c>
      <c r="M29" s="6">
        <v>57.453099999999999</v>
      </c>
      <c r="N29" s="5">
        <v>26</v>
      </c>
      <c r="O29" s="6">
        <v>58.968299999999999</v>
      </c>
      <c r="P29" s="6">
        <v>57.453099999999999</v>
      </c>
    </row>
    <row r="30" spans="1:16" x14ac:dyDescent="0.25">
      <c r="A30" s="15" t="s">
        <v>157</v>
      </c>
      <c r="B30">
        <v>19</v>
      </c>
      <c r="C30">
        <v>13.410937500000001</v>
      </c>
      <c r="D30">
        <v>4</v>
      </c>
      <c r="E30">
        <v>2.5</v>
      </c>
      <c r="G30" s="15" t="s">
        <v>35</v>
      </c>
      <c r="H30">
        <v>27</v>
      </c>
      <c r="I30">
        <v>12.9984375</v>
      </c>
      <c r="J30">
        <v>-0.75</v>
      </c>
      <c r="K30">
        <v>3.5</v>
      </c>
      <c r="L30" s="6">
        <v>53.9255</v>
      </c>
      <c r="M30" s="6">
        <v>57.180700000000002</v>
      </c>
      <c r="N30" s="5">
        <v>27</v>
      </c>
      <c r="O30" s="6">
        <v>53.9255</v>
      </c>
      <c r="P30" s="6">
        <v>57.180700000000002</v>
      </c>
    </row>
    <row r="31" spans="1:16" x14ac:dyDescent="0.25">
      <c r="A31" s="15" t="s">
        <v>119</v>
      </c>
      <c r="B31">
        <v>6</v>
      </c>
      <c r="C31">
        <v>15.2109375</v>
      </c>
      <c r="D31">
        <v>4</v>
      </c>
      <c r="E31">
        <v>1</v>
      </c>
      <c r="G31" s="15" t="s">
        <v>38</v>
      </c>
      <c r="H31">
        <v>28</v>
      </c>
      <c r="I31">
        <v>12.3984375</v>
      </c>
      <c r="J31">
        <v>0</v>
      </c>
      <c r="K31">
        <v>3.5</v>
      </c>
      <c r="L31" s="6">
        <v>51.4482</v>
      </c>
      <c r="M31" s="6">
        <v>56.656799999999997</v>
      </c>
      <c r="N31" s="5">
        <v>28</v>
      </c>
      <c r="O31" s="6">
        <v>51.4482</v>
      </c>
      <c r="P31" s="6">
        <v>56.656799999999997</v>
      </c>
    </row>
    <row r="32" spans="1:16" x14ac:dyDescent="0.25">
      <c r="A32" s="15" t="s">
        <v>118</v>
      </c>
      <c r="B32">
        <v>8</v>
      </c>
      <c r="C32">
        <v>13.035937499999999</v>
      </c>
      <c r="D32">
        <v>4</v>
      </c>
      <c r="E32">
        <v>1.3</v>
      </c>
      <c r="G32" s="15" t="s">
        <v>27</v>
      </c>
      <c r="H32">
        <v>29</v>
      </c>
      <c r="I32">
        <v>13.4609375</v>
      </c>
      <c r="J32">
        <v>0.5</v>
      </c>
      <c r="K32">
        <v>3.9</v>
      </c>
      <c r="L32" s="6">
        <v>53.3675</v>
      </c>
      <c r="M32" s="6">
        <v>57.839500000000001</v>
      </c>
      <c r="N32" s="5">
        <v>29</v>
      </c>
      <c r="O32" s="6">
        <v>53.3675</v>
      </c>
      <c r="P32" s="6">
        <v>57.839500000000001</v>
      </c>
    </row>
    <row r="33" spans="1:16" x14ac:dyDescent="0.25">
      <c r="A33" s="15" t="s">
        <v>150</v>
      </c>
      <c r="B33">
        <v>7</v>
      </c>
      <c r="C33">
        <v>13.773437499999998</v>
      </c>
      <c r="D33">
        <v>4</v>
      </c>
      <c r="E33">
        <v>1.5</v>
      </c>
      <c r="G33" s="15" t="s">
        <v>21</v>
      </c>
      <c r="H33">
        <v>30</v>
      </c>
      <c r="I33">
        <v>13.6484375</v>
      </c>
      <c r="J33">
        <v>0</v>
      </c>
      <c r="K33">
        <v>1.6</v>
      </c>
      <c r="L33" s="6">
        <v>52.0565</v>
      </c>
      <c r="M33" s="6">
        <v>58.027900000000002</v>
      </c>
      <c r="N33" s="5">
        <v>30</v>
      </c>
      <c r="O33" s="6">
        <v>52.0565</v>
      </c>
      <c r="P33" s="6">
        <v>58.027900000000002</v>
      </c>
    </row>
    <row r="34" spans="1:16" x14ac:dyDescent="0.25">
      <c r="A34" s="15" t="s">
        <v>34</v>
      </c>
      <c r="B34">
        <v>42</v>
      </c>
      <c r="C34">
        <v>13.473437499999999</v>
      </c>
      <c r="D34">
        <v>4</v>
      </c>
      <c r="E34">
        <v>3.3</v>
      </c>
      <c r="G34" s="15" t="s">
        <v>36</v>
      </c>
      <c r="H34">
        <v>31</v>
      </c>
      <c r="I34">
        <v>13.485937500000002</v>
      </c>
      <c r="J34">
        <v>-0.75</v>
      </c>
      <c r="K34">
        <v>1.5</v>
      </c>
      <c r="L34" s="6">
        <v>50.162799999999997</v>
      </c>
      <c r="M34" s="6">
        <v>57.098300000000002</v>
      </c>
      <c r="N34" s="5">
        <v>31</v>
      </c>
      <c r="O34" s="6">
        <v>50.162799999999997</v>
      </c>
      <c r="P34" s="6">
        <v>57.098300000000002</v>
      </c>
    </row>
    <row r="35" spans="1:16" x14ac:dyDescent="0.25">
      <c r="A35" s="15" t="s">
        <v>123</v>
      </c>
      <c r="B35">
        <v>44</v>
      </c>
      <c r="C35">
        <v>13.748437500000001</v>
      </c>
      <c r="D35">
        <v>4</v>
      </c>
      <c r="E35">
        <v>3.9</v>
      </c>
      <c r="G35" s="15" t="s">
        <v>25</v>
      </c>
      <c r="H35">
        <v>32</v>
      </c>
      <c r="I35">
        <v>13.573437500000001</v>
      </c>
      <c r="J35">
        <v>-0.75</v>
      </c>
      <c r="K35">
        <v>4.4000000000000004</v>
      </c>
      <c r="L35" s="6">
        <v>56.312600000000003</v>
      </c>
      <c r="M35" s="6">
        <v>59.462800000000001</v>
      </c>
      <c r="N35" s="5">
        <v>32</v>
      </c>
      <c r="O35" s="6">
        <v>56.312600000000003</v>
      </c>
      <c r="P35" s="6">
        <v>59.462800000000001</v>
      </c>
    </row>
    <row r="36" spans="1:16" x14ac:dyDescent="0.25">
      <c r="A36" s="15" t="s">
        <v>125</v>
      </c>
      <c r="B36">
        <v>43</v>
      </c>
      <c r="C36">
        <v>13.9609375</v>
      </c>
      <c r="D36">
        <v>4</v>
      </c>
      <c r="E36">
        <v>2.8</v>
      </c>
      <c r="G36" s="15" t="s">
        <v>41</v>
      </c>
      <c r="H36">
        <v>33</v>
      </c>
      <c r="I36">
        <v>12.823437500000001</v>
      </c>
      <c r="J36">
        <v>0.5</v>
      </c>
      <c r="K36">
        <v>3.1</v>
      </c>
      <c r="L36" s="6">
        <v>53.1877</v>
      </c>
      <c r="M36" s="6">
        <v>57.089599999999997</v>
      </c>
      <c r="N36" s="5">
        <v>33</v>
      </c>
      <c r="O36" s="6">
        <v>53.1877</v>
      </c>
      <c r="P36" s="6">
        <v>57.089599999999997</v>
      </c>
    </row>
    <row r="37" spans="1:16" x14ac:dyDescent="0.25">
      <c r="A37" s="15" t="s">
        <v>35</v>
      </c>
      <c r="B37">
        <v>27</v>
      </c>
      <c r="C37">
        <v>12.9984375</v>
      </c>
      <c r="D37">
        <v>4</v>
      </c>
      <c r="E37">
        <v>3.5</v>
      </c>
      <c r="G37" s="15" t="s">
        <v>42</v>
      </c>
      <c r="H37">
        <v>34</v>
      </c>
      <c r="I37">
        <v>13.3984375</v>
      </c>
      <c r="J37">
        <v>-1.25</v>
      </c>
      <c r="K37">
        <v>4</v>
      </c>
      <c r="L37" s="6">
        <v>50.87</v>
      </c>
      <c r="M37" s="6">
        <v>57.356999999999999</v>
      </c>
      <c r="N37" s="5">
        <v>34</v>
      </c>
      <c r="O37" s="6">
        <v>50.87</v>
      </c>
      <c r="P37" s="6">
        <v>57.356999999999999</v>
      </c>
    </row>
    <row r="38" spans="1:16" x14ac:dyDescent="0.25">
      <c r="A38" s="15" t="s">
        <v>36</v>
      </c>
      <c r="B38">
        <v>31</v>
      </c>
      <c r="C38">
        <v>13.485937500000002</v>
      </c>
      <c r="D38">
        <v>4</v>
      </c>
      <c r="E38">
        <v>1.5</v>
      </c>
      <c r="G38" s="15" t="s">
        <v>129</v>
      </c>
      <c r="H38">
        <v>35</v>
      </c>
      <c r="I38">
        <v>13.0484375</v>
      </c>
      <c r="J38">
        <v>0</v>
      </c>
      <c r="K38">
        <v>3.5</v>
      </c>
      <c r="L38" s="6">
        <v>50.993099999999998</v>
      </c>
      <c r="M38" s="6">
        <v>57.104700000000001</v>
      </c>
      <c r="N38" s="5">
        <v>35</v>
      </c>
      <c r="O38" s="6">
        <v>50.993099999999998</v>
      </c>
      <c r="P38" s="6">
        <v>57.104700000000001</v>
      </c>
    </row>
    <row r="39" spans="1:16" x14ac:dyDescent="0.25">
      <c r="A39" s="15" t="s">
        <v>37</v>
      </c>
      <c r="B39">
        <v>23</v>
      </c>
      <c r="C39">
        <v>14.010937500000001</v>
      </c>
      <c r="D39">
        <v>4</v>
      </c>
      <c r="E39">
        <v>4.2</v>
      </c>
      <c r="G39" s="15" t="s">
        <v>45</v>
      </c>
      <c r="H39">
        <v>36</v>
      </c>
      <c r="I39">
        <v>13.8359375</v>
      </c>
      <c r="J39">
        <v>-1.25</v>
      </c>
      <c r="K39">
        <v>1.4</v>
      </c>
      <c r="L39" s="6">
        <v>54.479799999999997</v>
      </c>
      <c r="M39" s="6">
        <v>58.485500000000002</v>
      </c>
      <c r="N39" s="5">
        <v>36</v>
      </c>
      <c r="O39" s="6">
        <v>54.479799999999997</v>
      </c>
      <c r="P39" s="6">
        <v>58.485500000000002</v>
      </c>
    </row>
    <row r="40" spans="1:16" x14ac:dyDescent="0.25">
      <c r="A40" s="15" t="s">
        <v>38</v>
      </c>
      <c r="B40">
        <v>28</v>
      </c>
      <c r="C40">
        <v>12.3984375</v>
      </c>
      <c r="D40">
        <v>4</v>
      </c>
      <c r="E40">
        <v>3.5</v>
      </c>
      <c r="G40" s="15" t="s">
        <v>89</v>
      </c>
      <c r="H40">
        <v>37</v>
      </c>
      <c r="I40">
        <v>13.6859375</v>
      </c>
      <c r="J40">
        <v>-0.25</v>
      </c>
      <c r="K40">
        <v>4</v>
      </c>
      <c r="L40" s="6">
        <v>53.292099999999998</v>
      </c>
      <c r="M40" s="6">
        <v>58.122300000000003</v>
      </c>
      <c r="N40" s="5">
        <v>37</v>
      </c>
      <c r="O40" s="6">
        <v>53.292099999999998</v>
      </c>
      <c r="P40" s="6">
        <v>58.122300000000003</v>
      </c>
    </row>
    <row r="41" spans="1:16" x14ac:dyDescent="0.25">
      <c r="A41" s="15" t="s">
        <v>127</v>
      </c>
      <c r="B41">
        <v>46</v>
      </c>
      <c r="C41">
        <v>13.8359375</v>
      </c>
      <c r="D41">
        <v>4</v>
      </c>
      <c r="E41">
        <v>3</v>
      </c>
      <c r="G41" s="15" t="s">
        <v>23</v>
      </c>
      <c r="H41">
        <v>38</v>
      </c>
      <c r="I41">
        <v>13.5609375</v>
      </c>
      <c r="J41">
        <v>2.5</v>
      </c>
      <c r="K41">
        <v>1.3</v>
      </c>
      <c r="L41" s="6">
        <v>52.719099999999997</v>
      </c>
      <c r="M41" s="6">
        <v>57.586799999999997</v>
      </c>
      <c r="N41" s="5">
        <v>38</v>
      </c>
      <c r="O41" s="6">
        <v>52.719099999999997</v>
      </c>
      <c r="P41" s="6">
        <v>57.586799999999997</v>
      </c>
    </row>
    <row r="42" spans="1:16" x14ac:dyDescent="0.25">
      <c r="A42" s="15" t="s">
        <v>153</v>
      </c>
      <c r="B42">
        <v>47</v>
      </c>
      <c r="C42">
        <v>14.3609375</v>
      </c>
      <c r="D42">
        <v>4</v>
      </c>
      <c r="E42">
        <v>4.3</v>
      </c>
      <c r="G42" s="15" t="s">
        <v>22</v>
      </c>
      <c r="H42">
        <v>39</v>
      </c>
      <c r="I42">
        <v>13.910937500000001</v>
      </c>
      <c r="J42">
        <v>-0.25</v>
      </c>
      <c r="K42">
        <v>5.0999999999999996</v>
      </c>
      <c r="L42" s="6">
        <v>52.695900000000002</v>
      </c>
      <c r="M42" s="6">
        <v>57.122599999999998</v>
      </c>
      <c r="N42" s="5">
        <v>39</v>
      </c>
      <c r="O42" s="6">
        <v>52.695900000000002</v>
      </c>
      <c r="P42" s="6">
        <v>57.122599999999998</v>
      </c>
    </row>
    <row r="43" spans="1:16" x14ac:dyDescent="0.25">
      <c r="A43" s="15" t="s">
        <v>39</v>
      </c>
      <c r="B43">
        <v>45</v>
      </c>
      <c r="C43">
        <v>13.973437500000001</v>
      </c>
      <c r="D43">
        <v>4</v>
      </c>
      <c r="E43">
        <v>3.8</v>
      </c>
      <c r="G43" s="15" t="s">
        <v>121</v>
      </c>
      <c r="H43">
        <v>40</v>
      </c>
      <c r="I43">
        <v>13.1484375</v>
      </c>
      <c r="J43">
        <v>0.25</v>
      </c>
      <c r="K43">
        <v>2.9</v>
      </c>
      <c r="L43" s="6">
        <v>53.6783</v>
      </c>
      <c r="M43" s="6">
        <v>58.237099999999998</v>
      </c>
      <c r="N43" s="5">
        <v>40</v>
      </c>
      <c r="O43" s="6">
        <v>53.6783</v>
      </c>
      <c r="P43" s="6">
        <v>58.237099999999998</v>
      </c>
    </row>
    <row r="44" spans="1:16" x14ac:dyDescent="0.25">
      <c r="A44" s="15" t="s">
        <v>40</v>
      </c>
      <c r="B44">
        <v>24</v>
      </c>
      <c r="C44">
        <v>13.1859375</v>
      </c>
      <c r="D44">
        <v>4</v>
      </c>
      <c r="E44">
        <v>3.2</v>
      </c>
      <c r="G44" s="15" t="s">
        <v>124</v>
      </c>
      <c r="H44">
        <v>41</v>
      </c>
      <c r="I44">
        <v>13.923437499999999</v>
      </c>
      <c r="J44">
        <v>-0.75</v>
      </c>
      <c r="K44">
        <v>4.4000000000000004</v>
      </c>
      <c r="L44" s="6">
        <v>46.088500000000003</v>
      </c>
      <c r="M44" s="6">
        <v>56.861600000000003</v>
      </c>
      <c r="N44" s="5">
        <v>41</v>
      </c>
      <c r="O44" s="6">
        <v>46.088500000000003</v>
      </c>
      <c r="P44" s="6">
        <v>56.861600000000003</v>
      </c>
    </row>
    <row r="45" spans="1:16" x14ac:dyDescent="0.25">
      <c r="A45" s="15" t="s">
        <v>41</v>
      </c>
      <c r="B45">
        <v>33</v>
      </c>
      <c r="C45">
        <v>12.823437500000001</v>
      </c>
      <c r="D45">
        <v>4</v>
      </c>
      <c r="E45">
        <v>3.1</v>
      </c>
      <c r="G45" s="15" t="s">
        <v>34</v>
      </c>
      <c r="H45">
        <v>42</v>
      </c>
      <c r="I45">
        <v>13.473437499999999</v>
      </c>
      <c r="J45">
        <v>-0.25</v>
      </c>
      <c r="K45">
        <v>3.3</v>
      </c>
      <c r="L45" s="6">
        <v>52.128900000000002</v>
      </c>
      <c r="M45" s="6">
        <v>58.231000000000002</v>
      </c>
      <c r="N45" s="5">
        <v>42</v>
      </c>
      <c r="O45" s="6">
        <v>52.128900000000002</v>
      </c>
      <c r="P45" s="6">
        <v>58.231000000000002</v>
      </c>
    </row>
    <row r="46" spans="1:16" x14ac:dyDescent="0.25">
      <c r="A46" s="15" t="s">
        <v>154</v>
      </c>
      <c r="B46">
        <v>60</v>
      </c>
      <c r="C46">
        <v>15.0609375</v>
      </c>
      <c r="D46">
        <v>4</v>
      </c>
      <c r="E46">
        <v>1.6</v>
      </c>
      <c r="G46" s="15" t="s">
        <v>125</v>
      </c>
      <c r="H46">
        <v>43</v>
      </c>
      <c r="I46">
        <v>13.9609375</v>
      </c>
      <c r="J46">
        <v>-1.25</v>
      </c>
      <c r="K46">
        <v>2.8</v>
      </c>
      <c r="L46" s="6">
        <v>43.365000000000002</v>
      </c>
      <c r="M46" s="6">
        <v>55.739600000000003</v>
      </c>
      <c r="N46" s="5">
        <v>43</v>
      </c>
      <c r="O46" s="6">
        <v>43.365000000000002</v>
      </c>
      <c r="P46" s="6">
        <v>55.739600000000003</v>
      </c>
    </row>
    <row r="47" spans="1:16" x14ac:dyDescent="0.25">
      <c r="A47" s="15" t="s">
        <v>103</v>
      </c>
      <c r="B47">
        <v>58</v>
      </c>
      <c r="C47">
        <v>13.885937500000002</v>
      </c>
      <c r="D47">
        <v>4</v>
      </c>
      <c r="E47">
        <v>4.5999999999999996</v>
      </c>
      <c r="G47" s="15" t="s">
        <v>123</v>
      </c>
      <c r="H47">
        <v>44</v>
      </c>
      <c r="I47">
        <v>13.748437500000001</v>
      </c>
      <c r="J47">
        <v>-2</v>
      </c>
      <c r="K47">
        <v>3.9</v>
      </c>
      <c r="L47" s="6">
        <v>48.795299999999997</v>
      </c>
      <c r="M47" s="6">
        <v>57.080199999999998</v>
      </c>
      <c r="N47" s="5">
        <v>44</v>
      </c>
      <c r="O47" s="6">
        <v>48.795299999999997</v>
      </c>
      <c r="P47" s="6">
        <v>57.080199999999998</v>
      </c>
    </row>
    <row r="48" spans="1:16" x14ac:dyDescent="0.25">
      <c r="A48" s="15" t="s">
        <v>130</v>
      </c>
      <c r="B48">
        <v>25</v>
      </c>
      <c r="C48">
        <v>13.135937499999999</v>
      </c>
      <c r="D48">
        <v>4</v>
      </c>
      <c r="E48">
        <v>3.5</v>
      </c>
      <c r="G48" s="15" t="s">
        <v>39</v>
      </c>
      <c r="H48">
        <v>45</v>
      </c>
      <c r="I48">
        <v>13.973437500000001</v>
      </c>
      <c r="J48">
        <v>0</v>
      </c>
      <c r="K48">
        <v>3.8</v>
      </c>
      <c r="L48" s="6">
        <v>51.055599999999998</v>
      </c>
      <c r="M48" s="6">
        <v>56.9101</v>
      </c>
      <c r="N48" s="5">
        <v>45</v>
      </c>
      <c r="O48" s="6">
        <v>51.055599999999998</v>
      </c>
      <c r="P48" s="6">
        <v>56.9101</v>
      </c>
    </row>
    <row r="49" spans="1:16" x14ac:dyDescent="0.25">
      <c r="A49" s="15" t="s">
        <v>42</v>
      </c>
      <c r="B49">
        <v>34</v>
      </c>
      <c r="C49">
        <v>13.3984375</v>
      </c>
      <c r="D49">
        <v>4</v>
      </c>
      <c r="E49">
        <v>4</v>
      </c>
      <c r="G49" s="15" t="s">
        <v>127</v>
      </c>
      <c r="H49">
        <v>46</v>
      </c>
      <c r="I49">
        <v>13.8359375</v>
      </c>
      <c r="J49">
        <v>0.25</v>
      </c>
      <c r="K49">
        <v>3</v>
      </c>
      <c r="L49" s="6">
        <v>49.805100000000003</v>
      </c>
      <c r="M49" s="6">
        <v>57.323500000000003</v>
      </c>
      <c r="N49" s="5">
        <v>46</v>
      </c>
      <c r="O49" s="6">
        <v>49.805100000000003</v>
      </c>
      <c r="P49" s="6">
        <v>57.323500000000003</v>
      </c>
    </row>
    <row r="50" spans="1:16" x14ac:dyDescent="0.25">
      <c r="A50" s="15" t="s">
        <v>129</v>
      </c>
      <c r="B50">
        <v>35</v>
      </c>
      <c r="C50">
        <v>13.0484375</v>
      </c>
      <c r="D50">
        <v>4</v>
      </c>
      <c r="E50">
        <v>3.5</v>
      </c>
      <c r="G50" s="15" t="s">
        <v>153</v>
      </c>
      <c r="H50">
        <v>47</v>
      </c>
      <c r="I50">
        <v>14.3609375</v>
      </c>
      <c r="J50">
        <v>-0.25</v>
      </c>
      <c r="K50">
        <v>4.3</v>
      </c>
      <c r="L50" s="6">
        <v>50.1004</v>
      </c>
      <c r="M50" s="6">
        <v>58.543199999999999</v>
      </c>
      <c r="N50" s="5">
        <v>47</v>
      </c>
      <c r="O50" s="6">
        <v>50.1004</v>
      </c>
      <c r="P50" s="6">
        <v>58.543199999999999</v>
      </c>
    </row>
    <row r="51" spans="1:16" x14ac:dyDescent="0.25">
      <c r="A51" s="15" t="s">
        <v>43</v>
      </c>
      <c r="B51">
        <v>57</v>
      </c>
      <c r="C51">
        <v>13.4859375</v>
      </c>
      <c r="D51">
        <v>4</v>
      </c>
      <c r="E51">
        <v>4.4000000000000004</v>
      </c>
      <c r="G51" s="15" t="s">
        <v>152</v>
      </c>
      <c r="H51">
        <v>48</v>
      </c>
      <c r="I51">
        <v>14.848437499999999</v>
      </c>
      <c r="J51">
        <v>2.25</v>
      </c>
      <c r="K51">
        <v>1</v>
      </c>
      <c r="L51" s="6">
        <v>44.662199999999999</v>
      </c>
      <c r="M51" s="6">
        <v>55.605899999999998</v>
      </c>
      <c r="N51" s="5">
        <v>48</v>
      </c>
      <c r="O51" s="6">
        <v>44.662199999999999</v>
      </c>
      <c r="P51" s="6">
        <v>55.605899999999998</v>
      </c>
    </row>
    <row r="52" spans="1:16" x14ac:dyDescent="0.25">
      <c r="A52" s="15" t="s">
        <v>151</v>
      </c>
      <c r="B52">
        <v>49</v>
      </c>
      <c r="C52">
        <v>14.635937500000001</v>
      </c>
      <c r="D52">
        <v>4</v>
      </c>
      <c r="E52">
        <v>1.3</v>
      </c>
      <c r="G52" s="15" t="s">
        <v>151</v>
      </c>
      <c r="H52">
        <v>49</v>
      </c>
      <c r="I52">
        <v>14.635937500000001</v>
      </c>
      <c r="J52">
        <v>1</v>
      </c>
      <c r="K52">
        <v>1.3</v>
      </c>
      <c r="L52" s="6">
        <v>47.808</v>
      </c>
      <c r="M52" s="6">
        <v>55.752200000000002</v>
      </c>
      <c r="N52" s="5">
        <v>49</v>
      </c>
      <c r="O52" s="6">
        <v>47.808</v>
      </c>
      <c r="P52" s="6">
        <v>55.752200000000002</v>
      </c>
    </row>
    <row r="53" spans="1:16" x14ac:dyDescent="0.25">
      <c r="A53" s="15" t="s">
        <v>152</v>
      </c>
      <c r="B53">
        <v>48</v>
      </c>
      <c r="C53">
        <v>14.848437499999999</v>
      </c>
      <c r="D53">
        <v>4</v>
      </c>
      <c r="E53">
        <v>1</v>
      </c>
      <c r="G53" s="15" t="s">
        <v>43</v>
      </c>
      <c r="H53">
        <v>57</v>
      </c>
      <c r="I53">
        <v>13.4859375</v>
      </c>
      <c r="J53">
        <v>0</v>
      </c>
      <c r="K53">
        <v>4.4000000000000004</v>
      </c>
      <c r="L53" s="6">
        <v>49.5627</v>
      </c>
      <c r="M53" s="6">
        <v>56.209600000000002</v>
      </c>
      <c r="N53" s="5">
        <v>57</v>
      </c>
      <c r="O53" s="6">
        <v>49.5627</v>
      </c>
      <c r="P53" s="6">
        <v>56.209600000000002</v>
      </c>
    </row>
    <row r="54" spans="1:16" x14ac:dyDescent="0.25">
      <c r="A54" s="15" t="s">
        <v>44</v>
      </c>
      <c r="B54">
        <v>26</v>
      </c>
      <c r="C54">
        <v>12.848437500000001</v>
      </c>
      <c r="D54">
        <v>4</v>
      </c>
      <c r="E54">
        <v>4.4000000000000004</v>
      </c>
      <c r="G54" s="15" t="s">
        <v>103</v>
      </c>
      <c r="H54">
        <v>58</v>
      </c>
      <c r="I54">
        <v>13.885937500000002</v>
      </c>
      <c r="J54">
        <v>-1.25</v>
      </c>
      <c r="K54">
        <v>4.5999999999999996</v>
      </c>
      <c r="L54" s="6">
        <v>45.8414</v>
      </c>
      <c r="M54" s="6">
        <v>56.893500000000003</v>
      </c>
      <c r="N54" s="5">
        <v>58</v>
      </c>
      <c r="O54" s="6">
        <v>45.8414</v>
      </c>
      <c r="P54" s="6">
        <v>56.893500000000003</v>
      </c>
    </row>
    <row r="55" spans="1:16" x14ac:dyDescent="0.25">
      <c r="A55" s="15" t="s">
        <v>45</v>
      </c>
      <c r="B55">
        <v>36</v>
      </c>
      <c r="C55">
        <v>13.8359375</v>
      </c>
      <c r="D55">
        <v>4</v>
      </c>
      <c r="E55">
        <v>1.4</v>
      </c>
      <c r="G55" s="15" t="s">
        <v>154</v>
      </c>
      <c r="H55">
        <v>60</v>
      </c>
      <c r="I55">
        <v>15.0609375</v>
      </c>
      <c r="J55">
        <v>6.75</v>
      </c>
      <c r="K55">
        <v>1.6</v>
      </c>
      <c r="L55" s="6">
        <v>37.337400000000002</v>
      </c>
      <c r="M55" s="6">
        <v>53.984900000000003</v>
      </c>
      <c r="N55" s="5">
        <v>60</v>
      </c>
      <c r="O55" s="6">
        <v>37.337400000000002</v>
      </c>
      <c r="P55" s="6">
        <v>53.984900000000003</v>
      </c>
    </row>
    <row r="56" spans="1:16" x14ac:dyDescent="0.25">
      <c r="A56" s="15" t="s">
        <v>106</v>
      </c>
      <c r="B56">
        <v>60</v>
      </c>
      <c r="C56">
        <v>13.585903614457818</v>
      </c>
      <c r="D56">
        <v>208</v>
      </c>
      <c r="E56">
        <v>3.0115606936416186</v>
      </c>
    </row>
  </sheetData>
  <sortState xmlns:xlrd2="http://schemas.microsoft.com/office/spreadsheetml/2017/richdata2" ref="G4:K55">
    <sortCondition ref="H4:H5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0313-320F-4D67-BBCC-08D8952299F1}">
  <dimension ref="A1:CN1328"/>
  <sheetViews>
    <sheetView topLeftCell="A9" zoomScale="85" zoomScaleNormal="85" workbookViewId="0">
      <selection activeCell="J39" sqref="J39"/>
    </sheetView>
  </sheetViews>
  <sheetFormatPr defaultRowHeight="15.75" x14ac:dyDescent="0.25"/>
  <cols>
    <col min="22" max="22" width="9.5" bestFit="1" customWidth="1"/>
    <col min="58" max="58" width="11.875" bestFit="1" customWidth="1"/>
  </cols>
  <sheetData>
    <row r="1" spans="1:92" ht="15.6" customHeight="1" thickBot="1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</v>
      </c>
      <c r="G1" s="1" t="s">
        <v>6</v>
      </c>
      <c r="H1" s="1" t="s">
        <v>131</v>
      </c>
      <c r="I1" s="1" t="s">
        <v>158</v>
      </c>
      <c r="J1" s="1"/>
      <c r="L1" t="s">
        <v>171</v>
      </c>
      <c r="S1" s="63" t="s">
        <v>102</v>
      </c>
      <c r="T1" s="65"/>
      <c r="U1" s="65"/>
      <c r="V1" s="65"/>
      <c r="W1" s="65"/>
      <c r="X1" s="65"/>
      <c r="Y1" s="65"/>
      <c r="Z1" s="65"/>
      <c r="AA1" s="65"/>
      <c r="AB1" s="65"/>
      <c r="AD1">
        <v>0.3</v>
      </c>
      <c r="AE1" t="s">
        <v>104</v>
      </c>
      <c r="AJ1" t="s">
        <v>146</v>
      </c>
      <c r="AQ1" t="s">
        <v>5</v>
      </c>
      <c r="AR1">
        <v>0.05</v>
      </c>
      <c r="AW1" t="s">
        <v>5</v>
      </c>
      <c r="AX1">
        <v>0.3</v>
      </c>
      <c r="BC1" t="s">
        <v>5</v>
      </c>
      <c r="BS1" t="s">
        <v>5</v>
      </c>
      <c r="BT1">
        <v>0.05</v>
      </c>
      <c r="BY1" t="s">
        <v>5</v>
      </c>
      <c r="BZ1">
        <v>0.3</v>
      </c>
      <c r="CE1" t="s">
        <v>5</v>
      </c>
    </row>
    <row r="2" spans="1:92" ht="32.25" thickBot="1" x14ac:dyDescent="0.3">
      <c r="A2" t="s">
        <v>7</v>
      </c>
      <c r="B2" s="11">
        <v>1</v>
      </c>
      <c r="C2" s="11">
        <v>1</v>
      </c>
      <c r="D2" s="11">
        <v>1</v>
      </c>
      <c r="E2" s="11">
        <v>42</v>
      </c>
      <c r="F2" s="12">
        <v>57.6</v>
      </c>
      <c r="G2">
        <v>54.166433823529403</v>
      </c>
      <c r="H2">
        <v>10.199999999999999</v>
      </c>
      <c r="I2" t="s">
        <v>12</v>
      </c>
      <c r="J2" s="11"/>
      <c r="L2" t="s">
        <v>98</v>
      </c>
      <c r="S2" s="64" t="s">
        <v>46</v>
      </c>
      <c r="T2" s="66" t="s">
        <v>47</v>
      </c>
      <c r="U2" s="66" t="s">
        <v>48</v>
      </c>
      <c r="V2" s="5" t="s">
        <v>49</v>
      </c>
      <c r="W2" s="66" t="s">
        <v>50</v>
      </c>
      <c r="X2" s="66" t="s">
        <v>51</v>
      </c>
      <c r="Y2" s="66" t="s">
        <v>52</v>
      </c>
      <c r="Z2" s="66" t="s">
        <v>53</v>
      </c>
      <c r="AA2" s="66" t="s">
        <v>54</v>
      </c>
      <c r="AB2" s="66" t="s">
        <v>55</v>
      </c>
      <c r="AD2" s="16" t="s">
        <v>56</v>
      </c>
      <c r="AE2" s="7" t="s">
        <v>57</v>
      </c>
      <c r="AF2" s="7" t="s">
        <v>48</v>
      </c>
      <c r="AG2" s="7" t="s">
        <v>58</v>
      </c>
      <c r="AH2" s="7" t="s">
        <v>50</v>
      </c>
      <c r="AJ2" s="16" t="s">
        <v>56</v>
      </c>
      <c r="AK2" s="7" t="s">
        <v>57</v>
      </c>
      <c r="AL2" s="7" t="s">
        <v>48</v>
      </c>
      <c r="AM2" s="7" t="s">
        <v>58</v>
      </c>
      <c r="AN2" s="7" t="s">
        <v>50</v>
      </c>
      <c r="AQ2" s="16" t="s">
        <v>56</v>
      </c>
      <c r="AR2" s="7" t="s">
        <v>57</v>
      </c>
      <c r="AS2" s="7" t="s">
        <v>48</v>
      </c>
      <c r="AT2" s="7" t="s">
        <v>58</v>
      </c>
      <c r="AU2" s="7" t="s">
        <v>50</v>
      </c>
      <c r="AW2" s="16" t="s">
        <v>56</v>
      </c>
      <c r="AX2" s="7" t="s">
        <v>57</v>
      </c>
      <c r="AY2" s="7" t="s">
        <v>48</v>
      </c>
      <c r="AZ2" s="7" t="s">
        <v>58</v>
      </c>
      <c r="BA2" s="7" t="s">
        <v>50</v>
      </c>
      <c r="BC2" s="63" t="s">
        <v>46</v>
      </c>
      <c r="BD2" s="65" t="s">
        <v>47</v>
      </c>
      <c r="BE2" s="65" t="s">
        <v>48</v>
      </c>
      <c r="BF2" s="7" t="s">
        <v>49</v>
      </c>
      <c r="BG2" s="65" t="s">
        <v>50</v>
      </c>
      <c r="BH2" s="65" t="s">
        <v>51</v>
      </c>
      <c r="BI2" s="65" t="s">
        <v>52</v>
      </c>
      <c r="BJ2" s="65" t="s">
        <v>53</v>
      </c>
      <c r="BK2" s="65" t="s">
        <v>54</v>
      </c>
      <c r="BL2" s="65" t="s">
        <v>55</v>
      </c>
      <c r="BN2" s="16" t="s">
        <v>167</v>
      </c>
      <c r="BO2" s="7" t="s">
        <v>168</v>
      </c>
      <c r="BP2" s="7" t="s">
        <v>169</v>
      </c>
      <c r="BQ2" s="7" t="s">
        <v>170</v>
      </c>
      <c r="BS2" s="16" t="s">
        <v>56</v>
      </c>
      <c r="BT2" s="7" t="s">
        <v>57</v>
      </c>
      <c r="BU2" s="7" t="s">
        <v>48</v>
      </c>
      <c r="BV2" s="7" t="s">
        <v>58</v>
      </c>
      <c r="BW2" s="7" t="s">
        <v>50</v>
      </c>
      <c r="BY2" s="16" t="s">
        <v>56</v>
      </c>
      <c r="BZ2" s="7" t="s">
        <v>57</v>
      </c>
      <c r="CA2" s="7" t="s">
        <v>48</v>
      </c>
      <c r="CB2" s="7" t="s">
        <v>58</v>
      </c>
      <c r="CC2" s="7" t="s">
        <v>50</v>
      </c>
      <c r="CE2" s="63" t="s">
        <v>46</v>
      </c>
      <c r="CF2" s="65" t="s">
        <v>47</v>
      </c>
      <c r="CG2" s="65" t="s">
        <v>48</v>
      </c>
      <c r="CH2" s="7" t="s">
        <v>49</v>
      </c>
      <c r="CI2" s="65" t="s">
        <v>50</v>
      </c>
      <c r="CJ2" s="65" t="s">
        <v>51</v>
      </c>
      <c r="CK2" s="65" t="s">
        <v>52</v>
      </c>
      <c r="CL2" s="65" t="s">
        <v>53</v>
      </c>
      <c r="CM2" s="65" t="s">
        <v>54</v>
      </c>
      <c r="CN2" s="65" t="s">
        <v>55</v>
      </c>
    </row>
    <row r="3" spans="1:92" ht="16.5" thickBot="1" x14ac:dyDescent="0.3">
      <c r="A3" t="s">
        <v>7</v>
      </c>
      <c r="B3" s="11">
        <v>1</v>
      </c>
      <c r="C3" s="11">
        <v>2</v>
      </c>
      <c r="D3" s="11">
        <v>1</v>
      </c>
      <c r="E3" s="11">
        <v>38</v>
      </c>
      <c r="F3" s="12">
        <v>51</v>
      </c>
      <c r="G3">
        <v>53.994233193277296</v>
      </c>
      <c r="H3">
        <v>11.5</v>
      </c>
      <c r="I3" t="s">
        <v>12</v>
      </c>
      <c r="J3" s="11"/>
      <c r="L3" t="s">
        <v>9</v>
      </c>
      <c r="S3" s="64"/>
      <c r="T3" s="66"/>
      <c r="U3" s="66"/>
      <c r="V3" s="5" t="s">
        <v>59</v>
      </c>
      <c r="W3" s="66"/>
      <c r="X3" s="66"/>
      <c r="Y3" s="66"/>
      <c r="Z3" s="66"/>
      <c r="AA3" s="66"/>
      <c r="AB3" s="66"/>
      <c r="AD3" s="16">
        <v>1</v>
      </c>
      <c r="AE3" s="56">
        <v>3.0405600000000002</v>
      </c>
      <c r="AF3" s="56">
        <v>3.0489999999999999</v>
      </c>
      <c r="AG3" s="56">
        <v>2.9277000000000002</v>
      </c>
      <c r="AH3" s="56">
        <v>255</v>
      </c>
      <c r="AJ3" s="16">
        <v>1</v>
      </c>
      <c r="AK3" s="56">
        <v>5.7655700000000003</v>
      </c>
      <c r="AL3" s="56">
        <v>3.0489999999999999</v>
      </c>
      <c r="AM3" s="56">
        <v>2.9277000000000002</v>
      </c>
      <c r="AN3" s="56">
        <v>255</v>
      </c>
      <c r="AQ3" s="16">
        <v>1</v>
      </c>
      <c r="AR3" s="56">
        <v>1.6159300000000001</v>
      </c>
      <c r="AS3" s="57">
        <v>-1.2971999999999999</v>
      </c>
      <c r="AT3" s="56">
        <v>0.8206</v>
      </c>
      <c r="AU3" s="56">
        <v>255</v>
      </c>
      <c r="AW3" s="16">
        <v>1</v>
      </c>
      <c r="AX3" s="56">
        <v>0.85219</v>
      </c>
      <c r="AY3" s="57">
        <v>-1.2971999999999999</v>
      </c>
      <c r="AZ3" s="56">
        <v>0.8206</v>
      </c>
      <c r="BA3" s="56">
        <v>255</v>
      </c>
      <c r="BC3" s="68"/>
      <c r="BD3" s="67"/>
      <c r="BE3" s="67"/>
      <c r="BF3" s="5" t="s">
        <v>59</v>
      </c>
      <c r="BG3" s="67"/>
      <c r="BH3" s="67"/>
      <c r="BI3" s="67"/>
      <c r="BJ3" s="67"/>
      <c r="BK3" s="67"/>
      <c r="BL3" s="67"/>
      <c r="BN3" s="17">
        <v>1</v>
      </c>
      <c r="BO3" s="6">
        <v>54.166433820000002</v>
      </c>
      <c r="BP3" s="6">
        <v>51.258570249999998</v>
      </c>
      <c r="BQ3" s="6">
        <v>2.90786357</v>
      </c>
      <c r="BS3" s="16"/>
      <c r="BT3" s="56"/>
      <c r="BU3" s="57"/>
      <c r="BV3" s="56"/>
      <c r="BW3" s="56"/>
      <c r="BY3" s="16"/>
      <c r="BZ3" s="56"/>
      <c r="CA3" s="57"/>
      <c r="CB3" s="56"/>
      <c r="CC3" s="56"/>
      <c r="CE3" s="68"/>
      <c r="CF3" s="67"/>
      <c r="CG3" s="67"/>
      <c r="CH3" s="5" t="s">
        <v>59</v>
      </c>
      <c r="CI3" s="67"/>
      <c r="CJ3" s="67"/>
      <c r="CK3" s="67"/>
      <c r="CL3" s="67"/>
      <c r="CM3" s="67"/>
      <c r="CN3" s="67"/>
    </row>
    <row r="4" spans="1:92" x14ac:dyDescent="0.25">
      <c r="A4" t="s">
        <v>7</v>
      </c>
      <c r="B4" s="11">
        <v>1</v>
      </c>
      <c r="C4" s="11">
        <v>3</v>
      </c>
      <c r="D4" s="11">
        <v>1</v>
      </c>
      <c r="E4" s="11">
        <v>7</v>
      </c>
      <c r="F4" s="12">
        <v>54.1</v>
      </c>
      <c r="G4">
        <v>42.326659663865534</v>
      </c>
      <c r="H4">
        <v>11.3</v>
      </c>
      <c r="I4" t="s">
        <v>12</v>
      </c>
      <c r="J4" s="11"/>
      <c r="S4" s="16" t="s">
        <v>47</v>
      </c>
      <c r="T4" s="7">
        <v>1</v>
      </c>
      <c r="U4" s="56">
        <v>55.968400000000003</v>
      </c>
      <c r="V4" s="56">
        <v>7.7617000000000003</v>
      </c>
      <c r="W4" s="56">
        <v>255</v>
      </c>
      <c r="X4" s="56">
        <v>7.21</v>
      </c>
      <c r="Y4" s="56" t="s">
        <v>65</v>
      </c>
      <c r="Z4" s="56">
        <v>0.3</v>
      </c>
      <c r="AA4" s="56">
        <v>47.907600000000002</v>
      </c>
      <c r="AB4" s="56">
        <v>64.029300000000006</v>
      </c>
      <c r="AD4" s="17">
        <v>2</v>
      </c>
      <c r="AE4" s="6">
        <v>3.0349400000000002</v>
      </c>
      <c r="AF4" s="6">
        <v>1.9117999999999999</v>
      </c>
      <c r="AG4" s="6">
        <v>2.9222999999999999</v>
      </c>
      <c r="AH4" s="6">
        <v>255</v>
      </c>
      <c r="AJ4" s="17">
        <v>2</v>
      </c>
      <c r="AK4" s="6">
        <v>5.7549099999999997</v>
      </c>
      <c r="AL4" s="6">
        <v>1.9117999999999999</v>
      </c>
      <c r="AM4" s="6">
        <v>2.9222999999999999</v>
      </c>
      <c r="AN4" s="6">
        <v>255</v>
      </c>
      <c r="AQ4" s="17">
        <v>2</v>
      </c>
      <c r="AR4" s="6">
        <v>1.5855999999999999</v>
      </c>
      <c r="AS4" s="19">
        <v>-2</v>
      </c>
      <c r="AT4" s="6">
        <v>0.80520000000000003</v>
      </c>
      <c r="AU4" s="6">
        <v>255</v>
      </c>
      <c r="AW4" s="17">
        <v>2</v>
      </c>
      <c r="AX4" s="6">
        <v>0.83618999999999999</v>
      </c>
      <c r="AY4" s="19">
        <v>-2</v>
      </c>
      <c r="AZ4" s="6">
        <v>0.80520000000000003</v>
      </c>
      <c r="BA4" s="6">
        <v>255</v>
      </c>
      <c r="BC4" s="16" t="s">
        <v>47</v>
      </c>
      <c r="BD4" s="7">
        <v>1</v>
      </c>
      <c r="BE4" s="56">
        <v>57.151800000000001</v>
      </c>
      <c r="BF4" s="56">
        <v>1.1009</v>
      </c>
      <c r="BG4" s="56">
        <v>255</v>
      </c>
      <c r="BH4" s="56">
        <v>51.91</v>
      </c>
      <c r="BI4" s="56" t="s">
        <v>65</v>
      </c>
      <c r="BJ4" s="56">
        <v>0.05</v>
      </c>
      <c r="BK4" s="56">
        <v>54.983800000000002</v>
      </c>
      <c r="BL4" s="56">
        <v>59.319800000000001</v>
      </c>
      <c r="BN4" s="17">
        <v>2</v>
      </c>
      <c r="BO4" s="6">
        <v>53.994233190000003</v>
      </c>
      <c r="BP4" s="6">
        <v>54.874293870000002</v>
      </c>
      <c r="BQ4" s="19">
        <v>-0.88006068000000004</v>
      </c>
    </row>
    <row r="5" spans="1:92" x14ac:dyDescent="0.25">
      <c r="A5" t="s">
        <v>7</v>
      </c>
      <c r="B5" s="11">
        <v>1</v>
      </c>
      <c r="C5" s="11">
        <v>4</v>
      </c>
      <c r="D5" s="11">
        <v>1</v>
      </c>
      <c r="E5" s="11">
        <v>11</v>
      </c>
      <c r="F5" s="12">
        <v>55.8</v>
      </c>
      <c r="G5">
        <v>52.804852941176456</v>
      </c>
      <c r="H5">
        <v>10.6</v>
      </c>
      <c r="I5" t="s">
        <v>12</v>
      </c>
      <c r="J5" s="11"/>
      <c r="S5" s="17" t="s">
        <v>47</v>
      </c>
      <c r="T5" s="5">
        <v>2</v>
      </c>
      <c r="U5" s="6">
        <v>52.919499999999999</v>
      </c>
      <c r="V5" s="6">
        <v>7.7622999999999998</v>
      </c>
      <c r="W5" s="6">
        <v>255</v>
      </c>
      <c r="X5" s="6">
        <v>6.82</v>
      </c>
      <c r="Y5" s="6" t="s">
        <v>65</v>
      </c>
      <c r="Z5" s="6">
        <v>0.3</v>
      </c>
      <c r="AA5" s="6">
        <v>44.857999999999997</v>
      </c>
      <c r="AB5" s="6">
        <v>60.981000000000002</v>
      </c>
      <c r="AD5" s="17">
        <v>3</v>
      </c>
      <c r="AE5" s="6">
        <v>3.0485000000000002</v>
      </c>
      <c r="AF5" s="6">
        <v>4.5564</v>
      </c>
      <c r="AG5" s="6">
        <v>2.9354</v>
      </c>
      <c r="AH5" s="6">
        <v>255</v>
      </c>
      <c r="AJ5" s="17">
        <v>3</v>
      </c>
      <c r="AK5" s="6">
        <v>5.7806199999999999</v>
      </c>
      <c r="AL5" s="6">
        <v>4.5564</v>
      </c>
      <c r="AM5" s="6">
        <v>2.9354</v>
      </c>
      <c r="AN5" s="6">
        <v>255</v>
      </c>
      <c r="AQ5" s="17">
        <v>3</v>
      </c>
      <c r="AR5" s="6">
        <v>1.5908500000000001</v>
      </c>
      <c r="AS5" s="6">
        <v>1.7758</v>
      </c>
      <c r="AT5" s="6">
        <v>0.80779999999999996</v>
      </c>
      <c r="AU5" s="6">
        <v>255</v>
      </c>
      <c r="AW5" s="17">
        <v>3</v>
      </c>
      <c r="AX5" s="6">
        <v>0.83896000000000004</v>
      </c>
      <c r="AY5" s="6">
        <v>1.7758</v>
      </c>
      <c r="AZ5" s="6">
        <v>0.80779999999999996</v>
      </c>
      <c r="BA5" s="6">
        <v>255</v>
      </c>
      <c r="BC5" s="17" t="s">
        <v>47</v>
      </c>
      <c r="BD5" s="5">
        <v>2</v>
      </c>
      <c r="BE5" s="6">
        <v>58.448999999999998</v>
      </c>
      <c r="BF5" s="6">
        <v>1.1108</v>
      </c>
      <c r="BG5" s="6">
        <v>255</v>
      </c>
      <c r="BH5" s="6">
        <v>52.62</v>
      </c>
      <c r="BI5" s="6" t="s">
        <v>65</v>
      </c>
      <c r="BJ5" s="6">
        <v>0.05</v>
      </c>
      <c r="BK5" s="6">
        <v>56.261400000000002</v>
      </c>
      <c r="BL5" s="6">
        <v>60.636600000000001</v>
      </c>
      <c r="BN5" s="17">
        <v>3</v>
      </c>
      <c r="BO5" s="6">
        <v>42.326659659999997</v>
      </c>
      <c r="BP5" s="6">
        <v>39.086771120000002</v>
      </c>
      <c r="BQ5" s="6">
        <v>3.2398885399999999</v>
      </c>
    </row>
    <row r="6" spans="1:92" x14ac:dyDescent="0.25">
      <c r="A6" t="s">
        <v>7</v>
      </c>
      <c r="B6" s="11">
        <v>1</v>
      </c>
      <c r="C6" s="11">
        <v>5</v>
      </c>
      <c r="D6" s="11">
        <v>1</v>
      </c>
      <c r="E6" s="11">
        <v>5</v>
      </c>
      <c r="F6" s="12">
        <v>52.1</v>
      </c>
      <c r="G6">
        <v>49.395110294117636</v>
      </c>
      <c r="H6">
        <v>10.7</v>
      </c>
      <c r="I6" t="s">
        <v>12</v>
      </c>
      <c r="J6" s="11"/>
      <c r="S6" s="17" t="s">
        <v>47</v>
      </c>
      <c r="T6" s="5">
        <v>3</v>
      </c>
      <c r="U6" s="6">
        <v>54.056699999999999</v>
      </c>
      <c r="V6" s="6">
        <v>7.7617000000000003</v>
      </c>
      <c r="W6" s="6">
        <v>255</v>
      </c>
      <c r="X6" s="6">
        <v>6.96</v>
      </c>
      <c r="Y6" s="6" t="s">
        <v>65</v>
      </c>
      <c r="Z6" s="6">
        <v>0.3</v>
      </c>
      <c r="AA6" s="6">
        <v>45.995800000000003</v>
      </c>
      <c r="AB6" s="6">
        <v>62.1175</v>
      </c>
      <c r="AD6" s="17">
        <v>4</v>
      </c>
      <c r="AE6" s="6">
        <v>3.0242</v>
      </c>
      <c r="AF6" s="6">
        <v>2.0821999999999998</v>
      </c>
      <c r="AG6" s="6">
        <v>2.9119999999999999</v>
      </c>
      <c r="AH6" s="6">
        <v>255</v>
      </c>
      <c r="AJ6" s="17">
        <v>4</v>
      </c>
      <c r="AK6" s="6">
        <v>5.73454</v>
      </c>
      <c r="AL6" s="6">
        <v>2.0821999999999998</v>
      </c>
      <c r="AM6" s="6">
        <v>2.9119999999999999</v>
      </c>
      <c r="AN6" s="6">
        <v>255</v>
      </c>
      <c r="AQ6" s="17">
        <v>4</v>
      </c>
      <c r="AR6" s="6">
        <v>1.58097</v>
      </c>
      <c r="AS6" s="6">
        <v>0.4355</v>
      </c>
      <c r="AT6" s="6">
        <v>0.80279999999999996</v>
      </c>
      <c r="AU6" s="6">
        <v>255</v>
      </c>
      <c r="AW6" s="17">
        <v>4</v>
      </c>
      <c r="AX6" s="6">
        <v>0.83374999999999999</v>
      </c>
      <c r="AY6" s="6">
        <v>0.4355</v>
      </c>
      <c r="AZ6" s="6">
        <v>0.80279999999999996</v>
      </c>
      <c r="BA6" s="6">
        <v>255</v>
      </c>
      <c r="BC6" s="17" t="s">
        <v>47</v>
      </c>
      <c r="BD6" s="5">
        <v>3</v>
      </c>
      <c r="BE6" s="6">
        <v>59.151800000000001</v>
      </c>
      <c r="BF6" s="6">
        <v>1.1008</v>
      </c>
      <c r="BG6" s="6">
        <v>255</v>
      </c>
      <c r="BH6" s="6">
        <v>53.73</v>
      </c>
      <c r="BI6" s="6" t="s">
        <v>65</v>
      </c>
      <c r="BJ6" s="6">
        <v>0.05</v>
      </c>
      <c r="BK6" s="6">
        <v>56.983899999999998</v>
      </c>
      <c r="BL6" s="6">
        <v>61.319600000000001</v>
      </c>
      <c r="BN6" s="17">
        <v>4</v>
      </c>
      <c r="BO6" s="6">
        <v>52.804852940000004</v>
      </c>
      <c r="BP6" s="6">
        <v>50.784172900000002</v>
      </c>
      <c r="BQ6" s="6">
        <v>2.0206800399999998</v>
      </c>
    </row>
    <row r="7" spans="1:92" x14ac:dyDescent="0.25">
      <c r="A7" t="s">
        <v>7</v>
      </c>
      <c r="B7" s="11">
        <v>1</v>
      </c>
      <c r="C7" s="11">
        <v>6</v>
      </c>
      <c r="D7" s="11">
        <v>1</v>
      </c>
      <c r="E7" s="11">
        <v>57</v>
      </c>
      <c r="F7" s="12">
        <v>55.5</v>
      </c>
      <c r="G7">
        <v>46.004369747899155</v>
      </c>
      <c r="H7">
        <v>10.4</v>
      </c>
      <c r="I7" t="s">
        <v>12</v>
      </c>
      <c r="J7" s="11"/>
      <c r="S7" s="17" t="s">
        <v>47</v>
      </c>
      <c r="T7" s="5">
        <v>4</v>
      </c>
      <c r="U7" s="6">
        <v>51.412100000000002</v>
      </c>
      <c r="V7" s="6">
        <v>7.7633000000000001</v>
      </c>
      <c r="W7" s="6">
        <v>255</v>
      </c>
      <c r="X7" s="6">
        <v>6.62</v>
      </c>
      <c r="Y7" s="6" t="s">
        <v>65</v>
      </c>
      <c r="Z7" s="6">
        <v>0.3</v>
      </c>
      <c r="AA7" s="6">
        <v>43.349499999999999</v>
      </c>
      <c r="AB7" s="6">
        <v>59.474699999999999</v>
      </c>
      <c r="AD7" s="17">
        <v>5</v>
      </c>
      <c r="AE7" s="6">
        <v>3.0419200000000002</v>
      </c>
      <c r="AF7" s="6">
        <v>8.3229000000000006</v>
      </c>
      <c r="AG7" s="6">
        <v>2.9289999999999998</v>
      </c>
      <c r="AH7" s="6">
        <v>255</v>
      </c>
      <c r="AJ7" s="17">
        <v>5</v>
      </c>
      <c r="AK7" s="6">
        <v>5.7681399999999998</v>
      </c>
      <c r="AL7" s="6">
        <v>8.3229000000000006</v>
      </c>
      <c r="AM7" s="6">
        <v>2.9289999999999998</v>
      </c>
      <c r="AN7" s="6">
        <v>255</v>
      </c>
      <c r="AQ7" s="17">
        <v>5</v>
      </c>
      <c r="AR7" s="6">
        <v>1.58731</v>
      </c>
      <c r="AS7" s="19">
        <v>-0.26979999999999998</v>
      </c>
      <c r="AT7" s="6">
        <v>0.80600000000000005</v>
      </c>
      <c r="AU7" s="6">
        <v>255</v>
      </c>
      <c r="AW7" s="17">
        <v>5</v>
      </c>
      <c r="AX7" s="6">
        <v>0.83709</v>
      </c>
      <c r="AY7" s="19">
        <v>-0.26979999999999998</v>
      </c>
      <c r="AZ7" s="6">
        <v>0.80600000000000005</v>
      </c>
      <c r="BA7" s="6">
        <v>255</v>
      </c>
      <c r="BC7" s="17" t="s">
        <v>47</v>
      </c>
      <c r="BD7" s="5">
        <v>4</v>
      </c>
      <c r="BE7" s="6">
        <v>55.375999999999998</v>
      </c>
      <c r="BF7" s="6">
        <v>1.1011</v>
      </c>
      <c r="BG7" s="6">
        <v>255</v>
      </c>
      <c r="BH7" s="6">
        <v>50.29</v>
      </c>
      <c r="BI7" s="6" t="s">
        <v>65</v>
      </c>
      <c r="BJ7" s="6">
        <v>0.05</v>
      </c>
      <c r="BK7" s="6">
        <v>53.207500000000003</v>
      </c>
      <c r="BL7" s="6">
        <v>57.544499999999999</v>
      </c>
      <c r="BN7" s="17">
        <v>5</v>
      </c>
      <c r="BO7" s="6">
        <v>49.395110289999998</v>
      </c>
      <c r="BP7" s="6">
        <v>48.631638389999999</v>
      </c>
      <c r="BQ7" s="6">
        <v>0.76347189999999998</v>
      </c>
    </row>
    <row r="8" spans="1:92" x14ac:dyDescent="0.25">
      <c r="A8" t="s">
        <v>7</v>
      </c>
      <c r="B8" s="11">
        <v>1</v>
      </c>
      <c r="C8" s="11">
        <v>7</v>
      </c>
      <c r="D8" s="11">
        <v>1</v>
      </c>
      <c r="E8" s="11">
        <v>3</v>
      </c>
      <c r="F8" s="12">
        <v>55.5</v>
      </c>
      <c r="G8">
        <v>46.724464285714269</v>
      </c>
      <c r="H8">
        <v>10.9</v>
      </c>
      <c r="I8" t="s">
        <v>12</v>
      </c>
      <c r="J8" s="11"/>
      <c r="S8" s="17" t="s">
        <v>47</v>
      </c>
      <c r="T8" s="5">
        <v>5</v>
      </c>
      <c r="U8" s="6">
        <v>53.886299999999999</v>
      </c>
      <c r="V8" s="6">
        <v>7.7615999999999996</v>
      </c>
      <c r="W8" s="6">
        <v>255</v>
      </c>
      <c r="X8" s="6">
        <v>6.94</v>
      </c>
      <c r="Y8" s="6" t="s">
        <v>65</v>
      </c>
      <c r="Z8" s="6">
        <v>0.3</v>
      </c>
      <c r="AA8" s="6">
        <v>45.825499999999998</v>
      </c>
      <c r="AB8" s="6">
        <v>61.947000000000003</v>
      </c>
      <c r="AD8" s="17">
        <v>6</v>
      </c>
      <c r="AE8" s="6">
        <v>3.0527099999999998</v>
      </c>
      <c r="AF8" s="6">
        <v>10.756500000000001</v>
      </c>
      <c r="AG8" s="6">
        <v>2.9394</v>
      </c>
      <c r="AH8" s="6">
        <v>255</v>
      </c>
      <c r="AJ8" s="17">
        <v>6</v>
      </c>
      <c r="AK8" s="6">
        <v>5.7886100000000003</v>
      </c>
      <c r="AL8" s="6">
        <v>10.756500000000001</v>
      </c>
      <c r="AM8" s="6">
        <v>2.9394</v>
      </c>
      <c r="AN8" s="6">
        <v>255</v>
      </c>
      <c r="AQ8" s="17">
        <v>6</v>
      </c>
      <c r="AR8" s="6">
        <v>1.5923499999999999</v>
      </c>
      <c r="AS8" s="6">
        <v>0.33379999999999999</v>
      </c>
      <c r="AT8" s="6">
        <v>0.80859999999999999</v>
      </c>
      <c r="AU8" s="6">
        <v>255</v>
      </c>
      <c r="AW8" s="17">
        <v>6</v>
      </c>
      <c r="AX8" s="6">
        <v>0.83975</v>
      </c>
      <c r="AY8" s="6">
        <v>0.33379999999999999</v>
      </c>
      <c r="AZ8" s="6">
        <v>0.80859999999999999</v>
      </c>
      <c r="BA8" s="6">
        <v>255</v>
      </c>
      <c r="BC8" s="17" t="s">
        <v>47</v>
      </c>
      <c r="BD8" s="5">
        <v>5</v>
      </c>
      <c r="BE8" s="6">
        <v>56.716299999999997</v>
      </c>
      <c r="BF8" s="6">
        <v>1.1011</v>
      </c>
      <c r="BG8" s="6">
        <v>255</v>
      </c>
      <c r="BH8" s="6">
        <v>51.51</v>
      </c>
      <c r="BI8" s="6" t="s">
        <v>65</v>
      </c>
      <c r="BJ8" s="6">
        <v>0.05</v>
      </c>
      <c r="BK8" s="6">
        <v>54.548000000000002</v>
      </c>
      <c r="BL8" s="6">
        <v>58.884700000000002</v>
      </c>
      <c r="BN8" s="17">
        <v>6</v>
      </c>
      <c r="BO8" s="6">
        <v>46.004369750000002</v>
      </c>
      <c r="BP8" s="6">
        <v>43.464575189999998</v>
      </c>
      <c r="BQ8" s="6">
        <v>2.5397945599999998</v>
      </c>
    </row>
    <row r="9" spans="1:92" x14ac:dyDescent="0.25">
      <c r="A9" t="s">
        <v>7</v>
      </c>
      <c r="B9" s="11">
        <v>1</v>
      </c>
      <c r="C9" s="11">
        <v>8</v>
      </c>
      <c r="D9" s="11">
        <v>1</v>
      </c>
      <c r="E9" s="11">
        <v>17</v>
      </c>
      <c r="F9" s="12">
        <v>56.6</v>
      </c>
      <c r="G9">
        <v>49.334936974789898</v>
      </c>
      <c r="H9">
        <v>10</v>
      </c>
      <c r="I9" t="s">
        <v>12</v>
      </c>
      <c r="J9" s="11"/>
      <c r="L9" t="s">
        <v>162</v>
      </c>
      <c r="S9" s="17" t="s">
        <v>47</v>
      </c>
      <c r="T9" s="5">
        <v>6</v>
      </c>
      <c r="U9" s="6">
        <v>47.645600000000002</v>
      </c>
      <c r="V9" s="6">
        <v>7.7633000000000001</v>
      </c>
      <c r="W9" s="6">
        <v>255</v>
      </c>
      <c r="X9" s="6">
        <v>6.14</v>
      </c>
      <c r="Y9" s="6" t="s">
        <v>65</v>
      </c>
      <c r="Z9" s="6">
        <v>0.3</v>
      </c>
      <c r="AA9" s="6">
        <v>39.582999999999998</v>
      </c>
      <c r="AB9" s="6">
        <v>55.708199999999998</v>
      </c>
      <c r="AD9" s="17">
        <v>7</v>
      </c>
      <c r="AE9" s="6">
        <v>3.04406</v>
      </c>
      <c r="AF9" s="19">
        <v>-2.6749999999999998</v>
      </c>
      <c r="AG9" s="6">
        <v>2.9310999999999998</v>
      </c>
      <c r="AH9" s="6">
        <v>255</v>
      </c>
      <c r="AJ9" s="17">
        <v>7</v>
      </c>
      <c r="AK9" s="6">
        <v>5.7721999999999998</v>
      </c>
      <c r="AL9" s="19">
        <v>-2.6749999999999998</v>
      </c>
      <c r="AM9" s="6">
        <v>2.9310999999999998</v>
      </c>
      <c r="AN9" s="6">
        <v>255</v>
      </c>
      <c r="AQ9" s="17">
        <v>7</v>
      </c>
      <c r="AR9" s="6">
        <v>1.5896600000000001</v>
      </c>
      <c r="AS9" s="19">
        <v>-0.51939999999999997</v>
      </c>
      <c r="AT9" s="6">
        <v>0.80720000000000003</v>
      </c>
      <c r="AU9" s="6">
        <v>255</v>
      </c>
      <c r="AW9" s="17">
        <v>7</v>
      </c>
      <c r="AX9" s="6">
        <v>0.83833000000000002</v>
      </c>
      <c r="AY9" s="19">
        <v>-0.51939999999999997</v>
      </c>
      <c r="AZ9" s="6">
        <v>0.80720000000000003</v>
      </c>
      <c r="BA9" s="6">
        <v>255</v>
      </c>
      <c r="BC9" s="17" t="s">
        <v>47</v>
      </c>
      <c r="BD9" s="5">
        <v>6</v>
      </c>
      <c r="BE9" s="6">
        <v>57.421599999999998</v>
      </c>
      <c r="BF9" s="6">
        <v>1.1013999999999999</v>
      </c>
      <c r="BG9" s="6">
        <v>255</v>
      </c>
      <c r="BH9" s="6">
        <v>52.14</v>
      </c>
      <c r="BI9" s="6" t="s">
        <v>65</v>
      </c>
      <c r="BJ9" s="6">
        <v>0.05</v>
      </c>
      <c r="BK9" s="6">
        <v>55.252600000000001</v>
      </c>
      <c r="BL9" s="6">
        <v>59.590600000000002</v>
      </c>
      <c r="BN9" s="17">
        <v>7</v>
      </c>
      <c r="BO9" s="6">
        <v>46.72446429</v>
      </c>
      <c r="BP9" s="6">
        <v>43.69757568</v>
      </c>
      <c r="BQ9" s="6">
        <v>3.0268886099999999</v>
      </c>
    </row>
    <row r="10" spans="1:92" x14ac:dyDescent="0.25">
      <c r="A10" t="s">
        <v>7</v>
      </c>
      <c r="B10" s="11">
        <v>1</v>
      </c>
      <c r="C10" s="11">
        <v>9</v>
      </c>
      <c r="D10" s="11">
        <v>1</v>
      </c>
      <c r="E10" s="11">
        <v>24</v>
      </c>
      <c r="F10" s="12">
        <v>53.6</v>
      </c>
      <c r="G10">
        <v>52.929406512605027</v>
      </c>
      <c r="H10">
        <v>9.6999999999999993</v>
      </c>
      <c r="I10" t="s">
        <v>12</v>
      </c>
      <c r="J10" s="11"/>
      <c r="L10" t="s">
        <v>163</v>
      </c>
      <c r="S10" s="17" t="s">
        <v>47</v>
      </c>
      <c r="T10" s="5">
        <v>7</v>
      </c>
      <c r="U10" s="6">
        <v>45.2119</v>
      </c>
      <c r="V10" s="6">
        <v>7.7621000000000002</v>
      </c>
      <c r="W10" s="6">
        <v>255</v>
      </c>
      <c r="X10" s="6">
        <v>5.82</v>
      </c>
      <c r="Y10" s="6" t="s">
        <v>65</v>
      </c>
      <c r="Z10" s="6">
        <v>0.3</v>
      </c>
      <c r="AA10" s="6">
        <v>37.150599999999997</v>
      </c>
      <c r="AB10" s="6">
        <v>53.273299999999999</v>
      </c>
      <c r="AD10" s="17">
        <v>8</v>
      </c>
      <c r="AE10" s="6">
        <v>3.02536</v>
      </c>
      <c r="AF10" s="6">
        <v>5.9053000000000004</v>
      </c>
      <c r="AG10" s="6">
        <v>2.9131</v>
      </c>
      <c r="AH10" s="6">
        <v>255</v>
      </c>
      <c r="AJ10" s="17">
        <v>8</v>
      </c>
      <c r="AK10" s="6">
        <v>5.7367499999999998</v>
      </c>
      <c r="AL10" s="6">
        <v>5.9053000000000004</v>
      </c>
      <c r="AM10" s="6">
        <v>2.9131</v>
      </c>
      <c r="AN10" s="6">
        <v>255</v>
      </c>
      <c r="AQ10" s="17">
        <v>8</v>
      </c>
      <c r="AR10" s="6">
        <v>1.58606</v>
      </c>
      <c r="AS10" s="6">
        <v>1.3404</v>
      </c>
      <c r="AT10" s="6">
        <v>0.8054</v>
      </c>
      <c r="AU10" s="6">
        <v>255</v>
      </c>
      <c r="AW10" s="17">
        <v>8</v>
      </c>
      <c r="AX10" s="6">
        <v>0.83643000000000001</v>
      </c>
      <c r="AY10" s="6">
        <v>1.3404</v>
      </c>
      <c r="AZ10" s="6">
        <v>0.8054</v>
      </c>
      <c r="BA10" s="6">
        <v>255</v>
      </c>
      <c r="BC10" s="17" t="s">
        <v>47</v>
      </c>
      <c r="BD10" s="5">
        <v>7</v>
      </c>
      <c r="BE10" s="6">
        <v>56.817999999999998</v>
      </c>
      <c r="BF10" s="6">
        <v>1.1012999999999999</v>
      </c>
      <c r="BG10" s="6">
        <v>255</v>
      </c>
      <c r="BH10" s="6">
        <v>51.59</v>
      </c>
      <c r="BI10" s="6" t="s">
        <v>65</v>
      </c>
      <c r="BJ10" s="6">
        <v>0.05</v>
      </c>
      <c r="BK10" s="6">
        <v>54.649299999999997</v>
      </c>
      <c r="BL10" s="6">
        <v>58.986699999999999</v>
      </c>
      <c r="BN10" s="17">
        <v>8</v>
      </c>
      <c r="BO10" s="6">
        <v>49.334936970000001</v>
      </c>
      <c r="BP10" s="6">
        <v>49.092887529999999</v>
      </c>
      <c r="BQ10" s="6">
        <v>0.24204944</v>
      </c>
    </row>
    <row r="11" spans="1:92" x14ac:dyDescent="0.25">
      <c r="A11" t="s">
        <v>7</v>
      </c>
      <c r="B11" s="11">
        <v>1</v>
      </c>
      <c r="C11" s="11">
        <v>10</v>
      </c>
      <c r="D11" s="11">
        <v>1</v>
      </c>
      <c r="E11" s="11">
        <v>35</v>
      </c>
      <c r="F11" s="12">
        <v>56.4</v>
      </c>
      <c r="G11">
        <v>47.893235294117638</v>
      </c>
      <c r="H11">
        <v>9.9</v>
      </c>
      <c r="I11" t="s">
        <v>12</v>
      </c>
      <c r="J11" s="11"/>
      <c r="L11" t="s">
        <v>164</v>
      </c>
      <c r="S11" s="17" t="s">
        <v>47</v>
      </c>
      <c r="T11" s="5">
        <v>8</v>
      </c>
      <c r="U11" s="6">
        <v>58.6434</v>
      </c>
      <c r="V11" s="6">
        <v>7.7624000000000004</v>
      </c>
      <c r="W11" s="6">
        <v>255</v>
      </c>
      <c r="X11" s="6">
        <v>7.55</v>
      </c>
      <c r="Y11" s="6" t="s">
        <v>65</v>
      </c>
      <c r="Z11" s="6">
        <v>0.3</v>
      </c>
      <c r="AA11" s="6">
        <v>50.581800000000001</v>
      </c>
      <c r="AB11" s="6">
        <v>66.704999999999998</v>
      </c>
      <c r="AD11" s="17">
        <v>9</v>
      </c>
      <c r="AE11" s="6">
        <v>3.02556</v>
      </c>
      <c r="AF11" s="6">
        <v>9.5586000000000002</v>
      </c>
      <c r="AG11" s="6">
        <v>2.9133</v>
      </c>
      <c r="AH11" s="6">
        <v>255</v>
      </c>
      <c r="AJ11" s="17">
        <v>9</v>
      </c>
      <c r="AK11" s="6">
        <v>5.73712</v>
      </c>
      <c r="AL11" s="6">
        <v>9.5586000000000002</v>
      </c>
      <c r="AM11" s="6">
        <v>2.9133</v>
      </c>
      <c r="AN11" s="6">
        <v>255</v>
      </c>
      <c r="AQ11" s="17">
        <v>9</v>
      </c>
      <c r="AR11" s="6">
        <v>1.5787</v>
      </c>
      <c r="AS11" s="6">
        <v>2.2322000000000002</v>
      </c>
      <c r="AT11" s="6">
        <v>0.80159999999999998</v>
      </c>
      <c r="AU11" s="6">
        <v>255</v>
      </c>
      <c r="AW11" s="17">
        <v>9</v>
      </c>
      <c r="AX11" s="6">
        <v>0.83255000000000001</v>
      </c>
      <c r="AY11" s="6">
        <v>2.2322000000000002</v>
      </c>
      <c r="AZ11" s="6">
        <v>0.80159999999999998</v>
      </c>
      <c r="BA11" s="6">
        <v>255</v>
      </c>
      <c r="BC11" s="17" t="s">
        <v>47</v>
      </c>
      <c r="BD11" s="5">
        <v>8</v>
      </c>
      <c r="BE11" s="6">
        <v>57.671100000000003</v>
      </c>
      <c r="BF11" s="6">
        <v>1.101</v>
      </c>
      <c r="BG11" s="6">
        <v>255</v>
      </c>
      <c r="BH11" s="6">
        <v>52.38</v>
      </c>
      <c r="BI11" s="6" t="s">
        <v>65</v>
      </c>
      <c r="BJ11" s="6">
        <v>0.05</v>
      </c>
      <c r="BK11" s="6">
        <v>55.502899999999997</v>
      </c>
      <c r="BL11" s="6">
        <v>59.839399999999998</v>
      </c>
      <c r="BN11" s="17">
        <v>9</v>
      </c>
      <c r="BO11" s="6">
        <v>52.92940651</v>
      </c>
      <c r="BP11" s="6">
        <v>50.061075359999997</v>
      </c>
      <c r="BQ11" s="6">
        <v>2.8683311499999999</v>
      </c>
    </row>
    <row r="12" spans="1:92" x14ac:dyDescent="0.25">
      <c r="A12" t="s">
        <v>7</v>
      </c>
      <c r="B12" s="11">
        <v>1</v>
      </c>
      <c r="C12" s="11">
        <v>11</v>
      </c>
      <c r="D12" s="11">
        <v>1</v>
      </c>
      <c r="E12" s="11">
        <v>26</v>
      </c>
      <c r="F12" s="12">
        <v>55.5</v>
      </c>
      <c r="G12">
        <v>59.321864495798316</v>
      </c>
      <c r="H12">
        <v>9.8000000000000007</v>
      </c>
      <c r="I12" t="s">
        <v>12</v>
      </c>
      <c r="J12" s="11"/>
      <c r="L12" t="s">
        <v>61</v>
      </c>
      <c r="S12" s="17" t="s">
        <v>47</v>
      </c>
      <c r="T12" s="5">
        <v>9</v>
      </c>
      <c r="U12" s="6">
        <v>50.063099999999999</v>
      </c>
      <c r="V12" s="6">
        <v>7.7645</v>
      </c>
      <c r="W12" s="6">
        <v>255</v>
      </c>
      <c r="X12" s="6">
        <v>6.45</v>
      </c>
      <c r="Y12" s="6" t="s">
        <v>65</v>
      </c>
      <c r="Z12" s="6">
        <v>0.3</v>
      </c>
      <c r="AA12" s="6">
        <v>41.999299999999998</v>
      </c>
      <c r="AB12" s="6">
        <v>58.126899999999999</v>
      </c>
      <c r="AD12" s="17">
        <v>10</v>
      </c>
      <c r="AE12" s="6">
        <v>3.0487700000000002</v>
      </c>
      <c r="AF12" s="6">
        <v>2.0617999999999999</v>
      </c>
      <c r="AG12" s="6">
        <v>2.9356</v>
      </c>
      <c r="AH12" s="6">
        <v>255</v>
      </c>
      <c r="AJ12" s="17">
        <v>10</v>
      </c>
      <c r="AK12" s="6">
        <v>5.7811300000000001</v>
      </c>
      <c r="AL12" s="6">
        <v>2.0617999999999999</v>
      </c>
      <c r="AM12" s="6">
        <v>2.9356</v>
      </c>
      <c r="AN12" s="6">
        <v>255</v>
      </c>
      <c r="AQ12" s="17">
        <v>10</v>
      </c>
      <c r="AR12" s="6">
        <v>1.5883400000000001</v>
      </c>
      <c r="AS12" s="19">
        <v>-1.8813</v>
      </c>
      <c r="AT12" s="6">
        <v>0.80649999999999999</v>
      </c>
      <c r="AU12" s="6">
        <v>255</v>
      </c>
      <c r="AW12" s="17">
        <v>10</v>
      </c>
      <c r="AX12" s="6">
        <v>0.83762999999999999</v>
      </c>
      <c r="AY12" s="19">
        <v>-1.8813</v>
      </c>
      <c r="AZ12" s="6">
        <v>0.80649999999999999</v>
      </c>
      <c r="BA12" s="6">
        <v>255</v>
      </c>
      <c r="BC12" s="17" t="s">
        <v>47</v>
      </c>
      <c r="BD12" s="5">
        <v>9</v>
      </c>
      <c r="BE12" s="6">
        <v>55.811300000000003</v>
      </c>
      <c r="BF12" s="6">
        <v>1.1033999999999999</v>
      </c>
      <c r="BG12" s="6">
        <v>255</v>
      </c>
      <c r="BH12" s="6">
        <v>50.58</v>
      </c>
      <c r="BI12" s="6" t="s">
        <v>65</v>
      </c>
      <c r="BJ12" s="6">
        <v>0.05</v>
      </c>
      <c r="BK12" s="6">
        <v>53.638300000000001</v>
      </c>
      <c r="BL12" s="6">
        <v>57.984400000000001</v>
      </c>
      <c r="BN12" s="17">
        <v>10</v>
      </c>
      <c r="BO12" s="6">
        <v>47.89323529</v>
      </c>
      <c r="BP12" s="6">
        <v>42.974876930000001</v>
      </c>
      <c r="BQ12" s="6">
        <v>4.91835836</v>
      </c>
    </row>
    <row r="13" spans="1:92" x14ac:dyDescent="0.25">
      <c r="A13" t="s">
        <v>7</v>
      </c>
      <c r="B13" s="11">
        <v>1</v>
      </c>
      <c r="C13" s="11">
        <v>12</v>
      </c>
      <c r="D13" s="11">
        <v>1</v>
      </c>
      <c r="E13" s="11">
        <v>6</v>
      </c>
      <c r="F13" s="12">
        <v>57</v>
      </c>
      <c r="G13">
        <v>43.668387605042007</v>
      </c>
      <c r="H13">
        <v>12.7</v>
      </c>
      <c r="I13" t="s">
        <v>12</v>
      </c>
      <c r="J13" s="11"/>
      <c r="L13" t="s">
        <v>165</v>
      </c>
      <c r="S13" s="17" t="s">
        <v>47</v>
      </c>
      <c r="T13" s="5">
        <v>10</v>
      </c>
      <c r="U13" s="6">
        <v>46.4099</v>
      </c>
      <c r="V13" s="6">
        <v>7.7621000000000002</v>
      </c>
      <c r="W13" s="6">
        <v>255</v>
      </c>
      <c r="X13" s="6">
        <v>5.98</v>
      </c>
      <c r="Y13" s="6" t="s">
        <v>65</v>
      </c>
      <c r="Z13" s="6">
        <v>0.3</v>
      </c>
      <c r="AA13" s="6">
        <v>38.348599999999998</v>
      </c>
      <c r="AB13" s="6">
        <v>54.471200000000003</v>
      </c>
      <c r="AD13" s="17">
        <v>11</v>
      </c>
      <c r="AE13" s="6">
        <v>3.03837</v>
      </c>
      <c r="AF13" s="6">
        <v>6.8643999999999998</v>
      </c>
      <c r="AG13" s="6">
        <v>2.9256000000000002</v>
      </c>
      <c r="AH13" s="6">
        <v>255</v>
      </c>
      <c r="AJ13" s="17">
        <v>11</v>
      </c>
      <c r="AK13" s="6">
        <v>5.7614099999999997</v>
      </c>
      <c r="AL13" s="6">
        <v>6.8643999999999998</v>
      </c>
      <c r="AM13" s="6">
        <v>2.9256000000000002</v>
      </c>
      <c r="AN13" s="6">
        <v>255</v>
      </c>
      <c r="AQ13" s="17">
        <v>11</v>
      </c>
      <c r="AR13" s="6">
        <v>1.6113</v>
      </c>
      <c r="AS13" s="6">
        <v>0.69389999999999996</v>
      </c>
      <c r="AT13" s="6">
        <v>0.81820000000000004</v>
      </c>
      <c r="AU13" s="6">
        <v>255</v>
      </c>
      <c r="AW13" s="17">
        <v>11</v>
      </c>
      <c r="AX13" s="6">
        <v>0.84974000000000005</v>
      </c>
      <c r="AY13" s="6">
        <v>0.69389999999999996</v>
      </c>
      <c r="AZ13" s="6">
        <v>0.81820000000000004</v>
      </c>
      <c r="BA13" s="6">
        <v>255</v>
      </c>
      <c r="BC13" s="17" t="s">
        <v>47</v>
      </c>
      <c r="BD13" s="5">
        <v>10</v>
      </c>
      <c r="BE13" s="6">
        <v>54.919600000000003</v>
      </c>
      <c r="BF13" s="6">
        <v>1.1011</v>
      </c>
      <c r="BG13" s="6">
        <v>255</v>
      </c>
      <c r="BH13" s="6">
        <v>49.88</v>
      </c>
      <c r="BI13" s="6" t="s">
        <v>65</v>
      </c>
      <c r="BJ13" s="6">
        <v>0.05</v>
      </c>
      <c r="BK13" s="6">
        <v>52.751199999999997</v>
      </c>
      <c r="BL13" s="6">
        <v>57.088000000000001</v>
      </c>
      <c r="BN13" s="17">
        <v>11</v>
      </c>
      <c r="BO13" s="6">
        <v>59.321864499999997</v>
      </c>
      <c r="BP13" s="6">
        <v>59.580392760000002</v>
      </c>
      <c r="BQ13" s="19">
        <v>-0.25852826000000001</v>
      </c>
    </row>
    <row r="14" spans="1:92" x14ac:dyDescent="0.25">
      <c r="A14" t="s">
        <v>7</v>
      </c>
      <c r="B14" s="11">
        <v>1</v>
      </c>
      <c r="C14" s="11">
        <v>13</v>
      </c>
      <c r="D14" s="11">
        <v>1</v>
      </c>
      <c r="E14" s="11">
        <v>10</v>
      </c>
      <c r="F14" s="12">
        <v>48.6</v>
      </c>
      <c r="G14">
        <v>43.636575630252089</v>
      </c>
      <c r="H14">
        <v>12.4</v>
      </c>
      <c r="I14" t="s">
        <v>12</v>
      </c>
      <c r="J14" s="11"/>
      <c r="L14" t="s">
        <v>63</v>
      </c>
      <c r="S14" s="17" t="s">
        <v>47</v>
      </c>
      <c r="T14" s="5">
        <v>11</v>
      </c>
      <c r="U14" s="6">
        <v>53.906599999999997</v>
      </c>
      <c r="V14" s="6">
        <v>7.7659000000000002</v>
      </c>
      <c r="W14" s="6">
        <v>255</v>
      </c>
      <c r="X14" s="6">
        <v>6.94</v>
      </c>
      <c r="Y14" s="6" t="s">
        <v>65</v>
      </c>
      <c r="Z14" s="6">
        <v>0.3</v>
      </c>
      <c r="AA14" s="6">
        <v>45.841299999999997</v>
      </c>
      <c r="AB14" s="6">
        <v>61.971899999999998</v>
      </c>
      <c r="AD14" s="17">
        <v>12</v>
      </c>
      <c r="AE14" s="6">
        <v>3.0488400000000002</v>
      </c>
      <c r="AF14" s="6">
        <v>2.165</v>
      </c>
      <c r="AG14" s="6">
        <v>2.9357000000000002</v>
      </c>
      <c r="AH14" s="6">
        <v>255</v>
      </c>
      <c r="AJ14" s="17">
        <v>12</v>
      </c>
      <c r="AK14" s="6">
        <v>5.7812799999999998</v>
      </c>
      <c r="AL14" s="6">
        <v>2.165</v>
      </c>
      <c r="AM14" s="6">
        <v>2.9357000000000002</v>
      </c>
      <c r="AN14" s="6">
        <v>255</v>
      </c>
      <c r="AQ14" s="17">
        <v>12</v>
      </c>
      <c r="AR14" s="6">
        <v>1.5886800000000001</v>
      </c>
      <c r="AS14" s="19">
        <v>-1.1591</v>
      </c>
      <c r="AT14" s="6">
        <v>0.80669999999999997</v>
      </c>
      <c r="AU14" s="6">
        <v>255</v>
      </c>
      <c r="AW14" s="17">
        <v>12</v>
      </c>
      <c r="AX14" s="6">
        <v>0.83781000000000005</v>
      </c>
      <c r="AY14" s="19">
        <v>-1.1591</v>
      </c>
      <c r="AZ14" s="6">
        <v>0.80669999999999997</v>
      </c>
      <c r="BA14" s="6">
        <v>255</v>
      </c>
      <c r="BC14" s="17" t="s">
        <v>47</v>
      </c>
      <c r="BD14" s="5">
        <v>11</v>
      </c>
      <c r="BE14" s="6">
        <v>59.033099999999997</v>
      </c>
      <c r="BF14" s="6">
        <v>1.1009</v>
      </c>
      <c r="BG14" s="6">
        <v>255</v>
      </c>
      <c r="BH14" s="6">
        <v>53.62</v>
      </c>
      <c r="BI14" s="6" t="s">
        <v>65</v>
      </c>
      <c r="BJ14" s="6">
        <v>0.05</v>
      </c>
      <c r="BK14" s="6">
        <v>56.865000000000002</v>
      </c>
      <c r="BL14" s="6">
        <v>61.2012</v>
      </c>
      <c r="BN14" s="17">
        <v>12</v>
      </c>
      <c r="BO14" s="6">
        <v>43.668387610000003</v>
      </c>
      <c r="BP14" s="6">
        <v>40.146086599999997</v>
      </c>
      <c r="BQ14" s="6">
        <v>3.5223010100000001</v>
      </c>
    </row>
    <row r="15" spans="1:92" x14ac:dyDescent="0.25">
      <c r="A15" t="s">
        <v>7</v>
      </c>
      <c r="B15" s="11">
        <v>1</v>
      </c>
      <c r="C15" s="11">
        <v>13</v>
      </c>
      <c r="D15" s="11">
        <v>2</v>
      </c>
      <c r="E15" s="11">
        <v>28</v>
      </c>
      <c r="F15" s="12">
        <v>54.5</v>
      </c>
      <c r="G15">
        <v>37.490152980877383</v>
      </c>
      <c r="H15">
        <v>10.7</v>
      </c>
      <c r="I15" t="s">
        <v>12</v>
      </c>
      <c r="J15" s="11"/>
      <c r="L15" t="s">
        <v>166</v>
      </c>
      <c r="S15" s="17" t="s">
        <v>47</v>
      </c>
      <c r="T15" s="5">
        <v>12</v>
      </c>
      <c r="U15" s="6">
        <v>49.103999999999999</v>
      </c>
      <c r="V15" s="6">
        <v>7.7624000000000004</v>
      </c>
      <c r="W15" s="6">
        <v>255</v>
      </c>
      <c r="X15" s="6">
        <v>6.33</v>
      </c>
      <c r="Y15" s="6" t="s">
        <v>65</v>
      </c>
      <c r="Z15" s="6">
        <v>0.3</v>
      </c>
      <c r="AA15" s="6">
        <v>41.042400000000001</v>
      </c>
      <c r="AB15" s="6">
        <v>57.165599999999998</v>
      </c>
      <c r="AD15" s="17">
        <v>13</v>
      </c>
      <c r="AE15" s="6">
        <v>3.03179</v>
      </c>
      <c r="AF15" s="6">
        <v>2.0066000000000002</v>
      </c>
      <c r="AG15" s="6">
        <v>2.9192999999999998</v>
      </c>
      <c r="AH15" s="6">
        <v>255</v>
      </c>
      <c r="AJ15" s="17">
        <v>13</v>
      </c>
      <c r="AK15" s="6">
        <v>5.7489400000000002</v>
      </c>
      <c r="AL15" s="6">
        <v>2.0066000000000002</v>
      </c>
      <c r="AM15" s="6">
        <v>2.9192999999999998</v>
      </c>
      <c r="AN15" s="6">
        <v>255</v>
      </c>
      <c r="AQ15" s="17">
        <v>13</v>
      </c>
      <c r="AR15" s="6">
        <v>1.5929</v>
      </c>
      <c r="AS15" s="19">
        <v>-1.3988</v>
      </c>
      <c r="AT15" s="6">
        <v>0.80889999999999995</v>
      </c>
      <c r="AU15" s="6">
        <v>255</v>
      </c>
      <c r="AW15" s="17">
        <v>13</v>
      </c>
      <c r="AX15" s="6">
        <v>0.84004000000000001</v>
      </c>
      <c r="AY15" s="19">
        <v>-1.3988</v>
      </c>
      <c r="AZ15" s="6">
        <v>0.80889999999999995</v>
      </c>
      <c r="BA15" s="6">
        <v>255</v>
      </c>
      <c r="BC15" s="17" t="s">
        <v>47</v>
      </c>
      <c r="BD15" s="5">
        <v>12</v>
      </c>
      <c r="BE15" s="6">
        <v>56.457799999999999</v>
      </c>
      <c r="BF15" s="6">
        <v>1.1102000000000001</v>
      </c>
      <c r="BG15" s="6">
        <v>255</v>
      </c>
      <c r="BH15" s="6">
        <v>50.85</v>
      </c>
      <c r="BI15" s="6" t="s">
        <v>65</v>
      </c>
      <c r="BJ15" s="6">
        <v>0.05</v>
      </c>
      <c r="BK15" s="6">
        <v>54.2714</v>
      </c>
      <c r="BL15" s="6">
        <v>58.644300000000001</v>
      </c>
      <c r="BN15" s="17">
        <v>13</v>
      </c>
      <c r="BO15" s="6">
        <v>43.636575630000003</v>
      </c>
      <c r="BP15" s="6">
        <v>40.513990700000001</v>
      </c>
      <c r="BQ15" s="6">
        <v>3.1225849299999999</v>
      </c>
    </row>
    <row r="16" spans="1:92" x14ac:dyDescent="0.25">
      <c r="A16" t="s">
        <v>7</v>
      </c>
      <c r="B16" s="11">
        <v>1</v>
      </c>
      <c r="C16" s="11">
        <v>12</v>
      </c>
      <c r="D16" s="11">
        <v>2</v>
      </c>
      <c r="E16" s="11">
        <v>8</v>
      </c>
      <c r="F16" s="12">
        <v>57.1</v>
      </c>
      <c r="G16">
        <v>49.135092013498308</v>
      </c>
      <c r="H16">
        <v>10.3</v>
      </c>
      <c r="I16" t="s">
        <v>12</v>
      </c>
      <c r="J16" s="11"/>
      <c r="L16" t="s">
        <v>81</v>
      </c>
      <c r="S16" s="17" t="s">
        <v>47</v>
      </c>
      <c r="T16" s="5">
        <v>13</v>
      </c>
      <c r="U16" s="6">
        <v>53.803400000000003</v>
      </c>
      <c r="V16" s="6">
        <v>7.7625000000000002</v>
      </c>
      <c r="W16" s="6">
        <v>255</v>
      </c>
      <c r="X16" s="6">
        <v>6.93</v>
      </c>
      <c r="Y16" s="6" t="s">
        <v>65</v>
      </c>
      <c r="Z16" s="6">
        <v>0.3</v>
      </c>
      <c r="AA16" s="6">
        <v>45.741700000000002</v>
      </c>
      <c r="AB16" s="6">
        <v>61.865099999999998</v>
      </c>
      <c r="AD16" s="17">
        <v>14</v>
      </c>
      <c r="AE16" s="6">
        <v>3.04752</v>
      </c>
      <c r="AF16" s="6">
        <v>1.6021000000000001</v>
      </c>
      <c r="AG16" s="6">
        <v>2.9344000000000001</v>
      </c>
      <c r="AH16" s="6">
        <v>255</v>
      </c>
      <c r="AJ16" s="17">
        <v>14</v>
      </c>
      <c r="AK16" s="6">
        <v>5.7787699999999997</v>
      </c>
      <c r="AL16" s="6">
        <v>1.6021000000000001</v>
      </c>
      <c r="AM16" s="6">
        <v>2.9344000000000001</v>
      </c>
      <c r="AN16" s="6">
        <v>255</v>
      </c>
      <c r="AQ16" s="17">
        <v>14</v>
      </c>
      <c r="AR16" s="6">
        <v>1.5911599999999999</v>
      </c>
      <c r="AS16" s="6">
        <v>0.86809999999999998</v>
      </c>
      <c r="AT16" s="6">
        <v>0.80800000000000005</v>
      </c>
      <c r="AU16" s="6">
        <v>255</v>
      </c>
      <c r="AW16" s="17">
        <v>14</v>
      </c>
      <c r="AX16" s="6">
        <v>0.83911999999999998</v>
      </c>
      <c r="AY16" s="6">
        <v>0.86809999999999998</v>
      </c>
      <c r="AZ16" s="6">
        <v>0.80800000000000005</v>
      </c>
      <c r="BA16" s="6">
        <v>255</v>
      </c>
      <c r="BC16" s="17" t="s">
        <v>47</v>
      </c>
      <c r="BD16" s="5">
        <v>13</v>
      </c>
      <c r="BE16" s="6">
        <v>58.3108</v>
      </c>
      <c r="BF16" s="6">
        <v>1.1012</v>
      </c>
      <c r="BG16" s="6">
        <v>255</v>
      </c>
      <c r="BH16" s="6">
        <v>52.95</v>
      </c>
      <c r="BI16" s="6" t="s">
        <v>65</v>
      </c>
      <c r="BJ16" s="6">
        <v>0.05</v>
      </c>
      <c r="BK16" s="6">
        <v>56.142299999999999</v>
      </c>
      <c r="BL16" s="6">
        <v>60.479399999999998</v>
      </c>
      <c r="BN16" s="17">
        <v>14</v>
      </c>
      <c r="BO16" s="6">
        <v>37.490152979999998</v>
      </c>
      <c r="BP16" s="6">
        <v>40.156764469999999</v>
      </c>
      <c r="BQ16" s="19">
        <v>-2.6666114900000002</v>
      </c>
    </row>
    <row r="17" spans="1:69" x14ac:dyDescent="0.25">
      <c r="A17" t="s">
        <v>7</v>
      </c>
      <c r="B17" s="11">
        <v>1</v>
      </c>
      <c r="C17" s="11">
        <v>11</v>
      </c>
      <c r="D17" s="11">
        <v>2</v>
      </c>
      <c r="E17" s="11">
        <v>40</v>
      </c>
      <c r="F17" s="12">
        <v>56.2</v>
      </c>
      <c r="G17">
        <v>46.873214848143974</v>
      </c>
      <c r="H17">
        <v>10.1</v>
      </c>
      <c r="I17" t="s">
        <v>12</v>
      </c>
      <c r="J17" s="11"/>
      <c r="L17" t="s">
        <v>82</v>
      </c>
      <c r="S17" s="17" t="s">
        <v>47</v>
      </c>
      <c r="T17" s="5">
        <v>14</v>
      </c>
      <c r="U17" s="6">
        <v>53.9619</v>
      </c>
      <c r="V17" s="6">
        <v>7.7619999999999996</v>
      </c>
      <c r="W17" s="6">
        <v>255</v>
      </c>
      <c r="X17" s="6">
        <v>6.95</v>
      </c>
      <c r="Y17" s="6" t="s">
        <v>65</v>
      </c>
      <c r="Z17" s="6">
        <v>0.3</v>
      </c>
      <c r="AA17" s="6">
        <v>45.900700000000001</v>
      </c>
      <c r="AB17" s="6">
        <v>62.023099999999999</v>
      </c>
      <c r="AD17" s="17">
        <v>15</v>
      </c>
      <c r="AE17" s="6">
        <v>3.0516700000000001</v>
      </c>
      <c r="AF17" s="6">
        <v>3.0329999999999999</v>
      </c>
      <c r="AG17" s="6">
        <v>2.9384000000000001</v>
      </c>
      <c r="AH17" s="6">
        <v>255</v>
      </c>
      <c r="AJ17" s="17">
        <v>15</v>
      </c>
      <c r="AK17" s="6">
        <v>5.7866400000000002</v>
      </c>
      <c r="AL17" s="6">
        <v>3.0329999999999999</v>
      </c>
      <c r="AM17" s="6">
        <v>2.9384000000000001</v>
      </c>
      <c r="AN17" s="6">
        <v>255</v>
      </c>
      <c r="AQ17" s="17">
        <v>15</v>
      </c>
      <c r="AR17" s="6">
        <v>1.59493</v>
      </c>
      <c r="AS17" s="19">
        <v>-0.75370000000000004</v>
      </c>
      <c r="AT17" s="6">
        <v>0.80989999999999995</v>
      </c>
      <c r="AU17" s="6">
        <v>255</v>
      </c>
      <c r="AW17" s="17">
        <v>15</v>
      </c>
      <c r="AX17" s="6">
        <v>0.84111000000000002</v>
      </c>
      <c r="AY17" s="19">
        <v>-0.75370000000000004</v>
      </c>
      <c r="AZ17" s="6">
        <v>0.80989999999999995</v>
      </c>
      <c r="BA17" s="6">
        <v>255</v>
      </c>
      <c r="BC17" s="17" t="s">
        <v>47</v>
      </c>
      <c r="BD17" s="5">
        <v>14</v>
      </c>
      <c r="BE17" s="6">
        <v>58.550600000000003</v>
      </c>
      <c r="BF17" s="6">
        <v>1.1040000000000001</v>
      </c>
      <c r="BG17" s="6">
        <v>255</v>
      </c>
      <c r="BH17" s="6">
        <v>53.03</v>
      </c>
      <c r="BI17" s="6" t="s">
        <v>65</v>
      </c>
      <c r="BJ17" s="6">
        <v>0.05</v>
      </c>
      <c r="BK17" s="6">
        <v>56.3765</v>
      </c>
      <c r="BL17" s="6">
        <v>60.724699999999999</v>
      </c>
      <c r="BN17" s="17">
        <v>15</v>
      </c>
      <c r="BO17" s="6">
        <v>49.135092010000001</v>
      </c>
      <c r="BP17" s="6">
        <v>49.254630759999998</v>
      </c>
      <c r="BQ17" s="19">
        <v>-0.11953875</v>
      </c>
    </row>
    <row r="18" spans="1:69" x14ac:dyDescent="0.25">
      <c r="A18" t="s">
        <v>7</v>
      </c>
      <c r="B18" s="11">
        <v>1</v>
      </c>
      <c r="C18" s="11">
        <v>10</v>
      </c>
      <c r="D18" s="11">
        <v>2</v>
      </c>
      <c r="E18" s="11">
        <v>12</v>
      </c>
      <c r="F18" s="12">
        <v>54.5</v>
      </c>
      <c r="G18">
        <v>39.264134983127107</v>
      </c>
      <c r="H18">
        <v>11</v>
      </c>
      <c r="I18" t="s">
        <v>12</v>
      </c>
      <c r="J18" s="11"/>
      <c r="L18" t="s">
        <v>85</v>
      </c>
      <c r="S18" s="17" t="s">
        <v>47</v>
      </c>
      <c r="T18" s="5">
        <v>15</v>
      </c>
      <c r="U18" s="6">
        <v>54.366300000000003</v>
      </c>
      <c r="V18" s="6">
        <v>7.7614000000000001</v>
      </c>
      <c r="W18" s="6">
        <v>255</v>
      </c>
      <c r="X18" s="6">
        <v>7</v>
      </c>
      <c r="Y18" s="6" t="s">
        <v>65</v>
      </c>
      <c r="Z18" s="6">
        <v>0.3</v>
      </c>
      <c r="AA18" s="6">
        <v>46.305799999999998</v>
      </c>
      <c r="AB18" s="6">
        <v>62.4268</v>
      </c>
      <c r="AD18" s="17">
        <v>16</v>
      </c>
      <c r="AE18" s="6">
        <v>3.0533899999999998</v>
      </c>
      <c r="AF18" s="6">
        <v>4.2415000000000003</v>
      </c>
      <c r="AG18" s="6">
        <v>2.9401000000000002</v>
      </c>
      <c r="AH18" s="6">
        <v>255</v>
      </c>
      <c r="AJ18" s="17">
        <v>16</v>
      </c>
      <c r="AK18" s="6">
        <v>5.7899099999999999</v>
      </c>
      <c r="AL18" s="6">
        <v>4.2415000000000003</v>
      </c>
      <c r="AM18" s="6">
        <v>2.9401000000000002</v>
      </c>
      <c r="AN18" s="6">
        <v>255</v>
      </c>
      <c r="AQ18" s="17">
        <v>16</v>
      </c>
      <c r="AR18" s="6">
        <v>1.5946</v>
      </c>
      <c r="AS18" s="6">
        <v>0.74870000000000003</v>
      </c>
      <c r="AT18" s="6">
        <v>0.80969999999999998</v>
      </c>
      <c r="AU18" s="6">
        <v>255</v>
      </c>
      <c r="AW18" s="17">
        <v>16</v>
      </c>
      <c r="AX18" s="6">
        <v>0.84092999999999996</v>
      </c>
      <c r="AY18" s="6">
        <v>0.74870000000000003</v>
      </c>
      <c r="AZ18" s="6">
        <v>0.80969999999999998</v>
      </c>
      <c r="BA18" s="6">
        <v>255</v>
      </c>
      <c r="BC18" s="17" t="s">
        <v>47</v>
      </c>
      <c r="BD18" s="5">
        <v>15</v>
      </c>
      <c r="BE18" s="6">
        <v>56.283700000000003</v>
      </c>
      <c r="BF18" s="6">
        <v>1.1009</v>
      </c>
      <c r="BG18" s="6">
        <v>255</v>
      </c>
      <c r="BH18" s="6">
        <v>51.13</v>
      </c>
      <c r="BI18" s="6" t="s">
        <v>65</v>
      </c>
      <c r="BJ18" s="6">
        <v>0.05</v>
      </c>
      <c r="BK18" s="6">
        <v>54.115699999999997</v>
      </c>
      <c r="BL18" s="6">
        <v>58.451599999999999</v>
      </c>
      <c r="BN18" s="17">
        <v>16</v>
      </c>
      <c r="BO18" s="6">
        <v>46.873214849999997</v>
      </c>
      <c r="BP18" s="6">
        <v>47.123729709999999</v>
      </c>
      <c r="BQ18" s="19">
        <v>-0.25051486000000001</v>
      </c>
    </row>
    <row r="19" spans="1:69" x14ac:dyDescent="0.25">
      <c r="A19" t="s">
        <v>7</v>
      </c>
      <c r="B19" s="11">
        <v>1</v>
      </c>
      <c r="C19" s="11">
        <v>9</v>
      </c>
      <c r="D19" s="11">
        <v>2</v>
      </c>
      <c r="E19" s="11">
        <v>43</v>
      </c>
      <c r="F19" s="12">
        <v>49.1</v>
      </c>
      <c r="G19">
        <v>27.214153430821142</v>
      </c>
      <c r="H19">
        <v>12.3</v>
      </c>
      <c r="I19" t="s">
        <v>12</v>
      </c>
      <c r="J19" s="11"/>
      <c r="S19" s="17" t="s">
        <v>47</v>
      </c>
      <c r="T19" s="5">
        <v>16</v>
      </c>
      <c r="U19" s="6">
        <v>52.935499999999998</v>
      </c>
      <c r="V19" s="6">
        <v>7.7678000000000003</v>
      </c>
      <c r="W19" s="6">
        <v>255</v>
      </c>
      <c r="X19" s="6">
        <v>6.81</v>
      </c>
      <c r="Y19" s="6" t="s">
        <v>65</v>
      </c>
      <c r="Z19" s="6">
        <v>0.3</v>
      </c>
      <c r="AA19" s="6">
        <v>44.868200000000002</v>
      </c>
      <c r="AB19" s="6">
        <v>61.002699999999997</v>
      </c>
      <c r="AD19" s="17">
        <v>17</v>
      </c>
      <c r="AE19" s="6">
        <v>3.0374300000000001</v>
      </c>
      <c r="AF19" s="6">
        <v>8.34</v>
      </c>
      <c r="AG19" s="6">
        <v>2.9247000000000001</v>
      </c>
      <c r="AH19" s="6">
        <v>255</v>
      </c>
      <c r="AJ19" s="17">
        <v>17</v>
      </c>
      <c r="AK19" s="6">
        <v>5.7596499999999997</v>
      </c>
      <c r="AL19" s="6">
        <v>8.34</v>
      </c>
      <c r="AM19" s="6">
        <v>2.9247000000000001</v>
      </c>
      <c r="AN19" s="6">
        <v>255</v>
      </c>
      <c r="AQ19" s="17">
        <v>17</v>
      </c>
      <c r="AR19" s="6">
        <v>1.59602</v>
      </c>
      <c r="AS19" s="6">
        <v>1.1359999999999999</v>
      </c>
      <c r="AT19" s="6">
        <v>0.81040000000000001</v>
      </c>
      <c r="AU19" s="6">
        <v>255</v>
      </c>
      <c r="AW19" s="17">
        <v>17</v>
      </c>
      <c r="AX19" s="6">
        <v>0.84167999999999998</v>
      </c>
      <c r="AY19" s="6">
        <v>1.1359999999999999</v>
      </c>
      <c r="AZ19" s="6">
        <v>0.81040000000000001</v>
      </c>
      <c r="BA19" s="6">
        <v>255</v>
      </c>
      <c r="BC19" s="17" t="s">
        <v>47</v>
      </c>
      <c r="BD19" s="5">
        <v>16</v>
      </c>
      <c r="BE19" s="6">
        <v>57.905500000000004</v>
      </c>
      <c r="BF19" s="6">
        <v>1.1042000000000001</v>
      </c>
      <c r="BG19" s="6">
        <v>255</v>
      </c>
      <c r="BH19" s="6">
        <v>52.44</v>
      </c>
      <c r="BI19" s="6" t="s">
        <v>65</v>
      </c>
      <c r="BJ19" s="6">
        <v>0.05</v>
      </c>
      <c r="BK19" s="6">
        <v>55.731000000000002</v>
      </c>
      <c r="BL19" s="6">
        <v>60.08</v>
      </c>
      <c r="BN19" s="17">
        <v>17</v>
      </c>
      <c r="BO19" s="6">
        <v>39.264134980000001</v>
      </c>
      <c r="BP19" s="6">
        <v>39.104204760000002</v>
      </c>
      <c r="BQ19" s="6">
        <v>0.15993022000000001</v>
      </c>
    </row>
    <row r="20" spans="1:69" x14ac:dyDescent="0.25">
      <c r="A20" t="s">
        <v>7</v>
      </c>
      <c r="B20" s="11">
        <v>1</v>
      </c>
      <c r="C20" s="11">
        <v>8</v>
      </c>
      <c r="D20" s="11">
        <v>2</v>
      </c>
      <c r="E20" s="11">
        <v>2</v>
      </c>
      <c r="F20" s="12">
        <v>55.8</v>
      </c>
      <c r="G20">
        <v>43.136738807649046</v>
      </c>
      <c r="H20">
        <v>10</v>
      </c>
      <c r="I20" t="s">
        <v>12</v>
      </c>
      <c r="J20" s="11"/>
      <c r="L20" t="s">
        <v>171</v>
      </c>
      <c r="S20" s="17" t="s">
        <v>47</v>
      </c>
      <c r="T20" s="5">
        <v>17</v>
      </c>
      <c r="U20" s="6">
        <v>51.726900000000001</v>
      </c>
      <c r="V20" s="6">
        <v>7.7624000000000004</v>
      </c>
      <c r="W20" s="6">
        <v>255</v>
      </c>
      <c r="X20" s="6">
        <v>6.66</v>
      </c>
      <c r="Y20" s="6" t="s">
        <v>65</v>
      </c>
      <c r="Z20" s="6">
        <v>0.3</v>
      </c>
      <c r="AA20" s="6">
        <v>43.665300000000002</v>
      </c>
      <c r="AB20" s="6">
        <v>59.788499999999999</v>
      </c>
      <c r="AD20" s="17">
        <v>18</v>
      </c>
      <c r="AE20" s="6">
        <v>3.0468500000000001</v>
      </c>
      <c r="AF20" s="6">
        <v>4.5839999999999996</v>
      </c>
      <c r="AG20" s="6">
        <v>2.9338000000000002</v>
      </c>
      <c r="AH20" s="6">
        <v>255</v>
      </c>
      <c r="AJ20" s="17">
        <v>18</v>
      </c>
      <c r="AK20" s="6">
        <v>5.7774999999999999</v>
      </c>
      <c r="AL20" s="6">
        <v>4.5839999999999996</v>
      </c>
      <c r="AM20" s="6">
        <v>2.9338000000000002</v>
      </c>
      <c r="AN20" s="6">
        <v>255</v>
      </c>
      <c r="AQ20" s="17">
        <v>18</v>
      </c>
      <c r="AR20" s="6">
        <v>1.5913900000000001</v>
      </c>
      <c r="AS20" s="6">
        <v>1.2110000000000001</v>
      </c>
      <c r="AT20" s="6">
        <v>0.80810000000000004</v>
      </c>
      <c r="AU20" s="6">
        <v>255</v>
      </c>
      <c r="AW20" s="17">
        <v>18</v>
      </c>
      <c r="AX20" s="6">
        <v>0.83923999999999999</v>
      </c>
      <c r="AY20" s="6">
        <v>1.2110000000000001</v>
      </c>
      <c r="AZ20" s="6">
        <v>0.80810000000000004</v>
      </c>
      <c r="BA20" s="6">
        <v>255</v>
      </c>
      <c r="BC20" s="17" t="s">
        <v>47</v>
      </c>
      <c r="BD20" s="5">
        <v>17</v>
      </c>
      <c r="BE20" s="6">
        <v>56.403100000000002</v>
      </c>
      <c r="BF20" s="6">
        <v>1.1014999999999999</v>
      </c>
      <c r="BG20" s="6">
        <v>255</v>
      </c>
      <c r="BH20" s="6">
        <v>51.2</v>
      </c>
      <c r="BI20" s="6" t="s">
        <v>65</v>
      </c>
      <c r="BJ20" s="6">
        <v>0.05</v>
      </c>
      <c r="BK20" s="6">
        <v>54.233800000000002</v>
      </c>
      <c r="BL20" s="6">
        <v>58.572299999999998</v>
      </c>
      <c r="BN20" s="17">
        <v>18</v>
      </c>
      <c r="BO20" s="6">
        <v>27.21415343</v>
      </c>
      <c r="BP20" s="6">
        <v>24.779722280000001</v>
      </c>
      <c r="BQ20" s="6">
        <v>2.43443115</v>
      </c>
    </row>
    <row r="21" spans="1:69" x14ac:dyDescent="0.25">
      <c r="A21" t="s">
        <v>7</v>
      </c>
      <c r="B21" s="11">
        <v>1</v>
      </c>
      <c r="C21" s="11">
        <v>7</v>
      </c>
      <c r="D21" s="11">
        <v>2</v>
      </c>
      <c r="E21" s="11">
        <v>27</v>
      </c>
      <c r="F21" s="12">
        <v>55.4</v>
      </c>
      <c r="G21">
        <v>41.06519999999999</v>
      </c>
      <c r="H21">
        <v>10.1</v>
      </c>
      <c r="I21" t="s">
        <v>12</v>
      </c>
      <c r="J21" s="11"/>
      <c r="L21" t="s">
        <v>83</v>
      </c>
      <c r="S21" s="17" t="s">
        <v>47</v>
      </c>
      <c r="T21" s="5">
        <v>18</v>
      </c>
      <c r="U21" s="6">
        <v>47.628399999999999</v>
      </c>
      <c r="V21" s="6">
        <v>7.7625000000000002</v>
      </c>
      <c r="W21" s="6">
        <v>255</v>
      </c>
      <c r="X21" s="6">
        <v>6.14</v>
      </c>
      <c r="Y21" s="6" t="s">
        <v>65</v>
      </c>
      <c r="Z21" s="6">
        <v>0.3</v>
      </c>
      <c r="AA21" s="6">
        <v>39.566699999999997</v>
      </c>
      <c r="AB21" s="6">
        <v>55.690100000000001</v>
      </c>
      <c r="AD21" s="17">
        <v>19</v>
      </c>
      <c r="AE21" s="6">
        <v>3.0507300000000002</v>
      </c>
      <c r="AF21" s="6">
        <v>1.0634999999999999</v>
      </c>
      <c r="AG21" s="6">
        <v>2.9375</v>
      </c>
      <c r="AH21" s="6">
        <v>255</v>
      </c>
      <c r="AJ21" s="17">
        <v>19</v>
      </c>
      <c r="AK21" s="6">
        <v>5.7848600000000001</v>
      </c>
      <c r="AL21" s="6">
        <v>1.0634999999999999</v>
      </c>
      <c r="AM21" s="6">
        <v>2.9375</v>
      </c>
      <c r="AN21" s="6">
        <v>255</v>
      </c>
      <c r="AQ21" s="17">
        <v>19</v>
      </c>
      <c r="AR21" s="6">
        <v>1.59213</v>
      </c>
      <c r="AS21" s="19">
        <v>-0.73380000000000001</v>
      </c>
      <c r="AT21" s="6">
        <v>0.8085</v>
      </c>
      <c r="AU21" s="6">
        <v>255</v>
      </c>
      <c r="AW21" s="17">
        <v>19</v>
      </c>
      <c r="AX21" s="6">
        <v>0.83962999999999999</v>
      </c>
      <c r="AY21" s="19">
        <v>-0.73380000000000001</v>
      </c>
      <c r="AZ21" s="6">
        <v>0.8085</v>
      </c>
      <c r="BA21" s="6">
        <v>255</v>
      </c>
      <c r="BC21" s="17" t="s">
        <v>47</v>
      </c>
      <c r="BD21" s="5">
        <v>18</v>
      </c>
      <c r="BE21" s="6">
        <v>56.015799999999999</v>
      </c>
      <c r="BF21" s="6">
        <v>1.1042000000000001</v>
      </c>
      <c r="BG21" s="6">
        <v>255</v>
      </c>
      <c r="BH21" s="6">
        <v>50.73</v>
      </c>
      <c r="BI21" s="6" t="s">
        <v>65</v>
      </c>
      <c r="BJ21" s="6">
        <v>0.05</v>
      </c>
      <c r="BK21" s="6">
        <v>53.841299999999997</v>
      </c>
      <c r="BL21" s="6">
        <v>58.190300000000001</v>
      </c>
      <c r="BN21" s="17">
        <v>19</v>
      </c>
      <c r="BO21" s="6">
        <v>43.136738809999997</v>
      </c>
      <c r="BP21" s="6">
        <v>45.979181949999997</v>
      </c>
      <c r="BQ21" s="19">
        <v>-2.8424431399999999</v>
      </c>
    </row>
    <row r="22" spans="1:69" x14ac:dyDescent="0.25">
      <c r="A22" t="s">
        <v>7</v>
      </c>
      <c r="B22" s="11">
        <v>1</v>
      </c>
      <c r="C22" s="11">
        <v>6</v>
      </c>
      <c r="D22" s="11">
        <v>2</v>
      </c>
      <c r="E22" s="11">
        <v>14</v>
      </c>
      <c r="F22" s="12">
        <v>57</v>
      </c>
      <c r="G22">
        <v>46.123532058492678</v>
      </c>
      <c r="H22">
        <v>9.6999999999999993</v>
      </c>
      <c r="I22" t="s">
        <v>12</v>
      </c>
      <c r="J22" s="11"/>
      <c r="L22" t="s">
        <v>84</v>
      </c>
      <c r="S22" s="17" t="s">
        <v>47</v>
      </c>
      <c r="T22" s="5">
        <v>19</v>
      </c>
      <c r="U22" s="6">
        <v>51.384399999999999</v>
      </c>
      <c r="V22" s="6">
        <v>7.7619999999999996</v>
      </c>
      <c r="W22" s="6">
        <v>255</v>
      </c>
      <c r="X22" s="6">
        <v>6.62</v>
      </c>
      <c r="Y22" s="6" t="s">
        <v>65</v>
      </c>
      <c r="Z22" s="6">
        <v>0.3</v>
      </c>
      <c r="AA22" s="6">
        <v>43.323300000000003</v>
      </c>
      <c r="AB22" s="6">
        <v>59.445599999999999</v>
      </c>
      <c r="AD22" s="17">
        <v>20</v>
      </c>
      <c r="AE22" s="6">
        <v>3.04786</v>
      </c>
      <c r="AF22" s="6">
        <v>1.3918999999999999</v>
      </c>
      <c r="AG22" s="6">
        <v>2.9346999999999999</v>
      </c>
      <c r="AH22" s="6">
        <v>255</v>
      </c>
      <c r="AJ22" s="17">
        <v>20</v>
      </c>
      <c r="AK22" s="6">
        <v>5.77942</v>
      </c>
      <c r="AL22" s="6">
        <v>1.3918999999999999</v>
      </c>
      <c r="AM22" s="6">
        <v>2.9346999999999999</v>
      </c>
      <c r="AN22" s="6">
        <v>255</v>
      </c>
      <c r="AQ22" s="17">
        <v>20</v>
      </c>
      <c r="AR22" s="6">
        <v>1.59124</v>
      </c>
      <c r="AS22" s="6">
        <v>0.1085</v>
      </c>
      <c r="AT22" s="6">
        <v>0.80800000000000005</v>
      </c>
      <c r="AU22" s="6">
        <v>255</v>
      </c>
      <c r="AW22" s="17">
        <v>20</v>
      </c>
      <c r="AX22" s="6">
        <v>0.83916999999999997</v>
      </c>
      <c r="AY22" s="6">
        <v>0.1085</v>
      </c>
      <c r="AZ22" s="6">
        <v>0.80800000000000005</v>
      </c>
      <c r="BA22" s="6">
        <v>255</v>
      </c>
      <c r="BC22" s="17" t="s">
        <v>47</v>
      </c>
      <c r="BD22" s="5">
        <v>19</v>
      </c>
      <c r="BE22" s="6">
        <v>55.940800000000003</v>
      </c>
      <c r="BF22" s="6">
        <v>1.1012</v>
      </c>
      <c r="BG22" s="6">
        <v>255</v>
      </c>
      <c r="BH22" s="6">
        <v>50.8</v>
      </c>
      <c r="BI22" s="6" t="s">
        <v>65</v>
      </c>
      <c r="BJ22" s="6">
        <v>0.05</v>
      </c>
      <c r="BK22" s="6">
        <v>53.772100000000002</v>
      </c>
      <c r="BL22" s="6">
        <v>58.109400000000001</v>
      </c>
      <c r="BN22" s="17">
        <v>20</v>
      </c>
      <c r="BO22" s="6">
        <v>41.065199999999997</v>
      </c>
      <c r="BP22" s="6">
        <v>48.237885439999999</v>
      </c>
      <c r="BQ22" s="19">
        <v>-7.1726854400000004</v>
      </c>
    </row>
    <row r="23" spans="1:69" x14ac:dyDescent="0.25">
      <c r="A23" t="s">
        <v>7</v>
      </c>
      <c r="B23" s="11">
        <v>1</v>
      </c>
      <c r="C23" s="11">
        <v>5</v>
      </c>
      <c r="D23" s="11">
        <v>2</v>
      </c>
      <c r="E23" s="11">
        <v>44</v>
      </c>
      <c r="F23" s="12">
        <v>51</v>
      </c>
      <c r="G23">
        <v>32.962790551181101</v>
      </c>
      <c r="H23">
        <v>11.1</v>
      </c>
      <c r="I23" t="s">
        <v>12</v>
      </c>
      <c r="J23" s="11"/>
      <c r="L23" t="s">
        <v>85</v>
      </c>
      <c r="S23" s="17" t="s">
        <v>47</v>
      </c>
      <c r="T23" s="5">
        <v>20</v>
      </c>
      <c r="U23" s="6">
        <v>54.904899999999998</v>
      </c>
      <c r="V23" s="6">
        <v>7.7622999999999998</v>
      </c>
      <c r="W23" s="6">
        <v>255</v>
      </c>
      <c r="X23" s="6">
        <v>7.07</v>
      </c>
      <c r="Y23" s="6" t="s">
        <v>65</v>
      </c>
      <c r="Z23" s="6">
        <v>0.3</v>
      </c>
      <c r="AA23" s="6">
        <v>46.843400000000003</v>
      </c>
      <c r="AB23" s="6">
        <v>62.966500000000003</v>
      </c>
      <c r="AD23" s="17">
        <v>21</v>
      </c>
      <c r="AE23" s="6">
        <v>3.04149</v>
      </c>
      <c r="AF23" s="6">
        <v>3.9098999999999999</v>
      </c>
      <c r="AG23" s="6">
        <v>2.9285999999999999</v>
      </c>
      <c r="AH23" s="6">
        <v>255</v>
      </c>
      <c r="AJ23" s="17">
        <v>21</v>
      </c>
      <c r="AK23" s="6">
        <v>5.7673399999999999</v>
      </c>
      <c r="AL23" s="6">
        <v>3.9098999999999999</v>
      </c>
      <c r="AM23" s="6">
        <v>2.9285999999999999</v>
      </c>
      <c r="AN23" s="6">
        <v>255</v>
      </c>
      <c r="AQ23" s="17">
        <v>21</v>
      </c>
      <c r="AR23" s="6">
        <v>1.5874699999999999</v>
      </c>
      <c r="AS23" s="19">
        <v>-1.5606</v>
      </c>
      <c r="AT23" s="6">
        <v>0.80610000000000004</v>
      </c>
      <c r="AU23" s="6">
        <v>255</v>
      </c>
      <c r="AW23" s="17">
        <v>21</v>
      </c>
      <c r="AX23" s="6">
        <v>0.83718000000000004</v>
      </c>
      <c r="AY23" s="19">
        <v>-1.5606</v>
      </c>
      <c r="AZ23" s="6">
        <v>0.80610000000000004</v>
      </c>
      <c r="BA23" s="6">
        <v>255</v>
      </c>
      <c r="BC23" s="17" t="s">
        <v>47</v>
      </c>
      <c r="BD23" s="5">
        <v>20</v>
      </c>
      <c r="BE23" s="6">
        <v>57.885599999999997</v>
      </c>
      <c r="BF23" s="6">
        <v>1.1011</v>
      </c>
      <c r="BG23" s="6">
        <v>255</v>
      </c>
      <c r="BH23" s="6">
        <v>52.57</v>
      </c>
      <c r="BI23" s="6" t="s">
        <v>65</v>
      </c>
      <c r="BJ23" s="6">
        <v>0.05</v>
      </c>
      <c r="BK23" s="6">
        <v>55.717100000000002</v>
      </c>
      <c r="BL23" s="6">
        <v>60.054099999999998</v>
      </c>
      <c r="BN23" s="17">
        <v>21</v>
      </c>
      <c r="BO23" s="6">
        <v>46.123532060000002</v>
      </c>
      <c r="BP23" s="6">
        <v>51.907923689999997</v>
      </c>
      <c r="BQ23" s="19">
        <v>-5.78439163</v>
      </c>
    </row>
    <row r="24" spans="1:69" x14ac:dyDescent="0.25">
      <c r="A24" t="s">
        <v>7</v>
      </c>
      <c r="B24" s="11">
        <v>1</v>
      </c>
      <c r="C24" s="11">
        <v>4</v>
      </c>
      <c r="D24" s="11">
        <v>2</v>
      </c>
      <c r="E24" s="11">
        <v>32</v>
      </c>
      <c r="F24" s="12">
        <v>56.1</v>
      </c>
      <c r="G24">
        <v>48.088743307086609</v>
      </c>
      <c r="H24">
        <v>10.3</v>
      </c>
      <c r="I24" t="s">
        <v>12</v>
      </c>
      <c r="J24" s="11"/>
      <c r="L24" t="s">
        <v>172</v>
      </c>
      <c r="S24" s="17" t="s">
        <v>47</v>
      </c>
      <c r="T24" s="5">
        <v>21</v>
      </c>
      <c r="U24" s="6">
        <v>54.576599999999999</v>
      </c>
      <c r="V24" s="6">
        <v>7.7622</v>
      </c>
      <c r="W24" s="6">
        <v>255</v>
      </c>
      <c r="X24" s="6">
        <v>7.03</v>
      </c>
      <c r="Y24" s="6" t="s">
        <v>65</v>
      </c>
      <c r="Z24" s="6">
        <v>0.3</v>
      </c>
      <c r="AA24" s="6">
        <v>46.5152</v>
      </c>
      <c r="AB24" s="6">
        <v>62.637999999999998</v>
      </c>
      <c r="AD24" s="17">
        <v>22</v>
      </c>
      <c r="AE24" s="6">
        <v>3.0407799999999998</v>
      </c>
      <c r="AF24" s="6">
        <v>5.5880999999999998</v>
      </c>
      <c r="AG24" s="6">
        <v>2.9279000000000002</v>
      </c>
      <c r="AH24" s="6">
        <v>255</v>
      </c>
      <c r="AJ24" s="17">
        <v>22</v>
      </c>
      <c r="AK24" s="6">
        <v>5.7659900000000004</v>
      </c>
      <c r="AL24" s="6">
        <v>5.5880999999999998</v>
      </c>
      <c r="AM24" s="6">
        <v>2.9279000000000002</v>
      </c>
      <c r="AN24" s="6">
        <v>255</v>
      </c>
      <c r="AQ24" s="17">
        <v>22</v>
      </c>
      <c r="AR24" s="6">
        <v>1.59572</v>
      </c>
      <c r="AS24" s="19">
        <v>-1.1798</v>
      </c>
      <c r="AT24" s="6">
        <v>0.81030000000000002</v>
      </c>
      <c r="AU24" s="6">
        <v>255</v>
      </c>
      <c r="AW24" s="17">
        <v>22</v>
      </c>
      <c r="AX24" s="6">
        <v>0.84152000000000005</v>
      </c>
      <c r="AY24" s="19">
        <v>-1.1798</v>
      </c>
      <c r="AZ24" s="6">
        <v>0.81030000000000002</v>
      </c>
      <c r="BA24" s="6">
        <v>255</v>
      </c>
      <c r="BC24" s="17" t="s">
        <v>47</v>
      </c>
      <c r="BD24" s="5">
        <v>21</v>
      </c>
      <c r="BE24" s="6">
        <v>57.043300000000002</v>
      </c>
      <c r="BF24" s="6">
        <v>1.1012</v>
      </c>
      <c r="BG24" s="6">
        <v>255</v>
      </c>
      <c r="BH24" s="6">
        <v>51.8</v>
      </c>
      <c r="BI24" s="6" t="s">
        <v>65</v>
      </c>
      <c r="BJ24" s="6">
        <v>0.05</v>
      </c>
      <c r="BK24" s="6">
        <v>54.874699999999997</v>
      </c>
      <c r="BL24" s="6">
        <v>59.212000000000003</v>
      </c>
      <c r="BN24" s="17">
        <v>22</v>
      </c>
      <c r="BO24" s="6">
        <v>32.962790550000001</v>
      </c>
      <c r="BP24" s="6">
        <v>34.0711698</v>
      </c>
      <c r="BQ24" s="19">
        <v>-1.10837925</v>
      </c>
    </row>
    <row r="25" spans="1:69" x14ac:dyDescent="0.25">
      <c r="A25" t="s">
        <v>7</v>
      </c>
      <c r="B25" s="11">
        <v>1</v>
      </c>
      <c r="C25" s="11">
        <v>3</v>
      </c>
      <c r="D25" s="11">
        <v>2</v>
      </c>
      <c r="E25" s="11">
        <v>29</v>
      </c>
      <c r="F25" s="12">
        <v>55.7</v>
      </c>
      <c r="G25">
        <v>47.6359046119235</v>
      </c>
      <c r="H25">
        <v>10.3</v>
      </c>
      <c r="I25" t="s">
        <v>12</v>
      </c>
      <c r="J25" s="11"/>
      <c r="L25" t="s">
        <v>87</v>
      </c>
      <c r="S25" s="17" t="s">
        <v>47</v>
      </c>
      <c r="T25" s="5">
        <v>22</v>
      </c>
      <c r="U25" s="6">
        <v>52.058500000000002</v>
      </c>
      <c r="V25" s="6">
        <v>7.7613000000000003</v>
      </c>
      <c r="W25" s="6">
        <v>255</v>
      </c>
      <c r="X25" s="6">
        <v>6.71</v>
      </c>
      <c r="Y25" s="6" t="s">
        <v>65</v>
      </c>
      <c r="Z25" s="6">
        <v>0.3</v>
      </c>
      <c r="AA25" s="6">
        <v>43.998100000000001</v>
      </c>
      <c r="AB25" s="6">
        <v>60.119</v>
      </c>
      <c r="AD25" s="17">
        <v>23</v>
      </c>
      <c r="AE25" s="6">
        <v>3.04257</v>
      </c>
      <c r="AF25" s="6">
        <v>3.1059999999999999</v>
      </c>
      <c r="AG25" s="6">
        <v>2.9297</v>
      </c>
      <c r="AH25" s="6">
        <v>255</v>
      </c>
      <c r="AJ25" s="17">
        <v>23</v>
      </c>
      <c r="AK25" s="6">
        <v>5.7693899999999996</v>
      </c>
      <c r="AL25" s="6">
        <v>3.1059999999999999</v>
      </c>
      <c r="AM25" s="6">
        <v>2.9297</v>
      </c>
      <c r="AN25" s="6">
        <v>255</v>
      </c>
      <c r="AQ25" s="17">
        <v>23</v>
      </c>
      <c r="AR25" s="6">
        <v>1.61361</v>
      </c>
      <c r="AS25" s="6">
        <v>0.19869999999999999</v>
      </c>
      <c r="AT25" s="6">
        <v>0.81940000000000002</v>
      </c>
      <c r="AU25" s="6">
        <v>255</v>
      </c>
      <c r="AW25" s="17">
        <v>23</v>
      </c>
      <c r="AX25" s="6">
        <v>0.85096000000000005</v>
      </c>
      <c r="AY25" s="6">
        <v>0.19869999999999999</v>
      </c>
      <c r="AZ25" s="6">
        <v>0.81940000000000002</v>
      </c>
      <c r="BA25" s="6">
        <v>255</v>
      </c>
      <c r="BC25" s="17" t="s">
        <v>47</v>
      </c>
      <c r="BD25" s="5">
        <v>22</v>
      </c>
      <c r="BE25" s="6">
        <v>58.712400000000002</v>
      </c>
      <c r="BF25" s="6">
        <v>1.1008</v>
      </c>
      <c r="BG25" s="6">
        <v>255</v>
      </c>
      <c r="BH25" s="6">
        <v>53.34</v>
      </c>
      <c r="BI25" s="6" t="s">
        <v>65</v>
      </c>
      <c r="BJ25" s="6">
        <v>0.05</v>
      </c>
      <c r="BK25" s="6">
        <v>56.544600000000003</v>
      </c>
      <c r="BL25" s="6">
        <v>60.880200000000002</v>
      </c>
      <c r="BN25" s="17">
        <v>23</v>
      </c>
      <c r="BO25" s="6">
        <v>48.088743309999998</v>
      </c>
      <c r="BP25" s="6">
        <v>51.25727483</v>
      </c>
      <c r="BQ25" s="19">
        <v>-3.1685315200000002</v>
      </c>
    </row>
    <row r="26" spans="1:69" x14ac:dyDescent="0.25">
      <c r="A26" t="s">
        <v>7</v>
      </c>
      <c r="B26" s="11">
        <v>1</v>
      </c>
      <c r="C26" s="11">
        <v>2</v>
      </c>
      <c r="D26" s="11">
        <v>2</v>
      </c>
      <c r="E26" s="11">
        <v>4</v>
      </c>
      <c r="F26" s="12">
        <v>50.5</v>
      </c>
      <c r="G26">
        <v>45.954307761529805</v>
      </c>
      <c r="H26">
        <v>10.7</v>
      </c>
      <c r="I26" t="s">
        <v>12</v>
      </c>
      <c r="J26" s="11"/>
      <c r="L26" t="s">
        <v>88</v>
      </c>
      <c r="S26" s="17" t="s">
        <v>47</v>
      </c>
      <c r="T26" s="5">
        <v>23</v>
      </c>
      <c r="U26" s="6">
        <v>50.380299999999998</v>
      </c>
      <c r="V26" s="6">
        <v>7.7634999999999996</v>
      </c>
      <c r="W26" s="6">
        <v>255</v>
      </c>
      <c r="X26" s="6">
        <v>6.49</v>
      </c>
      <c r="Y26" s="6" t="s">
        <v>65</v>
      </c>
      <c r="Z26" s="6">
        <v>0.3</v>
      </c>
      <c r="AA26" s="6">
        <v>42.317500000000003</v>
      </c>
      <c r="AB26" s="6">
        <v>58.443100000000001</v>
      </c>
      <c r="AD26" s="17">
        <v>24</v>
      </c>
      <c r="AE26" s="6">
        <v>3.0650499999999998</v>
      </c>
      <c r="AF26" s="6">
        <v>5.0663</v>
      </c>
      <c r="AG26" s="6">
        <v>2.9512999999999998</v>
      </c>
      <c r="AH26" s="6">
        <v>255</v>
      </c>
      <c r="AJ26" s="17">
        <v>24</v>
      </c>
      <c r="AK26" s="6">
        <v>5.8120200000000004</v>
      </c>
      <c r="AL26" s="6">
        <v>5.0663</v>
      </c>
      <c r="AM26" s="6">
        <v>2.9512999999999998</v>
      </c>
      <c r="AN26" s="6">
        <v>255</v>
      </c>
      <c r="AQ26" s="17">
        <v>24</v>
      </c>
      <c r="AR26" s="6">
        <v>1.59924</v>
      </c>
      <c r="AS26" s="6">
        <v>0.1096</v>
      </c>
      <c r="AT26" s="6">
        <v>0.81210000000000004</v>
      </c>
      <c r="AU26" s="6">
        <v>255</v>
      </c>
      <c r="AW26" s="17">
        <v>24</v>
      </c>
      <c r="AX26" s="6">
        <v>0.84338000000000002</v>
      </c>
      <c r="AY26" s="6">
        <v>0.1096</v>
      </c>
      <c r="AZ26" s="6">
        <v>0.81210000000000004</v>
      </c>
      <c r="BA26" s="6">
        <v>255</v>
      </c>
      <c r="BC26" s="17" t="s">
        <v>47</v>
      </c>
      <c r="BD26" s="5">
        <v>23</v>
      </c>
      <c r="BE26" s="6">
        <v>58.331499999999998</v>
      </c>
      <c r="BF26" s="6">
        <v>1.1046</v>
      </c>
      <c r="BG26" s="6">
        <v>255</v>
      </c>
      <c r="BH26" s="6">
        <v>52.81</v>
      </c>
      <c r="BI26" s="6" t="s">
        <v>65</v>
      </c>
      <c r="BJ26" s="6">
        <v>0.05</v>
      </c>
      <c r="BK26" s="6">
        <v>56.156300000000002</v>
      </c>
      <c r="BL26" s="6">
        <v>60.506799999999998</v>
      </c>
      <c r="BN26" s="17">
        <v>24</v>
      </c>
      <c r="BO26" s="6">
        <v>47.635904609999997</v>
      </c>
      <c r="BP26" s="6">
        <v>44.800865180000002</v>
      </c>
      <c r="BQ26" s="6">
        <v>2.8350394300000001</v>
      </c>
    </row>
    <row r="27" spans="1:69" x14ac:dyDescent="0.25">
      <c r="A27" t="s">
        <v>7</v>
      </c>
      <c r="B27" s="11">
        <v>1</v>
      </c>
      <c r="C27" s="11">
        <v>1</v>
      </c>
      <c r="D27" s="11">
        <v>2</v>
      </c>
      <c r="E27" s="11">
        <v>1</v>
      </c>
      <c r="F27" s="12">
        <v>57.4</v>
      </c>
      <c r="G27">
        <v>44.912725309336338</v>
      </c>
      <c r="H27">
        <v>9.8000000000000007</v>
      </c>
      <c r="I27" t="s">
        <v>12</v>
      </c>
      <c r="J27" s="11"/>
      <c r="S27" s="17" t="s">
        <v>47</v>
      </c>
      <c r="T27" s="5">
        <v>24</v>
      </c>
      <c r="U27" s="6">
        <v>52.862499999999997</v>
      </c>
      <c r="V27" s="6">
        <v>7.7629000000000001</v>
      </c>
      <c r="W27" s="6">
        <v>255</v>
      </c>
      <c r="X27" s="6">
        <v>6.81</v>
      </c>
      <c r="Y27" s="6" t="s">
        <v>65</v>
      </c>
      <c r="Z27" s="6">
        <v>0.3</v>
      </c>
      <c r="AA27" s="6">
        <v>44.800400000000003</v>
      </c>
      <c r="AB27" s="6">
        <v>60.924500000000002</v>
      </c>
      <c r="AD27" s="17">
        <v>25</v>
      </c>
      <c r="AE27" s="6">
        <v>3.0519400000000001</v>
      </c>
      <c r="AF27" s="19">
        <v>-2.9998</v>
      </c>
      <c r="AG27" s="6">
        <v>2.9386999999999999</v>
      </c>
      <c r="AH27" s="6">
        <v>255</v>
      </c>
      <c r="AJ27" s="17">
        <v>25</v>
      </c>
      <c r="AK27" s="6">
        <v>5.7871499999999996</v>
      </c>
      <c r="AL27" s="19">
        <v>-2.9998</v>
      </c>
      <c r="AM27" s="6">
        <v>2.9386999999999999</v>
      </c>
      <c r="AN27" s="6">
        <v>255</v>
      </c>
      <c r="AQ27" s="17">
        <v>25</v>
      </c>
      <c r="AR27" s="6">
        <v>1.59345</v>
      </c>
      <c r="AS27" s="19">
        <v>-0.30130000000000001</v>
      </c>
      <c r="AT27" s="6">
        <v>0.80910000000000004</v>
      </c>
      <c r="AU27" s="6">
        <v>255</v>
      </c>
      <c r="AW27" s="17">
        <v>25</v>
      </c>
      <c r="AX27" s="6">
        <v>0.84033000000000002</v>
      </c>
      <c r="AY27" s="19">
        <v>-0.30130000000000001</v>
      </c>
      <c r="AZ27" s="6">
        <v>0.80910000000000004</v>
      </c>
      <c r="BA27" s="6">
        <v>255</v>
      </c>
      <c r="BC27" s="17" t="s">
        <v>47</v>
      </c>
      <c r="BD27" s="5">
        <v>24</v>
      </c>
      <c r="BE27" s="6">
        <v>56.953099999999999</v>
      </c>
      <c r="BF27" s="6">
        <v>1.1107</v>
      </c>
      <c r="BG27" s="6">
        <v>255</v>
      </c>
      <c r="BH27" s="6">
        <v>51.28</v>
      </c>
      <c r="BI27" s="6" t="s">
        <v>65</v>
      </c>
      <c r="BJ27" s="6">
        <v>0.05</v>
      </c>
      <c r="BK27" s="6">
        <v>54.765799999999999</v>
      </c>
      <c r="BL27" s="6">
        <v>59.1404</v>
      </c>
      <c r="BN27" s="17">
        <v>25</v>
      </c>
      <c r="BO27" s="6">
        <v>45.954307759999999</v>
      </c>
      <c r="BP27" s="6">
        <v>49.921431130000002</v>
      </c>
      <c r="BQ27" s="19">
        <v>-3.9671233699999999</v>
      </c>
    </row>
    <row r="28" spans="1:69" x14ac:dyDescent="0.25">
      <c r="A28" t="s">
        <v>7</v>
      </c>
      <c r="B28" s="11">
        <v>1</v>
      </c>
      <c r="C28" s="11">
        <v>1</v>
      </c>
      <c r="D28" s="11">
        <v>3</v>
      </c>
      <c r="E28" s="11">
        <v>13</v>
      </c>
      <c r="F28" s="12">
        <v>55.9</v>
      </c>
      <c r="G28">
        <v>50.830733488217724</v>
      </c>
      <c r="H28">
        <v>10.4</v>
      </c>
      <c r="I28" t="s">
        <v>12</v>
      </c>
      <c r="J28" s="11"/>
      <c r="S28" s="17" t="s">
        <v>47</v>
      </c>
      <c r="T28" s="5">
        <v>25</v>
      </c>
      <c r="U28" s="6">
        <v>50.902200000000001</v>
      </c>
      <c r="V28" s="6">
        <v>7.7664999999999997</v>
      </c>
      <c r="W28" s="6">
        <v>255</v>
      </c>
      <c r="X28" s="6">
        <v>6.55</v>
      </c>
      <c r="Y28" s="6" t="s">
        <v>65</v>
      </c>
      <c r="Z28" s="6">
        <v>0.3</v>
      </c>
      <c r="AA28" s="6">
        <v>42.836399999999998</v>
      </c>
      <c r="AB28" s="6">
        <v>58.968000000000004</v>
      </c>
      <c r="AD28" s="17">
        <v>26</v>
      </c>
      <c r="AE28" s="6">
        <v>3.0492300000000001</v>
      </c>
      <c r="AF28" s="6">
        <v>2.0428999999999999</v>
      </c>
      <c r="AG28" s="6">
        <v>2.9361000000000002</v>
      </c>
      <c r="AH28" s="6">
        <v>255</v>
      </c>
      <c r="AJ28" s="17">
        <v>26</v>
      </c>
      <c r="AK28" s="6">
        <v>5.7820099999999996</v>
      </c>
      <c r="AL28" s="6">
        <v>2.0428999999999999</v>
      </c>
      <c r="AM28" s="6">
        <v>2.9361000000000002</v>
      </c>
      <c r="AN28" s="6">
        <v>255</v>
      </c>
      <c r="AQ28" s="17">
        <v>26</v>
      </c>
      <c r="AR28" s="6">
        <v>1.58969</v>
      </c>
      <c r="AS28" s="19">
        <v>-2.894E-2</v>
      </c>
      <c r="AT28" s="6">
        <v>0.80720000000000003</v>
      </c>
      <c r="AU28" s="6">
        <v>255</v>
      </c>
      <c r="AW28" s="17">
        <v>26</v>
      </c>
      <c r="AX28" s="6">
        <v>0.83835000000000004</v>
      </c>
      <c r="AY28" s="19">
        <v>-2.894E-2</v>
      </c>
      <c r="AZ28" s="6">
        <v>0.80720000000000003</v>
      </c>
      <c r="BA28" s="6">
        <v>255</v>
      </c>
      <c r="BC28" s="17" t="s">
        <v>47</v>
      </c>
      <c r="BD28" s="5">
        <v>25</v>
      </c>
      <c r="BE28" s="6">
        <v>57.042200000000001</v>
      </c>
      <c r="BF28" s="6">
        <v>1.1039000000000001</v>
      </c>
      <c r="BG28" s="6">
        <v>255</v>
      </c>
      <c r="BH28" s="6">
        <v>51.67</v>
      </c>
      <c r="BI28" s="6" t="s">
        <v>65</v>
      </c>
      <c r="BJ28" s="6">
        <v>0.05</v>
      </c>
      <c r="BK28" s="6">
        <v>54.868299999999998</v>
      </c>
      <c r="BL28" s="6">
        <v>59.216099999999997</v>
      </c>
      <c r="BN28" s="17">
        <v>26</v>
      </c>
      <c r="BO28" s="6">
        <v>44.912725309999999</v>
      </c>
      <c r="BP28" s="6">
        <v>48.438817989999997</v>
      </c>
      <c r="BQ28" s="19">
        <v>-3.5260926800000001</v>
      </c>
    </row>
    <row r="29" spans="1:69" x14ac:dyDescent="0.25">
      <c r="A29" t="s">
        <v>7</v>
      </c>
      <c r="B29" s="11">
        <v>1</v>
      </c>
      <c r="C29" s="11">
        <v>2</v>
      </c>
      <c r="D29" s="11">
        <v>3</v>
      </c>
      <c r="E29" s="11">
        <v>39</v>
      </c>
      <c r="F29" s="12">
        <v>55.1</v>
      </c>
      <c r="G29">
        <v>56.39606277559146</v>
      </c>
      <c r="H29">
        <v>10.7</v>
      </c>
      <c r="I29" t="s">
        <v>12</v>
      </c>
      <c r="J29" s="11"/>
      <c r="L29" s="37"/>
      <c r="M29" s="38" t="s">
        <v>112</v>
      </c>
      <c r="N29" s="38" t="s">
        <v>5</v>
      </c>
      <c r="O29" s="24"/>
      <c r="P29" s="24"/>
      <c r="S29" s="17" t="s">
        <v>47</v>
      </c>
      <c r="T29" s="5">
        <v>26</v>
      </c>
      <c r="U29" s="6">
        <v>58.968299999999999</v>
      </c>
      <c r="V29" s="6">
        <v>7.766</v>
      </c>
      <c r="W29" s="6">
        <v>255</v>
      </c>
      <c r="X29" s="6">
        <v>7.59</v>
      </c>
      <c r="Y29" s="6" t="s">
        <v>65</v>
      </c>
      <c r="Z29" s="6">
        <v>0.3</v>
      </c>
      <c r="AA29" s="6">
        <v>50.902900000000002</v>
      </c>
      <c r="AB29" s="6">
        <v>67.033600000000007</v>
      </c>
      <c r="AD29" s="17">
        <v>27</v>
      </c>
      <c r="AE29" s="6">
        <v>3.0484499999999999</v>
      </c>
      <c r="AF29" s="6">
        <v>4.5202999999999998</v>
      </c>
      <c r="AG29" s="6">
        <v>2.9352999999999998</v>
      </c>
      <c r="AH29" s="6">
        <v>255</v>
      </c>
      <c r="AJ29" s="17">
        <v>27</v>
      </c>
      <c r="AK29" s="6">
        <v>5.7805299999999997</v>
      </c>
      <c r="AL29" s="6">
        <v>4.5202999999999998</v>
      </c>
      <c r="AM29" s="6">
        <v>2.9352999999999998</v>
      </c>
      <c r="AN29" s="6">
        <v>255</v>
      </c>
      <c r="AQ29" s="17">
        <v>27</v>
      </c>
      <c r="AR29" s="6">
        <v>1.58744</v>
      </c>
      <c r="AS29" s="6">
        <v>0.49490000000000001</v>
      </c>
      <c r="AT29" s="6">
        <v>0.80610000000000004</v>
      </c>
      <c r="AU29" s="6">
        <v>255</v>
      </c>
      <c r="AW29" s="17">
        <v>27</v>
      </c>
      <c r="AX29" s="6">
        <v>0.83716000000000002</v>
      </c>
      <c r="AY29" s="6">
        <v>0.49490000000000001</v>
      </c>
      <c r="AZ29" s="6">
        <v>0.80610000000000004</v>
      </c>
      <c r="BA29" s="6">
        <v>255</v>
      </c>
      <c r="BC29" s="17" t="s">
        <v>47</v>
      </c>
      <c r="BD29" s="5">
        <v>26</v>
      </c>
      <c r="BE29" s="6">
        <v>57.453099999999999</v>
      </c>
      <c r="BF29" s="6">
        <v>1.1037999999999999</v>
      </c>
      <c r="BG29" s="6">
        <v>255</v>
      </c>
      <c r="BH29" s="6">
        <v>52.05</v>
      </c>
      <c r="BI29" s="6" t="s">
        <v>65</v>
      </c>
      <c r="BJ29" s="6">
        <v>0.05</v>
      </c>
      <c r="BK29" s="6">
        <v>55.279400000000003</v>
      </c>
      <c r="BL29" s="6">
        <v>59.626800000000003</v>
      </c>
      <c r="BN29" s="17">
        <v>27</v>
      </c>
      <c r="BO29" s="6">
        <v>50.83073349</v>
      </c>
      <c r="BP29" s="6">
        <v>48.093817010000002</v>
      </c>
      <c r="BQ29" s="6">
        <v>2.7369164800000001</v>
      </c>
    </row>
    <row r="30" spans="1:69" x14ac:dyDescent="0.25">
      <c r="A30" t="s">
        <v>7</v>
      </c>
      <c r="B30" s="11">
        <v>1</v>
      </c>
      <c r="C30" s="11">
        <v>3</v>
      </c>
      <c r="D30" s="11">
        <v>3</v>
      </c>
      <c r="E30" s="11">
        <v>20</v>
      </c>
      <c r="F30" s="12">
        <v>56.1</v>
      </c>
      <c r="G30">
        <v>56.771202882746174</v>
      </c>
      <c r="H30">
        <v>10.3</v>
      </c>
      <c r="I30" t="s">
        <v>12</v>
      </c>
      <c r="J30" s="11"/>
      <c r="L30" s="38" t="s">
        <v>133</v>
      </c>
      <c r="M30" s="39">
        <f>AVERAGE(AE3:AE1048576)</f>
        <v>3.0497865912518853</v>
      </c>
      <c r="N30" s="39">
        <f>AVERAGE(AX3:AX1048576)</f>
        <v>0.84237168174962174</v>
      </c>
      <c r="O30" s="24"/>
      <c r="P30" s="24"/>
      <c r="S30" s="17" t="s">
        <v>47</v>
      </c>
      <c r="T30" s="5">
        <v>27</v>
      </c>
      <c r="U30" s="6">
        <v>53.9255</v>
      </c>
      <c r="V30" s="6">
        <v>7.7622999999999998</v>
      </c>
      <c r="W30" s="6">
        <v>255</v>
      </c>
      <c r="X30" s="6">
        <v>6.95</v>
      </c>
      <c r="Y30" s="6" t="s">
        <v>65</v>
      </c>
      <c r="Z30" s="6">
        <v>0.3</v>
      </c>
      <c r="AA30" s="6">
        <v>45.864100000000001</v>
      </c>
      <c r="AB30" s="6">
        <v>61.987000000000002</v>
      </c>
      <c r="AD30" s="17">
        <v>28</v>
      </c>
      <c r="AE30" s="6">
        <v>3.04582</v>
      </c>
      <c r="AF30" s="6">
        <v>2.601</v>
      </c>
      <c r="AG30" s="6">
        <v>2.9327999999999999</v>
      </c>
      <c r="AH30" s="6">
        <v>255</v>
      </c>
      <c r="AJ30" s="17">
        <v>28</v>
      </c>
      <c r="AK30" s="6">
        <v>5.77555</v>
      </c>
      <c r="AL30" s="6">
        <v>2.601</v>
      </c>
      <c r="AM30" s="6">
        <v>2.9327999999999999</v>
      </c>
      <c r="AN30" s="6">
        <v>255</v>
      </c>
      <c r="AQ30" s="17">
        <v>28</v>
      </c>
      <c r="AR30" s="6">
        <v>1.5914600000000001</v>
      </c>
      <c r="AS30" s="19">
        <v>-0.68769999999999998</v>
      </c>
      <c r="AT30" s="6">
        <v>0.80810000000000004</v>
      </c>
      <c r="AU30" s="6">
        <v>255</v>
      </c>
      <c r="AW30" s="17">
        <v>28</v>
      </c>
      <c r="AX30" s="6">
        <v>0.83928000000000003</v>
      </c>
      <c r="AY30" s="19">
        <v>-0.68769999999999998</v>
      </c>
      <c r="AZ30" s="6">
        <v>0.80810000000000004</v>
      </c>
      <c r="BA30" s="6">
        <v>255</v>
      </c>
      <c r="BC30" s="17" t="s">
        <v>47</v>
      </c>
      <c r="BD30" s="5">
        <v>27</v>
      </c>
      <c r="BE30" s="6">
        <v>57.180700000000002</v>
      </c>
      <c r="BF30" s="6">
        <v>1.101</v>
      </c>
      <c r="BG30" s="6">
        <v>255</v>
      </c>
      <c r="BH30" s="6">
        <v>51.94</v>
      </c>
      <c r="BI30" s="6" t="s">
        <v>65</v>
      </c>
      <c r="BJ30" s="6">
        <v>0.05</v>
      </c>
      <c r="BK30" s="6">
        <v>55.012500000000003</v>
      </c>
      <c r="BL30" s="6">
        <v>59.3489</v>
      </c>
      <c r="BN30" s="17">
        <v>28</v>
      </c>
      <c r="BO30" s="6">
        <v>56.396062780000001</v>
      </c>
      <c r="BP30" s="6">
        <v>51.69840834</v>
      </c>
      <c r="BQ30" s="6">
        <v>4.69765444</v>
      </c>
    </row>
    <row r="31" spans="1:69" x14ac:dyDescent="0.25">
      <c r="A31" t="s">
        <v>7</v>
      </c>
      <c r="B31" s="11">
        <v>1</v>
      </c>
      <c r="C31" s="11">
        <v>4</v>
      </c>
      <c r="D31" s="11">
        <v>3</v>
      </c>
      <c r="E31" s="11">
        <v>16</v>
      </c>
      <c r="F31" s="12">
        <v>57.9</v>
      </c>
      <c r="G31">
        <v>57.006087904793503</v>
      </c>
      <c r="H31">
        <v>10.7</v>
      </c>
      <c r="I31" t="s">
        <v>12</v>
      </c>
      <c r="J31" s="11"/>
      <c r="L31" s="38" t="s">
        <v>134</v>
      </c>
      <c r="M31" s="39">
        <f>AVERAGE(AK3:AK1048576)</f>
        <v>5.7830669004524804</v>
      </c>
      <c r="N31" s="39">
        <f>AVERAGE(AR3:AR1048576)</f>
        <v>1.5973221417797898</v>
      </c>
      <c r="O31" s="24"/>
      <c r="P31" s="24"/>
      <c r="S31" s="17" t="s">
        <v>47</v>
      </c>
      <c r="T31" s="5">
        <v>28</v>
      </c>
      <c r="U31" s="6">
        <v>51.4482</v>
      </c>
      <c r="V31" s="6">
        <v>7.7637999999999998</v>
      </c>
      <c r="W31" s="6">
        <v>255</v>
      </c>
      <c r="X31" s="6">
        <v>6.63</v>
      </c>
      <c r="Y31" s="6" t="s">
        <v>65</v>
      </c>
      <c r="Z31" s="6">
        <v>0.3</v>
      </c>
      <c r="AA31" s="6">
        <v>43.385100000000001</v>
      </c>
      <c r="AB31" s="6">
        <v>59.511200000000002</v>
      </c>
      <c r="AD31" s="17">
        <v>29</v>
      </c>
      <c r="AE31" s="6">
        <v>3.05165</v>
      </c>
      <c r="AF31" s="6">
        <v>3.9119999999999999</v>
      </c>
      <c r="AG31" s="6">
        <v>2.9384000000000001</v>
      </c>
      <c r="AH31" s="6">
        <v>255</v>
      </c>
      <c r="AJ31" s="17">
        <v>29</v>
      </c>
      <c r="AK31" s="6">
        <v>5.7865900000000003</v>
      </c>
      <c r="AL31" s="6">
        <v>3.9119999999999999</v>
      </c>
      <c r="AM31" s="6">
        <v>2.9384000000000001</v>
      </c>
      <c r="AN31" s="6">
        <v>255</v>
      </c>
      <c r="AQ31" s="17">
        <v>29</v>
      </c>
      <c r="AR31" s="6">
        <v>1.5931</v>
      </c>
      <c r="AS31" s="19">
        <v>-0.87609999999999999</v>
      </c>
      <c r="AT31" s="6">
        <v>0.80900000000000005</v>
      </c>
      <c r="AU31" s="6">
        <v>255</v>
      </c>
      <c r="AW31" s="17">
        <v>29</v>
      </c>
      <c r="AX31" s="6">
        <v>0.84014999999999995</v>
      </c>
      <c r="AY31" s="19">
        <v>-0.87609999999999999</v>
      </c>
      <c r="AZ31" s="6">
        <v>0.80900000000000005</v>
      </c>
      <c r="BA31" s="6">
        <v>255</v>
      </c>
      <c r="BC31" s="17" t="s">
        <v>47</v>
      </c>
      <c r="BD31" s="5">
        <v>28</v>
      </c>
      <c r="BE31" s="6">
        <v>56.656799999999997</v>
      </c>
      <c r="BF31" s="6">
        <v>1.1014999999999999</v>
      </c>
      <c r="BG31" s="6">
        <v>255</v>
      </c>
      <c r="BH31" s="6">
        <v>51.44</v>
      </c>
      <c r="BI31" s="6" t="s">
        <v>65</v>
      </c>
      <c r="BJ31" s="6">
        <v>0.05</v>
      </c>
      <c r="BK31" s="6">
        <v>54.4876</v>
      </c>
      <c r="BL31" s="6">
        <v>58.826099999999997</v>
      </c>
      <c r="BN31" s="17">
        <v>29</v>
      </c>
      <c r="BO31" s="6">
        <v>56.771202879999997</v>
      </c>
      <c r="BP31" s="6">
        <v>50.93855121</v>
      </c>
      <c r="BQ31" s="6">
        <v>5.8326516699999997</v>
      </c>
    </row>
    <row r="32" spans="1:69" x14ac:dyDescent="0.25">
      <c r="A32" t="s">
        <v>7</v>
      </c>
      <c r="B32" s="11">
        <v>1</v>
      </c>
      <c r="C32" s="11">
        <v>5</v>
      </c>
      <c r="D32" s="11">
        <v>3</v>
      </c>
      <c r="E32" s="11">
        <v>49</v>
      </c>
      <c r="F32" s="12">
        <v>50.7</v>
      </c>
      <c r="G32">
        <v>43.313896448722197</v>
      </c>
      <c r="H32">
        <v>12.8</v>
      </c>
      <c r="I32" t="s">
        <v>12</v>
      </c>
      <c r="J32" s="11"/>
      <c r="L32" s="38" t="s">
        <v>135</v>
      </c>
      <c r="M32" s="40">
        <f>V61</f>
        <v>15.145155718377906</v>
      </c>
      <c r="N32" s="40">
        <v>1.9276803088629657</v>
      </c>
      <c r="O32" s="24"/>
      <c r="P32" s="24"/>
      <c r="S32" s="17" t="s">
        <v>47</v>
      </c>
      <c r="T32" s="5">
        <v>29</v>
      </c>
      <c r="U32" s="6">
        <v>53.3675</v>
      </c>
      <c r="V32" s="6">
        <v>7.7630999999999997</v>
      </c>
      <c r="W32" s="6">
        <v>255</v>
      </c>
      <c r="X32" s="6">
        <v>6.87</v>
      </c>
      <c r="Y32" s="6" t="s">
        <v>65</v>
      </c>
      <c r="Z32" s="6">
        <v>0.3</v>
      </c>
      <c r="AA32" s="6">
        <v>45.305100000000003</v>
      </c>
      <c r="AB32" s="6">
        <v>61.4298</v>
      </c>
      <c r="AD32" s="17">
        <v>30</v>
      </c>
      <c r="AE32" s="6">
        <v>3.0493199999999998</v>
      </c>
      <c r="AF32" s="6">
        <v>5.8056000000000001</v>
      </c>
      <c r="AG32" s="6">
        <v>2.9361000000000002</v>
      </c>
      <c r="AH32" s="6">
        <v>255</v>
      </c>
      <c r="AJ32" s="17">
        <v>30</v>
      </c>
      <c r="AK32" s="6">
        <v>5.7821800000000003</v>
      </c>
      <c r="AL32" s="6">
        <v>5.8056000000000001</v>
      </c>
      <c r="AM32" s="6">
        <v>2.9361000000000002</v>
      </c>
      <c r="AN32" s="6">
        <v>255</v>
      </c>
      <c r="AQ32" s="17">
        <v>30</v>
      </c>
      <c r="AR32" s="6">
        <v>1.5904</v>
      </c>
      <c r="AS32" s="6">
        <v>5.348E-2</v>
      </c>
      <c r="AT32" s="6">
        <v>0.80759999999999998</v>
      </c>
      <c r="AU32" s="6">
        <v>255</v>
      </c>
      <c r="AW32" s="17">
        <v>30</v>
      </c>
      <c r="AX32" s="6">
        <v>0.83872000000000002</v>
      </c>
      <c r="AY32" s="6">
        <v>5.348E-2</v>
      </c>
      <c r="AZ32" s="6">
        <v>0.80759999999999998</v>
      </c>
      <c r="BA32" s="6">
        <v>255</v>
      </c>
      <c r="BC32" s="17" t="s">
        <v>47</v>
      </c>
      <c r="BD32" s="5">
        <v>29</v>
      </c>
      <c r="BE32" s="6">
        <v>57.839500000000001</v>
      </c>
      <c r="BF32" s="6">
        <v>1.1014999999999999</v>
      </c>
      <c r="BG32" s="6">
        <v>255</v>
      </c>
      <c r="BH32" s="6">
        <v>52.51</v>
      </c>
      <c r="BI32" s="6" t="s">
        <v>65</v>
      </c>
      <c r="BJ32" s="6">
        <v>0.05</v>
      </c>
      <c r="BK32" s="6">
        <v>55.670200000000001</v>
      </c>
      <c r="BL32" s="6">
        <v>60.008800000000001</v>
      </c>
      <c r="BN32" s="17">
        <v>30</v>
      </c>
      <c r="BO32" s="6">
        <v>57.006087899999997</v>
      </c>
      <c r="BP32" s="6">
        <v>55.900121140000003</v>
      </c>
      <c r="BQ32" s="6">
        <v>1.10596676</v>
      </c>
    </row>
    <row r="33" spans="1:69" x14ac:dyDescent="0.25">
      <c r="A33" t="s">
        <v>7</v>
      </c>
      <c r="B33" s="11">
        <v>1</v>
      </c>
      <c r="C33" s="11">
        <v>6</v>
      </c>
      <c r="D33" s="11">
        <v>3</v>
      </c>
      <c r="E33" s="11">
        <v>34</v>
      </c>
      <c r="F33" s="12">
        <v>54.2</v>
      </c>
      <c r="G33">
        <v>51.328667204020668</v>
      </c>
      <c r="H33">
        <v>9.9</v>
      </c>
      <c r="I33" t="s">
        <v>12</v>
      </c>
      <c r="J33" s="11"/>
      <c r="L33" s="24"/>
      <c r="M33" s="24"/>
      <c r="N33" s="24"/>
      <c r="O33" s="24"/>
      <c r="P33" s="24"/>
      <c r="S33" s="17" t="s">
        <v>47</v>
      </c>
      <c r="T33" s="5">
        <v>30</v>
      </c>
      <c r="U33" s="6">
        <v>52.0565</v>
      </c>
      <c r="V33" s="6">
        <v>7.7617000000000003</v>
      </c>
      <c r="W33" s="6">
        <v>255</v>
      </c>
      <c r="X33" s="6">
        <v>6.71</v>
      </c>
      <c r="Y33" s="6" t="s">
        <v>65</v>
      </c>
      <c r="Z33" s="6">
        <v>0.3</v>
      </c>
      <c r="AA33" s="6">
        <v>43.995600000000003</v>
      </c>
      <c r="AB33" s="6">
        <v>60.1173</v>
      </c>
      <c r="AD33" s="17">
        <v>31</v>
      </c>
      <c r="AE33" s="6">
        <v>3.0665200000000001</v>
      </c>
      <c r="AF33" s="19">
        <v>-0.34420000000000001</v>
      </c>
      <c r="AG33" s="6">
        <v>2.9527000000000001</v>
      </c>
      <c r="AH33" s="6">
        <v>255</v>
      </c>
      <c r="AJ33" s="17">
        <v>31</v>
      </c>
      <c r="AK33" s="6">
        <v>5.8147900000000003</v>
      </c>
      <c r="AL33" s="19">
        <v>-0.34420000000000001</v>
      </c>
      <c r="AM33" s="6">
        <v>2.9527000000000001</v>
      </c>
      <c r="AN33" s="6">
        <v>255</v>
      </c>
      <c r="AQ33" s="17">
        <v>31</v>
      </c>
      <c r="AR33" s="6">
        <v>1.60032</v>
      </c>
      <c r="AS33" s="19">
        <v>-2.3109999999999999</v>
      </c>
      <c r="AT33" s="6">
        <v>0.81259999999999999</v>
      </c>
      <c r="AU33" s="6">
        <v>255</v>
      </c>
      <c r="AW33" s="17">
        <v>31</v>
      </c>
      <c r="AX33" s="6">
        <v>0.84394999999999998</v>
      </c>
      <c r="AY33" s="19">
        <v>-2.3109999999999999</v>
      </c>
      <c r="AZ33" s="6">
        <v>0.81259999999999999</v>
      </c>
      <c r="BA33" s="6">
        <v>255</v>
      </c>
      <c r="BC33" s="17" t="s">
        <v>47</v>
      </c>
      <c r="BD33" s="5">
        <v>30</v>
      </c>
      <c r="BE33" s="6">
        <v>58.027900000000002</v>
      </c>
      <c r="BF33" s="6">
        <v>1.1012</v>
      </c>
      <c r="BG33" s="6">
        <v>255</v>
      </c>
      <c r="BH33" s="6">
        <v>52.7</v>
      </c>
      <c r="BI33" s="6" t="s">
        <v>65</v>
      </c>
      <c r="BJ33" s="6">
        <v>0.05</v>
      </c>
      <c r="BK33" s="6">
        <v>55.859299999999998</v>
      </c>
      <c r="BL33" s="6">
        <v>60.1965</v>
      </c>
      <c r="BN33" s="17">
        <v>31</v>
      </c>
      <c r="BO33" s="6">
        <v>43.313896450000001</v>
      </c>
      <c r="BP33" s="6">
        <v>41.789533560000002</v>
      </c>
      <c r="BQ33" s="6">
        <v>1.5243628899999999</v>
      </c>
    </row>
    <row r="34" spans="1:69" x14ac:dyDescent="0.25">
      <c r="A34" t="s">
        <v>7</v>
      </c>
      <c r="B34" s="11">
        <v>1</v>
      </c>
      <c r="C34" s="11">
        <v>7</v>
      </c>
      <c r="D34" s="11">
        <v>3</v>
      </c>
      <c r="E34" s="11">
        <v>45</v>
      </c>
      <c r="F34" s="12">
        <v>58.1</v>
      </c>
      <c r="G34">
        <v>53.667894836660189</v>
      </c>
      <c r="H34">
        <v>10.1</v>
      </c>
      <c r="I34" t="s">
        <v>12</v>
      </c>
      <c r="J34" s="11"/>
      <c r="L34" s="24"/>
      <c r="M34" s="24"/>
      <c r="N34" s="24"/>
      <c r="O34" s="24"/>
      <c r="P34" s="24"/>
      <c r="S34" s="17" t="s">
        <v>47</v>
      </c>
      <c r="T34" s="5">
        <v>31</v>
      </c>
      <c r="U34" s="6">
        <v>50.162799999999997</v>
      </c>
      <c r="V34" s="6">
        <v>7.7618</v>
      </c>
      <c r="W34" s="6">
        <v>255</v>
      </c>
      <c r="X34" s="6">
        <v>6.46</v>
      </c>
      <c r="Y34" s="6" t="s">
        <v>65</v>
      </c>
      <c r="Z34" s="6">
        <v>0.3</v>
      </c>
      <c r="AA34" s="6">
        <v>42.101799999999997</v>
      </c>
      <c r="AB34" s="6">
        <v>58.223799999999997</v>
      </c>
      <c r="AD34" s="17">
        <v>32</v>
      </c>
      <c r="AE34" s="6">
        <v>3.0620699999999998</v>
      </c>
      <c r="AF34" s="6">
        <v>2.7808000000000002</v>
      </c>
      <c r="AG34" s="6">
        <v>2.9483999999999999</v>
      </c>
      <c r="AH34" s="6">
        <v>255</v>
      </c>
      <c r="AJ34" s="17">
        <v>32</v>
      </c>
      <c r="AK34" s="6">
        <v>5.8063500000000001</v>
      </c>
      <c r="AL34" s="6">
        <v>2.7808000000000002</v>
      </c>
      <c r="AM34" s="6">
        <v>2.9483999999999999</v>
      </c>
      <c r="AN34" s="6">
        <v>255</v>
      </c>
      <c r="AQ34" s="17">
        <v>32</v>
      </c>
      <c r="AR34" s="6">
        <v>1.5914600000000001</v>
      </c>
      <c r="AS34" s="6">
        <v>6.2140000000000001E-2</v>
      </c>
      <c r="AT34" s="6">
        <v>0.80810000000000004</v>
      </c>
      <c r="AU34" s="6">
        <v>255</v>
      </c>
      <c r="AW34" s="17">
        <v>32</v>
      </c>
      <c r="AX34" s="6">
        <v>0.83928000000000003</v>
      </c>
      <c r="AY34" s="6">
        <v>6.2140000000000001E-2</v>
      </c>
      <c r="AZ34" s="6">
        <v>0.80810000000000004</v>
      </c>
      <c r="BA34" s="6">
        <v>255</v>
      </c>
      <c r="BC34" s="17" t="s">
        <v>47</v>
      </c>
      <c r="BD34" s="5">
        <v>31</v>
      </c>
      <c r="BE34" s="6">
        <v>57.098300000000002</v>
      </c>
      <c r="BF34" s="6">
        <v>1.101</v>
      </c>
      <c r="BG34" s="6">
        <v>255</v>
      </c>
      <c r="BH34" s="6">
        <v>51.86</v>
      </c>
      <c r="BI34" s="6" t="s">
        <v>65</v>
      </c>
      <c r="BJ34" s="6">
        <v>0.05</v>
      </c>
      <c r="BK34" s="6">
        <v>54.930100000000003</v>
      </c>
      <c r="BL34" s="6">
        <v>59.266500000000001</v>
      </c>
      <c r="BN34" s="17">
        <v>32</v>
      </c>
      <c r="BO34" s="6">
        <v>51.328667199999998</v>
      </c>
      <c r="BP34" s="6">
        <v>48.828956949999998</v>
      </c>
      <c r="BQ34" s="6">
        <v>2.4997102500000001</v>
      </c>
    </row>
    <row r="35" spans="1:69" x14ac:dyDescent="0.25">
      <c r="A35" t="s">
        <v>7</v>
      </c>
      <c r="B35" s="11">
        <v>1</v>
      </c>
      <c r="C35" s="11">
        <v>8</v>
      </c>
      <c r="D35" s="11">
        <v>3</v>
      </c>
      <c r="E35" s="11">
        <v>30</v>
      </c>
      <c r="F35" s="12">
        <v>54.4</v>
      </c>
      <c r="G35">
        <v>46.421241287753055</v>
      </c>
      <c r="H35">
        <v>11.4</v>
      </c>
      <c r="I35" t="s">
        <v>12</v>
      </c>
      <c r="J35" s="11"/>
      <c r="L35" s="24" t="s">
        <v>112</v>
      </c>
      <c r="M35" s="24"/>
      <c r="N35" s="24"/>
      <c r="O35" s="24"/>
      <c r="P35" s="24"/>
      <c r="S35" s="17" t="s">
        <v>47</v>
      </c>
      <c r="T35" s="5">
        <v>32</v>
      </c>
      <c r="U35" s="6">
        <v>56.312600000000003</v>
      </c>
      <c r="V35" s="6">
        <v>7.7671000000000001</v>
      </c>
      <c r="W35" s="6">
        <v>255</v>
      </c>
      <c r="X35" s="6">
        <v>7.25</v>
      </c>
      <c r="Y35" s="6" t="s">
        <v>65</v>
      </c>
      <c r="Z35" s="6">
        <v>0.3</v>
      </c>
      <c r="AA35" s="6">
        <v>48.246099999999998</v>
      </c>
      <c r="AB35" s="6">
        <v>64.379099999999994</v>
      </c>
      <c r="AD35" s="17">
        <v>33</v>
      </c>
      <c r="AE35" s="6">
        <v>3.0543</v>
      </c>
      <c r="AF35" s="6">
        <v>5.0983999999999998</v>
      </c>
      <c r="AG35" s="6">
        <v>2.9409000000000001</v>
      </c>
      <c r="AH35" s="6">
        <v>255</v>
      </c>
      <c r="AJ35" s="17">
        <v>33</v>
      </c>
      <c r="AK35" s="6">
        <v>5.7916299999999996</v>
      </c>
      <c r="AL35" s="6">
        <v>5.0983999999999998</v>
      </c>
      <c r="AM35" s="6">
        <v>2.9409000000000001</v>
      </c>
      <c r="AN35" s="6">
        <v>255</v>
      </c>
      <c r="AQ35" s="17">
        <v>33</v>
      </c>
      <c r="AR35" s="6">
        <v>1.60144</v>
      </c>
      <c r="AS35" s="19">
        <v>-0.20530000000000001</v>
      </c>
      <c r="AT35" s="6">
        <v>0.81320000000000003</v>
      </c>
      <c r="AU35" s="6">
        <v>255</v>
      </c>
      <c r="AW35" s="17">
        <v>33</v>
      </c>
      <c r="AX35" s="6">
        <v>0.84453999999999996</v>
      </c>
      <c r="AY35" s="19">
        <v>-0.20530000000000001</v>
      </c>
      <c r="AZ35" s="6">
        <v>0.81320000000000003</v>
      </c>
      <c r="BA35" s="6">
        <v>255</v>
      </c>
      <c r="BC35" s="17" t="s">
        <v>47</v>
      </c>
      <c r="BD35" s="5">
        <v>32</v>
      </c>
      <c r="BE35" s="6">
        <v>59.462800000000001</v>
      </c>
      <c r="BF35" s="6">
        <v>1.1040000000000001</v>
      </c>
      <c r="BG35" s="6">
        <v>255</v>
      </c>
      <c r="BH35" s="6">
        <v>53.86</v>
      </c>
      <c r="BI35" s="6" t="s">
        <v>65</v>
      </c>
      <c r="BJ35" s="6">
        <v>0.05</v>
      </c>
      <c r="BK35" s="6">
        <v>57.288600000000002</v>
      </c>
      <c r="BL35" s="6">
        <v>61.637</v>
      </c>
      <c r="BN35" s="17">
        <v>33</v>
      </c>
      <c r="BO35" s="6">
        <v>53.667894840000002</v>
      </c>
      <c r="BP35" s="6">
        <v>55.258236349999997</v>
      </c>
      <c r="BQ35" s="19">
        <v>-1.59034151</v>
      </c>
    </row>
    <row r="36" spans="1:69" x14ac:dyDescent="0.25">
      <c r="A36" t="s">
        <v>7</v>
      </c>
      <c r="B36" s="11">
        <v>1</v>
      </c>
      <c r="C36" s="11">
        <v>9</v>
      </c>
      <c r="D36" s="11">
        <v>3</v>
      </c>
      <c r="E36" s="11">
        <v>21</v>
      </c>
      <c r="F36" s="12">
        <v>55.4</v>
      </c>
      <c r="G36">
        <v>55.164606230145544</v>
      </c>
      <c r="H36">
        <v>10.4</v>
      </c>
      <c r="I36" t="s">
        <v>12</v>
      </c>
      <c r="J36" s="11"/>
      <c r="L36" s="41" t="s">
        <v>136</v>
      </c>
      <c r="M36" s="42" t="s">
        <v>137</v>
      </c>
      <c r="N36" s="43" t="s">
        <v>138</v>
      </c>
      <c r="O36" s="42" t="s">
        <v>139</v>
      </c>
      <c r="P36" s="44" t="s">
        <v>19</v>
      </c>
      <c r="S36" s="17" t="s">
        <v>47</v>
      </c>
      <c r="T36" s="5">
        <v>33</v>
      </c>
      <c r="U36" s="6">
        <v>53.1877</v>
      </c>
      <c r="V36" s="6">
        <v>7.7659000000000002</v>
      </c>
      <c r="W36" s="6">
        <v>255</v>
      </c>
      <c r="X36" s="6">
        <v>6.85</v>
      </c>
      <c r="Y36" s="6" t="s">
        <v>65</v>
      </c>
      <c r="Z36" s="6">
        <v>0.3</v>
      </c>
      <c r="AA36" s="6">
        <v>45.122500000000002</v>
      </c>
      <c r="AB36" s="6">
        <v>61.252899999999997</v>
      </c>
      <c r="AD36" s="17">
        <v>34</v>
      </c>
      <c r="AE36" s="6">
        <v>3.0457900000000002</v>
      </c>
      <c r="AF36" s="6">
        <v>4.9752999999999998</v>
      </c>
      <c r="AG36" s="6">
        <v>2.9327999999999999</v>
      </c>
      <c r="AH36" s="6">
        <v>255</v>
      </c>
      <c r="AJ36" s="17">
        <v>34</v>
      </c>
      <c r="AK36" s="6">
        <v>5.7755000000000001</v>
      </c>
      <c r="AL36" s="6">
        <v>4.9752999999999998</v>
      </c>
      <c r="AM36" s="6">
        <v>2.9327999999999999</v>
      </c>
      <c r="AN36" s="6">
        <v>255</v>
      </c>
      <c r="AQ36" s="17">
        <v>34</v>
      </c>
      <c r="AR36" s="6">
        <v>1.5941700000000001</v>
      </c>
      <c r="AS36" s="6">
        <v>4.7129999999999998E-2</v>
      </c>
      <c r="AT36" s="6">
        <v>0.8095</v>
      </c>
      <c r="AU36" s="6">
        <v>255</v>
      </c>
      <c r="AW36" s="17">
        <v>34</v>
      </c>
      <c r="AX36" s="6">
        <v>0.84070999999999996</v>
      </c>
      <c r="AY36" s="6">
        <v>4.7129999999999998E-2</v>
      </c>
      <c r="AZ36" s="6">
        <v>0.8095</v>
      </c>
      <c r="BA36" s="6">
        <v>255</v>
      </c>
      <c r="BC36" s="17" t="s">
        <v>47</v>
      </c>
      <c r="BD36" s="5">
        <v>33</v>
      </c>
      <c r="BE36" s="6">
        <v>57.089599999999997</v>
      </c>
      <c r="BF36" s="6">
        <v>1.1009</v>
      </c>
      <c r="BG36" s="6">
        <v>255</v>
      </c>
      <c r="BH36" s="6">
        <v>51.86</v>
      </c>
      <c r="BI36" s="6" t="s">
        <v>65</v>
      </c>
      <c r="BJ36" s="6">
        <v>0.05</v>
      </c>
      <c r="BK36" s="6">
        <v>54.921599999999998</v>
      </c>
      <c r="BL36" s="6">
        <v>59.2577</v>
      </c>
      <c r="BN36" s="17">
        <v>34</v>
      </c>
      <c r="BO36" s="6">
        <v>46.421241289999998</v>
      </c>
      <c r="BP36" s="6">
        <v>42.32792929</v>
      </c>
      <c r="BQ36" s="6">
        <v>4.0933120000000001</v>
      </c>
    </row>
    <row r="37" spans="1:69" x14ac:dyDescent="0.25">
      <c r="A37" t="s">
        <v>7</v>
      </c>
      <c r="B37" s="11">
        <v>1</v>
      </c>
      <c r="C37" s="11">
        <v>10</v>
      </c>
      <c r="D37" s="11">
        <v>3</v>
      </c>
      <c r="E37" s="11">
        <v>46</v>
      </c>
      <c r="F37" s="12">
        <v>54.5</v>
      </c>
      <c r="G37">
        <v>43.619894741833008</v>
      </c>
      <c r="H37">
        <v>11.1</v>
      </c>
      <c r="I37" t="s">
        <v>12</v>
      </c>
      <c r="J37" s="11"/>
      <c r="L37" s="45" t="s">
        <v>140</v>
      </c>
      <c r="M37" s="46">
        <v>6001.1</v>
      </c>
      <c r="N37" s="46">
        <v>6004.7</v>
      </c>
      <c r="O37" s="46" t="s">
        <v>141</v>
      </c>
      <c r="P37" s="47">
        <v>10.8</v>
      </c>
      <c r="S37" s="17" t="s">
        <v>47</v>
      </c>
      <c r="T37" s="5">
        <v>34</v>
      </c>
      <c r="U37" s="6">
        <v>50.87</v>
      </c>
      <c r="V37" s="6">
        <v>7.7629999999999999</v>
      </c>
      <c r="W37" s="6">
        <v>255</v>
      </c>
      <c r="X37" s="6">
        <v>6.55</v>
      </c>
      <c r="Y37" s="6" t="s">
        <v>65</v>
      </c>
      <c r="Z37" s="6">
        <v>0.3</v>
      </c>
      <c r="AA37" s="6">
        <v>42.807699999999997</v>
      </c>
      <c r="AB37" s="6">
        <v>58.932299999999998</v>
      </c>
      <c r="AD37" s="17">
        <v>35</v>
      </c>
      <c r="AE37" s="6">
        <v>3.05592</v>
      </c>
      <c r="AF37" s="6">
        <v>1.4886999999999999</v>
      </c>
      <c r="AG37" s="6">
        <v>2.9424999999999999</v>
      </c>
      <c r="AH37" s="6">
        <v>255</v>
      </c>
      <c r="AJ37" s="17">
        <v>35</v>
      </c>
      <c r="AK37" s="6">
        <v>5.7946999999999997</v>
      </c>
      <c r="AL37" s="6">
        <v>1.4886999999999999</v>
      </c>
      <c r="AM37" s="6">
        <v>2.9424999999999999</v>
      </c>
      <c r="AN37" s="6">
        <v>255</v>
      </c>
      <c r="AQ37" s="17">
        <v>35</v>
      </c>
      <c r="AR37" s="6">
        <v>1.59188</v>
      </c>
      <c r="AS37" s="19">
        <v>-1.3337000000000001</v>
      </c>
      <c r="AT37" s="6">
        <v>0.80830000000000002</v>
      </c>
      <c r="AU37" s="6">
        <v>255</v>
      </c>
      <c r="AW37" s="17">
        <v>35</v>
      </c>
      <c r="AX37" s="6">
        <v>0.83950000000000002</v>
      </c>
      <c r="AY37" s="19">
        <v>-1.3337000000000001</v>
      </c>
      <c r="AZ37" s="6">
        <v>0.80830000000000002</v>
      </c>
      <c r="BA37" s="6">
        <v>255</v>
      </c>
      <c r="BC37" s="17" t="s">
        <v>47</v>
      </c>
      <c r="BD37" s="5">
        <v>34</v>
      </c>
      <c r="BE37" s="6">
        <v>57.356999999999999</v>
      </c>
      <c r="BF37" s="6">
        <v>1.1042000000000001</v>
      </c>
      <c r="BG37" s="6">
        <v>255</v>
      </c>
      <c r="BH37" s="6">
        <v>51.95</v>
      </c>
      <c r="BI37" s="6" t="s">
        <v>65</v>
      </c>
      <c r="BJ37" s="6">
        <v>0.05</v>
      </c>
      <c r="BK37" s="6">
        <v>55.182600000000001</v>
      </c>
      <c r="BL37" s="6">
        <v>59.531500000000001</v>
      </c>
      <c r="BN37" s="17">
        <v>35</v>
      </c>
      <c r="BO37" s="6">
        <v>55.164606229999997</v>
      </c>
      <c r="BP37" s="6">
        <v>54.961648670000002</v>
      </c>
      <c r="BQ37" s="6">
        <v>0.20295756000000001</v>
      </c>
    </row>
    <row r="38" spans="1:69" x14ac:dyDescent="0.25">
      <c r="A38" t="s">
        <v>7</v>
      </c>
      <c r="B38" s="11">
        <v>1</v>
      </c>
      <c r="C38" s="11">
        <v>11</v>
      </c>
      <c r="D38" s="11">
        <v>3</v>
      </c>
      <c r="E38" s="11">
        <v>48</v>
      </c>
      <c r="F38" s="12">
        <v>54.8</v>
      </c>
      <c r="G38">
        <v>38.720824048172204</v>
      </c>
      <c r="H38">
        <v>11.9</v>
      </c>
      <c r="I38" t="s">
        <v>12</v>
      </c>
      <c r="J38" s="11"/>
      <c r="L38" s="48" t="s">
        <v>142</v>
      </c>
      <c r="M38" s="49">
        <v>5822.1</v>
      </c>
      <c r="N38" s="49">
        <v>5829.1</v>
      </c>
      <c r="O38" s="49" t="s">
        <v>141</v>
      </c>
      <c r="P38" s="50">
        <v>7.8</v>
      </c>
      <c r="S38" s="17" t="s">
        <v>47</v>
      </c>
      <c r="T38" s="5">
        <v>35</v>
      </c>
      <c r="U38" s="6">
        <v>50.993099999999998</v>
      </c>
      <c r="V38" s="6">
        <v>7.7651000000000003</v>
      </c>
      <c r="W38" s="6">
        <v>255</v>
      </c>
      <c r="X38" s="6">
        <v>6.57</v>
      </c>
      <c r="Y38" s="6" t="s">
        <v>65</v>
      </c>
      <c r="Z38" s="6">
        <v>0.3</v>
      </c>
      <c r="AA38" s="6">
        <v>42.928699999999999</v>
      </c>
      <c r="AB38" s="6">
        <v>59.057600000000001</v>
      </c>
      <c r="AD38" s="17">
        <v>36</v>
      </c>
      <c r="AE38" s="6">
        <v>3.0445000000000002</v>
      </c>
      <c r="AF38" s="6">
        <v>2.6764000000000001</v>
      </c>
      <c r="AG38" s="6">
        <v>2.9315000000000002</v>
      </c>
      <c r="AH38" s="6">
        <v>255</v>
      </c>
      <c r="AJ38" s="17">
        <v>36</v>
      </c>
      <c r="AK38" s="6">
        <v>5.7730300000000003</v>
      </c>
      <c r="AL38" s="6">
        <v>2.6764000000000001</v>
      </c>
      <c r="AM38" s="6">
        <v>2.9315000000000002</v>
      </c>
      <c r="AN38" s="6">
        <v>255</v>
      </c>
      <c r="AQ38" s="17">
        <v>36</v>
      </c>
      <c r="AR38" s="6">
        <v>1.58785</v>
      </c>
      <c r="AS38" s="19">
        <v>-0.97050000000000003</v>
      </c>
      <c r="AT38" s="6">
        <v>0.80630000000000002</v>
      </c>
      <c r="AU38" s="6">
        <v>255</v>
      </c>
      <c r="AW38" s="17">
        <v>36</v>
      </c>
      <c r="AX38" s="6">
        <v>0.83738000000000001</v>
      </c>
      <c r="AY38" s="19">
        <v>-0.97050000000000003</v>
      </c>
      <c r="AZ38" s="6">
        <v>0.80630000000000002</v>
      </c>
      <c r="BA38" s="6">
        <v>255</v>
      </c>
      <c r="BC38" s="17" t="s">
        <v>47</v>
      </c>
      <c r="BD38" s="5">
        <v>35</v>
      </c>
      <c r="BE38" s="6">
        <v>57.104700000000001</v>
      </c>
      <c r="BF38" s="6">
        <v>1.1044</v>
      </c>
      <c r="BG38" s="6">
        <v>255</v>
      </c>
      <c r="BH38" s="6">
        <v>51.71</v>
      </c>
      <c r="BI38" s="6" t="s">
        <v>65</v>
      </c>
      <c r="BJ38" s="6">
        <v>0.05</v>
      </c>
      <c r="BK38" s="6">
        <v>54.929699999999997</v>
      </c>
      <c r="BL38" s="6">
        <v>59.279600000000002</v>
      </c>
      <c r="BN38" s="17">
        <v>36</v>
      </c>
      <c r="BO38" s="6">
        <v>43.619894739999999</v>
      </c>
      <c r="BP38" s="6">
        <v>45.125275790000003</v>
      </c>
      <c r="BQ38" s="19">
        <v>-1.50538105</v>
      </c>
    </row>
    <row r="39" spans="1:69" x14ac:dyDescent="0.25">
      <c r="A39" t="s">
        <v>7</v>
      </c>
      <c r="B39" s="11">
        <v>1</v>
      </c>
      <c r="C39" s="11">
        <v>12</v>
      </c>
      <c r="D39" s="11">
        <v>3</v>
      </c>
      <c r="E39" s="11">
        <v>36</v>
      </c>
      <c r="F39" s="12">
        <v>55.5</v>
      </c>
      <c r="G39">
        <v>43.724663600587917</v>
      </c>
      <c r="H39">
        <v>12.3</v>
      </c>
      <c r="I39" t="s">
        <v>12</v>
      </c>
      <c r="J39" s="11"/>
      <c r="L39" s="51" t="s">
        <v>143</v>
      </c>
      <c r="M39" s="52">
        <v>6001</v>
      </c>
      <c r="N39" s="52">
        <v>6004.7</v>
      </c>
      <c r="O39" s="52" t="s">
        <v>141</v>
      </c>
      <c r="P39" s="47">
        <v>10.8</v>
      </c>
      <c r="S39" s="17" t="s">
        <v>47</v>
      </c>
      <c r="T39" s="5">
        <v>36</v>
      </c>
      <c r="U39" s="6">
        <v>54.479799999999997</v>
      </c>
      <c r="V39" s="6">
        <v>7.7647000000000004</v>
      </c>
      <c r="W39" s="6">
        <v>255</v>
      </c>
      <c r="X39" s="6">
        <v>7.02</v>
      </c>
      <c r="Y39" s="6" t="s">
        <v>65</v>
      </c>
      <c r="Z39" s="6">
        <v>0.3</v>
      </c>
      <c r="AA39" s="6">
        <v>46.415799999999997</v>
      </c>
      <c r="AB39" s="6">
        <v>62.543799999999997</v>
      </c>
      <c r="AD39" s="17">
        <v>37</v>
      </c>
      <c r="AE39" s="6">
        <v>3.0462699999999998</v>
      </c>
      <c r="AF39" s="6">
        <v>3.2494000000000001</v>
      </c>
      <c r="AG39" s="6">
        <v>2.9331999999999998</v>
      </c>
      <c r="AH39" s="6">
        <v>255</v>
      </c>
      <c r="AJ39" s="17">
        <v>37</v>
      </c>
      <c r="AK39" s="6">
        <v>5.7764100000000003</v>
      </c>
      <c r="AL39" s="6">
        <v>3.2494000000000001</v>
      </c>
      <c r="AM39" s="6">
        <v>2.9331999999999998</v>
      </c>
      <c r="AN39" s="6">
        <v>255</v>
      </c>
      <c r="AQ39" s="17">
        <v>37</v>
      </c>
      <c r="AR39" s="6">
        <v>1.5912999999999999</v>
      </c>
      <c r="AS39" s="19">
        <v>-0.435</v>
      </c>
      <c r="AT39" s="6">
        <v>0.80810000000000004</v>
      </c>
      <c r="AU39" s="6">
        <v>255</v>
      </c>
      <c r="AW39" s="17">
        <v>37</v>
      </c>
      <c r="AX39" s="6">
        <v>0.83919999999999995</v>
      </c>
      <c r="AY39" s="19">
        <v>-0.435</v>
      </c>
      <c r="AZ39" s="6">
        <v>0.80810000000000004</v>
      </c>
      <c r="BA39" s="6">
        <v>255</v>
      </c>
      <c r="BC39" s="17" t="s">
        <v>47</v>
      </c>
      <c r="BD39" s="5">
        <v>36</v>
      </c>
      <c r="BE39" s="6">
        <v>58.485500000000002</v>
      </c>
      <c r="BF39" s="6">
        <v>1.1013999999999999</v>
      </c>
      <c r="BG39" s="6">
        <v>255</v>
      </c>
      <c r="BH39" s="6">
        <v>53.1</v>
      </c>
      <c r="BI39" s="6" t="s">
        <v>65</v>
      </c>
      <c r="BJ39" s="6">
        <v>0.05</v>
      </c>
      <c r="BK39" s="6">
        <v>56.316499999999998</v>
      </c>
      <c r="BL39" s="6">
        <v>60.654499999999999</v>
      </c>
      <c r="BN39" s="17">
        <v>37</v>
      </c>
      <c r="BO39" s="6">
        <v>38.720824049999997</v>
      </c>
      <c r="BP39" s="6">
        <v>39.63897171</v>
      </c>
      <c r="BQ39" s="19">
        <v>-0.91814766000000003</v>
      </c>
    </row>
    <row r="40" spans="1:69" x14ac:dyDescent="0.25">
      <c r="A40" t="s">
        <v>7</v>
      </c>
      <c r="B40" s="11">
        <v>1</v>
      </c>
      <c r="C40" s="11">
        <v>13</v>
      </c>
      <c r="D40" s="11">
        <v>3</v>
      </c>
      <c r="E40" s="11">
        <v>18</v>
      </c>
      <c r="F40" s="12">
        <v>54.8</v>
      </c>
      <c r="G40">
        <v>38.519453795457771</v>
      </c>
      <c r="H40">
        <v>11.8</v>
      </c>
      <c r="I40" t="s">
        <v>12</v>
      </c>
      <c r="J40" s="11"/>
      <c r="L40" s="45" t="s">
        <v>144</v>
      </c>
      <c r="M40" s="46">
        <v>5924.8</v>
      </c>
      <c r="N40" s="46">
        <v>5930.1</v>
      </c>
      <c r="O40" s="46" t="s">
        <v>141</v>
      </c>
      <c r="P40" s="47">
        <v>7.8</v>
      </c>
      <c r="S40" s="17" t="s">
        <v>47</v>
      </c>
      <c r="T40" s="5">
        <v>37</v>
      </c>
      <c r="U40" s="6">
        <v>53.292099999999998</v>
      </c>
      <c r="V40" s="6">
        <v>7.7615999999999996</v>
      </c>
      <c r="W40" s="6">
        <v>255</v>
      </c>
      <c r="X40" s="6">
        <v>6.87</v>
      </c>
      <c r="Y40" s="6" t="s">
        <v>65</v>
      </c>
      <c r="Z40" s="6">
        <v>0.3</v>
      </c>
      <c r="AA40" s="6">
        <v>45.231299999999997</v>
      </c>
      <c r="AB40" s="6">
        <v>61.352800000000002</v>
      </c>
      <c r="AD40" s="17">
        <v>38</v>
      </c>
      <c r="AE40" s="6">
        <v>3.0483600000000002</v>
      </c>
      <c r="AF40" s="6">
        <v>3.2726000000000002</v>
      </c>
      <c r="AG40" s="6">
        <v>2.9352</v>
      </c>
      <c r="AH40" s="6">
        <v>255</v>
      </c>
      <c r="AJ40" s="17">
        <v>38</v>
      </c>
      <c r="AK40" s="6">
        <v>5.7803599999999999</v>
      </c>
      <c r="AL40" s="6">
        <v>3.2726000000000002</v>
      </c>
      <c r="AM40" s="6">
        <v>2.9352</v>
      </c>
      <c r="AN40" s="6">
        <v>255</v>
      </c>
      <c r="AQ40" s="17">
        <v>38</v>
      </c>
      <c r="AR40" s="6">
        <v>1.5901799999999999</v>
      </c>
      <c r="AS40" s="6">
        <v>2.913E-2</v>
      </c>
      <c r="AT40" s="6">
        <v>0.8075</v>
      </c>
      <c r="AU40" s="6">
        <v>255</v>
      </c>
      <c r="AW40" s="17">
        <v>38</v>
      </c>
      <c r="AX40" s="6">
        <v>0.83860999999999997</v>
      </c>
      <c r="AY40" s="6">
        <v>2.913E-2</v>
      </c>
      <c r="AZ40" s="6">
        <v>0.8075</v>
      </c>
      <c r="BA40" s="6">
        <v>255</v>
      </c>
      <c r="BC40" s="17" t="s">
        <v>47</v>
      </c>
      <c r="BD40" s="5">
        <v>37</v>
      </c>
      <c r="BE40" s="6">
        <v>58.122300000000003</v>
      </c>
      <c r="BF40" s="6">
        <v>1.1008</v>
      </c>
      <c r="BG40" s="6">
        <v>255</v>
      </c>
      <c r="BH40" s="6">
        <v>52.8</v>
      </c>
      <c r="BI40" s="6" t="s">
        <v>65</v>
      </c>
      <c r="BJ40" s="6">
        <v>0.05</v>
      </c>
      <c r="BK40" s="6">
        <v>55.954500000000003</v>
      </c>
      <c r="BL40" s="6">
        <v>60.290100000000002</v>
      </c>
      <c r="BN40" s="17">
        <v>38</v>
      </c>
      <c r="BO40" s="6">
        <v>43.7246636</v>
      </c>
      <c r="BP40" s="6">
        <v>44.01085655</v>
      </c>
      <c r="BQ40" s="19">
        <v>-0.28619295</v>
      </c>
    </row>
    <row r="41" spans="1:69" x14ac:dyDescent="0.25">
      <c r="A41" t="s">
        <v>7</v>
      </c>
      <c r="B41" s="11">
        <v>1</v>
      </c>
      <c r="C41" s="11">
        <v>13</v>
      </c>
      <c r="D41" s="11">
        <v>4</v>
      </c>
      <c r="E41" s="11">
        <v>25</v>
      </c>
      <c r="F41" s="12">
        <v>56.6</v>
      </c>
      <c r="G41">
        <v>38.174029997541183</v>
      </c>
      <c r="H41">
        <v>11.4</v>
      </c>
      <c r="I41" t="s">
        <v>12</v>
      </c>
      <c r="J41" s="11"/>
      <c r="L41" s="53" t="s">
        <v>145</v>
      </c>
      <c r="M41" s="54"/>
      <c r="N41" s="46"/>
      <c r="O41" s="46"/>
      <c r="P41" s="55"/>
      <c r="S41" s="17" t="s">
        <v>47</v>
      </c>
      <c r="T41" s="5">
        <v>38</v>
      </c>
      <c r="U41" s="6">
        <v>52.719099999999997</v>
      </c>
      <c r="V41" s="6">
        <v>7.7615999999999996</v>
      </c>
      <c r="W41" s="6">
        <v>255</v>
      </c>
      <c r="X41" s="6">
        <v>6.79</v>
      </c>
      <c r="Y41" s="6" t="s">
        <v>65</v>
      </c>
      <c r="Z41" s="6">
        <v>0.3</v>
      </c>
      <c r="AA41" s="6">
        <v>44.658200000000001</v>
      </c>
      <c r="AB41" s="6">
        <v>60.779899999999998</v>
      </c>
      <c r="AD41" s="17">
        <v>39</v>
      </c>
      <c r="AE41" s="6">
        <v>3.0588199999999999</v>
      </c>
      <c r="AF41" s="6">
        <v>2.2902</v>
      </c>
      <c r="AG41" s="6">
        <v>2.9453</v>
      </c>
      <c r="AH41" s="6">
        <v>255</v>
      </c>
      <c r="AJ41" s="17">
        <v>39</v>
      </c>
      <c r="AK41" s="6">
        <v>5.8002000000000002</v>
      </c>
      <c r="AL41" s="6">
        <v>2.2902</v>
      </c>
      <c r="AM41" s="6">
        <v>2.9453</v>
      </c>
      <c r="AN41" s="6">
        <v>255</v>
      </c>
      <c r="AQ41" s="17">
        <v>39</v>
      </c>
      <c r="AR41" s="6">
        <v>1.59412</v>
      </c>
      <c r="AS41" s="19">
        <v>-1.0852999999999999</v>
      </c>
      <c r="AT41" s="6">
        <v>0.8095</v>
      </c>
      <c r="AU41" s="6">
        <v>255</v>
      </c>
      <c r="AW41" s="17">
        <v>39</v>
      </c>
      <c r="AX41" s="6">
        <v>0.84069000000000005</v>
      </c>
      <c r="AY41" s="19">
        <v>-1.0852999999999999</v>
      </c>
      <c r="AZ41" s="6">
        <v>0.8095</v>
      </c>
      <c r="BA41" s="6">
        <v>255</v>
      </c>
      <c r="BC41" s="17" t="s">
        <v>47</v>
      </c>
      <c r="BD41" s="5">
        <v>38</v>
      </c>
      <c r="BE41" s="6">
        <v>57.586799999999997</v>
      </c>
      <c r="BF41" s="6">
        <v>1.1012</v>
      </c>
      <c r="BG41" s="6">
        <v>255</v>
      </c>
      <c r="BH41" s="6">
        <v>52.29</v>
      </c>
      <c r="BI41" s="6" t="s">
        <v>65</v>
      </c>
      <c r="BJ41" s="6">
        <v>0.05</v>
      </c>
      <c r="BK41" s="6">
        <v>55.418199999999999</v>
      </c>
      <c r="BL41" s="6">
        <v>59.755400000000002</v>
      </c>
      <c r="BN41" s="17">
        <v>39</v>
      </c>
      <c r="BO41" s="6">
        <v>38.519453800000001</v>
      </c>
      <c r="BP41" s="6">
        <v>41.237964490000003</v>
      </c>
      <c r="BQ41" s="19">
        <v>-2.71851069</v>
      </c>
    </row>
    <row r="42" spans="1:69" x14ac:dyDescent="0.25">
      <c r="A42" t="s">
        <v>7</v>
      </c>
      <c r="B42" s="11">
        <v>1</v>
      </c>
      <c r="C42" s="11">
        <v>12</v>
      </c>
      <c r="D42" s="11">
        <v>4</v>
      </c>
      <c r="E42" s="11">
        <v>15</v>
      </c>
      <c r="F42" s="12">
        <v>53.7</v>
      </c>
      <c r="G42">
        <v>44.62950184411114</v>
      </c>
      <c r="H42">
        <v>10.3</v>
      </c>
      <c r="I42" t="s">
        <v>12</v>
      </c>
      <c r="J42" s="11"/>
      <c r="M42" s="5"/>
      <c r="N42" s="6"/>
      <c r="O42" s="6"/>
      <c r="S42" s="17" t="s">
        <v>47</v>
      </c>
      <c r="T42" s="5">
        <v>39</v>
      </c>
      <c r="U42" s="6">
        <v>52.695900000000002</v>
      </c>
      <c r="V42" s="6">
        <v>7.7610000000000001</v>
      </c>
      <c r="W42" s="6">
        <v>255</v>
      </c>
      <c r="X42" s="6">
        <v>6.79</v>
      </c>
      <c r="Y42" s="6" t="s">
        <v>65</v>
      </c>
      <c r="Z42" s="6">
        <v>0.3</v>
      </c>
      <c r="AA42" s="6">
        <v>44.6357</v>
      </c>
      <c r="AB42" s="6">
        <v>60.756</v>
      </c>
      <c r="AD42" s="17">
        <v>40</v>
      </c>
      <c r="AE42" s="6">
        <v>3.0518900000000002</v>
      </c>
      <c r="AF42" s="6">
        <v>9.8798999999999992</v>
      </c>
      <c r="AG42" s="6">
        <v>2.9386000000000001</v>
      </c>
      <c r="AH42" s="6">
        <v>255</v>
      </c>
      <c r="AJ42" s="17">
        <v>40</v>
      </c>
      <c r="AK42" s="6">
        <v>5.7870600000000003</v>
      </c>
      <c r="AL42" s="6">
        <v>9.8798999999999992</v>
      </c>
      <c r="AM42" s="6">
        <v>2.9386000000000001</v>
      </c>
      <c r="AN42" s="6">
        <v>255</v>
      </c>
      <c r="AQ42" s="17">
        <v>40</v>
      </c>
      <c r="AR42" s="6">
        <v>1.59972</v>
      </c>
      <c r="AS42" s="6">
        <v>0.29020000000000001</v>
      </c>
      <c r="AT42" s="6">
        <v>0.81230000000000002</v>
      </c>
      <c r="AU42" s="6">
        <v>255</v>
      </c>
      <c r="AW42" s="17">
        <v>40</v>
      </c>
      <c r="AX42" s="6">
        <v>0.84362999999999999</v>
      </c>
      <c r="AY42" s="6">
        <v>0.29020000000000001</v>
      </c>
      <c r="AZ42" s="6">
        <v>0.81230000000000002</v>
      </c>
      <c r="BA42" s="6">
        <v>255</v>
      </c>
      <c r="BC42" s="17" t="s">
        <v>47</v>
      </c>
      <c r="BD42" s="5">
        <v>39</v>
      </c>
      <c r="BE42" s="6">
        <v>57.122599999999998</v>
      </c>
      <c r="BF42" s="6">
        <v>1.1007</v>
      </c>
      <c r="BG42" s="6">
        <v>255</v>
      </c>
      <c r="BH42" s="6">
        <v>51.89</v>
      </c>
      <c r="BI42" s="6" t="s">
        <v>65</v>
      </c>
      <c r="BJ42" s="6">
        <v>0.05</v>
      </c>
      <c r="BK42" s="6">
        <v>54.954999999999998</v>
      </c>
      <c r="BL42" s="6">
        <v>59.290300000000002</v>
      </c>
      <c r="BN42" s="17">
        <v>40</v>
      </c>
      <c r="BO42" s="6">
        <v>38.174030000000002</v>
      </c>
      <c r="BP42" s="6">
        <v>42.488055789999997</v>
      </c>
      <c r="BQ42" s="19">
        <v>-4.3140257899999996</v>
      </c>
    </row>
    <row r="43" spans="1:69" x14ac:dyDescent="0.25">
      <c r="A43" t="s">
        <v>7</v>
      </c>
      <c r="B43" s="11">
        <v>1</v>
      </c>
      <c r="C43" s="11">
        <v>11</v>
      </c>
      <c r="D43" s="11">
        <v>4</v>
      </c>
      <c r="E43" s="11">
        <v>22</v>
      </c>
      <c r="F43" s="12">
        <v>56.9</v>
      </c>
      <c r="G43">
        <v>46.470507499385299</v>
      </c>
      <c r="H43">
        <v>10.3</v>
      </c>
      <c r="I43" t="s">
        <v>12</v>
      </c>
      <c r="J43" s="11"/>
      <c r="M43" s="5"/>
      <c r="N43" s="6"/>
      <c r="O43" s="6"/>
      <c r="S43" s="17" t="s">
        <v>47</v>
      </c>
      <c r="T43" s="5">
        <v>40</v>
      </c>
      <c r="U43" s="6">
        <v>53.6783</v>
      </c>
      <c r="V43" s="6">
        <v>7.7641</v>
      </c>
      <c r="W43" s="6">
        <v>255</v>
      </c>
      <c r="X43" s="6">
        <v>6.91</v>
      </c>
      <c r="Y43" s="6" t="s">
        <v>65</v>
      </c>
      <c r="Z43" s="6">
        <v>0.3</v>
      </c>
      <c r="AA43" s="6">
        <v>45.614899999999999</v>
      </c>
      <c r="AB43" s="6">
        <v>61.741700000000002</v>
      </c>
      <c r="AD43" s="17">
        <v>41</v>
      </c>
      <c r="AE43" s="6">
        <v>3.0412699999999999</v>
      </c>
      <c r="AF43" s="6">
        <v>3.8395000000000001</v>
      </c>
      <c r="AG43" s="6">
        <v>2.9283999999999999</v>
      </c>
      <c r="AH43" s="6">
        <v>255</v>
      </c>
      <c r="AJ43" s="17">
        <v>41</v>
      </c>
      <c r="AK43" s="6">
        <v>5.7669300000000003</v>
      </c>
      <c r="AL43" s="6">
        <v>3.8395000000000001</v>
      </c>
      <c r="AM43" s="6">
        <v>2.9283999999999999</v>
      </c>
      <c r="AN43" s="6">
        <v>255</v>
      </c>
      <c r="AQ43" s="17">
        <v>41</v>
      </c>
      <c r="AR43" s="6">
        <v>1.5871299999999999</v>
      </c>
      <c r="AS43" s="19">
        <v>-1.0791999999999999</v>
      </c>
      <c r="AT43" s="6">
        <v>0.80589999999999995</v>
      </c>
      <c r="AU43" s="6">
        <v>255</v>
      </c>
      <c r="AW43" s="17">
        <v>41</v>
      </c>
      <c r="AX43" s="6">
        <v>0.83699999999999997</v>
      </c>
      <c r="AY43" s="19">
        <v>-1.0791999999999999</v>
      </c>
      <c r="AZ43" s="6">
        <v>0.80589999999999995</v>
      </c>
      <c r="BA43" s="6">
        <v>255</v>
      </c>
      <c r="BC43" s="17" t="s">
        <v>47</v>
      </c>
      <c r="BD43" s="5">
        <v>40</v>
      </c>
      <c r="BE43" s="6">
        <v>58.237099999999998</v>
      </c>
      <c r="BF43" s="6">
        <v>1.1016999999999999</v>
      </c>
      <c r="BG43" s="6">
        <v>255</v>
      </c>
      <c r="BH43" s="6">
        <v>52.86</v>
      </c>
      <c r="BI43" s="6" t="s">
        <v>65</v>
      </c>
      <c r="BJ43" s="6">
        <v>0.05</v>
      </c>
      <c r="BK43" s="6">
        <v>56.067599999999999</v>
      </c>
      <c r="BL43" s="6">
        <v>60.406700000000001</v>
      </c>
      <c r="BN43" s="17">
        <v>41</v>
      </c>
      <c r="BO43" s="6">
        <v>44.629501840000003</v>
      </c>
      <c r="BP43" s="6">
        <v>46.859723840000001</v>
      </c>
      <c r="BQ43" s="19">
        <v>-2.2302219999999999</v>
      </c>
    </row>
    <row r="44" spans="1:69" x14ac:dyDescent="0.25">
      <c r="A44" t="s">
        <v>7</v>
      </c>
      <c r="B44" s="11">
        <v>1</v>
      </c>
      <c r="C44" s="11">
        <v>10</v>
      </c>
      <c r="D44" s="11">
        <v>4</v>
      </c>
      <c r="E44" s="11">
        <v>37</v>
      </c>
      <c r="F44" s="12">
        <v>55.9</v>
      </c>
      <c r="G44">
        <v>50.439903614457819</v>
      </c>
      <c r="H44">
        <v>10.5</v>
      </c>
      <c r="I44" t="s">
        <v>12</v>
      </c>
      <c r="J44" s="11"/>
      <c r="M44" s="5"/>
      <c r="N44" s="6"/>
      <c r="O44" s="6"/>
      <c r="S44" s="17" t="s">
        <v>47</v>
      </c>
      <c r="T44" s="5">
        <v>41</v>
      </c>
      <c r="U44" s="6">
        <v>46.088500000000003</v>
      </c>
      <c r="V44" s="6">
        <v>7.7622999999999998</v>
      </c>
      <c r="W44" s="6">
        <v>255</v>
      </c>
      <c r="X44" s="6">
        <v>5.94</v>
      </c>
      <c r="Y44" s="6" t="s">
        <v>65</v>
      </c>
      <c r="Z44" s="6">
        <v>0.3</v>
      </c>
      <c r="AA44" s="6">
        <v>38.027099999999997</v>
      </c>
      <c r="AB44" s="6">
        <v>54.15</v>
      </c>
      <c r="AD44" s="17">
        <v>42</v>
      </c>
      <c r="AE44" s="6">
        <v>3.0592600000000001</v>
      </c>
      <c r="AF44" s="6">
        <v>12.603400000000001</v>
      </c>
      <c r="AG44" s="6">
        <v>2.9457</v>
      </c>
      <c r="AH44" s="6">
        <v>255</v>
      </c>
      <c r="AJ44" s="17">
        <v>42</v>
      </c>
      <c r="AK44" s="6">
        <v>5.8010299999999999</v>
      </c>
      <c r="AL44" s="6">
        <v>12.603400000000001</v>
      </c>
      <c r="AM44" s="6">
        <v>2.9457</v>
      </c>
      <c r="AN44" s="6">
        <v>255</v>
      </c>
      <c r="AQ44" s="17">
        <v>42</v>
      </c>
      <c r="AR44" s="6">
        <v>1.6016999999999999</v>
      </c>
      <c r="AS44" s="6">
        <v>1.4121999999999999</v>
      </c>
      <c r="AT44" s="6">
        <v>0.81330000000000002</v>
      </c>
      <c r="AU44" s="6">
        <v>255</v>
      </c>
      <c r="AW44" s="17">
        <v>42</v>
      </c>
      <c r="AX44" s="6">
        <v>0.84467999999999999</v>
      </c>
      <c r="AY44" s="6">
        <v>1.4121999999999999</v>
      </c>
      <c r="AZ44" s="6">
        <v>0.81330000000000002</v>
      </c>
      <c r="BA44" s="6">
        <v>255</v>
      </c>
      <c r="BC44" s="17" t="s">
        <v>47</v>
      </c>
      <c r="BD44" s="5">
        <v>41</v>
      </c>
      <c r="BE44" s="6">
        <v>56.861600000000003</v>
      </c>
      <c r="BF44" s="6">
        <v>1.1041000000000001</v>
      </c>
      <c r="BG44" s="6">
        <v>255</v>
      </c>
      <c r="BH44" s="6">
        <v>51.5</v>
      </c>
      <c r="BI44" s="6" t="s">
        <v>65</v>
      </c>
      <c r="BJ44" s="6">
        <v>0.05</v>
      </c>
      <c r="BK44" s="6">
        <v>54.6873</v>
      </c>
      <c r="BL44" s="6">
        <v>59.035899999999998</v>
      </c>
      <c r="BN44" s="17">
        <v>42</v>
      </c>
      <c r="BO44" s="6">
        <v>46.470507499999997</v>
      </c>
      <c r="BP44" s="6">
        <v>49.489231179999997</v>
      </c>
      <c r="BQ44" s="19">
        <v>-3.0187236799999999</v>
      </c>
    </row>
    <row r="45" spans="1:69" x14ac:dyDescent="0.25">
      <c r="A45" t="s">
        <v>7</v>
      </c>
      <c r="B45" s="11">
        <v>1</v>
      </c>
      <c r="C45" s="11">
        <v>9</v>
      </c>
      <c r="D45" s="11">
        <v>4</v>
      </c>
      <c r="E45" s="11">
        <v>31</v>
      </c>
      <c r="F45" s="12">
        <v>55.3</v>
      </c>
      <c r="G45">
        <v>44.32580772067864</v>
      </c>
      <c r="H45">
        <v>11.2</v>
      </c>
      <c r="I45" t="s">
        <v>12</v>
      </c>
      <c r="J45" s="11"/>
      <c r="M45" s="5"/>
      <c r="N45" s="6"/>
      <c r="O45" s="6"/>
      <c r="S45" s="17" t="s">
        <v>47</v>
      </c>
      <c r="T45" s="5">
        <v>42</v>
      </c>
      <c r="U45" s="6">
        <v>52.128900000000002</v>
      </c>
      <c r="V45" s="6">
        <v>7.7614999999999998</v>
      </c>
      <c r="W45" s="6">
        <v>255</v>
      </c>
      <c r="X45" s="6">
        <v>6.72</v>
      </c>
      <c r="Y45" s="6" t="s">
        <v>65</v>
      </c>
      <c r="Z45" s="6">
        <v>0.3</v>
      </c>
      <c r="AA45" s="6">
        <v>44.068199999999997</v>
      </c>
      <c r="AB45" s="6">
        <v>60.189599999999999</v>
      </c>
      <c r="AD45" s="17">
        <v>43</v>
      </c>
      <c r="AE45" s="6">
        <v>3.0386600000000001</v>
      </c>
      <c r="AF45" s="6">
        <v>7.1730999999999998</v>
      </c>
      <c r="AG45" s="6">
        <v>2.9258999999999999</v>
      </c>
      <c r="AH45" s="6">
        <v>255</v>
      </c>
      <c r="AJ45" s="17">
        <v>43</v>
      </c>
      <c r="AK45" s="6">
        <v>5.7619600000000002</v>
      </c>
      <c r="AL45" s="6">
        <v>7.1730999999999998</v>
      </c>
      <c r="AM45" s="6">
        <v>2.9258999999999999</v>
      </c>
      <c r="AN45" s="6">
        <v>255</v>
      </c>
      <c r="AQ45" s="17">
        <v>43</v>
      </c>
      <c r="AR45" s="6">
        <v>1.58544</v>
      </c>
      <c r="AS45" s="6">
        <v>7.1599999999999997E-2</v>
      </c>
      <c r="AT45" s="6">
        <v>0.80510000000000004</v>
      </c>
      <c r="AU45" s="6">
        <v>255</v>
      </c>
      <c r="AW45" s="17">
        <v>43</v>
      </c>
      <c r="AX45" s="6">
        <v>0.83611000000000002</v>
      </c>
      <c r="AY45" s="6">
        <v>7.1599999999999997E-2</v>
      </c>
      <c r="AZ45" s="6">
        <v>0.80510000000000004</v>
      </c>
      <c r="BA45" s="6">
        <v>255</v>
      </c>
      <c r="BC45" s="17" t="s">
        <v>47</v>
      </c>
      <c r="BD45" s="5">
        <v>42</v>
      </c>
      <c r="BE45" s="6">
        <v>58.231000000000002</v>
      </c>
      <c r="BF45" s="6">
        <v>1.1006</v>
      </c>
      <c r="BG45" s="6">
        <v>255</v>
      </c>
      <c r="BH45" s="6">
        <v>52.91</v>
      </c>
      <c r="BI45" s="6" t="s">
        <v>65</v>
      </c>
      <c r="BJ45" s="6">
        <v>0.05</v>
      </c>
      <c r="BK45" s="6">
        <v>56.063499999999998</v>
      </c>
      <c r="BL45" s="6">
        <v>60.398499999999999</v>
      </c>
      <c r="BN45" s="17">
        <v>43</v>
      </c>
      <c r="BO45" s="6">
        <v>50.439903610000002</v>
      </c>
      <c r="BP45" s="6">
        <v>49.22832133</v>
      </c>
      <c r="BQ45" s="6">
        <v>1.21158228</v>
      </c>
    </row>
    <row r="46" spans="1:69" x14ac:dyDescent="0.25">
      <c r="A46" t="s">
        <v>7</v>
      </c>
      <c r="B46" s="11">
        <v>1</v>
      </c>
      <c r="C46" s="11">
        <v>8</v>
      </c>
      <c r="D46" s="11">
        <v>4</v>
      </c>
      <c r="E46" s="11">
        <v>19</v>
      </c>
      <c r="F46" s="12">
        <v>51.4</v>
      </c>
      <c r="G46">
        <v>43.991929186132282</v>
      </c>
      <c r="H46">
        <v>10.5</v>
      </c>
      <c r="I46" t="s">
        <v>12</v>
      </c>
      <c r="M46" s="5"/>
      <c r="N46" s="6"/>
      <c r="O46" s="6"/>
      <c r="S46" s="17" t="s">
        <v>47</v>
      </c>
      <c r="T46" s="5">
        <v>43</v>
      </c>
      <c r="U46" s="6">
        <v>43.365000000000002</v>
      </c>
      <c r="V46" s="6">
        <v>7.7648000000000001</v>
      </c>
      <c r="W46" s="6">
        <v>255</v>
      </c>
      <c r="X46" s="6">
        <v>5.58</v>
      </c>
      <c r="Y46" s="6" t="s">
        <v>65</v>
      </c>
      <c r="Z46" s="6">
        <v>0.3</v>
      </c>
      <c r="AA46" s="6">
        <v>35.300899999999999</v>
      </c>
      <c r="AB46" s="6">
        <v>51.429200000000002</v>
      </c>
      <c r="AD46" s="17">
        <v>44</v>
      </c>
      <c r="AE46" s="6">
        <v>3.0650300000000001</v>
      </c>
      <c r="AF46" s="6">
        <v>4.9128999999999996</v>
      </c>
      <c r="AG46" s="6">
        <v>2.9512999999999998</v>
      </c>
      <c r="AH46" s="6">
        <v>255</v>
      </c>
      <c r="AJ46" s="17">
        <v>44</v>
      </c>
      <c r="AK46" s="6">
        <v>5.8119800000000001</v>
      </c>
      <c r="AL46" s="6">
        <v>4.9128999999999996</v>
      </c>
      <c r="AM46" s="6">
        <v>2.9512999999999998</v>
      </c>
      <c r="AN46" s="6">
        <v>255</v>
      </c>
      <c r="AQ46" s="17">
        <v>44</v>
      </c>
      <c r="AR46" s="6">
        <v>1.6015299999999999</v>
      </c>
      <c r="AS46" s="6">
        <v>0.2417</v>
      </c>
      <c r="AT46" s="6">
        <v>0.81320000000000003</v>
      </c>
      <c r="AU46" s="6">
        <v>255</v>
      </c>
      <c r="AW46" s="17">
        <v>44</v>
      </c>
      <c r="AX46" s="6">
        <v>0.84458999999999995</v>
      </c>
      <c r="AY46" s="6">
        <v>0.2417</v>
      </c>
      <c r="AZ46" s="6">
        <v>0.81320000000000003</v>
      </c>
      <c r="BA46" s="6">
        <v>255</v>
      </c>
      <c r="BC46" s="17" t="s">
        <v>47</v>
      </c>
      <c r="BD46" s="5">
        <v>43</v>
      </c>
      <c r="BE46" s="6">
        <v>55.739600000000003</v>
      </c>
      <c r="BF46" s="6">
        <v>1.1045</v>
      </c>
      <c r="BG46" s="6">
        <v>255</v>
      </c>
      <c r="BH46" s="6">
        <v>50.47</v>
      </c>
      <c r="BI46" s="6" t="s">
        <v>65</v>
      </c>
      <c r="BJ46" s="6">
        <v>0.05</v>
      </c>
      <c r="BK46" s="6">
        <v>53.564500000000002</v>
      </c>
      <c r="BL46" s="6">
        <v>57.914700000000003</v>
      </c>
      <c r="BN46" s="17">
        <v>44</v>
      </c>
      <c r="BO46" s="6">
        <v>44.32580772</v>
      </c>
      <c r="BP46" s="6">
        <v>46.659579290000003</v>
      </c>
      <c r="BQ46" s="19">
        <v>-2.3337715700000001</v>
      </c>
    </row>
    <row r="47" spans="1:69" x14ac:dyDescent="0.25">
      <c r="A47" t="s">
        <v>7</v>
      </c>
      <c r="B47" s="11">
        <v>1</v>
      </c>
      <c r="C47" s="11">
        <v>7</v>
      </c>
      <c r="D47" s="11">
        <v>4</v>
      </c>
      <c r="E47" s="11">
        <v>33</v>
      </c>
      <c r="F47" s="12">
        <v>56.6</v>
      </c>
      <c r="G47">
        <v>43.025930661421192</v>
      </c>
      <c r="H47">
        <v>10.199999999999999</v>
      </c>
      <c r="I47" t="s">
        <v>12</v>
      </c>
      <c r="M47" s="5"/>
      <c r="N47" s="6"/>
      <c r="O47" s="6"/>
      <c r="S47" s="17" t="s">
        <v>47</v>
      </c>
      <c r="T47" s="5">
        <v>44</v>
      </c>
      <c r="U47" s="6">
        <v>48.795299999999997</v>
      </c>
      <c r="V47" s="6">
        <v>7.7619999999999996</v>
      </c>
      <c r="W47" s="6">
        <v>255</v>
      </c>
      <c r="X47" s="6">
        <v>6.29</v>
      </c>
      <c r="Y47" s="6" t="s">
        <v>65</v>
      </c>
      <c r="Z47" s="6">
        <v>0.3</v>
      </c>
      <c r="AA47" s="6">
        <v>40.734099999999998</v>
      </c>
      <c r="AB47" s="6">
        <v>56.856499999999997</v>
      </c>
      <c r="AD47" s="17">
        <v>45</v>
      </c>
      <c r="AE47" s="6">
        <v>3.0395599999999998</v>
      </c>
      <c r="AF47" s="6">
        <v>6.1632999999999996</v>
      </c>
      <c r="AG47" s="6">
        <v>2.9266999999999999</v>
      </c>
      <c r="AH47" s="6">
        <v>255</v>
      </c>
      <c r="AJ47" s="17">
        <v>45</v>
      </c>
      <c r="AK47" s="6">
        <v>5.7636700000000003</v>
      </c>
      <c r="AL47" s="6">
        <v>6.1632999999999996</v>
      </c>
      <c r="AM47" s="6">
        <v>2.9266999999999999</v>
      </c>
      <c r="AN47" s="6">
        <v>255</v>
      </c>
      <c r="AQ47" s="17">
        <v>45</v>
      </c>
      <c r="AR47" s="6">
        <v>1.5951200000000001</v>
      </c>
      <c r="AS47" s="19">
        <v>-0.17169999999999999</v>
      </c>
      <c r="AT47" s="6">
        <v>0.81</v>
      </c>
      <c r="AU47" s="6">
        <v>255</v>
      </c>
      <c r="AW47" s="17">
        <v>45</v>
      </c>
      <c r="AX47" s="6">
        <v>0.84121000000000001</v>
      </c>
      <c r="AY47" s="19">
        <v>-0.17169999999999999</v>
      </c>
      <c r="AZ47" s="6">
        <v>0.81</v>
      </c>
      <c r="BA47" s="6">
        <v>255</v>
      </c>
      <c r="BC47" s="17" t="s">
        <v>47</v>
      </c>
      <c r="BD47" s="5">
        <v>44</v>
      </c>
      <c r="BE47" s="6">
        <v>57.080199999999998</v>
      </c>
      <c r="BF47" s="6">
        <v>1.101</v>
      </c>
      <c r="BG47" s="6">
        <v>255</v>
      </c>
      <c r="BH47" s="6">
        <v>51.84</v>
      </c>
      <c r="BI47" s="6" t="s">
        <v>65</v>
      </c>
      <c r="BJ47" s="6">
        <v>0.05</v>
      </c>
      <c r="BK47" s="6">
        <v>54.911900000000003</v>
      </c>
      <c r="BL47" s="6">
        <v>59.248399999999997</v>
      </c>
      <c r="BN47" s="17">
        <v>45</v>
      </c>
      <c r="BO47" s="6">
        <v>43.99192919</v>
      </c>
      <c r="BP47" s="6">
        <v>47.03712582</v>
      </c>
      <c r="BQ47" s="19">
        <v>-3.04519663</v>
      </c>
    </row>
    <row r="48" spans="1:69" x14ac:dyDescent="0.25">
      <c r="A48" t="s">
        <v>7</v>
      </c>
      <c r="B48" s="11">
        <v>1</v>
      </c>
      <c r="C48" s="11">
        <v>6</v>
      </c>
      <c r="D48" s="11">
        <v>4</v>
      </c>
      <c r="E48" s="11">
        <v>9</v>
      </c>
      <c r="F48" s="12">
        <v>53.7</v>
      </c>
      <c r="G48">
        <v>43.81914777477256</v>
      </c>
      <c r="H48">
        <v>11.7</v>
      </c>
      <c r="I48" t="s">
        <v>12</v>
      </c>
      <c r="M48" s="5"/>
      <c r="N48" s="6"/>
      <c r="O48" s="6"/>
      <c r="S48" s="17" t="s">
        <v>47</v>
      </c>
      <c r="T48" s="5">
        <v>45</v>
      </c>
      <c r="U48" s="6">
        <v>51.055599999999998</v>
      </c>
      <c r="V48" s="6">
        <v>7.7668999999999997</v>
      </c>
      <c r="W48" s="6">
        <v>255</v>
      </c>
      <c r="X48" s="6">
        <v>6.57</v>
      </c>
      <c r="Y48" s="6" t="s">
        <v>65</v>
      </c>
      <c r="Z48" s="6">
        <v>0.3</v>
      </c>
      <c r="AA48" s="6">
        <v>42.9893</v>
      </c>
      <c r="AB48" s="6">
        <v>59.121899999999997</v>
      </c>
      <c r="AD48" s="17">
        <v>46</v>
      </c>
      <c r="AE48" s="6">
        <v>3.0411700000000002</v>
      </c>
      <c r="AF48" s="6">
        <v>5.8681000000000001</v>
      </c>
      <c r="AG48" s="6">
        <v>2.9283000000000001</v>
      </c>
      <c r="AH48" s="6">
        <v>255</v>
      </c>
      <c r="AJ48" s="17">
        <v>46</v>
      </c>
      <c r="AK48" s="6">
        <v>5.7667299999999999</v>
      </c>
      <c r="AL48" s="6">
        <v>5.8681000000000001</v>
      </c>
      <c r="AM48" s="6">
        <v>2.9283000000000001</v>
      </c>
      <c r="AN48" s="6">
        <v>255</v>
      </c>
      <c r="AQ48" s="17">
        <v>46</v>
      </c>
      <c r="AR48" s="6">
        <v>1.5955999999999999</v>
      </c>
      <c r="AS48" s="19">
        <v>-1.3914</v>
      </c>
      <c r="AT48" s="6">
        <v>0.81020000000000003</v>
      </c>
      <c r="AU48" s="6">
        <v>255</v>
      </c>
      <c r="AW48" s="17">
        <v>46</v>
      </c>
      <c r="AX48" s="6">
        <v>0.84145999999999999</v>
      </c>
      <c r="AY48" s="19">
        <v>-1.3914</v>
      </c>
      <c r="AZ48" s="6">
        <v>0.81020000000000003</v>
      </c>
      <c r="BA48" s="6">
        <v>255</v>
      </c>
      <c r="BC48" s="17" t="s">
        <v>47</v>
      </c>
      <c r="BD48" s="5">
        <v>45</v>
      </c>
      <c r="BE48" s="6">
        <v>56.9101</v>
      </c>
      <c r="BF48" s="6">
        <v>1.1042000000000001</v>
      </c>
      <c r="BG48" s="6">
        <v>255</v>
      </c>
      <c r="BH48" s="6">
        <v>51.54</v>
      </c>
      <c r="BI48" s="6" t="s">
        <v>65</v>
      </c>
      <c r="BJ48" s="6">
        <v>0.05</v>
      </c>
      <c r="BK48" s="6">
        <v>54.735599999999998</v>
      </c>
      <c r="BL48" s="6">
        <v>59.084499999999998</v>
      </c>
      <c r="BN48" s="17">
        <v>46</v>
      </c>
      <c r="BO48" s="6">
        <v>43.02593066</v>
      </c>
      <c r="BP48" s="6">
        <v>50.422956200000002</v>
      </c>
      <c r="BQ48" s="19">
        <v>-7.3970255399999996</v>
      </c>
    </row>
    <row r="49" spans="1:69" x14ac:dyDescent="0.25">
      <c r="A49" t="s">
        <v>7</v>
      </c>
      <c r="B49" s="11">
        <v>1</v>
      </c>
      <c r="C49" s="11">
        <v>5</v>
      </c>
      <c r="D49" s="11">
        <v>4</v>
      </c>
      <c r="E49" s="11">
        <v>23</v>
      </c>
      <c r="F49" s="12">
        <v>57.6</v>
      </c>
      <c r="G49">
        <v>49.264756331448247</v>
      </c>
      <c r="H49">
        <v>10.5</v>
      </c>
      <c r="I49" t="s">
        <v>12</v>
      </c>
      <c r="M49" s="5"/>
      <c r="N49" s="6"/>
      <c r="O49" s="6"/>
      <c r="S49" s="17" t="s">
        <v>47</v>
      </c>
      <c r="T49" s="5">
        <v>46</v>
      </c>
      <c r="U49" s="6">
        <v>49.805100000000003</v>
      </c>
      <c r="V49" s="6">
        <v>7.7610000000000001</v>
      </c>
      <c r="W49" s="6">
        <v>255</v>
      </c>
      <c r="X49" s="6">
        <v>6.42</v>
      </c>
      <c r="Y49" s="6" t="s">
        <v>65</v>
      </c>
      <c r="Z49" s="6">
        <v>0.3</v>
      </c>
      <c r="AA49" s="6">
        <v>41.744999999999997</v>
      </c>
      <c r="AB49" s="6">
        <v>57.865299999999998</v>
      </c>
      <c r="AD49" s="17">
        <v>47</v>
      </c>
      <c r="AE49" s="6">
        <v>3.0472100000000002</v>
      </c>
      <c r="AF49" s="6">
        <v>11.3062</v>
      </c>
      <c r="AG49" s="6">
        <v>2.9340999999999999</v>
      </c>
      <c r="AH49" s="6">
        <v>255</v>
      </c>
      <c r="AJ49" s="17">
        <v>47</v>
      </c>
      <c r="AK49" s="6">
        <v>5.7781900000000004</v>
      </c>
      <c r="AL49" s="6">
        <v>11.3062</v>
      </c>
      <c r="AM49" s="6">
        <v>2.9340999999999999</v>
      </c>
      <c r="AN49" s="6">
        <v>255</v>
      </c>
      <c r="AQ49" s="17">
        <v>47</v>
      </c>
      <c r="AR49" s="6">
        <v>1.5903499999999999</v>
      </c>
      <c r="AS49" s="6">
        <v>1.5458000000000001</v>
      </c>
      <c r="AT49" s="6">
        <v>0.80759999999999998</v>
      </c>
      <c r="AU49" s="6">
        <v>255</v>
      </c>
      <c r="AW49" s="17">
        <v>47</v>
      </c>
      <c r="AX49" s="6">
        <v>0.83869000000000005</v>
      </c>
      <c r="AY49" s="6">
        <v>1.5458000000000001</v>
      </c>
      <c r="AZ49" s="6">
        <v>0.80759999999999998</v>
      </c>
      <c r="BA49" s="6">
        <v>255</v>
      </c>
      <c r="BC49" s="17" t="s">
        <v>47</v>
      </c>
      <c r="BD49" s="5">
        <v>46</v>
      </c>
      <c r="BE49" s="6">
        <v>57.323500000000003</v>
      </c>
      <c r="BF49" s="6">
        <v>1.1032999999999999</v>
      </c>
      <c r="BG49" s="6">
        <v>255</v>
      </c>
      <c r="BH49" s="6">
        <v>51.96</v>
      </c>
      <c r="BI49" s="6" t="s">
        <v>65</v>
      </c>
      <c r="BJ49" s="6">
        <v>0.05</v>
      </c>
      <c r="BK49" s="6">
        <v>55.150700000000001</v>
      </c>
      <c r="BL49" s="6">
        <v>59.496299999999998</v>
      </c>
      <c r="BN49" s="17">
        <v>47</v>
      </c>
      <c r="BO49" s="6">
        <v>43.819147770000001</v>
      </c>
      <c r="BP49" s="6">
        <v>42.813333880000002</v>
      </c>
      <c r="BQ49" s="6">
        <v>1.00581389</v>
      </c>
    </row>
    <row r="50" spans="1:69" x14ac:dyDescent="0.25">
      <c r="A50" t="s">
        <v>7</v>
      </c>
      <c r="B50" s="11">
        <v>1</v>
      </c>
      <c r="C50" s="11">
        <v>4</v>
      </c>
      <c r="D50" s="11">
        <v>4</v>
      </c>
      <c r="E50" s="11">
        <v>47</v>
      </c>
      <c r="F50" s="12">
        <v>56.3</v>
      </c>
      <c r="G50">
        <v>53.460778952544878</v>
      </c>
      <c r="H50">
        <v>11.4</v>
      </c>
      <c r="I50" t="s">
        <v>12</v>
      </c>
      <c r="M50" s="5"/>
      <c r="N50" s="6"/>
      <c r="O50" s="6"/>
      <c r="S50" s="17" t="s">
        <v>47</v>
      </c>
      <c r="T50" s="5">
        <v>47</v>
      </c>
      <c r="U50" s="6">
        <v>50.1004</v>
      </c>
      <c r="V50" s="6">
        <v>7.7617000000000003</v>
      </c>
      <c r="W50" s="6">
        <v>255</v>
      </c>
      <c r="X50" s="6">
        <v>6.45</v>
      </c>
      <c r="Y50" s="6" t="s">
        <v>65</v>
      </c>
      <c r="Z50" s="6">
        <v>0.3</v>
      </c>
      <c r="AA50" s="6">
        <v>42.039499999999997</v>
      </c>
      <c r="AB50" s="6">
        <v>58.161299999999997</v>
      </c>
      <c r="AD50" s="17">
        <v>48</v>
      </c>
      <c r="AE50" s="6">
        <v>3.0576099999999999</v>
      </c>
      <c r="AF50" s="6">
        <v>8.1605000000000008</v>
      </c>
      <c r="AG50" s="6">
        <v>2.9441000000000002</v>
      </c>
      <c r="AH50" s="6">
        <v>255</v>
      </c>
      <c r="AJ50" s="17">
        <v>48</v>
      </c>
      <c r="AK50" s="6">
        <v>5.7979099999999999</v>
      </c>
      <c r="AL50" s="6">
        <v>8.1605000000000008</v>
      </c>
      <c r="AM50" s="6">
        <v>2.9441000000000002</v>
      </c>
      <c r="AN50" s="6">
        <v>255</v>
      </c>
      <c r="AQ50" s="17">
        <v>48</v>
      </c>
      <c r="AR50" s="6">
        <v>1.58857</v>
      </c>
      <c r="AS50" s="6">
        <v>1.3995</v>
      </c>
      <c r="AT50" s="6">
        <v>0.80669999999999997</v>
      </c>
      <c r="AU50" s="6">
        <v>255</v>
      </c>
      <c r="AW50" s="17">
        <v>48</v>
      </c>
      <c r="AX50" s="6">
        <v>0.83775999999999995</v>
      </c>
      <c r="AY50" s="6">
        <v>1.3995</v>
      </c>
      <c r="AZ50" s="6">
        <v>0.80669999999999997</v>
      </c>
      <c r="BA50" s="6">
        <v>255</v>
      </c>
      <c r="BC50" s="17" t="s">
        <v>47</v>
      </c>
      <c r="BD50" s="5">
        <v>47</v>
      </c>
      <c r="BE50" s="6">
        <v>58.543199999999999</v>
      </c>
      <c r="BF50" s="6">
        <v>1.1037999999999999</v>
      </c>
      <c r="BG50" s="6">
        <v>255</v>
      </c>
      <c r="BH50" s="6">
        <v>53.04</v>
      </c>
      <c r="BI50" s="6" t="s">
        <v>65</v>
      </c>
      <c r="BJ50" s="6">
        <v>0.05</v>
      </c>
      <c r="BK50" s="6">
        <v>56.369399999999999</v>
      </c>
      <c r="BL50" s="6">
        <v>60.716900000000003</v>
      </c>
      <c r="BN50" s="17">
        <v>48</v>
      </c>
      <c r="BO50" s="6">
        <v>49.264756329999997</v>
      </c>
      <c r="BP50" s="6">
        <v>51.832043249999998</v>
      </c>
      <c r="BQ50" s="19">
        <v>-2.5672869199999999</v>
      </c>
    </row>
    <row r="51" spans="1:69" x14ac:dyDescent="0.25">
      <c r="A51" t="s">
        <v>7</v>
      </c>
      <c r="B51" s="11">
        <v>1</v>
      </c>
      <c r="C51" s="11">
        <v>3</v>
      </c>
      <c r="D51" s="11">
        <v>4</v>
      </c>
      <c r="E51" s="11">
        <v>41</v>
      </c>
      <c r="F51" s="12">
        <v>51.7</v>
      </c>
      <c r="G51">
        <v>38.691059749200882</v>
      </c>
      <c r="H51">
        <v>11.7</v>
      </c>
      <c r="I51" t="s">
        <v>12</v>
      </c>
      <c r="M51" s="5"/>
      <c r="N51" s="6"/>
      <c r="O51" s="6"/>
      <c r="S51" s="17" t="s">
        <v>47</v>
      </c>
      <c r="T51" s="5">
        <v>48</v>
      </c>
      <c r="U51" s="6">
        <v>44.662199999999999</v>
      </c>
      <c r="V51" s="6">
        <v>7.7621000000000002</v>
      </c>
      <c r="W51" s="6">
        <v>255</v>
      </c>
      <c r="X51" s="6">
        <v>5.75</v>
      </c>
      <c r="Y51" s="6" t="s">
        <v>65</v>
      </c>
      <c r="Z51" s="6">
        <v>0.3</v>
      </c>
      <c r="AA51" s="6">
        <v>36.600900000000003</v>
      </c>
      <c r="AB51" s="6">
        <v>52.723500000000001</v>
      </c>
      <c r="AD51" s="17">
        <v>49</v>
      </c>
      <c r="AE51" s="6">
        <v>3.0364499999999999</v>
      </c>
      <c r="AF51" s="6">
        <v>6.4058000000000002</v>
      </c>
      <c r="AG51" s="6">
        <v>2.9237000000000002</v>
      </c>
      <c r="AH51" s="6">
        <v>255</v>
      </c>
      <c r="AJ51" s="17">
        <v>49</v>
      </c>
      <c r="AK51" s="6">
        <v>5.7577699999999998</v>
      </c>
      <c r="AL51" s="6">
        <v>6.4058000000000002</v>
      </c>
      <c r="AM51" s="6">
        <v>2.9237000000000002</v>
      </c>
      <c r="AN51" s="6">
        <v>255</v>
      </c>
      <c r="AQ51" s="17">
        <v>49</v>
      </c>
      <c r="AR51" s="6">
        <v>1.5856399999999999</v>
      </c>
      <c r="AS51" s="6">
        <v>0.94220000000000004</v>
      </c>
      <c r="AT51" s="6">
        <v>0.80520000000000003</v>
      </c>
      <c r="AU51" s="6">
        <v>255</v>
      </c>
      <c r="AW51" s="17">
        <v>49</v>
      </c>
      <c r="AX51" s="6">
        <v>0.83621000000000001</v>
      </c>
      <c r="AY51" s="6">
        <v>0.94220000000000004</v>
      </c>
      <c r="AZ51" s="6">
        <v>0.80520000000000003</v>
      </c>
      <c r="BA51" s="6">
        <v>255</v>
      </c>
      <c r="BC51" s="17" t="s">
        <v>47</v>
      </c>
      <c r="BD51" s="5">
        <v>48</v>
      </c>
      <c r="BE51" s="6">
        <v>55.605899999999998</v>
      </c>
      <c r="BF51" s="6">
        <v>1.1013999999999999</v>
      </c>
      <c r="BG51" s="6">
        <v>255</v>
      </c>
      <c r="BH51" s="6">
        <v>50.49</v>
      </c>
      <c r="BI51" s="6" t="s">
        <v>65</v>
      </c>
      <c r="BJ51" s="6">
        <v>0.05</v>
      </c>
      <c r="BK51" s="6">
        <v>53.436900000000001</v>
      </c>
      <c r="BL51" s="6">
        <v>57.774999999999999</v>
      </c>
      <c r="BN51" s="17">
        <v>49</v>
      </c>
      <c r="BO51" s="6">
        <v>53.460778949999998</v>
      </c>
      <c r="BP51" s="6">
        <v>53.549101309999998</v>
      </c>
      <c r="BQ51" s="19">
        <v>-8.8322360000000003E-2</v>
      </c>
    </row>
    <row r="52" spans="1:69" x14ac:dyDescent="0.25">
      <c r="A52" t="s">
        <v>7</v>
      </c>
      <c r="B52" s="11">
        <v>1</v>
      </c>
      <c r="C52" s="11">
        <v>2</v>
      </c>
      <c r="D52" s="11">
        <v>4</v>
      </c>
      <c r="E52" s="11">
        <v>58</v>
      </c>
      <c r="F52" s="12">
        <v>54</v>
      </c>
      <c r="G52">
        <v>40.27749397590361</v>
      </c>
      <c r="H52">
        <v>11.6</v>
      </c>
      <c r="I52" t="s">
        <v>12</v>
      </c>
      <c r="M52" s="5"/>
      <c r="N52" s="6"/>
      <c r="O52" s="6"/>
      <c r="S52" s="17" t="s">
        <v>47</v>
      </c>
      <c r="T52" s="5">
        <v>49</v>
      </c>
      <c r="U52" s="6">
        <v>47.808</v>
      </c>
      <c r="V52" s="6">
        <v>7.7648999999999999</v>
      </c>
      <c r="W52" s="6">
        <v>255</v>
      </c>
      <c r="X52" s="6">
        <v>6.16</v>
      </c>
      <c r="Y52" s="6" t="s">
        <v>65</v>
      </c>
      <c r="Z52" s="6">
        <v>0.3</v>
      </c>
      <c r="AA52" s="6">
        <v>39.7438</v>
      </c>
      <c r="AB52" s="6">
        <v>55.872199999999999</v>
      </c>
      <c r="AD52" s="17">
        <v>50</v>
      </c>
      <c r="AE52" s="6">
        <v>3.0441799999999999</v>
      </c>
      <c r="AF52" s="6">
        <v>10.127000000000001</v>
      </c>
      <c r="AG52" s="6">
        <v>2.9312</v>
      </c>
      <c r="AH52" s="6">
        <v>255</v>
      </c>
      <c r="AJ52" s="17">
        <v>50</v>
      </c>
      <c r="AK52" s="6">
        <v>5.7724399999999996</v>
      </c>
      <c r="AL52" s="6">
        <v>10.127000000000001</v>
      </c>
      <c r="AM52" s="6">
        <v>2.9312</v>
      </c>
      <c r="AN52" s="6">
        <v>255</v>
      </c>
      <c r="AQ52" s="17">
        <v>50</v>
      </c>
      <c r="AR52" s="6">
        <v>1.59067</v>
      </c>
      <c r="AS52" s="6">
        <v>0.25829999999999997</v>
      </c>
      <c r="AT52" s="6">
        <v>0.80769999999999997</v>
      </c>
      <c r="AU52" s="6">
        <v>255</v>
      </c>
      <c r="AW52" s="17">
        <v>50</v>
      </c>
      <c r="AX52" s="6">
        <v>0.83886000000000005</v>
      </c>
      <c r="AY52" s="6">
        <v>0.25829999999999997</v>
      </c>
      <c r="AZ52" s="6">
        <v>0.80769999999999997</v>
      </c>
      <c r="BA52" s="6">
        <v>255</v>
      </c>
      <c r="BC52" s="17" t="s">
        <v>47</v>
      </c>
      <c r="BD52" s="5">
        <v>49</v>
      </c>
      <c r="BE52" s="6">
        <v>55.752200000000002</v>
      </c>
      <c r="BF52" s="6">
        <v>1.1009</v>
      </c>
      <c r="BG52" s="6">
        <v>255</v>
      </c>
      <c r="BH52" s="6">
        <v>50.64</v>
      </c>
      <c r="BI52" s="6" t="s">
        <v>65</v>
      </c>
      <c r="BJ52" s="6">
        <v>0.05</v>
      </c>
      <c r="BK52" s="6">
        <v>53.584299999999999</v>
      </c>
      <c r="BL52" s="6">
        <v>57.920200000000001</v>
      </c>
      <c r="BN52" s="17">
        <v>50</v>
      </c>
      <c r="BO52" s="6">
        <v>38.691059750000001</v>
      </c>
      <c r="BP52" s="6">
        <v>36.48245103</v>
      </c>
      <c r="BQ52" s="6">
        <v>2.20860872</v>
      </c>
    </row>
    <row r="53" spans="1:69" x14ac:dyDescent="0.25">
      <c r="A53" t="s">
        <v>7</v>
      </c>
      <c r="B53" s="11">
        <v>1</v>
      </c>
      <c r="C53" s="11">
        <v>1</v>
      </c>
      <c r="D53" s="11">
        <v>4</v>
      </c>
      <c r="E53" s="11">
        <v>60</v>
      </c>
      <c r="F53" s="12">
        <v>49.6</v>
      </c>
      <c r="G53">
        <v>26.785500368822227</v>
      </c>
      <c r="H53">
        <v>13.9</v>
      </c>
      <c r="I53" t="s">
        <v>12</v>
      </c>
      <c r="M53" s="5"/>
      <c r="N53" s="6"/>
      <c r="O53" s="6"/>
      <c r="S53" s="17" t="s">
        <v>47</v>
      </c>
      <c r="T53" s="5">
        <v>57</v>
      </c>
      <c r="U53" s="6">
        <v>49.5627</v>
      </c>
      <c r="V53" s="6">
        <v>7.7629000000000001</v>
      </c>
      <c r="W53" s="6">
        <v>255</v>
      </c>
      <c r="X53" s="6">
        <v>6.38</v>
      </c>
      <c r="Y53" s="6" t="s">
        <v>65</v>
      </c>
      <c r="Z53" s="6">
        <v>0.3</v>
      </c>
      <c r="AA53" s="6">
        <v>41.500599999999999</v>
      </c>
      <c r="AB53" s="6">
        <v>57.6248</v>
      </c>
      <c r="AD53" s="17">
        <v>51</v>
      </c>
      <c r="AE53" s="6">
        <v>3.0399699999999998</v>
      </c>
      <c r="AF53" s="6">
        <v>18.631</v>
      </c>
      <c r="AG53" s="6">
        <v>2.9270999999999998</v>
      </c>
      <c r="AH53" s="6">
        <v>255</v>
      </c>
      <c r="AJ53" s="17">
        <v>51</v>
      </c>
      <c r="AK53" s="6">
        <v>5.7644500000000001</v>
      </c>
      <c r="AL53" s="6">
        <v>18.631</v>
      </c>
      <c r="AM53" s="6">
        <v>2.9270999999999998</v>
      </c>
      <c r="AN53" s="6">
        <v>255</v>
      </c>
      <c r="AQ53" s="17">
        <v>51</v>
      </c>
      <c r="AR53" s="6">
        <v>1.59222</v>
      </c>
      <c r="AS53" s="6">
        <v>3.1669</v>
      </c>
      <c r="AT53" s="6">
        <v>0.8085</v>
      </c>
      <c r="AU53" s="6">
        <v>255</v>
      </c>
      <c r="AW53" s="17">
        <v>51</v>
      </c>
      <c r="AX53" s="6">
        <v>0.83967999999999998</v>
      </c>
      <c r="AY53" s="6">
        <v>3.1669</v>
      </c>
      <c r="AZ53" s="6">
        <v>0.8085</v>
      </c>
      <c r="BA53" s="6">
        <v>255</v>
      </c>
      <c r="BC53" s="17" t="s">
        <v>47</v>
      </c>
      <c r="BD53" s="5">
        <v>57</v>
      </c>
      <c r="BE53" s="6">
        <v>56.209600000000002</v>
      </c>
      <c r="BF53" s="6">
        <v>1.1012999999999999</v>
      </c>
      <c r="BG53" s="6">
        <v>255</v>
      </c>
      <c r="BH53" s="6">
        <v>51.04</v>
      </c>
      <c r="BI53" s="6" t="s">
        <v>65</v>
      </c>
      <c r="BJ53" s="6">
        <v>0.05</v>
      </c>
      <c r="BK53" s="6">
        <v>54.040700000000001</v>
      </c>
      <c r="BL53" s="6">
        <v>58.378500000000003</v>
      </c>
      <c r="BN53" s="17">
        <v>51</v>
      </c>
      <c r="BO53" s="6">
        <v>40.277493980000003</v>
      </c>
      <c r="BP53" s="6">
        <v>39.541498730000001</v>
      </c>
      <c r="BQ53" s="6">
        <v>0.73599524999999999</v>
      </c>
    </row>
    <row r="54" spans="1:69" x14ac:dyDescent="0.25">
      <c r="A54" t="s">
        <v>7</v>
      </c>
      <c r="B54" s="11">
        <v>2</v>
      </c>
      <c r="C54" s="11">
        <v>1</v>
      </c>
      <c r="D54" s="11">
        <v>5</v>
      </c>
      <c r="E54" s="11">
        <v>10</v>
      </c>
      <c r="F54" s="12">
        <v>53.1</v>
      </c>
      <c r="G54">
        <v>37.501339376114942</v>
      </c>
      <c r="H54" t="s">
        <v>12</v>
      </c>
      <c r="I54" t="s">
        <v>12</v>
      </c>
      <c r="M54" s="5"/>
      <c r="N54" s="6"/>
      <c r="O54" s="6"/>
      <c r="S54" s="17" t="s">
        <v>47</v>
      </c>
      <c r="T54" s="5">
        <v>58</v>
      </c>
      <c r="U54" s="6">
        <v>45.8414</v>
      </c>
      <c r="V54" s="6">
        <v>7.7656000000000001</v>
      </c>
      <c r="W54" s="6">
        <v>255</v>
      </c>
      <c r="X54" s="6">
        <v>5.9</v>
      </c>
      <c r="Y54" s="6" t="s">
        <v>65</v>
      </c>
      <c r="Z54" s="6">
        <v>0.3</v>
      </c>
      <c r="AA54" s="6">
        <v>37.776400000000002</v>
      </c>
      <c r="AB54" s="6">
        <v>53.906399999999998</v>
      </c>
      <c r="AD54" s="17">
        <v>52</v>
      </c>
      <c r="AE54" s="6">
        <v>3.0442900000000002</v>
      </c>
      <c r="AF54" s="19">
        <v>-1.1372</v>
      </c>
      <c r="AG54" s="6">
        <v>2.9312999999999998</v>
      </c>
      <c r="AH54" s="6">
        <v>255</v>
      </c>
      <c r="AJ54" s="17">
        <v>52</v>
      </c>
      <c r="AK54" s="6">
        <v>5.77264</v>
      </c>
      <c r="AL54" s="19">
        <v>-1.1372</v>
      </c>
      <c r="AM54" s="6">
        <v>2.9312999999999998</v>
      </c>
      <c r="AN54" s="6">
        <v>255</v>
      </c>
      <c r="AQ54" s="17">
        <v>52</v>
      </c>
      <c r="AR54" s="6">
        <v>1.61792</v>
      </c>
      <c r="AS54" s="19">
        <v>-0.70279999999999998</v>
      </c>
      <c r="AT54" s="6">
        <v>0.8216</v>
      </c>
      <c r="AU54" s="6">
        <v>255</v>
      </c>
      <c r="AW54" s="17">
        <v>52</v>
      </c>
      <c r="AX54" s="6">
        <v>0.85323000000000004</v>
      </c>
      <c r="AY54" s="19">
        <v>-0.70279999999999998</v>
      </c>
      <c r="AZ54" s="6">
        <v>0.8216</v>
      </c>
      <c r="BA54" s="6">
        <v>255</v>
      </c>
      <c r="BC54" s="17" t="s">
        <v>47</v>
      </c>
      <c r="BD54" s="5">
        <v>58</v>
      </c>
      <c r="BE54" s="6">
        <v>56.893500000000003</v>
      </c>
      <c r="BF54" s="6">
        <v>1.1036999999999999</v>
      </c>
      <c r="BG54" s="6">
        <v>255</v>
      </c>
      <c r="BH54" s="6">
        <v>51.55</v>
      </c>
      <c r="BI54" s="6" t="s">
        <v>65</v>
      </c>
      <c r="BJ54" s="6">
        <v>0.05</v>
      </c>
      <c r="BK54" s="6">
        <v>54.719900000000003</v>
      </c>
      <c r="BL54" s="6">
        <v>59.067100000000003</v>
      </c>
      <c r="BN54" s="17">
        <v>52</v>
      </c>
      <c r="BO54" s="6">
        <v>26.785500370000001</v>
      </c>
      <c r="BP54" s="6">
        <v>25.484596029999999</v>
      </c>
      <c r="BQ54" s="6">
        <v>1.30090434</v>
      </c>
    </row>
    <row r="55" spans="1:69" x14ac:dyDescent="0.25">
      <c r="A55" t="s">
        <v>7</v>
      </c>
      <c r="B55" s="11">
        <v>2</v>
      </c>
      <c r="C55" s="11">
        <v>2</v>
      </c>
      <c r="D55" s="11">
        <v>5</v>
      </c>
      <c r="E55" s="11">
        <v>44</v>
      </c>
      <c r="F55" s="12">
        <v>50.3</v>
      </c>
      <c r="G55">
        <v>34.579214116966391</v>
      </c>
      <c r="H55" t="s">
        <v>12</v>
      </c>
      <c r="I55" t="s">
        <v>12</v>
      </c>
      <c r="M55" s="5"/>
      <c r="N55" s="6"/>
      <c r="O55" s="6"/>
      <c r="S55" s="17" t="s">
        <v>47</v>
      </c>
      <c r="T55" s="5">
        <v>60</v>
      </c>
      <c r="U55" s="6">
        <v>37.337400000000002</v>
      </c>
      <c r="V55" s="6">
        <v>7.7619999999999996</v>
      </c>
      <c r="W55" s="6">
        <v>255</v>
      </c>
      <c r="X55" s="6">
        <v>4.8099999999999996</v>
      </c>
      <c r="Y55" s="6" t="s">
        <v>65</v>
      </c>
      <c r="Z55" s="6">
        <v>0.3</v>
      </c>
      <c r="AA55" s="6">
        <v>29.276299999999999</v>
      </c>
      <c r="AB55" s="6">
        <v>45.398600000000002</v>
      </c>
      <c r="AD55" s="17">
        <v>53</v>
      </c>
      <c r="AE55" s="6">
        <v>3.0606499999999999</v>
      </c>
      <c r="AF55" s="6">
        <v>1.5074000000000001</v>
      </c>
      <c r="AG55" s="6">
        <v>2.9470999999999998</v>
      </c>
      <c r="AH55" s="6">
        <v>255</v>
      </c>
      <c r="AJ55" s="17">
        <v>53</v>
      </c>
      <c r="AK55" s="6">
        <v>5.8036599999999998</v>
      </c>
      <c r="AL55" s="6">
        <v>1.5074000000000001</v>
      </c>
      <c r="AM55" s="6">
        <v>2.9470999999999998</v>
      </c>
      <c r="AN55" s="6">
        <v>255</v>
      </c>
      <c r="AQ55" s="17">
        <v>53</v>
      </c>
      <c r="AR55" s="6">
        <v>1.62063</v>
      </c>
      <c r="AS55" s="6">
        <v>3.073</v>
      </c>
      <c r="AT55" s="6">
        <v>0.82289999999999996</v>
      </c>
      <c r="AU55" s="6">
        <v>255</v>
      </c>
      <c r="AW55" s="17">
        <v>53</v>
      </c>
      <c r="AX55" s="6">
        <v>0.85465999999999998</v>
      </c>
      <c r="AY55" s="6">
        <v>3.073</v>
      </c>
      <c r="AZ55" s="6">
        <v>0.82289999999999996</v>
      </c>
      <c r="BA55" s="6">
        <v>255</v>
      </c>
      <c r="BC55" s="17" t="s">
        <v>47</v>
      </c>
      <c r="BD55" s="5">
        <v>60</v>
      </c>
      <c r="BE55" s="6">
        <v>53.984900000000003</v>
      </c>
      <c r="BF55" s="6">
        <v>1.1036999999999999</v>
      </c>
      <c r="BG55" s="6">
        <v>255</v>
      </c>
      <c r="BH55" s="6">
        <v>48.91</v>
      </c>
      <c r="BI55" s="6" t="s">
        <v>65</v>
      </c>
      <c r="BJ55" s="6">
        <v>0.05</v>
      </c>
      <c r="BK55" s="6">
        <v>51.811300000000003</v>
      </c>
      <c r="BL55" s="6">
        <v>56.158499999999997</v>
      </c>
      <c r="BN55" s="17">
        <v>53</v>
      </c>
      <c r="BO55" s="6">
        <v>37.501339379999997</v>
      </c>
      <c r="BP55" s="6">
        <v>40.443130660000001</v>
      </c>
      <c r="BQ55" s="19">
        <v>-2.9417912799999999</v>
      </c>
    </row>
    <row r="56" spans="1:69" x14ac:dyDescent="0.25">
      <c r="A56" t="s">
        <v>7</v>
      </c>
      <c r="B56" s="11">
        <v>2</v>
      </c>
      <c r="C56" s="11">
        <v>3</v>
      </c>
      <c r="D56" s="11">
        <v>5</v>
      </c>
      <c r="E56" s="11">
        <v>58</v>
      </c>
      <c r="F56" s="12">
        <v>53.5</v>
      </c>
      <c r="G56">
        <v>41.008987512656091</v>
      </c>
      <c r="H56" t="s">
        <v>12</v>
      </c>
      <c r="I56" t="s">
        <v>12</v>
      </c>
      <c r="M56" s="5"/>
      <c r="N56" s="6"/>
      <c r="O56" s="6"/>
      <c r="AD56" s="17">
        <v>54</v>
      </c>
      <c r="AE56" s="6">
        <v>3.0346000000000002</v>
      </c>
      <c r="AF56" s="19">
        <v>-0.96679999999999999</v>
      </c>
      <c r="AG56" s="6">
        <v>2.9220000000000002</v>
      </c>
      <c r="AH56" s="6">
        <v>255</v>
      </c>
      <c r="AJ56" s="17">
        <v>54</v>
      </c>
      <c r="AK56" s="6">
        <v>5.7542600000000004</v>
      </c>
      <c r="AL56" s="19">
        <v>-0.96679999999999999</v>
      </c>
      <c r="AM56" s="6">
        <v>2.9220000000000002</v>
      </c>
      <c r="AN56" s="6">
        <v>255</v>
      </c>
      <c r="AQ56" s="17">
        <v>54</v>
      </c>
      <c r="AR56" s="6">
        <v>1.61408</v>
      </c>
      <c r="AS56" s="6">
        <v>1.7326999999999999</v>
      </c>
      <c r="AT56" s="6">
        <v>0.8196</v>
      </c>
      <c r="AU56" s="6">
        <v>255</v>
      </c>
      <c r="AW56" s="17">
        <v>54</v>
      </c>
      <c r="AX56" s="6">
        <v>0.85121000000000002</v>
      </c>
      <c r="AY56" s="6">
        <v>1.7326999999999999</v>
      </c>
      <c r="AZ56" s="6">
        <v>0.8196</v>
      </c>
      <c r="BA56" s="6">
        <v>255</v>
      </c>
      <c r="BN56" s="17">
        <v>54</v>
      </c>
      <c r="BO56" s="6">
        <v>34.579214120000003</v>
      </c>
      <c r="BP56" s="6">
        <v>34.00030976</v>
      </c>
      <c r="BQ56" s="6">
        <v>0.57890436000000001</v>
      </c>
    </row>
    <row r="57" spans="1:69" x14ac:dyDescent="0.25">
      <c r="A57" t="s">
        <v>7</v>
      </c>
      <c r="B57" s="11">
        <v>2</v>
      </c>
      <c r="C57" s="11">
        <v>4</v>
      </c>
      <c r="D57" s="11">
        <v>5</v>
      </c>
      <c r="E57" s="11">
        <v>4</v>
      </c>
      <c r="F57" s="12">
        <v>49.8</v>
      </c>
      <c r="G57">
        <v>48.350433441010566</v>
      </c>
      <c r="H57" t="s">
        <v>12</v>
      </c>
      <c r="I57" t="s">
        <v>12</v>
      </c>
      <c r="M57" s="5"/>
      <c r="N57" s="6"/>
      <c r="O57" s="6"/>
      <c r="AD57" s="17">
        <v>55</v>
      </c>
      <c r="AE57" s="6">
        <v>3.0486900000000001</v>
      </c>
      <c r="AF57" s="6">
        <v>5.2739000000000003</v>
      </c>
      <c r="AG57" s="6">
        <v>2.9355000000000002</v>
      </c>
      <c r="AH57" s="6">
        <v>255</v>
      </c>
      <c r="AJ57" s="17">
        <v>55</v>
      </c>
      <c r="AK57" s="6">
        <v>5.7809900000000001</v>
      </c>
      <c r="AL57" s="6">
        <v>5.2739000000000003</v>
      </c>
      <c r="AM57" s="6">
        <v>2.9355000000000002</v>
      </c>
      <c r="AN57" s="6">
        <v>255</v>
      </c>
      <c r="AQ57" s="17">
        <v>55</v>
      </c>
      <c r="AR57" s="6">
        <v>1.61717</v>
      </c>
      <c r="AS57" s="6">
        <v>1.0274000000000001</v>
      </c>
      <c r="AT57" s="6">
        <v>0.82120000000000004</v>
      </c>
      <c r="AU57" s="6">
        <v>255</v>
      </c>
      <c r="AW57" s="17">
        <v>55</v>
      </c>
      <c r="AX57" s="6">
        <v>0.85284000000000004</v>
      </c>
      <c r="AY57" s="6">
        <v>1.0274000000000001</v>
      </c>
      <c r="AZ57" s="6">
        <v>0.82120000000000004</v>
      </c>
      <c r="BA57" s="6">
        <v>255</v>
      </c>
      <c r="BN57" s="17">
        <v>55</v>
      </c>
      <c r="BO57" s="6">
        <v>41.008987509999997</v>
      </c>
      <c r="BP57" s="6">
        <v>39.470638690000001</v>
      </c>
      <c r="BQ57" s="6">
        <v>1.53834882</v>
      </c>
    </row>
    <row r="58" spans="1:69" x14ac:dyDescent="0.25">
      <c r="A58" t="s">
        <v>7</v>
      </c>
      <c r="B58" s="11">
        <v>2</v>
      </c>
      <c r="C58" s="11">
        <v>5</v>
      </c>
      <c r="D58" s="11">
        <v>5</v>
      </c>
      <c r="E58" s="11">
        <v>12</v>
      </c>
      <c r="F58" s="12">
        <v>51.4</v>
      </c>
      <c r="G58">
        <v>38.056600453208617</v>
      </c>
      <c r="H58" t="s">
        <v>12</v>
      </c>
      <c r="I58" t="s">
        <v>12</v>
      </c>
      <c r="M58" s="5"/>
      <c r="N58" s="6"/>
      <c r="O58" s="6"/>
      <c r="AD58" s="17">
        <v>56</v>
      </c>
      <c r="AE58" s="6">
        <v>3.0360299999999998</v>
      </c>
      <c r="AF58" s="6">
        <v>7.7074999999999996</v>
      </c>
      <c r="AG58" s="6">
        <v>2.9232999999999998</v>
      </c>
      <c r="AH58" s="6">
        <v>255</v>
      </c>
      <c r="AJ58" s="17">
        <v>56</v>
      </c>
      <c r="AK58" s="6">
        <v>5.7569800000000004</v>
      </c>
      <c r="AL58" s="6">
        <v>7.7074999999999996</v>
      </c>
      <c r="AM58" s="6">
        <v>2.9232999999999998</v>
      </c>
      <c r="AN58" s="6">
        <v>255</v>
      </c>
      <c r="AQ58" s="17">
        <v>56</v>
      </c>
      <c r="AR58" s="6">
        <v>1.61259</v>
      </c>
      <c r="AS58" s="6">
        <v>1.631</v>
      </c>
      <c r="AT58" s="6">
        <v>0.81889999999999996</v>
      </c>
      <c r="AU58" s="6">
        <v>255</v>
      </c>
      <c r="AW58" s="17">
        <v>56</v>
      </c>
      <c r="AX58" s="6">
        <v>0.85041999999999995</v>
      </c>
      <c r="AY58" s="6">
        <v>1.631</v>
      </c>
      <c r="AZ58" s="6">
        <v>0.81889999999999996</v>
      </c>
      <c r="BA58" s="6">
        <v>255</v>
      </c>
      <c r="BN58" s="17">
        <v>56</v>
      </c>
      <c r="BO58" s="6">
        <v>48.350433440000003</v>
      </c>
      <c r="BP58" s="6">
        <v>49.850571090000003</v>
      </c>
      <c r="BQ58" s="19">
        <v>-1.5001376500000001</v>
      </c>
    </row>
    <row r="59" spans="1:69" x14ac:dyDescent="0.25">
      <c r="A59" t="s">
        <v>7</v>
      </c>
      <c r="B59" s="11">
        <v>2</v>
      </c>
      <c r="C59" s="11">
        <v>6</v>
      </c>
      <c r="D59" s="11">
        <v>5</v>
      </c>
      <c r="E59" s="11">
        <v>30</v>
      </c>
      <c r="F59" s="12">
        <v>53.1</v>
      </c>
      <c r="G59">
        <v>35.747777831348536</v>
      </c>
      <c r="H59" t="s">
        <v>12</v>
      </c>
      <c r="I59" t="s">
        <v>12</v>
      </c>
      <c r="M59" s="5"/>
      <c r="N59" s="6"/>
      <c r="O59" s="6"/>
      <c r="U59">
        <f>AVERAGE(U4:U55)</f>
        <v>51.258215384615376</v>
      </c>
      <c r="V59">
        <f>AVERAGE(V4:V55)</f>
        <v>7.7631365384615387</v>
      </c>
      <c r="AD59" s="17">
        <v>57</v>
      </c>
      <c r="AE59" s="6">
        <v>3.0260099999999999</v>
      </c>
      <c r="AF59" s="19">
        <v>-5.7239000000000004</v>
      </c>
      <c r="AG59" s="6">
        <v>2.9137</v>
      </c>
      <c r="AH59" s="6">
        <v>255</v>
      </c>
      <c r="AJ59" s="17">
        <v>57</v>
      </c>
      <c r="AK59" s="6">
        <v>5.7379699999999998</v>
      </c>
      <c r="AL59" s="19">
        <v>-5.7239000000000004</v>
      </c>
      <c r="AM59" s="6">
        <v>2.9137</v>
      </c>
      <c r="AN59" s="6">
        <v>255</v>
      </c>
      <c r="AQ59" s="17">
        <v>57</v>
      </c>
      <c r="AR59" s="6">
        <v>1.61321</v>
      </c>
      <c r="AS59" s="6">
        <v>0.77790000000000004</v>
      </c>
      <c r="AT59" s="6">
        <v>0.81920000000000004</v>
      </c>
      <c r="AU59" s="6">
        <v>255</v>
      </c>
      <c r="AW59" s="17">
        <v>57</v>
      </c>
      <c r="AX59" s="6">
        <v>0.85075000000000001</v>
      </c>
      <c r="AY59" s="6">
        <v>0.77790000000000004</v>
      </c>
      <c r="AZ59" s="6">
        <v>0.81920000000000004</v>
      </c>
      <c r="BA59" s="6">
        <v>255</v>
      </c>
      <c r="BE59">
        <f>AVERAGE(BE4:BE55)</f>
        <v>57.198380769230781</v>
      </c>
      <c r="BF59">
        <f>AVERAGE(BF4:BF55)</f>
        <v>1.1026019230769231</v>
      </c>
      <c r="BN59" s="17">
        <v>57</v>
      </c>
      <c r="BO59" s="6">
        <v>38.056600449999998</v>
      </c>
      <c r="BP59" s="6">
        <v>39.033344720000002</v>
      </c>
      <c r="BQ59" s="19">
        <v>-0.97674426999999997</v>
      </c>
    </row>
    <row r="60" spans="1:69" x14ac:dyDescent="0.25">
      <c r="A60" t="s">
        <v>7</v>
      </c>
      <c r="B60" s="11">
        <v>2</v>
      </c>
      <c r="C60" s="11">
        <v>7</v>
      </c>
      <c r="D60" s="11">
        <v>5</v>
      </c>
      <c r="E60" s="11">
        <v>1</v>
      </c>
      <c r="F60" s="12">
        <v>56.2</v>
      </c>
      <c r="G60">
        <v>47.429500988380497</v>
      </c>
      <c r="H60" t="s">
        <v>12</v>
      </c>
      <c r="I60" t="s">
        <v>12</v>
      </c>
      <c r="M60" s="5"/>
      <c r="N60" s="6"/>
      <c r="O60" s="6"/>
      <c r="AD60" s="17">
        <v>58</v>
      </c>
      <c r="AE60" s="6">
        <v>3.0402</v>
      </c>
      <c r="AF60" s="6">
        <v>2.8563999999999998</v>
      </c>
      <c r="AG60" s="6">
        <v>2.9274</v>
      </c>
      <c r="AH60" s="6">
        <v>255</v>
      </c>
      <c r="AJ60" s="17">
        <v>58</v>
      </c>
      <c r="AK60" s="6">
        <v>5.7648900000000003</v>
      </c>
      <c r="AL60" s="6">
        <v>2.8563999999999998</v>
      </c>
      <c r="AM60" s="6">
        <v>2.9274</v>
      </c>
      <c r="AN60" s="6">
        <v>255</v>
      </c>
      <c r="AQ60" s="17">
        <v>58</v>
      </c>
      <c r="AR60" s="6">
        <v>1.61761</v>
      </c>
      <c r="AS60" s="6">
        <v>2.6377000000000002</v>
      </c>
      <c r="AT60" s="6">
        <v>0.82140000000000002</v>
      </c>
      <c r="AU60" s="6">
        <v>255</v>
      </c>
      <c r="AW60" s="17">
        <v>58</v>
      </c>
      <c r="AX60" s="6">
        <v>0.85306999999999999</v>
      </c>
      <c r="AY60" s="6">
        <v>2.6377000000000002</v>
      </c>
      <c r="AZ60" s="6">
        <v>0.82140000000000002</v>
      </c>
      <c r="BA60" s="6">
        <v>255</v>
      </c>
      <c r="BN60" s="17">
        <v>58</v>
      </c>
      <c r="BO60" s="6">
        <v>35.747777829999997</v>
      </c>
      <c r="BP60" s="6">
        <v>42.257069250000001</v>
      </c>
      <c r="BQ60" s="19">
        <v>-6.5092914200000003</v>
      </c>
    </row>
    <row r="61" spans="1:69" x14ac:dyDescent="0.25">
      <c r="A61" t="s">
        <v>7</v>
      </c>
      <c r="B61" s="11">
        <v>2</v>
      </c>
      <c r="C61" s="11">
        <v>8</v>
      </c>
      <c r="D61" s="11">
        <v>5</v>
      </c>
      <c r="E61" s="11">
        <v>9</v>
      </c>
      <c r="F61" s="12">
        <v>51</v>
      </c>
      <c r="G61">
        <v>42.315447664047056</v>
      </c>
      <c r="H61" t="s">
        <v>12</v>
      </c>
      <c r="I61" t="s">
        <v>12</v>
      </c>
      <c r="M61" s="5"/>
      <c r="N61" s="6"/>
      <c r="O61" s="6"/>
      <c r="V61">
        <f>V59/U59*100</f>
        <v>15.145155718377906</v>
      </c>
      <c r="AD61" s="17">
        <v>59</v>
      </c>
      <c r="AE61" s="6">
        <v>3.0589499999999998</v>
      </c>
      <c r="AF61" s="6">
        <v>6.5095999999999998</v>
      </c>
      <c r="AG61" s="6">
        <v>2.9453999999999998</v>
      </c>
      <c r="AH61" s="6">
        <v>255</v>
      </c>
      <c r="AJ61" s="17">
        <v>59</v>
      </c>
      <c r="AK61" s="6">
        <v>5.80044</v>
      </c>
      <c r="AL61" s="6">
        <v>6.5095999999999998</v>
      </c>
      <c r="AM61" s="6">
        <v>2.9453999999999998</v>
      </c>
      <c r="AN61" s="6">
        <v>255</v>
      </c>
      <c r="AQ61" s="17">
        <v>59</v>
      </c>
      <c r="AR61" s="6">
        <v>1.61958</v>
      </c>
      <c r="AS61" s="6">
        <v>3.5293999999999999</v>
      </c>
      <c r="AT61" s="6">
        <v>0.82240000000000002</v>
      </c>
      <c r="AU61" s="6">
        <v>255</v>
      </c>
      <c r="AW61" s="17">
        <v>59</v>
      </c>
      <c r="AX61" s="6">
        <v>0.85411000000000004</v>
      </c>
      <c r="AY61" s="6">
        <v>3.5293999999999999</v>
      </c>
      <c r="AZ61" s="6">
        <v>0.82240000000000002</v>
      </c>
      <c r="BA61" s="6">
        <v>255</v>
      </c>
      <c r="BF61">
        <f>BF59/BE59*100</f>
        <v>1.9276803088629657</v>
      </c>
      <c r="BN61" s="17">
        <v>59</v>
      </c>
      <c r="BO61" s="6">
        <v>47.429500990000001</v>
      </c>
      <c r="BP61" s="6">
        <v>48.367957949999997</v>
      </c>
      <c r="BQ61" s="19">
        <v>-0.93845696000000001</v>
      </c>
    </row>
    <row r="62" spans="1:69" x14ac:dyDescent="0.25">
      <c r="A62" t="s">
        <v>7</v>
      </c>
      <c r="B62" s="11">
        <v>2</v>
      </c>
      <c r="C62" s="11">
        <v>9</v>
      </c>
      <c r="D62" s="11">
        <v>5</v>
      </c>
      <c r="E62" s="11">
        <v>13</v>
      </c>
      <c r="F62" s="12">
        <v>55.9</v>
      </c>
      <c r="G62">
        <v>45.597898365556148</v>
      </c>
      <c r="H62" t="s">
        <v>12</v>
      </c>
      <c r="I62" t="s">
        <v>12</v>
      </c>
      <c r="M62" s="5"/>
      <c r="N62" s="6"/>
      <c r="O62" s="6"/>
      <c r="AD62" s="17">
        <v>60</v>
      </c>
      <c r="AE62" s="6">
        <v>3.0418500000000002</v>
      </c>
      <c r="AF62" s="19">
        <v>-0.98709999999999998</v>
      </c>
      <c r="AG62" s="6">
        <v>2.9289000000000001</v>
      </c>
      <c r="AH62" s="6">
        <v>255</v>
      </c>
      <c r="AJ62" s="17">
        <v>60</v>
      </c>
      <c r="AK62" s="6">
        <v>5.7680100000000003</v>
      </c>
      <c r="AL62" s="19">
        <v>-0.98709999999999998</v>
      </c>
      <c r="AM62" s="6">
        <v>2.9289000000000001</v>
      </c>
      <c r="AN62" s="6">
        <v>255</v>
      </c>
      <c r="AQ62" s="17">
        <v>60</v>
      </c>
      <c r="AR62" s="6">
        <v>1.61287</v>
      </c>
      <c r="AS62" s="19">
        <v>-0.58409999999999995</v>
      </c>
      <c r="AT62" s="6">
        <v>0.81899999999999995</v>
      </c>
      <c r="AU62" s="6">
        <v>255</v>
      </c>
      <c r="AW62" s="17">
        <v>60</v>
      </c>
      <c r="AX62" s="6">
        <v>0.85057000000000005</v>
      </c>
      <c r="AY62" s="19">
        <v>-0.58409999999999995</v>
      </c>
      <c r="AZ62" s="6">
        <v>0.81899999999999995</v>
      </c>
      <c r="BA62" s="6">
        <v>255</v>
      </c>
      <c r="BN62" s="17">
        <v>60</v>
      </c>
      <c r="BO62" s="6">
        <v>42.315447659999997</v>
      </c>
      <c r="BP62" s="6">
        <v>42.742473840000002</v>
      </c>
      <c r="BQ62" s="19">
        <v>-0.42702617999999998</v>
      </c>
    </row>
    <row r="63" spans="1:69" x14ac:dyDescent="0.25">
      <c r="A63" t="s">
        <v>7</v>
      </c>
      <c r="B63" s="11">
        <v>2</v>
      </c>
      <c r="C63" s="11">
        <v>10</v>
      </c>
      <c r="D63" s="11">
        <v>5</v>
      </c>
      <c r="E63" s="11">
        <v>34</v>
      </c>
      <c r="F63" s="12">
        <v>54.9</v>
      </c>
      <c r="G63">
        <v>46.200318210308076</v>
      </c>
      <c r="H63" t="s">
        <v>12</v>
      </c>
      <c r="I63" t="s">
        <v>12</v>
      </c>
      <c r="M63" s="5"/>
      <c r="N63" s="6"/>
      <c r="O63" s="6"/>
      <c r="AD63" s="17">
        <v>61</v>
      </c>
      <c r="AE63" s="6">
        <v>3.0367799999999998</v>
      </c>
      <c r="AF63" s="6">
        <v>3.8155000000000001</v>
      </c>
      <c r="AG63" s="6">
        <v>2.9241000000000001</v>
      </c>
      <c r="AH63" s="6">
        <v>255</v>
      </c>
      <c r="AJ63" s="17">
        <v>61</v>
      </c>
      <c r="AK63" s="6">
        <v>5.7584099999999996</v>
      </c>
      <c r="AL63" s="6">
        <v>3.8155000000000001</v>
      </c>
      <c r="AM63" s="6">
        <v>2.9241000000000001</v>
      </c>
      <c r="AN63" s="6">
        <v>255</v>
      </c>
      <c r="AQ63" s="17">
        <v>61</v>
      </c>
      <c r="AR63" s="6">
        <v>1.6398699999999999</v>
      </c>
      <c r="AS63" s="6">
        <v>1.9912000000000001</v>
      </c>
      <c r="AT63" s="6">
        <v>0.8327</v>
      </c>
      <c r="AU63" s="6">
        <v>255</v>
      </c>
      <c r="AW63" s="17">
        <v>61</v>
      </c>
      <c r="AX63" s="6">
        <v>0.86480999999999997</v>
      </c>
      <c r="AY63" s="6">
        <v>1.9912000000000001</v>
      </c>
      <c r="AZ63" s="6">
        <v>0.8327</v>
      </c>
      <c r="BA63" s="6">
        <v>255</v>
      </c>
      <c r="BN63" s="17">
        <v>61</v>
      </c>
      <c r="BO63" s="6">
        <v>45.597898370000003</v>
      </c>
      <c r="BP63" s="6">
        <v>48.022956970000003</v>
      </c>
      <c r="BQ63" s="19">
        <v>-2.4250585999999998</v>
      </c>
    </row>
    <row r="64" spans="1:69" x14ac:dyDescent="0.25">
      <c r="A64" t="s">
        <v>7</v>
      </c>
      <c r="B64" s="11">
        <v>2</v>
      </c>
      <c r="C64" s="11">
        <v>11</v>
      </c>
      <c r="D64" s="11">
        <v>5</v>
      </c>
      <c r="E64" s="11">
        <v>3</v>
      </c>
      <c r="F64" s="12">
        <v>56.7</v>
      </c>
      <c r="G64">
        <v>42.843835880622919</v>
      </c>
      <c r="H64" t="s">
        <v>12</v>
      </c>
      <c r="I64" t="s">
        <v>12</v>
      </c>
      <c r="AD64" s="17">
        <v>62</v>
      </c>
      <c r="AE64" s="6">
        <v>3.0373000000000001</v>
      </c>
      <c r="AF64" s="19">
        <v>-0.88390000000000002</v>
      </c>
      <c r="AG64" s="6">
        <v>2.9245999999999999</v>
      </c>
      <c r="AH64" s="6">
        <v>255</v>
      </c>
      <c r="AJ64" s="17">
        <v>62</v>
      </c>
      <c r="AK64" s="6">
        <v>5.7593800000000002</v>
      </c>
      <c r="AL64" s="19">
        <v>-0.88390000000000002</v>
      </c>
      <c r="AM64" s="6">
        <v>2.9245999999999999</v>
      </c>
      <c r="AN64" s="6">
        <v>255</v>
      </c>
      <c r="AQ64" s="17">
        <v>62</v>
      </c>
      <c r="AR64" s="6">
        <v>1.6137300000000001</v>
      </c>
      <c r="AS64" s="6">
        <v>0.13819999999999999</v>
      </c>
      <c r="AT64" s="6">
        <v>0.81940000000000002</v>
      </c>
      <c r="AU64" s="6">
        <v>255</v>
      </c>
      <c r="AW64" s="17">
        <v>62</v>
      </c>
      <c r="AX64" s="6">
        <v>0.85102999999999995</v>
      </c>
      <c r="AY64" s="6">
        <v>0.13819999999999999</v>
      </c>
      <c r="AZ64" s="6">
        <v>0.81940000000000002</v>
      </c>
      <c r="BA64" s="6">
        <v>255</v>
      </c>
      <c r="BN64" s="17">
        <v>62</v>
      </c>
      <c r="BO64" s="6">
        <v>46.200318209999999</v>
      </c>
      <c r="BP64" s="6">
        <v>48.758096909999999</v>
      </c>
      <c r="BQ64" s="19">
        <v>-2.5577787000000001</v>
      </c>
    </row>
    <row r="65" spans="1:69" x14ac:dyDescent="0.25">
      <c r="A65" t="s">
        <v>7</v>
      </c>
      <c r="B65" s="11">
        <v>2</v>
      </c>
      <c r="C65" s="11">
        <v>12</v>
      </c>
      <c r="D65" s="11">
        <v>5</v>
      </c>
      <c r="E65" s="11">
        <v>20</v>
      </c>
      <c r="F65" s="12">
        <v>53.5</v>
      </c>
      <c r="G65">
        <v>45.823429921411702</v>
      </c>
      <c r="H65" t="s">
        <v>12</v>
      </c>
      <c r="I65" t="s">
        <v>12</v>
      </c>
      <c r="AD65" s="17">
        <v>63</v>
      </c>
      <c r="AE65" s="6">
        <v>3.01709</v>
      </c>
      <c r="AF65" s="19">
        <v>-1.0424</v>
      </c>
      <c r="AG65" s="6">
        <v>2.9051</v>
      </c>
      <c r="AH65" s="6">
        <v>255</v>
      </c>
      <c r="AJ65" s="17">
        <v>63</v>
      </c>
      <c r="AK65" s="6">
        <v>5.7210700000000001</v>
      </c>
      <c r="AL65" s="19">
        <v>-1.0424</v>
      </c>
      <c r="AM65" s="6">
        <v>2.9051</v>
      </c>
      <c r="AN65" s="6">
        <v>255</v>
      </c>
      <c r="AQ65" s="17">
        <v>63</v>
      </c>
      <c r="AR65" s="6">
        <v>1.61504</v>
      </c>
      <c r="AS65" s="19">
        <v>-0.1016</v>
      </c>
      <c r="AT65" s="6">
        <v>0.82010000000000005</v>
      </c>
      <c r="AU65" s="6">
        <v>255</v>
      </c>
      <c r="AW65" s="17">
        <v>63</v>
      </c>
      <c r="AX65" s="6">
        <v>0.85170999999999997</v>
      </c>
      <c r="AY65" s="19">
        <v>-0.1016</v>
      </c>
      <c r="AZ65" s="6">
        <v>0.82010000000000005</v>
      </c>
      <c r="BA65" s="6">
        <v>255</v>
      </c>
      <c r="BN65" s="17">
        <v>63</v>
      </c>
      <c r="BO65" s="6">
        <v>42.84383588</v>
      </c>
      <c r="BP65" s="6">
        <v>43.62671564</v>
      </c>
      <c r="BQ65" s="19">
        <v>-0.78287976000000004</v>
      </c>
    </row>
    <row r="66" spans="1:69" x14ac:dyDescent="0.25">
      <c r="A66" t="s">
        <v>7</v>
      </c>
      <c r="B66" s="11">
        <v>2</v>
      </c>
      <c r="C66" s="11">
        <v>13</v>
      </c>
      <c r="D66" s="11">
        <v>5</v>
      </c>
      <c r="E66" s="11">
        <v>45</v>
      </c>
      <c r="F66" s="12">
        <v>58.1</v>
      </c>
      <c r="G66">
        <v>49.072420809025601</v>
      </c>
      <c r="H66" t="s">
        <v>12</v>
      </c>
      <c r="I66" t="s">
        <v>12</v>
      </c>
      <c r="AD66" s="17">
        <v>64</v>
      </c>
      <c r="AE66" s="6">
        <v>3.04826</v>
      </c>
      <c r="AF66" s="19">
        <v>-1.4468000000000001</v>
      </c>
      <c r="AG66" s="6">
        <v>2.9350999999999998</v>
      </c>
      <c r="AH66" s="6">
        <v>255</v>
      </c>
      <c r="AJ66" s="17">
        <v>64</v>
      </c>
      <c r="AK66" s="6">
        <v>5.78017</v>
      </c>
      <c r="AL66" s="19">
        <v>-1.4468000000000001</v>
      </c>
      <c r="AM66" s="6">
        <v>2.9350999999999998</v>
      </c>
      <c r="AN66" s="6">
        <v>255</v>
      </c>
      <c r="AQ66" s="17">
        <v>64</v>
      </c>
      <c r="AR66" s="6">
        <v>1.6189199999999999</v>
      </c>
      <c r="AS66" s="6">
        <v>2.1654</v>
      </c>
      <c r="AT66" s="6">
        <v>0.82210000000000005</v>
      </c>
      <c r="AU66" s="6">
        <v>255</v>
      </c>
      <c r="AW66" s="17">
        <v>64</v>
      </c>
      <c r="AX66" s="6">
        <v>0.85375999999999996</v>
      </c>
      <c r="AY66" s="6">
        <v>2.1654</v>
      </c>
      <c r="AZ66" s="6">
        <v>0.82210000000000005</v>
      </c>
      <c r="BA66" s="6">
        <v>255</v>
      </c>
      <c r="BN66" s="17">
        <v>64</v>
      </c>
      <c r="BO66" s="6">
        <v>45.823429920000002</v>
      </c>
      <c r="BP66" s="6">
        <v>50.867691170000001</v>
      </c>
      <c r="BQ66" s="19">
        <v>-5.0442612499999999</v>
      </c>
    </row>
    <row r="67" spans="1:69" x14ac:dyDescent="0.25">
      <c r="A67" t="s">
        <v>7</v>
      </c>
      <c r="B67" s="11">
        <v>2</v>
      </c>
      <c r="C67" s="11">
        <v>13</v>
      </c>
      <c r="D67" s="11">
        <v>6</v>
      </c>
      <c r="E67" s="11">
        <v>29</v>
      </c>
      <c r="F67" s="12">
        <v>55.9</v>
      </c>
      <c r="G67">
        <v>44.153211615033506</v>
      </c>
      <c r="H67" t="s">
        <v>12</v>
      </c>
      <c r="I67" t="s">
        <v>12</v>
      </c>
      <c r="AD67" s="17">
        <v>65</v>
      </c>
      <c r="AE67" s="6">
        <v>3.06399</v>
      </c>
      <c r="AF67" s="19">
        <v>-1.5980000000000001E-2</v>
      </c>
      <c r="AG67" s="6">
        <v>2.9502999999999999</v>
      </c>
      <c r="AH67" s="6">
        <v>255</v>
      </c>
      <c r="AJ67" s="17">
        <v>65</v>
      </c>
      <c r="AK67" s="6">
        <v>5.8100100000000001</v>
      </c>
      <c r="AL67" s="19">
        <v>-1.5980000000000001E-2</v>
      </c>
      <c r="AM67" s="6">
        <v>2.9502999999999999</v>
      </c>
      <c r="AN67" s="6">
        <v>255</v>
      </c>
      <c r="AQ67" s="17">
        <v>65</v>
      </c>
      <c r="AR67" s="6">
        <v>1.6276200000000001</v>
      </c>
      <c r="AS67" s="6">
        <v>0.54349999999999998</v>
      </c>
      <c r="AT67" s="6">
        <v>0.82650000000000001</v>
      </c>
      <c r="AU67" s="6">
        <v>255</v>
      </c>
      <c r="AW67" s="17">
        <v>65</v>
      </c>
      <c r="AX67" s="6">
        <v>0.85834999999999995</v>
      </c>
      <c r="AY67" s="6">
        <v>0.54349999999999998</v>
      </c>
      <c r="AZ67" s="6">
        <v>0.82650000000000001</v>
      </c>
      <c r="BA67" s="6">
        <v>255</v>
      </c>
      <c r="BN67" s="17">
        <v>65</v>
      </c>
      <c r="BO67" s="6">
        <v>49.072420809999997</v>
      </c>
      <c r="BP67" s="6">
        <v>55.187376309999998</v>
      </c>
      <c r="BQ67" s="19">
        <v>-6.1149554999999998</v>
      </c>
    </row>
    <row r="68" spans="1:69" x14ac:dyDescent="0.25">
      <c r="A68" t="s">
        <v>7</v>
      </c>
      <c r="B68" s="11">
        <v>2</v>
      </c>
      <c r="C68" s="11">
        <v>12</v>
      </c>
      <c r="D68" s="11">
        <v>6</v>
      </c>
      <c r="E68" s="11">
        <v>37</v>
      </c>
      <c r="F68" s="12">
        <v>55.6</v>
      </c>
      <c r="G68">
        <v>48.093357774108952</v>
      </c>
      <c r="H68" t="s">
        <v>12</v>
      </c>
      <c r="I68" t="s">
        <v>12</v>
      </c>
      <c r="AD68" s="17">
        <v>66</v>
      </c>
      <c r="AE68" s="6">
        <v>3.0383599999999999</v>
      </c>
      <c r="AF68" s="6">
        <v>1.1926000000000001</v>
      </c>
      <c r="AG68" s="6">
        <v>2.9256000000000002</v>
      </c>
      <c r="AH68" s="6">
        <v>255</v>
      </c>
      <c r="AJ68" s="17">
        <v>66</v>
      </c>
      <c r="AK68" s="6">
        <v>5.7614099999999997</v>
      </c>
      <c r="AL68" s="6">
        <v>1.1926000000000001</v>
      </c>
      <c r="AM68" s="6">
        <v>2.9256000000000002</v>
      </c>
      <c r="AN68" s="6">
        <v>255</v>
      </c>
      <c r="AQ68" s="17">
        <v>66</v>
      </c>
      <c r="AR68" s="6">
        <v>1.61033</v>
      </c>
      <c r="AS68" s="6">
        <v>2.0459000000000001</v>
      </c>
      <c r="AT68" s="6">
        <v>0.81769999999999998</v>
      </c>
      <c r="AU68" s="6">
        <v>255</v>
      </c>
      <c r="AW68" s="17">
        <v>66</v>
      </c>
      <c r="AX68" s="6">
        <v>0.84923000000000004</v>
      </c>
      <c r="AY68" s="6">
        <v>2.0459000000000001</v>
      </c>
      <c r="AZ68" s="6">
        <v>0.81769999999999998</v>
      </c>
      <c r="BA68" s="6">
        <v>255</v>
      </c>
      <c r="BN68" s="17">
        <v>66</v>
      </c>
      <c r="BO68" s="6">
        <v>44.15321162</v>
      </c>
      <c r="BP68" s="6">
        <v>44.730005140000003</v>
      </c>
      <c r="BQ68" s="19">
        <v>-0.57679351999999995</v>
      </c>
    </row>
    <row r="69" spans="1:69" x14ac:dyDescent="0.25">
      <c r="A69" t="s">
        <v>7</v>
      </c>
      <c r="B69" s="11">
        <v>2</v>
      </c>
      <c r="C69" s="11">
        <v>11</v>
      </c>
      <c r="D69" s="11">
        <v>6</v>
      </c>
      <c r="E69" s="11">
        <v>60</v>
      </c>
      <c r="F69" s="12">
        <v>47.4</v>
      </c>
      <c r="G69">
        <v>22.064347382732826</v>
      </c>
      <c r="H69" t="s">
        <v>12</v>
      </c>
      <c r="I69" t="s">
        <v>12</v>
      </c>
      <c r="AD69" s="17">
        <v>67</v>
      </c>
      <c r="AE69" s="6">
        <v>3.0469900000000001</v>
      </c>
      <c r="AF69" s="6">
        <v>5.2910000000000004</v>
      </c>
      <c r="AG69" s="6">
        <v>2.9339</v>
      </c>
      <c r="AH69" s="6">
        <v>255</v>
      </c>
      <c r="AJ69" s="17">
        <v>67</v>
      </c>
      <c r="AK69" s="6">
        <v>5.7777599999999998</v>
      </c>
      <c r="AL69" s="6">
        <v>5.2910000000000004</v>
      </c>
      <c r="AM69" s="6">
        <v>2.9339</v>
      </c>
      <c r="AN69" s="6">
        <v>255</v>
      </c>
      <c r="AQ69" s="17">
        <v>67</v>
      </c>
      <c r="AR69" s="6">
        <v>1.62724</v>
      </c>
      <c r="AS69" s="6">
        <v>2.4331999999999998</v>
      </c>
      <c r="AT69" s="6">
        <v>0.82630000000000003</v>
      </c>
      <c r="AU69" s="6">
        <v>255</v>
      </c>
      <c r="AW69" s="17">
        <v>67</v>
      </c>
      <c r="AX69" s="6">
        <v>0.85814999999999997</v>
      </c>
      <c r="AY69" s="6">
        <v>2.4331999999999998</v>
      </c>
      <c r="AZ69" s="6">
        <v>0.82630000000000003</v>
      </c>
      <c r="BA69" s="6">
        <v>255</v>
      </c>
      <c r="BN69" s="17">
        <v>67</v>
      </c>
      <c r="BO69" s="6">
        <v>48.093357769999997</v>
      </c>
      <c r="BP69" s="6">
        <v>49.157461290000001</v>
      </c>
      <c r="BQ69" s="19">
        <v>-1.06410352</v>
      </c>
    </row>
    <row r="70" spans="1:69" x14ac:dyDescent="0.25">
      <c r="A70" t="s">
        <v>7</v>
      </c>
      <c r="B70" s="11">
        <v>2</v>
      </c>
      <c r="C70" s="11">
        <v>10</v>
      </c>
      <c r="D70" s="11">
        <v>6</v>
      </c>
      <c r="E70" s="11">
        <v>17</v>
      </c>
      <c r="F70" s="12">
        <v>56.1</v>
      </c>
      <c r="G70">
        <v>49.961060988637456</v>
      </c>
      <c r="H70" t="s">
        <v>12</v>
      </c>
      <c r="I70" t="s">
        <v>12</v>
      </c>
      <c r="AD70" s="17">
        <v>68</v>
      </c>
      <c r="AE70" s="6">
        <v>3.0459499999999999</v>
      </c>
      <c r="AF70" s="6">
        <v>1.5349999999999999</v>
      </c>
      <c r="AG70" s="6">
        <v>2.9329000000000001</v>
      </c>
      <c r="AH70" s="6">
        <v>255</v>
      </c>
      <c r="AJ70" s="17">
        <v>68</v>
      </c>
      <c r="AK70" s="6">
        <v>5.7757800000000001</v>
      </c>
      <c r="AL70" s="6">
        <v>1.5349999999999999</v>
      </c>
      <c r="AM70" s="6">
        <v>2.9329000000000001</v>
      </c>
      <c r="AN70" s="6">
        <v>255</v>
      </c>
      <c r="AQ70" s="17">
        <v>68</v>
      </c>
      <c r="AR70" s="6">
        <v>1.6179600000000001</v>
      </c>
      <c r="AS70" s="6">
        <v>2.5083000000000002</v>
      </c>
      <c r="AT70" s="6">
        <v>0.8216</v>
      </c>
      <c r="AU70" s="6">
        <v>255</v>
      </c>
      <c r="AW70" s="17">
        <v>68</v>
      </c>
      <c r="AX70" s="6">
        <v>0.85326000000000002</v>
      </c>
      <c r="AY70" s="6">
        <v>2.5083000000000002</v>
      </c>
      <c r="AZ70" s="6">
        <v>0.8216</v>
      </c>
      <c r="BA70" s="6">
        <v>255</v>
      </c>
      <c r="BN70" s="17">
        <v>68</v>
      </c>
      <c r="BO70" s="6">
        <v>22.064347380000001</v>
      </c>
      <c r="BP70" s="6">
        <v>25.413735989999999</v>
      </c>
      <c r="BQ70" s="19">
        <v>-3.3493886100000001</v>
      </c>
    </row>
    <row r="71" spans="1:69" x14ac:dyDescent="0.25">
      <c r="A71" t="s">
        <v>7</v>
      </c>
      <c r="B71" s="11">
        <v>2</v>
      </c>
      <c r="C71" s="11">
        <v>9</v>
      </c>
      <c r="D71" s="11">
        <v>6</v>
      </c>
      <c r="E71" s="11">
        <v>2</v>
      </c>
      <c r="F71" s="12">
        <v>55.9</v>
      </c>
      <c r="G71">
        <v>48.780262212294836</v>
      </c>
      <c r="H71" t="s">
        <v>12</v>
      </c>
      <c r="I71" t="s">
        <v>12</v>
      </c>
      <c r="AD71" s="17">
        <v>69</v>
      </c>
      <c r="AE71" s="6">
        <v>3.03491</v>
      </c>
      <c r="AF71" s="19">
        <v>-1.9854000000000001</v>
      </c>
      <c r="AG71" s="6">
        <v>2.9222999999999999</v>
      </c>
      <c r="AH71" s="6">
        <v>255</v>
      </c>
      <c r="AJ71" s="17">
        <v>69</v>
      </c>
      <c r="AK71" s="6">
        <v>5.7548500000000002</v>
      </c>
      <c r="AL71" s="19">
        <v>-1.9854000000000001</v>
      </c>
      <c r="AM71" s="6">
        <v>2.9222999999999999</v>
      </c>
      <c r="AN71" s="6">
        <v>255</v>
      </c>
      <c r="AQ71" s="17">
        <v>69</v>
      </c>
      <c r="AR71" s="6">
        <v>1.6093599999999999</v>
      </c>
      <c r="AS71" s="6">
        <v>0.56340000000000001</v>
      </c>
      <c r="AT71" s="6">
        <v>0.81720000000000004</v>
      </c>
      <c r="AU71" s="6">
        <v>255</v>
      </c>
      <c r="AW71" s="17">
        <v>69</v>
      </c>
      <c r="AX71" s="6">
        <v>0.84872000000000003</v>
      </c>
      <c r="AY71" s="6">
        <v>0.56340000000000001</v>
      </c>
      <c r="AZ71" s="6">
        <v>0.81720000000000004</v>
      </c>
      <c r="BA71" s="6">
        <v>255</v>
      </c>
      <c r="BN71" s="17">
        <v>69</v>
      </c>
      <c r="BO71" s="6">
        <v>49.96106099</v>
      </c>
      <c r="BP71" s="6">
        <v>49.022027489999999</v>
      </c>
      <c r="BQ71" s="6">
        <v>0.93903349999999997</v>
      </c>
    </row>
    <row r="72" spans="1:69" x14ac:dyDescent="0.25">
      <c r="A72" t="s">
        <v>7</v>
      </c>
      <c r="B72" s="11">
        <v>2</v>
      </c>
      <c r="C72" s="11">
        <v>8</v>
      </c>
      <c r="D72" s="11">
        <v>6</v>
      </c>
      <c r="E72" s="11">
        <v>5</v>
      </c>
      <c r="F72" s="12">
        <v>52.9</v>
      </c>
      <c r="G72">
        <v>51.197623579683395</v>
      </c>
      <c r="H72" t="s">
        <v>12</v>
      </c>
      <c r="I72" t="s">
        <v>12</v>
      </c>
      <c r="AD72" s="17">
        <v>70</v>
      </c>
      <c r="AE72" s="6">
        <v>3.0559099999999999</v>
      </c>
      <c r="AF72" s="19">
        <v>-1.6571</v>
      </c>
      <c r="AG72" s="6">
        <v>2.9424999999999999</v>
      </c>
      <c r="AH72" s="6">
        <v>255</v>
      </c>
      <c r="AJ72" s="17">
        <v>70</v>
      </c>
      <c r="AK72" s="6">
        <v>5.7946799999999996</v>
      </c>
      <c r="AL72" s="19">
        <v>-1.6571</v>
      </c>
      <c r="AM72" s="6">
        <v>2.9424999999999999</v>
      </c>
      <c r="AN72" s="6">
        <v>255</v>
      </c>
      <c r="AQ72" s="17">
        <v>70</v>
      </c>
      <c r="AR72" s="6">
        <v>1.62016</v>
      </c>
      <c r="AS72" s="6">
        <v>1.4056999999999999</v>
      </c>
      <c r="AT72" s="6">
        <v>0.82269999999999999</v>
      </c>
      <c r="AU72" s="6">
        <v>255</v>
      </c>
      <c r="AW72" s="17">
        <v>70</v>
      </c>
      <c r="AX72" s="6">
        <v>0.85441</v>
      </c>
      <c r="AY72" s="6">
        <v>1.4056999999999999</v>
      </c>
      <c r="AZ72" s="6">
        <v>0.82269999999999999</v>
      </c>
      <c r="BA72" s="6">
        <v>255</v>
      </c>
      <c r="BN72" s="17">
        <v>70</v>
      </c>
      <c r="BO72" s="6">
        <v>48.780262209999997</v>
      </c>
      <c r="BP72" s="6">
        <v>45.908321909999998</v>
      </c>
      <c r="BQ72" s="6">
        <v>2.8719402999999999</v>
      </c>
    </row>
    <row r="73" spans="1:69" x14ac:dyDescent="0.25">
      <c r="A73" t="s">
        <v>7</v>
      </c>
      <c r="B73" s="11">
        <v>2</v>
      </c>
      <c r="C73" s="11">
        <v>7</v>
      </c>
      <c r="D73" s="11">
        <v>6</v>
      </c>
      <c r="E73" s="11">
        <v>39</v>
      </c>
      <c r="F73" s="12">
        <v>55.9</v>
      </c>
      <c r="G73">
        <v>49.274877634262388</v>
      </c>
      <c r="H73" t="s">
        <v>12</v>
      </c>
      <c r="I73" t="s">
        <v>12</v>
      </c>
      <c r="AD73" s="17">
        <v>71</v>
      </c>
      <c r="AE73" s="6">
        <v>3.0476200000000002</v>
      </c>
      <c r="AF73" s="6">
        <v>0.8609</v>
      </c>
      <c r="AG73" s="6">
        <v>2.9344999999999999</v>
      </c>
      <c r="AH73" s="6">
        <v>255</v>
      </c>
      <c r="AJ73" s="17">
        <v>71</v>
      </c>
      <c r="AK73" s="6">
        <v>5.77895</v>
      </c>
      <c r="AL73" s="6">
        <v>0.8609</v>
      </c>
      <c r="AM73" s="6">
        <v>2.9344999999999999</v>
      </c>
      <c r="AN73" s="6">
        <v>255</v>
      </c>
      <c r="AQ73" s="17">
        <v>71</v>
      </c>
      <c r="AR73" s="6">
        <v>1.61666</v>
      </c>
      <c r="AS73" s="19">
        <v>-0.26340000000000002</v>
      </c>
      <c r="AT73" s="6">
        <v>0.82089999999999996</v>
      </c>
      <c r="AU73" s="6">
        <v>255</v>
      </c>
      <c r="AW73" s="17">
        <v>71</v>
      </c>
      <c r="AX73" s="6">
        <v>0.85257000000000005</v>
      </c>
      <c r="AY73" s="19">
        <v>-0.26340000000000002</v>
      </c>
      <c r="AZ73" s="6">
        <v>0.82089999999999996</v>
      </c>
      <c r="BA73" s="6">
        <v>255</v>
      </c>
      <c r="BN73" s="17">
        <v>71</v>
      </c>
      <c r="BO73" s="6">
        <v>51.197623579999998</v>
      </c>
      <c r="BP73" s="6">
        <v>48.56077835</v>
      </c>
      <c r="BQ73" s="6">
        <v>2.63684523</v>
      </c>
    </row>
    <row r="74" spans="1:69" x14ac:dyDescent="0.25">
      <c r="A74" t="s">
        <v>7</v>
      </c>
      <c r="B74" s="11">
        <v>2</v>
      </c>
      <c r="C74" s="11">
        <v>6</v>
      </c>
      <c r="D74" s="11">
        <v>6</v>
      </c>
      <c r="E74" s="11">
        <v>47</v>
      </c>
      <c r="F74" s="12">
        <v>54.4</v>
      </c>
      <c r="G74">
        <v>54.394716907837235</v>
      </c>
      <c r="H74" t="s">
        <v>12</v>
      </c>
      <c r="I74" t="s">
        <v>12</v>
      </c>
      <c r="AD74" s="17">
        <v>72</v>
      </c>
      <c r="AE74" s="6">
        <v>3.0493100000000002</v>
      </c>
      <c r="AF74" s="6">
        <v>2.5392000000000001</v>
      </c>
      <c r="AG74" s="6">
        <v>2.9361000000000002</v>
      </c>
      <c r="AH74" s="6">
        <v>255</v>
      </c>
      <c r="AJ74" s="17">
        <v>72</v>
      </c>
      <c r="AK74" s="6">
        <v>5.7821600000000002</v>
      </c>
      <c r="AL74" s="6">
        <v>2.5392000000000001</v>
      </c>
      <c r="AM74" s="6">
        <v>2.9361000000000002</v>
      </c>
      <c r="AN74" s="6">
        <v>255</v>
      </c>
      <c r="AQ74" s="17">
        <v>72</v>
      </c>
      <c r="AR74" s="6">
        <v>1.61703</v>
      </c>
      <c r="AS74" s="6">
        <v>0.11749999999999999</v>
      </c>
      <c r="AT74" s="6">
        <v>0.82110000000000005</v>
      </c>
      <c r="AU74" s="6">
        <v>255</v>
      </c>
      <c r="AW74" s="17">
        <v>72</v>
      </c>
      <c r="AX74" s="6">
        <v>0.85275999999999996</v>
      </c>
      <c r="AY74" s="6">
        <v>0.11749999999999999</v>
      </c>
      <c r="AZ74" s="6">
        <v>0.82110000000000005</v>
      </c>
      <c r="BA74" s="6">
        <v>255</v>
      </c>
      <c r="BN74" s="17">
        <v>72</v>
      </c>
      <c r="BO74" s="6">
        <v>49.274877629999999</v>
      </c>
      <c r="BP74" s="6">
        <v>51.627548300000001</v>
      </c>
      <c r="BQ74" s="19">
        <v>-2.3526706700000002</v>
      </c>
    </row>
    <row r="75" spans="1:69" x14ac:dyDescent="0.25">
      <c r="A75" t="s">
        <v>7</v>
      </c>
      <c r="B75" s="11">
        <v>2</v>
      </c>
      <c r="C75" s="11">
        <v>5</v>
      </c>
      <c r="D75" s="11">
        <v>6</v>
      </c>
      <c r="E75" s="11">
        <v>11</v>
      </c>
      <c r="F75" s="12">
        <v>56</v>
      </c>
      <c r="G75">
        <v>51.073933670000962</v>
      </c>
      <c r="H75" t="s">
        <v>12</v>
      </c>
      <c r="I75" t="s">
        <v>12</v>
      </c>
      <c r="AD75" s="17">
        <v>73</v>
      </c>
      <c r="AE75" s="6">
        <v>3.04779</v>
      </c>
      <c r="AF75" s="6">
        <v>5.7029999999999997E-2</v>
      </c>
      <c r="AG75" s="6">
        <v>2.9346999999999999</v>
      </c>
      <c r="AH75" s="6">
        <v>255</v>
      </c>
      <c r="AJ75" s="17">
        <v>73</v>
      </c>
      <c r="AK75" s="6">
        <v>5.7792899999999996</v>
      </c>
      <c r="AL75" s="6">
        <v>5.7029999999999997E-2</v>
      </c>
      <c r="AM75" s="6">
        <v>2.9346999999999999</v>
      </c>
      <c r="AN75" s="6">
        <v>255</v>
      </c>
      <c r="AQ75" s="17">
        <v>73</v>
      </c>
      <c r="AR75" s="6">
        <v>1.6408100000000001</v>
      </c>
      <c r="AS75" s="6">
        <v>1.4959</v>
      </c>
      <c r="AT75" s="6">
        <v>0.83320000000000005</v>
      </c>
      <c r="AU75" s="6">
        <v>255</v>
      </c>
      <c r="AW75" s="17">
        <v>73</v>
      </c>
      <c r="AX75" s="6">
        <v>0.86529999999999996</v>
      </c>
      <c r="AY75" s="6">
        <v>1.4959</v>
      </c>
      <c r="AZ75" s="6">
        <v>0.83320000000000005</v>
      </c>
      <c r="BA75" s="6">
        <v>255</v>
      </c>
      <c r="BN75" s="17">
        <v>73</v>
      </c>
      <c r="BO75" s="6">
        <v>54.39471691</v>
      </c>
      <c r="BP75" s="6">
        <v>53.478241269999998</v>
      </c>
      <c r="BQ75" s="6">
        <v>0.91647564000000004</v>
      </c>
    </row>
    <row r="76" spans="1:69" x14ac:dyDescent="0.25">
      <c r="A76" t="s">
        <v>7</v>
      </c>
      <c r="B76" s="11">
        <v>2</v>
      </c>
      <c r="C76" s="11">
        <v>4</v>
      </c>
      <c r="D76" s="11">
        <v>6</v>
      </c>
      <c r="E76" s="11">
        <v>21</v>
      </c>
      <c r="F76" s="12">
        <v>54.8</v>
      </c>
      <c r="G76">
        <v>53.350106827231208</v>
      </c>
      <c r="H76" t="s">
        <v>12</v>
      </c>
      <c r="I76" t="s">
        <v>12</v>
      </c>
      <c r="AD76" s="17">
        <v>74</v>
      </c>
      <c r="AE76" s="6">
        <v>3.05307</v>
      </c>
      <c r="AF76" s="6">
        <v>2.0173000000000001</v>
      </c>
      <c r="AG76" s="6">
        <v>2.9398</v>
      </c>
      <c r="AH76" s="6">
        <v>255</v>
      </c>
      <c r="AJ76" s="17">
        <v>74</v>
      </c>
      <c r="AK76" s="6">
        <v>5.7892900000000003</v>
      </c>
      <c r="AL76" s="6">
        <v>2.0173000000000001</v>
      </c>
      <c r="AM76" s="6">
        <v>2.9398</v>
      </c>
      <c r="AN76" s="6">
        <v>255</v>
      </c>
      <c r="AQ76" s="17">
        <v>74</v>
      </c>
      <c r="AR76" s="6">
        <v>1.6198900000000001</v>
      </c>
      <c r="AS76" s="6">
        <v>1.4068000000000001</v>
      </c>
      <c r="AT76" s="6">
        <v>0.8226</v>
      </c>
      <c r="AU76" s="6">
        <v>255</v>
      </c>
      <c r="AW76" s="17">
        <v>74</v>
      </c>
      <c r="AX76" s="6">
        <v>0.85426999999999997</v>
      </c>
      <c r="AY76" s="6">
        <v>1.4068000000000001</v>
      </c>
      <c r="AZ76" s="6">
        <v>0.8226</v>
      </c>
      <c r="BA76" s="6">
        <v>255</v>
      </c>
      <c r="BN76" s="17">
        <v>74</v>
      </c>
      <c r="BO76" s="6">
        <v>51.073933670000002</v>
      </c>
      <c r="BP76" s="6">
        <v>50.713312860000002</v>
      </c>
      <c r="BQ76" s="6">
        <v>0.36062081000000001</v>
      </c>
    </row>
    <row r="77" spans="1:69" x14ac:dyDescent="0.25">
      <c r="A77" t="s">
        <v>7</v>
      </c>
      <c r="B77" s="11">
        <v>2</v>
      </c>
      <c r="C77" s="11">
        <v>3</v>
      </c>
      <c r="D77" s="11">
        <v>6</v>
      </c>
      <c r="E77" s="11">
        <v>26</v>
      </c>
      <c r="F77" s="12">
        <v>56.9</v>
      </c>
      <c r="G77">
        <v>61.636321258618999</v>
      </c>
      <c r="H77" t="s">
        <v>12</v>
      </c>
      <c r="I77" t="s">
        <v>12</v>
      </c>
      <c r="AD77" s="17">
        <v>75</v>
      </c>
      <c r="AE77" s="6">
        <v>3.0445500000000001</v>
      </c>
      <c r="AF77" s="19">
        <v>-6.0488</v>
      </c>
      <c r="AG77" s="6">
        <v>2.9316</v>
      </c>
      <c r="AH77" s="6">
        <v>255</v>
      </c>
      <c r="AJ77" s="17">
        <v>75</v>
      </c>
      <c r="AK77" s="6">
        <v>5.7731399999999997</v>
      </c>
      <c r="AL77" s="19">
        <v>-6.0488</v>
      </c>
      <c r="AM77" s="6">
        <v>2.9316</v>
      </c>
      <c r="AN77" s="6">
        <v>255</v>
      </c>
      <c r="AQ77" s="17">
        <v>75</v>
      </c>
      <c r="AR77" s="6">
        <v>1.6190599999999999</v>
      </c>
      <c r="AS77" s="6">
        <v>0.99590000000000001</v>
      </c>
      <c r="AT77" s="6">
        <v>0.82210000000000005</v>
      </c>
      <c r="AU77" s="6">
        <v>255</v>
      </c>
      <c r="AW77" s="17">
        <v>75</v>
      </c>
      <c r="AX77" s="6">
        <v>0.85382999999999998</v>
      </c>
      <c r="AY77" s="6">
        <v>0.99590000000000001</v>
      </c>
      <c r="AZ77" s="6">
        <v>0.82210000000000005</v>
      </c>
      <c r="BA77" s="6">
        <v>255</v>
      </c>
      <c r="BN77" s="17">
        <v>75</v>
      </c>
      <c r="BO77" s="6">
        <v>53.350106830000001</v>
      </c>
      <c r="BP77" s="6">
        <v>54.890788630000003</v>
      </c>
      <c r="BQ77" s="19">
        <v>-1.5406818</v>
      </c>
    </row>
    <row r="78" spans="1:69" x14ac:dyDescent="0.25">
      <c r="A78" t="s">
        <v>7</v>
      </c>
      <c r="B78" s="11">
        <v>2</v>
      </c>
      <c r="C78" s="11">
        <v>2</v>
      </c>
      <c r="D78" s="11">
        <v>6</v>
      </c>
      <c r="E78" s="11">
        <v>19</v>
      </c>
      <c r="F78" s="12">
        <v>52.1</v>
      </c>
      <c r="G78">
        <v>44.688928814217725</v>
      </c>
      <c r="H78" t="s">
        <v>12</v>
      </c>
      <c r="I78" t="s">
        <v>12</v>
      </c>
      <c r="AD78" s="17">
        <v>76</v>
      </c>
      <c r="AE78" s="6">
        <v>3.0429400000000002</v>
      </c>
      <c r="AF78" s="19">
        <v>-1.006</v>
      </c>
      <c r="AG78" s="6">
        <v>2.93</v>
      </c>
      <c r="AH78" s="6">
        <v>255</v>
      </c>
      <c r="AJ78" s="17">
        <v>76</v>
      </c>
      <c r="AK78" s="6">
        <v>5.7700800000000001</v>
      </c>
      <c r="AL78" s="19">
        <v>-1.006</v>
      </c>
      <c r="AM78" s="6">
        <v>2.93</v>
      </c>
      <c r="AN78" s="6">
        <v>255</v>
      </c>
      <c r="AQ78" s="17">
        <v>76</v>
      </c>
      <c r="AR78" s="6">
        <v>1.61524</v>
      </c>
      <c r="AS78" s="6">
        <v>1.2683</v>
      </c>
      <c r="AT78" s="6">
        <v>0.82020000000000004</v>
      </c>
      <c r="AU78" s="6">
        <v>255</v>
      </c>
      <c r="AW78" s="17">
        <v>76</v>
      </c>
      <c r="AX78" s="6">
        <v>0.85182000000000002</v>
      </c>
      <c r="AY78" s="6">
        <v>1.2683</v>
      </c>
      <c r="AZ78" s="6">
        <v>0.82020000000000004</v>
      </c>
      <c r="BA78" s="6">
        <v>255</v>
      </c>
      <c r="BN78" s="17">
        <v>76</v>
      </c>
      <c r="BO78" s="6">
        <v>61.636321260000003</v>
      </c>
      <c r="BP78" s="6">
        <v>59.509532720000003</v>
      </c>
      <c r="BQ78" s="6">
        <v>2.1267885400000002</v>
      </c>
    </row>
    <row r="79" spans="1:69" x14ac:dyDescent="0.25">
      <c r="A79" t="s">
        <v>7</v>
      </c>
      <c r="B79" s="11">
        <v>2</v>
      </c>
      <c r="C79" s="11">
        <v>1</v>
      </c>
      <c r="D79" s="11">
        <v>6</v>
      </c>
      <c r="E79" s="11">
        <v>24</v>
      </c>
      <c r="F79" s="12">
        <v>56.7</v>
      </c>
      <c r="G79">
        <v>47.404915023793336</v>
      </c>
      <c r="H79" t="s">
        <v>12</v>
      </c>
      <c r="I79" t="s">
        <v>12</v>
      </c>
      <c r="AD79" s="17">
        <v>77</v>
      </c>
      <c r="AE79" s="6">
        <v>3.0670299999999999</v>
      </c>
      <c r="AF79" s="6">
        <v>1.4713000000000001</v>
      </c>
      <c r="AG79" s="6">
        <v>2.9531999999999998</v>
      </c>
      <c r="AH79" s="6">
        <v>255</v>
      </c>
      <c r="AJ79" s="17">
        <v>77</v>
      </c>
      <c r="AK79" s="6">
        <v>5.8157699999999997</v>
      </c>
      <c r="AL79" s="6">
        <v>1.4713000000000001</v>
      </c>
      <c r="AM79" s="6">
        <v>2.9531999999999998</v>
      </c>
      <c r="AN79" s="6">
        <v>255</v>
      </c>
      <c r="AQ79" s="17">
        <v>77</v>
      </c>
      <c r="AR79" s="6">
        <v>1.62399</v>
      </c>
      <c r="AS79" s="6">
        <v>1.7922</v>
      </c>
      <c r="AT79" s="6">
        <v>0.82469999999999999</v>
      </c>
      <c r="AU79" s="6">
        <v>255</v>
      </c>
      <c r="AW79" s="17">
        <v>77</v>
      </c>
      <c r="AX79" s="6">
        <v>0.85643999999999998</v>
      </c>
      <c r="AY79" s="6">
        <v>1.7922</v>
      </c>
      <c r="AZ79" s="6">
        <v>0.82469999999999999</v>
      </c>
      <c r="BA79" s="6">
        <v>255</v>
      </c>
      <c r="BN79" s="17">
        <v>77</v>
      </c>
      <c r="BO79" s="6">
        <v>44.68892881</v>
      </c>
      <c r="BP79" s="6">
        <v>46.966265780000001</v>
      </c>
      <c r="BQ79" s="19">
        <v>-2.2773369699999999</v>
      </c>
    </row>
    <row r="80" spans="1:69" x14ac:dyDescent="0.25">
      <c r="A80" t="s">
        <v>7</v>
      </c>
      <c r="B80" s="11">
        <v>2</v>
      </c>
      <c r="C80" s="11">
        <v>1</v>
      </c>
      <c r="D80" s="11">
        <v>7</v>
      </c>
      <c r="E80" s="11">
        <v>48</v>
      </c>
      <c r="F80" s="12">
        <v>52.4</v>
      </c>
      <c r="G80">
        <v>41.098288590604028</v>
      </c>
      <c r="H80" t="s">
        <v>12</v>
      </c>
      <c r="I80" t="s">
        <v>12</v>
      </c>
      <c r="AD80" s="17">
        <v>78</v>
      </c>
      <c r="AE80" s="6">
        <v>3.0564399999999998</v>
      </c>
      <c r="AF80" s="19">
        <v>-0.44800000000000001</v>
      </c>
      <c r="AG80" s="6">
        <v>2.9430000000000001</v>
      </c>
      <c r="AH80" s="6">
        <v>255</v>
      </c>
      <c r="AJ80" s="17">
        <v>78</v>
      </c>
      <c r="AK80" s="6">
        <v>5.7956899999999996</v>
      </c>
      <c r="AL80" s="19">
        <v>-0.44800000000000001</v>
      </c>
      <c r="AM80" s="6">
        <v>2.9430000000000001</v>
      </c>
      <c r="AN80" s="6">
        <v>255</v>
      </c>
      <c r="AQ80" s="17">
        <v>78</v>
      </c>
      <c r="AR80" s="6">
        <v>1.6191899999999999</v>
      </c>
      <c r="AS80" s="6">
        <v>0.60950000000000004</v>
      </c>
      <c r="AT80" s="6">
        <v>0.82220000000000004</v>
      </c>
      <c r="AU80" s="6">
        <v>255</v>
      </c>
      <c r="AW80" s="17">
        <v>78</v>
      </c>
      <c r="AX80" s="6">
        <v>0.85389999999999999</v>
      </c>
      <c r="AY80" s="6">
        <v>0.60950000000000004</v>
      </c>
      <c r="AZ80" s="6">
        <v>0.82220000000000004</v>
      </c>
      <c r="BA80" s="6">
        <v>255</v>
      </c>
      <c r="BN80" s="17">
        <v>78</v>
      </c>
      <c r="BO80" s="6">
        <v>47.404915019999997</v>
      </c>
      <c r="BP80" s="6">
        <v>49.990215319999997</v>
      </c>
      <c r="BQ80" s="19">
        <v>-2.5853003000000001</v>
      </c>
    </row>
    <row r="81" spans="1:69" x14ac:dyDescent="0.25">
      <c r="A81" t="s">
        <v>7</v>
      </c>
      <c r="B81" s="11">
        <v>2</v>
      </c>
      <c r="C81" s="11">
        <v>2</v>
      </c>
      <c r="D81" s="11">
        <v>7</v>
      </c>
      <c r="E81" s="11">
        <v>36</v>
      </c>
      <c r="F81" s="12">
        <v>51.1</v>
      </c>
      <c r="G81">
        <v>44.553417066155319</v>
      </c>
      <c r="H81" t="s">
        <v>12</v>
      </c>
      <c r="I81" t="s">
        <v>12</v>
      </c>
      <c r="AD81" s="17">
        <v>79</v>
      </c>
      <c r="AE81" s="6">
        <v>3.0428799999999998</v>
      </c>
      <c r="AF81" s="6">
        <v>0.86299999999999999</v>
      </c>
      <c r="AG81" s="6">
        <v>2.9298999999999999</v>
      </c>
      <c r="AH81" s="6">
        <v>255</v>
      </c>
      <c r="AJ81" s="17">
        <v>79</v>
      </c>
      <c r="AK81" s="6">
        <v>5.7699600000000002</v>
      </c>
      <c r="AL81" s="6">
        <v>0.86299999999999999</v>
      </c>
      <c r="AM81" s="6">
        <v>2.9298999999999999</v>
      </c>
      <c r="AN81" s="6">
        <v>255</v>
      </c>
      <c r="AQ81" s="17">
        <v>79</v>
      </c>
      <c r="AR81" s="6">
        <v>1.61578</v>
      </c>
      <c r="AS81" s="6">
        <v>0.42109999999999997</v>
      </c>
      <c r="AT81" s="6">
        <v>0.82050000000000001</v>
      </c>
      <c r="AU81" s="6">
        <v>255</v>
      </c>
      <c r="AW81" s="17">
        <v>79</v>
      </c>
      <c r="AX81" s="6">
        <v>0.85211000000000003</v>
      </c>
      <c r="AY81" s="6">
        <v>0.42109999999999997</v>
      </c>
      <c r="AZ81" s="6">
        <v>0.82050000000000001</v>
      </c>
      <c r="BA81" s="6">
        <v>255</v>
      </c>
      <c r="BN81" s="17">
        <v>79</v>
      </c>
      <c r="BO81" s="6">
        <v>41.098288590000003</v>
      </c>
      <c r="BP81" s="6">
        <v>39.56811167</v>
      </c>
      <c r="BQ81" s="6">
        <v>1.5301769199999999</v>
      </c>
    </row>
    <row r="82" spans="1:69" x14ac:dyDescent="0.25">
      <c r="A82" t="s">
        <v>7</v>
      </c>
      <c r="B82" s="11">
        <v>2</v>
      </c>
      <c r="C82" s="11">
        <v>3</v>
      </c>
      <c r="D82" s="11">
        <v>7</v>
      </c>
      <c r="E82" s="11">
        <v>6</v>
      </c>
      <c r="F82" s="12">
        <v>54.8</v>
      </c>
      <c r="G82">
        <v>39.559517257909867</v>
      </c>
      <c r="H82" t="s">
        <v>12</v>
      </c>
      <c r="I82" t="s">
        <v>12</v>
      </c>
      <c r="AD82" s="17">
        <v>80</v>
      </c>
      <c r="AE82" s="6">
        <v>3.0391900000000001</v>
      </c>
      <c r="AF82" s="6">
        <v>2.7566999999999999</v>
      </c>
      <c r="AG82" s="6">
        <v>2.9264000000000001</v>
      </c>
      <c r="AH82" s="6">
        <v>255</v>
      </c>
      <c r="AJ82" s="17">
        <v>80</v>
      </c>
      <c r="AK82" s="6">
        <v>5.7629700000000001</v>
      </c>
      <c r="AL82" s="6">
        <v>2.7566999999999999</v>
      </c>
      <c r="AM82" s="6">
        <v>2.9264000000000001</v>
      </c>
      <c r="AN82" s="6">
        <v>255</v>
      </c>
      <c r="AQ82" s="17">
        <v>80</v>
      </c>
      <c r="AR82" s="6">
        <v>1.61321</v>
      </c>
      <c r="AS82" s="6">
        <v>1.3507</v>
      </c>
      <c r="AT82" s="6">
        <v>0.81920000000000004</v>
      </c>
      <c r="AU82" s="6">
        <v>255</v>
      </c>
      <c r="AW82" s="17">
        <v>80</v>
      </c>
      <c r="AX82" s="6">
        <v>0.85075000000000001</v>
      </c>
      <c r="AY82" s="6">
        <v>1.3507</v>
      </c>
      <c r="AZ82" s="6">
        <v>0.81920000000000004</v>
      </c>
      <c r="BA82" s="6">
        <v>255</v>
      </c>
      <c r="BN82" s="17">
        <v>80</v>
      </c>
      <c r="BO82" s="6">
        <v>44.553417070000002</v>
      </c>
      <c r="BP82" s="6">
        <v>43.93999651</v>
      </c>
      <c r="BQ82" s="6">
        <v>0.61342056</v>
      </c>
    </row>
    <row r="83" spans="1:69" x14ac:dyDescent="0.25">
      <c r="A83" t="s">
        <v>7</v>
      </c>
      <c r="B83" s="11">
        <v>2</v>
      </c>
      <c r="C83" s="11">
        <v>4</v>
      </c>
      <c r="D83" s="11">
        <v>7</v>
      </c>
      <c r="E83" s="11">
        <v>46</v>
      </c>
      <c r="F83" s="12">
        <v>50.3</v>
      </c>
      <c r="G83">
        <v>44.706425695110262</v>
      </c>
      <c r="H83" t="s">
        <v>12</v>
      </c>
      <c r="I83" t="s">
        <v>12</v>
      </c>
      <c r="AD83" s="17">
        <v>81</v>
      </c>
      <c r="AE83" s="6">
        <v>3.04345</v>
      </c>
      <c r="AF83" s="19">
        <v>-3.3931</v>
      </c>
      <c r="AG83" s="6">
        <v>2.9304999999999999</v>
      </c>
      <c r="AH83" s="6">
        <v>255</v>
      </c>
      <c r="AJ83" s="17">
        <v>81</v>
      </c>
      <c r="AK83" s="6">
        <v>5.7710499999999998</v>
      </c>
      <c r="AL83" s="19">
        <v>-3.3931</v>
      </c>
      <c r="AM83" s="6">
        <v>2.9304999999999999</v>
      </c>
      <c r="AN83" s="6">
        <v>255</v>
      </c>
      <c r="AQ83" s="17">
        <v>81</v>
      </c>
      <c r="AR83" s="6">
        <v>1.6144400000000001</v>
      </c>
      <c r="AS83" s="19">
        <v>-1.0138</v>
      </c>
      <c r="AT83" s="6">
        <v>0.81979999999999997</v>
      </c>
      <c r="AU83" s="6">
        <v>255</v>
      </c>
      <c r="AW83" s="17">
        <v>81</v>
      </c>
      <c r="AX83" s="6">
        <v>0.85140000000000005</v>
      </c>
      <c r="AY83" s="19">
        <v>-1.0138</v>
      </c>
      <c r="AZ83" s="6">
        <v>0.81979999999999997</v>
      </c>
      <c r="BA83" s="6">
        <v>255</v>
      </c>
      <c r="BN83" s="17">
        <v>81</v>
      </c>
      <c r="BO83" s="6">
        <v>39.55951726</v>
      </c>
      <c r="BP83" s="6">
        <v>40.075226559999997</v>
      </c>
      <c r="BQ83" s="19">
        <v>-0.51570930000000004</v>
      </c>
    </row>
    <row r="84" spans="1:69" x14ac:dyDescent="0.25">
      <c r="A84" t="s">
        <v>7</v>
      </c>
      <c r="B84" s="11">
        <v>2</v>
      </c>
      <c r="C84" s="11">
        <v>5</v>
      </c>
      <c r="D84" s="11">
        <v>7</v>
      </c>
      <c r="E84" s="11">
        <v>40</v>
      </c>
      <c r="F84" s="12">
        <v>55.6</v>
      </c>
      <c r="G84">
        <v>48.958062799616499</v>
      </c>
      <c r="H84" t="s">
        <v>12</v>
      </c>
      <c r="I84" t="s">
        <v>12</v>
      </c>
      <c r="AD84" s="17">
        <v>82</v>
      </c>
      <c r="AE84" s="6">
        <v>3.0548700000000002</v>
      </c>
      <c r="AF84" s="19">
        <v>-0.26819999999999999</v>
      </c>
      <c r="AG84" s="6">
        <v>2.9415</v>
      </c>
      <c r="AH84" s="6">
        <v>255</v>
      </c>
      <c r="AJ84" s="17">
        <v>82</v>
      </c>
      <c r="AK84" s="6">
        <v>5.7927</v>
      </c>
      <c r="AL84" s="19">
        <v>-0.26819999999999999</v>
      </c>
      <c r="AM84" s="6">
        <v>2.9415</v>
      </c>
      <c r="AN84" s="6">
        <v>255</v>
      </c>
      <c r="AQ84" s="17">
        <v>82</v>
      </c>
      <c r="AR84" s="6">
        <v>1.61666</v>
      </c>
      <c r="AS84" s="6">
        <v>1.3593999999999999</v>
      </c>
      <c r="AT84" s="6">
        <v>0.82089999999999996</v>
      </c>
      <c r="AU84" s="6">
        <v>255</v>
      </c>
      <c r="AW84" s="17">
        <v>82</v>
      </c>
      <c r="AX84" s="6">
        <v>0.85257000000000005</v>
      </c>
      <c r="AY84" s="6">
        <v>1.3593999999999999</v>
      </c>
      <c r="AZ84" s="6">
        <v>0.82089999999999996</v>
      </c>
      <c r="BA84" s="6">
        <v>255</v>
      </c>
      <c r="BN84" s="17">
        <v>82</v>
      </c>
      <c r="BO84" s="6">
        <v>44.706425699999997</v>
      </c>
      <c r="BP84" s="6">
        <v>45.054415749999997</v>
      </c>
      <c r="BQ84" s="19">
        <v>-0.34799005</v>
      </c>
    </row>
    <row r="85" spans="1:69" x14ac:dyDescent="0.25">
      <c r="A85" t="s">
        <v>7</v>
      </c>
      <c r="B85" s="11">
        <v>2</v>
      </c>
      <c r="C85" s="11">
        <v>6</v>
      </c>
      <c r="D85" s="11">
        <v>7</v>
      </c>
      <c r="E85" s="11">
        <v>28</v>
      </c>
      <c r="F85" s="12">
        <v>50.6</v>
      </c>
      <c r="G85">
        <v>40.006298657718119</v>
      </c>
      <c r="H85" t="s">
        <v>12</v>
      </c>
      <c r="I85" t="s">
        <v>12</v>
      </c>
      <c r="AD85" s="17">
        <v>83</v>
      </c>
      <c r="AE85" s="6">
        <v>3.0502500000000001</v>
      </c>
      <c r="AF85" s="6">
        <v>2.0495000000000001</v>
      </c>
      <c r="AG85" s="6">
        <v>2.9369999999999998</v>
      </c>
      <c r="AH85" s="6">
        <v>255</v>
      </c>
      <c r="AJ85" s="17">
        <v>83</v>
      </c>
      <c r="AK85" s="6">
        <v>5.7839499999999999</v>
      </c>
      <c r="AL85" s="6">
        <v>2.0495000000000001</v>
      </c>
      <c r="AM85" s="6">
        <v>2.9369999999999998</v>
      </c>
      <c r="AN85" s="6">
        <v>255</v>
      </c>
      <c r="AQ85" s="17">
        <v>83</v>
      </c>
      <c r="AR85" s="6">
        <v>1.62442</v>
      </c>
      <c r="AS85" s="6">
        <v>1.0920000000000001</v>
      </c>
      <c r="AT85" s="6">
        <v>0.82489999999999997</v>
      </c>
      <c r="AU85" s="6">
        <v>255</v>
      </c>
      <c r="AW85" s="17">
        <v>83</v>
      </c>
      <c r="AX85" s="6">
        <v>0.85665999999999998</v>
      </c>
      <c r="AY85" s="6">
        <v>1.0920000000000001</v>
      </c>
      <c r="AZ85" s="6">
        <v>0.82489999999999997</v>
      </c>
      <c r="BA85" s="6">
        <v>255</v>
      </c>
      <c r="BN85" s="17">
        <v>83</v>
      </c>
      <c r="BO85" s="6">
        <v>48.9580628</v>
      </c>
      <c r="BP85" s="6">
        <v>47.05286967</v>
      </c>
      <c r="BQ85" s="6">
        <v>1.90519313</v>
      </c>
    </row>
    <row r="86" spans="1:69" x14ac:dyDescent="0.25">
      <c r="A86" t="s">
        <v>7</v>
      </c>
      <c r="B86" s="11">
        <v>2</v>
      </c>
      <c r="C86" s="11">
        <v>7</v>
      </c>
      <c r="D86" s="11">
        <v>7</v>
      </c>
      <c r="E86" s="11">
        <v>7</v>
      </c>
      <c r="F86" s="12">
        <v>53.6</v>
      </c>
      <c r="G86">
        <v>40.447669702780438</v>
      </c>
      <c r="H86" t="s">
        <v>12</v>
      </c>
      <c r="I86" t="s">
        <v>12</v>
      </c>
      <c r="AD86" s="17">
        <v>84</v>
      </c>
      <c r="AE86" s="6">
        <v>3.0361899999999999</v>
      </c>
      <c r="AF86" s="6">
        <v>1.9263999999999999</v>
      </c>
      <c r="AG86" s="6">
        <v>2.9235000000000002</v>
      </c>
      <c r="AH86" s="6">
        <v>255</v>
      </c>
      <c r="AJ86" s="17">
        <v>84</v>
      </c>
      <c r="AK86" s="6">
        <v>5.7572900000000002</v>
      </c>
      <c r="AL86" s="6">
        <v>1.9263999999999999</v>
      </c>
      <c r="AM86" s="6">
        <v>2.9235000000000002</v>
      </c>
      <c r="AN86" s="6">
        <v>255</v>
      </c>
      <c r="AQ86" s="17">
        <v>84</v>
      </c>
      <c r="AR86" s="6">
        <v>1.61494</v>
      </c>
      <c r="AS86" s="6">
        <v>1.3444</v>
      </c>
      <c r="AT86" s="6">
        <v>0.82010000000000005</v>
      </c>
      <c r="AU86" s="6">
        <v>255</v>
      </c>
      <c r="AW86" s="17">
        <v>84</v>
      </c>
      <c r="AX86" s="6">
        <v>0.85165999999999997</v>
      </c>
      <c r="AY86" s="6">
        <v>1.3444</v>
      </c>
      <c r="AZ86" s="6">
        <v>0.82010000000000005</v>
      </c>
      <c r="BA86" s="6">
        <v>255</v>
      </c>
      <c r="BN86" s="17">
        <v>84</v>
      </c>
      <c r="BO86" s="6">
        <v>40.006298659999999</v>
      </c>
      <c r="BP86" s="6">
        <v>40.085904429999999</v>
      </c>
      <c r="BQ86" s="19">
        <v>-7.9605770000000006E-2</v>
      </c>
    </row>
    <row r="87" spans="1:69" x14ac:dyDescent="0.25">
      <c r="A87" t="s">
        <v>7</v>
      </c>
      <c r="B87" s="11">
        <v>2</v>
      </c>
      <c r="C87" s="11">
        <v>8</v>
      </c>
      <c r="D87" s="11">
        <v>7</v>
      </c>
      <c r="E87" s="11">
        <v>38</v>
      </c>
      <c r="F87" s="12">
        <v>51.7</v>
      </c>
      <c r="G87">
        <v>56.200534515819747</v>
      </c>
      <c r="H87" t="s">
        <v>12</v>
      </c>
      <c r="I87" t="s">
        <v>12</v>
      </c>
      <c r="AD87" s="17">
        <v>85</v>
      </c>
      <c r="AE87" s="6">
        <v>3.0663399999999998</v>
      </c>
      <c r="AF87" s="19">
        <v>-1.5603</v>
      </c>
      <c r="AG87" s="6">
        <v>2.9525000000000001</v>
      </c>
      <c r="AH87" s="6">
        <v>255</v>
      </c>
      <c r="AJ87" s="17">
        <v>85</v>
      </c>
      <c r="AK87" s="6">
        <v>5.8144499999999999</v>
      </c>
      <c r="AL87" s="19">
        <v>-1.5603</v>
      </c>
      <c r="AM87" s="6">
        <v>2.9525000000000001</v>
      </c>
      <c r="AN87" s="6">
        <v>255</v>
      </c>
      <c r="AQ87" s="17">
        <v>85</v>
      </c>
      <c r="AR87" s="6">
        <v>1.6206700000000001</v>
      </c>
      <c r="AS87" s="19">
        <v>-3.6490000000000002E-2</v>
      </c>
      <c r="AT87" s="6">
        <v>0.82299999999999995</v>
      </c>
      <c r="AU87" s="6">
        <v>255</v>
      </c>
      <c r="AW87" s="17">
        <v>85</v>
      </c>
      <c r="AX87" s="6">
        <v>0.85468</v>
      </c>
      <c r="AY87" s="19">
        <v>-3.6490000000000002E-2</v>
      </c>
      <c r="AZ87" s="6">
        <v>0.82299999999999995</v>
      </c>
      <c r="BA87" s="6">
        <v>255</v>
      </c>
      <c r="BN87" s="17">
        <v>85</v>
      </c>
      <c r="BO87" s="6">
        <v>40.447669699999999</v>
      </c>
      <c r="BP87" s="6">
        <v>39.015911080000002</v>
      </c>
      <c r="BQ87" s="6">
        <v>1.4317586200000001</v>
      </c>
    </row>
    <row r="88" spans="1:69" x14ac:dyDescent="0.25">
      <c r="A88" t="s">
        <v>7</v>
      </c>
      <c r="B88" s="11">
        <v>2</v>
      </c>
      <c r="C88" s="11">
        <v>9</v>
      </c>
      <c r="D88" s="11">
        <v>7</v>
      </c>
      <c r="E88" s="11">
        <v>22</v>
      </c>
      <c r="F88" s="12">
        <v>56.1</v>
      </c>
      <c r="G88">
        <v>49.839428571428563</v>
      </c>
      <c r="H88" t="s">
        <v>12</v>
      </c>
      <c r="I88" t="s">
        <v>12</v>
      </c>
      <c r="AD88" s="17">
        <v>86</v>
      </c>
      <c r="AE88" s="6">
        <v>3.0471300000000001</v>
      </c>
      <c r="AF88" s="19">
        <v>-0.37259999999999999</v>
      </c>
      <c r="AG88" s="6">
        <v>2.9340000000000002</v>
      </c>
      <c r="AH88" s="6">
        <v>255</v>
      </c>
      <c r="AJ88" s="17">
        <v>86</v>
      </c>
      <c r="AK88" s="6">
        <v>5.7780399999999998</v>
      </c>
      <c r="AL88" s="19">
        <v>-0.37259999999999999</v>
      </c>
      <c r="AM88" s="6">
        <v>2.9340000000000002</v>
      </c>
      <c r="AN88" s="6">
        <v>255</v>
      </c>
      <c r="AQ88" s="17">
        <v>86</v>
      </c>
      <c r="AR88" s="6">
        <v>1.61564</v>
      </c>
      <c r="AS88" s="6">
        <v>0.32669999999999999</v>
      </c>
      <c r="AT88" s="6">
        <v>0.82040000000000002</v>
      </c>
      <c r="AU88" s="6">
        <v>255</v>
      </c>
      <c r="AW88" s="17">
        <v>86</v>
      </c>
      <c r="AX88" s="6">
        <v>0.85202999999999995</v>
      </c>
      <c r="AY88" s="6">
        <v>0.32669999999999999</v>
      </c>
      <c r="AZ88" s="6">
        <v>0.82040000000000002</v>
      </c>
      <c r="BA88" s="6">
        <v>255</v>
      </c>
      <c r="BN88" s="17">
        <v>86</v>
      </c>
      <c r="BO88" s="6">
        <v>56.200534519999998</v>
      </c>
      <c r="BP88" s="6">
        <v>54.803433830000003</v>
      </c>
      <c r="BQ88" s="6">
        <v>1.39710069</v>
      </c>
    </row>
    <row r="89" spans="1:69" x14ac:dyDescent="0.25">
      <c r="A89" t="s">
        <v>7</v>
      </c>
      <c r="B89" s="11">
        <v>2</v>
      </c>
      <c r="C89" s="11">
        <v>10</v>
      </c>
      <c r="D89" s="11">
        <v>7</v>
      </c>
      <c r="E89" s="11">
        <v>14</v>
      </c>
      <c r="F89" s="12">
        <v>49.3</v>
      </c>
      <c r="G89">
        <v>58.703488015340348</v>
      </c>
      <c r="H89" t="s">
        <v>12</v>
      </c>
      <c r="I89" t="s">
        <v>12</v>
      </c>
      <c r="AD89" s="17">
        <v>87</v>
      </c>
      <c r="AE89" s="6">
        <v>3.0384699999999998</v>
      </c>
      <c r="AF89" s="6">
        <v>0.20039999999999999</v>
      </c>
      <c r="AG89" s="6">
        <v>2.9257</v>
      </c>
      <c r="AH89" s="6">
        <v>255</v>
      </c>
      <c r="AJ89" s="17">
        <v>87</v>
      </c>
      <c r="AK89" s="6">
        <v>5.7615999999999996</v>
      </c>
      <c r="AL89" s="6">
        <v>0.20039999999999999</v>
      </c>
      <c r="AM89" s="6">
        <v>2.9257</v>
      </c>
      <c r="AN89" s="6">
        <v>255</v>
      </c>
      <c r="AQ89" s="17">
        <v>87</v>
      </c>
      <c r="AR89" s="6">
        <v>1.6139399999999999</v>
      </c>
      <c r="AS89" s="6">
        <v>0.86219999999999997</v>
      </c>
      <c r="AT89" s="6">
        <v>0.81950000000000001</v>
      </c>
      <c r="AU89" s="6">
        <v>255</v>
      </c>
      <c r="AW89" s="17">
        <v>87</v>
      </c>
      <c r="AX89" s="6">
        <v>0.85114000000000001</v>
      </c>
      <c r="AY89" s="6">
        <v>0.86219999999999997</v>
      </c>
      <c r="AZ89" s="6">
        <v>0.81950000000000001</v>
      </c>
      <c r="BA89" s="6">
        <v>255</v>
      </c>
      <c r="BN89" s="17">
        <v>87</v>
      </c>
      <c r="BO89" s="6">
        <v>49.839428570000003</v>
      </c>
      <c r="BP89" s="6">
        <v>49.418371139999998</v>
      </c>
      <c r="BQ89" s="6">
        <v>0.42105743000000001</v>
      </c>
    </row>
    <row r="90" spans="1:69" x14ac:dyDescent="0.25">
      <c r="A90" t="s">
        <v>7</v>
      </c>
      <c r="B90" s="11">
        <v>2</v>
      </c>
      <c r="C90" s="11">
        <v>11</v>
      </c>
      <c r="D90" s="11">
        <v>7</v>
      </c>
      <c r="E90" s="11">
        <v>25</v>
      </c>
      <c r="F90" s="12">
        <v>55.7</v>
      </c>
      <c r="G90">
        <v>44.705476510067108</v>
      </c>
      <c r="H90" t="s">
        <v>12</v>
      </c>
      <c r="I90" t="s">
        <v>12</v>
      </c>
      <c r="AD90" s="17">
        <v>88</v>
      </c>
      <c r="AE90" s="6">
        <v>3.0466700000000002</v>
      </c>
      <c r="AF90" s="6">
        <v>0.22359999999999999</v>
      </c>
      <c r="AG90" s="6">
        <v>2.9336000000000002</v>
      </c>
      <c r="AH90" s="6">
        <v>255</v>
      </c>
      <c r="AJ90" s="17">
        <v>88</v>
      </c>
      <c r="AK90" s="6">
        <v>5.7771600000000003</v>
      </c>
      <c r="AL90" s="6">
        <v>0.22359999999999999</v>
      </c>
      <c r="AM90" s="6">
        <v>2.9336000000000002</v>
      </c>
      <c r="AN90" s="6">
        <v>255</v>
      </c>
      <c r="AQ90" s="17">
        <v>88</v>
      </c>
      <c r="AR90" s="6">
        <v>1.6152500000000001</v>
      </c>
      <c r="AS90" s="6">
        <v>1.3264</v>
      </c>
      <c r="AT90" s="6">
        <v>0.82020000000000004</v>
      </c>
      <c r="AU90" s="6">
        <v>255</v>
      </c>
      <c r="AW90" s="17">
        <v>88</v>
      </c>
      <c r="AX90" s="6">
        <v>0.85182000000000002</v>
      </c>
      <c r="AY90" s="6">
        <v>1.3264</v>
      </c>
      <c r="AZ90" s="6">
        <v>0.82020000000000004</v>
      </c>
      <c r="BA90" s="6">
        <v>255</v>
      </c>
      <c r="BN90" s="17">
        <v>88</v>
      </c>
      <c r="BO90" s="6">
        <v>58.703488020000002</v>
      </c>
      <c r="BP90" s="6">
        <v>51.837063649999997</v>
      </c>
      <c r="BQ90" s="6">
        <v>6.8664243699999998</v>
      </c>
    </row>
    <row r="91" spans="1:69" x14ac:dyDescent="0.25">
      <c r="A91" t="s">
        <v>7</v>
      </c>
      <c r="B91" s="11">
        <v>2</v>
      </c>
      <c r="C91" s="11">
        <v>12</v>
      </c>
      <c r="D91" s="11">
        <v>7</v>
      </c>
      <c r="E91" s="11">
        <v>16</v>
      </c>
      <c r="F91" s="12">
        <v>56.9</v>
      </c>
      <c r="G91">
        <v>54.934464046021084</v>
      </c>
      <c r="H91" t="s">
        <v>12</v>
      </c>
      <c r="I91" t="s">
        <v>12</v>
      </c>
      <c r="AD91" s="17">
        <v>89</v>
      </c>
      <c r="AE91" s="6">
        <v>3.0587300000000002</v>
      </c>
      <c r="AF91" s="19">
        <v>-0.75880000000000003</v>
      </c>
      <c r="AG91" s="6">
        <v>2.9451999999999998</v>
      </c>
      <c r="AH91" s="6">
        <v>255</v>
      </c>
      <c r="AJ91" s="17">
        <v>89</v>
      </c>
      <c r="AK91" s="6">
        <v>5.80002</v>
      </c>
      <c r="AL91" s="19">
        <v>-0.75880000000000003</v>
      </c>
      <c r="AM91" s="6">
        <v>2.9451999999999998</v>
      </c>
      <c r="AN91" s="6">
        <v>255</v>
      </c>
      <c r="AQ91" s="17">
        <v>89</v>
      </c>
      <c r="AR91" s="6">
        <v>1.6191800000000001</v>
      </c>
      <c r="AS91" s="6">
        <v>0.21190000000000001</v>
      </c>
      <c r="AT91" s="6">
        <v>0.82220000000000004</v>
      </c>
      <c r="AU91" s="6">
        <v>255</v>
      </c>
      <c r="AW91" s="17">
        <v>89</v>
      </c>
      <c r="AX91" s="6">
        <v>0.85389999999999999</v>
      </c>
      <c r="AY91" s="6">
        <v>0.21190000000000001</v>
      </c>
      <c r="AZ91" s="6">
        <v>0.82220000000000004</v>
      </c>
      <c r="BA91" s="6">
        <v>255</v>
      </c>
      <c r="BN91" s="17">
        <v>89</v>
      </c>
      <c r="BO91" s="6">
        <v>44.705476509999997</v>
      </c>
      <c r="BP91" s="6">
        <v>42.417195749999998</v>
      </c>
      <c r="BQ91" s="6">
        <v>2.2882807600000001</v>
      </c>
    </row>
    <row r="92" spans="1:69" x14ac:dyDescent="0.25">
      <c r="A92" t="s">
        <v>7</v>
      </c>
      <c r="B92" s="11">
        <v>2</v>
      </c>
      <c r="C92" s="11">
        <v>13</v>
      </c>
      <c r="D92" s="11">
        <v>7</v>
      </c>
      <c r="E92" s="11">
        <v>35</v>
      </c>
      <c r="F92" s="12">
        <v>55.3</v>
      </c>
      <c r="G92">
        <v>40.075731543624158</v>
      </c>
      <c r="H92" t="s">
        <v>12</v>
      </c>
      <c r="I92" t="s">
        <v>12</v>
      </c>
      <c r="AD92" s="17">
        <v>90</v>
      </c>
      <c r="AE92" s="6">
        <v>3.0501</v>
      </c>
      <c r="AF92" s="6">
        <v>6.8310000000000004</v>
      </c>
      <c r="AG92" s="6">
        <v>2.9369000000000001</v>
      </c>
      <c r="AH92" s="6">
        <v>255</v>
      </c>
      <c r="AJ92" s="17">
        <v>90</v>
      </c>
      <c r="AK92" s="6">
        <v>5.7836600000000002</v>
      </c>
      <c r="AL92" s="6">
        <v>6.8310000000000004</v>
      </c>
      <c r="AM92" s="6">
        <v>2.9369000000000001</v>
      </c>
      <c r="AN92" s="6">
        <v>255</v>
      </c>
      <c r="AQ92" s="17">
        <v>90</v>
      </c>
      <c r="AR92" s="6">
        <v>1.6249400000000001</v>
      </c>
      <c r="AS92" s="6">
        <v>1.5873999999999999</v>
      </c>
      <c r="AT92" s="6">
        <v>0.82509999999999994</v>
      </c>
      <c r="AU92" s="6">
        <v>255</v>
      </c>
      <c r="AW92" s="17">
        <v>90</v>
      </c>
      <c r="AX92" s="6">
        <v>0.85694000000000004</v>
      </c>
      <c r="AY92" s="6">
        <v>1.5873999999999999</v>
      </c>
      <c r="AZ92" s="6">
        <v>0.82509999999999994</v>
      </c>
      <c r="BA92" s="6">
        <v>255</v>
      </c>
      <c r="BN92" s="17">
        <v>90</v>
      </c>
      <c r="BO92" s="6">
        <v>54.934464050000003</v>
      </c>
      <c r="BP92" s="6">
        <v>55.829261099999997</v>
      </c>
      <c r="BQ92" s="19">
        <v>-0.89479704999999998</v>
      </c>
    </row>
    <row r="93" spans="1:69" x14ac:dyDescent="0.25">
      <c r="A93" t="s">
        <v>7</v>
      </c>
      <c r="B93" s="11">
        <v>2</v>
      </c>
      <c r="C93" s="11">
        <v>13</v>
      </c>
      <c r="D93" s="11">
        <v>8</v>
      </c>
      <c r="E93" s="11">
        <v>8</v>
      </c>
      <c r="F93" s="12">
        <v>54.1</v>
      </c>
      <c r="G93">
        <v>53.385188071840055</v>
      </c>
      <c r="H93" t="s">
        <v>12</v>
      </c>
      <c r="I93" t="s">
        <v>12</v>
      </c>
      <c r="AD93" s="17">
        <v>91</v>
      </c>
      <c r="AE93" s="6">
        <v>3.0376699999999999</v>
      </c>
      <c r="AF93" s="6">
        <v>0.79059999999999997</v>
      </c>
      <c r="AG93" s="6">
        <v>2.9249000000000001</v>
      </c>
      <c r="AH93" s="6">
        <v>255</v>
      </c>
      <c r="AJ93" s="17">
        <v>91</v>
      </c>
      <c r="AK93" s="6">
        <v>5.7600899999999999</v>
      </c>
      <c r="AL93" s="6">
        <v>0.79059999999999997</v>
      </c>
      <c r="AM93" s="6">
        <v>2.9249000000000001</v>
      </c>
      <c r="AN93" s="6">
        <v>255</v>
      </c>
      <c r="AQ93" s="17">
        <v>91</v>
      </c>
      <c r="AR93" s="6">
        <v>1.61399</v>
      </c>
      <c r="AS93" s="6">
        <v>0.218</v>
      </c>
      <c r="AT93" s="6">
        <v>0.8196</v>
      </c>
      <c r="AU93" s="6">
        <v>255</v>
      </c>
      <c r="AW93" s="17">
        <v>91</v>
      </c>
      <c r="AX93" s="6">
        <v>0.85116000000000003</v>
      </c>
      <c r="AY93" s="6">
        <v>0.218</v>
      </c>
      <c r="AZ93" s="6">
        <v>0.8196</v>
      </c>
      <c r="BA93" s="6">
        <v>255</v>
      </c>
      <c r="BN93" s="17">
        <v>91</v>
      </c>
      <c r="BO93" s="6">
        <v>40.07573154</v>
      </c>
      <c r="BP93" s="6">
        <v>42.904016890000001</v>
      </c>
      <c r="BQ93" s="19">
        <v>-2.8282853499999998</v>
      </c>
    </row>
    <row r="94" spans="1:69" x14ac:dyDescent="0.25">
      <c r="A94" t="s">
        <v>7</v>
      </c>
      <c r="B94" s="11">
        <v>2</v>
      </c>
      <c r="C94" s="11">
        <v>12</v>
      </c>
      <c r="D94" s="11">
        <v>8</v>
      </c>
      <c r="E94" s="11">
        <v>18</v>
      </c>
      <c r="F94" s="12">
        <v>53.2</v>
      </c>
      <c r="G94">
        <v>48.588981459069565</v>
      </c>
      <c r="H94" t="s">
        <v>12</v>
      </c>
      <c r="I94" t="s">
        <v>12</v>
      </c>
      <c r="AD94" s="17">
        <v>92</v>
      </c>
      <c r="AE94" s="6">
        <v>3.0458099999999999</v>
      </c>
      <c r="AF94" s="6">
        <v>9.5543999999999993</v>
      </c>
      <c r="AG94" s="6">
        <v>2.9327999999999999</v>
      </c>
      <c r="AH94" s="6">
        <v>255</v>
      </c>
      <c r="AJ94" s="17">
        <v>92</v>
      </c>
      <c r="AK94" s="6">
        <v>5.7755299999999998</v>
      </c>
      <c r="AL94" s="6">
        <v>9.5543999999999993</v>
      </c>
      <c r="AM94" s="6">
        <v>2.9327999999999999</v>
      </c>
      <c r="AN94" s="6">
        <v>255</v>
      </c>
      <c r="AQ94" s="17">
        <v>92</v>
      </c>
      <c r="AR94" s="6">
        <v>1.6226799999999999</v>
      </c>
      <c r="AS94" s="6">
        <v>2.7094</v>
      </c>
      <c r="AT94" s="6">
        <v>0.82399999999999995</v>
      </c>
      <c r="AU94" s="6">
        <v>255</v>
      </c>
      <c r="AW94" s="17">
        <v>92</v>
      </c>
      <c r="AX94" s="6">
        <v>0.85573999999999995</v>
      </c>
      <c r="AY94" s="6">
        <v>2.7094</v>
      </c>
      <c r="AZ94" s="6">
        <v>0.82399999999999995</v>
      </c>
      <c r="BA94" s="6">
        <v>255</v>
      </c>
      <c r="BN94" s="17">
        <v>92</v>
      </c>
      <c r="BO94" s="6">
        <v>53.385188069999998</v>
      </c>
      <c r="BP94" s="6">
        <v>49.183770719999998</v>
      </c>
      <c r="BQ94" s="6">
        <v>4.2014173499999998</v>
      </c>
    </row>
    <row r="95" spans="1:69" x14ac:dyDescent="0.25">
      <c r="A95" t="s">
        <v>7</v>
      </c>
      <c r="B95" s="11">
        <v>2</v>
      </c>
      <c r="C95" s="11">
        <v>11</v>
      </c>
      <c r="D95" s="11">
        <v>8</v>
      </c>
      <c r="E95" s="11">
        <v>33</v>
      </c>
      <c r="F95" s="12">
        <v>54.1</v>
      </c>
      <c r="G95">
        <v>53.647676816575498</v>
      </c>
      <c r="H95" t="s">
        <v>12</v>
      </c>
      <c r="I95" t="s">
        <v>12</v>
      </c>
      <c r="AD95" s="17">
        <v>93</v>
      </c>
      <c r="AE95" s="6">
        <v>3.0309900000000001</v>
      </c>
      <c r="AF95" s="6">
        <v>4.1241000000000003</v>
      </c>
      <c r="AG95" s="6">
        <v>2.9184999999999999</v>
      </c>
      <c r="AH95" s="6">
        <v>255</v>
      </c>
      <c r="AJ95" s="17">
        <v>93</v>
      </c>
      <c r="AK95" s="6">
        <v>5.74742</v>
      </c>
      <c r="AL95" s="6">
        <v>4.1241000000000003</v>
      </c>
      <c r="AM95" s="6">
        <v>2.9184999999999999</v>
      </c>
      <c r="AN95" s="6">
        <v>255</v>
      </c>
      <c r="AQ95" s="17">
        <v>93</v>
      </c>
      <c r="AR95" s="6">
        <v>1.61178</v>
      </c>
      <c r="AS95" s="6">
        <v>1.3688</v>
      </c>
      <c r="AT95" s="6">
        <v>0.81840000000000002</v>
      </c>
      <c r="AU95" s="6">
        <v>255</v>
      </c>
      <c r="AW95" s="17">
        <v>93</v>
      </c>
      <c r="AX95" s="6">
        <v>0.85</v>
      </c>
      <c r="AY95" s="6">
        <v>1.3688</v>
      </c>
      <c r="AZ95" s="6">
        <v>0.81840000000000002</v>
      </c>
      <c r="BA95" s="6">
        <v>255</v>
      </c>
      <c r="BN95" s="17">
        <v>93</v>
      </c>
      <c r="BO95" s="6">
        <v>48.588981459999999</v>
      </c>
      <c r="BP95" s="6">
        <v>41.167104449999997</v>
      </c>
      <c r="BQ95" s="6">
        <v>7.4218770100000002</v>
      </c>
    </row>
    <row r="96" spans="1:69" x14ac:dyDescent="0.25">
      <c r="A96" t="s">
        <v>7</v>
      </c>
      <c r="B96" s="11">
        <v>2</v>
      </c>
      <c r="C96" s="11">
        <v>10</v>
      </c>
      <c r="D96" s="11">
        <v>8</v>
      </c>
      <c r="E96" s="11">
        <v>23</v>
      </c>
      <c r="F96" s="12">
        <v>56.2</v>
      </c>
      <c r="G96">
        <v>55.562593793871315</v>
      </c>
      <c r="H96" t="s">
        <v>12</v>
      </c>
      <c r="I96" t="s">
        <v>12</v>
      </c>
      <c r="AD96" s="17">
        <v>94</v>
      </c>
      <c r="AE96" s="6">
        <v>3.0550999999999999</v>
      </c>
      <c r="AF96" s="6">
        <v>1.8638999999999999</v>
      </c>
      <c r="AG96" s="6">
        <v>2.9417</v>
      </c>
      <c r="AH96" s="6">
        <v>255</v>
      </c>
      <c r="AJ96" s="17">
        <v>94</v>
      </c>
      <c r="AK96" s="6">
        <v>5.7931499999999998</v>
      </c>
      <c r="AL96" s="6">
        <v>1.8638999999999999</v>
      </c>
      <c r="AM96" s="6">
        <v>2.9417</v>
      </c>
      <c r="AN96" s="6">
        <v>255</v>
      </c>
      <c r="AQ96" s="17">
        <v>94</v>
      </c>
      <c r="AR96" s="6">
        <v>1.6201099999999999</v>
      </c>
      <c r="AS96" s="6">
        <v>1.5389999999999999</v>
      </c>
      <c r="AT96" s="6">
        <v>0.82269999999999999</v>
      </c>
      <c r="AU96" s="6">
        <v>255</v>
      </c>
      <c r="AW96" s="17">
        <v>94</v>
      </c>
      <c r="AX96" s="6">
        <v>0.85438999999999998</v>
      </c>
      <c r="AY96" s="6">
        <v>1.5389999999999999</v>
      </c>
      <c r="AZ96" s="6">
        <v>0.82269999999999999</v>
      </c>
      <c r="BA96" s="6">
        <v>255</v>
      </c>
      <c r="BN96" s="17">
        <v>94</v>
      </c>
      <c r="BO96" s="6">
        <v>53.647676820000001</v>
      </c>
      <c r="BP96" s="6">
        <v>50.352096160000002</v>
      </c>
      <c r="BQ96" s="6">
        <v>3.2955806600000002</v>
      </c>
    </row>
    <row r="97" spans="1:69" x14ac:dyDescent="0.25">
      <c r="A97" t="s">
        <v>7</v>
      </c>
      <c r="B97" s="11">
        <v>2</v>
      </c>
      <c r="C97" s="11">
        <v>9</v>
      </c>
      <c r="D97" s="11">
        <v>8</v>
      </c>
      <c r="E97" s="11">
        <v>49</v>
      </c>
      <c r="F97" s="12">
        <v>49.7</v>
      </c>
      <c r="G97">
        <v>39.945543883429337</v>
      </c>
      <c r="H97" t="s">
        <v>12</v>
      </c>
      <c r="I97" t="s">
        <v>12</v>
      </c>
      <c r="AD97" s="17">
        <v>95</v>
      </c>
      <c r="AE97" s="6">
        <v>3.0325099999999998</v>
      </c>
      <c r="AF97" s="6">
        <v>3.1143999999999998</v>
      </c>
      <c r="AG97" s="6">
        <v>2.92</v>
      </c>
      <c r="AH97" s="6">
        <v>255</v>
      </c>
      <c r="AJ97" s="17">
        <v>95</v>
      </c>
      <c r="AK97" s="6">
        <v>5.7503099999999998</v>
      </c>
      <c r="AL97" s="6">
        <v>3.1143999999999998</v>
      </c>
      <c r="AM97" s="6">
        <v>2.92</v>
      </c>
      <c r="AN97" s="6">
        <v>255</v>
      </c>
      <c r="AQ97" s="17">
        <v>95</v>
      </c>
      <c r="AR97" s="6">
        <v>1.6182000000000001</v>
      </c>
      <c r="AS97" s="6">
        <v>1.1254999999999999</v>
      </c>
      <c r="AT97" s="6">
        <v>0.82169999999999999</v>
      </c>
      <c r="AU97" s="6">
        <v>255</v>
      </c>
      <c r="AW97" s="17">
        <v>95</v>
      </c>
      <c r="AX97" s="6">
        <v>0.85338000000000003</v>
      </c>
      <c r="AY97" s="6">
        <v>1.1254999999999999</v>
      </c>
      <c r="AZ97" s="6">
        <v>0.82169999999999999</v>
      </c>
      <c r="BA97" s="6">
        <v>255</v>
      </c>
      <c r="BN97" s="17">
        <v>95</v>
      </c>
      <c r="BO97" s="6">
        <v>55.562593790000001</v>
      </c>
      <c r="BP97" s="6">
        <v>51.761183209999999</v>
      </c>
      <c r="BQ97" s="6">
        <v>3.8014105800000002</v>
      </c>
    </row>
    <row r="98" spans="1:69" x14ac:dyDescent="0.25">
      <c r="A98" t="s">
        <v>7</v>
      </c>
      <c r="B98" s="11">
        <v>2</v>
      </c>
      <c r="C98" s="11">
        <v>8</v>
      </c>
      <c r="D98" s="11">
        <v>8</v>
      </c>
      <c r="E98" s="11">
        <v>32</v>
      </c>
      <c r="F98" s="12">
        <v>54.1</v>
      </c>
      <c r="G98">
        <v>51.670696132061771</v>
      </c>
      <c r="H98" t="s">
        <v>12</v>
      </c>
      <c r="I98" t="s">
        <v>12</v>
      </c>
      <c r="AD98" s="17">
        <v>96</v>
      </c>
      <c r="AE98" s="6">
        <v>3.0503499999999999</v>
      </c>
      <c r="AF98" s="6">
        <v>2.8191000000000002</v>
      </c>
      <c r="AG98" s="6">
        <v>2.9371</v>
      </c>
      <c r="AH98" s="6">
        <v>255</v>
      </c>
      <c r="AJ98" s="17">
        <v>96</v>
      </c>
      <c r="AK98" s="6">
        <v>5.7841300000000002</v>
      </c>
      <c r="AL98" s="6">
        <v>2.8191000000000002</v>
      </c>
      <c r="AM98" s="6">
        <v>2.9371</v>
      </c>
      <c r="AN98" s="6">
        <v>255</v>
      </c>
      <c r="AQ98" s="17">
        <v>96</v>
      </c>
      <c r="AR98" s="6">
        <v>1.62601</v>
      </c>
      <c r="AS98" s="19">
        <v>-9.4149999999999998E-2</v>
      </c>
      <c r="AT98" s="6">
        <v>0.82569999999999999</v>
      </c>
      <c r="AU98" s="6">
        <v>255</v>
      </c>
      <c r="AW98" s="17">
        <v>96</v>
      </c>
      <c r="AX98" s="6">
        <v>0.85750000000000004</v>
      </c>
      <c r="AY98" s="19">
        <v>-9.4149999999999998E-2</v>
      </c>
      <c r="AZ98" s="6">
        <v>0.82569999999999999</v>
      </c>
      <c r="BA98" s="6">
        <v>255</v>
      </c>
      <c r="BN98" s="17">
        <v>96</v>
      </c>
      <c r="BO98" s="6">
        <v>39.945543880000002</v>
      </c>
      <c r="BP98" s="6">
        <v>41.718673520000003</v>
      </c>
      <c r="BQ98" s="19">
        <v>-1.7731296400000001</v>
      </c>
    </row>
    <row r="99" spans="1:69" x14ac:dyDescent="0.25">
      <c r="A99" t="s">
        <v>7</v>
      </c>
      <c r="B99" s="11">
        <v>2</v>
      </c>
      <c r="C99" s="11">
        <v>7</v>
      </c>
      <c r="D99" s="11">
        <v>8</v>
      </c>
      <c r="E99" s="11">
        <v>31</v>
      </c>
      <c r="F99" s="12">
        <v>52.1</v>
      </c>
      <c r="G99">
        <v>44.542763227961466</v>
      </c>
      <c r="H99" t="s">
        <v>12</v>
      </c>
      <c r="I99" t="s">
        <v>12</v>
      </c>
      <c r="AD99" s="17">
        <v>97</v>
      </c>
      <c r="AE99" s="6">
        <v>3.04209</v>
      </c>
      <c r="AF99" s="6">
        <v>8.2573000000000008</v>
      </c>
      <c r="AG99" s="6">
        <v>2.9291999999999998</v>
      </c>
      <c r="AH99" s="6">
        <v>255</v>
      </c>
      <c r="AJ99" s="17">
        <v>97</v>
      </c>
      <c r="AK99" s="6">
        <v>5.7684699999999998</v>
      </c>
      <c r="AL99" s="6">
        <v>8.2573000000000008</v>
      </c>
      <c r="AM99" s="6">
        <v>2.9291999999999998</v>
      </c>
      <c r="AN99" s="6">
        <v>255</v>
      </c>
      <c r="AQ99" s="17">
        <v>97</v>
      </c>
      <c r="AR99" s="6">
        <v>1.61917</v>
      </c>
      <c r="AS99" s="6">
        <v>2.8431000000000002</v>
      </c>
      <c r="AT99" s="6">
        <v>0.82220000000000004</v>
      </c>
      <c r="AU99" s="6">
        <v>255</v>
      </c>
      <c r="AW99" s="17">
        <v>97</v>
      </c>
      <c r="AX99" s="6">
        <v>0.85389000000000004</v>
      </c>
      <c r="AY99" s="6">
        <v>2.8431000000000002</v>
      </c>
      <c r="AZ99" s="6">
        <v>0.82220000000000004</v>
      </c>
      <c r="BA99" s="6">
        <v>255</v>
      </c>
      <c r="BN99" s="17">
        <v>97</v>
      </c>
      <c r="BO99" s="6">
        <v>51.670696130000003</v>
      </c>
      <c r="BP99" s="6">
        <v>51.186414790000001</v>
      </c>
      <c r="BQ99" s="6">
        <v>0.48428134</v>
      </c>
    </row>
    <row r="100" spans="1:69" x14ac:dyDescent="0.25">
      <c r="A100" t="s">
        <v>7</v>
      </c>
      <c r="B100" s="11">
        <v>2</v>
      </c>
      <c r="C100" s="11">
        <v>6</v>
      </c>
      <c r="D100" s="11">
        <v>8</v>
      </c>
      <c r="E100" s="11">
        <v>41</v>
      </c>
      <c r="F100" s="12">
        <v>49.9</v>
      </c>
      <c r="G100">
        <v>37.028885123686884</v>
      </c>
      <c r="H100" t="s">
        <v>12</v>
      </c>
      <c r="I100" t="s">
        <v>12</v>
      </c>
      <c r="AD100" s="17">
        <v>98</v>
      </c>
      <c r="AE100" s="6">
        <v>3.0536500000000002</v>
      </c>
      <c r="AF100" s="6">
        <v>5.1115000000000004</v>
      </c>
      <c r="AG100" s="6">
        <v>2.9403000000000001</v>
      </c>
      <c r="AH100" s="6">
        <v>255</v>
      </c>
      <c r="AJ100" s="17">
        <v>98</v>
      </c>
      <c r="AK100" s="6">
        <v>5.7903900000000004</v>
      </c>
      <c r="AL100" s="6">
        <v>5.1115000000000004</v>
      </c>
      <c r="AM100" s="6">
        <v>2.9403000000000001</v>
      </c>
      <c r="AN100" s="6">
        <v>255</v>
      </c>
      <c r="AQ100" s="17">
        <v>98</v>
      </c>
      <c r="AR100" s="6">
        <v>1.61402</v>
      </c>
      <c r="AS100" s="6">
        <v>2.6968000000000001</v>
      </c>
      <c r="AT100" s="6">
        <v>0.8196</v>
      </c>
      <c r="AU100" s="6">
        <v>255</v>
      </c>
      <c r="AW100" s="17">
        <v>98</v>
      </c>
      <c r="AX100" s="6">
        <v>0.85118000000000005</v>
      </c>
      <c r="AY100" s="6">
        <v>2.6968000000000001</v>
      </c>
      <c r="AZ100" s="6">
        <v>0.8196</v>
      </c>
      <c r="BA100" s="6">
        <v>255</v>
      </c>
      <c r="BN100" s="17">
        <v>98</v>
      </c>
      <c r="BO100" s="6">
        <v>44.542763229999998</v>
      </c>
      <c r="BP100" s="6">
        <v>46.588719249999997</v>
      </c>
      <c r="BQ100" s="19">
        <v>-2.0459560200000002</v>
      </c>
    </row>
    <row r="101" spans="1:69" x14ac:dyDescent="0.25">
      <c r="A101" t="s">
        <v>7</v>
      </c>
      <c r="B101" s="11">
        <v>2</v>
      </c>
      <c r="C101" s="11">
        <v>5</v>
      </c>
      <c r="D101" s="11">
        <v>8</v>
      </c>
      <c r="E101" s="11">
        <v>42</v>
      </c>
      <c r="F101" s="12">
        <v>55.2</v>
      </c>
      <c r="G101">
        <v>47.889027448322608</v>
      </c>
      <c r="H101" t="s">
        <v>12</v>
      </c>
      <c r="I101" t="s">
        <v>12</v>
      </c>
      <c r="AD101" s="17">
        <v>99</v>
      </c>
      <c r="AE101" s="6">
        <v>3.0407999999999999</v>
      </c>
      <c r="AF101" s="6">
        <v>3.3567999999999998</v>
      </c>
      <c r="AG101" s="6">
        <v>2.9279000000000002</v>
      </c>
      <c r="AH101" s="6">
        <v>255</v>
      </c>
      <c r="AJ101" s="17">
        <v>99</v>
      </c>
      <c r="AK101" s="6">
        <v>5.7660200000000001</v>
      </c>
      <c r="AL101" s="6">
        <v>3.3567999999999998</v>
      </c>
      <c r="AM101" s="6">
        <v>2.9279000000000002</v>
      </c>
      <c r="AN101" s="6">
        <v>255</v>
      </c>
      <c r="AQ101" s="17">
        <v>99</v>
      </c>
      <c r="AR101" s="6">
        <v>1.6164000000000001</v>
      </c>
      <c r="AS101" s="6">
        <v>2.2393999999999998</v>
      </c>
      <c r="AT101" s="6">
        <v>0.82079999999999997</v>
      </c>
      <c r="AU101" s="6">
        <v>255</v>
      </c>
      <c r="AW101" s="17">
        <v>99</v>
      </c>
      <c r="AX101" s="6">
        <v>0.85243000000000002</v>
      </c>
      <c r="AY101" s="6">
        <v>2.2393999999999998</v>
      </c>
      <c r="AZ101" s="6">
        <v>0.82079999999999997</v>
      </c>
      <c r="BA101" s="6">
        <v>255</v>
      </c>
      <c r="BN101" s="17">
        <v>99</v>
      </c>
      <c r="BO101" s="6">
        <v>37.028885119999998</v>
      </c>
      <c r="BP101" s="6">
        <v>36.411590990000001</v>
      </c>
      <c r="BQ101" s="6">
        <v>0.61729413</v>
      </c>
    </row>
    <row r="102" spans="1:69" x14ac:dyDescent="0.25">
      <c r="A102" t="s">
        <v>7</v>
      </c>
      <c r="B102" s="11">
        <v>2</v>
      </c>
      <c r="C102" s="11">
        <v>4</v>
      </c>
      <c r="D102" s="11">
        <v>8</v>
      </c>
      <c r="E102" s="11">
        <v>57</v>
      </c>
      <c r="F102" s="12">
        <v>54.5</v>
      </c>
      <c r="G102">
        <v>45.137232899259331</v>
      </c>
      <c r="H102" t="s">
        <v>12</v>
      </c>
      <c r="I102" t="s">
        <v>12</v>
      </c>
      <c r="AD102" s="17">
        <v>100</v>
      </c>
      <c r="AE102" s="6">
        <v>3.0665399999999998</v>
      </c>
      <c r="AF102" s="6">
        <v>7.0781000000000001</v>
      </c>
      <c r="AG102" s="6">
        <v>2.9527000000000001</v>
      </c>
      <c r="AH102" s="6">
        <v>255</v>
      </c>
      <c r="AJ102" s="17">
        <v>100</v>
      </c>
      <c r="AK102" s="6">
        <v>5.8148299999999997</v>
      </c>
      <c r="AL102" s="6">
        <v>7.0781000000000001</v>
      </c>
      <c r="AM102" s="6">
        <v>2.9527000000000001</v>
      </c>
      <c r="AN102" s="6">
        <v>255</v>
      </c>
      <c r="AQ102" s="17">
        <v>100</v>
      </c>
      <c r="AR102" s="6">
        <v>1.62781</v>
      </c>
      <c r="AS102" s="6">
        <v>1.5555000000000001</v>
      </c>
      <c r="AT102" s="6">
        <v>0.8266</v>
      </c>
      <c r="AU102" s="6">
        <v>255</v>
      </c>
      <c r="AW102" s="17">
        <v>100</v>
      </c>
      <c r="AX102" s="6">
        <v>0.85845000000000005</v>
      </c>
      <c r="AY102" s="6">
        <v>1.5555000000000001</v>
      </c>
      <c r="AZ102" s="6">
        <v>0.8266</v>
      </c>
      <c r="BA102" s="6">
        <v>255</v>
      </c>
      <c r="BN102" s="17">
        <v>100</v>
      </c>
      <c r="BO102" s="6">
        <v>47.88902745</v>
      </c>
      <c r="BP102" s="6">
        <v>51.187710209999999</v>
      </c>
      <c r="BQ102" s="19">
        <v>-3.2986827600000002</v>
      </c>
    </row>
    <row r="103" spans="1:69" x14ac:dyDescent="0.25">
      <c r="A103" t="s">
        <v>7</v>
      </c>
      <c r="B103" s="11">
        <v>2</v>
      </c>
      <c r="C103" s="11">
        <v>3</v>
      </c>
      <c r="D103" s="11">
        <v>8</v>
      </c>
      <c r="E103" s="11">
        <v>27</v>
      </c>
      <c r="F103" s="12">
        <v>52.7</v>
      </c>
      <c r="G103">
        <v>49.259892530377108</v>
      </c>
      <c r="H103" t="s">
        <v>12</v>
      </c>
      <c r="I103" t="s">
        <v>12</v>
      </c>
      <c r="AD103" s="17">
        <v>101</v>
      </c>
      <c r="AE103" s="6">
        <v>3.0534300000000001</v>
      </c>
      <c r="AF103" s="6">
        <v>15.582100000000001</v>
      </c>
      <c r="AG103" s="6">
        <v>2.9401000000000002</v>
      </c>
      <c r="AH103" s="6">
        <v>255</v>
      </c>
      <c r="AJ103" s="17">
        <v>101</v>
      </c>
      <c r="AK103" s="6">
        <v>5.7899799999999999</v>
      </c>
      <c r="AL103" s="6">
        <v>15.582100000000001</v>
      </c>
      <c r="AM103" s="6">
        <v>2.9401000000000002</v>
      </c>
      <c r="AN103" s="6">
        <v>255</v>
      </c>
      <c r="AQ103" s="17">
        <v>101</v>
      </c>
      <c r="AR103" s="6">
        <v>1.6251800000000001</v>
      </c>
      <c r="AS103" s="6">
        <v>4.4641000000000002</v>
      </c>
      <c r="AT103" s="6">
        <v>0.82530000000000003</v>
      </c>
      <c r="AU103" s="6">
        <v>255</v>
      </c>
      <c r="AW103" s="17">
        <v>101</v>
      </c>
      <c r="AX103" s="6">
        <v>0.85706000000000004</v>
      </c>
      <c r="AY103" s="6">
        <v>4.4641000000000002</v>
      </c>
      <c r="AZ103" s="6">
        <v>0.82530000000000003</v>
      </c>
      <c r="BA103" s="6">
        <v>255</v>
      </c>
      <c r="BN103" s="17">
        <v>101</v>
      </c>
      <c r="BO103" s="6">
        <v>45.137232900000001</v>
      </c>
      <c r="BP103" s="6">
        <v>43.393715149999998</v>
      </c>
      <c r="BQ103" s="6">
        <v>1.7435177500000001</v>
      </c>
    </row>
    <row r="104" spans="1:69" x14ac:dyDescent="0.25">
      <c r="A104" t="s">
        <v>7</v>
      </c>
      <c r="B104" s="11">
        <v>2</v>
      </c>
      <c r="C104" s="11">
        <v>2</v>
      </c>
      <c r="D104" s="11">
        <v>8</v>
      </c>
      <c r="E104" s="11">
        <v>15</v>
      </c>
      <c r="F104" s="12">
        <v>52.9</v>
      </c>
      <c r="G104">
        <v>50.005903083700439</v>
      </c>
      <c r="H104" t="s">
        <v>12</v>
      </c>
      <c r="I104" t="s">
        <v>12</v>
      </c>
      <c r="AD104" s="17">
        <v>102</v>
      </c>
      <c r="AE104" s="6">
        <v>3.06135</v>
      </c>
      <c r="AF104" s="6">
        <v>2.6446000000000001</v>
      </c>
      <c r="AG104" s="6">
        <v>2.9477000000000002</v>
      </c>
      <c r="AH104" s="6">
        <v>255</v>
      </c>
      <c r="AJ104" s="17">
        <v>102</v>
      </c>
      <c r="AK104" s="6">
        <v>5.8049900000000001</v>
      </c>
      <c r="AL104" s="6">
        <v>2.6446000000000001</v>
      </c>
      <c r="AM104" s="6">
        <v>2.9477000000000002</v>
      </c>
      <c r="AN104" s="6">
        <v>255</v>
      </c>
      <c r="AQ104" s="17">
        <v>102</v>
      </c>
      <c r="AR104" s="6">
        <v>1.59405</v>
      </c>
      <c r="AS104" s="6">
        <v>3.7757000000000001</v>
      </c>
      <c r="AT104" s="6">
        <v>0.80940000000000001</v>
      </c>
      <c r="AU104" s="6">
        <v>255</v>
      </c>
      <c r="AW104" s="17">
        <v>102</v>
      </c>
      <c r="AX104" s="6">
        <v>0.84065000000000001</v>
      </c>
      <c r="AY104" s="6">
        <v>3.7757000000000001</v>
      </c>
      <c r="AZ104" s="6">
        <v>0.80940000000000001</v>
      </c>
      <c r="BA104" s="6">
        <v>255</v>
      </c>
      <c r="BN104" s="17">
        <v>102</v>
      </c>
      <c r="BO104" s="6">
        <v>49.259892530000002</v>
      </c>
      <c r="BP104" s="6">
        <v>48.1670254</v>
      </c>
      <c r="BQ104" s="6">
        <v>1.0928671299999999</v>
      </c>
    </row>
    <row r="105" spans="1:69" x14ac:dyDescent="0.25">
      <c r="A105" t="s">
        <v>7</v>
      </c>
      <c r="B105" s="11">
        <v>2</v>
      </c>
      <c r="C105" s="11">
        <v>1</v>
      </c>
      <c r="D105" s="11">
        <v>8</v>
      </c>
      <c r="E105" s="11">
        <v>43</v>
      </c>
      <c r="F105" s="12">
        <v>48.6</v>
      </c>
      <c r="G105">
        <v>26.160020332090816</v>
      </c>
      <c r="H105" t="s">
        <v>12</v>
      </c>
      <c r="I105" t="s">
        <v>12</v>
      </c>
      <c r="AD105" s="17">
        <v>103</v>
      </c>
      <c r="AE105" s="6">
        <v>3.04027</v>
      </c>
      <c r="AF105" s="6">
        <v>0.1704</v>
      </c>
      <c r="AG105" s="6">
        <v>2.9274</v>
      </c>
      <c r="AH105" s="6">
        <v>255</v>
      </c>
      <c r="AJ105" s="17">
        <v>103</v>
      </c>
      <c r="AK105" s="6">
        <v>5.7650100000000002</v>
      </c>
      <c r="AL105" s="6">
        <v>0.1704</v>
      </c>
      <c r="AM105" s="6">
        <v>2.9274</v>
      </c>
      <c r="AN105" s="6">
        <v>255</v>
      </c>
      <c r="AQ105" s="17">
        <v>103</v>
      </c>
      <c r="AR105" s="6">
        <v>1.58965</v>
      </c>
      <c r="AS105" s="6">
        <v>2.4354</v>
      </c>
      <c r="AT105" s="6">
        <v>0.80720000000000003</v>
      </c>
      <c r="AU105" s="6">
        <v>255</v>
      </c>
      <c r="AW105" s="17">
        <v>103</v>
      </c>
      <c r="AX105" s="6">
        <v>0.83831999999999995</v>
      </c>
      <c r="AY105" s="6">
        <v>2.4354</v>
      </c>
      <c r="AZ105" s="6">
        <v>0.80720000000000003</v>
      </c>
      <c r="BA105" s="6">
        <v>255</v>
      </c>
      <c r="BN105" s="17">
        <v>103</v>
      </c>
      <c r="BO105" s="6">
        <v>50.005903080000003</v>
      </c>
      <c r="BP105" s="6">
        <v>46.788863800000001</v>
      </c>
      <c r="BQ105" s="6">
        <v>3.2170392799999998</v>
      </c>
    </row>
    <row r="106" spans="1:69" x14ac:dyDescent="0.25">
      <c r="A106" t="s">
        <v>7</v>
      </c>
      <c r="B106" s="11">
        <v>3</v>
      </c>
      <c r="C106" s="11">
        <v>1</v>
      </c>
      <c r="D106" s="11">
        <v>9</v>
      </c>
      <c r="E106" s="11">
        <v>4</v>
      </c>
      <c r="F106" s="12">
        <v>47.6</v>
      </c>
      <c r="G106">
        <v>50.427986792269586</v>
      </c>
      <c r="H106" t="s">
        <v>12</v>
      </c>
      <c r="I106" t="s">
        <v>12</v>
      </c>
      <c r="AD106" s="17">
        <v>104</v>
      </c>
      <c r="AE106" s="6">
        <v>3.0612200000000001</v>
      </c>
      <c r="AF106" s="6">
        <v>6.4111000000000002</v>
      </c>
      <c r="AG106" s="6">
        <v>2.9476</v>
      </c>
      <c r="AH106" s="6">
        <v>255</v>
      </c>
      <c r="AJ106" s="17">
        <v>104</v>
      </c>
      <c r="AK106" s="6">
        <v>5.8047399999999998</v>
      </c>
      <c r="AL106" s="6">
        <v>6.4111000000000002</v>
      </c>
      <c r="AM106" s="6">
        <v>2.9476</v>
      </c>
      <c r="AN106" s="6">
        <v>255</v>
      </c>
      <c r="AQ106" s="17">
        <v>104</v>
      </c>
      <c r="AR106" s="6">
        <v>1.59487</v>
      </c>
      <c r="AS106" s="6">
        <v>1.7302</v>
      </c>
      <c r="AT106" s="6">
        <v>0.80989999999999995</v>
      </c>
      <c r="AU106" s="6">
        <v>255</v>
      </c>
      <c r="AW106" s="17">
        <v>104</v>
      </c>
      <c r="AX106" s="6">
        <v>0.84108000000000005</v>
      </c>
      <c r="AY106" s="6">
        <v>1.7302</v>
      </c>
      <c r="AZ106" s="6">
        <v>0.80989999999999995</v>
      </c>
      <c r="BA106" s="6">
        <v>255</v>
      </c>
      <c r="BN106" s="17">
        <v>104</v>
      </c>
      <c r="BO106" s="6">
        <v>26.160020329999998</v>
      </c>
      <c r="BP106" s="6">
        <v>24.708862239999998</v>
      </c>
      <c r="BQ106" s="6">
        <v>1.4511580900000001</v>
      </c>
    </row>
    <row r="107" spans="1:69" x14ac:dyDescent="0.25">
      <c r="A107" t="s">
        <v>7</v>
      </c>
      <c r="B107" s="11">
        <v>3</v>
      </c>
      <c r="C107" s="11">
        <v>2</v>
      </c>
      <c r="D107" s="11">
        <v>9</v>
      </c>
      <c r="E107" s="11">
        <v>28</v>
      </c>
      <c r="F107" s="12">
        <v>49.4</v>
      </c>
      <c r="G107">
        <v>37.942276391181885</v>
      </c>
      <c r="H107" t="s">
        <v>12</v>
      </c>
      <c r="I107" t="s">
        <v>12</v>
      </c>
      <c r="AD107" s="17">
        <v>105</v>
      </c>
      <c r="AE107" s="6">
        <v>3.0396700000000001</v>
      </c>
      <c r="AF107" s="6">
        <v>8.8446999999999996</v>
      </c>
      <c r="AG107" s="6">
        <v>2.9268999999999998</v>
      </c>
      <c r="AH107" s="6">
        <v>255</v>
      </c>
      <c r="AJ107" s="17">
        <v>105</v>
      </c>
      <c r="AK107" s="6">
        <v>5.7638800000000003</v>
      </c>
      <c r="AL107" s="6">
        <v>8.8446999999999996</v>
      </c>
      <c r="AM107" s="6">
        <v>2.9268999999999998</v>
      </c>
      <c r="AN107" s="6">
        <v>255</v>
      </c>
      <c r="AQ107" s="17">
        <v>105</v>
      </c>
      <c r="AR107" s="6">
        <v>1.58599</v>
      </c>
      <c r="AS107" s="6">
        <v>2.3336999999999999</v>
      </c>
      <c r="AT107" s="6">
        <v>0.8054</v>
      </c>
      <c r="AU107" s="6">
        <v>255</v>
      </c>
      <c r="AW107" s="17">
        <v>105</v>
      </c>
      <c r="AX107" s="6">
        <v>0.83638999999999997</v>
      </c>
      <c r="AY107" s="6">
        <v>2.3336999999999999</v>
      </c>
      <c r="AZ107" s="6">
        <v>0.8054</v>
      </c>
      <c r="BA107" s="6">
        <v>255</v>
      </c>
      <c r="BN107" s="17">
        <v>105</v>
      </c>
      <c r="BO107" s="6">
        <v>50.427986789999999</v>
      </c>
      <c r="BP107" s="6">
        <v>44.960725779999997</v>
      </c>
      <c r="BQ107" s="6">
        <v>5.4672610099999996</v>
      </c>
    </row>
    <row r="108" spans="1:69" x14ac:dyDescent="0.25">
      <c r="A108" t="s">
        <v>7</v>
      </c>
      <c r="B108" s="11">
        <v>3</v>
      </c>
      <c r="C108" s="11">
        <v>3</v>
      </c>
      <c r="D108" s="11">
        <v>9</v>
      </c>
      <c r="E108" s="11">
        <v>21</v>
      </c>
      <c r="F108" s="12">
        <v>52.3</v>
      </c>
      <c r="G108">
        <v>51.338667573079526</v>
      </c>
      <c r="H108" t="s">
        <v>12</v>
      </c>
      <c r="I108" t="s">
        <v>12</v>
      </c>
      <c r="AD108" s="17">
        <v>106</v>
      </c>
      <c r="AE108" s="6">
        <v>3.0389599999999999</v>
      </c>
      <c r="AF108" s="19">
        <v>-4.5867000000000004</v>
      </c>
      <c r="AG108" s="6">
        <v>2.9262000000000001</v>
      </c>
      <c r="AH108" s="6">
        <v>255</v>
      </c>
      <c r="AJ108" s="17">
        <v>106</v>
      </c>
      <c r="AK108" s="6">
        <v>5.7625400000000004</v>
      </c>
      <c r="AL108" s="19">
        <v>-4.5867000000000004</v>
      </c>
      <c r="AM108" s="6">
        <v>2.9262000000000001</v>
      </c>
      <c r="AN108" s="6">
        <v>255</v>
      </c>
      <c r="AQ108" s="17">
        <v>106</v>
      </c>
      <c r="AR108" s="6">
        <v>1.5855600000000001</v>
      </c>
      <c r="AS108" s="6">
        <v>1.4805999999999999</v>
      </c>
      <c r="AT108" s="6">
        <v>0.80510000000000004</v>
      </c>
      <c r="AU108" s="6">
        <v>255</v>
      </c>
      <c r="AW108" s="17">
        <v>106</v>
      </c>
      <c r="AX108" s="6">
        <v>0.83616999999999997</v>
      </c>
      <c r="AY108" s="6">
        <v>1.4805999999999999</v>
      </c>
      <c r="AZ108" s="6">
        <v>0.80510000000000004</v>
      </c>
      <c r="BA108" s="6">
        <v>255</v>
      </c>
      <c r="BN108" s="17">
        <v>106</v>
      </c>
      <c r="BO108" s="6">
        <v>37.942276390000004</v>
      </c>
      <c r="BP108" s="6">
        <v>35.196059120000001</v>
      </c>
      <c r="BQ108" s="6">
        <v>2.7462172699999998</v>
      </c>
    </row>
    <row r="109" spans="1:69" x14ac:dyDescent="0.25">
      <c r="A109" t="s">
        <v>7</v>
      </c>
      <c r="B109" s="11">
        <v>3</v>
      </c>
      <c r="C109" s="11">
        <v>4</v>
      </c>
      <c r="D109" s="11">
        <v>9</v>
      </c>
      <c r="E109" s="11">
        <v>45</v>
      </c>
      <c r="F109" s="12">
        <v>54.9</v>
      </c>
      <c r="G109">
        <v>58.002828008157699</v>
      </c>
      <c r="H109" t="s">
        <v>12</v>
      </c>
      <c r="I109" t="s">
        <v>12</v>
      </c>
      <c r="AD109" s="17">
        <v>107</v>
      </c>
      <c r="AE109" s="6">
        <v>3.05505</v>
      </c>
      <c r="AF109" s="6">
        <v>3.9935999999999998</v>
      </c>
      <c r="AG109" s="6">
        <v>2.9417</v>
      </c>
      <c r="AH109" s="6">
        <v>255</v>
      </c>
      <c r="AJ109" s="17">
        <v>107</v>
      </c>
      <c r="AK109" s="6">
        <v>5.79305</v>
      </c>
      <c r="AL109" s="6">
        <v>3.9935999999999998</v>
      </c>
      <c r="AM109" s="6">
        <v>2.9417</v>
      </c>
      <c r="AN109" s="6">
        <v>255</v>
      </c>
      <c r="AQ109" s="17">
        <v>107</v>
      </c>
      <c r="AR109" s="6">
        <v>1.5980700000000001</v>
      </c>
      <c r="AS109" s="6">
        <v>3.3403999999999998</v>
      </c>
      <c r="AT109" s="6">
        <v>0.8115</v>
      </c>
      <c r="AU109" s="6">
        <v>255</v>
      </c>
      <c r="AW109" s="17">
        <v>107</v>
      </c>
      <c r="AX109" s="6">
        <v>0.84275999999999995</v>
      </c>
      <c r="AY109" s="6">
        <v>3.3403999999999998</v>
      </c>
      <c r="AZ109" s="6">
        <v>0.8115</v>
      </c>
      <c r="BA109" s="6">
        <v>255</v>
      </c>
      <c r="BN109" s="17">
        <v>107</v>
      </c>
      <c r="BO109" s="6">
        <v>51.338667569999998</v>
      </c>
      <c r="BP109" s="6">
        <v>50.000943319999998</v>
      </c>
      <c r="BQ109" s="6">
        <v>1.3377242499999999</v>
      </c>
    </row>
    <row r="110" spans="1:69" x14ac:dyDescent="0.25">
      <c r="A110" t="s">
        <v>7</v>
      </c>
      <c r="B110" s="11">
        <v>3</v>
      </c>
      <c r="C110" s="11">
        <v>5</v>
      </c>
      <c r="D110" s="11">
        <v>9</v>
      </c>
      <c r="E110" s="11">
        <v>22</v>
      </c>
      <c r="F110" s="12">
        <v>55.2</v>
      </c>
      <c r="G110">
        <v>47.126192094784884</v>
      </c>
      <c r="H110" t="s">
        <v>12</v>
      </c>
      <c r="I110" t="s">
        <v>12</v>
      </c>
      <c r="AD110" s="17">
        <v>108</v>
      </c>
      <c r="AE110" s="6">
        <v>3.0425900000000001</v>
      </c>
      <c r="AF110" s="6">
        <v>7.6467999999999998</v>
      </c>
      <c r="AG110" s="6">
        <v>2.9297</v>
      </c>
      <c r="AH110" s="6">
        <v>255</v>
      </c>
      <c r="AJ110" s="17">
        <v>108</v>
      </c>
      <c r="AK110" s="6">
        <v>5.7694200000000002</v>
      </c>
      <c r="AL110" s="6">
        <v>7.6467999999999998</v>
      </c>
      <c r="AM110" s="6">
        <v>2.9297</v>
      </c>
      <c r="AN110" s="6">
        <v>255</v>
      </c>
      <c r="AQ110" s="17">
        <v>108</v>
      </c>
      <c r="AR110" s="6">
        <v>1.5874900000000001</v>
      </c>
      <c r="AS110" s="6">
        <v>4.2321</v>
      </c>
      <c r="AT110" s="6">
        <v>0.80610000000000004</v>
      </c>
      <c r="AU110" s="6">
        <v>255</v>
      </c>
      <c r="AW110" s="17">
        <v>108</v>
      </c>
      <c r="AX110" s="6">
        <v>0.83718999999999999</v>
      </c>
      <c r="AY110" s="6">
        <v>4.2321</v>
      </c>
      <c r="AZ110" s="6">
        <v>0.80610000000000004</v>
      </c>
      <c r="BA110" s="6">
        <v>255</v>
      </c>
      <c r="BN110" s="17">
        <v>108</v>
      </c>
      <c r="BO110" s="6">
        <v>58.002828010000002</v>
      </c>
      <c r="BP110" s="6">
        <v>50.297530999999999</v>
      </c>
      <c r="BQ110" s="6">
        <v>7.7052970099999998</v>
      </c>
    </row>
    <row r="111" spans="1:69" x14ac:dyDescent="0.25">
      <c r="A111" t="s">
        <v>7</v>
      </c>
      <c r="B111" s="11">
        <v>3</v>
      </c>
      <c r="C111" s="11">
        <v>6</v>
      </c>
      <c r="D111" s="11">
        <v>9</v>
      </c>
      <c r="E111" s="11">
        <v>19</v>
      </c>
      <c r="F111" s="12">
        <v>48.6</v>
      </c>
      <c r="G111">
        <v>47.398954064290557</v>
      </c>
      <c r="H111" t="s">
        <v>12</v>
      </c>
      <c r="I111" t="s">
        <v>12</v>
      </c>
      <c r="AD111" s="17">
        <v>109</v>
      </c>
      <c r="AE111" s="6">
        <v>3.0547200000000001</v>
      </c>
      <c r="AF111" s="6">
        <v>0.15</v>
      </c>
      <c r="AG111" s="6">
        <v>2.9413</v>
      </c>
      <c r="AH111" s="6">
        <v>255</v>
      </c>
      <c r="AJ111" s="17">
        <v>109</v>
      </c>
      <c r="AK111" s="6">
        <v>5.7924199999999999</v>
      </c>
      <c r="AL111" s="6">
        <v>0.15</v>
      </c>
      <c r="AM111" s="6">
        <v>2.9413</v>
      </c>
      <c r="AN111" s="6">
        <v>255</v>
      </c>
      <c r="AQ111" s="17">
        <v>109</v>
      </c>
      <c r="AR111" s="6">
        <v>1.58643</v>
      </c>
      <c r="AS111" s="6">
        <v>0.1187</v>
      </c>
      <c r="AT111" s="6">
        <v>0.80559999999999998</v>
      </c>
      <c r="AU111" s="6">
        <v>255</v>
      </c>
      <c r="AW111" s="17">
        <v>109</v>
      </c>
      <c r="AX111" s="6">
        <v>0.83662999999999998</v>
      </c>
      <c r="AY111" s="6">
        <v>0.1187</v>
      </c>
      <c r="AZ111" s="6">
        <v>0.80559999999999998</v>
      </c>
      <c r="BA111" s="6">
        <v>255</v>
      </c>
      <c r="BN111" s="17">
        <v>109</v>
      </c>
      <c r="BO111" s="6">
        <v>47.126192090000004</v>
      </c>
      <c r="BP111" s="6">
        <v>44.52852583</v>
      </c>
      <c r="BQ111" s="6">
        <v>2.59766626</v>
      </c>
    </row>
    <row r="112" spans="1:69" x14ac:dyDescent="0.25">
      <c r="A112" t="s">
        <v>7</v>
      </c>
      <c r="B112" s="11">
        <v>3</v>
      </c>
      <c r="C112" s="11">
        <v>7</v>
      </c>
      <c r="D112" s="11">
        <v>9</v>
      </c>
      <c r="E112" s="11">
        <v>32</v>
      </c>
      <c r="F112" s="12">
        <v>55.1</v>
      </c>
      <c r="G112">
        <v>48.980819656210535</v>
      </c>
      <c r="H112" t="s">
        <v>12</v>
      </c>
      <c r="I112" t="s">
        <v>12</v>
      </c>
      <c r="AD112" s="17">
        <v>110</v>
      </c>
      <c r="AE112" s="6">
        <v>3.05484</v>
      </c>
      <c r="AF112" s="6">
        <v>4.9527000000000001</v>
      </c>
      <c r="AG112" s="6">
        <v>2.9415</v>
      </c>
      <c r="AH112" s="6">
        <v>255</v>
      </c>
      <c r="AJ112" s="17">
        <v>110</v>
      </c>
      <c r="AK112" s="6">
        <v>5.7926500000000001</v>
      </c>
      <c r="AL112" s="6">
        <v>4.9527000000000001</v>
      </c>
      <c r="AM112" s="6">
        <v>2.9415</v>
      </c>
      <c r="AN112" s="6">
        <v>255</v>
      </c>
      <c r="AQ112" s="17">
        <v>110</v>
      </c>
      <c r="AR112" s="6">
        <v>1.6151599999999999</v>
      </c>
      <c r="AS112" s="6">
        <v>2.6939000000000002</v>
      </c>
      <c r="AT112" s="6">
        <v>0.82020000000000004</v>
      </c>
      <c r="AU112" s="6">
        <v>255</v>
      </c>
      <c r="AW112" s="17">
        <v>110</v>
      </c>
      <c r="AX112" s="6">
        <v>0.85177999999999998</v>
      </c>
      <c r="AY112" s="6">
        <v>2.6939000000000002</v>
      </c>
      <c r="AZ112" s="6">
        <v>0.82020000000000004</v>
      </c>
      <c r="BA112" s="6">
        <v>255</v>
      </c>
      <c r="BN112" s="17">
        <v>110</v>
      </c>
      <c r="BO112" s="6">
        <v>47.398954060000001</v>
      </c>
      <c r="BP112" s="6">
        <v>42.076420470000002</v>
      </c>
      <c r="BQ112" s="6">
        <v>5.3225335899999999</v>
      </c>
    </row>
    <row r="113" spans="1:69" x14ac:dyDescent="0.25">
      <c r="A113" t="s">
        <v>7</v>
      </c>
      <c r="B113" s="11">
        <v>3</v>
      </c>
      <c r="C113" s="11">
        <v>8</v>
      </c>
      <c r="D113" s="11">
        <v>9</v>
      </c>
      <c r="E113" s="11">
        <v>31</v>
      </c>
      <c r="F113" s="12">
        <v>51</v>
      </c>
      <c r="G113">
        <v>46.078601534427492</v>
      </c>
      <c r="H113" t="s">
        <v>12</v>
      </c>
      <c r="I113" t="s">
        <v>12</v>
      </c>
      <c r="AD113" s="17">
        <v>111</v>
      </c>
      <c r="AE113" s="6">
        <v>3.0603400000000001</v>
      </c>
      <c r="AF113" s="6">
        <v>0.25319999999999998</v>
      </c>
      <c r="AG113" s="6">
        <v>2.9468000000000001</v>
      </c>
      <c r="AH113" s="6">
        <v>255</v>
      </c>
      <c r="AJ113" s="17">
        <v>111</v>
      </c>
      <c r="AK113" s="6">
        <v>5.8030799999999996</v>
      </c>
      <c r="AL113" s="6">
        <v>0.25319999999999998</v>
      </c>
      <c r="AM113" s="6">
        <v>2.9468000000000001</v>
      </c>
      <c r="AN113" s="6">
        <v>255</v>
      </c>
      <c r="AQ113" s="17">
        <v>111</v>
      </c>
      <c r="AR113" s="6">
        <v>1.5952500000000001</v>
      </c>
      <c r="AS113" s="6">
        <v>0.84089999999999998</v>
      </c>
      <c r="AT113" s="6">
        <v>0.81010000000000004</v>
      </c>
      <c r="AU113" s="6">
        <v>255</v>
      </c>
      <c r="AW113" s="17">
        <v>111</v>
      </c>
      <c r="AX113" s="6">
        <v>0.84128000000000003</v>
      </c>
      <c r="AY113" s="6">
        <v>0.84089999999999998</v>
      </c>
      <c r="AZ113" s="6">
        <v>0.81010000000000004</v>
      </c>
      <c r="BA113" s="6">
        <v>255</v>
      </c>
      <c r="BN113" s="17">
        <v>111</v>
      </c>
      <c r="BO113" s="6">
        <v>48.980819660000002</v>
      </c>
      <c r="BP113" s="6">
        <v>46.296569480000002</v>
      </c>
      <c r="BQ113" s="6">
        <v>2.6842501799999998</v>
      </c>
    </row>
    <row r="114" spans="1:69" x14ac:dyDescent="0.25">
      <c r="A114" t="s">
        <v>7</v>
      </c>
      <c r="B114" s="11">
        <v>3</v>
      </c>
      <c r="C114" s="11">
        <v>9</v>
      </c>
      <c r="D114" s="11">
        <v>9</v>
      </c>
      <c r="E114" s="11">
        <v>33</v>
      </c>
      <c r="F114" s="12">
        <v>53.9</v>
      </c>
      <c r="G114">
        <v>49.563695736622307</v>
      </c>
      <c r="H114" t="s">
        <v>12</v>
      </c>
      <c r="I114" t="s">
        <v>12</v>
      </c>
      <c r="AD114" s="17">
        <v>112</v>
      </c>
      <c r="AE114" s="6">
        <v>3.0374500000000002</v>
      </c>
      <c r="AF114" s="6">
        <v>9.4799999999999995E-2</v>
      </c>
      <c r="AG114" s="6">
        <v>2.9247000000000001</v>
      </c>
      <c r="AH114" s="6">
        <v>255</v>
      </c>
      <c r="AJ114" s="17">
        <v>112</v>
      </c>
      <c r="AK114" s="6">
        <v>5.7596699999999998</v>
      </c>
      <c r="AL114" s="6">
        <v>9.4799999999999995E-2</v>
      </c>
      <c r="AM114" s="6">
        <v>2.9247000000000001</v>
      </c>
      <c r="AN114" s="6">
        <v>255</v>
      </c>
      <c r="AQ114" s="17">
        <v>112</v>
      </c>
      <c r="AR114" s="6">
        <v>1.5950899999999999</v>
      </c>
      <c r="AS114" s="6">
        <v>0.60119999999999996</v>
      </c>
      <c r="AT114" s="6">
        <v>0.81</v>
      </c>
      <c r="AU114" s="6">
        <v>255</v>
      </c>
      <c r="AW114" s="17">
        <v>112</v>
      </c>
      <c r="AX114" s="6">
        <v>0.84118999999999999</v>
      </c>
      <c r="AY114" s="6">
        <v>0.60119999999999996</v>
      </c>
      <c r="AZ114" s="6">
        <v>0.81</v>
      </c>
      <c r="BA114" s="6">
        <v>255</v>
      </c>
      <c r="BN114" s="17">
        <v>112</v>
      </c>
      <c r="BO114" s="6">
        <v>46.07860153</v>
      </c>
      <c r="BP114" s="6">
        <v>41.698873939999999</v>
      </c>
      <c r="BQ114" s="6">
        <v>4.3797275899999999</v>
      </c>
    </row>
    <row r="115" spans="1:69" x14ac:dyDescent="0.25">
      <c r="A115" t="s">
        <v>7</v>
      </c>
      <c r="B115" s="11">
        <v>3</v>
      </c>
      <c r="C115" s="11">
        <v>10</v>
      </c>
      <c r="D115" s="11">
        <v>9</v>
      </c>
      <c r="E115" s="11">
        <v>60</v>
      </c>
      <c r="F115" s="12">
        <v>43</v>
      </c>
      <c r="G115">
        <v>22.572374963581623</v>
      </c>
      <c r="H115" t="s">
        <v>12</v>
      </c>
      <c r="I115" t="s">
        <v>12</v>
      </c>
      <c r="AD115" s="17">
        <v>113</v>
      </c>
      <c r="AE115" s="6">
        <v>3.0408300000000001</v>
      </c>
      <c r="AF115" s="19">
        <v>-0.30959999999999999</v>
      </c>
      <c r="AG115" s="6">
        <v>2.9279999999999999</v>
      </c>
      <c r="AH115" s="6">
        <v>255</v>
      </c>
      <c r="AJ115" s="17">
        <v>113</v>
      </c>
      <c r="AK115" s="6">
        <v>5.7660900000000002</v>
      </c>
      <c r="AL115" s="19">
        <v>-0.30959999999999999</v>
      </c>
      <c r="AM115" s="6">
        <v>2.9279999999999999</v>
      </c>
      <c r="AN115" s="6">
        <v>255</v>
      </c>
      <c r="AQ115" s="17">
        <v>113</v>
      </c>
      <c r="AR115" s="6">
        <v>1.5863400000000001</v>
      </c>
      <c r="AS115" s="6">
        <v>2.8681000000000001</v>
      </c>
      <c r="AT115" s="6">
        <v>0.80549999999999999</v>
      </c>
      <c r="AU115" s="6">
        <v>255</v>
      </c>
      <c r="AW115" s="17">
        <v>113</v>
      </c>
      <c r="AX115" s="6">
        <v>0.83657999999999999</v>
      </c>
      <c r="AY115" s="6">
        <v>2.8681000000000001</v>
      </c>
      <c r="AZ115" s="6">
        <v>0.80549999999999999</v>
      </c>
      <c r="BA115" s="6">
        <v>255</v>
      </c>
      <c r="BN115" s="17">
        <v>113</v>
      </c>
      <c r="BO115" s="6">
        <v>49.56369574</v>
      </c>
      <c r="BP115" s="6">
        <v>45.462250849999997</v>
      </c>
      <c r="BQ115" s="6">
        <v>4.1014448899999998</v>
      </c>
    </row>
    <row r="116" spans="1:69" x14ac:dyDescent="0.25">
      <c r="A116" t="s">
        <v>7</v>
      </c>
      <c r="B116" s="11">
        <v>3</v>
      </c>
      <c r="C116" s="11">
        <v>11</v>
      </c>
      <c r="D116" s="11">
        <v>9</v>
      </c>
      <c r="E116" s="11">
        <v>38</v>
      </c>
      <c r="F116" s="12">
        <v>53.4</v>
      </c>
      <c r="G116">
        <v>49.396548509274531</v>
      </c>
      <c r="H116" t="s">
        <v>12</v>
      </c>
      <c r="I116" t="s">
        <v>12</v>
      </c>
      <c r="AD116" s="17">
        <v>114</v>
      </c>
      <c r="AE116" s="6">
        <v>3.05226</v>
      </c>
      <c r="AF116" s="6">
        <v>1.1212</v>
      </c>
      <c r="AG116" s="6">
        <v>2.9390000000000001</v>
      </c>
      <c r="AH116" s="6">
        <v>255</v>
      </c>
      <c r="AJ116" s="17">
        <v>114</v>
      </c>
      <c r="AK116" s="6">
        <v>5.78775</v>
      </c>
      <c r="AL116" s="6">
        <v>1.1212</v>
      </c>
      <c r="AM116" s="6">
        <v>2.9390000000000001</v>
      </c>
      <c r="AN116" s="6">
        <v>255</v>
      </c>
      <c r="AQ116" s="17">
        <v>114</v>
      </c>
      <c r="AR116" s="6">
        <v>1.59223</v>
      </c>
      <c r="AS116" s="6">
        <v>1.2463</v>
      </c>
      <c r="AT116" s="6">
        <v>0.8085</v>
      </c>
      <c r="AU116" s="6">
        <v>255</v>
      </c>
      <c r="AW116" s="17">
        <v>114</v>
      </c>
      <c r="AX116" s="6">
        <v>0.83969000000000005</v>
      </c>
      <c r="AY116" s="6">
        <v>1.2463</v>
      </c>
      <c r="AZ116" s="6">
        <v>0.8085</v>
      </c>
      <c r="BA116" s="6">
        <v>255</v>
      </c>
      <c r="BN116" s="17">
        <v>114</v>
      </c>
      <c r="BO116" s="6">
        <v>22.572374960000001</v>
      </c>
      <c r="BP116" s="6">
        <v>20.523890680000001</v>
      </c>
      <c r="BQ116" s="6">
        <v>2.0484842799999998</v>
      </c>
    </row>
    <row r="117" spans="1:69" x14ac:dyDescent="0.25">
      <c r="A117" t="s">
        <v>7</v>
      </c>
      <c r="B117" s="11">
        <v>3</v>
      </c>
      <c r="C117" s="11">
        <v>12</v>
      </c>
      <c r="D117" s="11">
        <v>9</v>
      </c>
      <c r="E117" s="11">
        <v>30</v>
      </c>
      <c r="F117" s="12">
        <v>53.8</v>
      </c>
      <c r="G117">
        <v>39.783203360201995</v>
      </c>
      <c r="H117" t="s">
        <v>12</v>
      </c>
      <c r="I117" t="s">
        <v>12</v>
      </c>
      <c r="AD117" s="17">
        <v>115</v>
      </c>
      <c r="AE117" s="6">
        <v>3.0508899999999999</v>
      </c>
      <c r="AF117" s="6">
        <v>2.3298000000000001</v>
      </c>
      <c r="AG117" s="6">
        <v>2.9377</v>
      </c>
      <c r="AH117" s="6">
        <v>255</v>
      </c>
      <c r="AJ117" s="17">
        <v>115</v>
      </c>
      <c r="AK117" s="6">
        <v>5.7851600000000003</v>
      </c>
      <c r="AL117" s="6">
        <v>2.3298000000000001</v>
      </c>
      <c r="AM117" s="6">
        <v>2.9377</v>
      </c>
      <c r="AN117" s="6">
        <v>255</v>
      </c>
      <c r="AQ117" s="17">
        <v>115</v>
      </c>
      <c r="AR117" s="6">
        <v>1.59361</v>
      </c>
      <c r="AS117" s="6">
        <v>2.7486999999999999</v>
      </c>
      <c r="AT117" s="6">
        <v>0.80920000000000003</v>
      </c>
      <c r="AU117" s="6">
        <v>255</v>
      </c>
      <c r="AW117" s="17">
        <v>115</v>
      </c>
      <c r="AX117" s="6">
        <v>0.84041999999999994</v>
      </c>
      <c r="AY117" s="6">
        <v>2.7486999999999999</v>
      </c>
      <c r="AZ117" s="6">
        <v>0.80920000000000003</v>
      </c>
      <c r="BA117" s="6">
        <v>255</v>
      </c>
      <c r="BN117" s="17">
        <v>115</v>
      </c>
      <c r="BO117" s="6">
        <v>49.396548510000002</v>
      </c>
      <c r="BP117" s="6">
        <v>49.913588519999998</v>
      </c>
      <c r="BQ117" s="19">
        <v>-0.51704000999999999</v>
      </c>
    </row>
    <row r="118" spans="1:69" x14ac:dyDescent="0.25">
      <c r="A118" t="s">
        <v>7</v>
      </c>
      <c r="B118" s="11">
        <v>3</v>
      </c>
      <c r="C118" s="11">
        <v>13</v>
      </c>
      <c r="D118" s="11">
        <v>9</v>
      </c>
      <c r="E118" s="11">
        <v>16</v>
      </c>
      <c r="F118" s="12">
        <v>57.3</v>
      </c>
      <c r="G118">
        <v>50.728246091094483</v>
      </c>
      <c r="H118" t="s">
        <v>12</v>
      </c>
      <c r="I118" t="s">
        <v>12</v>
      </c>
      <c r="AD118" s="17">
        <v>116</v>
      </c>
      <c r="AE118" s="6">
        <v>3.04758</v>
      </c>
      <c r="AF118" s="6">
        <v>6.4282000000000004</v>
      </c>
      <c r="AG118" s="6">
        <v>2.9344999999999999</v>
      </c>
      <c r="AH118" s="6">
        <v>255</v>
      </c>
      <c r="AJ118" s="17">
        <v>116</v>
      </c>
      <c r="AK118" s="6">
        <v>5.7788899999999996</v>
      </c>
      <c r="AL118" s="6">
        <v>6.4282000000000004</v>
      </c>
      <c r="AM118" s="6">
        <v>2.9344999999999999</v>
      </c>
      <c r="AN118" s="6">
        <v>255</v>
      </c>
      <c r="AQ118" s="17">
        <v>116</v>
      </c>
      <c r="AR118" s="6">
        <v>1.59693</v>
      </c>
      <c r="AS118" s="6">
        <v>3.1358999999999999</v>
      </c>
      <c r="AT118" s="6">
        <v>0.81089999999999995</v>
      </c>
      <c r="AU118" s="6">
        <v>255</v>
      </c>
      <c r="AW118" s="17">
        <v>116</v>
      </c>
      <c r="AX118" s="6">
        <v>0.84216000000000002</v>
      </c>
      <c r="AY118" s="6">
        <v>3.1358999999999999</v>
      </c>
      <c r="AZ118" s="6">
        <v>0.81089999999999995</v>
      </c>
      <c r="BA118" s="6">
        <v>255</v>
      </c>
      <c r="BN118" s="17">
        <v>116</v>
      </c>
      <c r="BO118" s="6">
        <v>39.783203360000002</v>
      </c>
      <c r="BP118" s="6">
        <v>37.367223940000002</v>
      </c>
      <c r="BQ118" s="6">
        <v>2.4159794200000002</v>
      </c>
    </row>
    <row r="119" spans="1:69" x14ac:dyDescent="0.25">
      <c r="A119" t="s">
        <v>7</v>
      </c>
      <c r="B119" s="11">
        <v>3</v>
      </c>
      <c r="C119" s="11">
        <v>13</v>
      </c>
      <c r="D119" s="11">
        <v>10</v>
      </c>
      <c r="E119" s="11">
        <v>3</v>
      </c>
      <c r="F119" s="12">
        <v>54.8</v>
      </c>
      <c r="G119">
        <v>36.492861476238616</v>
      </c>
      <c r="H119" t="s">
        <v>12</v>
      </c>
      <c r="I119" t="s">
        <v>12</v>
      </c>
      <c r="AD119" s="17">
        <v>117</v>
      </c>
      <c r="AE119" s="6">
        <v>3.0432299999999999</v>
      </c>
      <c r="AF119" s="6">
        <v>2.6722000000000001</v>
      </c>
      <c r="AG119" s="6">
        <v>2.9302999999999999</v>
      </c>
      <c r="AH119" s="6">
        <v>255</v>
      </c>
      <c r="AJ119" s="17">
        <v>117</v>
      </c>
      <c r="AK119" s="6">
        <v>5.7706299999999997</v>
      </c>
      <c r="AL119" s="6">
        <v>2.6722000000000001</v>
      </c>
      <c r="AM119" s="6">
        <v>2.9302999999999999</v>
      </c>
      <c r="AN119" s="6">
        <v>255</v>
      </c>
      <c r="AQ119" s="17">
        <v>117</v>
      </c>
      <c r="AR119" s="6">
        <v>1.589</v>
      </c>
      <c r="AS119" s="6">
        <v>3.2109999999999999</v>
      </c>
      <c r="AT119" s="6">
        <v>0.80689999999999995</v>
      </c>
      <c r="AU119" s="6">
        <v>255</v>
      </c>
      <c r="AW119" s="17">
        <v>117</v>
      </c>
      <c r="AX119" s="6">
        <v>0.83797999999999995</v>
      </c>
      <c r="AY119" s="6">
        <v>3.2109999999999999</v>
      </c>
      <c r="AZ119" s="6">
        <v>0.80689999999999995</v>
      </c>
      <c r="BA119" s="6">
        <v>255</v>
      </c>
      <c r="BN119" s="17">
        <v>117</v>
      </c>
      <c r="BO119" s="6">
        <v>50.728246089999999</v>
      </c>
      <c r="BP119" s="6">
        <v>50.939415789999998</v>
      </c>
      <c r="BQ119" s="19">
        <v>-0.21116969999999999</v>
      </c>
    </row>
    <row r="120" spans="1:69" x14ac:dyDescent="0.25">
      <c r="A120" t="s">
        <v>7</v>
      </c>
      <c r="B120" s="11">
        <v>3</v>
      </c>
      <c r="C120" s="11">
        <v>12</v>
      </c>
      <c r="D120" s="11">
        <v>10</v>
      </c>
      <c r="E120" s="11">
        <v>17</v>
      </c>
      <c r="F120" s="12">
        <v>54.5</v>
      </c>
      <c r="G120">
        <v>42.951099234435937</v>
      </c>
      <c r="H120" t="s">
        <v>12</v>
      </c>
      <c r="I120" t="s">
        <v>12</v>
      </c>
      <c r="AD120" s="17">
        <v>118</v>
      </c>
      <c r="AE120" s="6">
        <v>3.0272899999999998</v>
      </c>
      <c r="AF120" s="19">
        <v>-0.84830000000000005</v>
      </c>
      <c r="AG120" s="6">
        <v>2.9148999999999998</v>
      </c>
      <c r="AH120" s="6">
        <v>255</v>
      </c>
      <c r="AJ120" s="17">
        <v>118</v>
      </c>
      <c r="AK120" s="6">
        <v>5.7404099999999998</v>
      </c>
      <c r="AL120" s="19">
        <v>-0.84830000000000005</v>
      </c>
      <c r="AM120" s="6">
        <v>2.9148999999999998</v>
      </c>
      <c r="AN120" s="6">
        <v>255</v>
      </c>
      <c r="AQ120" s="17">
        <v>118</v>
      </c>
      <c r="AR120" s="6">
        <v>1.5854600000000001</v>
      </c>
      <c r="AS120" s="6">
        <v>1.2662</v>
      </c>
      <c r="AT120" s="6">
        <v>0.80510000000000004</v>
      </c>
      <c r="AU120" s="6">
        <v>255</v>
      </c>
      <c r="AW120" s="17">
        <v>118</v>
      </c>
      <c r="AX120" s="6">
        <v>0.83611999999999997</v>
      </c>
      <c r="AY120" s="6">
        <v>1.2662</v>
      </c>
      <c r="AZ120" s="6">
        <v>0.80510000000000004</v>
      </c>
      <c r="BA120" s="6">
        <v>255</v>
      </c>
      <c r="BN120" s="17">
        <v>118</v>
      </c>
      <c r="BO120" s="6">
        <v>36.492861480000002</v>
      </c>
      <c r="BP120" s="6">
        <v>38.736870330000002</v>
      </c>
      <c r="BQ120" s="19">
        <v>-2.2440088500000002</v>
      </c>
    </row>
    <row r="121" spans="1:69" x14ac:dyDescent="0.25">
      <c r="A121" t="s">
        <v>7</v>
      </c>
      <c r="B121" s="11">
        <v>3</v>
      </c>
      <c r="C121" s="11">
        <v>11</v>
      </c>
      <c r="D121" s="11">
        <v>10</v>
      </c>
      <c r="E121" s="11">
        <v>9</v>
      </c>
      <c r="F121" s="12">
        <v>50</v>
      </c>
      <c r="G121">
        <v>37.27384082045355</v>
      </c>
      <c r="H121" t="s">
        <v>12</v>
      </c>
      <c r="I121" t="s">
        <v>12</v>
      </c>
      <c r="AD121" s="17">
        <v>119</v>
      </c>
      <c r="AE121" s="6">
        <v>3.0388799999999998</v>
      </c>
      <c r="AF121" s="19">
        <v>-0.51990000000000003</v>
      </c>
      <c r="AG121" s="6">
        <v>2.9260999999999999</v>
      </c>
      <c r="AH121" s="6">
        <v>255</v>
      </c>
      <c r="AJ121" s="17">
        <v>119</v>
      </c>
      <c r="AK121" s="6">
        <v>5.7623800000000003</v>
      </c>
      <c r="AL121" s="19">
        <v>-0.51990000000000003</v>
      </c>
      <c r="AM121" s="6">
        <v>2.9260999999999999</v>
      </c>
      <c r="AN121" s="6">
        <v>255</v>
      </c>
      <c r="AQ121" s="17">
        <v>119</v>
      </c>
      <c r="AR121" s="6">
        <v>1.58809</v>
      </c>
      <c r="AS121" s="6">
        <v>2.1084999999999998</v>
      </c>
      <c r="AT121" s="6">
        <v>0.80640000000000001</v>
      </c>
      <c r="AU121" s="6">
        <v>255</v>
      </c>
      <c r="AW121" s="17">
        <v>119</v>
      </c>
      <c r="AX121" s="6">
        <v>0.83750000000000002</v>
      </c>
      <c r="AY121" s="6">
        <v>2.1084999999999998</v>
      </c>
      <c r="AZ121" s="6">
        <v>0.80640000000000001</v>
      </c>
      <c r="BA121" s="6">
        <v>255</v>
      </c>
      <c r="BN121" s="17">
        <v>119</v>
      </c>
      <c r="BO121" s="6">
        <v>42.951099229999997</v>
      </c>
      <c r="BP121" s="6">
        <v>44.132182180000001</v>
      </c>
      <c r="BQ121" s="19">
        <v>-1.18108295</v>
      </c>
    </row>
    <row r="122" spans="1:69" x14ac:dyDescent="0.25">
      <c r="A122" t="s">
        <v>7</v>
      </c>
      <c r="B122" s="11">
        <v>3</v>
      </c>
      <c r="C122" s="11">
        <v>10</v>
      </c>
      <c r="D122" s="11">
        <v>10</v>
      </c>
      <c r="E122" s="11">
        <v>10</v>
      </c>
      <c r="F122" s="12">
        <v>50.1</v>
      </c>
      <c r="G122">
        <v>35.372491694352156</v>
      </c>
      <c r="H122" t="s">
        <v>12</v>
      </c>
      <c r="I122" t="s">
        <v>12</v>
      </c>
      <c r="AD122" s="17">
        <v>120</v>
      </c>
      <c r="AE122" s="6">
        <v>3.0401899999999999</v>
      </c>
      <c r="AF122" s="6">
        <v>1.9981</v>
      </c>
      <c r="AG122" s="6">
        <v>2.9274</v>
      </c>
      <c r="AH122" s="6">
        <v>255</v>
      </c>
      <c r="AJ122" s="17">
        <v>120</v>
      </c>
      <c r="AK122" s="6">
        <v>5.7648599999999997</v>
      </c>
      <c r="AL122" s="6">
        <v>1.9981</v>
      </c>
      <c r="AM122" s="6">
        <v>2.9274</v>
      </c>
      <c r="AN122" s="6">
        <v>255</v>
      </c>
      <c r="AQ122" s="17">
        <v>120</v>
      </c>
      <c r="AR122" s="6">
        <v>1.5878399999999999</v>
      </c>
      <c r="AS122" s="6">
        <v>0.43940000000000001</v>
      </c>
      <c r="AT122" s="6">
        <v>0.80630000000000002</v>
      </c>
      <c r="AU122" s="6">
        <v>255</v>
      </c>
      <c r="AW122" s="17">
        <v>120</v>
      </c>
      <c r="AX122" s="6">
        <v>0.83736999999999995</v>
      </c>
      <c r="AY122" s="6">
        <v>0.43940000000000001</v>
      </c>
      <c r="AZ122" s="6">
        <v>0.80630000000000002</v>
      </c>
      <c r="BA122" s="6">
        <v>255</v>
      </c>
      <c r="BN122" s="17">
        <v>120</v>
      </c>
      <c r="BO122" s="6">
        <v>37.273840819999997</v>
      </c>
      <c r="BP122" s="6">
        <v>37.852628529999997</v>
      </c>
      <c r="BQ122" s="19">
        <v>-0.57878770999999996</v>
      </c>
    </row>
    <row r="123" spans="1:69" x14ac:dyDescent="0.25">
      <c r="A123" t="s">
        <v>7</v>
      </c>
      <c r="B123" s="11">
        <v>3</v>
      </c>
      <c r="C123" s="11">
        <v>9</v>
      </c>
      <c r="D123" s="11">
        <v>10</v>
      </c>
      <c r="E123" s="11">
        <v>20</v>
      </c>
      <c r="F123" s="12">
        <v>52.5</v>
      </c>
      <c r="G123">
        <v>45.18945543839375</v>
      </c>
      <c r="H123" t="s">
        <v>12</v>
      </c>
      <c r="I123" t="s">
        <v>12</v>
      </c>
      <c r="AD123" s="17">
        <v>121</v>
      </c>
      <c r="AE123" s="6">
        <v>3.03796</v>
      </c>
      <c r="AF123" s="6">
        <v>3.6764000000000001</v>
      </c>
      <c r="AG123" s="6">
        <v>2.9251999999999998</v>
      </c>
      <c r="AH123" s="6">
        <v>255</v>
      </c>
      <c r="AJ123" s="17">
        <v>121</v>
      </c>
      <c r="AK123" s="6">
        <v>5.7606299999999999</v>
      </c>
      <c r="AL123" s="6">
        <v>3.6764000000000001</v>
      </c>
      <c r="AM123" s="6">
        <v>2.9251999999999998</v>
      </c>
      <c r="AN123" s="6">
        <v>255</v>
      </c>
      <c r="AQ123" s="17">
        <v>121</v>
      </c>
      <c r="AR123" s="6">
        <v>1.5958000000000001</v>
      </c>
      <c r="AS123" s="6">
        <v>0.82020000000000004</v>
      </c>
      <c r="AT123" s="6">
        <v>0.81030000000000002</v>
      </c>
      <c r="AU123" s="6">
        <v>255</v>
      </c>
      <c r="AW123" s="17">
        <v>121</v>
      </c>
      <c r="AX123" s="6">
        <v>0.84157000000000004</v>
      </c>
      <c r="AY123" s="6">
        <v>0.82020000000000004</v>
      </c>
      <c r="AZ123" s="6">
        <v>0.81030000000000002</v>
      </c>
      <c r="BA123" s="6">
        <v>255</v>
      </c>
      <c r="BN123" s="17">
        <v>121</v>
      </c>
      <c r="BO123" s="6">
        <v>35.372491689999997</v>
      </c>
      <c r="BP123" s="6">
        <v>35.553285350000003</v>
      </c>
      <c r="BQ123" s="19">
        <v>-0.18079365999999999</v>
      </c>
    </row>
    <row r="124" spans="1:69" x14ac:dyDescent="0.25">
      <c r="A124" t="s">
        <v>7</v>
      </c>
      <c r="B124" s="11">
        <v>3</v>
      </c>
      <c r="C124" s="11">
        <v>8</v>
      </c>
      <c r="D124" s="11">
        <v>10</v>
      </c>
      <c r="E124" s="11">
        <v>42</v>
      </c>
      <c r="F124" s="12">
        <v>53.7</v>
      </c>
      <c r="G124">
        <v>46.688684096489965</v>
      </c>
      <c r="H124" t="s">
        <v>12</v>
      </c>
      <c r="I124" t="s">
        <v>12</v>
      </c>
      <c r="AD124" s="17">
        <v>122</v>
      </c>
      <c r="AE124" s="6">
        <v>3.0447700000000002</v>
      </c>
      <c r="AF124" s="6">
        <v>1.1941999999999999</v>
      </c>
      <c r="AG124" s="6">
        <v>2.9318</v>
      </c>
      <c r="AH124" s="6">
        <v>255</v>
      </c>
      <c r="AJ124" s="17">
        <v>122</v>
      </c>
      <c r="AK124" s="6">
        <v>5.7735500000000002</v>
      </c>
      <c r="AL124" s="6">
        <v>1.1941999999999999</v>
      </c>
      <c r="AM124" s="6">
        <v>2.9318</v>
      </c>
      <c r="AN124" s="6">
        <v>255</v>
      </c>
      <c r="AQ124" s="17">
        <v>122</v>
      </c>
      <c r="AR124" s="6">
        <v>1.6146799999999999</v>
      </c>
      <c r="AS124" s="6">
        <v>2.1987000000000001</v>
      </c>
      <c r="AT124" s="6">
        <v>0.81989999999999996</v>
      </c>
      <c r="AU124" s="6">
        <v>255</v>
      </c>
      <c r="AW124" s="17">
        <v>122</v>
      </c>
      <c r="AX124" s="6">
        <v>0.85153000000000001</v>
      </c>
      <c r="AY124" s="6">
        <v>2.1987000000000001</v>
      </c>
      <c r="AZ124" s="6">
        <v>0.81989999999999996</v>
      </c>
      <c r="BA124" s="6">
        <v>255</v>
      </c>
      <c r="BN124" s="17">
        <v>122</v>
      </c>
      <c r="BO124" s="6">
        <v>45.189455440000003</v>
      </c>
      <c r="BP124" s="6">
        <v>45.977845860000002</v>
      </c>
      <c r="BQ124" s="19">
        <v>-0.78839042000000004</v>
      </c>
    </row>
    <row r="125" spans="1:69" x14ac:dyDescent="0.25">
      <c r="A125" t="s">
        <v>7</v>
      </c>
      <c r="B125" s="11">
        <v>3</v>
      </c>
      <c r="C125" s="11">
        <v>7</v>
      </c>
      <c r="D125" s="11">
        <v>10</v>
      </c>
      <c r="E125" s="11">
        <v>26</v>
      </c>
      <c r="F125" s="12">
        <v>54.1</v>
      </c>
      <c r="G125">
        <v>52.751427126968075</v>
      </c>
      <c r="H125" t="s">
        <v>12</v>
      </c>
      <c r="I125" t="s">
        <v>12</v>
      </c>
      <c r="AD125" s="17">
        <v>123</v>
      </c>
      <c r="AE125" s="6">
        <v>3.0376300000000001</v>
      </c>
      <c r="AF125" s="6">
        <v>3.1545000000000001</v>
      </c>
      <c r="AG125" s="6">
        <v>2.9249000000000001</v>
      </c>
      <c r="AH125" s="6">
        <v>255</v>
      </c>
      <c r="AJ125" s="17">
        <v>123</v>
      </c>
      <c r="AK125" s="6">
        <v>5.7600199999999999</v>
      </c>
      <c r="AL125" s="6">
        <v>3.1545000000000001</v>
      </c>
      <c r="AM125" s="6">
        <v>2.9249000000000001</v>
      </c>
      <c r="AN125" s="6">
        <v>255</v>
      </c>
      <c r="AQ125" s="17">
        <v>123</v>
      </c>
      <c r="AR125" s="6">
        <v>1.5902099999999999</v>
      </c>
      <c r="AS125" s="6">
        <v>2.1095999999999999</v>
      </c>
      <c r="AT125" s="6">
        <v>0.8075</v>
      </c>
      <c r="AU125" s="6">
        <v>255</v>
      </c>
      <c r="AW125" s="17">
        <v>123</v>
      </c>
      <c r="AX125" s="6">
        <v>0.83862000000000003</v>
      </c>
      <c r="AY125" s="6">
        <v>2.1095999999999999</v>
      </c>
      <c r="AZ125" s="6">
        <v>0.8075</v>
      </c>
      <c r="BA125" s="6">
        <v>255</v>
      </c>
      <c r="BN125" s="17">
        <v>123</v>
      </c>
      <c r="BO125" s="6">
        <v>46.688684100000003</v>
      </c>
      <c r="BP125" s="6">
        <v>46.2978649</v>
      </c>
      <c r="BQ125" s="6">
        <v>0.39081919999999998</v>
      </c>
    </row>
    <row r="126" spans="1:69" x14ac:dyDescent="0.25">
      <c r="A126" t="s">
        <v>7</v>
      </c>
      <c r="B126" s="11">
        <v>3</v>
      </c>
      <c r="C126" s="11">
        <v>6</v>
      </c>
      <c r="D126" s="11">
        <v>10</v>
      </c>
      <c r="E126" s="11">
        <v>36</v>
      </c>
      <c r="F126" s="12">
        <v>51.6</v>
      </c>
      <c r="G126">
        <v>38.722923588039862</v>
      </c>
      <c r="H126" t="s">
        <v>12</v>
      </c>
      <c r="I126" t="s">
        <v>12</v>
      </c>
      <c r="AD126" s="17">
        <v>124</v>
      </c>
      <c r="AE126" s="6">
        <v>3.0445799999999998</v>
      </c>
      <c r="AF126" s="19">
        <v>-4.9116</v>
      </c>
      <c r="AG126" s="6">
        <v>2.9316</v>
      </c>
      <c r="AH126" s="6">
        <v>255</v>
      </c>
      <c r="AJ126" s="17">
        <v>124</v>
      </c>
      <c r="AK126" s="6">
        <v>5.7731899999999996</v>
      </c>
      <c r="AL126" s="19">
        <v>-4.9116</v>
      </c>
      <c r="AM126" s="6">
        <v>2.9316</v>
      </c>
      <c r="AN126" s="6">
        <v>255</v>
      </c>
      <c r="AQ126" s="17">
        <v>124</v>
      </c>
      <c r="AR126" s="6">
        <v>1.5916600000000001</v>
      </c>
      <c r="AS126" s="6">
        <v>1.6987000000000001</v>
      </c>
      <c r="AT126" s="6">
        <v>0.80820000000000003</v>
      </c>
      <c r="AU126" s="6">
        <v>255</v>
      </c>
      <c r="AW126" s="17">
        <v>124</v>
      </c>
      <c r="AX126" s="6">
        <v>0.83938999999999997</v>
      </c>
      <c r="AY126" s="6">
        <v>1.6987000000000001</v>
      </c>
      <c r="AZ126" s="6">
        <v>0.80820000000000003</v>
      </c>
      <c r="BA126" s="6">
        <v>255</v>
      </c>
      <c r="BN126" s="17">
        <v>124</v>
      </c>
      <c r="BO126" s="6">
        <v>52.751427130000003</v>
      </c>
      <c r="BP126" s="6">
        <v>54.619687409999997</v>
      </c>
      <c r="BQ126" s="19">
        <v>-1.8682602800000001</v>
      </c>
    </row>
    <row r="127" spans="1:69" x14ac:dyDescent="0.25">
      <c r="A127" t="s">
        <v>7</v>
      </c>
      <c r="B127" s="11">
        <v>3</v>
      </c>
      <c r="C127" s="11">
        <v>5</v>
      </c>
      <c r="D127" s="11">
        <v>10</v>
      </c>
      <c r="E127" s="11">
        <v>18</v>
      </c>
      <c r="F127" s="12">
        <v>53.2</v>
      </c>
      <c r="G127">
        <v>31.573892821031336</v>
      </c>
      <c r="H127" t="s">
        <v>12</v>
      </c>
      <c r="I127" t="s">
        <v>12</v>
      </c>
      <c r="AD127" s="17">
        <v>125</v>
      </c>
      <c r="AE127" s="6">
        <v>3.0495800000000002</v>
      </c>
      <c r="AF127" s="6">
        <v>0.13120000000000001</v>
      </c>
      <c r="AG127" s="6">
        <v>2.9363999999999999</v>
      </c>
      <c r="AH127" s="6">
        <v>255</v>
      </c>
      <c r="AJ127" s="17">
        <v>125</v>
      </c>
      <c r="AK127" s="6">
        <v>5.7826700000000004</v>
      </c>
      <c r="AL127" s="6">
        <v>0.13120000000000001</v>
      </c>
      <c r="AM127" s="6">
        <v>2.9363999999999999</v>
      </c>
      <c r="AN127" s="6">
        <v>255</v>
      </c>
      <c r="AQ127" s="17">
        <v>125</v>
      </c>
      <c r="AR127" s="6">
        <v>1.5889</v>
      </c>
      <c r="AS127" s="6">
        <v>1.9710000000000001</v>
      </c>
      <c r="AT127" s="6">
        <v>0.80679999999999996</v>
      </c>
      <c r="AU127" s="6">
        <v>255</v>
      </c>
      <c r="AW127" s="17">
        <v>125</v>
      </c>
      <c r="AX127" s="6">
        <v>0.83792999999999995</v>
      </c>
      <c r="AY127" s="6">
        <v>1.9710000000000001</v>
      </c>
      <c r="AZ127" s="6">
        <v>0.80679999999999996</v>
      </c>
      <c r="BA127" s="6">
        <v>255</v>
      </c>
      <c r="BN127" s="17">
        <v>125</v>
      </c>
      <c r="BO127" s="6">
        <v>38.722923590000001</v>
      </c>
      <c r="BP127" s="6">
        <v>39.050151200000002</v>
      </c>
      <c r="BQ127" s="19">
        <v>-0.32722761</v>
      </c>
    </row>
    <row r="128" spans="1:69" x14ac:dyDescent="0.25">
      <c r="A128" t="s">
        <v>7</v>
      </c>
      <c r="B128" s="11">
        <v>3</v>
      </c>
      <c r="C128" s="11">
        <v>4</v>
      </c>
      <c r="D128" s="11">
        <v>10</v>
      </c>
      <c r="E128" s="11">
        <v>49</v>
      </c>
      <c r="F128" s="12">
        <v>45.8</v>
      </c>
      <c r="G128">
        <v>37.077594973277478</v>
      </c>
      <c r="H128" t="s">
        <v>12</v>
      </c>
      <c r="I128" t="s">
        <v>12</v>
      </c>
      <c r="AD128" s="17">
        <v>126</v>
      </c>
      <c r="AE128" s="6">
        <v>3.0520700000000001</v>
      </c>
      <c r="AF128" s="6">
        <v>2.6084999999999998</v>
      </c>
      <c r="AG128" s="6">
        <v>2.9388000000000001</v>
      </c>
      <c r="AH128" s="6">
        <v>255</v>
      </c>
      <c r="AJ128" s="17">
        <v>126</v>
      </c>
      <c r="AK128" s="6">
        <v>5.7873900000000003</v>
      </c>
      <c r="AL128" s="6">
        <v>2.6084999999999998</v>
      </c>
      <c r="AM128" s="6">
        <v>2.9388000000000001</v>
      </c>
      <c r="AN128" s="6">
        <v>255</v>
      </c>
      <c r="AQ128" s="17">
        <v>126</v>
      </c>
      <c r="AR128" s="6">
        <v>1.5913299999999999</v>
      </c>
      <c r="AS128" s="6">
        <v>2.4948999999999999</v>
      </c>
      <c r="AT128" s="6">
        <v>0.80810000000000004</v>
      </c>
      <c r="AU128" s="6">
        <v>255</v>
      </c>
      <c r="AW128" s="17">
        <v>126</v>
      </c>
      <c r="AX128" s="6">
        <v>0.83921000000000001</v>
      </c>
      <c r="AY128" s="6">
        <v>2.4948999999999999</v>
      </c>
      <c r="AZ128" s="6">
        <v>0.80810000000000004</v>
      </c>
      <c r="BA128" s="6">
        <v>255</v>
      </c>
      <c r="BN128" s="17">
        <v>126</v>
      </c>
      <c r="BO128" s="6">
        <v>31.573892820000001</v>
      </c>
      <c r="BP128" s="6">
        <v>36.277259139999998</v>
      </c>
      <c r="BQ128" s="19">
        <v>-4.7033663199999998</v>
      </c>
    </row>
    <row r="129" spans="1:69" x14ac:dyDescent="0.25">
      <c r="A129" t="s">
        <v>7</v>
      </c>
      <c r="B129" s="11">
        <v>3</v>
      </c>
      <c r="C129" s="11">
        <v>3</v>
      </c>
      <c r="D129" s="11">
        <v>10</v>
      </c>
      <c r="E129" s="11">
        <v>13</v>
      </c>
      <c r="F129" s="12">
        <v>51.5</v>
      </c>
      <c r="G129">
        <v>42.821253791708799</v>
      </c>
      <c r="H129" t="s">
        <v>12</v>
      </c>
      <c r="I129" t="s">
        <v>12</v>
      </c>
      <c r="AD129" s="17">
        <v>127</v>
      </c>
      <c r="AE129" s="6">
        <v>3.0478999999999998</v>
      </c>
      <c r="AF129" s="6">
        <v>0.68920000000000003</v>
      </c>
      <c r="AG129" s="6">
        <v>2.9348000000000001</v>
      </c>
      <c r="AH129" s="6">
        <v>255</v>
      </c>
      <c r="AJ129" s="17">
        <v>127</v>
      </c>
      <c r="AK129" s="6">
        <v>5.77949</v>
      </c>
      <c r="AL129" s="6">
        <v>0.68920000000000003</v>
      </c>
      <c r="AM129" s="6">
        <v>2.9348000000000001</v>
      </c>
      <c r="AN129" s="6">
        <v>255</v>
      </c>
      <c r="AQ129" s="17">
        <v>127</v>
      </c>
      <c r="AR129" s="6">
        <v>1.59104</v>
      </c>
      <c r="AS129" s="6">
        <v>1.3123</v>
      </c>
      <c r="AT129" s="6">
        <v>0.80789999999999995</v>
      </c>
      <c r="AU129" s="6">
        <v>255</v>
      </c>
      <c r="AW129" s="17">
        <v>127</v>
      </c>
      <c r="AX129" s="6">
        <v>0.83906000000000003</v>
      </c>
      <c r="AY129" s="6">
        <v>1.3123</v>
      </c>
      <c r="AZ129" s="6">
        <v>0.80789999999999995</v>
      </c>
      <c r="BA129" s="6">
        <v>255</v>
      </c>
      <c r="BN129" s="17">
        <v>127</v>
      </c>
      <c r="BO129" s="6">
        <v>37.07759497</v>
      </c>
      <c r="BP129" s="6">
        <v>36.828828209999998</v>
      </c>
      <c r="BQ129" s="6">
        <v>0.24876676</v>
      </c>
    </row>
    <row r="130" spans="1:69" x14ac:dyDescent="0.25">
      <c r="A130" t="s">
        <v>7</v>
      </c>
      <c r="B130" s="11">
        <v>3</v>
      </c>
      <c r="C130" s="11">
        <v>2</v>
      </c>
      <c r="D130" s="11">
        <v>10</v>
      </c>
      <c r="E130" s="11">
        <v>14</v>
      </c>
      <c r="F130" s="12">
        <v>53.7</v>
      </c>
      <c r="G130">
        <v>45.865185613173466</v>
      </c>
      <c r="H130" t="s">
        <v>12</v>
      </c>
      <c r="I130" t="s">
        <v>12</v>
      </c>
      <c r="AD130" s="17">
        <v>128</v>
      </c>
      <c r="AE130" s="6">
        <v>3.0432399999999999</v>
      </c>
      <c r="AF130" s="6">
        <v>2.0002</v>
      </c>
      <c r="AG130" s="6">
        <v>2.9302999999999999</v>
      </c>
      <c r="AH130" s="6">
        <v>255</v>
      </c>
      <c r="AJ130" s="17">
        <v>128</v>
      </c>
      <c r="AK130" s="6">
        <v>5.7706499999999998</v>
      </c>
      <c r="AL130" s="6">
        <v>2.0002</v>
      </c>
      <c r="AM130" s="6">
        <v>2.9302999999999999</v>
      </c>
      <c r="AN130" s="6">
        <v>255</v>
      </c>
      <c r="AQ130" s="17">
        <v>128</v>
      </c>
      <c r="AR130" s="6">
        <v>1.58823</v>
      </c>
      <c r="AS130" s="6">
        <v>1.1238999999999999</v>
      </c>
      <c r="AT130" s="6">
        <v>0.80649999999999999</v>
      </c>
      <c r="AU130" s="6">
        <v>255</v>
      </c>
      <c r="AW130" s="17">
        <v>128</v>
      </c>
      <c r="AX130" s="6">
        <v>0.83757000000000004</v>
      </c>
      <c r="AY130" s="6">
        <v>1.1238999999999999</v>
      </c>
      <c r="AZ130" s="6">
        <v>0.80649999999999999</v>
      </c>
      <c r="BA130" s="6">
        <v>255</v>
      </c>
      <c r="BN130" s="17">
        <v>128</v>
      </c>
      <c r="BO130" s="6">
        <v>42.82125379</v>
      </c>
      <c r="BP130" s="6">
        <v>43.133111659999997</v>
      </c>
      <c r="BQ130" s="19">
        <v>-0.31185786999999998</v>
      </c>
    </row>
    <row r="131" spans="1:69" x14ac:dyDescent="0.25">
      <c r="A131" t="s">
        <v>7</v>
      </c>
      <c r="B131" s="11">
        <v>3</v>
      </c>
      <c r="C131" s="11">
        <v>1</v>
      </c>
      <c r="D131" s="11">
        <v>10</v>
      </c>
      <c r="E131" s="11">
        <v>37</v>
      </c>
      <c r="F131" s="12">
        <v>53.5</v>
      </c>
      <c r="G131">
        <v>44.120137223746923</v>
      </c>
      <c r="H131" t="s">
        <v>12</v>
      </c>
      <c r="I131" t="s">
        <v>12</v>
      </c>
      <c r="AD131" s="17">
        <v>129</v>
      </c>
      <c r="AE131" s="6">
        <v>3.0553499999999998</v>
      </c>
      <c r="AF131" s="6">
        <v>3.8938999999999999</v>
      </c>
      <c r="AG131" s="6">
        <v>2.9420000000000002</v>
      </c>
      <c r="AH131" s="6">
        <v>255</v>
      </c>
      <c r="AJ131" s="17">
        <v>129</v>
      </c>
      <c r="AK131" s="6">
        <v>5.7936199999999998</v>
      </c>
      <c r="AL131" s="6">
        <v>3.8938999999999999</v>
      </c>
      <c r="AM131" s="6">
        <v>2.9420000000000002</v>
      </c>
      <c r="AN131" s="6">
        <v>255</v>
      </c>
      <c r="AQ131" s="17">
        <v>129</v>
      </c>
      <c r="AR131" s="6">
        <v>1.59409</v>
      </c>
      <c r="AS131" s="6">
        <v>2.0535000000000001</v>
      </c>
      <c r="AT131" s="6">
        <v>0.8095</v>
      </c>
      <c r="AU131" s="6">
        <v>255</v>
      </c>
      <c r="AW131" s="17">
        <v>129</v>
      </c>
      <c r="AX131" s="6">
        <v>0.84067000000000003</v>
      </c>
      <c r="AY131" s="6">
        <v>2.0535000000000001</v>
      </c>
      <c r="AZ131" s="6">
        <v>0.8095</v>
      </c>
      <c r="BA131" s="6">
        <v>255</v>
      </c>
      <c r="BN131" s="17">
        <v>129</v>
      </c>
      <c r="BO131" s="6">
        <v>45.865185609999997</v>
      </c>
      <c r="BP131" s="6">
        <v>46.947218339999999</v>
      </c>
      <c r="BQ131" s="19">
        <v>-1.0820327300000001</v>
      </c>
    </row>
    <row r="132" spans="1:69" x14ac:dyDescent="0.25">
      <c r="A132" t="s">
        <v>7</v>
      </c>
      <c r="B132" s="11">
        <v>3</v>
      </c>
      <c r="C132" s="11">
        <v>1</v>
      </c>
      <c r="D132" s="11">
        <v>11</v>
      </c>
      <c r="E132" s="11">
        <v>34</v>
      </c>
      <c r="F132" s="12">
        <v>53.5</v>
      </c>
      <c r="G132">
        <v>43.926320054017545</v>
      </c>
      <c r="H132" t="s">
        <v>12</v>
      </c>
      <c r="I132" t="s">
        <v>12</v>
      </c>
      <c r="AD132" s="17">
        <v>130</v>
      </c>
      <c r="AE132" s="6">
        <v>3.06155</v>
      </c>
      <c r="AF132" s="19">
        <v>-2.2559</v>
      </c>
      <c r="AG132" s="6">
        <v>2.9479000000000002</v>
      </c>
      <c r="AH132" s="6">
        <v>255</v>
      </c>
      <c r="AJ132" s="17">
        <v>130</v>
      </c>
      <c r="AK132" s="6">
        <v>5.8053800000000004</v>
      </c>
      <c r="AL132" s="19">
        <v>-2.2559</v>
      </c>
      <c r="AM132" s="6">
        <v>2.9479000000000002</v>
      </c>
      <c r="AN132" s="6">
        <v>255</v>
      </c>
      <c r="AQ132" s="17">
        <v>130</v>
      </c>
      <c r="AR132" s="6">
        <v>1.5965499999999999</v>
      </c>
      <c r="AS132" s="19">
        <v>-0.311</v>
      </c>
      <c r="AT132" s="6">
        <v>0.81069999999999998</v>
      </c>
      <c r="AU132" s="6">
        <v>255</v>
      </c>
      <c r="AW132" s="17">
        <v>130</v>
      </c>
      <c r="AX132" s="6">
        <v>0.84197</v>
      </c>
      <c r="AY132" s="19">
        <v>-0.311</v>
      </c>
      <c r="AZ132" s="6">
        <v>0.81069999999999998</v>
      </c>
      <c r="BA132" s="6">
        <v>255</v>
      </c>
      <c r="BN132" s="17">
        <v>130</v>
      </c>
      <c r="BO132" s="6">
        <v>44.120137219999997</v>
      </c>
      <c r="BP132" s="6">
        <v>44.267615980000002</v>
      </c>
      <c r="BQ132" s="19">
        <v>-0.14747875999999999</v>
      </c>
    </row>
    <row r="133" spans="1:69" x14ac:dyDescent="0.25">
      <c r="A133" t="s">
        <v>7</v>
      </c>
      <c r="B133" s="11">
        <v>3</v>
      </c>
      <c r="C133" s="11">
        <v>2</v>
      </c>
      <c r="D133" s="11">
        <v>11</v>
      </c>
      <c r="E133" s="11">
        <v>48</v>
      </c>
      <c r="F133" s="12">
        <v>47.5</v>
      </c>
      <c r="G133">
        <v>34.066237098485573</v>
      </c>
      <c r="H133" t="s">
        <v>12</v>
      </c>
      <c r="I133" t="s">
        <v>12</v>
      </c>
      <c r="AD133" s="17">
        <v>131</v>
      </c>
      <c r="AE133" s="6">
        <v>3.04135</v>
      </c>
      <c r="AF133" s="6">
        <v>0.86899999999999999</v>
      </c>
      <c r="AG133" s="6">
        <v>2.9285000000000001</v>
      </c>
      <c r="AH133" s="6">
        <v>255</v>
      </c>
      <c r="AJ133" s="17">
        <v>131</v>
      </c>
      <c r="AK133" s="6">
        <v>5.7670700000000004</v>
      </c>
      <c r="AL133" s="6">
        <v>0.86899999999999999</v>
      </c>
      <c r="AM133" s="6">
        <v>2.9285000000000001</v>
      </c>
      <c r="AN133" s="6">
        <v>255</v>
      </c>
      <c r="AQ133" s="17">
        <v>131</v>
      </c>
      <c r="AR133" s="6">
        <v>1.5827</v>
      </c>
      <c r="AS133" s="6">
        <v>2.0621</v>
      </c>
      <c r="AT133" s="6">
        <v>0.80369999999999997</v>
      </c>
      <c r="AU133" s="6">
        <v>255</v>
      </c>
      <c r="AW133" s="17">
        <v>131</v>
      </c>
      <c r="AX133" s="6">
        <v>0.83465999999999996</v>
      </c>
      <c r="AY133" s="6">
        <v>2.0621</v>
      </c>
      <c r="AZ133" s="6">
        <v>0.80369999999999997</v>
      </c>
      <c r="BA133" s="6">
        <v>255</v>
      </c>
      <c r="BN133" s="17">
        <v>131</v>
      </c>
      <c r="BO133" s="6">
        <v>43.926320050000001</v>
      </c>
      <c r="BP133" s="6">
        <v>43.868251600000001</v>
      </c>
      <c r="BQ133" s="6">
        <v>5.8068450000000001E-2</v>
      </c>
    </row>
    <row r="134" spans="1:69" x14ac:dyDescent="0.25">
      <c r="A134" t="s">
        <v>7</v>
      </c>
      <c r="B134" s="11">
        <v>3</v>
      </c>
      <c r="C134" s="11">
        <v>3</v>
      </c>
      <c r="D134" s="11">
        <v>11</v>
      </c>
      <c r="E134" s="11">
        <v>23</v>
      </c>
      <c r="F134" s="2">
        <v>55.7</v>
      </c>
      <c r="G134">
        <v>45.637214237484322</v>
      </c>
      <c r="H134" t="s">
        <v>12</v>
      </c>
      <c r="I134" t="s">
        <v>12</v>
      </c>
      <c r="AD134" s="17">
        <v>132</v>
      </c>
      <c r="AE134" s="6">
        <v>3.0358900000000002</v>
      </c>
      <c r="AF134" s="6">
        <v>3.1867000000000001</v>
      </c>
      <c r="AG134" s="6">
        <v>2.9232</v>
      </c>
      <c r="AH134" s="6">
        <v>255</v>
      </c>
      <c r="AJ134" s="17">
        <v>132</v>
      </c>
      <c r="AK134" s="6">
        <v>5.7567199999999996</v>
      </c>
      <c r="AL134" s="6">
        <v>3.1867000000000001</v>
      </c>
      <c r="AM134" s="6">
        <v>2.9232</v>
      </c>
      <c r="AN134" s="6">
        <v>255</v>
      </c>
      <c r="AQ134" s="17">
        <v>132</v>
      </c>
      <c r="AR134" s="6">
        <v>1.5943799999999999</v>
      </c>
      <c r="AS134" s="6">
        <v>1.7947</v>
      </c>
      <c r="AT134" s="6">
        <v>0.80959999999999999</v>
      </c>
      <c r="AU134" s="6">
        <v>255</v>
      </c>
      <c r="AW134" s="17">
        <v>132</v>
      </c>
      <c r="AX134" s="6">
        <v>0.84082000000000001</v>
      </c>
      <c r="AY134" s="6">
        <v>1.7947</v>
      </c>
      <c r="AZ134" s="6">
        <v>0.80959999999999999</v>
      </c>
      <c r="BA134" s="6">
        <v>255</v>
      </c>
      <c r="BN134" s="17">
        <v>132</v>
      </c>
      <c r="BO134" s="6">
        <v>34.066237100000002</v>
      </c>
      <c r="BP134" s="6">
        <v>34.678266360000002</v>
      </c>
      <c r="BQ134" s="19">
        <v>-0.61202926000000002</v>
      </c>
    </row>
    <row r="135" spans="1:69" x14ac:dyDescent="0.25">
      <c r="A135" t="s">
        <v>7</v>
      </c>
      <c r="B135" s="11">
        <v>3</v>
      </c>
      <c r="C135" s="11">
        <v>4</v>
      </c>
      <c r="D135" s="11">
        <v>11</v>
      </c>
      <c r="E135" s="11">
        <v>58</v>
      </c>
      <c r="F135" s="2">
        <v>49.3</v>
      </c>
      <c r="G135">
        <v>32.30644931031155</v>
      </c>
      <c r="H135" t="s">
        <v>12</v>
      </c>
      <c r="I135" t="s">
        <v>12</v>
      </c>
      <c r="AD135" s="17">
        <v>133</v>
      </c>
      <c r="AE135" s="6">
        <v>3.0437699999999999</v>
      </c>
      <c r="AF135" s="6">
        <v>3.0634999999999999</v>
      </c>
      <c r="AG135" s="6">
        <v>2.9308000000000001</v>
      </c>
      <c r="AH135" s="6">
        <v>255</v>
      </c>
      <c r="AJ135" s="17">
        <v>133</v>
      </c>
      <c r="AK135" s="6">
        <v>5.7716500000000002</v>
      </c>
      <c r="AL135" s="6">
        <v>3.0634999999999999</v>
      </c>
      <c r="AM135" s="6">
        <v>2.9308000000000001</v>
      </c>
      <c r="AN135" s="6">
        <v>255</v>
      </c>
      <c r="AQ135" s="17">
        <v>133</v>
      </c>
      <c r="AR135" s="6">
        <v>1.59595</v>
      </c>
      <c r="AS135" s="6">
        <v>2.0470999999999999</v>
      </c>
      <c r="AT135" s="6">
        <v>0.81040000000000001</v>
      </c>
      <c r="AU135" s="6">
        <v>255</v>
      </c>
      <c r="AW135" s="17">
        <v>133</v>
      </c>
      <c r="AX135" s="6">
        <v>0.84165000000000001</v>
      </c>
      <c r="AY135" s="6">
        <v>2.0470999999999999</v>
      </c>
      <c r="AZ135" s="6">
        <v>0.81040000000000001</v>
      </c>
      <c r="BA135" s="6">
        <v>255</v>
      </c>
      <c r="BN135" s="17">
        <v>133</v>
      </c>
      <c r="BO135" s="6">
        <v>45.637214239999999</v>
      </c>
      <c r="BP135" s="6">
        <v>46.8713379</v>
      </c>
      <c r="BQ135" s="19">
        <v>-1.2341236600000001</v>
      </c>
    </row>
    <row r="136" spans="1:69" x14ac:dyDescent="0.25">
      <c r="A136" t="s">
        <v>7</v>
      </c>
      <c r="B136" s="11">
        <v>3</v>
      </c>
      <c r="C136" s="11">
        <v>5</v>
      </c>
      <c r="D136" s="11">
        <v>11</v>
      </c>
      <c r="E136" s="11">
        <v>35</v>
      </c>
      <c r="F136" s="2">
        <v>52.8</v>
      </c>
      <c r="G136">
        <v>35.92409858203915</v>
      </c>
      <c r="H136" t="s">
        <v>12</v>
      </c>
      <c r="I136" t="s">
        <v>12</v>
      </c>
      <c r="AD136" s="17">
        <v>134</v>
      </c>
      <c r="AE136" s="6">
        <v>3.0673300000000001</v>
      </c>
      <c r="AF136" s="19">
        <v>-0.42309999999999998</v>
      </c>
      <c r="AG136" s="6">
        <v>2.9535</v>
      </c>
      <c r="AH136" s="6">
        <v>255</v>
      </c>
      <c r="AJ136" s="17">
        <v>134</v>
      </c>
      <c r="AK136" s="6">
        <v>5.8163299999999998</v>
      </c>
      <c r="AL136" s="19">
        <v>-0.42309999999999998</v>
      </c>
      <c r="AM136" s="6">
        <v>2.9535</v>
      </c>
      <c r="AN136" s="6">
        <v>255</v>
      </c>
      <c r="AQ136" s="17">
        <v>134</v>
      </c>
      <c r="AR136" s="6">
        <v>1.5947899999999999</v>
      </c>
      <c r="AS136" s="6">
        <v>0.6663</v>
      </c>
      <c r="AT136" s="6">
        <v>0.80979999999999996</v>
      </c>
      <c r="AU136" s="6">
        <v>255</v>
      </c>
      <c r="AW136" s="17">
        <v>134</v>
      </c>
      <c r="AX136" s="6">
        <v>0.84104000000000001</v>
      </c>
      <c r="AY136" s="6">
        <v>0.6663</v>
      </c>
      <c r="AZ136" s="6">
        <v>0.80979999999999996</v>
      </c>
      <c r="BA136" s="6">
        <v>255</v>
      </c>
      <c r="BN136" s="17">
        <v>134</v>
      </c>
      <c r="BO136" s="6">
        <v>32.306449309999998</v>
      </c>
      <c r="BP136" s="6">
        <v>34.580793380000003</v>
      </c>
      <c r="BQ136" s="19">
        <v>-2.2743440700000002</v>
      </c>
    </row>
    <row r="137" spans="1:69" x14ac:dyDescent="0.25">
      <c r="A137" t="s">
        <v>7</v>
      </c>
      <c r="B137" s="11">
        <v>3</v>
      </c>
      <c r="C137" s="11">
        <v>6</v>
      </c>
      <c r="D137" s="11">
        <v>11</v>
      </c>
      <c r="E137" s="11">
        <v>39</v>
      </c>
      <c r="F137" s="2">
        <v>51.5</v>
      </c>
      <c r="G137">
        <v>44.392719205170238</v>
      </c>
      <c r="H137" t="s">
        <v>12</v>
      </c>
      <c r="I137" t="s">
        <v>12</v>
      </c>
      <c r="AD137" s="17">
        <v>135</v>
      </c>
      <c r="AE137" s="6">
        <v>3.0568200000000001</v>
      </c>
      <c r="AF137" s="6">
        <v>0.76459999999999995</v>
      </c>
      <c r="AG137" s="6">
        <v>2.9434</v>
      </c>
      <c r="AH137" s="6">
        <v>255</v>
      </c>
      <c r="AJ137" s="17">
        <v>135</v>
      </c>
      <c r="AK137" s="6">
        <v>5.7964099999999998</v>
      </c>
      <c r="AL137" s="6">
        <v>0.76459999999999995</v>
      </c>
      <c r="AM137" s="6">
        <v>2.9434</v>
      </c>
      <c r="AN137" s="6">
        <v>255</v>
      </c>
      <c r="AQ137" s="17">
        <v>135</v>
      </c>
      <c r="AR137" s="6">
        <v>1.59249</v>
      </c>
      <c r="AS137" s="6">
        <v>1.0295000000000001</v>
      </c>
      <c r="AT137" s="6">
        <v>0.80869999999999997</v>
      </c>
      <c r="AU137" s="6">
        <v>255</v>
      </c>
      <c r="AW137" s="17">
        <v>135</v>
      </c>
      <c r="AX137" s="6">
        <v>0.83982000000000001</v>
      </c>
      <c r="AY137" s="6">
        <v>1.0295000000000001</v>
      </c>
      <c r="AZ137" s="6">
        <v>0.80869999999999997</v>
      </c>
      <c r="BA137" s="6">
        <v>255</v>
      </c>
      <c r="BN137" s="17">
        <v>135</v>
      </c>
      <c r="BO137" s="6">
        <v>35.924098579999999</v>
      </c>
      <c r="BP137" s="6">
        <v>38.014171580000003</v>
      </c>
      <c r="BQ137" s="19">
        <v>-2.0900729999999998</v>
      </c>
    </row>
    <row r="138" spans="1:69" x14ac:dyDescent="0.25">
      <c r="A138" t="s">
        <v>7</v>
      </c>
      <c r="B138" s="11">
        <v>3</v>
      </c>
      <c r="C138" s="11">
        <v>7</v>
      </c>
      <c r="D138" s="11">
        <v>11</v>
      </c>
      <c r="E138" s="11">
        <v>15</v>
      </c>
      <c r="F138" s="2">
        <v>51.4</v>
      </c>
      <c r="G138">
        <v>40.912201215394994</v>
      </c>
      <c r="H138" t="s">
        <v>12</v>
      </c>
      <c r="I138" t="s">
        <v>12</v>
      </c>
      <c r="AD138" s="17">
        <v>136</v>
      </c>
      <c r="AE138" s="6">
        <v>3.0421299999999998</v>
      </c>
      <c r="AF138" s="6">
        <v>1.3375999999999999</v>
      </c>
      <c r="AG138" s="6">
        <v>2.9291999999999998</v>
      </c>
      <c r="AH138" s="6">
        <v>255</v>
      </c>
      <c r="AJ138" s="17">
        <v>136</v>
      </c>
      <c r="AK138" s="6">
        <v>5.7685399999999998</v>
      </c>
      <c r="AL138" s="6">
        <v>1.3375999999999999</v>
      </c>
      <c r="AM138" s="6">
        <v>2.9291999999999998</v>
      </c>
      <c r="AN138" s="6">
        <v>255</v>
      </c>
      <c r="AQ138" s="17">
        <v>136</v>
      </c>
      <c r="AR138" s="6">
        <v>1.5889500000000001</v>
      </c>
      <c r="AS138" s="6">
        <v>1.5649999999999999</v>
      </c>
      <c r="AT138" s="6">
        <v>0.80689999999999995</v>
      </c>
      <c r="AU138" s="6">
        <v>255</v>
      </c>
      <c r="AW138" s="17">
        <v>136</v>
      </c>
      <c r="AX138" s="6">
        <v>0.83794999999999997</v>
      </c>
      <c r="AY138" s="6">
        <v>1.5649999999999999</v>
      </c>
      <c r="AZ138" s="6">
        <v>0.80689999999999995</v>
      </c>
      <c r="BA138" s="6">
        <v>255</v>
      </c>
      <c r="BN138" s="17">
        <v>136</v>
      </c>
      <c r="BO138" s="6">
        <v>44.392719210000003</v>
      </c>
      <c r="BP138" s="6">
        <v>46.737702990000003</v>
      </c>
      <c r="BQ138" s="19">
        <v>-2.3449837800000002</v>
      </c>
    </row>
    <row r="139" spans="1:69" x14ac:dyDescent="0.25">
      <c r="A139" t="s">
        <v>7</v>
      </c>
      <c r="B139" s="11">
        <v>3</v>
      </c>
      <c r="C139" s="11">
        <v>8</v>
      </c>
      <c r="D139" s="11">
        <v>11</v>
      </c>
      <c r="E139" s="11">
        <v>46</v>
      </c>
      <c r="F139" s="2">
        <v>52</v>
      </c>
      <c r="G139">
        <v>42.017941545287925</v>
      </c>
      <c r="H139" t="s">
        <v>12</v>
      </c>
      <c r="I139" t="s">
        <v>12</v>
      </c>
      <c r="AD139" s="17">
        <v>137</v>
      </c>
      <c r="AE139" s="6">
        <v>3.0344199999999999</v>
      </c>
      <c r="AF139" s="6">
        <v>1.3608</v>
      </c>
      <c r="AG139" s="6">
        <v>2.9218000000000002</v>
      </c>
      <c r="AH139" s="6">
        <v>255</v>
      </c>
      <c r="AJ139" s="17">
        <v>137</v>
      </c>
      <c r="AK139" s="6">
        <v>5.7539300000000004</v>
      </c>
      <c r="AL139" s="6">
        <v>1.3608</v>
      </c>
      <c r="AM139" s="6">
        <v>2.9218000000000002</v>
      </c>
      <c r="AN139" s="6">
        <v>255</v>
      </c>
      <c r="AQ139" s="17">
        <v>137</v>
      </c>
      <c r="AR139" s="6">
        <v>1.5838399999999999</v>
      </c>
      <c r="AS139" s="6">
        <v>2.0291000000000001</v>
      </c>
      <c r="AT139" s="6">
        <v>0.80430000000000001</v>
      </c>
      <c r="AU139" s="6">
        <v>255</v>
      </c>
      <c r="AW139" s="17">
        <v>137</v>
      </c>
      <c r="AX139" s="6">
        <v>0.83526</v>
      </c>
      <c r="AY139" s="6">
        <v>2.0291000000000001</v>
      </c>
      <c r="AZ139" s="6">
        <v>0.80430000000000001</v>
      </c>
      <c r="BA139" s="6">
        <v>255</v>
      </c>
      <c r="BN139" s="17">
        <v>137</v>
      </c>
      <c r="BO139" s="6">
        <v>40.91220122</v>
      </c>
      <c r="BP139" s="6">
        <v>41.899018490000003</v>
      </c>
      <c r="BQ139" s="19">
        <v>-0.98681726999999997</v>
      </c>
    </row>
    <row r="140" spans="1:69" x14ac:dyDescent="0.25">
      <c r="A140" t="s">
        <v>7</v>
      </c>
      <c r="B140" s="11">
        <v>3</v>
      </c>
      <c r="C140" s="11">
        <v>9</v>
      </c>
      <c r="D140" s="11">
        <v>11</v>
      </c>
      <c r="E140" s="11">
        <v>5</v>
      </c>
      <c r="F140" s="2">
        <v>52.2</v>
      </c>
      <c r="G140">
        <v>40.270615896594947</v>
      </c>
      <c r="H140" t="s">
        <v>12</v>
      </c>
      <c r="I140" t="s">
        <v>12</v>
      </c>
      <c r="AD140" s="17">
        <v>138</v>
      </c>
      <c r="AE140" s="6">
        <v>3.0614699999999999</v>
      </c>
      <c r="AF140" s="6">
        <v>0.37840000000000001</v>
      </c>
      <c r="AG140" s="6">
        <v>2.9478</v>
      </c>
      <c r="AH140" s="6">
        <v>255</v>
      </c>
      <c r="AJ140" s="17">
        <v>138</v>
      </c>
      <c r="AK140" s="6">
        <v>5.8052200000000003</v>
      </c>
      <c r="AL140" s="6">
        <v>0.37840000000000001</v>
      </c>
      <c r="AM140" s="6">
        <v>2.9478</v>
      </c>
      <c r="AN140" s="6">
        <v>255</v>
      </c>
      <c r="AQ140" s="17">
        <v>138</v>
      </c>
      <c r="AR140" s="6">
        <v>1.5938099999999999</v>
      </c>
      <c r="AS140" s="6">
        <v>0.91469999999999996</v>
      </c>
      <c r="AT140" s="6">
        <v>0.80930000000000002</v>
      </c>
      <c r="AU140" s="6">
        <v>255</v>
      </c>
      <c r="AW140" s="17">
        <v>138</v>
      </c>
      <c r="AX140" s="6">
        <v>0.84052000000000004</v>
      </c>
      <c r="AY140" s="6">
        <v>0.91469999999999996</v>
      </c>
      <c r="AZ140" s="6">
        <v>0.80930000000000002</v>
      </c>
      <c r="BA140" s="6">
        <v>255</v>
      </c>
      <c r="BN140" s="17">
        <v>138</v>
      </c>
      <c r="BO140" s="6">
        <v>42.017941550000003</v>
      </c>
      <c r="BP140" s="6">
        <v>40.164570439999999</v>
      </c>
      <c r="BQ140" s="6">
        <v>1.8533711100000001</v>
      </c>
    </row>
    <row r="141" spans="1:69" x14ac:dyDescent="0.25">
      <c r="A141" t="s">
        <v>7</v>
      </c>
      <c r="B141" s="11">
        <v>3</v>
      </c>
      <c r="C141" s="11">
        <v>10</v>
      </c>
      <c r="D141" s="11">
        <v>11</v>
      </c>
      <c r="E141" s="11">
        <v>1</v>
      </c>
      <c r="F141" s="2">
        <v>53.1</v>
      </c>
      <c r="G141">
        <v>47.942662293816916</v>
      </c>
      <c r="H141" t="s">
        <v>12</v>
      </c>
      <c r="I141" t="s">
        <v>12</v>
      </c>
      <c r="AD141" s="17">
        <v>139</v>
      </c>
      <c r="AE141" s="6">
        <v>3.0331600000000001</v>
      </c>
      <c r="AF141" s="6">
        <v>7.9680999999999997</v>
      </c>
      <c r="AG141" s="6">
        <v>2.9205999999999999</v>
      </c>
      <c r="AH141" s="6">
        <v>255</v>
      </c>
      <c r="AJ141" s="17">
        <v>139</v>
      </c>
      <c r="AK141" s="6">
        <v>5.7515299999999998</v>
      </c>
      <c r="AL141" s="6">
        <v>7.9680999999999997</v>
      </c>
      <c r="AM141" s="6">
        <v>2.9205999999999999</v>
      </c>
      <c r="AN141" s="6">
        <v>255</v>
      </c>
      <c r="AQ141" s="17">
        <v>139</v>
      </c>
      <c r="AR141" s="6">
        <v>1.5929899999999999</v>
      </c>
      <c r="AS141" s="6">
        <v>2.2902</v>
      </c>
      <c r="AT141" s="6">
        <v>0.80889999999999995</v>
      </c>
      <c r="AU141" s="6">
        <v>255</v>
      </c>
      <c r="AW141" s="17">
        <v>139</v>
      </c>
      <c r="AX141" s="6">
        <v>0.84009</v>
      </c>
      <c r="AY141" s="6">
        <v>2.2902</v>
      </c>
      <c r="AZ141" s="6">
        <v>0.80889999999999995</v>
      </c>
      <c r="BA141" s="6">
        <v>255</v>
      </c>
      <c r="BN141" s="17">
        <v>139</v>
      </c>
      <c r="BO141" s="6">
        <v>40.270615900000003</v>
      </c>
      <c r="BP141" s="6">
        <v>43.670933040000001</v>
      </c>
      <c r="BQ141" s="19">
        <v>-3.4003171399999998</v>
      </c>
    </row>
    <row r="142" spans="1:69" x14ac:dyDescent="0.25">
      <c r="A142" t="s">
        <v>7</v>
      </c>
      <c r="B142" s="11">
        <v>3</v>
      </c>
      <c r="C142" s="11">
        <v>11</v>
      </c>
      <c r="D142" s="11">
        <v>11</v>
      </c>
      <c r="E142" s="11">
        <v>2</v>
      </c>
      <c r="F142" s="2">
        <v>53.4</v>
      </c>
      <c r="G142">
        <v>40.98897945403683</v>
      </c>
      <c r="H142" t="s">
        <v>12</v>
      </c>
      <c r="I142" t="s">
        <v>12</v>
      </c>
      <c r="AD142" s="17">
        <v>140</v>
      </c>
      <c r="AE142" s="6">
        <v>3.0291700000000001</v>
      </c>
      <c r="AF142" s="6">
        <v>1.9277</v>
      </c>
      <c r="AG142" s="6">
        <v>2.9167000000000001</v>
      </c>
      <c r="AH142" s="6">
        <v>255</v>
      </c>
      <c r="AJ142" s="17">
        <v>140</v>
      </c>
      <c r="AK142" s="6">
        <v>5.74397</v>
      </c>
      <c r="AL142" s="6">
        <v>1.9277</v>
      </c>
      <c r="AM142" s="6">
        <v>2.9167000000000001</v>
      </c>
      <c r="AN142" s="6">
        <v>255</v>
      </c>
      <c r="AQ142" s="17">
        <v>140</v>
      </c>
      <c r="AR142" s="6">
        <v>1.58321</v>
      </c>
      <c r="AS142" s="6">
        <v>0.92079999999999995</v>
      </c>
      <c r="AT142" s="6">
        <v>0.80389999999999995</v>
      </c>
      <c r="AU142" s="6">
        <v>255</v>
      </c>
      <c r="AW142" s="17">
        <v>140</v>
      </c>
      <c r="AX142" s="6">
        <v>0.83492999999999995</v>
      </c>
      <c r="AY142" s="6">
        <v>0.92079999999999995</v>
      </c>
      <c r="AZ142" s="6">
        <v>0.80389999999999995</v>
      </c>
      <c r="BA142" s="6">
        <v>255</v>
      </c>
      <c r="BN142" s="17">
        <v>140</v>
      </c>
      <c r="BO142" s="6">
        <v>47.942662290000001</v>
      </c>
      <c r="BP142" s="6">
        <v>43.478112639999999</v>
      </c>
      <c r="BQ142" s="6">
        <v>4.4645496500000004</v>
      </c>
    </row>
    <row r="143" spans="1:69" x14ac:dyDescent="0.25">
      <c r="A143" t="s">
        <v>7</v>
      </c>
      <c r="B143" s="11">
        <v>3</v>
      </c>
      <c r="C143" s="11">
        <v>12</v>
      </c>
      <c r="D143" s="11">
        <v>11</v>
      </c>
      <c r="E143" s="11">
        <v>24</v>
      </c>
      <c r="F143" s="2">
        <v>51.7</v>
      </c>
      <c r="G143">
        <v>44.817339153081896</v>
      </c>
      <c r="H143" t="s">
        <v>12</v>
      </c>
      <c r="I143" t="s">
        <v>12</v>
      </c>
      <c r="AD143" s="17">
        <v>141</v>
      </c>
      <c r="AE143" s="6">
        <v>3.0446</v>
      </c>
      <c r="AF143" s="6">
        <v>10.691599999999999</v>
      </c>
      <c r="AG143" s="6">
        <v>2.9316</v>
      </c>
      <c r="AH143" s="6">
        <v>255</v>
      </c>
      <c r="AJ143" s="17">
        <v>141</v>
      </c>
      <c r="AK143" s="6">
        <v>5.7732299999999999</v>
      </c>
      <c r="AL143" s="6">
        <v>10.691599999999999</v>
      </c>
      <c r="AM143" s="6">
        <v>2.9316</v>
      </c>
      <c r="AN143" s="6">
        <v>255</v>
      </c>
      <c r="AQ143" s="17">
        <v>141</v>
      </c>
      <c r="AR143" s="6">
        <v>1.59615</v>
      </c>
      <c r="AS143" s="6">
        <v>3.4121999999999999</v>
      </c>
      <c r="AT143" s="6">
        <v>0.8105</v>
      </c>
      <c r="AU143" s="6">
        <v>255</v>
      </c>
      <c r="AW143" s="17">
        <v>141</v>
      </c>
      <c r="AX143" s="6">
        <v>0.84175999999999995</v>
      </c>
      <c r="AY143" s="6">
        <v>3.4121999999999999</v>
      </c>
      <c r="AZ143" s="6">
        <v>0.8105</v>
      </c>
      <c r="BA143" s="6">
        <v>255</v>
      </c>
      <c r="BN143" s="17">
        <v>141</v>
      </c>
      <c r="BO143" s="6">
        <v>40.988979450000002</v>
      </c>
      <c r="BP143" s="6">
        <v>41.0184766</v>
      </c>
      <c r="BQ143" s="19">
        <v>-2.949715E-2</v>
      </c>
    </row>
    <row r="144" spans="1:69" x14ac:dyDescent="0.25">
      <c r="A144" t="s">
        <v>7</v>
      </c>
      <c r="B144" s="11">
        <v>3</v>
      </c>
      <c r="C144" s="11">
        <v>13</v>
      </c>
      <c r="D144" s="11">
        <v>11</v>
      </c>
      <c r="E144" s="11">
        <v>57</v>
      </c>
      <c r="F144" s="2">
        <v>51.8</v>
      </c>
      <c r="G144">
        <v>34.220557538342817</v>
      </c>
      <c r="H144" t="s">
        <v>12</v>
      </c>
      <c r="I144" t="s">
        <v>12</v>
      </c>
      <c r="AD144" s="17">
        <v>142</v>
      </c>
      <c r="AE144" s="6">
        <v>3.0455100000000002</v>
      </c>
      <c r="AF144" s="6">
        <v>5.2613000000000003</v>
      </c>
      <c r="AG144" s="6">
        <v>2.9325000000000001</v>
      </c>
      <c r="AH144" s="6">
        <v>255</v>
      </c>
      <c r="AJ144" s="17">
        <v>142</v>
      </c>
      <c r="AK144" s="6">
        <v>5.7749600000000001</v>
      </c>
      <c r="AL144" s="6">
        <v>5.2613000000000003</v>
      </c>
      <c r="AM144" s="6">
        <v>2.9325000000000001</v>
      </c>
      <c r="AN144" s="6">
        <v>255</v>
      </c>
      <c r="AQ144" s="17">
        <v>142</v>
      </c>
      <c r="AR144" s="6">
        <v>1.5883499999999999</v>
      </c>
      <c r="AS144" s="6">
        <v>2.0716000000000001</v>
      </c>
      <c r="AT144" s="6">
        <v>0.80649999999999999</v>
      </c>
      <c r="AU144" s="6">
        <v>255</v>
      </c>
      <c r="AW144" s="17">
        <v>142</v>
      </c>
      <c r="AX144" s="6">
        <v>0.83764000000000005</v>
      </c>
      <c r="AY144" s="6">
        <v>2.0716000000000001</v>
      </c>
      <c r="AZ144" s="6">
        <v>0.80649999999999999</v>
      </c>
      <c r="BA144" s="6">
        <v>255</v>
      </c>
      <c r="BN144" s="17">
        <v>142</v>
      </c>
      <c r="BO144" s="6">
        <v>44.817339150000002</v>
      </c>
      <c r="BP144" s="6">
        <v>45.100370009999999</v>
      </c>
      <c r="BQ144" s="19">
        <v>-0.28303086</v>
      </c>
    </row>
    <row r="145" spans="1:69" x14ac:dyDescent="0.25">
      <c r="A145" t="s">
        <v>7</v>
      </c>
      <c r="B145" s="11">
        <v>3</v>
      </c>
      <c r="C145" s="11">
        <v>13</v>
      </c>
      <c r="D145" s="11">
        <v>12</v>
      </c>
      <c r="E145" s="11">
        <v>44</v>
      </c>
      <c r="F145" s="2">
        <v>50</v>
      </c>
      <c r="G145">
        <v>29.639939332659246</v>
      </c>
      <c r="H145" t="s">
        <v>12</v>
      </c>
      <c r="I145" t="s">
        <v>12</v>
      </c>
      <c r="AD145" s="17">
        <v>143</v>
      </c>
      <c r="AE145" s="6">
        <v>3.03816</v>
      </c>
      <c r="AF145" s="6">
        <v>3.0011000000000001</v>
      </c>
      <c r="AG145" s="6">
        <v>2.9253999999999998</v>
      </c>
      <c r="AH145" s="6">
        <v>255</v>
      </c>
      <c r="AJ145" s="17">
        <v>143</v>
      </c>
      <c r="AK145" s="6">
        <v>5.7610200000000003</v>
      </c>
      <c r="AL145" s="6">
        <v>3.0011000000000001</v>
      </c>
      <c r="AM145" s="6">
        <v>2.9253999999999998</v>
      </c>
      <c r="AN145" s="6">
        <v>255</v>
      </c>
      <c r="AQ145" s="17">
        <v>143</v>
      </c>
      <c r="AR145" s="6">
        <v>1.59043</v>
      </c>
      <c r="AS145" s="6">
        <v>2.2416999999999998</v>
      </c>
      <c r="AT145" s="6">
        <v>0.80759999999999998</v>
      </c>
      <c r="AU145" s="6">
        <v>255</v>
      </c>
      <c r="AW145" s="17">
        <v>143</v>
      </c>
      <c r="AX145" s="6">
        <v>0.83874000000000004</v>
      </c>
      <c r="AY145" s="6">
        <v>2.2416999999999998</v>
      </c>
      <c r="AZ145" s="6">
        <v>0.80759999999999998</v>
      </c>
      <c r="BA145" s="6">
        <v>255</v>
      </c>
      <c r="BN145" s="17">
        <v>143</v>
      </c>
      <c r="BO145" s="6">
        <v>34.220557540000001</v>
      </c>
      <c r="BP145" s="6">
        <v>38.50386984</v>
      </c>
      <c r="BQ145" s="19">
        <v>-4.2833123000000004</v>
      </c>
    </row>
    <row r="146" spans="1:69" x14ac:dyDescent="0.25">
      <c r="A146" t="s">
        <v>7</v>
      </c>
      <c r="B146" s="11">
        <v>3</v>
      </c>
      <c r="C146" s="11">
        <v>12</v>
      </c>
      <c r="D146" s="11">
        <v>12</v>
      </c>
      <c r="E146" s="11">
        <v>25</v>
      </c>
      <c r="F146" s="2">
        <v>50.7</v>
      </c>
      <c r="G146">
        <v>39.553095478838642</v>
      </c>
      <c r="H146" t="s">
        <v>12</v>
      </c>
      <c r="I146" t="s">
        <v>12</v>
      </c>
      <c r="AD146" s="17">
        <v>144</v>
      </c>
      <c r="AE146" s="6">
        <v>3.0387</v>
      </c>
      <c r="AF146" s="6">
        <v>4.2515999999999998</v>
      </c>
      <c r="AG146" s="6">
        <v>2.9258999999999999</v>
      </c>
      <c r="AH146" s="6">
        <v>255</v>
      </c>
      <c r="AJ146" s="17">
        <v>144</v>
      </c>
      <c r="AK146" s="6">
        <v>5.7620399999999998</v>
      </c>
      <c r="AL146" s="6">
        <v>4.2515999999999998</v>
      </c>
      <c r="AM146" s="6">
        <v>2.9258999999999999</v>
      </c>
      <c r="AN146" s="6">
        <v>255</v>
      </c>
      <c r="AQ146" s="17">
        <v>144</v>
      </c>
      <c r="AR146" s="6">
        <v>1.5930599999999999</v>
      </c>
      <c r="AS146" s="6">
        <v>1.8283</v>
      </c>
      <c r="AT146" s="6">
        <v>0.80889999999999995</v>
      </c>
      <c r="AU146" s="6">
        <v>255</v>
      </c>
      <c r="AW146" s="17">
        <v>144</v>
      </c>
      <c r="AX146" s="6">
        <v>0.84011999999999998</v>
      </c>
      <c r="AY146" s="6">
        <v>1.8283</v>
      </c>
      <c r="AZ146" s="6">
        <v>0.80889999999999995</v>
      </c>
      <c r="BA146" s="6">
        <v>255</v>
      </c>
      <c r="BN146" s="17">
        <v>144</v>
      </c>
      <c r="BO146" s="6">
        <v>29.639939330000001</v>
      </c>
      <c r="BP146" s="6">
        <v>29.110464449999998</v>
      </c>
      <c r="BQ146" s="6">
        <v>0.52947487999999998</v>
      </c>
    </row>
    <row r="147" spans="1:69" x14ac:dyDescent="0.25">
      <c r="A147" t="s">
        <v>7</v>
      </c>
      <c r="B147" s="11">
        <v>3</v>
      </c>
      <c r="C147" s="11">
        <v>11</v>
      </c>
      <c r="D147" s="11">
        <v>12</v>
      </c>
      <c r="E147" s="11">
        <v>27</v>
      </c>
      <c r="F147" s="2">
        <v>52.4</v>
      </c>
      <c r="G147">
        <v>49.356998411093443</v>
      </c>
      <c r="H147" t="s">
        <v>12</v>
      </c>
      <c r="I147" t="s">
        <v>12</v>
      </c>
      <c r="AD147" s="17">
        <v>145</v>
      </c>
      <c r="AE147" s="6">
        <v>3.03755</v>
      </c>
      <c r="AF147" s="6">
        <v>3.9563000000000001</v>
      </c>
      <c r="AG147" s="6">
        <v>2.9247999999999998</v>
      </c>
      <c r="AH147" s="6">
        <v>255</v>
      </c>
      <c r="AJ147" s="17">
        <v>145</v>
      </c>
      <c r="AK147" s="6">
        <v>5.7598599999999998</v>
      </c>
      <c r="AL147" s="6">
        <v>3.9563000000000001</v>
      </c>
      <c r="AM147" s="6">
        <v>2.9247999999999998</v>
      </c>
      <c r="AN147" s="6">
        <v>255</v>
      </c>
      <c r="AQ147" s="17">
        <v>145</v>
      </c>
      <c r="AR147" s="6">
        <v>1.59378</v>
      </c>
      <c r="AS147" s="6">
        <v>0.60860000000000003</v>
      </c>
      <c r="AT147" s="6">
        <v>0.80930000000000002</v>
      </c>
      <c r="AU147" s="6">
        <v>255</v>
      </c>
      <c r="AW147" s="17">
        <v>145</v>
      </c>
      <c r="AX147" s="6">
        <v>0.84050000000000002</v>
      </c>
      <c r="AY147" s="6">
        <v>0.60860000000000003</v>
      </c>
      <c r="AZ147" s="6">
        <v>0.80930000000000002</v>
      </c>
      <c r="BA147" s="6">
        <v>255</v>
      </c>
      <c r="BN147" s="17">
        <v>145</v>
      </c>
      <c r="BO147" s="6">
        <v>39.553095480000003</v>
      </c>
      <c r="BP147" s="6">
        <v>37.527350439999999</v>
      </c>
      <c r="BQ147" s="6">
        <v>2.0257450399999999</v>
      </c>
    </row>
    <row r="148" spans="1:69" x14ac:dyDescent="0.25">
      <c r="A148" t="s">
        <v>7</v>
      </c>
      <c r="B148" s="11">
        <v>3</v>
      </c>
      <c r="C148" s="11">
        <v>10</v>
      </c>
      <c r="D148" s="11">
        <v>12</v>
      </c>
      <c r="E148" s="11">
        <v>6</v>
      </c>
      <c r="F148" s="2">
        <v>49</v>
      </c>
      <c r="G148">
        <v>32.178789542106017</v>
      </c>
      <c r="H148" t="s">
        <v>12</v>
      </c>
      <c r="I148" t="s">
        <v>12</v>
      </c>
      <c r="AD148" s="17">
        <v>146</v>
      </c>
      <c r="AE148" s="6">
        <v>3.0459999999999998</v>
      </c>
      <c r="AF148" s="6">
        <v>9.3945000000000007</v>
      </c>
      <c r="AG148" s="6">
        <v>2.9329999999999998</v>
      </c>
      <c r="AH148" s="6">
        <v>255</v>
      </c>
      <c r="AJ148" s="17">
        <v>146</v>
      </c>
      <c r="AK148" s="6">
        <v>5.7758900000000004</v>
      </c>
      <c r="AL148" s="6">
        <v>9.3945000000000007</v>
      </c>
      <c r="AM148" s="6">
        <v>2.9329999999999998</v>
      </c>
      <c r="AN148" s="6">
        <v>255</v>
      </c>
      <c r="AQ148" s="17">
        <v>146</v>
      </c>
      <c r="AR148" s="6">
        <v>1.5889899999999999</v>
      </c>
      <c r="AS148" s="6">
        <v>3.5457999999999998</v>
      </c>
      <c r="AT148" s="6">
        <v>0.80689999999999995</v>
      </c>
      <c r="AU148" s="6">
        <v>255</v>
      </c>
      <c r="AW148" s="17">
        <v>146</v>
      </c>
      <c r="AX148" s="6">
        <v>0.83797999999999995</v>
      </c>
      <c r="AY148" s="6">
        <v>3.5457999999999998</v>
      </c>
      <c r="AZ148" s="6">
        <v>0.80689999999999995</v>
      </c>
      <c r="BA148" s="6">
        <v>255</v>
      </c>
      <c r="BN148" s="17">
        <v>146</v>
      </c>
      <c r="BO148" s="6">
        <v>49.356998410000003</v>
      </c>
      <c r="BP148" s="6">
        <v>43.277180090000002</v>
      </c>
      <c r="BQ148" s="6">
        <v>6.0798183200000002</v>
      </c>
    </row>
    <row r="149" spans="1:69" x14ac:dyDescent="0.25">
      <c r="A149" t="s">
        <v>7</v>
      </c>
      <c r="B149" s="11">
        <v>3</v>
      </c>
      <c r="C149" s="11">
        <v>9</v>
      </c>
      <c r="D149" s="11">
        <v>12</v>
      </c>
      <c r="E149" s="11">
        <v>12</v>
      </c>
      <c r="F149" s="2">
        <v>48.8</v>
      </c>
      <c r="G149">
        <v>34.960313447927199</v>
      </c>
      <c r="H149" t="s">
        <v>12</v>
      </c>
      <c r="I149" t="s">
        <v>12</v>
      </c>
      <c r="AD149" s="17">
        <v>147</v>
      </c>
      <c r="AE149" s="6">
        <v>3.0506600000000001</v>
      </c>
      <c r="AF149" s="6">
        <v>6.2487000000000004</v>
      </c>
      <c r="AG149" s="6">
        <v>2.9373999999999998</v>
      </c>
      <c r="AH149" s="6">
        <v>255</v>
      </c>
      <c r="AJ149" s="17">
        <v>147</v>
      </c>
      <c r="AK149" s="6">
        <v>5.7847299999999997</v>
      </c>
      <c r="AL149" s="6">
        <v>6.2487000000000004</v>
      </c>
      <c r="AM149" s="6">
        <v>2.9373999999999998</v>
      </c>
      <c r="AN149" s="6">
        <v>255</v>
      </c>
      <c r="AQ149" s="17">
        <v>147</v>
      </c>
      <c r="AR149" s="6">
        <v>1.58931</v>
      </c>
      <c r="AS149" s="6">
        <v>3.3995000000000002</v>
      </c>
      <c r="AT149" s="6">
        <v>0.80700000000000005</v>
      </c>
      <c r="AU149" s="6">
        <v>255</v>
      </c>
      <c r="AW149" s="17">
        <v>147</v>
      </c>
      <c r="AX149" s="6">
        <v>0.83814</v>
      </c>
      <c r="AY149" s="6">
        <v>3.3995000000000002</v>
      </c>
      <c r="AZ149" s="6">
        <v>0.80700000000000005</v>
      </c>
      <c r="BA149" s="6">
        <v>255</v>
      </c>
      <c r="BN149" s="17">
        <v>147</v>
      </c>
      <c r="BO149" s="6">
        <v>32.178789539999997</v>
      </c>
      <c r="BP149" s="6">
        <v>35.185381249999999</v>
      </c>
      <c r="BQ149" s="19">
        <v>-3.0065917099999999</v>
      </c>
    </row>
    <row r="150" spans="1:69" x14ac:dyDescent="0.25">
      <c r="A150" t="s">
        <v>7</v>
      </c>
      <c r="B150" s="11">
        <v>3</v>
      </c>
      <c r="C150" s="11">
        <v>8</v>
      </c>
      <c r="D150" s="11">
        <v>12</v>
      </c>
      <c r="E150" s="11">
        <v>7</v>
      </c>
      <c r="F150" s="2">
        <v>48.7</v>
      </c>
      <c r="G150">
        <v>29.45441860465116</v>
      </c>
      <c r="H150" t="s">
        <v>12</v>
      </c>
      <c r="I150" t="s">
        <v>12</v>
      </c>
      <c r="AD150" s="17">
        <v>148</v>
      </c>
      <c r="AE150" s="6">
        <v>3.02597</v>
      </c>
      <c r="AF150" s="6">
        <v>4.4939999999999998</v>
      </c>
      <c r="AG150" s="6">
        <v>2.9137</v>
      </c>
      <c r="AH150" s="6">
        <v>255</v>
      </c>
      <c r="AJ150" s="17">
        <v>148</v>
      </c>
      <c r="AK150" s="6">
        <v>5.7379100000000003</v>
      </c>
      <c r="AL150" s="6">
        <v>4.4939999999999998</v>
      </c>
      <c r="AM150" s="6">
        <v>2.9137</v>
      </c>
      <c r="AN150" s="6">
        <v>255</v>
      </c>
      <c r="AQ150" s="17">
        <v>148</v>
      </c>
      <c r="AR150" s="6">
        <v>1.5833999999999999</v>
      </c>
      <c r="AS150" s="6">
        <v>2.9422000000000001</v>
      </c>
      <c r="AT150" s="6">
        <v>0.80400000000000005</v>
      </c>
      <c r="AU150" s="6">
        <v>255</v>
      </c>
      <c r="AW150" s="17">
        <v>148</v>
      </c>
      <c r="AX150" s="6">
        <v>0.83503000000000005</v>
      </c>
      <c r="AY150" s="6">
        <v>2.9422000000000001</v>
      </c>
      <c r="AZ150" s="6">
        <v>0.80400000000000005</v>
      </c>
      <c r="BA150" s="6">
        <v>255</v>
      </c>
      <c r="BN150" s="17">
        <v>148</v>
      </c>
      <c r="BO150" s="6">
        <v>34.960313450000001</v>
      </c>
      <c r="BP150" s="6">
        <v>34.143499409999997</v>
      </c>
      <c r="BQ150" s="6">
        <v>0.81681404000000002</v>
      </c>
    </row>
    <row r="151" spans="1:69" x14ac:dyDescent="0.25">
      <c r="A151" t="s">
        <v>7</v>
      </c>
      <c r="B151" s="11">
        <v>3</v>
      </c>
      <c r="C151" s="11">
        <v>7</v>
      </c>
      <c r="D151" s="11">
        <v>12</v>
      </c>
      <c r="E151" s="11">
        <v>43</v>
      </c>
      <c r="F151" s="2" t="s">
        <v>12</v>
      </c>
      <c r="G151">
        <v>15.933427704752273</v>
      </c>
      <c r="H151" t="s">
        <v>12</v>
      </c>
      <c r="I151" t="s">
        <v>12</v>
      </c>
      <c r="AD151" s="17">
        <v>149</v>
      </c>
      <c r="AE151" s="6">
        <v>3.05341</v>
      </c>
      <c r="AF151" s="6">
        <v>8.2152999999999992</v>
      </c>
      <c r="AG151" s="6">
        <v>2.9401000000000002</v>
      </c>
      <c r="AH151" s="6">
        <v>255</v>
      </c>
      <c r="AJ151" s="17">
        <v>149</v>
      </c>
      <c r="AK151" s="6">
        <v>5.7899399999999996</v>
      </c>
      <c r="AL151" s="6">
        <v>8.2152999999999992</v>
      </c>
      <c r="AM151" s="6">
        <v>2.9401000000000002</v>
      </c>
      <c r="AN151" s="6">
        <v>255</v>
      </c>
      <c r="AQ151" s="17">
        <v>149</v>
      </c>
      <c r="AR151" s="6">
        <v>1.59389</v>
      </c>
      <c r="AS151" s="6">
        <v>2.2583000000000002</v>
      </c>
      <c r="AT151" s="6">
        <v>0.80940000000000001</v>
      </c>
      <c r="AU151" s="6">
        <v>255</v>
      </c>
      <c r="AW151" s="17">
        <v>149</v>
      </c>
      <c r="AX151" s="6">
        <v>0.84055999999999997</v>
      </c>
      <c r="AY151" s="6">
        <v>2.2583000000000002</v>
      </c>
      <c r="AZ151" s="6">
        <v>0.80940000000000001</v>
      </c>
      <c r="BA151" s="6">
        <v>255</v>
      </c>
      <c r="BN151" s="17">
        <v>149</v>
      </c>
      <c r="BO151" s="6">
        <v>29.4544186</v>
      </c>
      <c r="BP151" s="6">
        <v>34.126065769999997</v>
      </c>
      <c r="BQ151" s="19">
        <v>-4.67164717</v>
      </c>
    </row>
    <row r="152" spans="1:69" x14ac:dyDescent="0.25">
      <c r="A152" t="s">
        <v>7</v>
      </c>
      <c r="B152" s="11">
        <v>3</v>
      </c>
      <c r="C152" s="11">
        <v>6</v>
      </c>
      <c r="D152" s="11">
        <v>12</v>
      </c>
      <c r="E152" s="11">
        <v>40</v>
      </c>
      <c r="F152" s="2">
        <v>52.9</v>
      </c>
      <c r="G152">
        <v>40.508346092734357</v>
      </c>
      <c r="H152" t="s">
        <v>12</v>
      </c>
      <c r="I152" t="s">
        <v>12</v>
      </c>
      <c r="AD152" s="17">
        <v>150</v>
      </c>
      <c r="AE152" s="6">
        <v>3.0284</v>
      </c>
      <c r="AF152" s="6">
        <v>16.7193</v>
      </c>
      <c r="AG152" s="6">
        <v>2.9159999999999999</v>
      </c>
      <c r="AH152" s="6">
        <v>255</v>
      </c>
      <c r="AJ152" s="17">
        <v>150</v>
      </c>
      <c r="AK152" s="6">
        <v>5.7425199999999998</v>
      </c>
      <c r="AL152" s="6">
        <v>16.7193</v>
      </c>
      <c r="AM152" s="6">
        <v>2.9159999999999999</v>
      </c>
      <c r="AN152" s="6">
        <v>255</v>
      </c>
      <c r="AQ152" s="17">
        <v>150</v>
      </c>
      <c r="AR152" s="6">
        <v>1.5906199999999999</v>
      </c>
      <c r="AS152" s="6">
        <v>5.1668000000000003</v>
      </c>
      <c r="AT152" s="6">
        <v>0.80769999999999997</v>
      </c>
      <c r="AU152" s="6">
        <v>255</v>
      </c>
      <c r="AW152" s="17">
        <v>150</v>
      </c>
      <c r="AX152" s="6">
        <v>0.83884000000000003</v>
      </c>
      <c r="AY152" s="6">
        <v>5.1668000000000003</v>
      </c>
      <c r="AZ152" s="6">
        <v>0.80769999999999997</v>
      </c>
      <c r="BA152" s="6">
        <v>255</v>
      </c>
      <c r="BN152" s="17">
        <v>150</v>
      </c>
      <c r="BO152" s="6">
        <v>15.933427699999999</v>
      </c>
      <c r="BP152" s="6">
        <v>19.81901693</v>
      </c>
      <c r="BQ152" s="19">
        <v>-3.8855892299999999</v>
      </c>
    </row>
    <row r="153" spans="1:69" x14ac:dyDescent="0.25">
      <c r="A153" t="s">
        <v>7</v>
      </c>
      <c r="B153" s="11">
        <v>3</v>
      </c>
      <c r="C153" s="11">
        <v>5</v>
      </c>
      <c r="D153" s="11">
        <v>12</v>
      </c>
      <c r="E153" s="11">
        <v>8</v>
      </c>
      <c r="F153" s="2">
        <v>52.3</v>
      </c>
      <c r="G153">
        <v>40.212046800520007</v>
      </c>
      <c r="H153" t="s">
        <v>12</v>
      </c>
      <c r="I153" t="s">
        <v>12</v>
      </c>
      <c r="AD153" s="17">
        <v>151</v>
      </c>
      <c r="AE153" s="6">
        <v>3.0422199999999999</v>
      </c>
      <c r="AF153" s="19">
        <v>-2.4742000000000002</v>
      </c>
      <c r="AG153" s="6">
        <v>2.9293</v>
      </c>
      <c r="AH153" s="6">
        <v>255</v>
      </c>
      <c r="AJ153" s="17">
        <v>151</v>
      </c>
      <c r="AK153" s="6">
        <v>5.7687099999999996</v>
      </c>
      <c r="AL153" s="19">
        <v>-2.4742000000000002</v>
      </c>
      <c r="AM153" s="6">
        <v>2.9293</v>
      </c>
      <c r="AN153" s="6">
        <v>255</v>
      </c>
      <c r="AQ153" s="17">
        <v>151</v>
      </c>
      <c r="AR153" s="6">
        <v>1.5883400000000001</v>
      </c>
      <c r="AS153" s="19">
        <v>-1.3403</v>
      </c>
      <c r="AT153" s="6">
        <v>0.80649999999999999</v>
      </c>
      <c r="AU153" s="6">
        <v>255</v>
      </c>
      <c r="AW153" s="17">
        <v>151</v>
      </c>
      <c r="AX153" s="6">
        <v>0.83764000000000005</v>
      </c>
      <c r="AY153" s="19">
        <v>-1.3403</v>
      </c>
      <c r="AZ153" s="6">
        <v>0.80649999999999999</v>
      </c>
      <c r="BA153" s="6">
        <v>255</v>
      </c>
      <c r="BN153" s="17">
        <v>151</v>
      </c>
      <c r="BO153" s="6">
        <v>40.508346090000003</v>
      </c>
      <c r="BP153" s="6">
        <v>42.163024360000001</v>
      </c>
      <c r="BQ153" s="19">
        <v>-1.65467827</v>
      </c>
    </row>
    <row r="154" spans="1:69" x14ac:dyDescent="0.25">
      <c r="A154" t="s">
        <v>7</v>
      </c>
      <c r="B154" s="11">
        <v>3</v>
      </c>
      <c r="C154" s="11">
        <v>4</v>
      </c>
      <c r="D154" s="11">
        <v>12</v>
      </c>
      <c r="E154" s="11">
        <v>29</v>
      </c>
      <c r="F154" s="2">
        <v>49.5</v>
      </c>
      <c r="G154">
        <v>37.581913910154555</v>
      </c>
      <c r="H154" t="s">
        <v>12</v>
      </c>
      <c r="I154" t="s">
        <v>12</v>
      </c>
      <c r="AD154" s="17">
        <v>152</v>
      </c>
      <c r="AE154" s="6">
        <v>3.0453100000000002</v>
      </c>
      <c r="AF154" s="6">
        <v>3.7665000000000002</v>
      </c>
      <c r="AG154" s="6">
        <v>2.9323000000000001</v>
      </c>
      <c r="AH154" s="6">
        <v>255</v>
      </c>
      <c r="AJ154" s="17">
        <v>152</v>
      </c>
      <c r="AK154" s="6">
        <v>5.7745800000000003</v>
      </c>
      <c r="AL154" s="6">
        <v>3.7665000000000002</v>
      </c>
      <c r="AM154" s="6">
        <v>2.9323000000000001</v>
      </c>
      <c r="AN154" s="6">
        <v>255</v>
      </c>
      <c r="AQ154" s="17">
        <v>152</v>
      </c>
      <c r="AR154" s="6">
        <v>1.5878399999999999</v>
      </c>
      <c r="AS154" s="19">
        <v>-2.0455999999999999</v>
      </c>
      <c r="AT154" s="6">
        <v>0.80630000000000002</v>
      </c>
      <c r="AU154" s="6">
        <v>255</v>
      </c>
      <c r="AW154" s="17">
        <v>152</v>
      </c>
      <c r="AX154" s="6">
        <v>0.83736999999999995</v>
      </c>
      <c r="AY154" s="19">
        <v>-2.0455999999999999</v>
      </c>
      <c r="AZ154" s="6">
        <v>0.80630000000000002</v>
      </c>
      <c r="BA154" s="6">
        <v>255</v>
      </c>
      <c r="BN154" s="17">
        <v>152</v>
      </c>
      <c r="BO154" s="6">
        <v>40.212046800000003</v>
      </c>
      <c r="BP154" s="6">
        <v>44.29392541</v>
      </c>
      <c r="BQ154" s="19">
        <v>-4.0818786100000004</v>
      </c>
    </row>
    <row r="155" spans="1:69" x14ac:dyDescent="0.25">
      <c r="A155" t="s">
        <v>7</v>
      </c>
      <c r="B155" s="11">
        <v>3</v>
      </c>
      <c r="C155" s="11">
        <v>3</v>
      </c>
      <c r="D155" s="11">
        <v>12</v>
      </c>
      <c r="E155" s="11">
        <v>11</v>
      </c>
      <c r="F155" s="2">
        <v>52.3</v>
      </c>
      <c r="G155">
        <v>43.442166690741004</v>
      </c>
      <c r="H155" t="s">
        <v>12</v>
      </c>
      <c r="I155" t="s">
        <v>12</v>
      </c>
      <c r="AD155" s="17">
        <v>153</v>
      </c>
      <c r="AE155" s="6">
        <v>3.0566800000000001</v>
      </c>
      <c r="AF155" s="6">
        <v>6.2000999999999999</v>
      </c>
      <c r="AG155" s="6">
        <v>2.9432</v>
      </c>
      <c r="AH155" s="6">
        <v>255</v>
      </c>
      <c r="AJ155" s="17">
        <v>153</v>
      </c>
      <c r="AK155" s="6">
        <v>5.7961400000000003</v>
      </c>
      <c r="AL155" s="6">
        <v>6.2000999999999999</v>
      </c>
      <c r="AM155" s="6">
        <v>2.9432</v>
      </c>
      <c r="AN155" s="6">
        <v>255</v>
      </c>
      <c r="AQ155" s="17">
        <v>153</v>
      </c>
      <c r="AR155" s="6">
        <v>1.5942000000000001</v>
      </c>
      <c r="AS155" s="19">
        <v>-1.4419999999999999</v>
      </c>
      <c r="AT155" s="6">
        <v>0.8095</v>
      </c>
      <c r="AU155" s="6">
        <v>255</v>
      </c>
      <c r="AW155" s="17">
        <v>153</v>
      </c>
      <c r="AX155" s="6">
        <v>0.84072999999999998</v>
      </c>
      <c r="AY155" s="19">
        <v>-1.4419999999999999</v>
      </c>
      <c r="AZ155" s="6">
        <v>0.8095</v>
      </c>
      <c r="BA155" s="6">
        <v>255</v>
      </c>
      <c r="BN155" s="17">
        <v>153</v>
      </c>
      <c r="BO155" s="6">
        <v>37.581913909999997</v>
      </c>
      <c r="BP155" s="6">
        <v>39.840159829999997</v>
      </c>
      <c r="BQ155" s="19">
        <v>-2.2582459199999998</v>
      </c>
    </row>
    <row r="156" spans="1:69" x14ac:dyDescent="0.25">
      <c r="A156" t="s">
        <v>7</v>
      </c>
      <c r="B156" s="11">
        <v>3</v>
      </c>
      <c r="C156" s="11">
        <v>2</v>
      </c>
      <c r="D156" s="11">
        <v>12</v>
      </c>
      <c r="E156" s="11">
        <v>47</v>
      </c>
      <c r="F156" s="2">
        <v>52.8</v>
      </c>
      <c r="G156">
        <v>47.760242669362981</v>
      </c>
      <c r="H156" t="s">
        <v>12</v>
      </c>
      <c r="I156" t="s">
        <v>12</v>
      </c>
      <c r="AD156" s="17">
        <v>154</v>
      </c>
      <c r="AE156" s="6">
        <v>3.0609799999999998</v>
      </c>
      <c r="AF156" s="19">
        <v>-7.2313000000000001</v>
      </c>
      <c r="AG156" s="6">
        <v>2.9474</v>
      </c>
      <c r="AH156" s="6">
        <v>255</v>
      </c>
      <c r="AJ156" s="17">
        <v>154</v>
      </c>
      <c r="AK156" s="6">
        <v>5.8042899999999999</v>
      </c>
      <c r="AL156" s="19">
        <v>-7.2313000000000001</v>
      </c>
      <c r="AM156" s="6">
        <v>2.9474</v>
      </c>
      <c r="AN156" s="6">
        <v>255</v>
      </c>
      <c r="AQ156" s="17">
        <v>154</v>
      </c>
      <c r="AR156" s="6">
        <v>1.59256</v>
      </c>
      <c r="AS156" s="19">
        <v>-2.2951000000000001</v>
      </c>
      <c r="AT156" s="6">
        <v>0.80869999999999997</v>
      </c>
      <c r="AU156" s="6">
        <v>255</v>
      </c>
      <c r="AW156" s="17">
        <v>154</v>
      </c>
      <c r="AX156" s="6">
        <v>0.83986000000000005</v>
      </c>
      <c r="AY156" s="19">
        <v>-2.2951000000000001</v>
      </c>
      <c r="AZ156" s="6">
        <v>0.80869999999999997</v>
      </c>
      <c r="BA156" s="6">
        <v>255</v>
      </c>
      <c r="BN156" s="17">
        <v>154</v>
      </c>
      <c r="BO156" s="6">
        <v>43.442166690000001</v>
      </c>
      <c r="BP156" s="6">
        <v>45.823467549999997</v>
      </c>
      <c r="BQ156" s="19">
        <v>-2.3813008600000001</v>
      </c>
    </row>
    <row r="157" spans="1:69" x14ac:dyDescent="0.25">
      <c r="A157" t="s">
        <v>7</v>
      </c>
      <c r="B157" s="11">
        <v>3</v>
      </c>
      <c r="C157" s="11">
        <v>1</v>
      </c>
      <c r="D157" s="11">
        <v>12</v>
      </c>
      <c r="E157" s="11">
        <v>41</v>
      </c>
      <c r="F157" s="2">
        <v>49.6</v>
      </c>
      <c r="G157">
        <v>28.695842842698251</v>
      </c>
      <c r="H157" t="s">
        <v>12</v>
      </c>
      <c r="I157" t="s">
        <v>12</v>
      </c>
      <c r="AD157" s="17">
        <v>155</v>
      </c>
      <c r="AE157" s="6">
        <v>3.0457999999999998</v>
      </c>
      <c r="AF157" s="6">
        <v>1.349</v>
      </c>
      <c r="AG157" s="6">
        <v>2.9327999999999999</v>
      </c>
      <c r="AH157" s="6">
        <v>255</v>
      </c>
      <c r="AJ157" s="17">
        <v>155</v>
      </c>
      <c r="AK157" s="6">
        <v>5.7755099999999997</v>
      </c>
      <c r="AL157" s="6">
        <v>1.349</v>
      </c>
      <c r="AM157" s="6">
        <v>2.9327999999999999</v>
      </c>
      <c r="AN157" s="6">
        <v>255</v>
      </c>
      <c r="AQ157" s="17">
        <v>155</v>
      </c>
      <c r="AR157" s="6">
        <v>1.5927</v>
      </c>
      <c r="AS157" s="19">
        <v>-0.43530000000000002</v>
      </c>
      <c r="AT157" s="6">
        <v>0.80879999999999996</v>
      </c>
      <c r="AU157" s="6">
        <v>255</v>
      </c>
      <c r="AW157" s="17">
        <v>155</v>
      </c>
      <c r="AX157" s="6">
        <v>0.83992999999999995</v>
      </c>
      <c r="AY157" s="19">
        <v>-0.43530000000000002</v>
      </c>
      <c r="AZ157" s="6">
        <v>0.80879999999999996</v>
      </c>
      <c r="BA157" s="6">
        <v>255</v>
      </c>
      <c r="BN157" s="17">
        <v>155</v>
      </c>
      <c r="BO157" s="6">
        <v>47.760242669999997</v>
      </c>
      <c r="BP157" s="6">
        <v>48.58839596</v>
      </c>
      <c r="BQ157" s="19">
        <v>-0.82815329000000004</v>
      </c>
    </row>
    <row r="158" spans="1:69" x14ac:dyDescent="0.25">
      <c r="A158" s="31" t="s">
        <v>156</v>
      </c>
      <c r="B158" s="32">
        <v>1</v>
      </c>
      <c r="C158" s="32">
        <v>23</v>
      </c>
      <c r="D158" s="32">
        <v>1</v>
      </c>
      <c r="E158" s="32">
        <v>30</v>
      </c>
      <c r="F158" s="2">
        <v>58.5</v>
      </c>
      <c r="G158">
        <v>54.077684393230797</v>
      </c>
      <c r="H158" s="59">
        <v>14.6</v>
      </c>
      <c r="I158">
        <v>1</v>
      </c>
      <c r="AD158" s="17">
        <v>156</v>
      </c>
      <c r="AE158" s="6">
        <v>3.04854</v>
      </c>
      <c r="AF158" s="6">
        <v>5.0022000000000002</v>
      </c>
      <c r="AG158" s="6">
        <v>2.9354</v>
      </c>
      <c r="AH158" s="6">
        <v>255</v>
      </c>
      <c r="AJ158" s="17">
        <v>156</v>
      </c>
      <c r="AK158" s="6">
        <v>5.78071</v>
      </c>
      <c r="AL158" s="6">
        <v>5.0022000000000002</v>
      </c>
      <c r="AM158" s="6">
        <v>2.9354</v>
      </c>
      <c r="AN158" s="6">
        <v>255</v>
      </c>
      <c r="AQ158" s="17">
        <v>156</v>
      </c>
      <c r="AR158" s="6">
        <v>1.58826</v>
      </c>
      <c r="AS158" s="6">
        <v>0.45639999999999997</v>
      </c>
      <c r="AT158" s="6">
        <v>0.80649999999999999</v>
      </c>
      <c r="AU158" s="6">
        <v>255</v>
      </c>
      <c r="AW158" s="17">
        <v>156</v>
      </c>
      <c r="AX158" s="6">
        <v>0.83758999999999995</v>
      </c>
      <c r="AY158" s="6">
        <v>0.45639999999999997</v>
      </c>
      <c r="AZ158" s="6">
        <v>0.80649999999999999</v>
      </c>
      <c r="BA158" s="6">
        <v>255</v>
      </c>
      <c r="BN158" s="17">
        <v>156</v>
      </c>
      <c r="BO158" s="6">
        <v>28.695842840000001</v>
      </c>
      <c r="BP158" s="6">
        <v>31.521745679999999</v>
      </c>
      <c r="BQ158" s="19">
        <v>-2.8259028399999999</v>
      </c>
    </row>
    <row r="159" spans="1:69" x14ac:dyDescent="0.25">
      <c r="A159" s="31" t="s">
        <v>156</v>
      </c>
      <c r="B159" s="32">
        <v>2</v>
      </c>
      <c r="C159" s="32">
        <v>24</v>
      </c>
      <c r="D159" s="32">
        <v>3</v>
      </c>
      <c r="E159" s="32">
        <v>30</v>
      </c>
      <c r="F159" s="2">
        <v>58.3</v>
      </c>
      <c r="G159">
        <v>50.038325924497371</v>
      </c>
      <c r="H159" s="31" t="s">
        <v>12</v>
      </c>
      <c r="I159" t="s">
        <v>12</v>
      </c>
      <c r="AD159" s="17">
        <v>157</v>
      </c>
      <c r="AE159" s="6">
        <v>3.0568300000000002</v>
      </c>
      <c r="AF159" s="19">
        <v>-2.4944999999999999</v>
      </c>
      <c r="AG159" s="6">
        <v>2.9434</v>
      </c>
      <c r="AH159" s="6">
        <v>255</v>
      </c>
      <c r="AJ159" s="17">
        <v>157</v>
      </c>
      <c r="AK159" s="6">
        <v>5.7964200000000003</v>
      </c>
      <c r="AL159" s="19">
        <v>-2.4944999999999999</v>
      </c>
      <c r="AM159" s="6">
        <v>2.9434</v>
      </c>
      <c r="AN159" s="6">
        <v>255</v>
      </c>
      <c r="AQ159" s="17">
        <v>157</v>
      </c>
      <c r="AR159" s="6">
        <v>1.58816</v>
      </c>
      <c r="AS159" s="19">
        <v>-3.6570999999999998</v>
      </c>
      <c r="AT159" s="6">
        <v>0.80649999999999999</v>
      </c>
      <c r="AU159" s="6">
        <v>255</v>
      </c>
      <c r="AW159" s="17">
        <v>157</v>
      </c>
      <c r="AX159" s="6">
        <v>0.83753999999999995</v>
      </c>
      <c r="AY159" s="19">
        <v>-3.6570999999999998</v>
      </c>
      <c r="AZ159" s="6">
        <v>0.80649999999999999</v>
      </c>
      <c r="BA159" s="6">
        <v>255</v>
      </c>
      <c r="BN159" s="17">
        <v>157</v>
      </c>
      <c r="BO159" s="6">
        <v>54.077684390000002</v>
      </c>
      <c r="BP159" s="6">
        <v>54.133032059999998</v>
      </c>
      <c r="BQ159" s="19">
        <v>-5.5347670000000002E-2</v>
      </c>
    </row>
    <row r="160" spans="1:69" x14ac:dyDescent="0.25">
      <c r="A160" s="31" t="s">
        <v>156</v>
      </c>
      <c r="B160" s="32">
        <v>3</v>
      </c>
      <c r="C160" s="32">
        <v>15</v>
      </c>
      <c r="D160" s="32">
        <v>6</v>
      </c>
      <c r="E160" s="32">
        <v>30</v>
      </c>
      <c r="F160" s="2">
        <v>57.5</v>
      </c>
      <c r="G160">
        <v>51.807318363225463</v>
      </c>
      <c r="H160" s="31" t="s">
        <v>12</v>
      </c>
      <c r="I160" t="s">
        <v>12</v>
      </c>
      <c r="AD160" s="17">
        <v>158</v>
      </c>
      <c r="AE160" s="6">
        <v>3.0472000000000001</v>
      </c>
      <c r="AF160" s="6">
        <v>2.3081</v>
      </c>
      <c r="AG160" s="6">
        <v>2.9340999999999999</v>
      </c>
      <c r="AH160" s="6">
        <v>255</v>
      </c>
      <c r="AJ160" s="17">
        <v>158</v>
      </c>
      <c r="AK160" s="6">
        <v>5.7781599999999997</v>
      </c>
      <c r="AL160" s="6">
        <v>2.3081</v>
      </c>
      <c r="AM160" s="6">
        <v>2.9340999999999999</v>
      </c>
      <c r="AN160" s="6">
        <v>255</v>
      </c>
      <c r="AQ160" s="17">
        <v>158</v>
      </c>
      <c r="AR160" s="6">
        <v>1.61199</v>
      </c>
      <c r="AS160" s="19">
        <v>-1.0818000000000001</v>
      </c>
      <c r="AT160" s="6">
        <v>0.81859999999999999</v>
      </c>
      <c r="AU160" s="6">
        <v>255</v>
      </c>
      <c r="AW160" s="17">
        <v>158</v>
      </c>
      <c r="AX160" s="6">
        <v>0.85011000000000003</v>
      </c>
      <c r="AY160" s="19">
        <v>-1.0818000000000001</v>
      </c>
      <c r="AZ160" s="6">
        <v>0.81859999999999999</v>
      </c>
      <c r="BA160" s="6">
        <v>255</v>
      </c>
      <c r="BN160" s="17">
        <v>158</v>
      </c>
      <c r="BO160" s="6">
        <v>50.038325919999998</v>
      </c>
      <c r="BP160" s="6">
        <v>51.568279529999998</v>
      </c>
      <c r="BQ160" s="19">
        <v>-1.52995361</v>
      </c>
    </row>
    <row r="161" spans="1:69" x14ac:dyDescent="0.25">
      <c r="A161" s="31" t="s">
        <v>156</v>
      </c>
      <c r="B161" s="32">
        <v>1</v>
      </c>
      <c r="C161" s="32">
        <v>2</v>
      </c>
      <c r="D161" s="32">
        <v>2</v>
      </c>
      <c r="E161" s="32">
        <v>39</v>
      </c>
      <c r="F161" s="2">
        <v>53.6</v>
      </c>
      <c r="G161">
        <v>47.441730728310269</v>
      </c>
      <c r="H161" s="59">
        <v>14.9</v>
      </c>
      <c r="I161">
        <v>3</v>
      </c>
      <c r="AD161" s="17">
        <v>159</v>
      </c>
      <c r="AE161" s="6">
        <v>3.0561099999999999</v>
      </c>
      <c r="AF161" s="19">
        <v>-2.3914</v>
      </c>
      <c r="AG161" s="6">
        <v>2.9426999999999999</v>
      </c>
      <c r="AH161" s="6">
        <v>255</v>
      </c>
      <c r="AJ161" s="17">
        <v>159</v>
      </c>
      <c r="AK161" s="6">
        <v>5.7950600000000003</v>
      </c>
      <c r="AL161" s="19">
        <v>-2.3914</v>
      </c>
      <c r="AM161" s="6">
        <v>2.9426999999999999</v>
      </c>
      <c r="AN161" s="6">
        <v>255</v>
      </c>
      <c r="AQ161" s="17">
        <v>159</v>
      </c>
      <c r="AR161" s="6">
        <v>1.59138</v>
      </c>
      <c r="AS161" s="19">
        <v>-2.9348000000000001</v>
      </c>
      <c r="AT161" s="6">
        <v>0.80810000000000004</v>
      </c>
      <c r="AU161" s="6">
        <v>255</v>
      </c>
      <c r="AW161" s="17">
        <v>159</v>
      </c>
      <c r="AX161" s="6">
        <v>0.83923999999999999</v>
      </c>
      <c r="AY161" s="19">
        <v>-2.9348000000000001</v>
      </c>
      <c r="AZ161" s="6">
        <v>0.80810000000000004</v>
      </c>
      <c r="BA161" s="6">
        <v>255</v>
      </c>
      <c r="BN161" s="17">
        <v>159</v>
      </c>
      <c r="BO161" s="6">
        <v>51.807318359999996</v>
      </c>
      <c r="BP161" s="6">
        <v>50.222017080000001</v>
      </c>
      <c r="BQ161" s="6">
        <v>1.5853012799999999</v>
      </c>
    </row>
    <row r="162" spans="1:69" x14ac:dyDescent="0.25">
      <c r="A162" s="31" t="s">
        <v>156</v>
      </c>
      <c r="B162" s="32">
        <v>2</v>
      </c>
      <c r="C162" s="32">
        <v>17</v>
      </c>
      <c r="D162" s="32">
        <v>4</v>
      </c>
      <c r="E162" s="32">
        <v>39</v>
      </c>
      <c r="F162" s="2">
        <v>57.3</v>
      </c>
      <c r="G162">
        <v>49.883291225674284</v>
      </c>
      <c r="H162" s="31" t="s">
        <v>12</v>
      </c>
      <c r="I162" t="s">
        <v>12</v>
      </c>
      <c r="AD162" s="17">
        <v>160</v>
      </c>
      <c r="AE162" s="6">
        <v>3.0520800000000001</v>
      </c>
      <c r="AF162" s="19">
        <v>-2.5497999999999998</v>
      </c>
      <c r="AG162" s="6">
        <v>2.9388000000000001</v>
      </c>
      <c r="AH162" s="6">
        <v>255</v>
      </c>
      <c r="AJ162" s="17">
        <v>160</v>
      </c>
      <c r="AK162" s="6">
        <v>5.7874100000000004</v>
      </c>
      <c r="AL162" s="19">
        <v>-2.5497999999999998</v>
      </c>
      <c r="AM162" s="6">
        <v>2.9388000000000001</v>
      </c>
      <c r="AN162" s="6">
        <v>255</v>
      </c>
      <c r="AQ162" s="17">
        <v>160</v>
      </c>
      <c r="AR162" s="6">
        <v>1.5980799999999999</v>
      </c>
      <c r="AS162" s="19">
        <v>-3.1745999999999999</v>
      </c>
      <c r="AT162" s="6">
        <v>0.8115</v>
      </c>
      <c r="AU162" s="6">
        <v>255</v>
      </c>
      <c r="AW162" s="17">
        <v>160</v>
      </c>
      <c r="AX162" s="6">
        <v>0.84277000000000002</v>
      </c>
      <c r="AY162" s="19">
        <v>-3.1745999999999999</v>
      </c>
      <c r="AZ162" s="6">
        <v>0.8115</v>
      </c>
      <c r="BA162" s="6">
        <v>255</v>
      </c>
      <c r="BN162" s="17">
        <v>160</v>
      </c>
      <c r="BO162" s="6">
        <v>47.441730730000003</v>
      </c>
      <c r="BP162" s="6">
        <v>49.582116329999998</v>
      </c>
      <c r="BQ162" s="19">
        <v>-2.1403856000000001</v>
      </c>
    </row>
    <row r="163" spans="1:69" x14ac:dyDescent="0.25">
      <c r="A163" s="31" t="s">
        <v>156</v>
      </c>
      <c r="B163" s="32">
        <v>3</v>
      </c>
      <c r="C163" s="32">
        <v>16</v>
      </c>
      <c r="D163" s="32">
        <v>5</v>
      </c>
      <c r="E163" s="32">
        <v>39</v>
      </c>
      <c r="F163" s="2">
        <v>54.5</v>
      </c>
      <c r="G163">
        <v>44.945559531869613</v>
      </c>
      <c r="H163" s="59" t="s">
        <v>12</v>
      </c>
      <c r="I163" t="s">
        <v>12</v>
      </c>
      <c r="AD163" s="17">
        <v>161</v>
      </c>
      <c r="AE163" s="6">
        <v>3.0432999999999999</v>
      </c>
      <c r="AF163" s="19">
        <v>-2.9542000000000002</v>
      </c>
      <c r="AG163" s="6">
        <v>2.9302999999999999</v>
      </c>
      <c r="AH163" s="6">
        <v>255</v>
      </c>
      <c r="AJ163" s="17">
        <v>161</v>
      </c>
      <c r="AK163" s="6">
        <v>5.7707600000000001</v>
      </c>
      <c r="AL163" s="19">
        <v>-2.9542000000000002</v>
      </c>
      <c r="AM163" s="6">
        <v>2.9302999999999999</v>
      </c>
      <c r="AN163" s="6">
        <v>255</v>
      </c>
      <c r="AQ163" s="17">
        <v>161</v>
      </c>
      <c r="AR163" s="6">
        <v>1.58935</v>
      </c>
      <c r="AS163" s="19">
        <v>-0.90759999999999996</v>
      </c>
      <c r="AT163" s="6">
        <v>0.80710000000000004</v>
      </c>
      <c r="AU163" s="6">
        <v>255</v>
      </c>
      <c r="AW163" s="17">
        <v>161</v>
      </c>
      <c r="AX163" s="6">
        <v>0.83816999999999997</v>
      </c>
      <c r="AY163" s="19">
        <v>-0.90759999999999996</v>
      </c>
      <c r="AZ163" s="6">
        <v>0.80710000000000004</v>
      </c>
      <c r="BA163" s="6">
        <v>255</v>
      </c>
      <c r="BN163" s="17">
        <v>161</v>
      </c>
      <c r="BO163" s="6">
        <v>49.883291229999998</v>
      </c>
      <c r="BP163" s="6">
        <v>47.017363799999998</v>
      </c>
      <c r="BQ163" s="6">
        <v>2.8659274300000002</v>
      </c>
    </row>
    <row r="164" spans="1:69" x14ac:dyDescent="0.25">
      <c r="A164" s="31" t="s">
        <v>156</v>
      </c>
      <c r="B164" s="32">
        <v>1</v>
      </c>
      <c r="C164" s="32">
        <v>21</v>
      </c>
      <c r="D164" s="32">
        <v>1</v>
      </c>
      <c r="E164" s="32">
        <v>38</v>
      </c>
      <c r="F164" s="2">
        <v>60.1</v>
      </c>
      <c r="G164">
        <v>55.440572778554561</v>
      </c>
      <c r="H164" s="59">
        <v>14.1</v>
      </c>
      <c r="I164">
        <v>1</v>
      </c>
      <c r="AD164" s="17">
        <v>162</v>
      </c>
      <c r="AE164" s="6">
        <v>3.0671200000000001</v>
      </c>
      <c r="AF164" s="19">
        <v>-1.5234000000000001</v>
      </c>
      <c r="AG164" s="6">
        <v>2.9533</v>
      </c>
      <c r="AH164" s="6">
        <v>255</v>
      </c>
      <c r="AJ164" s="17">
        <v>162</v>
      </c>
      <c r="AK164" s="6">
        <v>5.8159400000000003</v>
      </c>
      <c r="AL164" s="19">
        <v>-1.5234000000000001</v>
      </c>
      <c r="AM164" s="6">
        <v>2.9533</v>
      </c>
      <c r="AN164" s="6">
        <v>255</v>
      </c>
      <c r="AQ164" s="17">
        <v>162</v>
      </c>
      <c r="AR164" s="6">
        <v>1.59771</v>
      </c>
      <c r="AS164" s="19">
        <v>-2.5295000000000001</v>
      </c>
      <c r="AT164" s="6">
        <v>0.81130000000000002</v>
      </c>
      <c r="AU164" s="6">
        <v>255</v>
      </c>
      <c r="AW164" s="17">
        <v>162</v>
      </c>
      <c r="AX164" s="6">
        <v>0.84258</v>
      </c>
      <c r="AY164" s="19">
        <v>-2.5295000000000001</v>
      </c>
      <c r="AZ164" s="6">
        <v>0.81130000000000002</v>
      </c>
      <c r="BA164" s="6">
        <v>255</v>
      </c>
      <c r="BN164" s="17">
        <v>162</v>
      </c>
      <c r="BO164" s="6">
        <v>44.945559529999997</v>
      </c>
      <c r="BP164" s="6">
        <v>45.671101360000002</v>
      </c>
      <c r="BQ164" s="19">
        <v>-0.72554183000000005</v>
      </c>
    </row>
    <row r="165" spans="1:69" x14ac:dyDescent="0.25">
      <c r="A165" s="31" t="s">
        <v>156</v>
      </c>
      <c r="B165" s="32">
        <v>2</v>
      </c>
      <c r="C165" s="32">
        <v>11</v>
      </c>
      <c r="D165" s="32">
        <v>3</v>
      </c>
      <c r="E165" s="32">
        <v>38</v>
      </c>
      <c r="F165" s="2">
        <v>57.6</v>
      </c>
      <c r="G165">
        <v>50.593911576105292</v>
      </c>
      <c r="H165" s="59" t="s">
        <v>12</v>
      </c>
      <c r="I165" t="s">
        <v>12</v>
      </c>
      <c r="AD165" s="17">
        <v>163</v>
      </c>
      <c r="AE165" s="6">
        <v>3.0489199999999999</v>
      </c>
      <c r="AF165" s="19">
        <v>-0.31480000000000002</v>
      </c>
      <c r="AG165" s="6">
        <v>2.9358</v>
      </c>
      <c r="AH165" s="6">
        <v>255</v>
      </c>
      <c r="AJ165" s="17">
        <v>163</v>
      </c>
      <c r="AK165" s="6">
        <v>5.7814300000000003</v>
      </c>
      <c r="AL165" s="19">
        <v>-0.31480000000000002</v>
      </c>
      <c r="AM165" s="6">
        <v>2.9358</v>
      </c>
      <c r="AN165" s="6">
        <v>255</v>
      </c>
      <c r="AQ165" s="17">
        <v>163</v>
      </c>
      <c r="AR165" s="6">
        <v>1.5914699999999999</v>
      </c>
      <c r="AS165" s="19">
        <v>-1.0270999999999999</v>
      </c>
      <c r="AT165" s="6">
        <v>0.80810000000000004</v>
      </c>
      <c r="AU165" s="6">
        <v>255</v>
      </c>
      <c r="AW165" s="17">
        <v>163</v>
      </c>
      <c r="AX165" s="6">
        <v>0.83928000000000003</v>
      </c>
      <c r="AY165" s="19">
        <v>-1.0270999999999999</v>
      </c>
      <c r="AZ165" s="6">
        <v>0.80810000000000004</v>
      </c>
      <c r="BA165" s="6">
        <v>255</v>
      </c>
      <c r="BN165" s="17">
        <v>163</v>
      </c>
      <c r="BO165" s="6">
        <v>55.440572779999997</v>
      </c>
      <c r="BP165" s="6">
        <v>51.743975370000001</v>
      </c>
      <c r="BQ165" s="6">
        <v>3.6965974099999999</v>
      </c>
    </row>
    <row r="166" spans="1:69" x14ac:dyDescent="0.25">
      <c r="A166" s="31" t="s">
        <v>156</v>
      </c>
      <c r="B166" s="32">
        <v>3</v>
      </c>
      <c r="C166" s="32">
        <v>8</v>
      </c>
      <c r="D166" s="32">
        <v>5</v>
      </c>
      <c r="E166" s="32">
        <v>38</v>
      </c>
      <c r="F166" s="2">
        <v>58.2</v>
      </c>
      <c r="G166">
        <v>42.721674243156983</v>
      </c>
      <c r="H166" s="59" t="s">
        <v>12</v>
      </c>
      <c r="I166" t="s">
        <v>12</v>
      </c>
      <c r="AD166" s="17">
        <v>164</v>
      </c>
      <c r="AE166" s="6">
        <v>3.0553699999999999</v>
      </c>
      <c r="AF166" s="6">
        <v>3.7835999999999999</v>
      </c>
      <c r="AG166" s="6">
        <v>2.9420000000000002</v>
      </c>
      <c r="AH166" s="6">
        <v>255</v>
      </c>
      <c r="AJ166" s="17">
        <v>164</v>
      </c>
      <c r="AK166" s="6">
        <v>5.79366</v>
      </c>
      <c r="AL166" s="6">
        <v>3.7835999999999999</v>
      </c>
      <c r="AM166" s="6">
        <v>2.9420000000000002</v>
      </c>
      <c r="AN166" s="6">
        <v>255</v>
      </c>
      <c r="AQ166" s="17">
        <v>164</v>
      </c>
      <c r="AR166" s="6">
        <v>1.5983499999999999</v>
      </c>
      <c r="AS166" s="19">
        <v>-0.63980000000000004</v>
      </c>
      <c r="AT166" s="6">
        <v>0.81159999999999999</v>
      </c>
      <c r="AU166" s="6">
        <v>255</v>
      </c>
      <c r="AW166" s="17">
        <v>164</v>
      </c>
      <c r="AX166" s="6">
        <v>0.84291000000000005</v>
      </c>
      <c r="AY166" s="19">
        <v>-0.63980000000000004</v>
      </c>
      <c r="AZ166" s="6">
        <v>0.81159999999999999</v>
      </c>
      <c r="BA166" s="6">
        <v>255</v>
      </c>
      <c r="BN166" s="17">
        <v>164</v>
      </c>
      <c r="BO166" s="6">
        <v>50.593911579999997</v>
      </c>
      <c r="BP166" s="6">
        <v>49.179222840000001</v>
      </c>
      <c r="BQ166" s="6">
        <v>1.4146887399999999</v>
      </c>
    </row>
    <row r="167" spans="1:69" x14ac:dyDescent="0.25">
      <c r="A167" s="31" t="s">
        <v>156</v>
      </c>
      <c r="B167" s="32">
        <v>1</v>
      </c>
      <c r="C167" s="32">
        <v>10</v>
      </c>
      <c r="D167" s="32">
        <v>1</v>
      </c>
      <c r="E167" s="32">
        <v>37</v>
      </c>
      <c r="F167" s="2">
        <v>53.3</v>
      </c>
      <c r="G167">
        <v>43.633296562364393</v>
      </c>
      <c r="H167" s="59">
        <v>16</v>
      </c>
      <c r="I167">
        <v>4</v>
      </c>
      <c r="AD167" s="17">
        <v>165</v>
      </c>
      <c r="AE167" s="6">
        <v>3.05043</v>
      </c>
      <c r="AF167" s="6">
        <v>2.7629999999999998E-2</v>
      </c>
      <c r="AG167" s="6">
        <v>2.9371999999999998</v>
      </c>
      <c r="AH167" s="6">
        <v>255</v>
      </c>
      <c r="AJ167" s="17">
        <v>165</v>
      </c>
      <c r="AK167" s="6">
        <v>5.7842900000000004</v>
      </c>
      <c r="AL167" s="6">
        <v>2.7629999999999998E-2</v>
      </c>
      <c r="AM167" s="6">
        <v>2.9371999999999998</v>
      </c>
      <c r="AN167" s="6">
        <v>255</v>
      </c>
      <c r="AQ167" s="17">
        <v>165</v>
      </c>
      <c r="AR167" s="6">
        <v>1.59151</v>
      </c>
      <c r="AS167" s="19">
        <v>-0.56469999999999998</v>
      </c>
      <c r="AT167" s="6">
        <v>0.80820000000000003</v>
      </c>
      <c r="AU167" s="6">
        <v>255</v>
      </c>
      <c r="AW167" s="17">
        <v>165</v>
      </c>
      <c r="AX167" s="6">
        <v>0.83931</v>
      </c>
      <c r="AY167" s="19">
        <v>-0.56469999999999998</v>
      </c>
      <c r="AZ167" s="6">
        <v>0.80820000000000003</v>
      </c>
      <c r="BA167" s="6">
        <v>255</v>
      </c>
      <c r="BN167" s="17">
        <v>165</v>
      </c>
      <c r="BO167" s="6">
        <v>42.721674239999999</v>
      </c>
      <c r="BP167" s="6">
        <v>47.832960389999997</v>
      </c>
      <c r="BQ167" s="19">
        <v>-5.1112861499999998</v>
      </c>
    </row>
    <row r="168" spans="1:69" x14ac:dyDescent="0.25">
      <c r="A168" s="31" t="s">
        <v>156</v>
      </c>
      <c r="B168" s="32">
        <v>2</v>
      </c>
      <c r="C168" s="32">
        <v>16</v>
      </c>
      <c r="D168" s="32">
        <v>3</v>
      </c>
      <c r="E168" s="32">
        <v>37</v>
      </c>
      <c r="F168" s="2">
        <v>60.5</v>
      </c>
      <c r="G168">
        <v>58.805264934188308</v>
      </c>
      <c r="H168" s="61" t="s">
        <v>12</v>
      </c>
      <c r="I168" t="s">
        <v>12</v>
      </c>
      <c r="AD168" s="17">
        <v>166</v>
      </c>
      <c r="AE168" s="6">
        <v>3.05721</v>
      </c>
      <c r="AF168" s="19">
        <v>-3.4927999999999999</v>
      </c>
      <c r="AG168" s="6">
        <v>2.9437000000000002</v>
      </c>
      <c r="AH168" s="6">
        <v>255</v>
      </c>
      <c r="AJ168" s="17">
        <v>166</v>
      </c>
      <c r="AK168" s="6">
        <v>5.7971500000000002</v>
      </c>
      <c r="AL168" s="19">
        <v>-3.4927999999999999</v>
      </c>
      <c r="AM168" s="6">
        <v>2.9437000000000002</v>
      </c>
      <c r="AN168" s="6">
        <v>255</v>
      </c>
      <c r="AQ168" s="17">
        <v>166</v>
      </c>
      <c r="AR168" s="6">
        <v>1.5918099999999999</v>
      </c>
      <c r="AS168" s="19">
        <v>-2.5095999999999998</v>
      </c>
      <c r="AT168" s="6">
        <v>0.80830000000000002</v>
      </c>
      <c r="AU168" s="6">
        <v>255</v>
      </c>
      <c r="AW168" s="17">
        <v>166</v>
      </c>
      <c r="AX168" s="6">
        <v>0.83947000000000005</v>
      </c>
      <c r="AY168" s="19">
        <v>-2.5095999999999998</v>
      </c>
      <c r="AZ168" s="6">
        <v>0.80830000000000002</v>
      </c>
      <c r="BA168" s="6">
        <v>255</v>
      </c>
      <c r="BN168" s="17">
        <v>166</v>
      </c>
      <c r="BO168" s="6">
        <v>43.633296559999998</v>
      </c>
      <c r="BP168" s="6">
        <v>55.249619819999999</v>
      </c>
      <c r="BQ168" s="19">
        <v>-11.61632326</v>
      </c>
    </row>
    <row r="169" spans="1:69" x14ac:dyDescent="0.25">
      <c r="A169" s="31" t="s">
        <v>156</v>
      </c>
      <c r="B169" s="32">
        <v>3</v>
      </c>
      <c r="C169" s="32">
        <v>3</v>
      </c>
      <c r="D169" s="32">
        <v>6</v>
      </c>
      <c r="E169" s="32">
        <v>37</v>
      </c>
      <c r="F169" s="2">
        <v>58.5</v>
      </c>
      <c r="G169">
        <v>56.834530461124196</v>
      </c>
      <c r="H169" s="59" t="s">
        <v>12</v>
      </c>
      <c r="I169" t="s">
        <v>12</v>
      </c>
      <c r="AD169" s="17">
        <v>167</v>
      </c>
      <c r="AE169" s="6">
        <v>3.0474199999999998</v>
      </c>
      <c r="AF169" s="19">
        <v>-3.1644999999999999</v>
      </c>
      <c r="AG169" s="6">
        <v>2.9342999999999999</v>
      </c>
      <c r="AH169" s="6">
        <v>255</v>
      </c>
      <c r="AJ169" s="17">
        <v>167</v>
      </c>
      <c r="AK169" s="6">
        <v>5.7785799999999998</v>
      </c>
      <c r="AL169" s="19">
        <v>-3.1644999999999999</v>
      </c>
      <c r="AM169" s="6">
        <v>2.9342999999999999</v>
      </c>
      <c r="AN169" s="6">
        <v>255</v>
      </c>
      <c r="AQ169" s="17">
        <v>167</v>
      </c>
      <c r="AR169" s="6">
        <v>1.58819</v>
      </c>
      <c r="AS169" s="19">
        <v>-1.6673</v>
      </c>
      <c r="AT169" s="6">
        <v>0.80649999999999999</v>
      </c>
      <c r="AU169" s="6">
        <v>255</v>
      </c>
      <c r="AW169" s="17">
        <v>167</v>
      </c>
      <c r="AX169" s="6">
        <v>0.83755999999999997</v>
      </c>
      <c r="AY169" s="19">
        <v>-1.6673</v>
      </c>
      <c r="AZ169" s="6">
        <v>0.80649999999999999</v>
      </c>
      <c r="BA169" s="6">
        <v>255</v>
      </c>
      <c r="BN169" s="17">
        <v>167</v>
      </c>
      <c r="BO169" s="6">
        <v>58.80526493</v>
      </c>
      <c r="BP169" s="6">
        <v>52.68486729</v>
      </c>
      <c r="BQ169" s="6">
        <v>6.1203976400000002</v>
      </c>
    </row>
    <row r="170" spans="1:69" x14ac:dyDescent="0.25">
      <c r="A170" s="31" t="s">
        <v>156</v>
      </c>
      <c r="B170" s="32">
        <v>1</v>
      </c>
      <c r="C170" s="32">
        <v>26</v>
      </c>
      <c r="D170" s="32">
        <v>1</v>
      </c>
      <c r="E170" s="32">
        <v>40</v>
      </c>
      <c r="F170" s="2">
        <v>58.1</v>
      </c>
      <c r="G170">
        <v>58.575055686803907</v>
      </c>
      <c r="H170" s="59">
        <v>13.5</v>
      </c>
      <c r="I170">
        <v>2</v>
      </c>
      <c r="AD170" s="17">
        <v>168</v>
      </c>
      <c r="AE170" s="6">
        <v>3.0514899999999998</v>
      </c>
      <c r="AF170" s="19">
        <v>-0.64649999999999996</v>
      </c>
      <c r="AG170" s="6">
        <v>2.9382000000000001</v>
      </c>
      <c r="AH170" s="6">
        <v>255</v>
      </c>
      <c r="AJ170" s="17">
        <v>168</v>
      </c>
      <c r="AK170" s="6">
        <v>5.7862999999999998</v>
      </c>
      <c r="AL170" s="19">
        <v>-0.64649999999999996</v>
      </c>
      <c r="AM170" s="6">
        <v>2.9382000000000001</v>
      </c>
      <c r="AN170" s="6">
        <v>255</v>
      </c>
      <c r="AQ170" s="17">
        <v>168</v>
      </c>
      <c r="AR170" s="6">
        <v>1.59158</v>
      </c>
      <c r="AS170" s="19">
        <v>-3.3363999999999998</v>
      </c>
      <c r="AT170" s="6">
        <v>0.80820000000000003</v>
      </c>
      <c r="AU170" s="6">
        <v>255</v>
      </c>
      <c r="AW170" s="17">
        <v>168</v>
      </c>
      <c r="AX170" s="6">
        <v>0.83933999999999997</v>
      </c>
      <c r="AY170" s="19">
        <v>-3.3363999999999998</v>
      </c>
      <c r="AZ170" s="6">
        <v>0.80820000000000003</v>
      </c>
      <c r="BA170" s="6">
        <v>255</v>
      </c>
      <c r="BN170" s="17">
        <v>168</v>
      </c>
      <c r="BO170" s="6">
        <v>56.834530460000003</v>
      </c>
      <c r="BP170" s="6">
        <v>51.338604840000002</v>
      </c>
      <c r="BQ170" s="6">
        <v>5.4959256200000004</v>
      </c>
    </row>
    <row r="171" spans="1:69" x14ac:dyDescent="0.25">
      <c r="A171" s="31" t="s">
        <v>156</v>
      </c>
      <c r="B171" s="32">
        <v>2</v>
      </c>
      <c r="C171" s="32">
        <v>7</v>
      </c>
      <c r="D171" s="32">
        <v>4</v>
      </c>
      <c r="E171" s="32">
        <v>40</v>
      </c>
      <c r="F171" s="2">
        <v>57.5</v>
      </c>
      <c r="G171">
        <v>42.320218504609073</v>
      </c>
      <c r="H171" s="61" t="s">
        <v>12</v>
      </c>
      <c r="I171" t="s">
        <v>12</v>
      </c>
      <c r="AD171" s="17">
        <v>169</v>
      </c>
      <c r="AE171" s="6">
        <v>3.05389</v>
      </c>
      <c r="AF171" s="6">
        <v>1.0318000000000001</v>
      </c>
      <c r="AG171" s="6">
        <v>2.9405000000000001</v>
      </c>
      <c r="AH171" s="6">
        <v>255</v>
      </c>
      <c r="AJ171" s="17">
        <v>169</v>
      </c>
      <c r="AK171" s="6">
        <v>5.7908499999999998</v>
      </c>
      <c r="AL171" s="6">
        <v>1.0318000000000001</v>
      </c>
      <c r="AM171" s="6">
        <v>2.9405000000000001</v>
      </c>
      <c r="AN171" s="6">
        <v>255</v>
      </c>
      <c r="AQ171" s="17">
        <v>169</v>
      </c>
      <c r="AR171" s="6">
        <v>1.60144</v>
      </c>
      <c r="AS171" s="19">
        <v>-2.9554999999999998</v>
      </c>
      <c r="AT171" s="6">
        <v>0.81320000000000003</v>
      </c>
      <c r="AU171" s="6">
        <v>255</v>
      </c>
      <c r="AW171" s="17">
        <v>169</v>
      </c>
      <c r="AX171" s="6">
        <v>0.84453999999999996</v>
      </c>
      <c r="AY171" s="19">
        <v>-2.9554999999999998</v>
      </c>
      <c r="AZ171" s="6">
        <v>0.81320000000000003</v>
      </c>
      <c r="BA171" s="6">
        <v>255</v>
      </c>
      <c r="BN171" s="17">
        <v>169</v>
      </c>
      <c r="BO171" s="6">
        <v>58.575055689999999</v>
      </c>
      <c r="BP171" s="6">
        <v>46.521162740000001</v>
      </c>
      <c r="BQ171" s="6">
        <v>12.05389295</v>
      </c>
    </row>
    <row r="172" spans="1:69" x14ac:dyDescent="0.25">
      <c r="A172" s="31" t="s">
        <v>156</v>
      </c>
      <c r="B172" s="32">
        <v>3</v>
      </c>
      <c r="C172" s="32">
        <v>6</v>
      </c>
      <c r="D172" s="32">
        <v>6</v>
      </c>
      <c r="E172" s="32">
        <v>40</v>
      </c>
      <c r="F172" s="2">
        <v>53.8</v>
      </c>
      <c r="G172">
        <v>32.192446506707689</v>
      </c>
      <c r="H172" s="59" t="s">
        <v>12</v>
      </c>
      <c r="I172" t="s">
        <v>12</v>
      </c>
      <c r="AD172" s="17">
        <v>170</v>
      </c>
      <c r="AE172" s="6">
        <v>3.0466199999999999</v>
      </c>
      <c r="AF172" s="19">
        <v>-1.4503999999999999</v>
      </c>
      <c r="AG172" s="6">
        <v>2.9335</v>
      </c>
      <c r="AH172" s="6">
        <v>255</v>
      </c>
      <c r="AJ172" s="17">
        <v>170</v>
      </c>
      <c r="AK172" s="6">
        <v>5.7770599999999996</v>
      </c>
      <c r="AL172" s="19">
        <v>-1.4503999999999999</v>
      </c>
      <c r="AM172" s="6">
        <v>2.9335</v>
      </c>
      <c r="AN172" s="6">
        <v>255</v>
      </c>
      <c r="AQ172" s="17">
        <v>170</v>
      </c>
      <c r="AR172" s="6">
        <v>1.6107800000000001</v>
      </c>
      <c r="AS172" s="19">
        <v>-1.5770999999999999</v>
      </c>
      <c r="AT172" s="6">
        <v>0.81789999999999996</v>
      </c>
      <c r="AU172" s="6">
        <v>255</v>
      </c>
      <c r="AW172" s="17">
        <v>170</v>
      </c>
      <c r="AX172" s="6">
        <v>0.84946999999999995</v>
      </c>
      <c r="AY172" s="19">
        <v>-1.5770999999999999</v>
      </c>
      <c r="AZ172" s="6">
        <v>0.81789999999999996</v>
      </c>
      <c r="BA172" s="6">
        <v>255</v>
      </c>
      <c r="BN172" s="17">
        <v>170</v>
      </c>
      <c r="BO172" s="6">
        <v>42.320218500000003</v>
      </c>
      <c r="BP172" s="6">
        <v>43.956410210000001</v>
      </c>
      <c r="BQ172" s="19">
        <v>-1.6361917100000001</v>
      </c>
    </row>
    <row r="173" spans="1:69" x14ac:dyDescent="0.25">
      <c r="A173" s="31" t="s">
        <v>156</v>
      </c>
      <c r="B173" s="32">
        <v>1</v>
      </c>
      <c r="C173" s="32">
        <v>24</v>
      </c>
      <c r="D173" s="32">
        <v>2</v>
      </c>
      <c r="E173" s="32">
        <v>41</v>
      </c>
      <c r="F173" s="2">
        <v>58.8</v>
      </c>
      <c r="G173">
        <v>44.935218106199819</v>
      </c>
      <c r="H173" s="59">
        <v>15.1</v>
      </c>
      <c r="I173">
        <v>3</v>
      </c>
      <c r="AD173" s="17">
        <v>171</v>
      </c>
      <c r="AE173" s="6">
        <v>3.0607899999999999</v>
      </c>
      <c r="AF173" s="6">
        <v>0.50990000000000002</v>
      </c>
      <c r="AG173" s="6">
        <v>2.9472</v>
      </c>
      <c r="AH173" s="6">
        <v>255</v>
      </c>
      <c r="AJ173" s="17">
        <v>171</v>
      </c>
      <c r="AK173" s="6">
        <v>5.8039399999999999</v>
      </c>
      <c r="AL173" s="6">
        <v>0.50990000000000002</v>
      </c>
      <c r="AM173" s="6">
        <v>2.9472</v>
      </c>
      <c r="AN173" s="6">
        <v>255</v>
      </c>
      <c r="AQ173" s="17">
        <v>171</v>
      </c>
      <c r="AR173" s="6">
        <v>1.59588</v>
      </c>
      <c r="AS173" s="19">
        <v>-1.6661999999999999</v>
      </c>
      <c r="AT173" s="6">
        <v>0.81040000000000001</v>
      </c>
      <c r="AU173" s="6">
        <v>255</v>
      </c>
      <c r="AW173" s="17">
        <v>171</v>
      </c>
      <c r="AX173" s="6">
        <v>0.84160999999999997</v>
      </c>
      <c r="AY173" s="19">
        <v>-1.6661999999999999</v>
      </c>
      <c r="AZ173" s="6">
        <v>0.81040000000000001</v>
      </c>
      <c r="BA173" s="6">
        <v>255</v>
      </c>
      <c r="BN173" s="17">
        <v>171</v>
      </c>
      <c r="BO173" s="6">
        <v>32.192446510000003</v>
      </c>
      <c r="BP173" s="6">
        <v>42.610147759999997</v>
      </c>
      <c r="BQ173" s="19">
        <v>-10.41770125</v>
      </c>
    </row>
    <row r="174" spans="1:69" x14ac:dyDescent="0.25">
      <c r="A174" s="31" t="s">
        <v>156</v>
      </c>
      <c r="B174" s="32">
        <v>2</v>
      </c>
      <c r="C174" s="32">
        <v>12</v>
      </c>
      <c r="D174" s="32">
        <v>3</v>
      </c>
      <c r="E174" s="32">
        <v>41</v>
      </c>
      <c r="F174" s="2">
        <v>58.9</v>
      </c>
      <c r="G174">
        <v>44.802810134516172</v>
      </c>
      <c r="H174" s="59" t="s">
        <v>12</v>
      </c>
      <c r="I174" t="s">
        <v>12</v>
      </c>
      <c r="AD174" s="17">
        <v>172</v>
      </c>
      <c r="AE174" s="6">
        <v>3.06684</v>
      </c>
      <c r="AF174" s="19">
        <v>-7.5561999999999996</v>
      </c>
      <c r="AG174" s="6">
        <v>2.9529999999999998</v>
      </c>
      <c r="AH174" s="6">
        <v>255</v>
      </c>
      <c r="AJ174" s="17">
        <v>172</v>
      </c>
      <c r="AK174" s="6">
        <v>5.8154000000000003</v>
      </c>
      <c r="AL174" s="19">
        <v>-7.5561999999999996</v>
      </c>
      <c r="AM174" s="6">
        <v>2.9529999999999998</v>
      </c>
      <c r="AN174" s="6">
        <v>255</v>
      </c>
      <c r="AQ174" s="17">
        <v>172</v>
      </c>
      <c r="AR174" s="6">
        <v>1.5976600000000001</v>
      </c>
      <c r="AS174" s="19">
        <v>-2.0771000000000002</v>
      </c>
      <c r="AT174" s="6">
        <v>0.81130000000000002</v>
      </c>
      <c r="AU174" s="6">
        <v>255</v>
      </c>
      <c r="AW174" s="17">
        <v>172</v>
      </c>
      <c r="AX174" s="6">
        <v>0.84255000000000002</v>
      </c>
      <c r="AY174" s="19">
        <v>-2.0771000000000002</v>
      </c>
      <c r="AZ174" s="6">
        <v>0.81130000000000002</v>
      </c>
      <c r="BA174" s="6">
        <v>255</v>
      </c>
      <c r="BN174" s="17">
        <v>172</v>
      </c>
      <c r="BO174" s="6">
        <v>44.935218110000001</v>
      </c>
      <c r="BP174" s="6">
        <v>48.129980019999998</v>
      </c>
      <c r="BQ174" s="19">
        <v>-3.19476191</v>
      </c>
    </row>
    <row r="175" spans="1:69" x14ac:dyDescent="0.25">
      <c r="A175" s="31" t="s">
        <v>156</v>
      </c>
      <c r="B175" s="32">
        <v>3</v>
      </c>
      <c r="C175" s="32">
        <v>15</v>
      </c>
      <c r="D175" s="32">
        <v>5</v>
      </c>
      <c r="E175" s="32">
        <v>41</v>
      </c>
      <c r="F175" s="2">
        <v>59.7</v>
      </c>
      <c r="G175">
        <v>48.176144307960151</v>
      </c>
      <c r="H175" s="61" t="s">
        <v>12</v>
      </c>
      <c r="I175" t="s">
        <v>12</v>
      </c>
      <c r="AD175" s="17">
        <v>173</v>
      </c>
      <c r="AE175" s="6">
        <v>3.05131</v>
      </c>
      <c r="AF175" s="19">
        <v>-2.5133999999999999</v>
      </c>
      <c r="AG175" s="6">
        <v>2.9380999999999999</v>
      </c>
      <c r="AH175" s="6">
        <v>255</v>
      </c>
      <c r="AJ175" s="17">
        <v>173</v>
      </c>
      <c r="AK175" s="6">
        <v>5.7859600000000002</v>
      </c>
      <c r="AL175" s="19">
        <v>-2.5133999999999999</v>
      </c>
      <c r="AM175" s="6">
        <v>2.9380999999999999</v>
      </c>
      <c r="AN175" s="6">
        <v>255</v>
      </c>
      <c r="AQ175" s="17">
        <v>173</v>
      </c>
      <c r="AR175" s="6">
        <v>1.5886800000000001</v>
      </c>
      <c r="AS175" s="19">
        <v>-1.8047</v>
      </c>
      <c r="AT175" s="6">
        <v>0.80669999999999997</v>
      </c>
      <c r="AU175" s="6">
        <v>255</v>
      </c>
      <c r="AW175" s="17">
        <v>173</v>
      </c>
      <c r="AX175" s="6">
        <v>0.83781000000000005</v>
      </c>
      <c r="AY175" s="19">
        <v>-1.8047</v>
      </c>
      <c r="AZ175" s="6">
        <v>0.80669999999999997</v>
      </c>
      <c r="BA175" s="6">
        <v>255</v>
      </c>
      <c r="BN175" s="17">
        <v>173</v>
      </c>
      <c r="BO175" s="6">
        <v>44.802810129999997</v>
      </c>
      <c r="BP175" s="6">
        <v>45.565227489999998</v>
      </c>
      <c r="BQ175" s="19">
        <v>-0.76241736000000004</v>
      </c>
    </row>
    <row r="176" spans="1:69" x14ac:dyDescent="0.25">
      <c r="A176" s="31" t="s">
        <v>156</v>
      </c>
      <c r="B176" s="32">
        <v>1</v>
      </c>
      <c r="C176" s="32">
        <v>9</v>
      </c>
      <c r="D176" s="32">
        <v>2</v>
      </c>
      <c r="E176" s="32">
        <v>20</v>
      </c>
      <c r="F176" s="2">
        <v>59</v>
      </c>
      <c r="G176">
        <v>57.732904729664376</v>
      </c>
      <c r="H176" s="59">
        <v>13.9</v>
      </c>
      <c r="I176">
        <v>3</v>
      </c>
      <c r="AD176" s="17">
        <v>174</v>
      </c>
      <c r="AE176" s="6">
        <v>3.0455100000000002</v>
      </c>
      <c r="AF176" s="19">
        <v>-3.6080000000000001E-2</v>
      </c>
      <c r="AG176" s="6">
        <v>2.9325000000000001</v>
      </c>
      <c r="AH176" s="6">
        <v>255</v>
      </c>
      <c r="AJ176" s="17">
        <v>174</v>
      </c>
      <c r="AK176" s="6">
        <v>5.7749699999999997</v>
      </c>
      <c r="AL176" s="19">
        <v>-3.6080000000000001E-2</v>
      </c>
      <c r="AM176" s="6">
        <v>2.9325000000000001</v>
      </c>
      <c r="AN176" s="6">
        <v>255</v>
      </c>
      <c r="AQ176" s="17">
        <v>174</v>
      </c>
      <c r="AR176" s="6">
        <v>1.5887100000000001</v>
      </c>
      <c r="AS176" s="19">
        <v>-1.2807999999999999</v>
      </c>
      <c r="AT176" s="6">
        <v>0.80669999999999997</v>
      </c>
      <c r="AU176" s="6">
        <v>255</v>
      </c>
      <c r="AW176" s="17">
        <v>174</v>
      </c>
      <c r="AX176" s="6">
        <v>0.83782999999999996</v>
      </c>
      <c r="AY176" s="19">
        <v>-1.2807999999999999</v>
      </c>
      <c r="AZ176" s="6">
        <v>0.80669999999999997</v>
      </c>
      <c r="BA176" s="6">
        <v>255</v>
      </c>
      <c r="BN176" s="17">
        <v>174</v>
      </c>
      <c r="BO176" s="6">
        <v>48.176144309999998</v>
      </c>
      <c r="BP176" s="6">
        <v>44.21896504</v>
      </c>
      <c r="BQ176" s="6">
        <v>3.9571792700000001</v>
      </c>
    </row>
    <row r="177" spans="1:69" x14ac:dyDescent="0.25">
      <c r="A177" s="31" t="s">
        <v>156</v>
      </c>
      <c r="B177" s="32">
        <v>2</v>
      </c>
      <c r="C177" s="32">
        <v>19</v>
      </c>
      <c r="D177" s="32">
        <v>3</v>
      </c>
      <c r="E177" s="32">
        <v>20</v>
      </c>
      <c r="F177" s="2">
        <v>57.3</v>
      </c>
      <c r="G177">
        <v>39.00120775276023</v>
      </c>
      <c r="H177" s="61" t="s">
        <v>12</v>
      </c>
      <c r="I177" t="s">
        <v>12</v>
      </c>
      <c r="AD177" s="17">
        <v>175</v>
      </c>
      <c r="AE177" s="6">
        <v>3.0546600000000002</v>
      </c>
      <c r="AF177" s="19">
        <v>-1.9554</v>
      </c>
      <c r="AG177" s="6">
        <v>2.9413</v>
      </c>
      <c r="AH177" s="6">
        <v>255</v>
      </c>
      <c r="AJ177" s="17">
        <v>175</v>
      </c>
      <c r="AK177" s="6">
        <v>5.7923200000000001</v>
      </c>
      <c r="AL177" s="19">
        <v>-1.9554</v>
      </c>
      <c r="AM177" s="6">
        <v>2.9413</v>
      </c>
      <c r="AN177" s="6">
        <v>255</v>
      </c>
      <c r="AQ177" s="17">
        <v>175</v>
      </c>
      <c r="AR177" s="6">
        <v>1.5935900000000001</v>
      </c>
      <c r="AS177" s="19">
        <v>-2.4634999999999998</v>
      </c>
      <c r="AT177" s="6">
        <v>0.80920000000000003</v>
      </c>
      <c r="AU177" s="6">
        <v>255</v>
      </c>
      <c r="AW177" s="17">
        <v>175</v>
      </c>
      <c r="AX177" s="6">
        <v>0.84040999999999999</v>
      </c>
      <c r="AY177" s="19">
        <v>-2.4634999999999998</v>
      </c>
      <c r="AZ177" s="6">
        <v>0.80920000000000003</v>
      </c>
      <c r="BA177" s="6">
        <v>255</v>
      </c>
      <c r="BN177" s="17">
        <v>175</v>
      </c>
      <c r="BO177" s="6">
        <v>57.732904730000001</v>
      </c>
      <c r="BP177" s="6">
        <v>47.931294000000001</v>
      </c>
      <c r="BQ177" s="6">
        <v>9.8016107300000002</v>
      </c>
    </row>
    <row r="178" spans="1:69" x14ac:dyDescent="0.25">
      <c r="A178" s="31" t="s">
        <v>156</v>
      </c>
      <c r="B178" s="32">
        <v>3</v>
      </c>
      <c r="C178" s="32">
        <v>1</v>
      </c>
      <c r="D178" s="32">
        <v>6</v>
      </c>
      <c r="E178" s="32">
        <v>20</v>
      </c>
      <c r="F178" s="2">
        <v>56.1</v>
      </c>
      <c r="G178">
        <v>40.584002019522039</v>
      </c>
      <c r="H178" s="59" t="s">
        <v>12</v>
      </c>
      <c r="I178" t="s">
        <v>12</v>
      </c>
      <c r="AD178" s="17">
        <v>176</v>
      </c>
      <c r="AE178" s="6">
        <v>3.0362200000000001</v>
      </c>
      <c r="AF178" s="19">
        <v>-0.64439999999999997</v>
      </c>
      <c r="AG178" s="6">
        <v>2.9235000000000002</v>
      </c>
      <c r="AH178" s="6">
        <v>255</v>
      </c>
      <c r="AJ178" s="17">
        <v>176</v>
      </c>
      <c r="AK178" s="6">
        <v>5.7573499999999997</v>
      </c>
      <c r="AL178" s="19">
        <v>-0.64439999999999997</v>
      </c>
      <c r="AM178" s="6">
        <v>2.9235000000000002</v>
      </c>
      <c r="AN178" s="6">
        <v>255</v>
      </c>
      <c r="AQ178" s="17">
        <v>176</v>
      </c>
      <c r="AR178" s="6">
        <v>1.5860000000000001</v>
      </c>
      <c r="AS178" s="19">
        <v>-2.6518000000000002</v>
      </c>
      <c r="AT178" s="6">
        <v>0.8054</v>
      </c>
      <c r="AU178" s="6">
        <v>255</v>
      </c>
      <c r="AW178" s="17">
        <v>176</v>
      </c>
      <c r="AX178" s="6">
        <v>0.83640000000000003</v>
      </c>
      <c r="AY178" s="19">
        <v>-2.6518000000000002</v>
      </c>
      <c r="AZ178" s="6">
        <v>0.8054</v>
      </c>
      <c r="BA178" s="6">
        <v>255</v>
      </c>
      <c r="BN178" s="17">
        <v>176</v>
      </c>
      <c r="BO178" s="6">
        <v>39.001207749999999</v>
      </c>
      <c r="BP178" s="6">
        <v>45.366541470000001</v>
      </c>
      <c r="BQ178" s="19">
        <v>-6.3653337199999998</v>
      </c>
    </row>
    <row r="179" spans="1:69" x14ac:dyDescent="0.25">
      <c r="A179" s="31" t="s">
        <v>156</v>
      </c>
      <c r="B179" s="32">
        <v>1</v>
      </c>
      <c r="C179" s="32">
        <v>13</v>
      </c>
      <c r="D179" s="32">
        <v>2</v>
      </c>
      <c r="E179" s="32">
        <v>32</v>
      </c>
      <c r="F179" s="2">
        <v>61.4</v>
      </c>
      <c r="G179">
        <v>58.020032498307373</v>
      </c>
      <c r="H179" s="59">
        <v>14.4</v>
      </c>
      <c r="I179">
        <v>3</v>
      </c>
      <c r="AD179" s="17">
        <v>177</v>
      </c>
      <c r="AE179" s="6">
        <v>3.0497999999999998</v>
      </c>
      <c r="AF179" s="6">
        <v>1.2493000000000001</v>
      </c>
      <c r="AG179" s="6">
        <v>2.9365999999999999</v>
      </c>
      <c r="AH179" s="6">
        <v>255</v>
      </c>
      <c r="AJ179" s="17">
        <v>177</v>
      </c>
      <c r="AK179" s="6">
        <v>5.7830899999999996</v>
      </c>
      <c r="AL179" s="6">
        <v>1.2493000000000001</v>
      </c>
      <c r="AM179" s="6">
        <v>2.9365999999999999</v>
      </c>
      <c r="AN179" s="6">
        <v>255</v>
      </c>
      <c r="AQ179" s="17">
        <v>177</v>
      </c>
      <c r="AR179" s="6">
        <v>1.5901400000000001</v>
      </c>
      <c r="AS179" s="19">
        <v>-1.7222999999999999</v>
      </c>
      <c r="AT179" s="6">
        <v>0.8075</v>
      </c>
      <c r="AU179" s="6">
        <v>255</v>
      </c>
      <c r="AW179" s="17">
        <v>177</v>
      </c>
      <c r="AX179" s="6">
        <v>0.83858999999999995</v>
      </c>
      <c r="AY179" s="19">
        <v>-1.7222999999999999</v>
      </c>
      <c r="AZ179" s="6">
        <v>0.8075</v>
      </c>
      <c r="BA179" s="6">
        <v>255</v>
      </c>
      <c r="BN179" s="17">
        <v>177</v>
      </c>
      <c r="BO179" s="6">
        <v>40.58400202</v>
      </c>
      <c r="BP179" s="6">
        <v>44.020279029999998</v>
      </c>
      <c r="BQ179" s="19">
        <v>-3.43627701</v>
      </c>
    </row>
    <row r="180" spans="1:69" x14ac:dyDescent="0.25">
      <c r="A180" s="31" t="s">
        <v>156</v>
      </c>
      <c r="B180" s="32">
        <v>2</v>
      </c>
      <c r="C180" s="32">
        <v>6</v>
      </c>
      <c r="D180" s="32">
        <v>4</v>
      </c>
      <c r="E180" s="32">
        <v>32</v>
      </c>
      <c r="F180" s="2">
        <v>55.7</v>
      </c>
      <c r="G180">
        <v>34.649758571916301</v>
      </c>
      <c r="H180" s="59" t="s">
        <v>12</v>
      </c>
      <c r="I180" t="s">
        <v>12</v>
      </c>
      <c r="AD180" s="17">
        <v>178</v>
      </c>
      <c r="AE180" s="6">
        <v>3.05863</v>
      </c>
      <c r="AF180" s="19">
        <v>-4.9005000000000001</v>
      </c>
      <c r="AG180" s="6">
        <v>2.9451000000000001</v>
      </c>
      <c r="AH180" s="6">
        <v>255</v>
      </c>
      <c r="AJ180" s="17">
        <v>178</v>
      </c>
      <c r="AK180" s="6">
        <v>5.7998399999999997</v>
      </c>
      <c r="AL180" s="19">
        <v>-4.9005000000000001</v>
      </c>
      <c r="AM180" s="6">
        <v>2.9451000000000001</v>
      </c>
      <c r="AN180" s="6">
        <v>255</v>
      </c>
      <c r="AQ180" s="17">
        <v>178</v>
      </c>
      <c r="AR180" s="6">
        <v>1.5968</v>
      </c>
      <c r="AS180" s="19">
        <v>-4.0868000000000002</v>
      </c>
      <c r="AT180" s="6">
        <v>0.81079999999999997</v>
      </c>
      <c r="AU180" s="6">
        <v>255</v>
      </c>
      <c r="AW180" s="17">
        <v>178</v>
      </c>
      <c r="AX180" s="6">
        <v>0.84209999999999996</v>
      </c>
      <c r="AY180" s="19">
        <v>-4.0868000000000002</v>
      </c>
      <c r="AZ180" s="6">
        <v>0.81079999999999997</v>
      </c>
      <c r="BA180" s="6">
        <v>255</v>
      </c>
      <c r="BN180" s="17">
        <v>178</v>
      </c>
      <c r="BO180" s="6">
        <v>58.020032499999999</v>
      </c>
      <c r="BP180" s="6">
        <v>49.753913859999997</v>
      </c>
      <c r="BQ180" s="6">
        <v>8.2661186400000002</v>
      </c>
    </row>
    <row r="181" spans="1:69" x14ac:dyDescent="0.25">
      <c r="A181" s="31" t="s">
        <v>156</v>
      </c>
      <c r="B181" s="32">
        <v>3</v>
      </c>
      <c r="C181" s="32">
        <v>23</v>
      </c>
      <c r="D181" s="32">
        <v>6</v>
      </c>
      <c r="E181" s="32">
        <v>32</v>
      </c>
      <c r="F181" s="2">
        <v>60.2</v>
      </c>
      <c r="G181">
        <v>50.116183007164487</v>
      </c>
      <c r="H181" s="61" t="s">
        <v>12</v>
      </c>
      <c r="I181" t="s">
        <v>12</v>
      </c>
      <c r="AD181" s="17">
        <v>179</v>
      </c>
      <c r="AE181" s="6">
        <v>3.0611299999999999</v>
      </c>
      <c r="AF181" s="19">
        <v>-1.7756000000000001</v>
      </c>
      <c r="AG181" s="6">
        <v>2.9474999999999998</v>
      </c>
      <c r="AH181" s="6">
        <v>255</v>
      </c>
      <c r="AJ181" s="17">
        <v>179</v>
      </c>
      <c r="AK181" s="6">
        <v>5.8045799999999996</v>
      </c>
      <c r="AL181" s="19">
        <v>-1.7756000000000001</v>
      </c>
      <c r="AM181" s="6">
        <v>2.9474999999999998</v>
      </c>
      <c r="AN181" s="6">
        <v>255</v>
      </c>
      <c r="AQ181" s="17">
        <v>179</v>
      </c>
      <c r="AR181" s="6">
        <v>1.58866</v>
      </c>
      <c r="AS181" s="19">
        <v>-1.7136</v>
      </c>
      <c r="AT181" s="6">
        <v>0.80669999999999997</v>
      </c>
      <c r="AU181" s="6">
        <v>255</v>
      </c>
      <c r="AW181" s="17">
        <v>179</v>
      </c>
      <c r="AX181" s="6">
        <v>0.83779999999999999</v>
      </c>
      <c r="AY181" s="19">
        <v>-1.7136</v>
      </c>
      <c r="AZ181" s="6">
        <v>0.80669999999999997</v>
      </c>
      <c r="BA181" s="6">
        <v>255</v>
      </c>
      <c r="BN181" s="17">
        <v>179</v>
      </c>
      <c r="BO181" s="6">
        <v>34.649758570000003</v>
      </c>
      <c r="BP181" s="6">
        <v>47.189161329999997</v>
      </c>
      <c r="BQ181" s="19">
        <v>-12.53940276</v>
      </c>
    </row>
    <row r="182" spans="1:69" x14ac:dyDescent="0.25">
      <c r="A182" s="31" t="s">
        <v>156</v>
      </c>
      <c r="B182" s="32">
        <v>1</v>
      </c>
      <c r="C182" s="32">
        <v>17</v>
      </c>
      <c r="D182" s="32">
        <v>1</v>
      </c>
      <c r="E182" s="32">
        <v>21</v>
      </c>
      <c r="F182" s="2">
        <v>57.7</v>
      </c>
      <c r="G182">
        <v>53.921564051877922</v>
      </c>
      <c r="H182" s="59">
        <v>14.5</v>
      </c>
      <c r="I182">
        <v>2</v>
      </c>
      <c r="AD182" s="17">
        <v>180</v>
      </c>
      <c r="AE182" s="6">
        <v>3.0545499999999999</v>
      </c>
      <c r="AF182" s="6">
        <v>0.54210000000000003</v>
      </c>
      <c r="AG182" s="6">
        <v>2.9411999999999998</v>
      </c>
      <c r="AH182" s="6">
        <v>255</v>
      </c>
      <c r="AJ182" s="17">
        <v>180</v>
      </c>
      <c r="AK182" s="6">
        <v>5.7920999999999996</v>
      </c>
      <c r="AL182" s="6">
        <v>0.54210000000000003</v>
      </c>
      <c r="AM182" s="6">
        <v>2.9411999999999998</v>
      </c>
      <c r="AN182" s="6">
        <v>255</v>
      </c>
      <c r="AQ182" s="17">
        <v>180</v>
      </c>
      <c r="AR182" s="6">
        <v>1.59857</v>
      </c>
      <c r="AS182" s="19">
        <v>-1.9810000000000001</v>
      </c>
      <c r="AT182" s="6">
        <v>0.81169999999999998</v>
      </c>
      <c r="AU182" s="6">
        <v>255</v>
      </c>
      <c r="AW182" s="17">
        <v>180</v>
      </c>
      <c r="AX182" s="6">
        <v>0.84302999999999995</v>
      </c>
      <c r="AY182" s="19">
        <v>-1.9810000000000001</v>
      </c>
      <c r="AZ182" s="6">
        <v>0.81169999999999998</v>
      </c>
      <c r="BA182" s="6">
        <v>255</v>
      </c>
      <c r="BN182" s="17">
        <v>180</v>
      </c>
      <c r="BO182" s="6">
        <v>50.11618301</v>
      </c>
      <c r="BP182" s="6">
        <v>45.842898890000001</v>
      </c>
      <c r="BQ182" s="6">
        <v>4.2732841199999996</v>
      </c>
    </row>
    <row r="183" spans="1:69" x14ac:dyDescent="0.25">
      <c r="A183" s="31" t="s">
        <v>156</v>
      </c>
      <c r="B183" s="32">
        <v>2</v>
      </c>
      <c r="C183" s="32">
        <v>11</v>
      </c>
      <c r="D183" s="32">
        <v>4</v>
      </c>
      <c r="E183" s="32">
        <v>21</v>
      </c>
      <c r="F183" s="2">
        <v>55.3</v>
      </c>
      <c r="G183">
        <v>52.868501194947072</v>
      </c>
      <c r="H183" s="59" t="s">
        <v>12</v>
      </c>
      <c r="I183" t="s">
        <v>12</v>
      </c>
      <c r="AD183" s="17">
        <v>181</v>
      </c>
      <c r="AE183" s="6">
        <v>3.0562399999999998</v>
      </c>
      <c r="AF183" s="6">
        <v>0.41899999999999998</v>
      </c>
      <c r="AG183" s="6">
        <v>2.9428000000000001</v>
      </c>
      <c r="AH183" s="6">
        <v>255</v>
      </c>
      <c r="AJ183" s="17">
        <v>181</v>
      </c>
      <c r="AK183" s="6">
        <v>5.7953000000000001</v>
      </c>
      <c r="AL183" s="6">
        <v>0.41899999999999998</v>
      </c>
      <c r="AM183" s="6">
        <v>2.9428000000000001</v>
      </c>
      <c r="AN183" s="6">
        <v>255</v>
      </c>
      <c r="AQ183" s="17">
        <v>181</v>
      </c>
      <c r="AR183" s="6">
        <v>1.59602</v>
      </c>
      <c r="AS183" s="19">
        <v>-1.7285999999999999</v>
      </c>
      <c r="AT183" s="6">
        <v>0.81040000000000001</v>
      </c>
      <c r="AU183" s="6">
        <v>255</v>
      </c>
      <c r="AW183" s="17">
        <v>181</v>
      </c>
      <c r="AX183" s="6">
        <v>0.84169000000000005</v>
      </c>
      <c r="AY183" s="19">
        <v>-1.7285999999999999</v>
      </c>
      <c r="AZ183" s="6">
        <v>0.81040000000000001</v>
      </c>
      <c r="BA183" s="6">
        <v>255</v>
      </c>
      <c r="BN183" s="17">
        <v>181</v>
      </c>
      <c r="BO183" s="6">
        <v>53.921564050000001</v>
      </c>
      <c r="BP183" s="6">
        <v>52.924387170000003</v>
      </c>
      <c r="BQ183" s="6">
        <v>0.99717688000000004</v>
      </c>
    </row>
    <row r="184" spans="1:69" x14ac:dyDescent="0.25">
      <c r="A184" s="31" t="s">
        <v>156</v>
      </c>
      <c r="B184" s="32">
        <v>3</v>
      </c>
      <c r="C184" s="32">
        <v>23</v>
      </c>
      <c r="D184" s="32">
        <v>5</v>
      </c>
      <c r="E184" s="32">
        <v>21</v>
      </c>
      <c r="F184" s="2">
        <v>55.9</v>
      </c>
      <c r="G184">
        <v>45.507328755198763</v>
      </c>
      <c r="H184" s="59" t="s">
        <v>12</v>
      </c>
      <c r="I184" t="s">
        <v>12</v>
      </c>
      <c r="AD184" s="17">
        <v>182</v>
      </c>
      <c r="AE184" s="6">
        <v>3.0573700000000001</v>
      </c>
      <c r="AF184" s="19">
        <v>-3.0676999999999999</v>
      </c>
      <c r="AG184" s="6">
        <v>2.9439000000000002</v>
      </c>
      <c r="AH184" s="6">
        <v>255</v>
      </c>
      <c r="AJ184" s="17">
        <v>182</v>
      </c>
      <c r="AK184" s="6">
        <v>5.7974399999999999</v>
      </c>
      <c r="AL184" s="19">
        <v>-3.0676999999999999</v>
      </c>
      <c r="AM184" s="6">
        <v>2.9439000000000002</v>
      </c>
      <c r="AN184" s="6">
        <v>255</v>
      </c>
      <c r="AQ184" s="17">
        <v>182</v>
      </c>
      <c r="AR184" s="6">
        <v>1.5899000000000001</v>
      </c>
      <c r="AS184" s="19">
        <v>-3.1095000000000002</v>
      </c>
      <c r="AT184" s="6">
        <v>0.80730000000000002</v>
      </c>
      <c r="AU184" s="6">
        <v>255</v>
      </c>
      <c r="AW184" s="17">
        <v>182</v>
      </c>
      <c r="AX184" s="6">
        <v>0.83845999999999998</v>
      </c>
      <c r="AY184" s="19">
        <v>-3.1095000000000002</v>
      </c>
      <c r="AZ184" s="6">
        <v>0.80730000000000002</v>
      </c>
      <c r="BA184" s="6">
        <v>255</v>
      </c>
      <c r="BN184" s="17">
        <v>182</v>
      </c>
      <c r="BO184" s="6">
        <v>52.868501190000003</v>
      </c>
      <c r="BP184" s="6">
        <v>50.359634640000003</v>
      </c>
      <c r="BQ184" s="6">
        <v>2.50886655</v>
      </c>
    </row>
    <row r="185" spans="1:69" x14ac:dyDescent="0.25">
      <c r="A185" s="31" t="s">
        <v>156</v>
      </c>
      <c r="B185" s="32">
        <v>1</v>
      </c>
      <c r="C185" s="32">
        <v>1</v>
      </c>
      <c r="D185" s="32">
        <v>1</v>
      </c>
      <c r="E185" s="32">
        <v>29</v>
      </c>
      <c r="F185" s="2">
        <v>55.2</v>
      </c>
      <c r="G185">
        <v>33.919468685212863</v>
      </c>
      <c r="H185" s="59">
        <v>16</v>
      </c>
      <c r="I185">
        <v>2</v>
      </c>
      <c r="AD185" s="17">
        <v>183</v>
      </c>
      <c r="AE185" s="6">
        <v>3.0486800000000001</v>
      </c>
      <c r="AF185" s="19">
        <v>-1.88</v>
      </c>
      <c r="AG185" s="6">
        <v>2.9355000000000002</v>
      </c>
      <c r="AH185" s="6">
        <v>255</v>
      </c>
      <c r="AJ185" s="17">
        <v>183</v>
      </c>
      <c r="AK185" s="6">
        <v>5.7809600000000003</v>
      </c>
      <c r="AL185" s="19">
        <v>-1.88</v>
      </c>
      <c r="AM185" s="6">
        <v>2.9355000000000002</v>
      </c>
      <c r="AN185" s="6">
        <v>255</v>
      </c>
      <c r="AQ185" s="17">
        <v>183</v>
      </c>
      <c r="AR185" s="6">
        <v>1.58893</v>
      </c>
      <c r="AS185" s="19">
        <v>-2.7463000000000002</v>
      </c>
      <c r="AT185" s="6">
        <v>0.80679999999999996</v>
      </c>
      <c r="AU185" s="6">
        <v>255</v>
      </c>
      <c r="AW185" s="17">
        <v>183</v>
      </c>
      <c r="AX185" s="6">
        <v>0.83794999999999997</v>
      </c>
      <c r="AY185" s="19">
        <v>-2.7463000000000002</v>
      </c>
      <c r="AZ185" s="6">
        <v>0.80679999999999996</v>
      </c>
      <c r="BA185" s="6">
        <v>255</v>
      </c>
      <c r="BN185" s="17">
        <v>183</v>
      </c>
      <c r="BO185" s="6">
        <v>45.50732876</v>
      </c>
      <c r="BP185" s="6">
        <v>49.013372189999998</v>
      </c>
      <c r="BQ185" s="19">
        <v>-3.5060434300000001</v>
      </c>
    </row>
    <row r="186" spans="1:69" x14ac:dyDescent="0.25">
      <c r="A186" s="31" t="s">
        <v>156</v>
      </c>
      <c r="B186" s="32">
        <v>2</v>
      </c>
      <c r="C186" s="32">
        <v>10</v>
      </c>
      <c r="D186" s="32">
        <v>4</v>
      </c>
      <c r="E186" s="32">
        <v>29</v>
      </c>
      <c r="F186" s="2">
        <v>56.6</v>
      </c>
      <c r="G186">
        <v>48.658429985855733</v>
      </c>
      <c r="H186" s="61" t="s">
        <v>12</v>
      </c>
      <c r="I186" t="s">
        <v>12</v>
      </c>
      <c r="AD186" s="17">
        <v>184</v>
      </c>
      <c r="AE186" s="6">
        <v>3.0398999999999998</v>
      </c>
      <c r="AF186" s="19">
        <v>-1.3069999999999999</v>
      </c>
      <c r="AG186" s="6">
        <v>2.9270999999999998</v>
      </c>
      <c r="AH186" s="6">
        <v>255</v>
      </c>
      <c r="AJ186" s="17">
        <v>184</v>
      </c>
      <c r="AK186" s="6">
        <v>5.76431</v>
      </c>
      <c r="AL186" s="19">
        <v>-1.3069999999999999</v>
      </c>
      <c r="AM186" s="6">
        <v>2.9270999999999998</v>
      </c>
      <c r="AN186" s="6">
        <v>255</v>
      </c>
      <c r="AQ186" s="17">
        <v>184</v>
      </c>
      <c r="AR186" s="6">
        <v>1.5882799999999999</v>
      </c>
      <c r="AS186" s="19">
        <v>-2.2107999999999999</v>
      </c>
      <c r="AT186" s="6">
        <v>0.80649999999999999</v>
      </c>
      <c r="AU186" s="6">
        <v>255</v>
      </c>
      <c r="AW186" s="17">
        <v>184</v>
      </c>
      <c r="AX186" s="6">
        <v>0.83760000000000001</v>
      </c>
      <c r="AY186" s="19">
        <v>-2.2107999999999999</v>
      </c>
      <c r="AZ186" s="6">
        <v>0.80649999999999999</v>
      </c>
      <c r="BA186" s="6">
        <v>255</v>
      </c>
      <c r="BN186" s="17">
        <v>184</v>
      </c>
      <c r="BO186" s="6">
        <v>33.919468690000002</v>
      </c>
      <c r="BP186" s="6">
        <v>45.260453839999997</v>
      </c>
      <c r="BQ186" s="19">
        <v>-11.34098515</v>
      </c>
    </row>
    <row r="187" spans="1:69" x14ac:dyDescent="0.25">
      <c r="A187" s="31" t="s">
        <v>156</v>
      </c>
      <c r="B187" s="32">
        <v>3</v>
      </c>
      <c r="C187" s="32">
        <v>4</v>
      </c>
      <c r="D187" s="32">
        <v>6</v>
      </c>
      <c r="E187" s="32">
        <v>29</v>
      </c>
      <c r="F187" s="2">
        <v>56.8</v>
      </c>
      <c r="G187">
        <v>46.727695340674124</v>
      </c>
      <c r="H187" s="59" t="s">
        <v>12</v>
      </c>
      <c r="I187" t="s">
        <v>12</v>
      </c>
      <c r="AD187" s="17">
        <v>185</v>
      </c>
      <c r="AE187" s="6">
        <v>3.04033</v>
      </c>
      <c r="AF187" s="19">
        <v>-1.2838000000000001</v>
      </c>
      <c r="AG187" s="6">
        <v>2.9275000000000002</v>
      </c>
      <c r="AH187" s="6">
        <v>255</v>
      </c>
      <c r="AJ187" s="17">
        <v>185</v>
      </c>
      <c r="AK187" s="6">
        <v>5.7651300000000001</v>
      </c>
      <c r="AL187" s="19">
        <v>-1.2838000000000001</v>
      </c>
      <c r="AM187" s="6">
        <v>2.9275000000000002</v>
      </c>
      <c r="AN187" s="6">
        <v>255</v>
      </c>
      <c r="AQ187" s="17">
        <v>185</v>
      </c>
      <c r="AR187" s="6">
        <v>1.5833200000000001</v>
      </c>
      <c r="AS187" s="19">
        <v>-1.7465999999999999</v>
      </c>
      <c r="AT187" s="6">
        <v>0.80400000000000005</v>
      </c>
      <c r="AU187" s="6">
        <v>255</v>
      </c>
      <c r="AW187" s="17">
        <v>185</v>
      </c>
      <c r="AX187" s="6">
        <v>0.83499000000000001</v>
      </c>
      <c r="AY187" s="19">
        <v>-1.7465999999999999</v>
      </c>
      <c r="AZ187" s="6">
        <v>0.80400000000000005</v>
      </c>
      <c r="BA187" s="6">
        <v>255</v>
      </c>
      <c r="BN187" s="17">
        <v>185</v>
      </c>
      <c r="BO187" s="6">
        <v>48.658429990000002</v>
      </c>
      <c r="BP187" s="6">
        <v>42.695701309999997</v>
      </c>
      <c r="BQ187" s="6">
        <v>5.9627286799999997</v>
      </c>
    </row>
    <row r="188" spans="1:69" x14ac:dyDescent="0.25">
      <c r="A188" s="31" t="s">
        <v>156</v>
      </c>
      <c r="B188" s="32">
        <v>1</v>
      </c>
      <c r="C188" s="32">
        <v>11</v>
      </c>
      <c r="D188" s="32">
        <v>2</v>
      </c>
      <c r="E188" s="32">
        <v>22</v>
      </c>
      <c r="F188" s="2">
        <v>58.3</v>
      </c>
      <c r="G188">
        <v>51.411880646097302</v>
      </c>
      <c r="H188" s="59">
        <v>14.6</v>
      </c>
      <c r="I188">
        <v>5</v>
      </c>
      <c r="AD188" s="17">
        <v>186</v>
      </c>
      <c r="AE188" s="6">
        <v>3.05545</v>
      </c>
      <c r="AF188" s="19">
        <v>-2.2662</v>
      </c>
      <c r="AG188" s="6">
        <v>2.9420000000000002</v>
      </c>
      <c r="AH188" s="6">
        <v>255</v>
      </c>
      <c r="AJ188" s="17">
        <v>186</v>
      </c>
      <c r="AK188" s="6">
        <v>5.7938099999999997</v>
      </c>
      <c r="AL188" s="19">
        <v>-2.2662</v>
      </c>
      <c r="AM188" s="6">
        <v>2.9420000000000002</v>
      </c>
      <c r="AN188" s="6">
        <v>255</v>
      </c>
      <c r="AQ188" s="17">
        <v>186</v>
      </c>
      <c r="AR188" s="6">
        <v>1.5932500000000001</v>
      </c>
      <c r="AS188" s="19">
        <v>-2.8611</v>
      </c>
      <c r="AT188" s="6">
        <v>0.80900000000000005</v>
      </c>
      <c r="AU188" s="6">
        <v>255</v>
      </c>
      <c r="AW188" s="17">
        <v>186</v>
      </c>
      <c r="AX188" s="6">
        <v>0.84021999999999997</v>
      </c>
      <c r="AY188" s="19">
        <v>-2.8611</v>
      </c>
      <c r="AZ188" s="6">
        <v>0.80900000000000005</v>
      </c>
      <c r="BA188" s="6">
        <v>255</v>
      </c>
      <c r="BN188" s="17">
        <v>186</v>
      </c>
      <c r="BO188" s="6">
        <v>46.727695339999997</v>
      </c>
      <c r="BP188" s="6">
        <v>41.34943887</v>
      </c>
      <c r="BQ188" s="6">
        <v>5.3782564700000002</v>
      </c>
    </row>
    <row r="189" spans="1:69" x14ac:dyDescent="0.25">
      <c r="A189" s="31" t="s">
        <v>156</v>
      </c>
      <c r="B189" s="32">
        <v>2</v>
      </c>
      <c r="C189" s="32">
        <v>3</v>
      </c>
      <c r="D189" s="32">
        <v>3</v>
      </c>
      <c r="E189" s="32">
        <v>22</v>
      </c>
      <c r="F189" s="2">
        <v>55.4</v>
      </c>
      <c r="G189">
        <v>44.556682416469791</v>
      </c>
      <c r="H189" s="59" t="s">
        <v>12</v>
      </c>
      <c r="I189" t="s">
        <v>12</v>
      </c>
      <c r="AD189" s="17">
        <v>187</v>
      </c>
      <c r="AE189" s="6">
        <v>3.0588899999999999</v>
      </c>
      <c r="AF189" s="6">
        <v>5.3235999999999999</v>
      </c>
      <c r="AG189" s="6">
        <v>2.9453999999999998</v>
      </c>
      <c r="AH189" s="6">
        <v>255</v>
      </c>
      <c r="AJ189" s="17">
        <v>187</v>
      </c>
      <c r="AK189" s="6">
        <v>5.8003400000000003</v>
      </c>
      <c r="AL189" s="6">
        <v>5.3235999999999999</v>
      </c>
      <c r="AM189" s="6">
        <v>2.9453999999999998</v>
      </c>
      <c r="AN189" s="6">
        <v>255</v>
      </c>
      <c r="AQ189" s="17">
        <v>187</v>
      </c>
      <c r="AR189" s="6">
        <v>1.60209</v>
      </c>
      <c r="AS189" s="19">
        <v>-1.4856</v>
      </c>
      <c r="AT189" s="6">
        <v>0.8135</v>
      </c>
      <c r="AU189" s="6">
        <v>255</v>
      </c>
      <c r="AW189" s="17">
        <v>187</v>
      </c>
      <c r="AX189" s="6">
        <v>0.84489000000000003</v>
      </c>
      <c r="AY189" s="19">
        <v>-1.4856</v>
      </c>
      <c r="AZ189" s="6">
        <v>0.8135</v>
      </c>
      <c r="BA189" s="6">
        <v>255</v>
      </c>
      <c r="BN189" s="17">
        <v>187</v>
      </c>
      <c r="BO189" s="6">
        <v>51.411880650000001</v>
      </c>
      <c r="BP189" s="6">
        <v>46.64627849</v>
      </c>
      <c r="BQ189" s="6">
        <v>4.7656021600000003</v>
      </c>
    </row>
    <row r="190" spans="1:69" x14ac:dyDescent="0.25">
      <c r="A190" s="31" t="s">
        <v>156</v>
      </c>
      <c r="B190" s="32">
        <v>3</v>
      </c>
      <c r="C190" s="32">
        <v>7</v>
      </c>
      <c r="D190" s="32">
        <v>5</v>
      </c>
      <c r="E190" s="32">
        <v>22</v>
      </c>
      <c r="F190" s="2">
        <v>59.3</v>
      </c>
      <c r="G190">
        <v>37.49450488441822</v>
      </c>
      <c r="H190" s="59" t="s">
        <v>12</v>
      </c>
      <c r="I190" t="s">
        <v>12</v>
      </c>
      <c r="AD190" s="17">
        <v>188</v>
      </c>
      <c r="AE190" s="6">
        <v>3.05857</v>
      </c>
      <c r="AF190" s="19">
        <v>-0.71679999999999999</v>
      </c>
      <c r="AG190" s="6">
        <v>2.9451000000000001</v>
      </c>
      <c r="AH190" s="6">
        <v>255</v>
      </c>
      <c r="AJ190" s="17">
        <v>188</v>
      </c>
      <c r="AK190" s="6">
        <v>5.7997300000000003</v>
      </c>
      <c r="AL190" s="19">
        <v>-0.71679999999999999</v>
      </c>
      <c r="AM190" s="6">
        <v>2.9451000000000001</v>
      </c>
      <c r="AN190" s="6">
        <v>255</v>
      </c>
      <c r="AQ190" s="17">
        <v>188</v>
      </c>
      <c r="AR190" s="6">
        <v>1.59266</v>
      </c>
      <c r="AS190" s="19">
        <v>-2.855</v>
      </c>
      <c r="AT190" s="6">
        <v>0.80869999999999997</v>
      </c>
      <c r="AU190" s="6">
        <v>255</v>
      </c>
      <c r="AW190" s="17">
        <v>188</v>
      </c>
      <c r="AX190" s="6">
        <v>0.83991000000000005</v>
      </c>
      <c r="AY190" s="19">
        <v>-2.855</v>
      </c>
      <c r="AZ190" s="6">
        <v>0.80869999999999997</v>
      </c>
      <c r="BA190" s="6">
        <v>255</v>
      </c>
      <c r="BN190" s="17">
        <v>188</v>
      </c>
      <c r="BO190" s="6">
        <v>44.556682420000001</v>
      </c>
      <c r="BP190" s="6">
        <v>44.08152596</v>
      </c>
      <c r="BQ190" s="6">
        <v>0.47515646</v>
      </c>
    </row>
    <row r="191" spans="1:69" x14ac:dyDescent="0.25">
      <c r="A191" s="31" t="s">
        <v>156</v>
      </c>
      <c r="B191" s="32">
        <v>1</v>
      </c>
      <c r="C191" s="32">
        <v>11</v>
      </c>
      <c r="D191" s="32">
        <v>1</v>
      </c>
      <c r="E191" s="32">
        <v>18</v>
      </c>
      <c r="F191" s="2">
        <v>53.9</v>
      </c>
      <c r="G191">
        <v>45.02039438792729</v>
      </c>
      <c r="H191" s="59">
        <v>15.6</v>
      </c>
      <c r="I191">
        <v>2</v>
      </c>
      <c r="AD191" s="17">
        <v>189</v>
      </c>
      <c r="AE191" s="6">
        <v>3.05768</v>
      </c>
      <c r="AF191" s="6">
        <v>8.0470000000000006</v>
      </c>
      <c r="AG191" s="6">
        <v>2.9441999999999999</v>
      </c>
      <c r="AH191" s="6">
        <v>255</v>
      </c>
      <c r="AJ191" s="17">
        <v>189</v>
      </c>
      <c r="AK191" s="6">
        <v>5.7980400000000003</v>
      </c>
      <c r="AL191" s="6">
        <v>8.0470000000000006</v>
      </c>
      <c r="AM191" s="6">
        <v>2.9441999999999999</v>
      </c>
      <c r="AN191" s="6">
        <v>255</v>
      </c>
      <c r="AQ191" s="17">
        <v>189</v>
      </c>
      <c r="AR191" s="6">
        <v>1.5962499999999999</v>
      </c>
      <c r="AS191" s="19">
        <v>-0.36359999999999998</v>
      </c>
      <c r="AT191" s="6">
        <v>0.81059999999999999</v>
      </c>
      <c r="AU191" s="6">
        <v>255</v>
      </c>
      <c r="AW191" s="17">
        <v>189</v>
      </c>
      <c r="AX191" s="6">
        <v>0.84180999999999995</v>
      </c>
      <c r="AY191" s="19">
        <v>-0.36359999999999998</v>
      </c>
      <c r="AZ191" s="6">
        <v>0.81059999999999999</v>
      </c>
      <c r="BA191" s="6">
        <v>255</v>
      </c>
      <c r="BN191" s="17">
        <v>189</v>
      </c>
      <c r="BO191" s="6">
        <v>37.494504880000001</v>
      </c>
      <c r="BP191" s="6">
        <v>42.735263510000003</v>
      </c>
      <c r="BQ191" s="19">
        <v>-5.2407586300000002</v>
      </c>
    </row>
    <row r="192" spans="1:69" x14ac:dyDescent="0.25">
      <c r="A192" s="31" t="s">
        <v>156</v>
      </c>
      <c r="B192" s="32">
        <v>2</v>
      </c>
      <c r="C192" s="32">
        <v>25</v>
      </c>
      <c r="D192" s="32">
        <v>3</v>
      </c>
      <c r="E192" s="32">
        <v>18</v>
      </c>
      <c r="F192" s="2">
        <v>53.3</v>
      </c>
      <c r="G192">
        <v>32.918729087314979</v>
      </c>
      <c r="H192" s="61" t="s">
        <v>12</v>
      </c>
      <c r="I192" t="s">
        <v>12</v>
      </c>
      <c r="AD192" s="17">
        <v>190</v>
      </c>
      <c r="AE192" s="6">
        <v>3.0531700000000002</v>
      </c>
      <c r="AF192" s="6">
        <v>2.6166999999999998</v>
      </c>
      <c r="AG192" s="6">
        <v>2.9399000000000002</v>
      </c>
      <c r="AH192" s="6">
        <v>255</v>
      </c>
      <c r="AJ192" s="17">
        <v>190</v>
      </c>
      <c r="AK192" s="6">
        <v>5.7894899999999998</v>
      </c>
      <c r="AL192" s="6">
        <v>2.6166999999999998</v>
      </c>
      <c r="AM192" s="6">
        <v>2.9399000000000002</v>
      </c>
      <c r="AN192" s="6">
        <v>255</v>
      </c>
      <c r="AQ192" s="17">
        <v>190</v>
      </c>
      <c r="AR192" s="6">
        <v>1.59144</v>
      </c>
      <c r="AS192" s="19">
        <v>-1.7041999999999999</v>
      </c>
      <c r="AT192" s="6">
        <v>0.80810000000000004</v>
      </c>
      <c r="AU192" s="6">
        <v>255</v>
      </c>
      <c r="AW192" s="17">
        <v>190</v>
      </c>
      <c r="AX192" s="6">
        <v>0.83926999999999996</v>
      </c>
      <c r="AY192" s="19">
        <v>-1.7041999999999999</v>
      </c>
      <c r="AZ192" s="6">
        <v>0.80810000000000004</v>
      </c>
      <c r="BA192" s="6">
        <v>255</v>
      </c>
      <c r="BN192" s="17">
        <v>190</v>
      </c>
      <c r="BO192" s="6">
        <v>45.02039439</v>
      </c>
      <c r="BP192" s="6">
        <v>41.781560450000001</v>
      </c>
      <c r="BQ192" s="6">
        <v>3.2388339400000001</v>
      </c>
    </row>
    <row r="193" spans="1:69" x14ac:dyDescent="0.25">
      <c r="A193" s="31" t="s">
        <v>156</v>
      </c>
      <c r="B193" s="32">
        <v>3</v>
      </c>
      <c r="C193" s="32">
        <v>2</v>
      </c>
      <c r="D193" s="32">
        <v>6</v>
      </c>
      <c r="E193" s="32">
        <v>18</v>
      </c>
      <c r="F193" s="2">
        <v>54.8</v>
      </c>
      <c r="G193">
        <v>40.929790354378028</v>
      </c>
      <c r="H193" s="61" t="s">
        <v>12</v>
      </c>
      <c r="I193" t="s">
        <v>12</v>
      </c>
      <c r="AD193" s="17">
        <v>191</v>
      </c>
      <c r="AE193" s="6">
        <v>3.0606399999999998</v>
      </c>
      <c r="AF193" s="6">
        <v>0.35649999999999998</v>
      </c>
      <c r="AG193" s="6">
        <v>2.9470000000000001</v>
      </c>
      <c r="AH193" s="6">
        <v>255</v>
      </c>
      <c r="AJ193" s="17">
        <v>191</v>
      </c>
      <c r="AK193" s="6">
        <v>5.8036500000000002</v>
      </c>
      <c r="AL193" s="6">
        <v>0.35649999999999998</v>
      </c>
      <c r="AM193" s="6">
        <v>2.9470000000000001</v>
      </c>
      <c r="AN193" s="6">
        <v>255</v>
      </c>
      <c r="AQ193" s="17">
        <v>191</v>
      </c>
      <c r="AR193" s="6">
        <v>1.5964799999999999</v>
      </c>
      <c r="AS193" s="19">
        <v>-1.534</v>
      </c>
      <c r="AT193" s="6">
        <v>0.81069999999999998</v>
      </c>
      <c r="AU193" s="6">
        <v>255</v>
      </c>
      <c r="AW193" s="17">
        <v>191</v>
      </c>
      <c r="AX193" s="6">
        <v>0.84192999999999996</v>
      </c>
      <c r="AY193" s="19">
        <v>-1.534</v>
      </c>
      <c r="AZ193" s="6">
        <v>0.81069999999999998</v>
      </c>
      <c r="BA193" s="6">
        <v>255</v>
      </c>
      <c r="BN193" s="17">
        <v>191</v>
      </c>
      <c r="BO193" s="6">
        <v>32.918729089999999</v>
      </c>
      <c r="BP193" s="6">
        <v>39.216807920000001</v>
      </c>
      <c r="BQ193" s="19">
        <v>-6.2980788299999997</v>
      </c>
    </row>
    <row r="194" spans="1:69" x14ac:dyDescent="0.25">
      <c r="A194" s="31" t="s">
        <v>156</v>
      </c>
      <c r="B194" s="32">
        <v>1</v>
      </c>
      <c r="C194" s="32">
        <v>15</v>
      </c>
      <c r="D194" s="32">
        <v>1</v>
      </c>
      <c r="E194" s="32">
        <v>14</v>
      </c>
      <c r="F194" s="2">
        <v>58</v>
      </c>
      <c r="G194">
        <v>48.031118943156066</v>
      </c>
      <c r="H194" s="59">
        <v>16.100000000000001</v>
      </c>
      <c r="I194">
        <v>4</v>
      </c>
      <c r="AD194" s="17">
        <v>192</v>
      </c>
      <c r="AE194" s="6">
        <v>3.0565000000000002</v>
      </c>
      <c r="AF194" s="6">
        <v>1.607</v>
      </c>
      <c r="AG194" s="6">
        <v>2.9430999999999998</v>
      </c>
      <c r="AH194" s="6">
        <v>255</v>
      </c>
      <c r="AJ194" s="17">
        <v>192</v>
      </c>
      <c r="AK194" s="6">
        <v>5.7957900000000002</v>
      </c>
      <c r="AL194" s="6">
        <v>1.607</v>
      </c>
      <c r="AM194" s="6">
        <v>2.9430999999999998</v>
      </c>
      <c r="AN194" s="6">
        <v>255</v>
      </c>
      <c r="AQ194" s="17">
        <v>192</v>
      </c>
      <c r="AR194" s="6">
        <v>1.60026</v>
      </c>
      <c r="AS194" s="19">
        <v>-1.9474</v>
      </c>
      <c r="AT194" s="6">
        <v>0.81259999999999999</v>
      </c>
      <c r="AU194" s="6">
        <v>255</v>
      </c>
      <c r="AW194" s="17">
        <v>192</v>
      </c>
      <c r="AX194" s="6">
        <v>0.84392</v>
      </c>
      <c r="AY194" s="19">
        <v>-1.9474</v>
      </c>
      <c r="AZ194" s="6">
        <v>0.81259999999999999</v>
      </c>
      <c r="BA194" s="6">
        <v>255</v>
      </c>
      <c r="BN194" s="17">
        <v>192</v>
      </c>
      <c r="BO194" s="6">
        <v>40.929790349999998</v>
      </c>
      <c r="BP194" s="6">
        <v>37.870545470000003</v>
      </c>
      <c r="BQ194" s="6">
        <v>3.0592448800000001</v>
      </c>
    </row>
    <row r="195" spans="1:69" x14ac:dyDescent="0.25">
      <c r="A195" s="31" t="s">
        <v>156</v>
      </c>
      <c r="B195" s="32">
        <v>2</v>
      </c>
      <c r="C195" s="32">
        <v>14</v>
      </c>
      <c r="D195" s="32">
        <v>4</v>
      </c>
      <c r="E195" s="32">
        <v>14</v>
      </c>
      <c r="F195" s="2">
        <v>60.1</v>
      </c>
      <c r="G195">
        <v>51.018582646441985</v>
      </c>
      <c r="H195" s="59" t="s">
        <v>12</v>
      </c>
      <c r="I195" t="s">
        <v>12</v>
      </c>
      <c r="AD195" s="17">
        <v>193</v>
      </c>
      <c r="AE195" s="6">
        <v>3.0497999999999998</v>
      </c>
      <c r="AF195" s="6">
        <v>1.3117000000000001</v>
      </c>
      <c r="AG195" s="6">
        <v>2.9365999999999999</v>
      </c>
      <c r="AH195" s="6">
        <v>255</v>
      </c>
      <c r="AJ195" s="17">
        <v>193</v>
      </c>
      <c r="AK195" s="6">
        <v>5.7830899999999996</v>
      </c>
      <c r="AL195" s="6">
        <v>1.3117000000000001</v>
      </c>
      <c r="AM195" s="6">
        <v>2.9365999999999999</v>
      </c>
      <c r="AN195" s="6">
        <v>255</v>
      </c>
      <c r="AQ195" s="17">
        <v>193</v>
      </c>
      <c r="AR195" s="6">
        <v>1.59792</v>
      </c>
      <c r="AS195" s="19">
        <v>-3.1671</v>
      </c>
      <c r="AT195" s="6">
        <v>0.81140000000000001</v>
      </c>
      <c r="AU195" s="6">
        <v>255</v>
      </c>
      <c r="AW195" s="17">
        <v>193</v>
      </c>
      <c r="AX195" s="6">
        <v>0.84269000000000005</v>
      </c>
      <c r="AY195" s="19">
        <v>-3.1671</v>
      </c>
      <c r="AZ195" s="6">
        <v>0.81140000000000001</v>
      </c>
      <c r="BA195" s="6">
        <v>255</v>
      </c>
      <c r="BN195" s="17">
        <v>193</v>
      </c>
      <c r="BO195" s="6">
        <v>48.031118939999999</v>
      </c>
      <c r="BP195" s="6">
        <v>50.247745979999998</v>
      </c>
      <c r="BQ195" s="19">
        <v>-2.2166270400000001</v>
      </c>
    </row>
    <row r="196" spans="1:69" x14ac:dyDescent="0.25">
      <c r="A196" s="31" t="s">
        <v>156</v>
      </c>
      <c r="B196" s="32">
        <v>3</v>
      </c>
      <c r="C196" s="32">
        <v>20</v>
      </c>
      <c r="D196" s="32">
        <v>5</v>
      </c>
      <c r="E196" s="32">
        <v>14</v>
      </c>
      <c r="F196" s="2">
        <v>58.9</v>
      </c>
      <c r="G196">
        <v>45.217768836444527</v>
      </c>
      <c r="H196" s="59" t="s">
        <v>12</v>
      </c>
      <c r="I196" t="s">
        <v>12</v>
      </c>
      <c r="AD196" s="17">
        <v>194</v>
      </c>
      <c r="AE196" s="6">
        <v>3.0455000000000001</v>
      </c>
      <c r="AF196" s="6">
        <v>6.7499000000000002</v>
      </c>
      <c r="AG196" s="6">
        <v>2.9325000000000001</v>
      </c>
      <c r="AH196" s="6">
        <v>255</v>
      </c>
      <c r="AJ196" s="17">
        <v>194</v>
      </c>
      <c r="AK196" s="6">
        <v>5.7749300000000003</v>
      </c>
      <c r="AL196" s="6">
        <v>6.7499000000000002</v>
      </c>
      <c r="AM196" s="6">
        <v>2.9325000000000001</v>
      </c>
      <c r="AN196" s="6">
        <v>255</v>
      </c>
      <c r="AQ196" s="17">
        <v>194</v>
      </c>
      <c r="AR196" s="6">
        <v>1.58751</v>
      </c>
      <c r="AS196" s="19">
        <v>-0.22989999999999999</v>
      </c>
      <c r="AT196" s="6">
        <v>0.80610000000000004</v>
      </c>
      <c r="AU196" s="6">
        <v>255</v>
      </c>
      <c r="AW196" s="17">
        <v>194</v>
      </c>
      <c r="AX196" s="6">
        <v>0.83720000000000006</v>
      </c>
      <c r="AY196" s="19">
        <v>-0.22989999999999999</v>
      </c>
      <c r="AZ196" s="6">
        <v>0.80610000000000004</v>
      </c>
      <c r="BA196" s="6">
        <v>255</v>
      </c>
      <c r="BN196" s="17">
        <v>194</v>
      </c>
      <c r="BO196" s="6">
        <v>51.018582649999999</v>
      </c>
      <c r="BP196" s="6">
        <v>47.682993449999998</v>
      </c>
      <c r="BQ196" s="6">
        <v>3.3355891999999998</v>
      </c>
    </row>
    <row r="197" spans="1:69" x14ac:dyDescent="0.25">
      <c r="A197" s="31" t="s">
        <v>156</v>
      </c>
      <c r="B197" s="32">
        <v>1</v>
      </c>
      <c r="C197" s="32">
        <v>8</v>
      </c>
      <c r="D197" s="32">
        <v>1</v>
      </c>
      <c r="E197" s="32">
        <v>15</v>
      </c>
      <c r="F197" s="2">
        <v>54.8</v>
      </c>
      <c r="G197">
        <v>44.978123330601221</v>
      </c>
      <c r="H197" s="59">
        <v>14.8</v>
      </c>
      <c r="I197">
        <v>5</v>
      </c>
      <c r="AD197" s="17">
        <v>195</v>
      </c>
      <c r="AE197" s="6">
        <v>3.0617399999999999</v>
      </c>
      <c r="AF197" s="6">
        <v>3.6040999999999999</v>
      </c>
      <c r="AG197" s="6">
        <v>2.9481000000000002</v>
      </c>
      <c r="AH197" s="6">
        <v>255</v>
      </c>
      <c r="AJ197" s="17">
        <v>195</v>
      </c>
      <c r="AK197" s="6">
        <v>5.8057299999999996</v>
      </c>
      <c r="AL197" s="6">
        <v>3.6040999999999999</v>
      </c>
      <c r="AM197" s="6">
        <v>2.9481000000000002</v>
      </c>
      <c r="AN197" s="6">
        <v>255</v>
      </c>
      <c r="AQ197" s="17">
        <v>195</v>
      </c>
      <c r="AR197" s="6">
        <v>1.5905400000000001</v>
      </c>
      <c r="AS197" s="19">
        <v>-0.37619999999999998</v>
      </c>
      <c r="AT197" s="6">
        <v>0.80769999999999997</v>
      </c>
      <c r="AU197" s="6">
        <v>255</v>
      </c>
      <c r="AW197" s="17">
        <v>195</v>
      </c>
      <c r="AX197" s="6">
        <v>0.83879000000000004</v>
      </c>
      <c r="AY197" s="19">
        <v>-0.37619999999999998</v>
      </c>
      <c r="AZ197" s="6">
        <v>0.80769999999999997</v>
      </c>
      <c r="BA197" s="6">
        <v>255</v>
      </c>
      <c r="BN197" s="17">
        <v>195</v>
      </c>
      <c r="BO197" s="6">
        <v>45.217768839999998</v>
      </c>
      <c r="BP197" s="6">
        <v>46.336731</v>
      </c>
      <c r="BQ197" s="19">
        <v>-1.1189621599999999</v>
      </c>
    </row>
    <row r="198" spans="1:69" x14ac:dyDescent="0.25">
      <c r="A198" s="31" t="s">
        <v>156</v>
      </c>
      <c r="B198" s="32">
        <v>2</v>
      </c>
      <c r="C198" s="32">
        <v>15</v>
      </c>
      <c r="D198" s="32">
        <v>4</v>
      </c>
      <c r="E198" s="32">
        <v>15</v>
      </c>
      <c r="F198" s="2">
        <v>55.1</v>
      </c>
      <c r="G198">
        <v>51.844701263229773</v>
      </c>
      <c r="H198" s="59" t="s">
        <v>12</v>
      </c>
      <c r="I198" t="s">
        <v>12</v>
      </c>
      <c r="AD198" s="17">
        <v>196</v>
      </c>
      <c r="AE198" s="6">
        <v>3.0519799999999999</v>
      </c>
      <c r="AF198" s="6">
        <v>1.8493999999999999</v>
      </c>
      <c r="AG198" s="6">
        <v>2.9386999999999999</v>
      </c>
      <c r="AH198" s="6">
        <v>255</v>
      </c>
      <c r="AJ198" s="17">
        <v>196</v>
      </c>
      <c r="AK198" s="6">
        <v>5.7872300000000001</v>
      </c>
      <c r="AL198" s="6">
        <v>1.8493999999999999</v>
      </c>
      <c r="AM198" s="6">
        <v>2.9386999999999999</v>
      </c>
      <c r="AN198" s="6">
        <v>255</v>
      </c>
      <c r="AQ198" s="17">
        <v>196</v>
      </c>
      <c r="AR198" s="6">
        <v>1.59107</v>
      </c>
      <c r="AS198" s="19">
        <v>-0.83360000000000001</v>
      </c>
      <c r="AT198" s="6">
        <v>0.80789999999999995</v>
      </c>
      <c r="AU198" s="6">
        <v>255</v>
      </c>
      <c r="AW198" s="17">
        <v>196</v>
      </c>
      <c r="AX198" s="6">
        <v>0.83908000000000005</v>
      </c>
      <c r="AY198" s="19">
        <v>-0.83360000000000001</v>
      </c>
      <c r="AZ198" s="6">
        <v>0.80789999999999995</v>
      </c>
      <c r="BA198" s="6">
        <v>255</v>
      </c>
      <c r="BN198" s="17">
        <v>196</v>
      </c>
      <c r="BO198" s="6">
        <v>44.978123330000003</v>
      </c>
      <c r="BP198" s="6">
        <v>49.645519700000001</v>
      </c>
      <c r="BQ198" s="19">
        <v>-4.6673963699999996</v>
      </c>
    </row>
    <row r="199" spans="1:69" x14ac:dyDescent="0.25">
      <c r="A199" s="31" t="s">
        <v>156</v>
      </c>
      <c r="B199" s="32">
        <v>3</v>
      </c>
      <c r="C199" s="32">
        <v>13</v>
      </c>
      <c r="D199" s="32">
        <v>6</v>
      </c>
      <c r="E199" s="32">
        <v>15</v>
      </c>
      <c r="F199" s="2">
        <v>56.9</v>
      </c>
      <c r="G199">
        <v>45.637967014473219</v>
      </c>
      <c r="H199" s="59" t="s">
        <v>12</v>
      </c>
      <c r="I199" t="s">
        <v>12</v>
      </c>
      <c r="AD199" s="17">
        <v>197</v>
      </c>
      <c r="AE199" s="6">
        <v>3.05687</v>
      </c>
      <c r="AF199" s="6">
        <v>5.5707000000000004</v>
      </c>
      <c r="AG199" s="6">
        <v>2.9434</v>
      </c>
      <c r="AH199" s="6">
        <v>255</v>
      </c>
      <c r="AJ199" s="17">
        <v>197</v>
      </c>
      <c r="AK199" s="6">
        <v>5.7965</v>
      </c>
      <c r="AL199" s="6">
        <v>5.5707000000000004</v>
      </c>
      <c r="AM199" s="6">
        <v>2.9434</v>
      </c>
      <c r="AN199" s="6">
        <v>255</v>
      </c>
      <c r="AQ199" s="17">
        <v>197</v>
      </c>
      <c r="AR199" s="6">
        <v>1.5958600000000001</v>
      </c>
      <c r="AS199" s="19">
        <v>-1.5175000000000001</v>
      </c>
      <c r="AT199" s="6">
        <v>0.81040000000000001</v>
      </c>
      <c r="AU199" s="6">
        <v>255</v>
      </c>
      <c r="AW199" s="17">
        <v>197</v>
      </c>
      <c r="AX199" s="6">
        <v>0.84160000000000001</v>
      </c>
      <c r="AY199" s="19">
        <v>-1.5175000000000001</v>
      </c>
      <c r="AZ199" s="6">
        <v>0.81040000000000001</v>
      </c>
      <c r="BA199" s="6">
        <v>255</v>
      </c>
      <c r="BN199" s="17">
        <v>197</v>
      </c>
      <c r="BO199" s="6">
        <v>51.844701260000001</v>
      </c>
      <c r="BP199" s="6">
        <v>47.080767170000001</v>
      </c>
      <c r="BQ199" s="6">
        <v>4.7639340900000002</v>
      </c>
    </row>
    <row r="200" spans="1:69" x14ac:dyDescent="0.25">
      <c r="A200" s="31" t="s">
        <v>156</v>
      </c>
      <c r="B200" s="32">
        <v>1</v>
      </c>
      <c r="C200" s="32">
        <v>4</v>
      </c>
      <c r="D200" s="32">
        <v>1</v>
      </c>
      <c r="E200" s="32">
        <v>16</v>
      </c>
      <c r="F200" s="2">
        <v>51.1</v>
      </c>
      <c r="G200">
        <v>30.391105057615349</v>
      </c>
      <c r="H200" s="59">
        <v>16</v>
      </c>
      <c r="I200">
        <v>4</v>
      </c>
      <c r="AD200" s="17">
        <v>198</v>
      </c>
      <c r="AE200" s="6">
        <v>3.0409000000000002</v>
      </c>
      <c r="AF200" s="6">
        <v>14.0747</v>
      </c>
      <c r="AG200" s="6">
        <v>2.9279999999999999</v>
      </c>
      <c r="AH200" s="6">
        <v>255</v>
      </c>
      <c r="AJ200" s="17">
        <v>198</v>
      </c>
      <c r="AK200" s="6">
        <v>5.7662199999999997</v>
      </c>
      <c r="AL200" s="6">
        <v>14.0747</v>
      </c>
      <c r="AM200" s="6">
        <v>2.9279999999999999</v>
      </c>
      <c r="AN200" s="6">
        <v>255</v>
      </c>
      <c r="AQ200" s="17">
        <v>198</v>
      </c>
      <c r="AR200" s="6">
        <v>1.5925499999999999</v>
      </c>
      <c r="AS200" s="6">
        <v>1.3911</v>
      </c>
      <c r="AT200" s="6">
        <v>0.80869999999999997</v>
      </c>
      <c r="AU200" s="6">
        <v>255</v>
      </c>
      <c r="AW200" s="17">
        <v>198</v>
      </c>
      <c r="AX200" s="6">
        <v>0.83986000000000005</v>
      </c>
      <c r="AY200" s="6">
        <v>1.3911</v>
      </c>
      <c r="AZ200" s="6">
        <v>0.80869999999999997</v>
      </c>
      <c r="BA200" s="6">
        <v>255</v>
      </c>
      <c r="BN200" s="17">
        <v>198</v>
      </c>
      <c r="BO200" s="6">
        <v>45.637967009999997</v>
      </c>
      <c r="BP200" s="6">
        <v>45.734504729999998</v>
      </c>
      <c r="BQ200" s="19">
        <v>-9.6537719999999994E-2</v>
      </c>
    </row>
    <row r="201" spans="1:69" x14ac:dyDescent="0.25">
      <c r="A201" s="31" t="s">
        <v>156</v>
      </c>
      <c r="B201" s="32">
        <v>2</v>
      </c>
      <c r="C201" s="32">
        <v>26</v>
      </c>
      <c r="D201" s="32">
        <v>4</v>
      </c>
      <c r="E201" s="32">
        <v>16</v>
      </c>
      <c r="F201" s="2">
        <v>59.8</v>
      </c>
      <c r="G201">
        <v>52.659443788713844</v>
      </c>
      <c r="H201" s="59" t="s">
        <v>12</v>
      </c>
      <c r="I201" t="s">
        <v>12</v>
      </c>
      <c r="AD201" s="17">
        <v>199</v>
      </c>
      <c r="AE201" s="6">
        <v>3.0510100000000002</v>
      </c>
      <c r="AF201" s="6">
        <v>6.2407000000000004</v>
      </c>
      <c r="AG201" s="6">
        <v>2.9378000000000002</v>
      </c>
      <c r="AH201" s="6">
        <v>255</v>
      </c>
      <c r="AJ201" s="17">
        <v>199</v>
      </c>
      <c r="AK201" s="6">
        <v>5.78538</v>
      </c>
      <c r="AL201" s="6">
        <v>6.2407000000000004</v>
      </c>
      <c r="AM201" s="6">
        <v>2.9378000000000002</v>
      </c>
      <c r="AN201" s="6">
        <v>255</v>
      </c>
      <c r="AQ201" s="17">
        <v>199</v>
      </c>
      <c r="AR201" s="6">
        <v>1.5904</v>
      </c>
      <c r="AS201" s="19">
        <v>-0.70530000000000004</v>
      </c>
      <c r="AT201" s="6">
        <v>0.80759999999999998</v>
      </c>
      <c r="AU201" s="6">
        <v>255</v>
      </c>
      <c r="AW201" s="17">
        <v>199</v>
      </c>
      <c r="AX201" s="6">
        <v>0.83872000000000002</v>
      </c>
      <c r="AY201" s="19">
        <v>-0.70530000000000004</v>
      </c>
      <c r="AZ201" s="6">
        <v>0.80759999999999998</v>
      </c>
      <c r="BA201" s="6">
        <v>255</v>
      </c>
      <c r="BN201" s="17">
        <v>199</v>
      </c>
      <c r="BO201" s="6">
        <v>30.391105060000001</v>
      </c>
      <c r="BP201" s="6">
        <v>40.979561820000001</v>
      </c>
      <c r="BQ201" s="19">
        <v>-10.58845676</v>
      </c>
    </row>
    <row r="202" spans="1:69" x14ac:dyDescent="0.25">
      <c r="A202" s="31" t="s">
        <v>156</v>
      </c>
      <c r="B202" s="32">
        <v>3</v>
      </c>
      <c r="C202" s="32">
        <v>7</v>
      </c>
      <c r="D202" s="32">
        <v>6</v>
      </c>
      <c r="E202" s="32">
        <v>16</v>
      </c>
      <c r="F202" s="2">
        <v>54.4</v>
      </c>
      <c r="G202">
        <v>33.412369091695915</v>
      </c>
      <c r="H202" s="59" t="s">
        <v>12</v>
      </c>
      <c r="I202" t="s">
        <v>12</v>
      </c>
      <c r="AD202" s="17">
        <v>200</v>
      </c>
      <c r="AE202" s="6">
        <v>3.0395699999999999</v>
      </c>
      <c r="AF202" s="6">
        <v>8.6743000000000006</v>
      </c>
      <c r="AG202" s="6">
        <v>2.9268000000000001</v>
      </c>
      <c r="AH202" s="6">
        <v>255</v>
      </c>
      <c r="AJ202" s="17">
        <v>200</v>
      </c>
      <c r="AK202" s="6">
        <v>5.7636900000000004</v>
      </c>
      <c r="AL202" s="6">
        <v>8.6743000000000006</v>
      </c>
      <c r="AM202" s="6">
        <v>2.9268000000000001</v>
      </c>
      <c r="AN202" s="6">
        <v>255</v>
      </c>
      <c r="AQ202" s="17">
        <v>200</v>
      </c>
      <c r="AR202" s="6">
        <v>1.5902099999999999</v>
      </c>
      <c r="AS202" s="19">
        <v>-0.1017</v>
      </c>
      <c r="AT202" s="6">
        <v>0.8075</v>
      </c>
      <c r="AU202" s="6">
        <v>255</v>
      </c>
      <c r="AW202" s="17">
        <v>200</v>
      </c>
      <c r="AX202" s="6">
        <v>0.83862000000000003</v>
      </c>
      <c r="AY202" s="19">
        <v>-0.1017</v>
      </c>
      <c r="AZ202" s="6">
        <v>0.8075</v>
      </c>
      <c r="BA202" s="6">
        <v>255</v>
      </c>
      <c r="BN202" s="17">
        <v>200</v>
      </c>
      <c r="BO202" s="6">
        <v>52.659443789999997</v>
      </c>
      <c r="BP202" s="6">
        <v>38.414809290000001</v>
      </c>
      <c r="BQ202" s="6">
        <v>14.2446345</v>
      </c>
    </row>
    <row r="203" spans="1:69" x14ac:dyDescent="0.25">
      <c r="A203" s="31" t="s">
        <v>156</v>
      </c>
      <c r="B203" s="32">
        <v>1</v>
      </c>
      <c r="C203" s="32">
        <v>18</v>
      </c>
      <c r="D203" s="32">
        <v>1</v>
      </c>
      <c r="E203" s="32">
        <v>11</v>
      </c>
      <c r="F203" s="2">
        <v>58.8</v>
      </c>
      <c r="G203">
        <v>46.60985487681404</v>
      </c>
      <c r="H203" s="59">
        <v>15.1</v>
      </c>
      <c r="I203">
        <v>4</v>
      </c>
      <c r="AD203" s="17">
        <v>201</v>
      </c>
      <c r="AE203" s="6">
        <v>3.0478299999999998</v>
      </c>
      <c r="AF203" s="19">
        <v>-4.7571000000000003</v>
      </c>
      <c r="AG203" s="6">
        <v>2.9346999999999999</v>
      </c>
      <c r="AH203" s="6">
        <v>255</v>
      </c>
      <c r="AJ203" s="17">
        <v>201</v>
      </c>
      <c r="AK203" s="6">
        <v>5.7793599999999996</v>
      </c>
      <c r="AL203" s="19">
        <v>-4.7571000000000003</v>
      </c>
      <c r="AM203" s="6">
        <v>2.9346999999999999</v>
      </c>
      <c r="AN203" s="6">
        <v>255</v>
      </c>
      <c r="AQ203" s="17">
        <v>201</v>
      </c>
      <c r="AR203" s="6">
        <v>1.59104</v>
      </c>
      <c r="AS203" s="19">
        <v>-0.95479999999999998</v>
      </c>
      <c r="AT203" s="6">
        <v>0.80789999999999995</v>
      </c>
      <c r="AU203" s="6">
        <v>255</v>
      </c>
      <c r="AW203" s="17">
        <v>201</v>
      </c>
      <c r="AX203" s="6">
        <v>0.83906000000000003</v>
      </c>
      <c r="AY203" s="19">
        <v>-0.95479999999999998</v>
      </c>
      <c r="AZ203" s="6">
        <v>0.80789999999999995</v>
      </c>
      <c r="BA203" s="6">
        <v>255</v>
      </c>
      <c r="BN203" s="17">
        <v>201</v>
      </c>
      <c r="BO203" s="6">
        <v>33.412369089999999</v>
      </c>
      <c r="BP203" s="6">
        <v>37.068546840000003</v>
      </c>
      <c r="BQ203" s="19">
        <v>-3.6561777499999999</v>
      </c>
    </row>
    <row r="204" spans="1:69" x14ac:dyDescent="0.25">
      <c r="A204" s="31" t="s">
        <v>156</v>
      </c>
      <c r="B204" s="32">
        <v>2</v>
      </c>
      <c r="C204" s="32">
        <v>4</v>
      </c>
      <c r="D204" s="32">
        <v>3</v>
      </c>
      <c r="E204" s="32">
        <v>11</v>
      </c>
      <c r="F204" s="2">
        <v>57.8</v>
      </c>
      <c r="G204">
        <v>40.075024347909938</v>
      </c>
      <c r="H204" s="61" t="s">
        <v>12</v>
      </c>
      <c r="I204" t="s">
        <v>12</v>
      </c>
      <c r="AD204" s="17">
        <v>202</v>
      </c>
      <c r="AE204" s="6">
        <v>3.0385399999999998</v>
      </c>
      <c r="AF204" s="6">
        <v>3.8231999999999999</v>
      </c>
      <c r="AG204" s="6">
        <v>2.9258000000000002</v>
      </c>
      <c r="AH204" s="6">
        <v>255</v>
      </c>
      <c r="AJ204" s="17">
        <v>202</v>
      </c>
      <c r="AK204" s="6">
        <v>5.76173</v>
      </c>
      <c r="AL204" s="6">
        <v>3.8231999999999999</v>
      </c>
      <c r="AM204" s="6">
        <v>2.9258000000000002</v>
      </c>
      <c r="AN204" s="6">
        <v>255</v>
      </c>
      <c r="AQ204" s="17">
        <v>202</v>
      </c>
      <c r="AR204" s="6">
        <v>1.5921000000000001</v>
      </c>
      <c r="AS204" s="6">
        <v>0.90500000000000003</v>
      </c>
      <c r="AT204" s="6">
        <v>0.8085</v>
      </c>
      <c r="AU204" s="6">
        <v>255</v>
      </c>
      <c r="AW204" s="17">
        <v>202</v>
      </c>
      <c r="AX204" s="6">
        <v>0.83962000000000003</v>
      </c>
      <c r="AY204" s="6">
        <v>0.90500000000000003</v>
      </c>
      <c r="AZ204" s="6">
        <v>0.8085</v>
      </c>
      <c r="BA204" s="6">
        <v>255</v>
      </c>
      <c r="BN204" s="17">
        <v>202</v>
      </c>
      <c r="BO204" s="6">
        <v>46.60985488</v>
      </c>
      <c r="BP204" s="6">
        <v>46.093859870000003</v>
      </c>
      <c r="BQ204" s="6">
        <v>0.51599501000000003</v>
      </c>
    </row>
    <row r="205" spans="1:69" x14ac:dyDescent="0.25">
      <c r="A205" s="31" t="s">
        <v>156</v>
      </c>
      <c r="B205" s="32">
        <v>3</v>
      </c>
      <c r="C205" s="32">
        <v>10</v>
      </c>
      <c r="D205" s="32">
        <v>5</v>
      </c>
      <c r="E205" s="32">
        <v>11</v>
      </c>
      <c r="F205" s="2">
        <v>60.1</v>
      </c>
      <c r="G205">
        <v>45.120932875519877</v>
      </c>
      <c r="H205" s="59" t="s">
        <v>12</v>
      </c>
      <c r="I205" t="s">
        <v>12</v>
      </c>
      <c r="AD205" s="17">
        <v>203</v>
      </c>
      <c r="AE205" s="6">
        <v>3.0508899999999999</v>
      </c>
      <c r="AF205" s="6">
        <v>7.4763999999999999</v>
      </c>
      <c r="AG205" s="6">
        <v>2.9377</v>
      </c>
      <c r="AH205" s="6">
        <v>255</v>
      </c>
      <c r="AJ205" s="17">
        <v>203</v>
      </c>
      <c r="AK205" s="6">
        <v>5.7851600000000003</v>
      </c>
      <c r="AL205" s="6">
        <v>7.4763999999999999</v>
      </c>
      <c r="AM205" s="6">
        <v>2.9377</v>
      </c>
      <c r="AN205" s="6">
        <v>255</v>
      </c>
      <c r="AQ205" s="17">
        <v>203</v>
      </c>
      <c r="AR205" s="6">
        <v>1.59077</v>
      </c>
      <c r="AS205" s="6">
        <v>1.7967</v>
      </c>
      <c r="AT205" s="6">
        <v>0.80779999999999996</v>
      </c>
      <c r="AU205" s="6">
        <v>255</v>
      </c>
      <c r="AW205" s="17">
        <v>203</v>
      </c>
      <c r="AX205" s="6">
        <v>0.83892</v>
      </c>
      <c r="AY205" s="6">
        <v>1.7967</v>
      </c>
      <c r="AZ205" s="6">
        <v>0.80779999999999996</v>
      </c>
      <c r="BA205" s="6">
        <v>255</v>
      </c>
      <c r="BN205" s="17">
        <v>203</v>
      </c>
      <c r="BO205" s="6">
        <v>40.07502435</v>
      </c>
      <c r="BP205" s="6">
        <v>43.529107340000003</v>
      </c>
      <c r="BQ205" s="19">
        <v>-3.4540829899999999</v>
      </c>
    </row>
    <row r="206" spans="1:69" x14ac:dyDescent="0.25">
      <c r="A206" s="31" t="s">
        <v>156</v>
      </c>
      <c r="B206" s="32">
        <v>1</v>
      </c>
      <c r="C206" s="32">
        <v>16</v>
      </c>
      <c r="D206" s="32">
        <v>2</v>
      </c>
      <c r="E206" s="32">
        <v>1</v>
      </c>
      <c r="F206" s="2">
        <v>61.7</v>
      </c>
      <c r="G206">
        <v>70.601545023696659</v>
      </c>
      <c r="H206" s="59">
        <v>13.1</v>
      </c>
      <c r="I206">
        <v>2</v>
      </c>
      <c r="AD206" s="17">
        <v>204</v>
      </c>
      <c r="AE206" s="6">
        <v>3.0446900000000001</v>
      </c>
      <c r="AF206" s="19">
        <v>-2.034E-2</v>
      </c>
      <c r="AG206" s="6">
        <v>2.9317000000000002</v>
      </c>
      <c r="AH206" s="6">
        <v>255</v>
      </c>
      <c r="AJ206" s="17">
        <v>204</v>
      </c>
      <c r="AK206" s="6">
        <v>5.7733999999999996</v>
      </c>
      <c r="AL206" s="19">
        <v>-2.034E-2</v>
      </c>
      <c r="AM206" s="6">
        <v>2.9317000000000002</v>
      </c>
      <c r="AN206" s="6">
        <v>255</v>
      </c>
      <c r="AQ206" s="17">
        <v>204</v>
      </c>
      <c r="AR206" s="6">
        <v>1.587</v>
      </c>
      <c r="AS206" s="19">
        <v>-2.3168000000000002</v>
      </c>
      <c r="AT206" s="6">
        <v>0.80589999999999995</v>
      </c>
      <c r="AU206" s="6">
        <v>255</v>
      </c>
      <c r="AW206" s="17">
        <v>204</v>
      </c>
      <c r="AX206" s="6">
        <v>0.83692999999999995</v>
      </c>
      <c r="AY206" s="19">
        <v>-2.3168000000000002</v>
      </c>
      <c r="AZ206" s="6">
        <v>0.80589999999999995</v>
      </c>
      <c r="BA206" s="6">
        <v>255</v>
      </c>
      <c r="BN206" s="17">
        <v>204</v>
      </c>
      <c r="BO206" s="6">
        <v>45.120932879999998</v>
      </c>
      <c r="BP206" s="6">
        <v>42.182844899999999</v>
      </c>
      <c r="BQ206" s="6">
        <v>2.9380879800000002</v>
      </c>
    </row>
    <row r="207" spans="1:69" x14ac:dyDescent="0.25">
      <c r="A207" s="31" t="s">
        <v>156</v>
      </c>
      <c r="B207" s="32">
        <v>2</v>
      </c>
      <c r="C207" s="32">
        <v>26</v>
      </c>
      <c r="D207" s="32">
        <v>3</v>
      </c>
      <c r="E207" s="32">
        <v>1</v>
      </c>
      <c r="F207" s="2">
        <v>58.3</v>
      </c>
      <c r="G207">
        <v>50.922662600646063</v>
      </c>
      <c r="H207" s="61" t="s">
        <v>12</v>
      </c>
      <c r="I207" t="s">
        <v>12</v>
      </c>
      <c r="AD207" s="17">
        <v>205</v>
      </c>
      <c r="AE207" s="6">
        <v>3.0431599999999999</v>
      </c>
      <c r="AF207" s="6">
        <v>4.7823000000000002</v>
      </c>
      <c r="AG207" s="6">
        <v>2.9302000000000001</v>
      </c>
      <c r="AH207" s="6">
        <v>255</v>
      </c>
      <c r="AJ207" s="17">
        <v>205</v>
      </c>
      <c r="AK207" s="6">
        <v>5.7704899999999997</v>
      </c>
      <c r="AL207" s="6">
        <v>4.7823000000000002</v>
      </c>
      <c r="AM207" s="6">
        <v>2.9302000000000001</v>
      </c>
      <c r="AN207" s="6">
        <v>255</v>
      </c>
      <c r="AQ207" s="17">
        <v>205</v>
      </c>
      <c r="AR207" s="6">
        <v>1.61572</v>
      </c>
      <c r="AS207" s="6">
        <v>0.25850000000000001</v>
      </c>
      <c r="AT207" s="6">
        <v>0.82050000000000001</v>
      </c>
      <c r="AU207" s="6">
        <v>255</v>
      </c>
      <c r="AW207" s="17">
        <v>205</v>
      </c>
      <c r="AX207" s="6">
        <v>0.85206999999999999</v>
      </c>
      <c r="AY207" s="6">
        <v>0.25850000000000001</v>
      </c>
      <c r="AZ207" s="6">
        <v>0.82050000000000001</v>
      </c>
      <c r="BA207" s="6">
        <v>255</v>
      </c>
      <c r="BN207" s="17">
        <v>205</v>
      </c>
      <c r="BO207" s="6">
        <v>70.601545020000003</v>
      </c>
      <c r="BP207" s="6">
        <v>60.765908789999997</v>
      </c>
      <c r="BQ207" s="6">
        <v>9.8356362300000004</v>
      </c>
    </row>
    <row r="208" spans="1:69" x14ac:dyDescent="0.25">
      <c r="A208" s="31" t="s">
        <v>156</v>
      </c>
      <c r="B208" s="32">
        <v>3</v>
      </c>
      <c r="C208" s="32">
        <v>21</v>
      </c>
      <c r="D208" s="32">
        <v>5</v>
      </c>
      <c r="E208" s="32">
        <v>1</v>
      </c>
      <c r="F208" s="2">
        <v>56.6</v>
      </c>
      <c r="G208">
        <v>54.297751233194688</v>
      </c>
      <c r="H208" s="61" t="s">
        <v>12</v>
      </c>
      <c r="I208" t="s">
        <v>12</v>
      </c>
      <c r="AD208" s="17">
        <v>206</v>
      </c>
      <c r="AE208" s="6">
        <v>3.0425800000000001</v>
      </c>
      <c r="AF208" s="6">
        <v>8.2849999999999993E-2</v>
      </c>
      <c r="AG208" s="6">
        <v>2.9297</v>
      </c>
      <c r="AH208" s="6">
        <v>255</v>
      </c>
      <c r="AJ208" s="17">
        <v>206</v>
      </c>
      <c r="AK208" s="6">
        <v>5.7694000000000001</v>
      </c>
      <c r="AL208" s="6">
        <v>8.2849999999999993E-2</v>
      </c>
      <c r="AM208" s="6">
        <v>2.9297</v>
      </c>
      <c r="AN208" s="6">
        <v>255</v>
      </c>
      <c r="AQ208" s="17">
        <v>206</v>
      </c>
      <c r="AR208" s="6">
        <v>1.58951</v>
      </c>
      <c r="AS208" s="19">
        <v>-1.5945</v>
      </c>
      <c r="AT208" s="6">
        <v>0.80710000000000004</v>
      </c>
      <c r="AU208" s="6">
        <v>255</v>
      </c>
      <c r="AW208" s="17">
        <v>206</v>
      </c>
      <c r="AX208" s="6">
        <v>0.83825000000000005</v>
      </c>
      <c r="AY208" s="19">
        <v>-1.5945</v>
      </c>
      <c r="AZ208" s="6">
        <v>0.80710000000000004</v>
      </c>
      <c r="BA208" s="6">
        <v>255</v>
      </c>
      <c r="BN208" s="17">
        <v>206</v>
      </c>
      <c r="BO208" s="6">
        <v>50.922662600000002</v>
      </c>
      <c r="BP208" s="6">
        <v>58.201156259999998</v>
      </c>
      <c r="BQ208" s="19">
        <v>-7.2784936599999996</v>
      </c>
    </row>
    <row r="209" spans="1:69" x14ac:dyDescent="0.25">
      <c r="A209" s="31" t="s">
        <v>156</v>
      </c>
      <c r="B209" s="32">
        <v>1</v>
      </c>
      <c r="C209" s="32">
        <v>6</v>
      </c>
      <c r="D209" s="32">
        <v>1</v>
      </c>
      <c r="E209" s="32">
        <v>17</v>
      </c>
      <c r="F209" s="2">
        <v>45.8</v>
      </c>
      <c r="G209">
        <v>17.659574273178727</v>
      </c>
      <c r="H209" s="59">
        <v>17.600000000000001</v>
      </c>
      <c r="I209">
        <v>4</v>
      </c>
      <c r="AD209" s="17">
        <v>207</v>
      </c>
      <c r="AE209" s="6">
        <v>3.0372300000000001</v>
      </c>
      <c r="AF209" s="19">
        <v>-7.5590000000000004E-2</v>
      </c>
      <c r="AG209" s="6">
        <v>2.9245000000000001</v>
      </c>
      <c r="AH209" s="6">
        <v>255</v>
      </c>
      <c r="AJ209" s="17">
        <v>207</v>
      </c>
      <c r="AK209" s="6">
        <v>5.7592699999999999</v>
      </c>
      <c r="AL209" s="19">
        <v>-7.5590000000000004E-2</v>
      </c>
      <c r="AM209" s="6">
        <v>2.9245000000000001</v>
      </c>
      <c r="AN209" s="6">
        <v>255</v>
      </c>
      <c r="AQ209" s="17">
        <v>207</v>
      </c>
      <c r="AR209" s="6">
        <v>1.59466</v>
      </c>
      <c r="AS209" s="19">
        <v>-1.8343</v>
      </c>
      <c r="AT209" s="6">
        <v>0.80979999999999996</v>
      </c>
      <c r="AU209" s="6">
        <v>255</v>
      </c>
      <c r="AW209" s="17">
        <v>207</v>
      </c>
      <c r="AX209" s="6">
        <v>0.84097</v>
      </c>
      <c r="AY209" s="19">
        <v>-1.8343</v>
      </c>
      <c r="AZ209" s="6">
        <v>0.80979999999999996</v>
      </c>
      <c r="BA209" s="6">
        <v>255</v>
      </c>
      <c r="BN209" s="17">
        <v>207</v>
      </c>
      <c r="BO209" s="6">
        <v>54.297751230000003</v>
      </c>
      <c r="BP209" s="6">
        <v>56.85489381</v>
      </c>
      <c r="BQ209" s="19">
        <v>-2.5571425799999998</v>
      </c>
    </row>
    <row r="210" spans="1:69" x14ac:dyDescent="0.25">
      <c r="A210" s="31" t="s">
        <v>156</v>
      </c>
      <c r="B210" s="32">
        <v>2</v>
      </c>
      <c r="C210" s="32">
        <v>3</v>
      </c>
      <c r="D210" s="32">
        <v>4</v>
      </c>
      <c r="E210" s="32">
        <v>17</v>
      </c>
      <c r="F210" s="2">
        <v>50.3</v>
      </c>
      <c r="G210">
        <v>37.902808857240402</v>
      </c>
      <c r="H210" s="59" t="s">
        <v>12</v>
      </c>
      <c r="I210" t="s">
        <v>12</v>
      </c>
      <c r="AD210" s="17">
        <v>208</v>
      </c>
      <c r="AE210" s="6">
        <v>3.0376500000000002</v>
      </c>
      <c r="AF210" s="19">
        <v>-0.48</v>
      </c>
      <c r="AG210" s="6">
        <v>2.9249000000000001</v>
      </c>
      <c r="AH210" s="6">
        <v>255</v>
      </c>
      <c r="AJ210" s="17">
        <v>208</v>
      </c>
      <c r="AK210" s="6">
        <v>5.76004</v>
      </c>
      <c r="AL210" s="19">
        <v>-0.48</v>
      </c>
      <c r="AM210" s="6">
        <v>2.9249000000000001</v>
      </c>
      <c r="AN210" s="6">
        <v>255</v>
      </c>
      <c r="AQ210" s="17">
        <v>208</v>
      </c>
      <c r="AR210" s="6">
        <v>1.58551</v>
      </c>
      <c r="AS210" s="6">
        <v>0.43269999999999997</v>
      </c>
      <c r="AT210" s="6">
        <v>0.80510000000000004</v>
      </c>
      <c r="AU210" s="6">
        <v>255</v>
      </c>
      <c r="AW210" s="17">
        <v>208</v>
      </c>
      <c r="AX210" s="6">
        <v>0.83613999999999999</v>
      </c>
      <c r="AY210" s="6">
        <v>0.43269999999999997</v>
      </c>
      <c r="AZ210" s="6">
        <v>0.80510000000000004</v>
      </c>
      <c r="BA210" s="6">
        <v>255</v>
      </c>
      <c r="BN210" s="17">
        <v>208</v>
      </c>
      <c r="BO210" s="6">
        <v>17.65957427</v>
      </c>
      <c r="BP210" s="6">
        <v>27.487361140000001</v>
      </c>
      <c r="BQ210" s="19">
        <v>-9.8277868700000006</v>
      </c>
    </row>
    <row r="211" spans="1:69" x14ac:dyDescent="0.25">
      <c r="A211" s="31" t="s">
        <v>156</v>
      </c>
      <c r="B211" s="32">
        <v>3</v>
      </c>
      <c r="C211" s="32">
        <v>5</v>
      </c>
      <c r="D211" s="32">
        <v>6</v>
      </c>
      <c r="E211" s="32">
        <v>17</v>
      </c>
      <c r="F211" s="2">
        <v>45.8</v>
      </c>
      <c r="G211">
        <v>20.423932778766162</v>
      </c>
      <c r="H211" s="61" t="s">
        <v>12</v>
      </c>
      <c r="I211" t="s">
        <v>12</v>
      </c>
      <c r="AD211" s="17">
        <v>209</v>
      </c>
      <c r="AE211" s="6">
        <v>3.05755</v>
      </c>
      <c r="AF211" s="6">
        <v>0.95079999999999998</v>
      </c>
      <c r="AG211" s="6">
        <v>2.9441000000000002</v>
      </c>
      <c r="AH211" s="6">
        <v>255</v>
      </c>
      <c r="AJ211" s="17">
        <v>209</v>
      </c>
      <c r="AK211" s="6">
        <v>5.7977999999999996</v>
      </c>
      <c r="AL211" s="6">
        <v>0.95079999999999998</v>
      </c>
      <c r="AM211" s="6">
        <v>2.9441000000000002</v>
      </c>
      <c r="AN211" s="6">
        <v>255</v>
      </c>
      <c r="AQ211" s="17">
        <v>209</v>
      </c>
      <c r="AR211" s="6">
        <v>1.59741</v>
      </c>
      <c r="AS211" s="19">
        <v>-1.1891</v>
      </c>
      <c r="AT211" s="6">
        <v>0.81120000000000003</v>
      </c>
      <c r="AU211" s="6">
        <v>255</v>
      </c>
      <c r="AW211" s="17">
        <v>209</v>
      </c>
      <c r="AX211" s="6">
        <v>0.84241999999999995</v>
      </c>
      <c r="AY211" s="19">
        <v>-1.1891</v>
      </c>
      <c r="AZ211" s="6">
        <v>0.81120000000000003</v>
      </c>
      <c r="BA211" s="6">
        <v>255</v>
      </c>
      <c r="BN211" s="17">
        <v>209</v>
      </c>
      <c r="BO211" s="6">
        <v>37.90280886</v>
      </c>
      <c r="BP211" s="6">
        <v>24.922608610000001</v>
      </c>
      <c r="BQ211" s="6">
        <v>12.980200249999999</v>
      </c>
    </row>
    <row r="212" spans="1:69" x14ac:dyDescent="0.25">
      <c r="A212" s="31" t="s">
        <v>156</v>
      </c>
      <c r="B212" s="32">
        <v>1</v>
      </c>
      <c r="C212" s="32">
        <v>18</v>
      </c>
      <c r="D212" s="32">
        <v>2</v>
      </c>
      <c r="E212" s="32">
        <v>12</v>
      </c>
      <c r="F212" s="2">
        <v>59.7</v>
      </c>
      <c r="G212">
        <v>57.330149289099523</v>
      </c>
      <c r="H212" s="59">
        <v>14.1</v>
      </c>
      <c r="I212">
        <v>1</v>
      </c>
      <c r="AD212" s="17">
        <v>210</v>
      </c>
      <c r="AE212" s="6">
        <v>3.0323600000000002</v>
      </c>
      <c r="AF212" s="6">
        <v>2.1594000000000002</v>
      </c>
      <c r="AG212" s="6">
        <v>2.9198</v>
      </c>
      <c r="AH212" s="6">
        <v>255</v>
      </c>
      <c r="AJ212" s="17">
        <v>210</v>
      </c>
      <c r="AK212" s="6">
        <v>5.7500200000000001</v>
      </c>
      <c r="AL212" s="6">
        <v>2.1594000000000002</v>
      </c>
      <c r="AM212" s="6">
        <v>2.9198</v>
      </c>
      <c r="AN212" s="6">
        <v>255</v>
      </c>
      <c r="AQ212" s="17">
        <v>210</v>
      </c>
      <c r="AR212" s="6">
        <v>1.5863100000000001</v>
      </c>
      <c r="AS212" s="6">
        <v>0.31330000000000002</v>
      </c>
      <c r="AT212" s="6">
        <v>0.80549999999999999</v>
      </c>
      <c r="AU212" s="6">
        <v>255</v>
      </c>
      <c r="AW212" s="17">
        <v>210</v>
      </c>
      <c r="AX212" s="6">
        <v>0.83655999999999997</v>
      </c>
      <c r="AY212" s="6">
        <v>0.31330000000000002</v>
      </c>
      <c r="AZ212" s="6">
        <v>0.80549999999999999</v>
      </c>
      <c r="BA212" s="6">
        <v>255</v>
      </c>
      <c r="BN212" s="17">
        <v>210</v>
      </c>
      <c r="BO212" s="6">
        <v>20.423932780000001</v>
      </c>
      <c r="BP212" s="6">
        <v>23.57634616</v>
      </c>
      <c r="BQ212" s="19">
        <v>-3.15241338</v>
      </c>
    </row>
    <row r="213" spans="1:69" x14ac:dyDescent="0.25">
      <c r="A213" s="31" t="s">
        <v>156</v>
      </c>
      <c r="B213" s="32">
        <v>2</v>
      </c>
      <c r="C213" s="32">
        <v>2</v>
      </c>
      <c r="D213" s="32">
        <v>4</v>
      </c>
      <c r="E213" s="32">
        <v>12</v>
      </c>
      <c r="F213" s="2">
        <v>56.9</v>
      </c>
      <c r="G213">
        <v>47.697729698092957</v>
      </c>
      <c r="H213" s="59" t="s">
        <v>12</v>
      </c>
      <c r="I213" t="s">
        <v>12</v>
      </c>
      <c r="AD213" s="17">
        <v>211</v>
      </c>
      <c r="AE213" s="6">
        <v>3.0366300000000002</v>
      </c>
      <c r="AF213" s="6">
        <v>6.2577999999999996</v>
      </c>
      <c r="AG213" s="6">
        <v>2.9239000000000002</v>
      </c>
      <c r="AH213" s="6">
        <v>255</v>
      </c>
      <c r="AJ213" s="17">
        <v>211</v>
      </c>
      <c r="AK213" s="6">
        <v>5.7581199999999999</v>
      </c>
      <c r="AL213" s="6">
        <v>6.2577999999999996</v>
      </c>
      <c r="AM213" s="6">
        <v>2.9239000000000002</v>
      </c>
      <c r="AN213" s="6">
        <v>255</v>
      </c>
      <c r="AQ213" s="17">
        <v>211</v>
      </c>
      <c r="AR213" s="6">
        <v>1.5949800000000001</v>
      </c>
      <c r="AS213" s="6">
        <v>0.70050000000000001</v>
      </c>
      <c r="AT213" s="6">
        <v>0.80989999999999995</v>
      </c>
      <c r="AU213" s="6">
        <v>255</v>
      </c>
      <c r="AW213" s="17">
        <v>211</v>
      </c>
      <c r="AX213" s="6">
        <v>0.84113000000000004</v>
      </c>
      <c r="AY213" s="6">
        <v>0.70050000000000001</v>
      </c>
      <c r="AZ213" s="6">
        <v>0.80989999999999995</v>
      </c>
      <c r="BA213" s="6">
        <v>255</v>
      </c>
      <c r="BN213" s="17">
        <v>211</v>
      </c>
      <c r="BO213" s="6">
        <v>57.330149290000001</v>
      </c>
      <c r="BP213" s="6">
        <v>50.495873269999997</v>
      </c>
      <c r="BQ213" s="6">
        <v>6.8342760199999999</v>
      </c>
    </row>
    <row r="214" spans="1:69" x14ac:dyDescent="0.25">
      <c r="A214" s="31" t="s">
        <v>156</v>
      </c>
      <c r="B214" s="32">
        <v>3</v>
      </c>
      <c r="C214" s="32">
        <v>1</v>
      </c>
      <c r="D214" s="32">
        <v>5</v>
      </c>
      <c r="E214" s="32">
        <v>12</v>
      </c>
      <c r="F214" s="2">
        <v>56.9</v>
      </c>
      <c r="G214">
        <v>39.9839733049618</v>
      </c>
      <c r="H214" s="61" t="s">
        <v>12</v>
      </c>
      <c r="I214" t="s">
        <v>12</v>
      </c>
      <c r="AD214" s="17">
        <v>212</v>
      </c>
      <c r="AE214" s="6">
        <v>3.0399699999999998</v>
      </c>
      <c r="AF214" s="6">
        <v>2.5017999999999998</v>
      </c>
      <c r="AG214" s="6">
        <v>2.9270999999999998</v>
      </c>
      <c r="AH214" s="6">
        <v>255</v>
      </c>
      <c r="AJ214" s="17">
        <v>212</v>
      </c>
      <c r="AK214" s="6">
        <v>5.7644599999999997</v>
      </c>
      <c r="AL214" s="6">
        <v>2.5017999999999998</v>
      </c>
      <c r="AM214" s="6">
        <v>2.9270999999999998</v>
      </c>
      <c r="AN214" s="6">
        <v>255</v>
      </c>
      <c r="AQ214" s="17">
        <v>212</v>
      </c>
      <c r="AR214" s="6">
        <v>1.5893200000000001</v>
      </c>
      <c r="AS214" s="6">
        <v>0.77559999999999996</v>
      </c>
      <c r="AT214" s="6">
        <v>0.80700000000000005</v>
      </c>
      <c r="AU214" s="6">
        <v>255</v>
      </c>
      <c r="AW214" s="17">
        <v>212</v>
      </c>
      <c r="AX214" s="6">
        <v>0.83814999999999995</v>
      </c>
      <c r="AY214" s="6">
        <v>0.77559999999999996</v>
      </c>
      <c r="AZ214" s="6">
        <v>0.80700000000000005</v>
      </c>
      <c r="BA214" s="6">
        <v>255</v>
      </c>
      <c r="BN214" s="17">
        <v>212</v>
      </c>
      <c r="BO214" s="6">
        <v>47.697729699999996</v>
      </c>
      <c r="BP214" s="6">
        <v>47.931120739999997</v>
      </c>
      <c r="BQ214" s="19">
        <v>-0.23339103999999999</v>
      </c>
    </row>
    <row r="215" spans="1:69" x14ac:dyDescent="0.25">
      <c r="A215" s="31" t="s">
        <v>156</v>
      </c>
      <c r="B215" s="32">
        <v>1</v>
      </c>
      <c r="C215" s="32">
        <v>3</v>
      </c>
      <c r="D215" s="32">
        <v>1</v>
      </c>
      <c r="E215" s="32">
        <v>13</v>
      </c>
      <c r="F215" s="2">
        <v>54.2</v>
      </c>
      <c r="G215">
        <v>45.718468251289707</v>
      </c>
      <c r="H215" s="59">
        <v>15.3</v>
      </c>
      <c r="I215">
        <v>1</v>
      </c>
      <c r="AD215" s="17">
        <v>213</v>
      </c>
      <c r="AE215" s="6">
        <v>3.04209</v>
      </c>
      <c r="AF215" s="19">
        <v>-1.0185999999999999</v>
      </c>
      <c r="AG215" s="6">
        <v>2.9291999999999998</v>
      </c>
      <c r="AH215" s="6">
        <v>255</v>
      </c>
      <c r="AJ215" s="17">
        <v>213</v>
      </c>
      <c r="AK215" s="6">
        <v>5.7684800000000003</v>
      </c>
      <c r="AL215" s="19">
        <v>-1.0185999999999999</v>
      </c>
      <c r="AM215" s="6">
        <v>2.9291999999999998</v>
      </c>
      <c r="AN215" s="6">
        <v>255</v>
      </c>
      <c r="AQ215" s="17">
        <v>213</v>
      </c>
      <c r="AR215" s="6">
        <v>1.5860000000000001</v>
      </c>
      <c r="AS215" s="19">
        <v>-1.1692</v>
      </c>
      <c r="AT215" s="6">
        <v>0.8054</v>
      </c>
      <c r="AU215" s="6">
        <v>255</v>
      </c>
      <c r="AW215" s="17">
        <v>213</v>
      </c>
      <c r="AX215" s="6">
        <v>0.83640000000000003</v>
      </c>
      <c r="AY215" s="19">
        <v>-1.1692</v>
      </c>
      <c r="AZ215" s="6">
        <v>0.8054</v>
      </c>
      <c r="BA215" s="6">
        <v>255</v>
      </c>
      <c r="BN215" s="17">
        <v>213</v>
      </c>
      <c r="BO215" s="6">
        <v>39.983973300000002</v>
      </c>
      <c r="BP215" s="6">
        <v>46.58485829</v>
      </c>
      <c r="BQ215" s="19">
        <v>-6.60088499</v>
      </c>
    </row>
    <row r="216" spans="1:69" x14ac:dyDescent="0.25">
      <c r="A216" s="31" t="s">
        <v>156</v>
      </c>
      <c r="B216" s="32">
        <v>2</v>
      </c>
      <c r="C216" s="32">
        <v>5</v>
      </c>
      <c r="D216" s="32">
        <v>3</v>
      </c>
      <c r="E216" s="32">
        <v>13</v>
      </c>
      <c r="F216" s="2">
        <v>52.8</v>
      </c>
      <c r="G216">
        <v>34.598879514006072</v>
      </c>
      <c r="H216" s="59" t="s">
        <v>12</v>
      </c>
      <c r="I216" t="s">
        <v>12</v>
      </c>
      <c r="AD216" s="17">
        <v>214</v>
      </c>
      <c r="AE216" s="6">
        <v>3.0499499999999999</v>
      </c>
      <c r="AF216" s="19">
        <v>-0.69030000000000002</v>
      </c>
      <c r="AG216" s="6">
        <v>2.9367999999999999</v>
      </c>
      <c r="AH216" s="6">
        <v>255</v>
      </c>
      <c r="AJ216" s="17">
        <v>214</v>
      </c>
      <c r="AK216" s="6">
        <v>5.7833800000000002</v>
      </c>
      <c r="AL216" s="19">
        <v>-0.69030000000000002</v>
      </c>
      <c r="AM216" s="6">
        <v>2.9367999999999999</v>
      </c>
      <c r="AN216" s="6">
        <v>255</v>
      </c>
      <c r="AQ216" s="17">
        <v>214</v>
      </c>
      <c r="AR216" s="6">
        <v>1.59283</v>
      </c>
      <c r="AS216" s="19">
        <v>-0.32700000000000001</v>
      </c>
      <c r="AT216" s="6">
        <v>0.80879999999999996</v>
      </c>
      <c r="AU216" s="6">
        <v>255</v>
      </c>
      <c r="AW216" s="17">
        <v>214</v>
      </c>
      <c r="AX216" s="6">
        <v>0.84</v>
      </c>
      <c r="AY216" s="19">
        <v>-0.32700000000000001</v>
      </c>
      <c r="AZ216" s="6">
        <v>0.80879999999999996</v>
      </c>
      <c r="BA216" s="6">
        <v>255</v>
      </c>
      <c r="BN216" s="17">
        <v>214</v>
      </c>
      <c r="BO216" s="6">
        <v>45.718468250000001</v>
      </c>
      <c r="BP216" s="6">
        <v>44.821912490000003</v>
      </c>
      <c r="BQ216" s="6">
        <v>0.89655576000000003</v>
      </c>
    </row>
    <row r="217" spans="1:69" x14ac:dyDescent="0.25">
      <c r="A217" s="31" t="s">
        <v>156</v>
      </c>
      <c r="B217" s="32">
        <v>3</v>
      </c>
      <c r="C217" s="32">
        <v>13</v>
      </c>
      <c r="D217" s="32">
        <v>5</v>
      </c>
      <c r="E217" s="32">
        <v>13</v>
      </c>
      <c r="F217" s="2">
        <v>58.5</v>
      </c>
      <c r="G217">
        <v>47.672622207176715</v>
      </c>
      <c r="H217" s="61" t="s">
        <v>12</v>
      </c>
      <c r="I217" t="s">
        <v>12</v>
      </c>
      <c r="AD217" s="17">
        <v>215</v>
      </c>
      <c r="AE217" s="6">
        <v>3.0390799999999998</v>
      </c>
      <c r="AF217" s="6">
        <v>1.8277000000000001</v>
      </c>
      <c r="AG217" s="6">
        <v>2.9262999999999999</v>
      </c>
      <c r="AH217" s="6">
        <v>255</v>
      </c>
      <c r="AJ217" s="17">
        <v>215</v>
      </c>
      <c r="AK217" s="6">
        <v>5.7627699999999997</v>
      </c>
      <c r="AL217" s="6">
        <v>1.8277000000000001</v>
      </c>
      <c r="AM217" s="6">
        <v>2.9262999999999999</v>
      </c>
      <c r="AN217" s="6">
        <v>255</v>
      </c>
      <c r="AQ217" s="17">
        <v>215</v>
      </c>
      <c r="AR217" s="6">
        <v>1.5889500000000001</v>
      </c>
      <c r="AS217" s="19">
        <v>-1.9961</v>
      </c>
      <c r="AT217" s="6">
        <v>0.80689999999999995</v>
      </c>
      <c r="AU217" s="6">
        <v>255</v>
      </c>
      <c r="AW217" s="17">
        <v>215</v>
      </c>
      <c r="AX217" s="6">
        <v>0.83794999999999997</v>
      </c>
      <c r="AY217" s="19">
        <v>-1.9961</v>
      </c>
      <c r="AZ217" s="6">
        <v>0.80689999999999995</v>
      </c>
      <c r="BA217" s="6">
        <v>255</v>
      </c>
      <c r="BN217" s="17">
        <v>215</v>
      </c>
      <c r="BO217" s="6">
        <v>34.598879510000003</v>
      </c>
      <c r="BP217" s="6">
        <v>42.257159960000003</v>
      </c>
      <c r="BQ217" s="19">
        <v>-7.6582804500000004</v>
      </c>
    </row>
    <row r="218" spans="1:69" x14ac:dyDescent="0.25">
      <c r="A218" s="31" t="s">
        <v>156</v>
      </c>
      <c r="B218" s="32">
        <v>1</v>
      </c>
      <c r="C218" s="32">
        <v>9</v>
      </c>
      <c r="D218" s="32">
        <v>1</v>
      </c>
      <c r="E218" s="32">
        <v>2</v>
      </c>
      <c r="F218" s="2">
        <v>57.8</v>
      </c>
      <c r="G218">
        <v>45.461815727303403</v>
      </c>
      <c r="H218" s="59">
        <v>14.6</v>
      </c>
      <c r="I218">
        <v>3</v>
      </c>
      <c r="AD218" s="17">
        <v>216</v>
      </c>
      <c r="AE218" s="6">
        <v>3.03701</v>
      </c>
      <c r="AF218" s="6">
        <v>3.5059999999999998</v>
      </c>
      <c r="AG218" s="6">
        <v>2.9243000000000001</v>
      </c>
      <c r="AH218" s="6">
        <v>255</v>
      </c>
      <c r="AJ218" s="17">
        <v>216</v>
      </c>
      <c r="AK218" s="6">
        <v>5.7588400000000002</v>
      </c>
      <c r="AL218" s="6">
        <v>3.5059999999999998</v>
      </c>
      <c r="AM218" s="6">
        <v>2.9243000000000001</v>
      </c>
      <c r="AN218" s="6">
        <v>255</v>
      </c>
      <c r="AQ218" s="17">
        <v>216</v>
      </c>
      <c r="AR218" s="6">
        <v>1.5970800000000001</v>
      </c>
      <c r="AS218" s="19">
        <v>-1.6152</v>
      </c>
      <c r="AT218" s="6">
        <v>0.81100000000000005</v>
      </c>
      <c r="AU218" s="6">
        <v>255</v>
      </c>
      <c r="AW218" s="17">
        <v>216</v>
      </c>
      <c r="AX218" s="6">
        <v>0.84225000000000005</v>
      </c>
      <c r="AY218" s="19">
        <v>-1.6152</v>
      </c>
      <c r="AZ218" s="6">
        <v>0.81100000000000005</v>
      </c>
      <c r="BA218" s="6">
        <v>255</v>
      </c>
      <c r="BN218" s="17">
        <v>216</v>
      </c>
      <c r="BO218" s="6">
        <v>47.67262221</v>
      </c>
      <c r="BP218" s="6">
        <v>40.910897519999999</v>
      </c>
      <c r="BQ218" s="6">
        <v>6.7617246900000003</v>
      </c>
    </row>
    <row r="219" spans="1:69" x14ac:dyDescent="0.25">
      <c r="A219" s="31" t="s">
        <v>156</v>
      </c>
      <c r="B219" s="32">
        <v>2</v>
      </c>
      <c r="C219" s="32">
        <v>6</v>
      </c>
      <c r="D219" s="32">
        <v>3</v>
      </c>
      <c r="E219" s="32">
        <v>2</v>
      </c>
      <c r="F219" s="2">
        <v>55.5</v>
      </c>
      <c r="G219">
        <v>33.641957475531562</v>
      </c>
      <c r="H219" s="59" t="s">
        <v>12</v>
      </c>
      <c r="I219" t="s">
        <v>12</v>
      </c>
      <c r="AD219" s="17">
        <v>217</v>
      </c>
      <c r="AE219" s="6">
        <v>3.0424899999999999</v>
      </c>
      <c r="AF219" s="6">
        <v>1.0238</v>
      </c>
      <c r="AG219" s="6">
        <v>2.9296000000000002</v>
      </c>
      <c r="AH219" s="6">
        <v>255</v>
      </c>
      <c r="AJ219" s="17">
        <v>217</v>
      </c>
      <c r="AK219" s="6">
        <v>5.7692300000000003</v>
      </c>
      <c r="AL219" s="6">
        <v>1.0238</v>
      </c>
      <c r="AM219" s="6">
        <v>2.9296000000000002</v>
      </c>
      <c r="AN219" s="6">
        <v>255</v>
      </c>
      <c r="AQ219" s="17">
        <v>217</v>
      </c>
      <c r="AR219" s="6">
        <v>1.61283</v>
      </c>
      <c r="AS219" s="19">
        <v>-0.23669999999999999</v>
      </c>
      <c r="AT219" s="6">
        <v>0.81899999999999995</v>
      </c>
      <c r="AU219" s="6">
        <v>255</v>
      </c>
      <c r="AW219" s="17">
        <v>217</v>
      </c>
      <c r="AX219" s="6">
        <v>0.85055000000000003</v>
      </c>
      <c r="AY219" s="19">
        <v>-0.23669999999999999</v>
      </c>
      <c r="AZ219" s="6">
        <v>0.81899999999999995</v>
      </c>
      <c r="BA219" s="6">
        <v>255</v>
      </c>
      <c r="BN219" s="17">
        <v>217</v>
      </c>
      <c r="BO219" s="6">
        <v>45.461815729999998</v>
      </c>
      <c r="BP219" s="6">
        <v>44.586150770000003</v>
      </c>
      <c r="BQ219" s="6">
        <v>0.87566496000000005</v>
      </c>
    </row>
    <row r="220" spans="1:69" x14ac:dyDescent="0.25">
      <c r="A220" s="31" t="s">
        <v>156</v>
      </c>
      <c r="B220" s="32">
        <v>3</v>
      </c>
      <c r="C220" s="32">
        <v>19</v>
      </c>
      <c r="D220" s="32">
        <v>5</v>
      </c>
      <c r="E220" s="32">
        <v>2</v>
      </c>
      <c r="F220" s="2">
        <v>60.2</v>
      </c>
      <c r="G220">
        <v>48.178911596866229</v>
      </c>
      <c r="H220" s="61" t="s">
        <v>12</v>
      </c>
      <c r="I220" t="s">
        <v>12</v>
      </c>
      <c r="AD220" s="17">
        <v>218</v>
      </c>
      <c r="AE220" s="6">
        <v>3.0566399999999998</v>
      </c>
      <c r="AF220" s="6">
        <v>2.9841000000000002</v>
      </c>
      <c r="AG220" s="6">
        <v>2.9432</v>
      </c>
      <c r="AH220" s="6">
        <v>255</v>
      </c>
      <c r="AJ220" s="17">
        <v>218</v>
      </c>
      <c r="AK220" s="6">
        <v>5.7960599999999998</v>
      </c>
      <c r="AL220" s="6">
        <v>2.9841000000000002</v>
      </c>
      <c r="AM220" s="6">
        <v>2.9432</v>
      </c>
      <c r="AN220" s="6">
        <v>255</v>
      </c>
      <c r="AQ220" s="17">
        <v>218</v>
      </c>
      <c r="AR220" s="6">
        <v>1.5981300000000001</v>
      </c>
      <c r="AS220" s="19">
        <v>-0.32590000000000002</v>
      </c>
      <c r="AT220" s="6">
        <v>0.8115</v>
      </c>
      <c r="AU220" s="6">
        <v>255</v>
      </c>
      <c r="AW220" s="17">
        <v>218</v>
      </c>
      <c r="AX220" s="6">
        <v>0.84279999999999999</v>
      </c>
      <c r="AY220" s="19">
        <v>-0.32590000000000002</v>
      </c>
      <c r="AZ220" s="6">
        <v>0.8115</v>
      </c>
      <c r="BA220" s="6">
        <v>255</v>
      </c>
      <c r="BN220" s="17">
        <v>218</v>
      </c>
      <c r="BO220" s="6">
        <v>33.641957480000002</v>
      </c>
      <c r="BP220" s="6">
        <v>42.021398240000003</v>
      </c>
      <c r="BQ220" s="19">
        <v>-8.3794407599999996</v>
      </c>
    </row>
    <row r="221" spans="1:69" x14ac:dyDescent="0.25">
      <c r="A221" s="31" t="s">
        <v>156</v>
      </c>
      <c r="B221" s="32">
        <v>1</v>
      </c>
      <c r="C221" s="32">
        <v>5</v>
      </c>
      <c r="D221" s="32">
        <v>1</v>
      </c>
      <c r="E221" s="32">
        <v>9</v>
      </c>
      <c r="F221" s="2" t="s">
        <v>12</v>
      </c>
      <c r="G221" t="s">
        <v>12</v>
      </c>
      <c r="H221" s="59">
        <v>19</v>
      </c>
      <c r="I221">
        <v>1</v>
      </c>
      <c r="AD221" s="17">
        <v>219</v>
      </c>
      <c r="AE221" s="6">
        <v>3.0565699999999998</v>
      </c>
      <c r="AF221" s="19">
        <v>-5.0819999999999999</v>
      </c>
      <c r="AG221" s="6">
        <v>2.9430999999999998</v>
      </c>
      <c r="AH221" s="6">
        <v>255</v>
      </c>
      <c r="AJ221" s="17">
        <v>219</v>
      </c>
      <c r="AK221" s="6">
        <v>5.7959300000000002</v>
      </c>
      <c r="AL221" s="19">
        <v>-5.0819999999999999</v>
      </c>
      <c r="AM221" s="6">
        <v>2.9430999999999998</v>
      </c>
      <c r="AN221" s="6">
        <v>255</v>
      </c>
      <c r="AQ221" s="17">
        <v>219</v>
      </c>
      <c r="AR221" s="6">
        <v>1.5978600000000001</v>
      </c>
      <c r="AS221" s="19">
        <v>-0.73680000000000001</v>
      </c>
      <c r="AT221" s="6">
        <v>0.81140000000000001</v>
      </c>
      <c r="AU221" s="6">
        <v>255</v>
      </c>
      <c r="AW221" s="17">
        <v>219</v>
      </c>
      <c r="AX221" s="6">
        <v>0.84265000000000001</v>
      </c>
      <c r="AY221" s="19">
        <v>-0.73680000000000001</v>
      </c>
      <c r="AZ221" s="6">
        <v>0.81140000000000001</v>
      </c>
      <c r="BA221" s="6">
        <v>255</v>
      </c>
      <c r="BN221" s="17">
        <v>219</v>
      </c>
      <c r="BO221" s="6">
        <v>48.178911599999999</v>
      </c>
      <c r="BP221" s="6">
        <v>40.6751358</v>
      </c>
      <c r="BQ221" s="6">
        <v>7.5037757999999997</v>
      </c>
    </row>
    <row r="222" spans="1:69" x14ac:dyDescent="0.25">
      <c r="A222" s="31" t="s">
        <v>156</v>
      </c>
      <c r="B222" s="32">
        <v>2</v>
      </c>
      <c r="C222" s="32">
        <v>21</v>
      </c>
      <c r="D222" s="32">
        <v>3</v>
      </c>
      <c r="E222" s="32">
        <v>9</v>
      </c>
      <c r="F222" s="2">
        <v>55.2</v>
      </c>
      <c r="G222">
        <v>41.146311171110362</v>
      </c>
      <c r="H222" s="59" t="s">
        <v>12</v>
      </c>
      <c r="I222" t="s">
        <v>12</v>
      </c>
      <c r="AD222" s="17">
        <v>220</v>
      </c>
      <c r="AE222" s="6">
        <v>3.0401899999999999</v>
      </c>
      <c r="AF222" s="19">
        <v>-3.9230000000000001E-2</v>
      </c>
      <c r="AG222" s="6">
        <v>2.9274</v>
      </c>
      <c r="AH222" s="6">
        <v>255</v>
      </c>
      <c r="AJ222" s="17">
        <v>220</v>
      </c>
      <c r="AK222" s="6">
        <v>5.7648599999999997</v>
      </c>
      <c r="AL222" s="19">
        <v>-3.9230000000000001E-2</v>
      </c>
      <c r="AM222" s="6">
        <v>2.9274</v>
      </c>
      <c r="AN222" s="6">
        <v>255</v>
      </c>
      <c r="AQ222" s="17">
        <v>220</v>
      </c>
      <c r="AR222" s="6">
        <v>1.5897399999999999</v>
      </c>
      <c r="AS222" s="19">
        <v>-0.46439999999999998</v>
      </c>
      <c r="AT222" s="6">
        <v>0.80730000000000002</v>
      </c>
      <c r="AU222" s="6">
        <v>255</v>
      </c>
      <c r="AW222" s="17">
        <v>220</v>
      </c>
      <c r="AX222" s="6">
        <v>0.83838000000000001</v>
      </c>
      <c r="AY222" s="19">
        <v>-0.46439999999999998</v>
      </c>
      <c r="AZ222" s="6">
        <v>0.80730000000000002</v>
      </c>
      <c r="BA222" s="6">
        <v>255</v>
      </c>
      <c r="BN222" s="17">
        <v>220</v>
      </c>
      <c r="BO222" s="6" t="s">
        <v>12</v>
      </c>
      <c r="BP222" s="6">
        <v>44.711659079999997</v>
      </c>
      <c r="BQ222" s="6" t="s">
        <v>12</v>
      </c>
    </row>
    <row r="223" spans="1:69" x14ac:dyDescent="0.25">
      <c r="A223" s="31" t="s">
        <v>156</v>
      </c>
      <c r="B223" s="32">
        <v>3</v>
      </c>
      <c r="C223" s="32">
        <v>22</v>
      </c>
      <c r="D223" s="32">
        <v>5</v>
      </c>
      <c r="E223" s="32">
        <v>9</v>
      </c>
      <c r="F223" s="2">
        <v>52.9</v>
      </c>
      <c r="G223">
        <v>41.801239481574619</v>
      </c>
      <c r="H223" s="59" t="s">
        <v>12</v>
      </c>
      <c r="I223" t="s">
        <v>12</v>
      </c>
      <c r="AD223" s="17">
        <v>221</v>
      </c>
      <c r="AE223" s="6">
        <v>3.0575899999999998</v>
      </c>
      <c r="AF223" s="6">
        <v>2.4380999999999999</v>
      </c>
      <c r="AG223" s="6">
        <v>2.9441000000000002</v>
      </c>
      <c r="AH223" s="6">
        <v>255</v>
      </c>
      <c r="AJ223" s="17">
        <v>221</v>
      </c>
      <c r="AK223" s="6">
        <v>5.79786</v>
      </c>
      <c r="AL223" s="6">
        <v>2.4380999999999999</v>
      </c>
      <c r="AM223" s="6">
        <v>2.9441000000000002</v>
      </c>
      <c r="AN223" s="6">
        <v>255</v>
      </c>
      <c r="AQ223" s="17">
        <v>221</v>
      </c>
      <c r="AR223" s="6">
        <v>1.59544</v>
      </c>
      <c r="AS223" s="6">
        <v>5.9490000000000001E-2</v>
      </c>
      <c r="AT223" s="6">
        <v>0.81010000000000004</v>
      </c>
      <c r="AU223" s="6">
        <v>255</v>
      </c>
      <c r="AW223" s="17">
        <v>221</v>
      </c>
      <c r="AX223" s="6">
        <v>0.84138000000000002</v>
      </c>
      <c r="AY223" s="6">
        <v>5.9490000000000001E-2</v>
      </c>
      <c r="AZ223" s="6">
        <v>0.81010000000000004</v>
      </c>
      <c r="BA223" s="6">
        <v>255</v>
      </c>
      <c r="BN223" s="17">
        <v>221</v>
      </c>
      <c r="BO223" s="6">
        <v>41.146311169999997</v>
      </c>
      <c r="BP223" s="6">
        <v>42.146906549999997</v>
      </c>
      <c r="BQ223" s="19">
        <v>-1.00059538</v>
      </c>
    </row>
    <row r="224" spans="1:69" x14ac:dyDescent="0.25">
      <c r="A224" s="31" t="s">
        <v>156</v>
      </c>
      <c r="B224" s="32">
        <v>1</v>
      </c>
      <c r="C224" s="32">
        <v>4</v>
      </c>
      <c r="D224" s="32">
        <v>2</v>
      </c>
      <c r="E224" s="32">
        <v>3</v>
      </c>
      <c r="F224" s="2">
        <v>55.3</v>
      </c>
      <c r="G224">
        <v>42.897765741367635</v>
      </c>
      <c r="H224" s="59">
        <v>16.2</v>
      </c>
      <c r="I224">
        <v>1</v>
      </c>
      <c r="AD224" s="17">
        <v>222</v>
      </c>
      <c r="AE224" s="6">
        <v>3.04142</v>
      </c>
      <c r="AF224" s="6">
        <v>0.51880000000000004</v>
      </c>
      <c r="AG224" s="6">
        <v>2.9285000000000001</v>
      </c>
      <c r="AH224" s="6">
        <v>255</v>
      </c>
      <c r="AJ224" s="17">
        <v>222</v>
      </c>
      <c r="AK224" s="6">
        <v>5.7671999999999999</v>
      </c>
      <c r="AL224" s="6">
        <v>0.51880000000000004</v>
      </c>
      <c r="AM224" s="6">
        <v>2.9285000000000001</v>
      </c>
      <c r="AN224" s="6">
        <v>255</v>
      </c>
      <c r="AQ224" s="17">
        <v>222</v>
      </c>
      <c r="AR224" s="6">
        <v>1.5895300000000001</v>
      </c>
      <c r="AS224" s="19">
        <v>-1.1232</v>
      </c>
      <c r="AT224" s="6">
        <v>0.80720000000000003</v>
      </c>
      <c r="AU224" s="6">
        <v>255</v>
      </c>
      <c r="AW224" s="17">
        <v>222</v>
      </c>
      <c r="AX224" s="6">
        <v>0.83826000000000001</v>
      </c>
      <c r="AY224" s="19">
        <v>-1.1232</v>
      </c>
      <c r="AZ224" s="6">
        <v>0.80720000000000003</v>
      </c>
      <c r="BA224" s="6">
        <v>255</v>
      </c>
      <c r="BN224" s="17">
        <v>222</v>
      </c>
      <c r="BO224" s="6">
        <v>41.80123948</v>
      </c>
      <c r="BP224" s="6">
        <v>40.8006441</v>
      </c>
      <c r="BQ224" s="6">
        <v>1.00059538</v>
      </c>
    </row>
    <row r="225" spans="1:69" x14ac:dyDescent="0.25">
      <c r="A225" s="31" t="s">
        <v>156</v>
      </c>
      <c r="B225" s="32">
        <v>2</v>
      </c>
      <c r="C225" s="32">
        <v>24</v>
      </c>
      <c r="D225" s="32">
        <v>4</v>
      </c>
      <c r="E225" s="32">
        <v>3</v>
      </c>
      <c r="F225" s="2">
        <v>58.1</v>
      </c>
      <c r="G225">
        <v>51.570390674535432</v>
      </c>
      <c r="H225" s="59" t="s">
        <v>12</v>
      </c>
      <c r="I225" t="s">
        <v>12</v>
      </c>
      <c r="AD225" s="17">
        <v>223</v>
      </c>
      <c r="AE225" s="6">
        <v>3.0467499999999998</v>
      </c>
      <c r="AF225" s="6">
        <v>1.8298000000000001</v>
      </c>
      <c r="AG225" s="6">
        <v>2.9337</v>
      </c>
      <c r="AH225" s="6">
        <v>255</v>
      </c>
      <c r="AJ225" s="17">
        <v>223</v>
      </c>
      <c r="AK225" s="6">
        <v>5.7773199999999996</v>
      </c>
      <c r="AL225" s="6">
        <v>1.8298000000000001</v>
      </c>
      <c r="AM225" s="6">
        <v>2.9337</v>
      </c>
      <c r="AN225" s="6">
        <v>255</v>
      </c>
      <c r="AQ225" s="17">
        <v>223</v>
      </c>
      <c r="AR225" s="6">
        <v>1.5919300000000001</v>
      </c>
      <c r="AS225" s="19">
        <v>-1.3115000000000001</v>
      </c>
      <c r="AT225" s="6">
        <v>0.80840000000000001</v>
      </c>
      <c r="AU225" s="6">
        <v>255</v>
      </c>
      <c r="AW225" s="17">
        <v>223</v>
      </c>
      <c r="AX225" s="6">
        <v>0.83953</v>
      </c>
      <c r="AY225" s="19">
        <v>-1.3115000000000001</v>
      </c>
      <c r="AZ225" s="6">
        <v>0.80840000000000001</v>
      </c>
      <c r="BA225" s="6">
        <v>255</v>
      </c>
      <c r="BN225" s="17">
        <v>223</v>
      </c>
      <c r="BO225" s="6">
        <v>42.897765739999997</v>
      </c>
      <c r="BP225" s="6">
        <v>52.670617329999999</v>
      </c>
      <c r="BQ225" s="19">
        <v>-9.7728515900000001</v>
      </c>
    </row>
    <row r="226" spans="1:69" x14ac:dyDescent="0.25">
      <c r="A226" s="31" t="s">
        <v>156</v>
      </c>
      <c r="B226" s="32">
        <v>3</v>
      </c>
      <c r="C226" s="32">
        <v>17</v>
      </c>
      <c r="D226" s="32">
        <v>6</v>
      </c>
      <c r="E226" s="32">
        <v>3</v>
      </c>
      <c r="F226" s="2">
        <v>61.1</v>
      </c>
      <c r="G226">
        <v>57.067928066548056</v>
      </c>
      <c r="H226" s="61" t="s">
        <v>12</v>
      </c>
      <c r="I226" t="s">
        <v>12</v>
      </c>
      <c r="AD226" s="17">
        <v>224</v>
      </c>
      <c r="AE226" s="6">
        <v>3.03837</v>
      </c>
      <c r="AF226" s="6">
        <v>3.7235</v>
      </c>
      <c r="AG226" s="6">
        <v>2.9256000000000002</v>
      </c>
      <c r="AH226" s="6">
        <v>255</v>
      </c>
      <c r="AJ226" s="17">
        <v>224</v>
      </c>
      <c r="AK226" s="6">
        <v>5.7614200000000002</v>
      </c>
      <c r="AL226" s="6">
        <v>3.7235</v>
      </c>
      <c r="AM226" s="6">
        <v>2.9256000000000002</v>
      </c>
      <c r="AN226" s="6">
        <v>255</v>
      </c>
      <c r="AQ226" s="17">
        <v>224</v>
      </c>
      <c r="AR226" s="6">
        <v>1.5894900000000001</v>
      </c>
      <c r="AS226" s="19">
        <v>-0.38200000000000001</v>
      </c>
      <c r="AT226" s="6">
        <v>0.80710000000000004</v>
      </c>
      <c r="AU226" s="6">
        <v>255</v>
      </c>
      <c r="AW226" s="17">
        <v>224</v>
      </c>
      <c r="AX226" s="6">
        <v>0.83823999999999999</v>
      </c>
      <c r="AY226" s="19">
        <v>-0.38200000000000001</v>
      </c>
      <c r="AZ226" s="6">
        <v>0.80710000000000004</v>
      </c>
      <c r="BA226" s="6">
        <v>255</v>
      </c>
      <c r="BN226" s="17">
        <v>224</v>
      </c>
      <c r="BO226" s="6">
        <v>51.570390670000002</v>
      </c>
      <c r="BP226" s="6">
        <v>50.105864799999999</v>
      </c>
      <c r="BQ226" s="6">
        <v>1.4645258699999999</v>
      </c>
    </row>
    <row r="227" spans="1:69" x14ac:dyDescent="0.25">
      <c r="A227" s="31" t="s">
        <v>156</v>
      </c>
      <c r="B227" s="32">
        <v>1</v>
      </c>
      <c r="C227" s="32">
        <v>20</v>
      </c>
      <c r="D227" s="32">
        <v>2</v>
      </c>
      <c r="E227" s="32">
        <v>10</v>
      </c>
      <c r="F227" s="2">
        <v>57.5</v>
      </c>
      <c r="G227">
        <v>49.524541735177479</v>
      </c>
      <c r="H227" s="59">
        <v>15.8</v>
      </c>
      <c r="I227">
        <v>2</v>
      </c>
      <c r="AD227" s="17">
        <v>225</v>
      </c>
      <c r="AE227" s="6">
        <v>3.0427</v>
      </c>
      <c r="AF227" s="19">
        <v>-2.4262999999999999</v>
      </c>
      <c r="AG227" s="6">
        <v>2.9298000000000002</v>
      </c>
      <c r="AH227" s="6">
        <v>255</v>
      </c>
      <c r="AJ227" s="17">
        <v>225</v>
      </c>
      <c r="AK227" s="6">
        <v>5.7696300000000003</v>
      </c>
      <c r="AL227" s="19">
        <v>-2.4262999999999999</v>
      </c>
      <c r="AM227" s="6">
        <v>2.9298000000000002</v>
      </c>
      <c r="AN227" s="6">
        <v>255</v>
      </c>
      <c r="AQ227" s="17">
        <v>225</v>
      </c>
      <c r="AR227" s="6">
        <v>1.59345</v>
      </c>
      <c r="AS227" s="19">
        <v>-2.7465000000000002</v>
      </c>
      <c r="AT227" s="6">
        <v>0.80910000000000004</v>
      </c>
      <c r="AU227" s="6">
        <v>255</v>
      </c>
      <c r="AW227" s="17">
        <v>225</v>
      </c>
      <c r="AX227" s="6">
        <v>0.84033000000000002</v>
      </c>
      <c r="AY227" s="19">
        <v>-2.7465000000000002</v>
      </c>
      <c r="AZ227" s="6">
        <v>0.80910000000000004</v>
      </c>
      <c r="BA227" s="6">
        <v>255</v>
      </c>
      <c r="BN227" s="17">
        <v>225</v>
      </c>
      <c r="BO227" s="6">
        <v>57.067928070000001</v>
      </c>
      <c r="BP227" s="6">
        <v>48.759602350000002</v>
      </c>
      <c r="BQ227" s="6">
        <v>8.3083257199999991</v>
      </c>
    </row>
    <row r="228" spans="1:69" x14ac:dyDescent="0.25">
      <c r="A228" s="31" t="s">
        <v>156</v>
      </c>
      <c r="B228" s="32">
        <v>2</v>
      </c>
      <c r="C228" s="32">
        <v>2</v>
      </c>
      <c r="D228" s="32">
        <v>3</v>
      </c>
      <c r="E228" s="32">
        <v>10</v>
      </c>
      <c r="F228" s="2">
        <v>49.9</v>
      </c>
      <c r="G228">
        <v>35.708074731208711</v>
      </c>
      <c r="H228" s="59" t="s">
        <v>12</v>
      </c>
      <c r="I228" t="s">
        <v>12</v>
      </c>
      <c r="AD228" s="17">
        <v>226</v>
      </c>
      <c r="AE228" s="6">
        <v>3.0372499999999998</v>
      </c>
      <c r="AF228" s="6">
        <v>0.6986</v>
      </c>
      <c r="AG228" s="6">
        <v>2.9245000000000001</v>
      </c>
      <c r="AH228" s="6">
        <v>255</v>
      </c>
      <c r="AJ228" s="17">
        <v>226</v>
      </c>
      <c r="AK228" s="6">
        <v>5.75929</v>
      </c>
      <c r="AL228" s="6">
        <v>0.6986</v>
      </c>
      <c r="AM228" s="6">
        <v>2.9245000000000001</v>
      </c>
      <c r="AN228" s="6">
        <v>255</v>
      </c>
      <c r="AQ228" s="17">
        <v>226</v>
      </c>
      <c r="AR228" s="6">
        <v>1.5829299999999999</v>
      </c>
      <c r="AS228" s="19">
        <v>-0.37330000000000002</v>
      </c>
      <c r="AT228" s="6">
        <v>0.80379999999999996</v>
      </c>
      <c r="AU228" s="6">
        <v>255</v>
      </c>
      <c r="AW228" s="17">
        <v>226</v>
      </c>
      <c r="AX228" s="6">
        <v>0.83477999999999997</v>
      </c>
      <c r="AY228" s="19">
        <v>-0.37330000000000002</v>
      </c>
      <c r="AZ228" s="6">
        <v>0.80379999999999996</v>
      </c>
      <c r="BA228" s="6">
        <v>255</v>
      </c>
      <c r="BN228" s="17">
        <v>226</v>
      </c>
      <c r="BO228" s="6">
        <v>49.524541739999997</v>
      </c>
      <c r="BP228" s="6">
        <v>41.071100020000003</v>
      </c>
      <c r="BQ228" s="6">
        <v>8.4534417200000007</v>
      </c>
    </row>
    <row r="229" spans="1:69" x14ac:dyDescent="0.25">
      <c r="A229" s="31" t="s">
        <v>156</v>
      </c>
      <c r="B229" s="32">
        <v>3</v>
      </c>
      <c r="C229" s="32">
        <v>25</v>
      </c>
      <c r="D229" s="32">
        <v>6</v>
      </c>
      <c r="E229" s="32">
        <v>10</v>
      </c>
      <c r="F229" s="2">
        <v>51.1</v>
      </c>
      <c r="G229">
        <v>31.504916093667351</v>
      </c>
      <c r="H229" s="59" t="s">
        <v>12</v>
      </c>
      <c r="I229" t="s">
        <v>12</v>
      </c>
      <c r="AD229" s="17">
        <v>227</v>
      </c>
      <c r="AE229" s="6">
        <v>3.0540799999999999</v>
      </c>
      <c r="AF229" s="6">
        <v>3.0163000000000002</v>
      </c>
      <c r="AG229" s="6">
        <v>2.9407000000000001</v>
      </c>
      <c r="AH229" s="6">
        <v>255</v>
      </c>
      <c r="AJ229" s="17">
        <v>227</v>
      </c>
      <c r="AK229" s="6">
        <v>5.79122</v>
      </c>
      <c r="AL229" s="6">
        <v>3.0163000000000002</v>
      </c>
      <c r="AM229" s="6">
        <v>2.9407000000000001</v>
      </c>
      <c r="AN229" s="6">
        <v>255</v>
      </c>
      <c r="AQ229" s="17">
        <v>227</v>
      </c>
      <c r="AR229" s="6">
        <v>1.60022</v>
      </c>
      <c r="AS229" s="19">
        <v>-0.64070000000000005</v>
      </c>
      <c r="AT229" s="6">
        <v>0.81259999999999999</v>
      </c>
      <c r="AU229" s="6">
        <v>255</v>
      </c>
      <c r="AW229" s="17">
        <v>227</v>
      </c>
      <c r="AX229" s="6">
        <v>0.84389999999999998</v>
      </c>
      <c r="AY229" s="19">
        <v>-0.64070000000000005</v>
      </c>
      <c r="AZ229" s="6">
        <v>0.81259999999999999</v>
      </c>
      <c r="BA229" s="6">
        <v>255</v>
      </c>
      <c r="BN229" s="17">
        <v>227</v>
      </c>
      <c r="BO229" s="6">
        <v>35.70807473</v>
      </c>
      <c r="BP229" s="6">
        <v>38.506347490000003</v>
      </c>
      <c r="BQ229" s="19">
        <v>-2.7982727600000001</v>
      </c>
    </row>
    <row r="230" spans="1:69" x14ac:dyDescent="0.25">
      <c r="A230" s="31" t="s">
        <v>156</v>
      </c>
      <c r="B230" s="32">
        <v>1</v>
      </c>
      <c r="C230" s="32">
        <v>20</v>
      </c>
      <c r="D230" s="32">
        <v>1</v>
      </c>
      <c r="E230" s="32">
        <v>4</v>
      </c>
      <c r="F230" s="2">
        <v>54.1</v>
      </c>
      <c r="G230">
        <v>46.872975025312179</v>
      </c>
      <c r="H230" s="59">
        <v>15.1</v>
      </c>
      <c r="I230">
        <v>0</v>
      </c>
      <c r="AD230" s="17">
        <v>228</v>
      </c>
      <c r="AE230" s="6">
        <v>3.0375399999999999</v>
      </c>
      <c r="AF230" s="6">
        <v>2.8932000000000002</v>
      </c>
      <c r="AG230" s="6">
        <v>2.9247999999999998</v>
      </c>
      <c r="AH230" s="6">
        <v>255</v>
      </c>
      <c r="AJ230" s="17">
        <v>228</v>
      </c>
      <c r="AK230" s="6">
        <v>5.7598500000000001</v>
      </c>
      <c r="AL230" s="6">
        <v>2.8932000000000002</v>
      </c>
      <c r="AM230" s="6">
        <v>2.9247999999999998</v>
      </c>
      <c r="AN230" s="6">
        <v>255</v>
      </c>
      <c r="AQ230" s="17">
        <v>228</v>
      </c>
      <c r="AR230" s="6">
        <v>1.59358</v>
      </c>
      <c r="AS230" s="19">
        <v>-0.38829999999999998</v>
      </c>
      <c r="AT230" s="6">
        <v>0.80920000000000003</v>
      </c>
      <c r="AU230" s="6">
        <v>255</v>
      </c>
      <c r="AW230" s="17">
        <v>228</v>
      </c>
      <c r="AX230" s="6">
        <v>0.84040000000000004</v>
      </c>
      <c r="AY230" s="19">
        <v>-0.38829999999999998</v>
      </c>
      <c r="AZ230" s="6">
        <v>0.80920000000000003</v>
      </c>
      <c r="BA230" s="6">
        <v>255</v>
      </c>
      <c r="BN230" s="17">
        <v>228</v>
      </c>
      <c r="BO230" s="6">
        <v>31.504916089999998</v>
      </c>
      <c r="BP230" s="6">
        <v>37.160085049999999</v>
      </c>
      <c r="BQ230" s="19">
        <v>-5.6551689600000001</v>
      </c>
    </row>
    <row r="231" spans="1:69" x14ac:dyDescent="0.25">
      <c r="A231" s="31" t="s">
        <v>156</v>
      </c>
      <c r="B231" s="32">
        <v>2</v>
      </c>
      <c r="C231" s="32">
        <v>18</v>
      </c>
      <c r="D231" s="32">
        <v>4</v>
      </c>
      <c r="E231" s="32">
        <v>4</v>
      </c>
      <c r="F231" s="2">
        <v>53.5</v>
      </c>
      <c r="G231">
        <v>39.410816953616539</v>
      </c>
      <c r="H231" s="61" t="s">
        <v>12</v>
      </c>
      <c r="I231" t="s">
        <v>12</v>
      </c>
      <c r="AD231" s="17">
        <v>229</v>
      </c>
      <c r="AE231" s="6">
        <v>3.0614499999999998</v>
      </c>
      <c r="AF231" s="19">
        <v>-0.59350000000000003</v>
      </c>
      <c r="AG231" s="6">
        <v>2.9478</v>
      </c>
      <c r="AH231" s="6">
        <v>255</v>
      </c>
      <c r="AJ231" s="17">
        <v>229</v>
      </c>
      <c r="AK231" s="6">
        <v>5.8051899999999996</v>
      </c>
      <c r="AL231" s="19">
        <v>-0.59350000000000003</v>
      </c>
      <c r="AM231" s="6">
        <v>2.9478</v>
      </c>
      <c r="AN231" s="6">
        <v>255</v>
      </c>
      <c r="AQ231" s="17">
        <v>229</v>
      </c>
      <c r="AR231" s="6">
        <v>1.59412</v>
      </c>
      <c r="AS231" s="19">
        <v>-1.7692000000000001</v>
      </c>
      <c r="AT231" s="6">
        <v>0.8095</v>
      </c>
      <c r="AU231" s="6">
        <v>255</v>
      </c>
      <c r="AW231" s="17">
        <v>229</v>
      </c>
      <c r="AX231" s="6">
        <v>0.84067999999999998</v>
      </c>
      <c r="AY231" s="19">
        <v>-1.7692000000000001</v>
      </c>
      <c r="AZ231" s="6">
        <v>0.8095</v>
      </c>
      <c r="BA231" s="6">
        <v>255</v>
      </c>
      <c r="BN231" s="17">
        <v>229</v>
      </c>
      <c r="BO231" s="6">
        <v>46.872975029999999</v>
      </c>
      <c r="BP231" s="6">
        <v>45.040165520000002</v>
      </c>
      <c r="BQ231" s="6">
        <v>1.8328095099999999</v>
      </c>
    </row>
    <row r="232" spans="1:69" x14ac:dyDescent="0.25">
      <c r="A232" s="31" t="s">
        <v>156</v>
      </c>
      <c r="B232" s="32">
        <v>3</v>
      </c>
      <c r="C232" s="32">
        <v>14</v>
      </c>
      <c r="D232" s="32">
        <v>6</v>
      </c>
      <c r="E232" s="32">
        <v>4</v>
      </c>
      <c r="F232" s="2">
        <v>52.7</v>
      </c>
      <c r="G232">
        <v>42.360937058229531</v>
      </c>
      <c r="H232" s="61" t="s">
        <v>12</v>
      </c>
      <c r="I232" t="s">
        <v>12</v>
      </c>
      <c r="AD232" s="17">
        <v>230</v>
      </c>
      <c r="AE232" s="6">
        <v>3.0434000000000001</v>
      </c>
      <c r="AF232" s="6">
        <v>0.59419999999999995</v>
      </c>
      <c r="AG232" s="6">
        <v>2.9304000000000001</v>
      </c>
      <c r="AH232" s="6">
        <v>255</v>
      </c>
      <c r="AJ232" s="17">
        <v>230</v>
      </c>
      <c r="AK232" s="6">
        <v>5.7709599999999996</v>
      </c>
      <c r="AL232" s="6">
        <v>0.59419999999999995</v>
      </c>
      <c r="AM232" s="6">
        <v>2.9304000000000001</v>
      </c>
      <c r="AN232" s="6">
        <v>255</v>
      </c>
      <c r="AQ232" s="17">
        <v>230</v>
      </c>
      <c r="AR232" s="6">
        <v>1.5876999999999999</v>
      </c>
      <c r="AS232" s="19">
        <v>-1.4059999999999999</v>
      </c>
      <c r="AT232" s="6">
        <v>0.80620000000000003</v>
      </c>
      <c r="AU232" s="6">
        <v>255</v>
      </c>
      <c r="AW232" s="17">
        <v>230</v>
      </c>
      <c r="AX232" s="6">
        <v>0.83730000000000004</v>
      </c>
      <c r="AY232" s="19">
        <v>-1.4059999999999999</v>
      </c>
      <c r="AZ232" s="6">
        <v>0.80620000000000003</v>
      </c>
      <c r="BA232" s="6">
        <v>255</v>
      </c>
      <c r="BN232" s="17">
        <v>230</v>
      </c>
      <c r="BO232" s="6">
        <v>39.410816949999997</v>
      </c>
      <c r="BP232" s="6">
        <v>42.475412990000002</v>
      </c>
      <c r="BQ232" s="19">
        <v>-3.0645960400000001</v>
      </c>
    </row>
    <row r="233" spans="1:69" x14ac:dyDescent="0.25">
      <c r="A233" s="31" t="s">
        <v>156</v>
      </c>
      <c r="B233" s="32">
        <v>1</v>
      </c>
      <c r="C233" s="32">
        <v>15</v>
      </c>
      <c r="D233" s="32">
        <v>2</v>
      </c>
      <c r="E233" s="32">
        <v>5</v>
      </c>
      <c r="F233" s="2">
        <v>54.3</v>
      </c>
      <c r="G233">
        <v>44.928228068478568</v>
      </c>
      <c r="H233" s="59">
        <v>15.8</v>
      </c>
      <c r="I233">
        <v>1</v>
      </c>
      <c r="AD233" s="17">
        <v>231</v>
      </c>
      <c r="AE233" s="6">
        <v>3.03308</v>
      </c>
      <c r="AF233" s="6">
        <v>1.1672</v>
      </c>
      <c r="AG233" s="6">
        <v>2.9205000000000001</v>
      </c>
      <c r="AH233" s="6">
        <v>255</v>
      </c>
      <c r="AJ233" s="17">
        <v>231</v>
      </c>
      <c r="AK233" s="6">
        <v>5.7513800000000002</v>
      </c>
      <c r="AL233" s="6">
        <v>1.1672</v>
      </c>
      <c r="AM233" s="6">
        <v>2.9205000000000001</v>
      </c>
      <c r="AN233" s="6">
        <v>255</v>
      </c>
      <c r="AQ233" s="17">
        <v>231</v>
      </c>
      <c r="AR233" s="6">
        <v>1.5843700000000001</v>
      </c>
      <c r="AS233" s="19">
        <v>-0.87050000000000005</v>
      </c>
      <c r="AT233" s="6">
        <v>0.80449999999999999</v>
      </c>
      <c r="AU233" s="6">
        <v>255</v>
      </c>
      <c r="AW233" s="17">
        <v>231</v>
      </c>
      <c r="AX233" s="6">
        <v>0.83553999999999995</v>
      </c>
      <c r="AY233" s="19">
        <v>-0.87050000000000005</v>
      </c>
      <c r="AZ233" s="6">
        <v>0.80449999999999999</v>
      </c>
      <c r="BA233" s="6">
        <v>255</v>
      </c>
      <c r="BN233" s="17">
        <v>231</v>
      </c>
      <c r="BO233" s="6">
        <v>42.360937059999998</v>
      </c>
      <c r="BP233" s="6">
        <v>41.129150539999998</v>
      </c>
      <c r="BQ233" s="6">
        <v>1.23178652</v>
      </c>
    </row>
    <row r="234" spans="1:69" x14ac:dyDescent="0.25">
      <c r="A234" s="31" t="s">
        <v>156</v>
      </c>
      <c r="B234" s="32">
        <v>2</v>
      </c>
      <c r="C234" s="32">
        <v>14</v>
      </c>
      <c r="D234" s="32">
        <v>3</v>
      </c>
      <c r="E234" s="32">
        <v>5</v>
      </c>
      <c r="F234" s="2">
        <v>54.8</v>
      </c>
      <c r="G234">
        <v>47.063495492020635</v>
      </c>
      <c r="H234" s="59" t="s">
        <v>12</v>
      </c>
      <c r="I234" t="s">
        <v>12</v>
      </c>
      <c r="AD234" s="17">
        <v>232</v>
      </c>
      <c r="AE234" s="6">
        <v>3.0413399999999999</v>
      </c>
      <c r="AF234" s="6">
        <v>1.1903999999999999</v>
      </c>
      <c r="AG234" s="6">
        <v>2.9285000000000001</v>
      </c>
      <c r="AH234" s="6">
        <v>255</v>
      </c>
      <c r="AJ234" s="17">
        <v>232</v>
      </c>
      <c r="AK234" s="6">
        <v>5.7670500000000002</v>
      </c>
      <c r="AL234" s="6">
        <v>1.1903999999999999</v>
      </c>
      <c r="AM234" s="6">
        <v>2.9285000000000001</v>
      </c>
      <c r="AN234" s="6">
        <v>255</v>
      </c>
      <c r="AQ234" s="17">
        <v>232</v>
      </c>
      <c r="AR234" s="6">
        <v>1.58948</v>
      </c>
      <c r="AS234" s="19">
        <v>-0.40629999999999999</v>
      </c>
      <c r="AT234" s="6">
        <v>0.80710000000000004</v>
      </c>
      <c r="AU234" s="6">
        <v>255</v>
      </c>
      <c r="AW234" s="17">
        <v>232</v>
      </c>
      <c r="AX234" s="6">
        <v>0.83823999999999999</v>
      </c>
      <c r="AY234" s="19">
        <v>-0.40629999999999999</v>
      </c>
      <c r="AZ234" s="6">
        <v>0.80710000000000004</v>
      </c>
      <c r="BA234" s="6">
        <v>255</v>
      </c>
      <c r="BN234" s="17">
        <v>232</v>
      </c>
      <c r="BO234" s="6">
        <v>44.928228070000003</v>
      </c>
      <c r="BP234" s="6">
        <v>48.385542649999998</v>
      </c>
      <c r="BQ234" s="19">
        <v>-3.4573145799999998</v>
      </c>
    </row>
    <row r="235" spans="1:69" x14ac:dyDescent="0.25">
      <c r="A235" s="31" t="s">
        <v>156</v>
      </c>
      <c r="B235" s="32">
        <v>3</v>
      </c>
      <c r="C235" s="32">
        <v>8</v>
      </c>
      <c r="D235" s="32">
        <v>6</v>
      </c>
      <c r="E235" s="32">
        <v>5</v>
      </c>
      <c r="F235" s="2">
        <v>53</v>
      </c>
      <c r="G235">
        <v>46.689136894744422</v>
      </c>
      <c r="H235" s="61" t="s">
        <v>12</v>
      </c>
      <c r="I235" t="s">
        <v>12</v>
      </c>
      <c r="AD235" s="17">
        <v>233</v>
      </c>
      <c r="AE235" s="6">
        <v>3.0588099999999998</v>
      </c>
      <c r="AF235" s="6">
        <v>0.20799999999999999</v>
      </c>
      <c r="AG235" s="6">
        <v>2.9453</v>
      </c>
      <c r="AH235" s="6">
        <v>255</v>
      </c>
      <c r="AJ235" s="17">
        <v>233</v>
      </c>
      <c r="AK235" s="6">
        <v>5.8001699999999996</v>
      </c>
      <c r="AL235" s="6">
        <v>0.20799999999999999</v>
      </c>
      <c r="AM235" s="6">
        <v>2.9453</v>
      </c>
      <c r="AN235" s="6">
        <v>255</v>
      </c>
      <c r="AQ235" s="17">
        <v>233</v>
      </c>
      <c r="AR235" s="6">
        <v>1.5949899999999999</v>
      </c>
      <c r="AS235" s="19">
        <v>-1.5207999999999999</v>
      </c>
      <c r="AT235" s="6">
        <v>0.80989999999999995</v>
      </c>
      <c r="AU235" s="6">
        <v>255</v>
      </c>
      <c r="AW235" s="17">
        <v>233</v>
      </c>
      <c r="AX235" s="6">
        <v>0.84114</v>
      </c>
      <c r="AY235" s="19">
        <v>-1.5207999999999999</v>
      </c>
      <c r="AZ235" s="6">
        <v>0.80989999999999995</v>
      </c>
      <c r="BA235" s="6">
        <v>255</v>
      </c>
      <c r="BN235" s="17">
        <v>233</v>
      </c>
      <c r="BO235" s="6">
        <v>47.063495490000001</v>
      </c>
      <c r="BP235" s="6">
        <v>45.820790119999998</v>
      </c>
      <c r="BQ235" s="6">
        <v>1.2427053699999999</v>
      </c>
    </row>
    <row r="236" spans="1:69" x14ac:dyDescent="0.25">
      <c r="A236" s="31" t="s">
        <v>156</v>
      </c>
      <c r="B236" s="32">
        <v>1</v>
      </c>
      <c r="C236" s="32">
        <v>8</v>
      </c>
      <c r="D236" s="32">
        <v>2</v>
      </c>
      <c r="E236" s="32">
        <v>19</v>
      </c>
      <c r="F236" s="2">
        <v>54.5</v>
      </c>
      <c r="G236">
        <v>53.879545894187061</v>
      </c>
      <c r="H236" s="59">
        <v>14.5</v>
      </c>
      <c r="I236">
        <v>1</v>
      </c>
      <c r="AD236" s="17">
        <v>234</v>
      </c>
      <c r="AE236" s="6">
        <v>3.0394199999999998</v>
      </c>
      <c r="AF236" s="6">
        <v>7.7977999999999996</v>
      </c>
      <c r="AG236" s="6">
        <v>2.9266000000000001</v>
      </c>
      <c r="AH236" s="6">
        <v>255</v>
      </c>
      <c r="AJ236" s="17">
        <v>234</v>
      </c>
      <c r="AK236" s="6">
        <v>5.7633999999999999</v>
      </c>
      <c r="AL236" s="6">
        <v>7.7977999999999996</v>
      </c>
      <c r="AM236" s="6">
        <v>2.9266000000000001</v>
      </c>
      <c r="AN236" s="6">
        <v>255</v>
      </c>
      <c r="AQ236" s="17">
        <v>234</v>
      </c>
      <c r="AR236" s="6">
        <v>1.59724</v>
      </c>
      <c r="AS236" s="19">
        <v>-0.14530000000000001</v>
      </c>
      <c r="AT236" s="6">
        <v>0.81110000000000004</v>
      </c>
      <c r="AU236" s="6">
        <v>255</v>
      </c>
      <c r="AW236" s="17">
        <v>234</v>
      </c>
      <c r="AX236" s="6">
        <v>0.84233000000000002</v>
      </c>
      <c r="AY236" s="19">
        <v>-0.14530000000000001</v>
      </c>
      <c r="AZ236" s="6">
        <v>0.81110000000000004</v>
      </c>
      <c r="BA236" s="6">
        <v>255</v>
      </c>
      <c r="BN236" s="17">
        <v>234</v>
      </c>
      <c r="BO236" s="6">
        <v>46.68913689</v>
      </c>
      <c r="BP236" s="6">
        <v>44.474527680000001</v>
      </c>
      <c r="BQ236" s="6">
        <v>2.2146092099999999</v>
      </c>
    </row>
    <row r="237" spans="1:69" x14ac:dyDescent="0.25">
      <c r="A237" s="31" t="s">
        <v>156</v>
      </c>
      <c r="B237" s="32">
        <v>2</v>
      </c>
      <c r="C237" s="32">
        <v>10</v>
      </c>
      <c r="D237" s="32">
        <v>3</v>
      </c>
      <c r="E237" s="32">
        <v>19</v>
      </c>
      <c r="F237" s="2">
        <v>54.4</v>
      </c>
      <c r="G237">
        <v>47.034426980377035</v>
      </c>
      <c r="H237" s="61" t="s">
        <v>12</v>
      </c>
      <c r="I237" t="s">
        <v>12</v>
      </c>
      <c r="AD237" s="17">
        <v>235</v>
      </c>
      <c r="AE237" s="6">
        <v>3.03416</v>
      </c>
      <c r="AF237" s="6">
        <v>1.7574000000000001</v>
      </c>
      <c r="AG237" s="6">
        <v>2.9215</v>
      </c>
      <c r="AH237" s="6">
        <v>255</v>
      </c>
      <c r="AJ237" s="17">
        <v>235</v>
      </c>
      <c r="AK237" s="6">
        <v>5.7534299999999998</v>
      </c>
      <c r="AL237" s="6">
        <v>1.7574000000000001</v>
      </c>
      <c r="AM237" s="6">
        <v>2.9215</v>
      </c>
      <c r="AN237" s="6">
        <v>255</v>
      </c>
      <c r="AQ237" s="17">
        <v>235</v>
      </c>
      <c r="AR237" s="6">
        <v>1.5863100000000001</v>
      </c>
      <c r="AS237" s="19">
        <v>-1.5146999999999999</v>
      </c>
      <c r="AT237" s="6">
        <v>0.80549999999999999</v>
      </c>
      <c r="AU237" s="6">
        <v>255</v>
      </c>
      <c r="AW237" s="17">
        <v>235</v>
      </c>
      <c r="AX237" s="6">
        <v>0.83655999999999997</v>
      </c>
      <c r="AY237" s="19">
        <v>-1.5146999999999999</v>
      </c>
      <c r="AZ237" s="6">
        <v>0.80549999999999999</v>
      </c>
      <c r="BA237" s="6">
        <v>255</v>
      </c>
      <c r="BN237" s="17">
        <v>235</v>
      </c>
      <c r="BO237" s="6">
        <v>53.879545890000003</v>
      </c>
      <c r="BP237" s="6">
        <v>50.971946770000002</v>
      </c>
      <c r="BQ237" s="6">
        <v>2.90759912</v>
      </c>
    </row>
    <row r="238" spans="1:69" x14ac:dyDescent="0.25">
      <c r="A238" s="31" t="s">
        <v>156</v>
      </c>
      <c r="B238" s="32">
        <v>3</v>
      </c>
      <c r="C238" s="32">
        <v>22</v>
      </c>
      <c r="D238" s="32">
        <v>6</v>
      </c>
      <c r="E238" s="32">
        <v>19</v>
      </c>
      <c r="F238" s="2">
        <v>55.6</v>
      </c>
      <c r="G238">
        <v>45.52609991825743</v>
      </c>
      <c r="H238" s="59" t="s">
        <v>12</v>
      </c>
      <c r="I238" t="s">
        <v>12</v>
      </c>
      <c r="AD238" s="17">
        <v>236</v>
      </c>
      <c r="AE238" s="6">
        <v>3.056</v>
      </c>
      <c r="AF238" s="6">
        <v>10.5212</v>
      </c>
      <c r="AG238" s="6">
        <v>2.9426000000000001</v>
      </c>
      <c r="AH238" s="6">
        <v>255</v>
      </c>
      <c r="AJ238" s="17">
        <v>236</v>
      </c>
      <c r="AK238" s="6">
        <v>5.7948500000000003</v>
      </c>
      <c r="AL238" s="6">
        <v>10.5212</v>
      </c>
      <c r="AM238" s="6">
        <v>2.9426000000000001</v>
      </c>
      <c r="AN238" s="6">
        <v>255</v>
      </c>
      <c r="AQ238" s="17">
        <v>236</v>
      </c>
      <c r="AR238" s="6">
        <v>1.6014299999999999</v>
      </c>
      <c r="AS238" s="6">
        <v>0.9768</v>
      </c>
      <c r="AT238" s="6">
        <v>0.81320000000000003</v>
      </c>
      <c r="AU238" s="6">
        <v>255</v>
      </c>
      <c r="AW238" s="17">
        <v>236</v>
      </c>
      <c r="AX238" s="6">
        <v>0.84453999999999996</v>
      </c>
      <c r="AY238" s="6">
        <v>0.9768</v>
      </c>
      <c r="AZ238" s="6">
        <v>0.81320000000000003</v>
      </c>
      <c r="BA238" s="6">
        <v>255</v>
      </c>
      <c r="BN238" s="17">
        <v>236</v>
      </c>
      <c r="BO238" s="6">
        <v>47.034426979999999</v>
      </c>
      <c r="BP238" s="6">
        <v>48.407194240000003</v>
      </c>
      <c r="BQ238" s="19">
        <v>-1.37276726</v>
      </c>
    </row>
    <row r="239" spans="1:69" x14ac:dyDescent="0.25">
      <c r="A239" s="31" t="s">
        <v>156</v>
      </c>
      <c r="B239" s="32">
        <v>1</v>
      </c>
      <c r="C239" s="32">
        <v>7</v>
      </c>
      <c r="D239" s="32">
        <v>1</v>
      </c>
      <c r="E239" s="32">
        <v>6</v>
      </c>
      <c r="F239" s="2">
        <v>50</v>
      </c>
      <c r="G239">
        <v>24.670145123185957</v>
      </c>
      <c r="H239" s="59">
        <v>18.2</v>
      </c>
      <c r="I239">
        <v>1</v>
      </c>
      <c r="AD239" s="17">
        <v>237</v>
      </c>
      <c r="AE239" s="6">
        <v>3.0499399999999999</v>
      </c>
      <c r="AF239" s="6">
        <v>5.0909000000000004</v>
      </c>
      <c r="AG239" s="6">
        <v>2.9367000000000001</v>
      </c>
      <c r="AH239" s="6">
        <v>255</v>
      </c>
      <c r="AJ239" s="17">
        <v>237</v>
      </c>
      <c r="AK239" s="6">
        <v>5.7833600000000001</v>
      </c>
      <c r="AL239" s="6">
        <v>5.0909000000000004</v>
      </c>
      <c r="AM239" s="6">
        <v>2.9367000000000001</v>
      </c>
      <c r="AN239" s="6">
        <v>255</v>
      </c>
      <c r="AQ239" s="17">
        <v>237</v>
      </c>
      <c r="AR239" s="6">
        <v>1.5919099999999999</v>
      </c>
      <c r="AS239" s="19">
        <v>-0.36380000000000001</v>
      </c>
      <c r="AT239" s="6">
        <v>0.80840000000000001</v>
      </c>
      <c r="AU239" s="6">
        <v>255</v>
      </c>
      <c r="AW239" s="17">
        <v>237</v>
      </c>
      <c r="AX239" s="6">
        <v>0.83952000000000004</v>
      </c>
      <c r="AY239" s="19">
        <v>-0.36380000000000001</v>
      </c>
      <c r="AZ239" s="6">
        <v>0.80840000000000001</v>
      </c>
      <c r="BA239" s="6">
        <v>255</v>
      </c>
      <c r="BN239" s="17">
        <v>237</v>
      </c>
      <c r="BO239" s="6">
        <v>45.52609992</v>
      </c>
      <c r="BP239" s="6">
        <v>47.060931789999998</v>
      </c>
      <c r="BQ239" s="19">
        <v>-1.5348318700000001</v>
      </c>
    </row>
    <row r="240" spans="1:69" x14ac:dyDescent="0.25">
      <c r="A240" s="31" t="s">
        <v>156</v>
      </c>
      <c r="B240" s="32">
        <v>2</v>
      </c>
      <c r="C240" s="32">
        <v>9</v>
      </c>
      <c r="D240" s="32">
        <v>4</v>
      </c>
      <c r="E240" s="32">
        <v>6</v>
      </c>
      <c r="F240" s="2">
        <v>51.1</v>
      </c>
      <c r="G240">
        <v>34.34497975905964</v>
      </c>
      <c r="H240" s="59" t="s">
        <v>12</v>
      </c>
      <c r="I240" t="s">
        <v>12</v>
      </c>
      <c r="AD240" s="17">
        <v>238</v>
      </c>
      <c r="AE240" s="6">
        <v>3.04087</v>
      </c>
      <c r="AF240" s="6">
        <v>2.8307000000000002</v>
      </c>
      <c r="AG240" s="6">
        <v>2.9279999999999999</v>
      </c>
      <c r="AH240" s="6">
        <v>255</v>
      </c>
      <c r="AJ240" s="17">
        <v>238</v>
      </c>
      <c r="AK240" s="6">
        <v>5.7661600000000002</v>
      </c>
      <c r="AL240" s="6">
        <v>2.8307000000000002</v>
      </c>
      <c r="AM240" s="6">
        <v>2.9279999999999999</v>
      </c>
      <c r="AN240" s="6">
        <v>255</v>
      </c>
      <c r="AQ240" s="17">
        <v>238</v>
      </c>
      <c r="AR240" s="6">
        <v>1.5952</v>
      </c>
      <c r="AS240" s="19">
        <v>-0.19370000000000001</v>
      </c>
      <c r="AT240" s="6">
        <v>0.81</v>
      </c>
      <c r="AU240" s="6">
        <v>255</v>
      </c>
      <c r="AW240" s="17">
        <v>238</v>
      </c>
      <c r="AX240" s="6">
        <v>0.84125000000000005</v>
      </c>
      <c r="AY240" s="19">
        <v>-0.19370000000000001</v>
      </c>
      <c r="AZ240" s="6">
        <v>0.81</v>
      </c>
      <c r="BA240" s="6">
        <v>255</v>
      </c>
      <c r="BN240" s="17">
        <v>238</v>
      </c>
      <c r="BO240" s="6">
        <v>24.670145120000001</v>
      </c>
      <c r="BP240" s="6">
        <v>35.570566739999997</v>
      </c>
      <c r="BQ240" s="19">
        <v>-10.900421619999999</v>
      </c>
    </row>
    <row r="241" spans="1:69" x14ac:dyDescent="0.25">
      <c r="A241" s="31" t="s">
        <v>156</v>
      </c>
      <c r="B241" s="32">
        <v>3</v>
      </c>
      <c r="C241" s="32">
        <v>11</v>
      </c>
      <c r="D241" s="32">
        <v>5</v>
      </c>
      <c r="E241" s="32">
        <v>6</v>
      </c>
      <c r="F241" s="2">
        <v>55.2</v>
      </c>
      <c r="G241">
        <v>41.220807815069158</v>
      </c>
      <c r="H241" s="59" t="s">
        <v>12</v>
      </c>
      <c r="I241" t="s">
        <v>12</v>
      </c>
      <c r="AD241" s="17">
        <v>239</v>
      </c>
      <c r="AE241" s="6">
        <v>3.0245899999999999</v>
      </c>
      <c r="AF241" s="6">
        <v>4.0811999999999999</v>
      </c>
      <c r="AG241" s="6">
        <v>2.9123000000000001</v>
      </c>
      <c r="AH241" s="6">
        <v>255</v>
      </c>
      <c r="AJ241" s="17">
        <v>239</v>
      </c>
      <c r="AK241" s="6">
        <v>5.73529</v>
      </c>
      <c r="AL241" s="6">
        <v>4.0811999999999999</v>
      </c>
      <c r="AM241" s="6">
        <v>2.9123000000000001</v>
      </c>
      <c r="AN241" s="6">
        <v>255</v>
      </c>
      <c r="AQ241" s="17">
        <v>239</v>
      </c>
      <c r="AR241" s="6">
        <v>1.59108</v>
      </c>
      <c r="AS241" s="19">
        <v>-0.60709999999999997</v>
      </c>
      <c r="AT241" s="6">
        <v>0.80789999999999995</v>
      </c>
      <c r="AU241" s="6">
        <v>255</v>
      </c>
      <c r="AW241" s="17">
        <v>239</v>
      </c>
      <c r="AX241" s="6">
        <v>0.83908000000000005</v>
      </c>
      <c r="AY241" s="19">
        <v>-0.60709999999999997</v>
      </c>
      <c r="AZ241" s="6">
        <v>0.80789999999999995</v>
      </c>
      <c r="BA241" s="6">
        <v>255</v>
      </c>
      <c r="BN241" s="17">
        <v>239</v>
      </c>
      <c r="BO241" s="6">
        <v>34.344979760000001</v>
      </c>
      <c r="BP241" s="6">
        <v>33.005814209999997</v>
      </c>
      <c r="BQ241" s="6">
        <v>1.3391655499999999</v>
      </c>
    </row>
    <row r="242" spans="1:69" x14ac:dyDescent="0.25">
      <c r="A242" s="31" t="s">
        <v>156</v>
      </c>
      <c r="B242" s="32">
        <v>1</v>
      </c>
      <c r="C242" s="32">
        <v>19</v>
      </c>
      <c r="D242" s="32">
        <v>2</v>
      </c>
      <c r="E242" s="32">
        <v>8</v>
      </c>
      <c r="F242" s="2">
        <v>58</v>
      </c>
      <c r="G242">
        <v>55.307131830931411</v>
      </c>
      <c r="H242" s="59">
        <v>14.1</v>
      </c>
      <c r="I242">
        <v>1</v>
      </c>
      <c r="AD242" s="17">
        <v>240</v>
      </c>
      <c r="AE242" s="6">
        <v>3.0255000000000001</v>
      </c>
      <c r="AF242" s="6">
        <v>3.7858999999999998</v>
      </c>
      <c r="AG242" s="6">
        <v>2.9131999999999998</v>
      </c>
      <c r="AH242" s="6">
        <v>255</v>
      </c>
      <c r="AJ242" s="17">
        <v>240</v>
      </c>
      <c r="AK242" s="6">
        <v>5.7370200000000002</v>
      </c>
      <c r="AL242" s="6">
        <v>3.7858999999999998</v>
      </c>
      <c r="AM242" s="6">
        <v>2.9131999999999998</v>
      </c>
      <c r="AN242" s="6">
        <v>255</v>
      </c>
      <c r="AQ242" s="17">
        <v>240</v>
      </c>
      <c r="AR242" s="6">
        <v>1.58843</v>
      </c>
      <c r="AS242" s="19">
        <v>-1.8268</v>
      </c>
      <c r="AT242" s="6">
        <v>0.80659999999999998</v>
      </c>
      <c r="AU242" s="6">
        <v>255</v>
      </c>
      <c r="AW242" s="17">
        <v>240</v>
      </c>
      <c r="AX242" s="6">
        <v>0.83767999999999998</v>
      </c>
      <c r="AY242" s="19">
        <v>-1.8268</v>
      </c>
      <c r="AZ242" s="6">
        <v>0.80659999999999998</v>
      </c>
      <c r="BA242" s="6">
        <v>255</v>
      </c>
      <c r="BN242" s="17">
        <v>240</v>
      </c>
      <c r="BO242" s="6">
        <v>41.220807819999997</v>
      </c>
      <c r="BP242" s="6">
        <v>31.659551759999999</v>
      </c>
      <c r="BQ242" s="6">
        <v>9.5612560599999998</v>
      </c>
    </row>
    <row r="243" spans="1:69" x14ac:dyDescent="0.25">
      <c r="A243" s="31" t="s">
        <v>156</v>
      </c>
      <c r="B243" s="32">
        <v>2</v>
      </c>
      <c r="C243" s="32">
        <v>13</v>
      </c>
      <c r="D243" s="32">
        <v>4</v>
      </c>
      <c r="E243" s="32">
        <v>8</v>
      </c>
      <c r="F243" s="2">
        <v>55.1</v>
      </c>
      <c r="G243">
        <v>50.562283568258302</v>
      </c>
      <c r="H243" s="61" t="s">
        <v>12</v>
      </c>
      <c r="I243" t="s">
        <v>12</v>
      </c>
      <c r="AD243" s="17">
        <v>241</v>
      </c>
      <c r="AE243" s="6">
        <v>3.0508700000000002</v>
      </c>
      <c r="AF243" s="6">
        <v>9.2241</v>
      </c>
      <c r="AG243" s="6">
        <v>2.9376000000000002</v>
      </c>
      <c r="AH243" s="6">
        <v>255</v>
      </c>
      <c r="AJ243" s="17">
        <v>241</v>
      </c>
      <c r="AK243" s="6">
        <v>5.78512</v>
      </c>
      <c r="AL243" s="6">
        <v>9.2241</v>
      </c>
      <c r="AM243" s="6">
        <v>2.9376000000000002</v>
      </c>
      <c r="AN243" s="6">
        <v>255</v>
      </c>
      <c r="AQ243" s="17">
        <v>241</v>
      </c>
      <c r="AR243" s="6">
        <v>1.59388</v>
      </c>
      <c r="AS243" s="6">
        <v>1.1104000000000001</v>
      </c>
      <c r="AT243" s="6">
        <v>0.80940000000000001</v>
      </c>
      <c r="AU243" s="6">
        <v>255</v>
      </c>
      <c r="AW243" s="17">
        <v>241</v>
      </c>
      <c r="AX243" s="6">
        <v>0.84055999999999997</v>
      </c>
      <c r="AY243" s="6">
        <v>1.1104000000000001</v>
      </c>
      <c r="AZ243" s="6">
        <v>0.80940000000000001</v>
      </c>
      <c r="BA243" s="6">
        <v>255</v>
      </c>
      <c r="BN243" s="17">
        <v>241</v>
      </c>
      <c r="BO243" s="6">
        <v>55.307131830000003</v>
      </c>
      <c r="BP243" s="6">
        <v>56.157054719999998</v>
      </c>
      <c r="BQ243" s="19">
        <v>-0.84992288999999999</v>
      </c>
    </row>
    <row r="244" spans="1:69" x14ac:dyDescent="0.25">
      <c r="A244" s="31" t="s">
        <v>156</v>
      </c>
      <c r="B244" s="32">
        <v>3</v>
      </c>
      <c r="C244" s="32">
        <v>18</v>
      </c>
      <c r="D244" s="32">
        <v>5</v>
      </c>
      <c r="E244" s="32">
        <v>8</v>
      </c>
      <c r="F244" s="2">
        <v>58.4</v>
      </c>
      <c r="G244">
        <v>56.125981236096329</v>
      </c>
      <c r="H244" s="61" t="s">
        <v>12</v>
      </c>
      <c r="I244" t="s">
        <v>12</v>
      </c>
      <c r="AD244" s="17">
        <v>242</v>
      </c>
      <c r="AE244" s="6">
        <v>3.0466199999999999</v>
      </c>
      <c r="AF244" s="6">
        <v>6.0782999999999996</v>
      </c>
      <c r="AG244" s="6">
        <v>2.9335</v>
      </c>
      <c r="AH244" s="6">
        <v>255</v>
      </c>
      <c r="AJ244" s="17">
        <v>242</v>
      </c>
      <c r="AK244" s="6">
        <v>5.7770599999999996</v>
      </c>
      <c r="AL244" s="6">
        <v>6.0782999999999996</v>
      </c>
      <c r="AM244" s="6">
        <v>2.9335</v>
      </c>
      <c r="AN244" s="6">
        <v>255</v>
      </c>
      <c r="AQ244" s="17">
        <v>242</v>
      </c>
      <c r="AR244" s="6">
        <v>1.58758</v>
      </c>
      <c r="AS244" s="6">
        <v>0.96409999999999996</v>
      </c>
      <c r="AT244" s="6">
        <v>0.80620000000000003</v>
      </c>
      <c r="AU244" s="6">
        <v>255</v>
      </c>
      <c r="AW244" s="17">
        <v>242</v>
      </c>
      <c r="AX244" s="6">
        <v>0.83723999999999998</v>
      </c>
      <c r="AY244" s="6">
        <v>0.96409999999999996</v>
      </c>
      <c r="AZ244" s="6">
        <v>0.80620000000000003</v>
      </c>
      <c r="BA244" s="6">
        <v>255</v>
      </c>
      <c r="BN244" s="17">
        <v>242</v>
      </c>
      <c r="BO244" s="6">
        <v>50.562283569999998</v>
      </c>
      <c r="BP244" s="6">
        <v>53.592302189999998</v>
      </c>
      <c r="BQ244" s="19">
        <v>-3.0300186199999999</v>
      </c>
    </row>
    <row r="245" spans="1:69" x14ac:dyDescent="0.25">
      <c r="A245" s="31" t="s">
        <v>156</v>
      </c>
      <c r="B245" s="32">
        <v>1</v>
      </c>
      <c r="C245" s="32">
        <v>25</v>
      </c>
      <c r="D245" s="32">
        <v>2</v>
      </c>
      <c r="E245" s="32">
        <v>7</v>
      </c>
      <c r="F245" s="2">
        <v>56.4</v>
      </c>
      <c r="G245">
        <v>41.614327787987222</v>
      </c>
      <c r="H245" s="59">
        <v>15.1</v>
      </c>
      <c r="I245">
        <v>1</v>
      </c>
      <c r="AD245" s="17">
        <v>243</v>
      </c>
      <c r="AE245" s="6">
        <v>3.0347499999999998</v>
      </c>
      <c r="AF245" s="6">
        <v>4.3235999999999999</v>
      </c>
      <c r="AG245" s="6">
        <v>2.9220999999999999</v>
      </c>
      <c r="AH245" s="6">
        <v>255</v>
      </c>
      <c r="AJ245" s="17">
        <v>243</v>
      </c>
      <c r="AK245" s="6">
        <v>5.7545599999999997</v>
      </c>
      <c r="AL245" s="6">
        <v>4.3235999999999999</v>
      </c>
      <c r="AM245" s="6">
        <v>2.9220999999999999</v>
      </c>
      <c r="AN245" s="6">
        <v>255</v>
      </c>
      <c r="AQ245" s="17">
        <v>243</v>
      </c>
      <c r="AR245" s="6">
        <v>1.58832</v>
      </c>
      <c r="AS245" s="6">
        <v>0.50670000000000004</v>
      </c>
      <c r="AT245" s="6">
        <v>0.80649999999999999</v>
      </c>
      <c r="AU245" s="6">
        <v>255</v>
      </c>
      <c r="AW245" s="17">
        <v>243</v>
      </c>
      <c r="AX245" s="6">
        <v>0.83762999999999999</v>
      </c>
      <c r="AY245" s="6">
        <v>0.50670000000000004</v>
      </c>
      <c r="AZ245" s="6">
        <v>0.80649999999999999</v>
      </c>
      <c r="BA245" s="6">
        <v>255</v>
      </c>
      <c r="BN245" s="17">
        <v>243</v>
      </c>
      <c r="BO245" s="6">
        <v>56.125981240000002</v>
      </c>
      <c r="BP245" s="6">
        <v>52.246039740000001</v>
      </c>
      <c r="BQ245" s="6">
        <v>3.8799415000000002</v>
      </c>
    </row>
    <row r="246" spans="1:69" x14ac:dyDescent="0.25">
      <c r="A246" s="31" t="s">
        <v>156</v>
      </c>
      <c r="B246" s="32">
        <v>2</v>
      </c>
      <c r="C246" s="32">
        <v>20</v>
      </c>
      <c r="D246" s="32">
        <v>4</v>
      </c>
      <c r="E246" s="32">
        <v>7</v>
      </c>
      <c r="F246" s="2">
        <v>57</v>
      </c>
      <c r="G246">
        <v>41.108104667609631</v>
      </c>
      <c r="H246" s="59" t="s">
        <v>12</v>
      </c>
      <c r="I246" t="s">
        <v>12</v>
      </c>
      <c r="AD246" s="17">
        <v>244</v>
      </c>
      <c r="AE246" s="6">
        <v>3.0486200000000001</v>
      </c>
      <c r="AF246" s="6">
        <v>8.0449000000000002</v>
      </c>
      <c r="AG246" s="6">
        <v>2.9355000000000002</v>
      </c>
      <c r="AH246" s="6">
        <v>255</v>
      </c>
      <c r="AJ246" s="17">
        <v>244</v>
      </c>
      <c r="AK246" s="6">
        <v>5.7808599999999997</v>
      </c>
      <c r="AL246" s="6">
        <v>8.0449000000000002</v>
      </c>
      <c r="AM246" s="6">
        <v>2.9355000000000002</v>
      </c>
      <c r="AN246" s="6">
        <v>255</v>
      </c>
      <c r="AQ246" s="17">
        <v>244</v>
      </c>
      <c r="AR246" s="6">
        <v>1.5921700000000001</v>
      </c>
      <c r="AS246" s="19">
        <v>-0.1772</v>
      </c>
      <c r="AT246" s="6">
        <v>0.8085</v>
      </c>
      <c r="AU246" s="6">
        <v>255</v>
      </c>
      <c r="AW246" s="17">
        <v>244</v>
      </c>
      <c r="AX246" s="6">
        <v>0.83965999999999996</v>
      </c>
      <c r="AY246" s="19">
        <v>-0.1772</v>
      </c>
      <c r="AZ246" s="6">
        <v>0.8085</v>
      </c>
      <c r="BA246" s="6">
        <v>255</v>
      </c>
      <c r="BN246" s="17">
        <v>244</v>
      </c>
      <c r="BO246" s="6">
        <v>41.614327789999997</v>
      </c>
      <c r="BP246" s="6">
        <v>38.853615419999997</v>
      </c>
      <c r="BQ246" s="6">
        <v>2.7607123699999998</v>
      </c>
    </row>
    <row r="247" spans="1:69" x14ac:dyDescent="0.25">
      <c r="A247" s="31" t="s">
        <v>156</v>
      </c>
      <c r="B247" s="32">
        <v>3</v>
      </c>
      <c r="C247" s="32">
        <v>6</v>
      </c>
      <c r="D247" s="32">
        <v>5</v>
      </c>
      <c r="E247" s="32">
        <v>7</v>
      </c>
      <c r="F247" s="2">
        <v>53.2</v>
      </c>
      <c r="G247">
        <v>27.362646290743783</v>
      </c>
      <c r="H247" s="61" t="s">
        <v>12</v>
      </c>
      <c r="I247" t="s">
        <v>12</v>
      </c>
      <c r="AD247" s="17">
        <v>245</v>
      </c>
      <c r="AE247" s="6">
        <v>3.04358</v>
      </c>
      <c r="AF247" s="6">
        <v>16.5489</v>
      </c>
      <c r="AG247" s="6">
        <v>2.9306000000000001</v>
      </c>
      <c r="AH247" s="6">
        <v>255</v>
      </c>
      <c r="AJ247" s="17">
        <v>245</v>
      </c>
      <c r="AK247" s="6">
        <v>5.7713000000000001</v>
      </c>
      <c r="AL247" s="6">
        <v>16.5489</v>
      </c>
      <c r="AM247" s="6">
        <v>2.9306000000000001</v>
      </c>
      <c r="AN247" s="6">
        <v>255</v>
      </c>
      <c r="AQ247" s="17">
        <v>245</v>
      </c>
      <c r="AR247" s="6">
        <v>1.5969599999999999</v>
      </c>
      <c r="AS247" s="6">
        <v>2.7313999999999998</v>
      </c>
      <c r="AT247" s="6">
        <v>0.81089999999999995</v>
      </c>
      <c r="AU247" s="6">
        <v>255</v>
      </c>
      <c r="AW247" s="17">
        <v>245</v>
      </c>
      <c r="AX247" s="6">
        <v>0.84218000000000004</v>
      </c>
      <c r="AY247" s="6">
        <v>2.7313999999999998</v>
      </c>
      <c r="AZ247" s="6">
        <v>0.81089999999999995</v>
      </c>
      <c r="BA247" s="6">
        <v>255</v>
      </c>
      <c r="BN247" s="17">
        <v>245</v>
      </c>
      <c r="BO247" s="6">
        <v>41.108104670000003</v>
      </c>
      <c r="BP247" s="6">
        <v>36.288862889999997</v>
      </c>
      <c r="BQ247" s="6">
        <v>4.8192417799999996</v>
      </c>
    </row>
    <row r="248" spans="1:69" x14ac:dyDescent="0.25">
      <c r="A248" s="31" t="s">
        <v>156</v>
      </c>
      <c r="B248" s="32">
        <v>1</v>
      </c>
      <c r="C248" s="32">
        <v>6</v>
      </c>
      <c r="D248" s="32">
        <v>2</v>
      </c>
      <c r="E248" s="32">
        <v>42</v>
      </c>
      <c r="F248" s="2">
        <v>54.5</v>
      </c>
      <c r="G248">
        <v>37.986957829577328</v>
      </c>
      <c r="H248" s="59">
        <v>14.9</v>
      </c>
      <c r="I248">
        <v>2</v>
      </c>
      <c r="AD248" s="17">
        <v>246</v>
      </c>
      <c r="AE248" s="6">
        <v>3.0508199999999999</v>
      </c>
      <c r="AF248" s="6">
        <v>2.4336000000000002</v>
      </c>
      <c r="AG248" s="6">
        <v>2.9376000000000002</v>
      </c>
      <c r="AH248" s="6">
        <v>255</v>
      </c>
      <c r="AJ248" s="17">
        <v>246</v>
      </c>
      <c r="AK248" s="6">
        <v>5.7850299999999999</v>
      </c>
      <c r="AL248" s="6">
        <v>2.4336000000000002</v>
      </c>
      <c r="AM248" s="6">
        <v>2.9376000000000002</v>
      </c>
      <c r="AN248" s="6">
        <v>255</v>
      </c>
      <c r="AQ248" s="17">
        <v>246</v>
      </c>
      <c r="AR248" s="6">
        <v>1.5916300000000001</v>
      </c>
      <c r="AS248" s="6">
        <v>0.60360000000000003</v>
      </c>
      <c r="AT248" s="6">
        <v>0.80820000000000003</v>
      </c>
      <c r="AU248" s="6">
        <v>255</v>
      </c>
      <c r="AW248" s="17">
        <v>246</v>
      </c>
      <c r="AX248" s="6">
        <v>0.83936999999999995</v>
      </c>
      <c r="AY248" s="6">
        <v>0.60360000000000003</v>
      </c>
      <c r="AZ248" s="6">
        <v>0.80820000000000003</v>
      </c>
      <c r="BA248" s="6">
        <v>255</v>
      </c>
      <c r="BN248" s="17">
        <v>246</v>
      </c>
      <c r="BO248" s="6">
        <v>27.362646290000001</v>
      </c>
      <c r="BP248" s="6">
        <v>34.94260044</v>
      </c>
      <c r="BQ248" s="19">
        <v>-7.5799541499999998</v>
      </c>
    </row>
    <row r="249" spans="1:69" x14ac:dyDescent="0.25">
      <c r="A249" s="31" t="s">
        <v>156</v>
      </c>
      <c r="B249" s="32">
        <v>2</v>
      </c>
      <c r="C249" s="32">
        <v>22</v>
      </c>
      <c r="D249" s="32">
        <v>3</v>
      </c>
      <c r="E249" s="32">
        <v>42</v>
      </c>
      <c r="F249" s="2">
        <v>59.2</v>
      </c>
      <c r="G249">
        <v>49.012398389662984</v>
      </c>
      <c r="H249" s="61" t="s">
        <v>12</v>
      </c>
      <c r="I249" t="s">
        <v>12</v>
      </c>
      <c r="AD249" s="17">
        <v>247</v>
      </c>
      <c r="AE249" s="6">
        <v>3.0323799999999999</v>
      </c>
      <c r="AF249" s="19">
        <v>-10.9978</v>
      </c>
      <c r="AG249" s="6">
        <v>2.9198</v>
      </c>
      <c r="AH249" s="6">
        <v>255</v>
      </c>
      <c r="AJ249" s="17">
        <v>247</v>
      </c>
      <c r="AK249" s="6">
        <v>5.7500600000000004</v>
      </c>
      <c r="AL249" s="19">
        <v>-10.9978</v>
      </c>
      <c r="AM249" s="6">
        <v>2.9198</v>
      </c>
      <c r="AN249" s="6">
        <v>255</v>
      </c>
      <c r="AQ249" s="17">
        <v>247</v>
      </c>
      <c r="AR249" s="6">
        <v>1.58409</v>
      </c>
      <c r="AS249" s="19">
        <v>-0.2495</v>
      </c>
      <c r="AT249" s="6">
        <v>0.8044</v>
      </c>
      <c r="AU249" s="6">
        <v>255</v>
      </c>
      <c r="AW249" s="17">
        <v>247</v>
      </c>
      <c r="AX249" s="6">
        <v>0.83540000000000003</v>
      </c>
      <c r="AY249" s="19">
        <v>-0.2495</v>
      </c>
      <c r="AZ249" s="6">
        <v>0.8044</v>
      </c>
      <c r="BA249" s="6">
        <v>255</v>
      </c>
      <c r="BN249" s="17">
        <v>247</v>
      </c>
      <c r="BO249" s="6">
        <v>37.986957830000001</v>
      </c>
      <c r="BP249" s="6">
        <v>45.009726690000001</v>
      </c>
      <c r="BQ249" s="19">
        <v>-7.0227688600000002</v>
      </c>
    </row>
    <row r="250" spans="1:69" x14ac:dyDescent="0.25">
      <c r="A250" s="31" t="s">
        <v>156</v>
      </c>
      <c r="B250" s="32">
        <v>3</v>
      </c>
      <c r="C250" s="32">
        <v>24</v>
      </c>
      <c r="D250" s="32">
        <v>6</v>
      </c>
      <c r="E250" s="32">
        <v>42</v>
      </c>
      <c r="F250" s="2">
        <v>58.7</v>
      </c>
      <c r="G250">
        <v>41.554056354281869</v>
      </c>
      <c r="H250" s="59" t="s">
        <v>12</v>
      </c>
      <c r="I250" t="s">
        <v>12</v>
      </c>
      <c r="AD250" s="17">
        <v>248</v>
      </c>
      <c r="AE250" s="6">
        <v>3.0533299999999999</v>
      </c>
      <c r="AF250" s="19">
        <v>-2.4175</v>
      </c>
      <c r="AG250" s="6">
        <v>2.94</v>
      </c>
      <c r="AH250" s="6">
        <v>255</v>
      </c>
      <c r="AJ250" s="17">
        <v>248</v>
      </c>
      <c r="AK250" s="6">
        <v>5.7897800000000004</v>
      </c>
      <c r="AL250" s="19">
        <v>-2.4175</v>
      </c>
      <c r="AM250" s="6">
        <v>2.94</v>
      </c>
      <c r="AN250" s="6">
        <v>255</v>
      </c>
      <c r="AQ250" s="17">
        <v>248</v>
      </c>
      <c r="AR250" s="6">
        <v>1.59578</v>
      </c>
      <c r="AS250" s="6">
        <v>1.6103000000000001</v>
      </c>
      <c r="AT250" s="6">
        <v>0.81030000000000002</v>
      </c>
      <c r="AU250" s="6">
        <v>255</v>
      </c>
      <c r="AW250" s="17">
        <v>248</v>
      </c>
      <c r="AX250" s="6">
        <v>0.84155999999999997</v>
      </c>
      <c r="AY250" s="6">
        <v>1.6103000000000001</v>
      </c>
      <c r="AZ250" s="6">
        <v>0.81030000000000002</v>
      </c>
      <c r="BA250" s="6">
        <v>255</v>
      </c>
      <c r="BN250" s="17">
        <v>248</v>
      </c>
      <c r="BO250" s="6">
        <v>49.012398390000001</v>
      </c>
      <c r="BP250" s="6">
        <v>42.444974160000001</v>
      </c>
      <c r="BQ250" s="6">
        <v>6.5674242300000003</v>
      </c>
    </row>
    <row r="251" spans="1:69" x14ac:dyDescent="0.25">
      <c r="A251" s="31" t="s">
        <v>156</v>
      </c>
      <c r="B251" s="32">
        <v>1</v>
      </c>
      <c r="C251" s="32">
        <v>16</v>
      </c>
      <c r="D251" s="32">
        <v>1</v>
      </c>
      <c r="E251" s="32">
        <v>44</v>
      </c>
      <c r="F251" s="2">
        <v>58.3</v>
      </c>
      <c r="G251">
        <v>50.964461115664626</v>
      </c>
      <c r="H251" s="59">
        <v>15</v>
      </c>
      <c r="I251">
        <v>3</v>
      </c>
      <c r="AD251" s="17">
        <v>249</v>
      </c>
      <c r="AE251" s="6">
        <v>3.0422600000000002</v>
      </c>
      <c r="AF251" s="6">
        <v>1.2357</v>
      </c>
      <c r="AG251" s="6">
        <v>2.9293999999999998</v>
      </c>
      <c r="AH251" s="6">
        <v>255</v>
      </c>
      <c r="AJ251" s="17">
        <v>249</v>
      </c>
      <c r="AK251" s="6">
        <v>5.7687999999999997</v>
      </c>
      <c r="AL251" s="6">
        <v>1.2357</v>
      </c>
      <c r="AM251" s="6">
        <v>2.9293999999999998</v>
      </c>
      <c r="AN251" s="6">
        <v>255</v>
      </c>
      <c r="AQ251" s="17">
        <v>249</v>
      </c>
      <c r="AR251" s="6">
        <v>1.58839</v>
      </c>
      <c r="AS251" s="6">
        <v>2.5019999999999998</v>
      </c>
      <c r="AT251" s="6">
        <v>0.80659999999999998</v>
      </c>
      <c r="AU251" s="6">
        <v>255</v>
      </c>
      <c r="AW251" s="17">
        <v>249</v>
      </c>
      <c r="AX251" s="6">
        <v>0.83765999999999996</v>
      </c>
      <c r="AY251" s="6">
        <v>2.5019999999999998</v>
      </c>
      <c r="AZ251" s="6">
        <v>0.80659999999999998</v>
      </c>
      <c r="BA251" s="6">
        <v>255</v>
      </c>
      <c r="BN251" s="17">
        <v>249</v>
      </c>
      <c r="BO251" s="6">
        <v>41.554056350000003</v>
      </c>
      <c r="BP251" s="6">
        <v>41.098711719999997</v>
      </c>
      <c r="BQ251" s="6">
        <v>0.45534462999999997</v>
      </c>
    </row>
    <row r="252" spans="1:69" x14ac:dyDescent="0.25">
      <c r="A252" s="31" t="s">
        <v>156</v>
      </c>
      <c r="B252" s="32">
        <v>2</v>
      </c>
      <c r="C252" s="32">
        <v>7</v>
      </c>
      <c r="D252" s="32">
        <v>3</v>
      </c>
      <c r="E252" s="32">
        <v>44</v>
      </c>
      <c r="F252" s="2">
        <v>56.8</v>
      </c>
      <c r="G252">
        <v>38.788850103659414</v>
      </c>
      <c r="H252" s="61" t="s">
        <v>12</v>
      </c>
      <c r="I252" t="s">
        <v>12</v>
      </c>
      <c r="AD252" s="17">
        <v>250</v>
      </c>
      <c r="AE252" s="6">
        <v>3.0540699999999998</v>
      </c>
      <c r="AF252" s="19">
        <v>-6.2610000000000001</v>
      </c>
      <c r="AG252" s="6">
        <v>2.9407000000000001</v>
      </c>
      <c r="AH252" s="6">
        <v>255</v>
      </c>
      <c r="AJ252" s="17">
        <v>250</v>
      </c>
      <c r="AK252" s="6">
        <v>5.7911900000000003</v>
      </c>
      <c r="AL252" s="19">
        <v>-6.2610000000000001</v>
      </c>
      <c r="AM252" s="6">
        <v>2.9407000000000001</v>
      </c>
      <c r="AN252" s="6">
        <v>255</v>
      </c>
      <c r="AQ252" s="17">
        <v>250</v>
      </c>
      <c r="AR252" s="6">
        <v>1.58961</v>
      </c>
      <c r="AS252" s="19">
        <v>-1.6114999999999999</v>
      </c>
      <c r="AT252" s="6">
        <v>0.80720000000000003</v>
      </c>
      <c r="AU252" s="6">
        <v>255</v>
      </c>
      <c r="AW252" s="17">
        <v>250</v>
      </c>
      <c r="AX252" s="6">
        <v>0.83831</v>
      </c>
      <c r="AY252" s="19">
        <v>-1.6114999999999999</v>
      </c>
      <c r="AZ252" s="6">
        <v>0.80720000000000003</v>
      </c>
      <c r="BA252" s="6">
        <v>255</v>
      </c>
      <c r="BN252" s="17">
        <v>250</v>
      </c>
      <c r="BO252" s="6">
        <v>50.964461120000003</v>
      </c>
      <c r="BP252" s="6">
        <v>46.2721479</v>
      </c>
      <c r="BQ252" s="6">
        <v>4.69231322</v>
      </c>
    </row>
    <row r="253" spans="1:69" x14ac:dyDescent="0.25">
      <c r="A253" s="31" t="s">
        <v>156</v>
      </c>
      <c r="B253" s="32">
        <v>3</v>
      </c>
      <c r="C253" s="32">
        <v>25</v>
      </c>
      <c r="D253" s="32">
        <v>5</v>
      </c>
      <c r="E253" s="32">
        <v>44</v>
      </c>
      <c r="F253" s="2">
        <v>58.4</v>
      </c>
      <c r="G253">
        <v>42.587364977270525</v>
      </c>
      <c r="H253" s="59" t="s">
        <v>12</v>
      </c>
      <c r="I253" t="s">
        <v>12</v>
      </c>
      <c r="AD253" s="17">
        <v>251</v>
      </c>
      <c r="AE253" s="6">
        <v>3.0501200000000002</v>
      </c>
      <c r="AF253" s="19">
        <v>-1.4583999999999999</v>
      </c>
      <c r="AG253" s="6">
        <v>2.9369000000000001</v>
      </c>
      <c r="AH253" s="6">
        <v>255</v>
      </c>
      <c r="AJ253" s="17">
        <v>251</v>
      </c>
      <c r="AK253" s="6">
        <v>5.7837100000000001</v>
      </c>
      <c r="AL253" s="19">
        <v>-1.4583999999999999</v>
      </c>
      <c r="AM253" s="6">
        <v>2.9369000000000001</v>
      </c>
      <c r="AN253" s="6">
        <v>255</v>
      </c>
      <c r="AQ253" s="17">
        <v>251</v>
      </c>
      <c r="AR253" s="6">
        <v>1.6161000000000001</v>
      </c>
      <c r="AS253" s="6">
        <v>0.96379999999999999</v>
      </c>
      <c r="AT253" s="6">
        <v>0.8206</v>
      </c>
      <c r="AU253" s="6">
        <v>255</v>
      </c>
      <c r="AW253" s="17">
        <v>251</v>
      </c>
      <c r="AX253" s="6">
        <v>0.85226999999999997</v>
      </c>
      <c r="AY253" s="6">
        <v>0.96379999999999999</v>
      </c>
      <c r="AZ253" s="6">
        <v>0.8206</v>
      </c>
      <c r="BA253" s="6">
        <v>255</v>
      </c>
      <c r="BN253" s="17">
        <v>251</v>
      </c>
      <c r="BO253" s="6">
        <v>38.788850099999998</v>
      </c>
      <c r="BP253" s="6">
        <v>43.70739537</v>
      </c>
      <c r="BQ253" s="19">
        <v>-4.9185452700000001</v>
      </c>
    </row>
    <row r="254" spans="1:69" x14ac:dyDescent="0.25">
      <c r="A254" s="31" t="s">
        <v>156</v>
      </c>
      <c r="B254" s="32">
        <v>1</v>
      </c>
      <c r="C254" s="32">
        <v>19</v>
      </c>
      <c r="D254" s="32">
        <v>1</v>
      </c>
      <c r="E254" s="32">
        <v>43</v>
      </c>
      <c r="F254" s="2">
        <v>58.3</v>
      </c>
      <c r="G254">
        <v>44.314349356347336</v>
      </c>
      <c r="H254" s="59">
        <v>15</v>
      </c>
      <c r="I254">
        <v>2</v>
      </c>
      <c r="AD254" s="17">
        <v>252</v>
      </c>
      <c r="AE254" s="6">
        <v>3.0313400000000001</v>
      </c>
      <c r="AF254" s="19">
        <v>-6.1577999999999999</v>
      </c>
      <c r="AG254" s="6">
        <v>2.9188000000000001</v>
      </c>
      <c r="AH254" s="6">
        <v>255</v>
      </c>
      <c r="AJ254" s="17">
        <v>252</v>
      </c>
      <c r="AK254" s="6">
        <v>5.7480799999999999</v>
      </c>
      <c r="AL254" s="19">
        <v>-6.1577999999999999</v>
      </c>
      <c r="AM254" s="6">
        <v>2.9188000000000001</v>
      </c>
      <c r="AN254" s="6">
        <v>255</v>
      </c>
      <c r="AQ254" s="17">
        <v>252</v>
      </c>
      <c r="AR254" s="6">
        <v>1.5823400000000001</v>
      </c>
      <c r="AS254" s="19">
        <v>-0.88919999999999999</v>
      </c>
      <c r="AT254" s="6">
        <v>0.80349999999999999</v>
      </c>
      <c r="AU254" s="6">
        <v>255</v>
      </c>
      <c r="AW254" s="17">
        <v>252</v>
      </c>
      <c r="AX254" s="6">
        <v>0.83447000000000005</v>
      </c>
      <c r="AY254" s="19">
        <v>-0.88919999999999999</v>
      </c>
      <c r="AZ254" s="6">
        <v>0.80349999999999999</v>
      </c>
      <c r="BA254" s="6">
        <v>255</v>
      </c>
      <c r="BN254" s="17">
        <v>252</v>
      </c>
      <c r="BO254" s="6">
        <v>42.587364979999997</v>
      </c>
      <c r="BP254" s="6">
        <v>42.361132929999997</v>
      </c>
      <c r="BQ254" s="6">
        <v>0.22623204999999999</v>
      </c>
    </row>
    <row r="255" spans="1:69" x14ac:dyDescent="0.25">
      <c r="A255" s="31" t="s">
        <v>156</v>
      </c>
      <c r="B255" s="32">
        <v>2</v>
      </c>
      <c r="C255" s="32">
        <v>12</v>
      </c>
      <c r="D255" s="32">
        <v>4</v>
      </c>
      <c r="E255" s="32">
        <v>43</v>
      </c>
      <c r="F255" s="2">
        <v>56.4</v>
      </c>
      <c r="G255">
        <v>51.658033897478411</v>
      </c>
      <c r="H255" s="61" t="s">
        <v>12</v>
      </c>
      <c r="I255" t="s">
        <v>12</v>
      </c>
      <c r="AD255" s="17">
        <v>253</v>
      </c>
      <c r="AE255" s="6">
        <v>3.0473300000000001</v>
      </c>
      <c r="AF255" s="19">
        <v>-6.3163</v>
      </c>
      <c r="AG255" s="6">
        <v>2.9342000000000001</v>
      </c>
      <c r="AH255" s="6">
        <v>255</v>
      </c>
      <c r="AJ255" s="17">
        <v>253</v>
      </c>
      <c r="AK255" s="6">
        <v>5.7784199999999997</v>
      </c>
      <c r="AL255" s="19">
        <v>-6.3163</v>
      </c>
      <c r="AM255" s="6">
        <v>2.9342000000000001</v>
      </c>
      <c r="AN255" s="6">
        <v>255</v>
      </c>
      <c r="AQ255" s="17">
        <v>253</v>
      </c>
      <c r="AR255" s="6">
        <v>1.5995299999999999</v>
      </c>
      <c r="AS255" s="19">
        <v>-1.129</v>
      </c>
      <c r="AT255" s="6">
        <v>0.81220000000000003</v>
      </c>
      <c r="AU255" s="6">
        <v>255</v>
      </c>
      <c r="AW255" s="17">
        <v>253</v>
      </c>
      <c r="AX255" s="6">
        <v>0.84353999999999996</v>
      </c>
      <c r="AY255" s="19">
        <v>-1.129</v>
      </c>
      <c r="AZ255" s="6">
        <v>0.81220000000000003</v>
      </c>
      <c r="BA255" s="6">
        <v>255</v>
      </c>
      <c r="BN255" s="17">
        <v>253</v>
      </c>
      <c r="BO255" s="6">
        <v>44.314349360000001</v>
      </c>
      <c r="BP255" s="6">
        <v>47.116797269999999</v>
      </c>
      <c r="BQ255" s="19">
        <v>-2.8024479100000002</v>
      </c>
    </row>
    <row r="256" spans="1:69" x14ac:dyDescent="0.25">
      <c r="A256" s="31" t="s">
        <v>156</v>
      </c>
      <c r="B256" s="32">
        <v>3</v>
      </c>
      <c r="C256" s="32">
        <v>9</v>
      </c>
      <c r="D256" s="32">
        <v>5</v>
      </c>
      <c r="E256" s="32">
        <v>43</v>
      </c>
      <c r="F256" s="2">
        <v>56.2</v>
      </c>
      <c r="G256">
        <v>38.902241029113064</v>
      </c>
      <c r="H256" s="61" t="s">
        <v>12</v>
      </c>
      <c r="I256" t="s">
        <v>12</v>
      </c>
      <c r="AD256" s="17">
        <v>254</v>
      </c>
      <c r="AE256" s="6">
        <v>3.03287</v>
      </c>
      <c r="AF256" s="19">
        <v>-6.7206999999999999</v>
      </c>
      <c r="AG256" s="6">
        <v>2.9203000000000001</v>
      </c>
      <c r="AH256" s="6">
        <v>255</v>
      </c>
      <c r="AJ256" s="17">
        <v>254</v>
      </c>
      <c r="AK256" s="6">
        <v>5.7509899999999998</v>
      </c>
      <c r="AL256" s="19">
        <v>-6.7206999999999999</v>
      </c>
      <c r="AM256" s="6">
        <v>2.9203000000000001</v>
      </c>
      <c r="AN256" s="6">
        <v>255</v>
      </c>
      <c r="AQ256" s="17">
        <v>254</v>
      </c>
      <c r="AR256" s="6">
        <v>1.58657</v>
      </c>
      <c r="AS256" s="6">
        <v>1.1379999999999999</v>
      </c>
      <c r="AT256" s="6">
        <v>0.80559999999999998</v>
      </c>
      <c r="AU256" s="6">
        <v>255</v>
      </c>
      <c r="AW256" s="17">
        <v>254</v>
      </c>
      <c r="AX256" s="6">
        <v>0.8367</v>
      </c>
      <c r="AY256" s="6">
        <v>1.1379999999999999</v>
      </c>
      <c r="AZ256" s="6">
        <v>0.80559999999999998</v>
      </c>
      <c r="BA256" s="6">
        <v>255</v>
      </c>
      <c r="BN256" s="17">
        <v>254</v>
      </c>
      <c r="BO256" s="6">
        <v>51.6580339</v>
      </c>
      <c r="BP256" s="6">
        <v>44.552044739999999</v>
      </c>
      <c r="BQ256" s="6">
        <v>7.10598916</v>
      </c>
    </row>
    <row r="257" spans="1:69" x14ac:dyDescent="0.25">
      <c r="A257" s="31" t="s">
        <v>156</v>
      </c>
      <c r="B257" s="32">
        <v>1</v>
      </c>
      <c r="C257" s="32">
        <v>23</v>
      </c>
      <c r="D257" s="32">
        <v>2</v>
      </c>
      <c r="E257" s="32">
        <v>27</v>
      </c>
      <c r="F257" s="2">
        <v>58.8</v>
      </c>
      <c r="G257">
        <v>53.485671631685847</v>
      </c>
      <c r="H257" s="59">
        <v>14.1</v>
      </c>
      <c r="I257">
        <v>2</v>
      </c>
      <c r="AD257" s="17">
        <v>255</v>
      </c>
      <c r="AE257" s="6">
        <v>3.0542400000000001</v>
      </c>
      <c r="AF257" s="19">
        <v>-5.2899000000000003</v>
      </c>
      <c r="AG257" s="6">
        <v>2.9409000000000001</v>
      </c>
      <c r="AH257" s="6">
        <v>255</v>
      </c>
      <c r="AJ257" s="17">
        <v>255</v>
      </c>
      <c r="AK257" s="6">
        <v>5.7915099999999997</v>
      </c>
      <c r="AL257" s="19">
        <v>-5.2899000000000003</v>
      </c>
      <c r="AM257" s="6">
        <v>2.9409000000000001</v>
      </c>
      <c r="AN257" s="6">
        <v>255</v>
      </c>
      <c r="AQ257" s="17">
        <v>255</v>
      </c>
      <c r="AR257" s="6">
        <v>1.5940300000000001</v>
      </c>
      <c r="AS257" s="19">
        <v>-0.4839</v>
      </c>
      <c r="AT257" s="6">
        <v>0.80940000000000001</v>
      </c>
      <c r="AU257" s="6">
        <v>255</v>
      </c>
      <c r="AW257" s="17">
        <v>255</v>
      </c>
      <c r="AX257" s="6">
        <v>0.84064000000000005</v>
      </c>
      <c r="AY257" s="19">
        <v>-0.4839</v>
      </c>
      <c r="AZ257" s="6">
        <v>0.80940000000000001</v>
      </c>
      <c r="BA257" s="6">
        <v>255</v>
      </c>
      <c r="BN257" s="17">
        <v>255</v>
      </c>
      <c r="BO257" s="6">
        <v>38.902241029999999</v>
      </c>
      <c r="BP257" s="6">
        <v>43.205782290000002</v>
      </c>
      <c r="BQ257" s="19">
        <v>-4.3035412600000003</v>
      </c>
    </row>
    <row r="258" spans="1:69" x14ac:dyDescent="0.25">
      <c r="A258" s="31" t="s">
        <v>156</v>
      </c>
      <c r="B258" s="32">
        <v>2</v>
      </c>
      <c r="C258" s="32">
        <v>1</v>
      </c>
      <c r="D258" s="32">
        <v>4</v>
      </c>
      <c r="E258" s="32">
        <v>27</v>
      </c>
      <c r="F258" s="2">
        <v>55.6</v>
      </c>
      <c r="G258">
        <v>38.203097107740327</v>
      </c>
      <c r="H258" s="59" t="s">
        <v>12</v>
      </c>
      <c r="I258" t="s">
        <v>12</v>
      </c>
      <c r="AD258" s="17">
        <v>256</v>
      </c>
      <c r="AE258" s="6">
        <v>3.0375899999999998</v>
      </c>
      <c r="AF258" s="19">
        <v>-4.0812999999999997</v>
      </c>
      <c r="AG258" s="6">
        <v>2.9249000000000001</v>
      </c>
      <c r="AH258" s="6">
        <v>255</v>
      </c>
      <c r="AJ258" s="17">
        <v>256</v>
      </c>
      <c r="AK258" s="6">
        <v>5.7599400000000003</v>
      </c>
      <c r="AL258" s="19">
        <v>-4.0812999999999997</v>
      </c>
      <c r="AM258" s="6">
        <v>2.9249000000000001</v>
      </c>
      <c r="AN258" s="6">
        <v>255</v>
      </c>
      <c r="AQ258" s="17">
        <v>256</v>
      </c>
      <c r="AR258" s="6">
        <v>1.5880700000000001</v>
      </c>
      <c r="AS258" s="6">
        <v>1.0185</v>
      </c>
      <c r="AT258" s="6">
        <v>0.80640000000000001</v>
      </c>
      <c r="AU258" s="6">
        <v>255</v>
      </c>
      <c r="AW258" s="17">
        <v>256</v>
      </c>
      <c r="AX258" s="6">
        <v>0.83748999999999996</v>
      </c>
      <c r="AY258" s="6">
        <v>1.0185</v>
      </c>
      <c r="AZ258" s="6">
        <v>0.80640000000000001</v>
      </c>
      <c r="BA258" s="6">
        <v>255</v>
      </c>
      <c r="BN258" s="17">
        <v>256</v>
      </c>
      <c r="BO258" s="6">
        <v>53.485671629999999</v>
      </c>
      <c r="BP258" s="6">
        <v>49.849015090000002</v>
      </c>
      <c r="BQ258" s="6">
        <v>3.6366565400000002</v>
      </c>
    </row>
    <row r="259" spans="1:69" x14ac:dyDescent="0.25">
      <c r="A259" s="31" t="s">
        <v>156</v>
      </c>
      <c r="B259" s="32">
        <v>3</v>
      </c>
      <c r="C259" s="32">
        <v>12</v>
      </c>
      <c r="D259" s="32">
        <v>6</v>
      </c>
      <c r="E259" s="32">
        <v>27</v>
      </c>
      <c r="F259" s="2">
        <v>57.9</v>
      </c>
      <c r="G259">
        <v>51.382509015723407</v>
      </c>
      <c r="H259" s="59" t="s">
        <v>12</v>
      </c>
      <c r="I259" t="s">
        <v>12</v>
      </c>
      <c r="AD259" s="17">
        <v>257</v>
      </c>
      <c r="AE259" s="6">
        <v>3.0542600000000002</v>
      </c>
      <c r="AF259" s="6">
        <v>1.7139999999999999E-2</v>
      </c>
      <c r="AG259" s="6">
        <v>2.9409000000000001</v>
      </c>
      <c r="AH259" s="6">
        <v>255</v>
      </c>
      <c r="AJ259" s="17">
        <v>257</v>
      </c>
      <c r="AK259" s="6">
        <v>5.79155</v>
      </c>
      <c r="AL259" s="6">
        <v>1.7139999999999999E-2</v>
      </c>
      <c r="AM259" s="6">
        <v>2.9409000000000001</v>
      </c>
      <c r="AN259" s="6">
        <v>255</v>
      </c>
      <c r="AQ259" s="17">
        <v>257</v>
      </c>
      <c r="AR259" s="6">
        <v>1.5999099999999999</v>
      </c>
      <c r="AS259" s="6">
        <v>1.4057999999999999</v>
      </c>
      <c r="AT259" s="6">
        <v>0.81240000000000001</v>
      </c>
      <c r="AU259" s="6">
        <v>255</v>
      </c>
      <c r="AW259" s="17">
        <v>257</v>
      </c>
      <c r="AX259" s="6">
        <v>0.84374000000000005</v>
      </c>
      <c r="AY259" s="6">
        <v>1.4057999999999999</v>
      </c>
      <c r="AZ259" s="6">
        <v>0.81240000000000001</v>
      </c>
      <c r="BA259" s="6">
        <v>255</v>
      </c>
      <c r="BN259" s="17">
        <v>257</v>
      </c>
      <c r="BO259" s="6">
        <v>38.203097110000002</v>
      </c>
      <c r="BP259" s="6">
        <v>47.284262560000002</v>
      </c>
      <c r="BQ259" s="19">
        <v>-9.0811654500000003</v>
      </c>
    </row>
    <row r="260" spans="1:69" x14ac:dyDescent="0.25">
      <c r="A260" s="31" t="s">
        <v>156</v>
      </c>
      <c r="B260" s="32">
        <v>1</v>
      </c>
      <c r="C260" s="32">
        <v>13</v>
      </c>
      <c r="D260" s="32">
        <v>1</v>
      </c>
      <c r="E260" s="32">
        <v>31</v>
      </c>
      <c r="F260" s="2">
        <v>56.4</v>
      </c>
      <c r="G260">
        <v>44.860016392652241</v>
      </c>
      <c r="H260" s="59">
        <v>14.7</v>
      </c>
      <c r="I260">
        <v>1</v>
      </c>
      <c r="AD260" s="17">
        <v>258</v>
      </c>
      <c r="AE260" s="6">
        <v>3.04922</v>
      </c>
      <c r="AF260" s="19">
        <v>-3.7389000000000001</v>
      </c>
      <c r="AG260" s="6">
        <v>2.9359999999999999</v>
      </c>
      <c r="AH260" s="6">
        <v>255</v>
      </c>
      <c r="AJ260" s="17">
        <v>258</v>
      </c>
      <c r="AK260" s="6">
        <v>5.7819900000000004</v>
      </c>
      <c r="AL260" s="19">
        <v>-3.7389000000000001</v>
      </c>
      <c r="AM260" s="6">
        <v>2.9359999999999999</v>
      </c>
      <c r="AN260" s="6">
        <v>255</v>
      </c>
      <c r="AQ260" s="17">
        <v>258</v>
      </c>
      <c r="AR260" s="6">
        <v>1.5907899999999999</v>
      </c>
      <c r="AS260" s="6">
        <v>1.4807999999999999</v>
      </c>
      <c r="AT260" s="6">
        <v>0.80779999999999996</v>
      </c>
      <c r="AU260" s="6">
        <v>255</v>
      </c>
      <c r="AW260" s="17">
        <v>258</v>
      </c>
      <c r="AX260" s="6">
        <v>0.83892999999999995</v>
      </c>
      <c r="AY260" s="6">
        <v>1.4807999999999999</v>
      </c>
      <c r="AZ260" s="6">
        <v>0.80779999999999996</v>
      </c>
      <c r="BA260" s="6">
        <v>255</v>
      </c>
      <c r="BN260" s="17">
        <v>258</v>
      </c>
      <c r="BO260" s="6">
        <v>51.382509020000001</v>
      </c>
      <c r="BP260" s="6">
        <v>45.938000109999997</v>
      </c>
      <c r="BQ260" s="6">
        <v>5.4445089099999997</v>
      </c>
    </row>
    <row r="261" spans="1:69" x14ac:dyDescent="0.25">
      <c r="A261" s="31" t="s">
        <v>156</v>
      </c>
      <c r="B261" s="32">
        <v>2</v>
      </c>
      <c r="C261" s="32">
        <v>23</v>
      </c>
      <c r="D261" s="32">
        <v>3</v>
      </c>
      <c r="E261" s="32">
        <v>31</v>
      </c>
      <c r="F261" s="2">
        <v>58.6</v>
      </c>
      <c r="G261">
        <v>44.320268068077723</v>
      </c>
      <c r="H261" s="61" t="s">
        <v>12</v>
      </c>
      <c r="I261" t="s">
        <v>12</v>
      </c>
      <c r="AD261" s="17">
        <v>259</v>
      </c>
      <c r="AE261" s="6">
        <v>3.05185</v>
      </c>
      <c r="AF261" s="19">
        <v>-7.2592999999999996</v>
      </c>
      <c r="AG261" s="6">
        <v>2.9386000000000001</v>
      </c>
      <c r="AH261" s="6">
        <v>255</v>
      </c>
      <c r="AJ261" s="17">
        <v>259</v>
      </c>
      <c r="AK261" s="6">
        <v>5.7869700000000002</v>
      </c>
      <c r="AL261" s="19">
        <v>-7.2592999999999996</v>
      </c>
      <c r="AM261" s="6">
        <v>2.9386000000000001</v>
      </c>
      <c r="AN261" s="6">
        <v>255</v>
      </c>
      <c r="AQ261" s="17">
        <v>259</v>
      </c>
      <c r="AR261" s="6">
        <v>1.5914299999999999</v>
      </c>
      <c r="AS261" s="19">
        <v>-0.46400000000000002</v>
      </c>
      <c r="AT261" s="6">
        <v>0.80810000000000004</v>
      </c>
      <c r="AU261" s="6">
        <v>255</v>
      </c>
      <c r="AW261" s="17">
        <v>259</v>
      </c>
      <c r="AX261" s="6">
        <v>0.83926000000000001</v>
      </c>
      <c r="AY261" s="19">
        <v>-0.46400000000000002</v>
      </c>
      <c r="AZ261" s="6">
        <v>0.80810000000000004</v>
      </c>
      <c r="BA261" s="6">
        <v>255</v>
      </c>
      <c r="BN261" s="17">
        <v>259</v>
      </c>
      <c r="BO261" s="6">
        <v>44.860016389999998</v>
      </c>
      <c r="BP261" s="6">
        <v>41.182100830000003</v>
      </c>
      <c r="BQ261" s="6">
        <v>3.6779155600000002</v>
      </c>
    </row>
    <row r="262" spans="1:69" x14ac:dyDescent="0.25">
      <c r="A262" s="31" t="s">
        <v>156</v>
      </c>
      <c r="B262" s="32">
        <v>3</v>
      </c>
      <c r="C262" s="32">
        <v>5</v>
      </c>
      <c r="D262" s="32">
        <v>5</v>
      </c>
      <c r="E262" s="32">
        <v>31</v>
      </c>
      <c r="F262" s="2">
        <v>50</v>
      </c>
      <c r="G262">
        <v>27.89025050778605</v>
      </c>
      <c r="H262" s="59" t="s">
        <v>12</v>
      </c>
      <c r="I262" t="s">
        <v>12</v>
      </c>
      <c r="AD262" s="17">
        <v>260</v>
      </c>
      <c r="AE262" s="6">
        <v>3.0462500000000001</v>
      </c>
      <c r="AF262" s="19">
        <v>-6.931</v>
      </c>
      <c r="AG262" s="6">
        <v>2.9331999999999998</v>
      </c>
      <c r="AH262" s="6">
        <v>255</v>
      </c>
      <c r="AJ262" s="17">
        <v>260</v>
      </c>
      <c r="AK262" s="6">
        <v>5.7763499999999999</v>
      </c>
      <c r="AL262" s="19">
        <v>-6.931</v>
      </c>
      <c r="AM262" s="6">
        <v>2.9331999999999998</v>
      </c>
      <c r="AN262" s="6">
        <v>255</v>
      </c>
      <c r="AQ262" s="17">
        <v>260</v>
      </c>
      <c r="AR262" s="6">
        <v>1.5895300000000001</v>
      </c>
      <c r="AS262" s="6">
        <v>0.37830000000000003</v>
      </c>
      <c r="AT262" s="6">
        <v>0.80720000000000003</v>
      </c>
      <c r="AU262" s="6">
        <v>255</v>
      </c>
      <c r="AW262" s="17">
        <v>260</v>
      </c>
      <c r="AX262" s="6">
        <v>0.83826000000000001</v>
      </c>
      <c r="AY262" s="6">
        <v>0.37830000000000003</v>
      </c>
      <c r="AZ262" s="6">
        <v>0.80720000000000003</v>
      </c>
      <c r="BA262" s="6">
        <v>255</v>
      </c>
      <c r="BN262" s="17">
        <v>260</v>
      </c>
      <c r="BO262" s="6">
        <v>44.320268069999997</v>
      </c>
      <c r="BP262" s="6">
        <v>38.617348300000003</v>
      </c>
      <c r="BQ262" s="6">
        <v>5.7029197700000003</v>
      </c>
    </row>
    <row r="263" spans="1:69" x14ac:dyDescent="0.25">
      <c r="A263" s="31" t="s">
        <v>156</v>
      </c>
      <c r="B263" s="32">
        <v>1</v>
      </c>
      <c r="C263" s="32">
        <v>5</v>
      </c>
      <c r="D263" s="32">
        <v>2</v>
      </c>
      <c r="E263" s="32">
        <v>23</v>
      </c>
      <c r="F263" s="2">
        <v>50.2</v>
      </c>
      <c r="G263">
        <v>29.808967985298384</v>
      </c>
      <c r="H263" s="59">
        <v>17.5</v>
      </c>
      <c r="I263">
        <v>3</v>
      </c>
      <c r="AD263" s="17">
        <v>261</v>
      </c>
      <c r="AE263" s="6">
        <v>3.0446</v>
      </c>
      <c r="AF263" s="19">
        <v>-4.4130000000000003</v>
      </c>
      <c r="AG263" s="6">
        <v>2.9316</v>
      </c>
      <c r="AH263" s="6">
        <v>255</v>
      </c>
      <c r="AJ263" s="17">
        <v>261</v>
      </c>
      <c r="AK263" s="6">
        <v>5.7732200000000002</v>
      </c>
      <c r="AL263" s="19">
        <v>-4.4130000000000003</v>
      </c>
      <c r="AM263" s="6">
        <v>2.9316</v>
      </c>
      <c r="AN263" s="6">
        <v>255</v>
      </c>
      <c r="AQ263" s="17">
        <v>261</v>
      </c>
      <c r="AR263" s="6">
        <v>1.5894200000000001</v>
      </c>
      <c r="AS263" s="19">
        <v>-1.2907999999999999</v>
      </c>
      <c r="AT263" s="6">
        <v>0.80710000000000004</v>
      </c>
      <c r="AU263" s="6">
        <v>255</v>
      </c>
      <c r="AW263" s="17">
        <v>261</v>
      </c>
      <c r="AX263" s="6">
        <v>0.83821000000000001</v>
      </c>
      <c r="AY263" s="19">
        <v>-1.2907999999999999</v>
      </c>
      <c r="AZ263" s="6">
        <v>0.80710000000000004</v>
      </c>
      <c r="BA263" s="6">
        <v>255</v>
      </c>
      <c r="BN263" s="17">
        <v>261</v>
      </c>
      <c r="BO263" s="6">
        <v>27.890250510000001</v>
      </c>
      <c r="BP263" s="6">
        <v>37.271085849999999</v>
      </c>
      <c r="BQ263" s="19">
        <v>-9.3808353400000009</v>
      </c>
    </row>
    <row r="264" spans="1:69" x14ac:dyDescent="0.25">
      <c r="A264" s="31" t="s">
        <v>156</v>
      </c>
      <c r="B264" s="32">
        <v>2</v>
      </c>
      <c r="C264" s="32">
        <v>20</v>
      </c>
      <c r="D264" s="32">
        <v>3</v>
      </c>
      <c r="E264" s="32">
        <v>23</v>
      </c>
      <c r="F264" s="2">
        <v>56.2</v>
      </c>
      <c r="G264">
        <v>34.622974398534296</v>
      </c>
      <c r="H264" s="59" t="s">
        <v>12</v>
      </c>
      <c r="I264" t="s">
        <v>12</v>
      </c>
      <c r="AD264" s="17">
        <v>262</v>
      </c>
      <c r="AE264" s="6">
        <v>3.0598200000000002</v>
      </c>
      <c r="AF264" s="19">
        <v>-2.7347000000000001</v>
      </c>
      <c r="AG264" s="6">
        <v>2.9462999999999999</v>
      </c>
      <c r="AH264" s="6">
        <v>255</v>
      </c>
      <c r="AJ264" s="17">
        <v>262</v>
      </c>
      <c r="AK264" s="6">
        <v>5.8020899999999997</v>
      </c>
      <c r="AL264" s="19">
        <v>-2.7347000000000001</v>
      </c>
      <c r="AM264" s="6">
        <v>2.9462999999999999</v>
      </c>
      <c r="AN264" s="6">
        <v>255</v>
      </c>
      <c r="AQ264" s="17">
        <v>262</v>
      </c>
      <c r="AR264" s="6">
        <v>1.6016300000000001</v>
      </c>
      <c r="AS264" s="19">
        <v>-0.90990000000000004</v>
      </c>
      <c r="AT264" s="6">
        <v>0.81330000000000002</v>
      </c>
      <c r="AU264" s="6">
        <v>255</v>
      </c>
      <c r="AW264" s="17">
        <v>262</v>
      </c>
      <c r="AX264" s="6">
        <v>0.84463999999999995</v>
      </c>
      <c r="AY264" s="19">
        <v>-0.90990000000000004</v>
      </c>
      <c r="AZ264" s="6">
        <v>0.81330000000000002</v>
      </c>
      <c r="BA264" s="6">
        <v>255</v>
      </c>
      <c r="BN264" s="17">
        <v>262</v>
      </c>
      <c r="BO264" s="6">
        <v>29.808967989999999</v>
      </c>
      <c r="BP264" s="6">
        <v>36.77133774</v>
      </c>
      <c r="BQ264" s="19">
        <v>-6.9623697499999997</v>
      </c>
    </row>
    <row r="265" spans="1:69" x14ac:dyDescent="0.25">
      <c r="A265" s="31" t="s">
        <v>156</v>
      </c>
      <c r="B265" s="32">
        <v>3</v>
      </c>
      <c r="C265" s="32">
        <v>9</v>
      </c>
      <c r="D265" s="32">
        <v>6</v>
      </c>
      <c r="E265" s="32">
        <v>23</v>
      </c>
      <c r="F265" s="2">
        <v>58.5</v>
      </c>
      <c r="G265">
        <v>39.406303312977819</v>
      </c>
      <c r="H265" s="59" t="s">
        <v>12</v>
      </c>
      <c r="I265" t="s">
        <v>12</v>
      </c>
      <c r="AD265" s="17">
        <v>263</v>
      </c>
      <c r="AE265" s="6">
        <v>3.0444200000000001</v>
      </c>
      <c r="AF265" s="19">
        <v>-5.2168999999999999</v>
      </c>
      <c r="AG265" s="6">
        <v>2.9314</v>
      </c>
      <c r="AH265" s="6">
        <v>255</v>
      </c>
      <c r="AJ265" s="17">
        <v>263</v>
      </c>
      <c r="AK265" s="6">
        <v>5.7728999999999999</v>
      </c>
      <c r="AL265" s="19">
        <v>-5.2168999999999999</v>
      </c>
      <c r="AM265" s="6">
        <v>2.9314</v>
      </c>
      <c r="AN265" s="6">
        <v>255</v>
      </c>
      <c r="AQ265" s="17">
        <v>263</v>
      </c>
      <c r="AR265" s="6">
        <v>1.6138300000000001</v>
      </c>
      <c r="AS265" s="6">
        <v>0.46850000000000003</v>
      </c>
      <c r="AT265" s="6">
        <v>0.81950000000000001</v>
      </c>
      <c r="AU265" s="6">
        <v>255</v>
      </c>
      <c r="AW265" s="17">
        <v>263</v>
      </c>
      <c r="AX265" s="6">
        <v>0.85107999999999995</v>
      </c>
      <c r="AY265" s="6">
        <v>0.46850000000000003</v>
      </c>
      <c r="AZ265" s="6">
        <v>0.81950000000000001</v>
      </c>
      <c r="BA265" s="6">
        <v>255</v>
      </c>
      <c r="BN265" s="17">
        <v>263</v>
      </c>
      <c r="BO265" s="6">
        <v>34.622974399999997</v>
      </c>
      <c r="BP265" s="6">
        <v>34.20658521</v>
      </c>
      <c r="BQ265" s="6">
        <v>0.41638919000000002</v>
      </c>
    </row>
    <row r="266" spans="1:69" x14ac:dyDescent="0.25">
      <c r="A266" s="31" t="s">
        <v>156</v>
      </c>
      <c r="B266" s="32">
        <v>1</v>
      </c>
      <c r="C266" s="32">
        <v>25</v>
      </c>
      <c r="D266" s="32">
        <v>1</v>
      </c>
      <c r="E266" s="32">
        <v>28</v>
      </c>
      <c r="F266" s="12">
        <v>55.2</v>
      </c>
      <c r="G266">
        <v>45.142014367677554</v>
      </c>
      <c r="H266" s="59">
        <v>14.3</v>
      </c>
      <c r="I266">
        <v>2</v>
      </c>
      <c r="AD266" s="17">
        <v>264</v>
      </c>
      <c r="AE266" s="6">
        <v>3.0719400000000001</v>
      </c>
      <c r="AF266" s="19">
        <v>-3.2566000000000002</v>
      </c>
      <c r="AG266" s="6">
        <v>2.9579</v>
      </c>
      <c r="AH266" s="6">
        <v>255</v>
      </c>
      <c r="AJ266" s="17">
        <v>264</v>
      </c>
      <c r="AK266" s="6">
        <v>5.8250700000000002</v>
      </c>
      <c r="AL266" s="19">
        <v>-3.2566000000000002</v>
      </c>
      <c r="AM266" s="6">
        <v>2.9579</v>
      </c>
      <c r="AN266" s="6">
        <v>255</v>
      </c>
      <c r="AQ266" s="17">
        <v>264</v>
      </c>
      <c r="AR266" s="6">
        <v>1.60121</v>
      </c>
      <c r="AS266" s="6">
        <v>0.37940000000000002</v>
      </c>
      <c r="AT266" s="6">
        <v>0.81310000000000004</v>
      </c>
      <c r="AU266" s="6">
        <v>255</v>
      </c>
      <c r="AW266" s="17">
        <v>264</v>
      </c>
      <c r="AX266" s="6">
        <v>0.84441999999999995</v>
      </c>
      <c r="AY266" s="6">
        <v>0.37940000000000002</v>
      </c>
      <c r="AZ266" s="6">
        <v>0.81310000000000004</v>
      </c>
      <c r="BA266" s="6">
        <v>255</v>
      </c>
      <c r="BN266" s="17">
        <v>264</v>
      </c>
      <c r="BO266" s="6">
        <v>39.406303309999998</v>
      </c>
      <c r="BP266" s="6">
        <v>32.860322760000003</v>
      </c>
      <c r="BQ266" s="6">
        <v>6.5459805500000003</v>
      </c>
    </row>
    <row r="267" spans="1:69" x14ac:dyDescent="0.25">
      <c r="A267" s="31" t="s">
        <v>156</v>
      </c>
      <c r="B267" s="32">
        <v>2</v>
      </c>
      <c r="C267" s="32">
        <v>4</v>
      </c>
      <c r="D267" s="32">
        <v>4</v>
      </c>
      <c r="E267" s="32">
        <v>28</v>
      </c>
      <c r="F267" s="12">
        <v>52.8</v>
      </c>
      <c r="G267">
        <v>30.528291469541038</v>
      </c>
      <c r="H267" s="61" t="s">
        <v>12</v>
      </c>
      <c r="I267" t="s">
        <v>12</v>
      </c>
      <c r="AD267" s="17">
        <v>265</v>
      </c>
      <c r="AE267" s="6">
        <v>3.0514899999999998</v>
      </c>
      <c r="AF267" s="19">
        <v>-11.322699999999999</v>
      </c>
      <c r="AG267" s="6">
        <v>2.9382000000000001</v>
      </c>
      <c r="AH267" s="6">
        <v>255</v>
      </c>
      <c r="AJ267" s="17">
        <v>265</v>
      </c>
      <c r="AK267" s="6">
        <v>5.7862999999999998</v>
      </c>
      <c r="AL267" s="19">
        <v>-11.322699999999999</v>
      </c>
      <c r="AM267" s="6">
        <v>2.9382000000000001</v>
      </c>
      <c r="AN267" s="6">
        <v>255</v>
      </c>
      <c r="AQ267" s="17">
        <v>265</v>
      </c>
      <c r="AR267" s="6">
        <v>1.59528</v>
      </c>
      <c r="AS267" s="19">
        <v>-3.1489999999999997E-2</v>
      </c>
      <c r="AT267" s="6">
        <v>0.81010000000000004</v>
      </c>
      <c r="AU267" s="6">
        <v>255</v>
      </c>
      <c r="AW267" s="17">
        <v>265</v>
      </c>
      <c r="AX267" s="6">
        <v>0.84128999999999998</v>
      </c>
      <c r="AY267" s="19">
        <v>-3.1489999999999997E-2</v>
      </c>
      <c r="AZ267" s="6">
        <v>0.81010000000000004</v>
      </c>
      <c r="BA267" s="6">
        <v>255</v>
      </c>
      <c r="BN267" s="17">
        <v>265</v>
      </c>
      <c r="BO267" s="6">
        <v>45.142014369999998</v>
      </c>
      <c r="BP267" s="6">
        <v>43.960455189999998</v>
      </c>
      <c r="BQ267" s="6">
        <v>1.18155918</v>
      </c>
    </row>
    <row r="268" spans="1:69" x14ac:dyDescent="0.25">
      <c r="A268" s="31" t="s">
        <v>156</v>
      </c>
      <c r="B268" s="32">
        <v>3</v>
      </c>
      <c r="C268" s="32">
        <v>21</v>
      </c>
      <c r="D268" s="32">
        <v>6</v>
      </c>
      <c r="E268" s="32">
        <v>28</v>
      </c>
      <c r="F268" s="12">
        <v>55.4</v>
      </c>
      <c r="G268">
        <v>49.735292205606576</v>
      </c>
      <c r="H268" s="59" t="s">
        <v>12</v>
      </c>
      <c r="I268" t="s">
        <v>12</v>
      </c>
      <c r="AD268" s="17">
        <v>266</v>
      </c>
      <c r="AE268" s="6">
        <v>3.0503399999999998</v>
      </c>
      <c r="AF268" s="19">
        <v>-6.2798999999999996</v>
      </c>
      <c r="AG268" s="6">
        <v>2.9371</v>
      </c>
      <c r="AH268" s="6">
        <v>255</v>
      </c>
      <c r="AJ268" s="17">
        <v>266</v>
      </c>
      <c r="AK268" s="6">
        <v>5.7841100000000001</v>
      </c>
      <c r="AL268" s="19">
        <v>-6.2798999999999996</v>
      </c>
      <c r="AM268" s="6">
        <v>2.9371</v>
      </c>
      <c r="AN268" s="6">
        <v>255</v>
      </c>
      <c r="AQ268" s="17">
        <v>266</v>
      </c>
      <c r="AR268" s="6">
        <v>1.5910599999999999</v>
      </c>
      <c r="AS268" s="6">
        <v>0.2409</v>
      </c>
      <c r="AT268" s="6">
        <v>0.80789999999999995</v>
      </c>
      <c r="AU268" s="6">
        <v>255</v>
      </c>
      <c r="AW268" s="17">
        <v>266</v>
      </c>
      <c r="AX268" s="6">
        <v>0.83906999999999998</v>
      </c>
      <c r="AY268" s="6">
        <v>0.2409</v>
      </c>
      <c r="AZ268" s="6">
        <v>0.80789999999999995</v>
      </c>
      <c r="BA268" s="6">
        <v>255</v>
      </c>
      <c r="BN268" s="17">
        <v>266</v>
      </c>
      <c r="BO268" s="6">
        <v>30.528291469999999</v>
      </c>
      <c r="BP268" s="6">
        <v>41.395702659999998</v>
      </c>
      <c r="BQ268" s="19">
        <v>-10.86741119</v>
      </c>
    </row>
    <row r="269" spans="1:69" x14ac:dyDescent="0.25">
      <c r="A269" s="31" t="s">
        <v>156</v>
      </c>
      <c r="B269" s="32">
        <v>1</v>
      </c>
      <c r="C269" s="32">
        <v>22</v>
      </c>
      <c r="D269" s="32">
        <v>1</v>
      </c>
      <c r="E269" s="32">
        <v>46</v>
      </c>
      <c r="F269" s="12">
        <v>58.7</v>
      </c>
      <c r="G269">
        <v>54.638229352490235</v>
      </c>
      <c r="H269" s="59">
        <v>14.3</v>
      </c>
      <c r="I269">
        <v>2</v>
      </c>
      <c r="AD269" s="17">
        <v>267</v>
      </c>
      <c r="AE269" s="6">
        <v>3.0474000000000001</v>
      </c>
      <c r="AF269" s="19">
        <v>-3.8026</v>
      </c>
      <c r="AG269" s="6">
        <v>2.9342999999999999</v>
      </c>
      <c r="AH269" s="6">
        <v>255</v>
      </c>
      <c r="AJ269" s="17">
        <v>267</v>
      </c>
      <c r="AK269" s="6">
        <v>5.7785399999999996</v>
      </c>
      <c r="AL269" s="19">
        <v>-3.8026</v>
      </c>
      <c r="AM269" s="6">
        <v>2.9342999999999999</v>
      </c>
      <c r="AN269" s="6">
        <v>255</v>
      </c>
      <c r="AQ269" s="17">
        <v>267</v>
      </c>
      <c r="AR269" s="6">
        <v>1.59091</v>
      </c>
      <c r="AS269" s="6">
        <v>0.76480000000000004</v>
      </c>
      <c r="AT269" s="6">
        <v>0.80789999999999995</v>
      </c>
      <c r="AU269" s="6">
        <v>255</v>
      </c>
      <c r="AW269" s="17">
        <v>267</v>
      </c>
      <c r="AX269" s="6">
        <v>0.83899000000000001</v>
      </c>
      <c r="AY269" s="6">
        <v>0.76480000000000004</v>
      </c>
      <c r="AZ269" s="6">
        <v>0.80789999999999995</v>
      </c>
      <c r="BA269" s="6">
        <v>255</v>
      </c>
      <c r="BN269" s="17">
        <v>267</v>
      </c>
      <c r="BO269" s="6">
        <v>49.735292209999997</v>
      </c>
      <c r="BP269" s="6">
        <v>40.04944021</v>
      </c>
      <c r="BQ269" s="6">
        <v>9.6858520000000006</v>
      </c>
    </row>
    <row r="270" spans="1:69" x14ac:dyDescent="0.25">
      <c r="A270" s="31" t="s">
        <v>156</v>
      </c>
      <c r="B270" s="32">
        <v>2</v>
      </c>
      <c r="C270" s="32">
        <v>9</v>
      </c>
      <c r="D270" s="32">
        <v>3</v>
      </c>
      <c r="E270" s="32">
        <v>46</v>
      </c>
      <c r="F270" s="12">
        <v>57.2</v>
      </c>
      <c r="G270">
        <v>49.231032737090779</v>
      </c>
      <c r="H270" s="59" t="s">
        <v>12</v>
      </c>
      <c r="I270" t="s">
        <v>12</v>
      </c>
      <c r="AD270" s="17">
        <v>268</v>
      </c>
      <c r="AE270" s="6">
        <v>3.0541399999999999</v>
      </c>
      <c r="AF270" s="19">
        <v>-5.7218999999999998</v>
      </c>
      <c r="AG270" s="6">
        <v>2.9407999999999999</v>
      </c>
      <c r="AH270" s="6">
        <v>255</v>
      </c>
      <c r="AJ270" s="17">
        <v>268</v>
      </c>
      <c r="AK270" s="6">
        <v>5.7913300000000003</v>
      </c>
      <c r="AL270" s="19">
        <v>-5.7218999999999998</v>
      </c>
      <c r="AM270" s="6">
        <v>2.9407999999999999</v>
      </c>
      <c r="AN270" s="6">
        <v>255</v>
      </c>
      <c r="AQ270" s="17">
        <v>268</v>
      </c>
      <c r="AR270" s="6">
        <v>1.59335</v>
      </c>
      <c r="AS270" s="19">
        <v>-0.41789999999999999</v>
      </c>
      <c r="AT270" s="6">
        <v>0.80910000000000004</v>
      </c>
      <c r="AU270" s="6">
        <v>255</v>
      </c>
      <c r="AW270" s="17">
        <v>268</v>
      </c>
      <c r="AX270" s="6">
        <v>0.84028000000000003</v>
      </c>
      <c r="AY270" s="19">
        <v>-0.41789999999999999</v>
      </c>
      <c r="AZ270" s="6">
        <v>0.80910000000000004</v>
      </c>
      <c r="BA270" s="6">
        <v>255</v>
      </c>
      <c r="BN270" s="17">
        <v>268</v>
      </c>
      <c r="BO270" s="6">
        <v>54.638229350000003</v>
      </c>
      <c r="BP270" s="6">
        <v>51.752996779999997</v>
      </c>
      <c r="BQ270" s="6">
        <v>2.8852325699999999</v>
      </c>
    </row>
    <row r="271" spans="1:69" x14ac:dyDescent="0.25">
      <c r="A271" s="31" t="s">
        <v>156</v>
      </c>
      <c r="B271" s="32">
        <v>3</v>
      </c>
      <c r="C271" s="32">
        <v>3</v>
      </c>
      <c r="D271" s="32">
        <v>5</v>
      </c>
      <c r="E271" s="32">
        <v>46</v>
      </c>
      <c r="F271" s="12">
        <v>55.8</v>
      </c>
      <c r="G271">
        <v>44.913960731211908</v>
      </c>
      <c r="H271" s="59" t="s">
        <v>12</v>
      </c>
      <c r="I271" t="s">
        <v>12</v>
      </c>
      <c r="AD271" s="17">
        <v>269</v>
      </c>
      <c r="AE271" s="6">
        <v>3.04284</v>
      </c>
      <c r="AF271" s="19">
        <v>-4.4108999999999998</v>
      </c>
      <c r="AG271" s="6">
        <v>2.9298999999999999</v>
      </c>
      <c r="AH271" s="6">
        <v>255</v>
      </c>
      <c r="AJ271" s="17">
        <v>269</v>
      </c>
      <c r="AK271" s="6">
        <v>5.7698900000000002</v>
      </c>
      <c r="AL271" s="19">
        <v>-4.4108999999999998</v>
      </c>
      <c r="AM271" s="6">
        <v>2.9298999999999999</v>
      </c>
      <c r="AN271" s="6">
        <v>255</v>
      </c>
      <c r="AQ271" s="17">
        <v>269</v>
      </c>
      <c r="AR271" s="6">
        <v>1.5901400000000001</v>
      </c>
      <c r="AS271" s="19">
        <v>-0.60629999999999995</v>
      </c>
      <c r="AT271" s="6">
        <v>0.8075</v>
      </c>
      <c r="AU271" s="6">
        <v>255</v>
      </c>
      <c r="AW271" s="17">
        <v>269</v>
      </c>
      <c r="AX271" s="6">
        <v>0.83858999999999995</v>
      </c>
      <c r="AY271" s="19">
        <v>-0.60629999999999995</v>
      </c>
      <c r="AZ271" s="6">
        <v>0.8075</v>
      </c>
      <c r="BA271" s="6">
        <v>255</v>
      </c>
      <c r="BN271" s="17">
        <v>269</v>
      </c>
      <c r="BO271" s="6">
        <v>49.231032740000003</v>
      </c>
      <c r="BP271" s="6">
        <v>49.188244249999997</v>
      </c>
      <c r="BQ271" s="6">
        <v>4.2788489999999998E-2</v>
      </c>
    </row>
    <row r="272" spans="1:69" x14ac:dyDescent="0.25">
      <c r="A272" s="31" t="s">
        <v>156</v>
      </c>
      <c r="B272" s="32">
        <v>1</v>
      </c>
      <c r="C272" s="32">
        <v>12</v>
      </c>
      <c r="D272" s="32">
        <v>2</v>
      </c>
      <c r="E272" s="32">
        <v>47</v>
      </c>
      <c r="F272" s="2">
        <v>58.1</v>
      </c>
      <c r="G272">
        <v>52.83391285424122</v>
      </c>
      <c r="H272" s="59">
        <v>14.4</v>
      </c>
      <c r="I272">
        <v>4</v>
      </c>
      <c r="AD272" s="17">
        <v>270</v>
      </c>
      <c r="AE272" s="6">
        <v>3.05199</v>
      </c>
      <c r="AF272" s="19">
        <v>-2.5171999999999999</v>
      </c>
      <c r="AG272" s="6">
        <v>2.9386999999999999</v>
      </c>
      <c r="AH272" s="6">
        <v>255</v>
      </c>
      <c r="AJ272" s="17">
        <v>270</v>
      </c>
      <c r="AK272" s="6">
        <v>5.7872500000000002</v>
      </c>
      <c r="AL272" s="19">
        <v>-2.5171999999999999</v>
      </c>
      <c r="AM272" s="6">
        <v>2.9386999999999999</v>
      </c>
      <c r="AN272" s="6">
        <v>255</v>
      </c>
      <c r="AQ272" s="17">
        <v>270</v>
      </c>
      <c r="AR272" s="6">
        <v>1.5911299999999999</v>
      </c>
      <c r="AS272" s="6">
        <v>0.32329999999999998</v>
      </c>
      <c r="AT272" s="6">
        <v>0.80800000000000005</v>
      </c>
      <c r="AU272" s="6">
        <v>255</v>
      </c>
      <c r="AW272" s="17">
        <v>270</v>
      </c>
      <c r="AX272" s="6">
        <v>0.83909999999999996</v>
      </c>
      <c r="AY272" s="6">
        <v>0.32329999999999998</v>
      </c>
      <c r="AZ272" s="6">
        <v>0.80800000000000005</v>
      </c>
      <c r="BA272" s="6">
        <v>255</v>
      </c>
      <c r="BN272" s="17">
        <v>270</v>
      </c>
      <c r="BO272" s="6">
        <v>44.913960729999999</v>
      </c>
      <c r="BP272" s="6">
        <v>47.841981799999999</v>
      </c>
      <c r="BQ272" s="19">
        <v>-2.9280210699999998</v>
      </c>
    </row>
    <row r="273" spans="1:69" x14ac:dyDescent="0.25">
      <c r="A273" s="31" t="s">
        <v>156</v>
      </c>
      <c r="B273" s="32">
        <v>2</v>
      </c>
      <c r="C273" s="32">
        <v>8</v>
      </c>
      <c r="D273" s="32">
        <v>4</v>
      </c>
      <c r="E273" s="32">
        <v>47</v>
      </c>
      <c r="F273" s="2">
        <v>59.1</v>
      </c>
      <c r="G273">
        <v>45.974546407842759</v>
      </c>
      <c r="H273" s="59" t="s">
        <v>12</v>
      </c>
      <c r="I273" t="s">
        <v>12</v>
      </c>
      <c r="AD273" s="17">
        <v>271</v>
      </c>
      <c r="AE273" s="6">
        <v>3.0708099999999998</v>
      </c>
      <c r="AF273" s="19">
        <v>-8.6669999999999998</v>
      </c>
      <c r="AG273" s="6">
        <v>2.9567999999999999</v>
      </c>
      <c r="AH273" s="6">
        <v>255</v>
      </c>
      <c r="AJ273" s="17">
        <v>271</v>
      </c>
      <c r="AK273" s="6">
        <v>5.82294</v>
      </c>
      <c r="AL273" s="19">
        <v>-8.6669999999999998</v>
      </c>
      <c r="AM273" s="6">
        <v>2.9567999999999999</v>
      </c>
      <c r="AN273" s="6">
        <v>255</v>
      </c>
      <c r="AQ273" s="17">
        <v>271</v>
      </c>
      <c r="AR273" s="6">
        <v>1.6021099999999999</v>
      </c>
      <c r="AS273" s="19">
        <v>-2.0411999999999999</v>
      </c>
      <c r="AT273" s="6">
        <v>0.8135</v>
      </c>
      <c r="AU273" s="6">
        <v>255</v>
      </c>
      <c r="AW273" s="17">
        <v>271</v>
      </c>
      <c r="AX273" s="6">
        <v>0.84489999999999998</v>
      </c>
      <c r="AY273" s="19">
        <v>-2.0411999999999999</v>
      </c>
      <c r="AZ273" s="6">
        <v>0.8135</v>
      </c>
      <c r="BA273" s="6">
        <v>255</v>
      </c>
      <c r="BN273" s="17">
        <v>271</v>
      </c>
      <c r="BO273" s="6">
        <v>52.833912849999997</v>
      </c>
      <c r="BP273" s="6">
        <v>50.438242760000001</v>
      </c>
      <c r="BQ273" s="6">
        <v>2.3956700899999999</v>
      </c>
    </row>
    <row r="274" spans="1:69" x14ac:dyDescent="0.25">
      <c r="A274" s="31" t="s">
        <v>156</v>
      </c>
      <c r="B274" s="32">
        <v>3</v>
      </c>
      <c r="C274" s="32">
        <v>16</v>
      </c>
      <c r="D274" s="32">
        <v>6</v>
      </c>
      <c r="E274" s="32">
        <v>47</v>
      </c>
      <c r="F274" s="2">
        <v>59.1</v>
      </c>
      <c r="G274">
        <v>46.030501514641514</v>
      </c>
      <c r="H274" s="59" t="s">
        <v>12</v>
      </c>
      <c r="I274" t="s">
        <v>12</v>
      </c>
      <c r="AD274" s="17">
        <v>272</v>
      </c>
      <c r="AE274" s="6">
        <v>3.0744699999999998</v>
      </c>
      <c r="AF274" s="19">
        <v>-5.5420999999999996</v>
      </c>
      <c r="AG274" s="6">
        <v>2.9603999999999999</v>
      </c>
      <c r="AH274" s="6">
        <v>255</v>
      </c>
      <c r="AJ274" s="17">
        <v>272</v>
      </c>
      <c r="AK274" s="6">
        <v>5.8298699999999997</v>
      </c>
      <c r="AL274" s="19">
        <v>-5.5420999999999996</v>
      </c>
      <c r="AM274" s="6">
        <v>2.9603999999999999</v>
      </c>
      <c r="AN274" s="6">
        <v>255</v>
      </c>
      <c r="AQ274" s="17">
        <v>272</v>
      </c>
      <c r="AR274" s="6">
        <v>1.59595</v>
      </c>
      <c r="AS274" s="6">
        <v>0.33200000000000002</v>
      </c>
      <c r="AT274" s="6">
        <v>0.81040000000000001</v>
      </c>
      <c r="AU274" s="6">
        <v>255</v>
      </c>
      <c r="AW274" s="17">
        <v>272</v>
      </c>
      <c r="AX274" s="6">
        <v>0.84165000000000001</v>
      </c>
      <c r="AY274" s="6">
        <v>0.33200000000000002</v>
      </c>
      <c r="AZ274" s="6">
        <v>0.81040000000000001</v>
      </c>
      <c r="BA274" s="6">
        <v>255</v>
      </c>
      <c r="BN274" s="17">
        <v>272</v>
      </c>
      <c r="BO274" s="6">
        <v>45.974546410000002</v>
      </c>
      <c r="BP274" s="6">
        <v>47.873490230000002</v>
      </c>
      <c r="BQ274" s="19">
        <v>-1.8989438199999999</v>
      </c>
    </row>
    <row r="275" spans="1:69" x14ac:dyDescent="0.25">
      <c r="A275" s="31" t="s">
        <v>156</v>
      </c>
      <c r="B275" s="32">
        <v>1</v>
      </c>
      <c r="C275" s="32">
        <v>24</v>
      </c>
      <c r="D275" s="32">
        <v>1</v>
      </c>
      <c r="E275" s="32">
        <v>45</v>
      </c>
      <c r="F275" s="2">
        <v>56.3</v>
      </c>
      <c r="G275">
        <v>47.093423171496063</v>
      </c>
      <c r="H275" s="59">
        <v>15.6</v>
      </c>
      <c r="I275">
        <v>4</v>
      </c>
      <c r="AD275" s="17">
        <v>273</v>
      </c>
      <c r="AE275" s="6">
        <v>3.05802</v>
      </c>
      <c r="AF275" s="19">
        <v>-3.2244000000000002</v>
      </c>
      <c r="AG275" s="6">
        <v>2.9445000000000001</v>
      </c>
      <c r="AH275" s="6">
        <v>255</v>
      </c>
      <c r="AJ275" s="17">
        <v>273</v>
      </c>
      <c r="AK275" s="6">
        <v>5.7986800000000001</v>
      </c>
      <c r="AL275" s="19">
        <v>-3.2244000000000002</v>
      </c>
      <c r="AM275" s="6">
        <v>2.9445000000000001</v>
      </c>
      <c r="AN275" s="6">
        <v>255</v>
      </c>
      <c r="AQ275" s="17">
        <v>273</v>
      </c>
      <c r="AR275" s="6">
        <v>1.59853</v>
      </c>
      <c r="AS275" s="6">
        <v>6.4570000000000002E-2</v>
      </c>
      <c r="AT275" s="6">
        <v>0.81169999999999998</v>
      </c>
      <c r="AU275" s="6">
        <v>255</v>
      </c>
      <c r="AW275" s="17">
        <v>273</v>
      </c>
      <c r="AX275" s="6">
        <v>0.84301000000000004</v>
      </c>
      <c r="AY275" s="6">
        <v>6.4570000000000002E-2</v>
      </c>
      <c r="AZ275" s="6">
        <v>0.81169999999999998</v>
      </c>
      <c r="BA275" s="6">
        <v>255</v>
      </c>
      <c r="BN275" s="17">
        <v>273</v>
      </c>
      <c r="BO275" s="6">
        <v>46.030501510000001</v>
      </c>
      <c r="BP275" s="6">
        <v>46.527227779999997</v>
      </c>
      <c r="BQ275" s="19">
        <v>-0.49672627000000003</v>
      </c>
    </row>
    <row r="276" spans="1:69" x14ac:dyDescent="0.25">
      <c r="A276" s="31" t="s">
        <v>156</v>
      </c>
      <c r="B276" s="32">
        <v>2</v>
      </c>
      <c r="C276" s="32">
        <v>25</v>
      </c>
      <c r="D276" s="32">
        <v>4</v>
      </c>
      <c r="E276" s="32">
        <v>45</v>
      </c>
      <c r="F276" s="2">
        <v>56</v>
      </c>
      <c r="G276">
        <v>51.974637857874463</v>
      </c>
      <c r="H276" s="61" t="s">
        <v>12</v>
      </c>
      <c r="I276" t="s">
        <v>12</v>
      </c>
      <c r="AD276" s="17">
        <v>274</v>
      </c>
      <c r="AE276" s="6">
        <v>3.0574400000000002</v>
      </c>
      <c r="AF276" s="19">
        <v>-3.3475000000000001</v>
      </c>
      <c r="AG276" s="6">
        <v>2.944</v>
      </c>
      <c r="AH276" s="6">
        <v>255</v>
      </c>
      <c r="AJ276" s="17">
        <v>274</v>
      </c>
      <c r="AK276" s="6">
        <v>5.79758</v>
      </c>
      <c r="AL276" s="19">
        <v>-3.3475000000000001</v>
      </c>
      <c r="AM276" s="6">
        <v>2.944</v>
      </c>
      <c r="AN276" s="6">
        <v>255</v>
      </c>
      <c r="AQ276" s="17">
        <v>274</v>
      </c>
      <c r="AR276" s="6">
        <v>1.59863</v>
      </c>
      <c r="AS276" s="6">
        <v>0.317</v>
      </c>
      <c r="AT276" s="6">
        <v>0.81179999999999997</v>
      </c>
      <c r="AU276" s="6">
        <v>255</v>
      </c>
      <c r="AW276" s="17">
        <v>274</v>
      </c>
      <c r="AX276" s="6">
        <v>0.84306000000000003</v>
      </c>
      <c r="AY276" s="6">
        <v>0.317</v>
      </c>
      <c r="AZ276" s="6">
        <v>0.81179999999999997</v>
      </c>
      <c r="BA276" s="6">
        <v>255</v>
      </c>
      <c r="BN276" s="17">
        <v>274</v>
      </c>
      <c r="BO276" s="6">
        <v>47.093423170000001</v>
      </c>
      <c r="BP276" s="6">
        <v>49.965107979999999</v>
      </c>
      <c r="BQ276" s="19">
        <v>-2.8716848100000001</v>
      </c>
    </row>
    <row r="277" spans="1:69" x14ac:dyDescent="0.25">
      <c r="A277" s="31" t="s">
        <v>156</v>
      </c>
      <c r="B277" s="32">
        <v>3</v>
      </c>
      <c r="C277" s="32">
        <v>19</v>
      </c>
      <c r="D277" s="32">
        <v>6</v>
      </c>
      <c r="E277" s="32">
        <v>45</v>
      </c>
      <c r="F277" s="2">
        <v>54.1</v>
      </c>
      <c r="G277">
        <v>44.351495407991536</v>
      </c>
      <c r="H277" s="59" t="s">
        <v>12</v>
      </c>
      <c r="I277" t="s">
        <v>12</v>
      </c>
      <c r="AD277" s="17">
        <v>275</v>
      </c>
      <c r="AE277" s="6">
        <v>3.0548299999999999</v>
      </c>
      <c r="AF277" s="19">
        <v>-6.8342000000000001</v>
      </c>
      <c r="AG277" s="6">
        <v>2.9413999999999998</v>
      </c>
      <c r="AH277" s="6">
        <v>255</v>
      </c>
      <c r="AJ277" s="17">
        <v>275</v>
      </c>
      <c r="AK277" s="6">
        <v>5.7926200000000003</v>
      </c>
      <c r="AL277" s="19">
        <v>-6.8342000000000001</v>
      </c>
      <c r="AM277" s="6">
        <v>2.9413999999999998</v>
      </c>
      <c r="AN277" s="6">
        <v>255</v>
      </c>
      <c r="AQ277" s="17">
        <v>275</v>
      </c>
      <c r="AR277" s="6">
        <v>1.59023</v>
      </c>
      <c r="AS277" s="19">
        <v>-1.0639000000000001</v>
      </c>
      <c r="AT277" s="6">
        <v>0.8075</v>
      </c>
      <c r="AU277" s="6">
        <v>255</v>
      </c>
      <c r="AW277" s="17">
        <v>275</v>
      </c>
      <c r="AX277" s="6">
        <v>0.83862999999999999</v>
      </c>
      <c r="AY277" s="19">
        <v>-1.0639000000000001</v>
      </c>
      <c r="AZ277" s="6">
        <v>0.8075</v>
      </c>
      <c r="BA277" s="6">
        <v>255</v>
      </c>
      <c r="BN277" s="17">
        <v>275</v>
      </c>
      <c r="BO277" s="6">
        <v>51.974637860000001</v>
      </c>
      <c r="BP277" s="6">
        <v>47.400355449999999</v>
      </c>
      <c r="BQ277" s="6">
        <v>4.5742824100000004</v>
      </c>
    </row>
    <row r="278" spans="1:69" x14ac:dyDescent="0.25">
      <c r="A278" s="31" t="s">
        <v>156</v>
      </c>
      <c r="B278" s="32">
        <v>1</v>
      </c>
      <c r="C278" s="32">
        <v>7</v>
      </c>
      <c r="D278" s="32">
        <v>2</v>
      </c>
      <c r="E278" s="32">
        <v>24</v>
      </c>
      <c r="F278" s="2">
        <v>53.9</v>
      </c>
      <c r="G278">
        <v>44.41872134635846</v>
      </c>
      <c r="H278" s="59">
        <v>14.2</v>
      </c>
      <c r="I278">
        <v>3</v>
      </c>
      <c r="AD278" s="17">
        <v>276</v>
      </c>
      <c r="AE278" s="6">
        <v>3.0539700000000001</v>
      </c>
      <c r="AF278" s="19">
        <v>-5.6464999999999996</v>
      </c>
      <c r="AG278" s="6">
        <v>2.9405999999999999</v>
      </c>
      <c r="AH278" s="6">
        <v>255</v>
      </c>
      <c r="AJ278" s="17">
        <v>276</v>
      </c>
      <c r="AK278" s="6">
        <v>5.79101</v>
      </c>
      <c r="AL278" s="19">
        <v>-5.6464999999999996</v>
      </c>
      <c r="AM278" s="6">
        <v>2.9405999999999999</v>
      </c>
      <c r="AN278" s="6">
        <v>255</v>
      </c>
      <c r="AQ278" s="17">
        <v>276</v>
      </c>
      <c r="AR278" s="6">
        <v>1.5927800000000001</v>
      </c>
      <c r="AS278" s="19">
        <v>-0.70069999999999999</v>
      </c>
      <c r="AT278" s="6">
        <v>0.80879999999999996</v>
      </c>
      <c r="AU278" s="6">
        <v>255</v>
      </c>
      <c r="AW278" s="17">
        <v>276</v>
      </c>
      <c r="AX278" s="6">
        <v>0.83996999999999999</v>
      </c>
      <c r="AY278" s="19">
        <v>-0.70069999999999999</v>
      </c>
      <c r="AZ278" s="6">
        <v>0.80879999999999996</v>
      </c>
      <c r="BA278" s="6">
        <v>255</v>
      </c>
      <c r="BN278" s="17">
        <v>276</v>
      </c>
      <c r="BO278" s="6">
        <v>44.351495409999998</v>
      </c>
      <c r="BP278" s="6">
        <v>46.054093010000003</v>
      </c>
      <c r="BQ278" s="19">
        <v>-1.7025976</v>
      </c>
    </row>
    <row r="279" spans="1:69" x14ac:dyDescent="0.25">
      <c r="A279" s="31" t="s">
        <v>156</v>
      </c>
      <c r="B279" s="32">
        <v>2</v>
      </c>
      <c r="C279" s="32">
        <v>19</v>
      </c>
      <c r="D279" s="32">
        <v>4</v>
      </c>
      <c r="E279" s="32">
        <v>24</v>
      </c>
      <c r="F279" s="2">
        <v>55.5</v>
      </c>
      <c r="G279">
        <v>38.332599131834371</v>
      </c>
      <c r="H279" s="61" t="s">
        <v>12</v>
      </c>
      <c r="I279" t="s">
        <v>12</v>
      </c>
      <c r="AD279" s="17">
        <v>277</v>
      </c>
      <c r="AE279" s="6">
        <v>3.03234</v>
      </c>
      <c r="AF279" s="19">
        <v>-5.0735000000000001</v>
      </c>
      <c r="AG279" s="6">
        <v>2.9198</v>
      </c>
      <c r="AH279" s="6">
        <v>255</v>
      </c>
      <c r="AJ279" s="17">
        <v>277</v>
      </c>
      <c r="AK279" s="6">
        <v>5.7499799999999999</v>
      </c>
      <c r="AL279" s="19">
        <v>-5.0735000000000001</v>
      </c>
      <c r="AM279" s="6">
        <v>2.9198</v>
      </c>
      <c r="AN279" s="6">
        <v>255</v>
      </c>
      <c r="AQ279" s="17">
        <v>277</v>
      </c>
      <c r="AR279" s="6">
        <v>1.58595</v>
      </c>
      <c r="AS279" s="19">
        <v>-0.16520000000000001</v>
      </c>
      <c r="AT279" s="6">
        <v>0.80530000000000002</v>
      </c>
      <c r="AU279" s="6">
        <v>255</v>
      </c>
      <c r="AW279" s="17">
        <v>277</v>
      </c>
      <c r="AX279" s="6">
        <v>0.83636999999999995</v>
      </c>
      <c r="AY279" s="19">
        <v>-0.16520000000000001</v>
      </c>
      <c r="AZ279" s="6">
        <v>0.80530000000000002</v>
      </c>
      <c r="BA279" s="6">
        <v>255</v>
      </c>
      <c r="BN279" s="17">
        <v>277</v>
      </c>
      <c r="BO279" s="6">
        <v>44.418721349999998</v>
      </c>
      <c r="BP279" s="6">
        <v>43.400832530000002</v>
      </c>
      <c r="BQ279" s="6">
        <v>1.01788882</v>
      </c>
    </row>
    <row r="280" spans="1:69" x14ac:dyDescent="0.25">
      <c r="A280" s="31" t="s">
        <v>156</v>
      </c>
      <c r="B280" s="32">
        <v>3</v>
      </c>
      <c r="C280" s="32">
        <v>24</v>
      </c>
      <c r="D280" s="32">
        <v>5</v>
      </c>
      <c r="E280" s="32">
        <v>24</v>
      </c>
      <c r="F280" s="2">
        <v>57.8</v>
      </c>
      <c r="G280">
        <v>40.975409614082601</v>
      </c>
      <c r="H280" s="61" t="s">
        <v>12</v>
      </c>
      <c r="I280" t="s">
        <v>12</v>
      </c>
      <c r="AD280" s="17">
        <v>278</v>
      </c>
      <c r="AE280" s="6">
        <v>3.0498599999999998</v>
      </c>
      <c r="AF280" s="19">
        <v>-5.0503</v>
      </c>
      <c r="AG280" s="6">
        <v>2.9367000000000001</v>
      </c>
      <c r="AH280" s="6">
        <v>255</v>
      </c>
      <c r="AJ280" s="17">
        <v>278</v>
      </c>
      <c r="AK280" s="6">
        <v>5.7831999999999999</v>
      </c>
      <c r="AL280" s="19">
        <v>-5.0503</v>
      </c>
      <c r="AM280" s="6">
        <v>2.9367000000000001</v>
      </c>
      <c r="AN280" s="6">
        <v>255</v>
      </c>
      <c r="AQ280" s="17">
        <v>278</v>
      </c>
      <c r="AR280" s="6">
        <v>1.5902400000000001</v>
      </c>
      <c r="AS280" s="6">
        <v>0.29899999999999999</v>
      </c>
      <c r="AT280" s="6">
        <v>0.8075</v>
      </c>
      <c r="AU280" s="6">
        <v>255</v>
      </c>
      <c r="AW280" s="17">
        <v>278</v>
      </c>
      <c r="AX280" s="6">
        <v>0.83864000000000005</v>
      </c>
      <c r="AY280" s="6">
        <v>0.29899999999999999</v>
      </c>
      <c r="AZ280" s="6">
        <v>0.8075</v>
      </c>
      <c r="BA280" s="6">
        <v>255</v>
      </c>
      <c r="BN280" s="17">
        <v>278</v>
      </c>
      <c r="BO280" s="6">
        <v>38.332599129999998</v>
      </c>
      <c r="BP280" s="6">
        <v>40.836080000000003</v>
      </c>
      <c r="BQ280" s="19">
        <v>-2.5034808700000002</v>
      </c>
    </row>
    <row r="281" spans="1:69" x14ac:dyDescent="0.25">
      <c r="A281" s="31" t="s">
        <v>156</v>
      </c>
      <c r="B281" s="32">
        <v>1</v>
      </c>
      <c r="C281" s="32">
        <v>22</v>
      </c>
      <c r="D281" s="32">
        <v>2</v>
      </c>
      <c r="E281" s="32">
        <v>33</v>
      </c>
      <c r="F281" s="2">
        <v>57.9</v>
      </c>
      <c r="G281">
        <v>49.758889931327978</v>
      </c>
      <c r="H281" s="59">
        <v>13.9</v>
      </c>
      <c r="I281">
        <v>3</v>
      </c>
      <c r="AD281" s="17">
        <v>279</v>
      </c>
      <c r="AE281" s="6">
        <v>3.0484499999999999</v>
      </c>
      <c r="AF281" s="19">
        <v>-6.0327000000000002</v>
      </c>
      <c r="AG281" s="6">
        <v>2.9352999999999998</v>
      </c>
      <c r="AH281" s="6">
        <v>255</v>
      </c>
      <c r="AJ281" s="17">
        <v>279</v>
      </c>
      <c r="AK281" s="6">
        <v>5.7805400000000002</v>
      </c>
      <c r="AL281" s="19">
        <v>-6.0327000000000002</v>
      </c>
      <c r="AM281" s="6">
        <v>2.9352999999999998</v>
      </c>
      <c r="AN281" s="6">
        <v>255</v>
      </c>
      <c r="AQ281" s="17">
        <v>279</v>
      </c>
      <c r="AR281" s="6">
        <v>1.5906899999999999</v>
      </c>
      <c r="AS281" s="19">
        <v>-0.8155</v>
      </c>
      <c r="AT281" s="6">
        <v>0.80769999999999997</v>
      </c>
      <c r="AU281" s="6">
        <v>255</v>
      </c>
      <c r="AW281" s="17">
        <v>279</v>
      </c>
      <c r="AX281" s="6">
        <v>0.83887</v>
      </c>
      <c r="AY281" s="19">
        <v>-0.8155</v>
      </c>
      <c r="AZ281" s="6">
        <v>0.80769999999999997</v>
      </c>
      <c r="BA281" s="6">
        <v>255</v>
      </c>
      <c r="BN281" s="17">
        <v>279</v>
      </c>
      <c r="BO281" s="6">
        <v>40.97540961</v>
      </c>
      <c r="BP281" s="6">
        <v>39.489817559999999</v>
      </c>
      <c r="BQ281" s="6">
        <v>1.4855920499999999</v>
      </c>
    </row>
    <row r="282" spans="1:69" x14ac:dyDescent="0.25">
      <c r="A282" s="31" t="s">
        <v>156</v>
      </c>
      <c r="B282" s="32">
        <v>2</v>
      </c>
      <c r="C282" s="32">
        <v>17</v>
      </c>
      <c r="D282" s="32">
        <v>3</v>
      </c>
      <c r="E282" s="32">
        <v>33</v>
      </c>
      <c r="F282" s="2">
        <v>56.6</v>
      </c>
      <c r="G282">
        <v>46.026336724362366</v>
      </c>
      <c r="H282" s="59" t="s">
        <v>12</v>
      </c>
      <c r="I282" t="s">
        <v>12</v>
      </c>
      <c r="AD282" s="17">
        <v>280</v>
      </c>
      <c r="AE282" s="6">
        <v>3.0514800000000002</v>
      </c>
      <c r="AF282" s="6">
        <v>1.5570999999999999</v>
      </c>
      <c r="AG282" s="6">
        <v>2.9382000000000001</v>
      </c>
      <c r="AH282" s="6">
        <v>255</v>
      </c>
      <c r="AJ282" s="17">
        <v>280</v>
      </c>
      <c r="AK282" s="6">
        <v>5.7862799999999996</v>
      </c>
      <c r="AL282" s="6">
        <v>1.5570999999999999</v>
      </c>
      <c r="AM282" s="6">
        <v>2.9382000000000001</v>
      </c>
      <c r="AN282" s="6">
        <v>255</v>
      </c>
      <c r="AQ282" s="17">
        <v>280</v>
      </c>
      <c r="AR282" s="6">
        <v>1.60083</v>
      </c>
      <c r="AS282" s="6">
        <v>0.56000000000000005</v>
      </c>
      <c r="AT282" s="6">
        <v>0.81289999999999996</v>
      </c>
      <c r="AU282" s="6">
        <v>255</v>
      </c>
      <c r="AW282" s="17">
        <v>280</v>
      </c>
      <c r="AX282" s="6">
        <v>0.84421999999999997</v>
      </c>
      <c r="AY282" s="6">
        <v>0.56000000000000005</v>
      </c>
      <c r="AZ282" s="6">
        <v>0.81289999999999996</v>
      </c>
      <c r="BA282" s="6">
        <v>255</v>
      </c>
      <c r="BN282" s="17">
        <v>280</v>
      </c>
      <c r="BO282" s="6">
        <v>49.758889930000002</v>
      </c>
      <c r="BP282" s="6">
        <v>47.39386683</v>
      </c>
      <c r="BQ282" s="6">
        <v>2.3650231000000002</v>
      </c>
    </row>
    <row r="283" spans="1:69" x14ac:dyDescent="0.25">
      <c r="A283" s="31" t="s">
        <v>156</v>
      </c>
      <c r="B283" s="32">
        <v>3</v>
      </c>
      <c r="C283" s="32">
        <v>10</v>
      </c>
      <c r="D283" s="32">
        <v>6</v>
      </c>
      <c r="E283" s="32">
        <v>33</v>
      </c>
      <c r="F283" s="2">
        <v>55.2</v>
      </c>
      <c r="G283">
        <v>39.920606337452504</v>
      </c>
      <c r="H283" s="59" t="s">
        <v>12</v>
      </c>
      <c r="I283" t="s">
        <v>12</v>
      </c>
      <c r="AD283" s="17">
        <v>281</v>
      </c>
      <c r="AE283" s="6">
        <v>3.0467499999999998</v>
      </c>
      <c r="AF283" s="19">
        <v>-4.4832999999999998</v>
      </c>
      <c r="AG283" s="6">
        <v>2.9337</v>
      </c>
      <c r="AH283" s="6">
        <v>255</v>
      </c>
      <c r="AJ283" s="17">
        <v>281</v>
      </c>
      <c r="AK283" s="6">
        <v>5.7773199999999996</v>
      </c>
      <c r="AL283" s="19">
        <v>-4.4832999999999998</v>
      </c>
      <c r="AM283" s="6">
        <v>2.9337</v>
      </c>
      <c r="AN283" s="6">
        <v>255</v>
      </c>
      <c r="AQ283" s="17">
        <v>281</v>
      </c>
      <c r="AR283" s="6">
        <v>1.589</v>
      </c>
      <c r="AS283" s="19">
        <v>-0.80940000000000001</v>
      </c>
      <c r="AT283" s="6">
        <v>0.80689999999999995</v>
      </c>
      <c r="AU283" s="6">
        <v>255</v>
      </c>
      <c r="AW283" s="17">
        <v>281</v>
      </c>
      <c r="AX283" s="6">
        <v>0.83797999999999995</v>
      </c>
      <c r="AY283" s="19">
        <v>-0.80940000000000001</v>
      </c>
      <c r="AZ283" s="6">
        <v>0.80689999999999995</v>
      </c>
      <c r="BA283" s="6">
        <v>255</v>
      </c>
      <c r="BN283" s="17">
        <v>281</v>
      </c>
      <c r="BO283" s="6">
        <v>46.026336720000003</v>
      </c>
      <c r="BP283" s="6">
        <v>44.829114300000001</v>
      </c>
      <c r="BQ283" s="6">
        <v>1.1972224199999999</v>
      </c>
    </row>
    <row r="284" spans="1:69" x14ac:dyDescent="0.25">
      <c r="A284" s="31" t="s">
        <v>156</v>
      </c>
      <c r="B284" s="32">
        <v>1</v>
      </c>
      <c r="C284" s="32">
        <v>14</v>
      </c>
      <c r="D284" s="32">
        <v>1</v>
      </c>
      <c r="E284" s="32">
        <v>60</v>
      </c>
      <c r="F284" s="2">
        <v>51.2</v>
      </c>
      <c r="G284">
        <v>31.547115375343523</v>
      </c>
      <c r="H284" s="59">
        <v>18.3</v>
      </c>
      <c r="I284">
        <v>1</v>
      </c>
      <c r="AD284" s="17">
        <v>282</v>
      </c>
      <c r="AE284" s="6">
        <v>3.0600499999999999</v>
      </c>
      <c r="AF284" s="6">
        <v>4.2805</v>
      </c>
      <c r="AG284" s="6">
        <v>2.9464999999999999</v>
      </c>
      <c r="AH284" s="6">
        <v>255</v>
      </c>
      <c r="AJ284" s="17">
        <v>282</v>
      </c>
      <c r="AK284" s="6">
        <v>5.80253</v>
      </c>
      <c r="AL284" s="6">
        <v>4.2805</v>
      </c>
      <c r="AM284" s="6">
        <v>2.9464999999999999</v>
      </c>
      <c r="AN284" s="6">
        <v>255</v>
      </c>
      <c r="AQ284" s="17">
        <v>282</v>
      </c>
      <c r="AR284" s="6">
        <v>1.6011899999999999</v>
      </c>
      <c r="AS284" s="6">
        <v>1.6819999999999999</v>
      </c>
      <c r="AT284" s="6">
        <v>0.81310000000000004</v>
      </c>
      <c r="AU284" s="6">
        <v>255</v>
      </c>
      <c r="AW284" s="17">
        <v>282</v>
      </c>
      <c r="AX284" s="6">
        <v>0.84440999999999999</v>
      </c>
      <c r="AY284" s="6">
        <v>1.6819999999999999</v>
      </c>
      <c r="AZ284" s="6">
        <v>0.81310000000000004</v>
      </c>
      <c r="BA284" s="6">
        <v>255</v>
      </c>
      <c r="BN284" s="17">
        <v>282</v>
      </c>
      <c r="BO284" s="6">
        <v>39.920606339999999</v>
      </c>
      <c r="BP284" s="6">
        <v>43.482851859999997</v>
      </c>
      <c r="BQ284" s="19">
        <v>-3.5622455199999998</v>
      </c>
    </row>
    <row r="285" spans="1:69" x14ac:dyDescent="0.25">
      <c r="A285" s="31" t="s">
        <v>156</v>
      </c>
      <c r="B285" s="32">
        <v>2</v>
      </c>
      <c r="C285" s="32">
        <v>22</v>
      </c>
      <c r="D285" s="32">
        <v>4</v>
      </c>
      <c r="E285" s="32">
        <v>60</v>
      </c>
      <c r="F285" s="2">
        <v>53.2</v>
      </c>
      <c r="G285">
        <v>42.744069648344144</v>
      </c>
      <c r="H285" s="61" t="s">
        <v>12</v>
      </c>
      <c r="I285" t="s">
        <v>12</v>
      </c>
      <c r="AD285" s="17">
        <v>283</v>
      </c>
      <c r="AE285" s="6">
        <v>3.0416300000000001</v>
      </c>
      <c r="AF285" s="19">
        <v>-1.1497999999999999</v>
      </c>
      <c r="AG285" s="6">
        <v>2.9287000000000001</v>
      </c>
      <c r="AH285" s="6">
        <v>255</v>
      </c>
      <c r="AJ285" s="17">
        <v>283</v>
      </c>
      <c r="AK285" s="6">
        <v>5.7675900000000002</v>
      </c>
      <c r="AL285" s="19">
        <v>-1.1497999999999999</v>
      </c>
      <c r="AM285" s="6">
        <v>2.9287000000000001</v>
      </c>
      <c r="AN285" s="6">
        <v>255</v>
      </c>
      <c r="AQ285" s="17">
        <v>283</v>
      </c>
      <c r="AR285" s="6">
        <v>1.58849</v>
      </c>
      <c r="AS285" s="6">
        <v>0.34139999999999998</v>
      </c>
      <c r="AT285" s="6">
        <v>0.80659999999999998</v>
      </c>
      <c r="AU285" s="6">
        <v>255</v>
      </c>
      <c r="AW285" s="17">
        <v>283</v>
      </c>
      <c r="AX285" s="6">
        <v>0.83772000000000002</v>
      </c>
      <c r="AY285" s="6">
        <v>0.34139999999999998</v>
      </c>
      <c r="AZ285" s="6">
        <v>0.80659999999999998</v>
      </c>
      <c r="BA285" s="6">
        <v>255</v>
      </c>
      <c r="BN285" s="17">
        <v>283</v>
      </c>
      <c r="BO285" s="6">
        <v>31.547115380000001</v>
      </c>
      <c r="BP285" s="6">
        <v>37.308804510000002</v>
      </c>
      <c r="BQ285" s="19">
        <v>-5.7616891299999997</v>
      </c>
    </row>
    <row r="286" spans="1:69" x14ac:dyDescent="0.25">
      <c r="A286" s="31" t="s">
        <v>156</v>
      </c>
      <c r="B286" s="32">
        <v>3</v>
      </c>
      <c r="C286" s="32">
        <v>20</v>
      </c>
      <c r="D286" s="32">
        <v>6</v>
      </c>
      <c r="E286" s="32">
        <v>60</v>
      </c>
      <c r="F286" s="2">
        <v>51.3</v>
      </c>
      <c r="G286">
        <v>31.159460979949024</v>
      </c>
      <c r="H286" s="61" t="s">
        <v>12</v>
      </c>
      <c r="I286" t="s">
        <v>12</v>
      </c>
      <c r="AD286" s="17">
        <v>284</v>
      </c>
      <c r="AE286" s="6">
        <v>3.0648399999999998</v>
      </c>
      <c r="AF286" s="19">
        <v>-3.41</v>
      </c>
      <c r="AG286" s="6">
        <v>2.9510999999999998</v>
      </c>
      <c r="AH286" s="6">
        <v>255</v>
      </c>
      <c r="AJ286" s="17">
        <v>284</v>
      </c>
      <c r="AK286" s="6">
        <v>5.8116000000000003</v>
      </c>
      <c r="AL286" s="19">
        <v>-3.41</v>
      </c>
      <c r="AM286" s="6">
        <v>2.9510999999999998</v>
      </c>
      <c r="AN286" s="6">
        <v>255</v>
      </c>
      <c r="AQ286" s="17">
        <v>284</v>
      </c>
      <c r="AR286" s="6">
        <v>1.5999699999999999</v>
      </c>
      <c r="AS286" s="6">
        <v>0.51160000000000005</v>
      </c>
      <c r="AT286" s="6">
        <v>0.8125</v>
      </c>
      <c r="AU286" s="6">
        <v>255</v>
      </c>
      <c r="AW286" s="17">
        <v>284</v>
      </c>
      <c r="AX286" s="6">
        <v>0.84377000000000002</v>
      </c>
      <c r="AY286" s="6">
        <v>0.51160000000000005</v>
      </c>
      <c r="AZ286" s="6">
        <v>0.8125</v>
      </c>
      <c r="BA286" s="6">
        <v>255</v>
      </c>
      <c r="BN286" s="17">
        <v>284</v>
      </c>
      <c r="BO286" s="6">
        <v>42.74406965</v>
      </c>
      <c r="BP286" s="6">
        <v>34.744051980000002</v>
      </c>
      <c r="BQ286" s="6">
        <v>8.0000176700000001</v>
      </c>
    </row>
    <row r="287" spans="1:69" x14ac:dyDescent="0.25">
      <c r="A287" s="31" t="s">
        <v>156</v>
      </c>
      <c r="B287" s="32">
        <v>1</v>
      </c>
      <c r="C287" s="32">
        <v>17</v>
      </c>
      <c r="D287" s="32">
        <v>2</v>
      </c>
      <c r="E287" s="32">
        <v>58</v>
      </c>
      <c r="F287" s="2">
        <v>59</v>
      </c>
      <c r="G287">
        <v>52.537496953283679</v>
      </c>
      <c r="H287" s="59">
        <v>14.6</v>
      </c>
      <c r="I287">
        <v>3</v>
      </c>
      <c r="AD287" s="17">
        <v>285</v>
      </c>
      <c r="AE287" s="6">
        <v>3.0420500000000001</v>
      </c>
      <c r="AF287" s="19">
        <v>-2.1595</v>
      </c>
      <c r="AG287" s="6">
        <v>2.9291</v>
      </c>
      <c r="AH287" s="6">
        <v>255</v>
      </c>
      <c r="AJ287" s="17">
        <v>285</v>
      </c>
      <c r="AK287" s="6">
        <v>5.7683999999999997</v>
      </c>
      <c r="AL287" s="19">
        <v>-2.1595</v>
      </c>
      <c r="AM287" s="6">
        <v>2.9291</v>
      </c>
      <c r="AN287" s="6">
        <v>255</v>
      </c>
      <c r="AQ287" s="17">
        <v>285</v>
      </c>
      <c r="AR287" s="6">
        <v>1.59293</v>
      </c>
      <c r="AS287" s="6">
        <v>9.8140000000000005E-2</v>
      </c>
      <c r="AT287" s="6">
        <v>0.80889999999999995</v>
      </c>
      <c r="AU287" s="6">
        <v>255</v>
      </c>
      <c r="AW287" s="17">
        <v>285</v>
      </c>
      <c r="AX287" s="6">
        <v>0.84006000000000003</v>
      </c>
      <c r="AY287" s="6">
        <v>9.8140000000000005E-2</v>
      </c>
      <c r="AZ287" s="6">
        <v>0.80889999999999995</v>
      </c>
      <c r="BA287" s="6">
        <v>255</v>
      </c>
      <c r="BN287" s="17">
        <v>285</v>
      </c>
      <c r="BO287" s="6">
        <v>31.159460979999999</v>
      </c>
      <c r="BP287" s="6">
        <v>33.397789529999997</v>
      </c>
      <c r="BQ287" s="19">
        <v>-2.2383285499999999</v>
      </c>
    </row>
    <row r="288" spans="1:69" x14ac:dyDescent="0.25">
      <c r="A288" s="31" t="s">
        <v>156</v>
      </c>
      <c r="B288" s="32">
        <v>2</v>
      </c>
      <c r="C288" s="32">
        <v>16</v>
      </c>
      <c r="D288" s="32">
        <v>4</v>
      </c>
      <c r="E288" s="32">
        <v>58</v>
      </c>
      <c r="F288" s="2">
        <v>56.4</v>
      </c>
      <c r="G288">
        <v>47.470169243525334</v>
      </c>
      <c r="H288" s="61" t="s">
        <v>12</v>
      </c>
      <c r="I288" t="s">
        <v>12</v>
      </c>
      <c r="AD288" s="17">
        <v>286</v>
      </c>
      <c r="AE288" s="6">
        <v>3.0476700000000001</v>
      </c>
      <c r="AF288" s="19">
        <v>-2.4548000000000001</v>
      </c>
      <c r="AG288" s="6">
        <v>2.9346000000000001</v>
      </c>
      <c r="AH288" s="6">
        <v>255</v>
      </c>
      <c r="AJ288" s="17">
        <v>286</v>
      </c>
      <c r="AK288" s="6">
        <v>5.7790600000000003</v>
      </c>
      <c r="AL288" s="19">
        <v>-2.4548000000000001</v>
      </c>
      <c r="AM288" s="6">
        <v>2.9346000000000001</v>
      </c>
      <c r="AN288" s="6">
        <v>255</v>
      </c>
      <c r="AQ288" s="17">
        <v>286</v>
      </c>
      <c r="AR288" s="6">
        <v>1.5972599999999999</v>
      </c>
      <c r="AS288" s="19">
        <v>-1.1215999999999999</v>
      </c>
      <c r="AT288" s="6">
        <v>0.81110000000000004</v>
      </c>
      <c r="AU288" s="6">
        <v>255</v>
      </c>
      <c r="AW288" s="17">
        <v>286</v>
      </c>
      <c r="AX288" s="6">
        <v>0.84233999999999998</v>
      </c>
      <c r="AY288" s="19">
        <v>-1.1215999999999999</v>
      </c>
      <c r="AZ288" s="6">
        <v>0.81110000000000004</v>
      </c>
      <c r="BA288" s="6">
        <v>255</v>
      </c>
      <c r="BN288" s="17">
        <v>286</v>
      </c>
      <c r="BO288" s="6">
        <v>52.537496949999998</v>
      </c>
      <c r="BP288" s="6">
        <v>47.34402815</v>
      </c>
      <c r="BQ288" s="6">
        <v>5.1934687999999998</v>
      </c>
    </row>
    <row r="289" spans="1:69" x14ac:dyDescent="0.25">
      <c r="A289" s="31" t="s">
        <v>156</v>
      </c>
      <c r="B289" s="32">
        <v>3</v>
      </c>
      <c r="C289" s="32">
        <v>4</v>
      </c>
      <c r="D289" s="32">
        <v>5</v>
      </c>
      <c r="E289" s="32">
        <v>58</v>
      </c>
      <c r="F289" s="2">
        <v>53.5</v>
      </c>
      <c r="G289">
        <v>35.548650739916816</v>
      </c>
      <c r="H289" s="59" t="s">
        <v>12</v>
      </c>
      <c r="I289" t="s">
        <v>12</v>
      </c>
      <c r="AD289" s="17">
        <v>287</v>
      </c>
      <c r="AE289" s="6">
        <v>3.0450900000000001</v>
      </c>
      <c r="AF289" s="6">
        <v>2.9834000000000001</v>
      </c>
      <c r="AG289" s="6">
        <v>2.9321000000000002</v>
      </c>
      <c r="AH289" s="6">
        <v>255</v>
      </c>
      <c r="AJ289" s="17">
        <v>287</v>
      </c>
      <c r="AK289" s="6">
        <v>5.7741499999999997</v>
      </c>
      <c r="AL289" s="6">
        <v>2.9834000000000001</v>
      </c>
      <c r="AM289" s="6">
        <v>2.9321000000000002</v>
      </c>
      <c r="AN289" s="6">
        <v>255</v>
      </c>
      <c r="AQ289" s="17">
        <v>287</v>
      </c>
      <c r="AR289" s="6">
        <v>1.5907100000000001</v>
      </c>
      <c r="AS289" s="6">
        <v>1.8157000000000001</v>
      </c>
      <c r="AT289" s="6">
        <v>0.80769999999999997</v>
      </c>
      <c r="AU289" s="6">
        <v>255</v>
      </c>
      <c r="AW289" s="17">
        <v>287</v>
      </c>
      <c r="AX289" s="6">
        <v>0.83887999999999996</v>
      </c>
      <c r="AY289" s="6">
        <v>1.8157000000000001</v>
      </c>
      <c r="AZ289" s="6">
        <v>0.80769999999999997</v>
      </c>
      <c r="BA289" s="6">
        <v>255</v>
      </c>
      <c r="BN289" s="17">
        <v>287</v>
      </c>
      <c r="BO289" s="6">
        <v>47.470169239999997</v>
      </c>
      <c r="BP289" s="6">
        <v>44.77927562</v>
      </c>
      <c r="BQ289" s="6">
        <v>2.6908936200000002</v>
      </c>
    </row>
    <row r="290" spans="1:69" x14ac:dyDescent="0.25">
      <c r="A290" s="31" t="s">
        <v>156</v>
      </c>
      <c r="B290" s="32">
        <v>1</v>
      </c>
      <c r="C290" s="32">
        <v>21</v>
      </c>
      <c r="D290" s="32">
        <v>2</v>
      </c>
      <c r="E290" s="32">
        <v>25</v>
      </c>
      <c r="F290" s="2">
        <v>58</v>
      </c>
      <c r="G290">
        <v>50.678156494825416</v>
      </c>
      <c r="H290" s="59">
        <v>13.4</v>
      </c>
      <c r="I290">
        <v>2</v>
      </c>
      <c r="AD290" s="17">
        <v>288</v>
      </c>
      <c r="AE290" s="6">
        <v>3.0577800000000002</v>
      </c>
      <c r="AF290" s="19">
        <v>-0.16239999999999999</v>
      </c>
      <c r="AG290" s="6">
        <v>2.9443000000000001</v>
      </c>
      <c r="AH290" s="6">
        <v>255</v>
      </c>
      <c r="AJ290" s="17">
        <v>288</v>
      </c>
      <c r="AK290" s="6">
        <v>5.7982199999999997</v>
      </c>
      <c r="AL290" s="19">
        <v>-0.16239999999999999</v>
      </c>
      <c r="AM290" s="6">
        <v>2.9443000000000001</v>
      </c>
      <c r="AN290" s="6">
        <v>255</v>
      </c>
      <c r="AQ290" s="17">
        <v>288</v>
      </c>
      <c r="AR290" s="6">
        <v>1.5901799999999999</v>
      </c>
      <c r="AS290" s="6">
        <v>1.6694</v>
      </c>
      <c r="AT290" s="6">
        <v>0.8075</v>
      </c>
      <c r="AU290" s="6">
        <v>255</v>
      </c>
      <c r="AW290" s="17">
        <v>288</v>
      </c>
      <c r="AX290" s="6">
        <v>0.83860999999999997</v>
      </c>
      <c r="AY290" s="6">
        <v>1.6694</v>
      </c>
      <c r="AZ290" s="6">
        <v>0.8075</v>
      </c>
      <c r="BA290" s="6">
        <v>255</v>
      </c>
      <c r="BN290" s="17">
        <v>288</v>
      </c>
      <c r="BO290" s="6">
        <v>35.548650739999999</v>
      </c>
      <c r="BP290" s="6">
        <v>43.433013170000002</v>
      </c>
      <c r="BQ290" s="19">
        <v>-7.8843624300000004</v>
      </c>
    </row>
    <row r="291" spans="1:69" x14ac:dyDescent="0.25">
      <c r="A291" s="31" t="s">
        <v>156</v>
      </c>
      <c r="B291" s="32">
        <v>2</v>
      </c>
      <c r="C291" s="32">
        <v>23</v>
      </c>
      <c r="D291" s="32">
        <v>4</v>
      </c>
      <c r="E291" s="32">
        <v>25</v>
      </c>
      <c r="F291" s="2">
        <v>56.9</v>
      </c>
      <c r="G291">
        <v>53.48433595083646</v>
      </c>
      <c r="H291" s="59" t="s">
        <v>12</v>
      </c>
      <c r="I291" t="s">
        <v>12</v>
      </c>
      <c r="AD291" s="17">
        <v>289</v>
      </c>
      <c r="AE291" s="6">
        <v>3.0522999999999998</v>
      </c>
      <c r="AF291" s="19">
        <v>-1.9171</v>
      </c>
      <c r="AG291" s="6">
        <v>2.9390000000000001</v>
      </c>
      <c r="AH291" s="6">
        <v>255</v>
      </c>
      <c r="AJ291" s="17">
        <v>289</v>
      </c>
      <c r="AK291" s="6">
        <v>5.7878299999999996</v>
      </c>
      <c r="AL291" s="19">
        <v>-1.9171</v>
      </c>
      <c r="AM291" s="6">
        <v>2.9390000000000001</v>
      </c>
      <c r="AN291" s="6">
        <v>255</v>
      </c>
      <c r="AQ291" s="17">
        <v>289</v>
      </c>
      <c r="AR291" s="6">
        <v>1.59185</v>
      </c>
      <c r="AS291" s="6">
        <v>1.212</v>
      </c>
      <c r="AT291" s="6">
        <v>0.80830000000000002</v>
      </c>
      <c r="AU291" s="6">
        <v>255</v>
      </c>
      <c r="AW291" s="17">
        <v>289</v>
      </c>
      <c r="AX291" s="6">
        <v>0.83948999999999996</v>
      </c>
      <c r="AY291" s="6">
        <v>1.212</v>
      </c>
      <c r="AZ291" s="6">
        <v>0.80830000000000002</v>
      </c>
      <c r="BA291" s="6">
        <v>255</v>
      </c>
      <c r="BN291" s="17">
        <v>289</v>
      </c>
      <c r="BO291" s="6">
        <v>50.678156489999999</v>
      </c>
      <c r="BP291" s="6">
        <v>52.764998859999999</v>
      </c>
      <c r="BQ291" s="19">
        <v>-2.0868423699999998</v>
      </c>
    </row>
    <row r="292" spans="1:69" x14ac:dyDescent="0.25">
      <c r="A292" s="31" t="s">
        <v>156</v>
      </c>
      <c r="B292" s="32">
        <v>3</v>
      </c>
      <c r="C292" s="32">
        <v>14</v>
      </c>
      <c r="D292" s="32">
        <v>5</v>
      </c>
      <c r="E292" s="32">
        <v>25</v>
      </c>
      <c r="F292" s="2">
        <v>55.4</v>
      </c>
      <c r="G292">
        <v>47.656736628300607</v>
      </c>
      <c r="H292" s="59" t="s">
        <v>12</v>
      </c>
      <c r="I292" t="s">
        <v>12</v>
      </c>
      <c r="AD292" s="17">
        <v>290</v>
      </c>
      <c r="AE292" s="6">
        <v>3.06942</v>
      </c>
      <c r="AF292" s="6">
        <v>1.8042</v>
      </c>
      <c r="AG292" s="6">
        <v>2.9554999999999998</v>
      </c>
      <c r="AH292" s="6">
        <v>255</v>
      </c>
      <c r="AJ292" s="17">
        <v>290</v>
      </c>
      <c r="AK292" s="6">
        <v>5.8202999999999996</v>
      </c>
      <c r="AL292" s="6">
        <v>1.8042</v>
      </c>
      <c r="AM292" s="6">
        <v>2.9554999999999998</v>
      </c>
      <c r="AN292" s="6">
        <v>255</v>
      </c>
      <c r="AQ292" s="17">
        <v>290</v>
      </c>
      <c r="AR292" s="6">
        <v>1.5997600000000001</v>
      </c>
      <c r="AS292" s="6">
        <v>0.52810000000000001</v>
      </c>
      <c r="AT292" s="6">
        <v>0.81230000000000002</v>
      </c>
      <c r="AU292" s="6">
        <v>255</v>
      </c>
      <c r="AW292" s="17">
        <v>290</v>
      </c>
      <c r="AX292" s="6">
        <v>0.84365999999999997</v>
      </c>
      <c r="AY292" s="6">
        <v>0.52810000000000001</v>
      </c>
      <c r="AZ292" s="6">
        <v>0.81230000000000002</v>
      </c>
      <c r="BA292" s="6">
        <v>255</v>
      </c>
      <c r="BN292" s="17">
        <v>290</v>
      </c>
      <c r="BO292" s="6">
        <v>53.484335950000002</v>
      </c>
      <c r="BP292" s="6">
        <v>50.200246329999999</v>
      </c>
      <c r="BQ292" s="6">
        <v>3.28408962</v>
      </c>
    </row>
    <row r="293" spans="1:69" x14ac:dyDescent="0.25">
      <c r="A293" s="31" t="s">
        <v>156</v>
      </c>
      <c r="B293" s="32">
        <v>1</v>
      </c>
      <c r="C293" s="32">
        <v>12</v>
      </c>
      <c r="D293" s="32">
        <v>1</v>
      </c>
      <c r="E293" s="32">
        <v>34</v>
      </c>
      <c r="F293" s="2">
        <v>57.2</v>
      </c>
      <c r="G293">
        <v>47.89574273178728</v>
      </c>
      <c r="H293" s="59">
        <v>15</v>
      </c>
      <c r="I293">
        <v>4</v>
      </c>
      <c r="AD293" s="17">
        <v>291</v>
      </c>
      <c r="AE293" s="6">
        <v>3.0576699999999999</v>
      </c>
      <c r="AF293" s="6">
        <v>10.308199999999999</v>
      </c>
      <c r="AG293" s="6">
        <v>2.9441999999999999</v>
      </c>
      <c r="AH293" s="6">
        <v>255</v>
      </c>
      <c r="AJ293" s="17">
        <v>291</v>
      </c>
      <c r="AK293" s="6">
        <v>5.7980200000000002</v>
      </c>
      <c r="AL293" s="6">
        <v>10.308199999999999</v>
      </c>
      <c r="AM293" s="6">
        <v>2.9441999999999999</v>
      </c>
      <c r="AN293" s="6">
        <v>255</v>
      </c>
      <c r="AQ293" s="17">
        <v>291</v>
      </c>
      <c r="AR293" s="6">
        <v>1.60198</v>
      </c>
      <c r="AS293" s="6">
        <v>3.4367000000000001</v>
      </c>
      <c r="AT293" s="6">
        <v>0.8135</v>
      </c>
      <c r="AU293" s="6">
        <v>255</v>
      </c>
      <c r="AW293" s="17">
        <v>291</v>
      </c>
      <c r="AX293" s="6">
        <v>0.84482999999999997</v>
      </c>
      <c r="AY293" s="6">
        <v>3.4367000000000001</v>
      </c>
      <c r="AZ293" s="6">
        <v>0.8135</v>
      </c>
      <c r="BA293" s="6">
        <v>255</v>
      </c>
      <c r="BN293" s="17">
        <v>291</v>
      </c>
      <c r="BO293" s="6">
        <v>47.656736629999997</v>
      </c>
      <c r="BP293" s="6">
        <v>48.853983880000001</v>
      </c>
      <c r="BQ293" s="19">
        <v>-1.19724725</v>
      </c>
    </row>
    <row r="294" spans="1:69" x14ac:dyDescent="0.25">
      <c r="A294" s="31" t="s">
        <v>156</v>
      </c>
      <c r="B294" s="32">
        <v>2</v>
      </c>
      <c r="C294" s="32">
        <v>1</v>
      </c>
      <c r="D294" s="32">
        <v>3</v>
      </c>
      <c r="E294" s="32">
        <v>34</v>
      </c>
      <c r="F294" s="2">
        <v>55.2</v>
      </c>
      <c r="G294">
        <v>33.866820789740125</v>
      </c>
      <c r="H294" s="61" t="s">
        <v>12</v>
      </c>
      <c r="I294" t="s">
        <v>12</v>
      </c>
      <c r="AD294" s="17">
        <v>292</v>
      </c>
      <c r="AE294" s="6">
        <v>3.0393599999999998</v>
      </c>
      <c r="AF294" s="19">
        <v>-13.4315</v>
      </c>
      <c r="AG294" s="6">
        <v>2.9266000000000001</v>
      </c>
      <c r="AH294" s="6">
        <v>255</v>
      </c>
      <c r="AJ294" s="17">
        <v>292</v>
      </c>
      <c r="AK294" s="6">
        <v>5.7633000000000001</v>
      </c>
      <c r="AL294" s="19">
        <v>-13.4315</v>
      </c>
      <c r="AM294" s="6">
        <v>2.9266000000000001</v>
      </c>
      <c r="AN294" s="6">
        <v>255</v>
      </c>
      <c r="AQ294" s="17">
        <v>292</v>
      </c>
      <c r="AR294" s="6">
        <v>1.5866100000000001</v>
      </c>
      <c r="AS294" s="19">
        <v>-0.85309999999999997</v>
      </c>
      <c r="AT294" s="6">
        <v>0.80569999999999997</v>
      </c>
      <c r="AU294" s="6">
        <v>255</v>
      </c>
      <c r="AW294" s="17">
        <v>292</v>
      </c>
      <c r="AX294" s="6">
        <v>0.83672000000000002</v>
      </c>
      <c r="AY294" s="19">
        <v>-0.85309999999999997</v>
      </c>
      <c r="AZ294" s="6">
        <v>0.80569999999999997</v>
      </c>
      <c r="BA294" s="6">
        <v>255</v>
      </c>
      <c r="BN294" s="17">
        <v>292</v>
      </c>
      <c r="BO294" s="6">
        <v>47.895742730000002</v>
      </c>
      <c r="BP294" s="6">
        <v>41.032517800000001</v>
      </c>
      <c r="BQ294" s="6">
        <v>6.8632249300000003</v>
      </c>
    </row>
    <row r="295" spans="1:69" x14ac:dyDescent="0.25">
      <c r="A295" s="31" t="s">
        <v>156</v>
      </c>
      <c r="B295" s="32">
        <v>3</v>
      </c>
      <c r="C295" s="32">
        <v>2</v>
      </c>
      <c r="D295" s="32">
        <v>5</v>
      </c>
      <c r="E295" s="32">
        <v>34</v>
      </c>
      <c r="F295" s="2">
        <v>58.6</v>
      </c>
      <c r="G295">
        <v>34.859222361930549</v>
      </c>
      <c r="H295" s="61" t="s">
        <v>12</v>
      </c>
      <c r="I295" t="s">
        <v>12</v>
      </c>
      <c r="AD295" s="17">
        <v>293</v>
      </c>
      <c r="AE295" s="6">
        <v>3.0567199999999999</v>
      </c>
      <c r="AF295" s="19">
        <v>-4.8512000000000004</v>
      </c>
      <c r="AG295" s="6">
        <v>2.9432999999999998</v>
      </c>
      <c r="AH295" s="6">
        <v>255</v>
      </c>
      <c r="AJ295" s="17">
        <v>293</v>
      </c>
      <c r="AK295" s="6">
        <v>5.7962199999999999</v>
      </c>
      <c r="AL295" s="19">
        <v>-4.8512000000000004</v>
      </c>
      <c r="AM295" s="6">
        <v>2.9432999999999998</v>
      </c>
      <c r="AN295" s="6">
        <v>255</v>
      </c>
      <c r="AQ295" s="17">
        <v>293</v>
      </c>
      <c r="AR295" s="6">
        <v>1.59954</v>
      </c>
      <c r="AS295" s="6">
        <v>1.0066999999999999</v>
      </c>
      <c r="AT295" s="6">
        <v>0.81220000000000003</v>
      </c>
      <c r="AU295" s="6">
        <v>255</v>
      </c>
      <c r="AW295" s="17">
        <v>293</v>
      </c>
      <c r="AX295" s="6">
        <v>0.84353999999999996</v>
      </c>
      <c r="AY295" s="6">
        <v>1.0066999999999999</v>
      </c>
      <c r="AZ295" s="6">
        <v>0.81220000000000003</v>
      </c>
      <c r="BA295" s="6">
        <v>255</v>
      </c>
      <c r="BN295" s="17">
        <v>293</v>
      </c>
      <c r="BO295" s="6">
        <v>33.866820789999998</v>
      </c>
      <c r="BP295" s="6">
        <v>38.467765270000001</v>
      </c>
      <c r="BQ295" s="19">
        <v>-4.6009444799999999</v>
      </c>
    </row>
    <row r="296" spans="1:69" x14ac:dyDescent="0.25">
      <c r="A296" s="31" t="s">
        <v>156</v>
      </c>
      <c r="B296" s="32">
        <v>1</v>
      </c>
      <c r="C296" s="32">
        <v>14</v>
      </c>
      <c r="D296" s="32">
        <v>2</v>
      </c>
      <c r="E296" s="32">
        <v>35</v>
      </c>
      <c r="F296" s="2">
        <v>51.6</v>
      </c>
      <c r="G296">
        <v>47.520430892736236</v>
      </c>
      <c r="H296" s="59">
        <v>15</v>
      </c>
      <c r="I296">
        <v>5</v>
      </c>
      <c r="AD296" s="17">
        <v>294</v>
      </c>
      <c r="AE296" s="6">
        <v>3.0504099999999998</v>
      </c>
      <c r="AF296" s="19">
        <v>-1.1979</v>
      </c>
      <c r="AG296" s="6">
        <v>2.9371999999999998</v>
      </c>
      <c r="AH296" s="6">
        <v>255</v>
      </c>
      <c r="AJ296" s="17">
        <v>294</v>
      </c>
      <c r="AK296" s="6">
        <v>5.7842399999999996</v>
      </c>
      <c r="AL296" s="19">
        <v>-1.1979</v>
      </c>
      <c r="AM296" s="6">
        <v>2.9371999999999998</v>
      </c>
      <c r="AN296" s="6">
        <v>255</v>
      </c>
      <c r="AQ296" s="17">
        <v>294</v>
      </c>
      <c r="AR296" s="6">
        <v>1.5923</v>
      </c>
      <c r="AS296" s="6">
        <v>1.8984000000000001</v>
      </c>
      <c r="AT296" s="6">
        <v>0.80859999999999999</v>
      </c>
      <c r="AU296" s="6">
        <v>255</v>
      </c>
      <c r="AW296" s="17">
        <v>294</v>
      </c>
      <c r="AX296" s="6">
        <v>0.83972000000000002</v>
      </c>
      <c r="AY296" s="6">
        <v>1.8984000000000001</v>
      </c>
      <c r="AZ296" s="6">
        <v>0.80859999999999999</v>
      </c>
      <c r="BA296" s="6">
        <v>255</v>
      </c>
      <c r="BN296" s="17">
        <v>294</v>
      </c>
      <c r="BO296" s="6">
        <v>34.859222359999997</v>
      </c>
      <c r="BP296" s="6">
        <v>37.121502820000003</v>
      </c>
      <c r="BQ296" s="19">
        <v>-2.2622804599999999</v>
      </c>
    </row>
    <row r="297" spans="1:69" x14ac:dyDescent="0.25">
      <c r="A297" s="31" t="s">
        <v>156</v>
      </c>
      <c r="B297" s="32">
        <v>2</v>
      </c>
      <c r="C297" s="32">
        <v>15</v>
      </c>
      <c r="D297" s="32">
        <v>3</v>
      </c>
      <c r="E297" s="32">
        <v>35</v>
      </c>
      <c r="F297" s="2">
        <v>55.9</v>
      </c>
      <c r="G297">
        <v>50.929149317776371</v>
      </c>
      <c r="H297" s="59" t="s">
        <v>12</v>
      </c>
      <c r="I297" t="s">
        <v>12</v>
      </c>
      <c r="AD297" s="17">
        <v>295</v>
      </c>
      <c r="AE297" s="6">
        <v>3.0520499999999999</v>
      </c>
      <c r="AF297" s="19">
        <v>-8.6946999999999992</v>
      </c>
      <c r="AG297" s="6">
        <v>2.9388000000000001</v>
      </c>
      <c r="AH297" s="6">
        <v>255</v>
      </c>
      <c r="AJ297" s="17">
        <v>295</v>
      </c>
      <c r="AK297" s="6">
        <v>5.78735</v>
      </c>
      <c r="AL297" s="19">
        <v>-8.6946999999999992</v>
      </c>
      <c r="AM297" s="6">
        <v>2.9388000000000001</v>
      </c>
      <c r="AN297" s="6">
        <v>255</v>
      </c>
      <c r="AQ297" s="17">
        <v>295</v>
      </c>
      <c r="AR297" s="6">
        <v>1.5859000000000001</v>
      </c>
      <c r="AS297" s="19">
        <v>-2.2151000000000001</v>
      </c>
      <c r="AT297" s="6">
        <v>0.80530000000000002</v>
      </c>
      <c r="AU297" s="6">
        <v>255</v>
      </c>
      <c r="AW297" s="17">
        <v>295</v>
      </c>
      <c r="AX297" s="6">
        <v>0.83635000000000004</v>
      </c>
      <c r="AY297" s="19">
        <v>-2.2151000000000001</v>
      </c>
      <c r="AZ297" s="6">
        <v>0.80530000000000002</v>
      </c>
      <c r="BA297" s="6">
        <v>255</v>
      </c>
      <c r="BN297" s="17">
        <v>295</v>
      </c>
      <c r="BO297" s="6">
        <v>47.52043089</v>
      </c>
      <c r="BP297" s="6">
        <v>50.609250299999999</v>
      </c>
      <c r="BQ297" s="19">
        <v>-3.0888194100000002</v>
      </c>
    </row>
    <row r="298" spans="1:69" x14ac:dyDescent="0.25">
      <c r="A298" s="31" t="s">
        <v>156</v>
      </c>
      <c r="B298" s="32">
        <v>3</v>
      </c>
      <c r="C298" s="32">
        <v>18</v>
      </c>
      <c r="D298" s="32">
        <v>6</v>
      </c>
      <c r="E298" s="32">
        <v>35</v>
      </c>
      <c r="F298" s="2">
        <v>57.9</v>
      </c>
      <c r="G298">
        <v>46.902403183151414</v>
      </c>
      <c r="H298" s="59" t="s">
        <v>12</v>
      </c>
      <c r="I298" t="s">
        <v>12</v>
      </c>
      <c r="AD298" s="17">
        <v>296</v>
      </c>
      <c r="AE298" s="6">
        <v>3.0343200000000001</v>
      </c>
      <c r="AF298" s="19">
        <v>-3.8921000000000001</v>
      </c>
      <c r="AG298" s="6">
        <v>2.9217</v>
      </c>
      <c r="AH298" s="6">
        <v>255</v>
      </c>
      <c r="AJ298" s="17">
        <v>296</v>
      </c>
      <c r="AK298" s="6">
        <v>5.7537399999999996</v>
      </c>
      <c r="AL298" s="19">
        <v>-3.8921000000000001</v>
      </c>
      <c r="AM298" s="6">
        <v>2.9217</v>
      </c>
      <c r="AN298" s="6">
        <v>255</v>
      </c>
      <c r="AQ298" s="17">
        <v>296</v>
      </c>
      <c r="AR298" s="6">
        <v>1.61249</v>
      </c>
      <c r="AS298" s="6">
        <v>0.36020000000000002</v>
      </c>
      <c r="AT298" s="6">
        <v>0.81879999999999997</v>
      </c>
      <c r="AU298" s="6">
        <v>255</v>
      </c>
      <c r="AW298" s="17">
        <v>296</v>
      </c>
      <c r="AX298" s="6">
        <v>0.85036999999999996</v>
      </c>
      <c r="AY298" s="6">
        <v>0.36020000000000002</v>
      </c>
      <c r="AZ298" s="6">
        <v>0.81879999999999997</v>
      </c>
      <c r="BA298" s="6">
        <v>255</v>
      </c>
      <c r="BN298" s="17">
        <v>296</v>
      </c>
      <c r="BO298" s="6">
        <v>50.929149320000001</v>
      </c>
      <c r="BP298" s="6">
        <v>48.04449777</v>
      </c>
      <c r="BQ298" s="6">
        <v>2.8846515500000001</v>
      </c>
    </row>
    <row r="299" spans="1:69" x14ac:dyDescent="0.25">
      <c r="A299" s="31" t="s">
        <v>156</v>
      </c>
      <c r="B299" s="32">
        <v>1</v>
      </c>
      <c r="C299" s="32">
        <v>3</v>
      </c>
      <c r="D299" s="32">
        <v>2</v>
      </c>
      <c r="E299" s="32">
        <v>57</v>
      </c>
      <c r="F299" s="2">
        <v>51</v>
      </c>
      <c r="G299">
        <v>43.343395009188498</v>
      </c>
      <c r="H299" s="59">
        <v>15.3</v>
      </c>
      <c r="I299">
        <v>3</v>
      </c>
      <c r="AD299" s="17">
        <v>297</v>
      </c>
      <c r="AE299" s="6">
        <v>3.0508199999999999</v>
      </c>
      <c r="AF299" s="19">
        <v>-8.5914999999999999</v>
      </c>
      <c r="AG299" s="6">
        <v>2.9376000000000002</v>
      </c>
      <c r="AH299" s="6">
        <v>255</v>
      </c>
      <c r="AJ299" s="17">
        <v>297</v>
      </c>
      <c r="AK299" s="6">
        <v>5.7850299999999999</v>
      </c>
      <c r="AL299" s="19">
        <v>-8.5914999999999999</v>
      </c>
      <c r="AM299" s="6">
        <v>2.9376000000000002</v>
      </c>
      <c r="AN299" s="6">
        <v>255</v>
      </c>
      <c r="AQ299" s="17">
        <v>297</v>
      </c>
      <c r="AR299" s="6">
        <v>1.5923499999999999</v>
      </c>
      <c r="AS299" s="19">
        <v>-1.4927999999999999</v>
      </c>
      <c r="AT299" s="6">
        <v>0.80859999999999999</v>
      </c>
      <c r="AU299" s="6">
        <v>255</v>
      </c>
      <c r="AW299" s="17">
        <v>297</v>
      </c>
      <c r="AX299" s="6">
        <v>0.83975</v>
      </c>
      <c r="AY299" s="19">
        <v>-1.4927999999999999</v>
      </c>
      <c r="AZ299" s="6">
        <v>0.80859999999999999</v>
      </c>
      <c r="BA299" s="6">
        <v>255</v>
      </c>
      <c r="BN299" s="17">
        <v>297</v>
      </c>
      <c r="BO299" s="6">
        <v>46.90240318</v>
      </c>
      <c r="BP299" s="6">
        <v>46.698235320000002</v>
      </c>
      <c r="BQ299" s="6">
        <v>0.20416786000000001</v>
      </c>
    </row>
    <row r="300" spans="1:69" x14ac:dyDescent="0.25">
      <c r="A300" s="31" t="s">
        <v>156</v>
      </c>
      <c r="B300" s="32">
        <v>2</v>
      </c>
      <c r="C300" s="32">
        <v>21</v>
      </c>
      <c r="D300" s="32">
        <v>4</v>
      </c>
      <c r="E300" s="32">
        <v>57</v>
      </c>
      <c r="F300" s="2">
        <v>55.9</v>
      </c>
      <c r="G300">
        <v>45.600163878456797</v>
      </c>
      <c r="H300" s="61" t="s">
        <v>12</v>
      </c>
      <c r="I300" t="s">
        <v>12</v>
      </c>
      <c r="AD300" s="17">
        <v>298</v>
      </c>
      <c r="AE300" s="6">
        <v>3.0479500000000002</v>
      </c>
      <c r="AF300" s="19">
        <v>-8.7499000000000002</v>
      </c>
      <c r="AG300" s="6">
        <v>2.9348000000000001</v>
      </c>
      <c r="AH300" s="6">
        <v>255</v>
      </c>
      <c r="AJ300" s="17">
        <v>298</v>
      </c>
      <c r="AK300" s="6">
        <v>5.7795699999999997</v>
      </c>
      <c r="AL300" s="19">
        <v>-8.7499000000000002</v>
      </c>
      <c r="AM300" s="6">
        <v>2.9348000000000001</v>
      </c>
      <c r="AN300" s="6">
        <v>255</v>
      </c>
      <c r="AQ300" s="17">
        <v>298</v>
      </c>
      <c r="AR300" s="6">
        <v>1.59901</v>
      </c>
      <c r="AS300" s="19">
        <v>-1.7325999999999999</v>
      </c>
      <c r="AT300" s="6">
        <v>0.81200000000000006</v>
      </c>
      <c r="AU300" s="6">
        <v>255</v>
      </c>
      <c r="AW300" s="17">
        <v>298</v>
      </c>
      <c r="AX300" s="6">
        <v>0.84326000000000001</v>
      </c>
      <c r="AY300" s="19">
        <v>-1.7325999999999999</v>
      </c>
      <c r="AZ300" s="6">
        <v>0.81200000000000006</v>
      </c>
      <c r="BA300" s="6">
        <v>255</v>
      </c>
      <c r="BN300" s="17">
        <v>298</v>
      </c>
      <c r="BO300" s="6">
        <v>43.343395010000002</v>
      </c>
      <c r="BP300" s="6">
        <v>48.04761285</v>
      </c>
      <c r="BQ300" s="19">
        <v>-4.7042178400000001</v>
      </c>
    </row>
    <row r="301" spans="1:69" x14ac:dyDescent="0.25">
      <c r="A301" s="31" t="s">
        <v>156</v>
      </c>
      <c r="B301" s="32">
        <v>3</v>
      </c>
      <c r="C301" s="32">
        <v>26</v>
      </c>
      <c r="D301" s="32">
        <v>5</v>
      </c>
      <c r="E301" s="32">
        <v>57</v>
      </c>
      <c r="F301" s="2">
        <v>55.9</v>
      </c>
      <c r="G301">
        <v>48.723512138504681</v>
      </c>
      <c r="H301" s="59" t="s">
        <v>12</v>
      </c>
      <c r="I301" t="s">
        <v>12</v>
      </c>
      <c r="AD301" s="17">
        <v>299</v>
      </c>
      <c r="AE301" s="6">
        <v>3.0457800000000002</v>
      </c>
      <c r="AF301" s="19">
        <v>-9.1544000000000008</v>
      </c>
      <c r="AG301" s="6">
        <v>2.9327000000000001</v>
      </c>
      <c r="AH301" s="6">
        <v>255</v>
      </c>
      <c r="AJ301" s="17">
        <v>299</v>
      </c>
      <c r="AK301" s="6">
        <v>5.7754700000000003</v>
      </c>
      <c r="AL301" s="19">
        <v>-9.1544000000000008</v>
      </c>
      <c r="AM301" s="6">
        <v>2.9327000000000001</v>
      </c>
      <c r="AN301" s="6">
        <v>255</v>
      </c>
      <c r="AQ301" s="17">
        <v>299</v>
      </c>
      <c r="AR301" s="6">
        <v>1.5905</v>
      </c>
      <c r="AS301" s="6">
        <v>0.53439999999999999</v>
      </c>
      <c r="AT301" s="6">
        <v>0.80759999999999998</v>
      </c>
      <c r="AU301" s="6">
        <v>255</v>
      </c>
      <c r="AW301" s="17">
        <v>299</v>
      </c>
      <c r="AX301" s="6">
        <v>0.83877000000000002</v>
      </c>
      <c r="AY301" s="6">
        <v>0.53439999999999999</v>
      </c>
      <c r="AZ301" s="6">
        <v>0.80759999999999998</v>
      </c>
      <c r="BA301" s="6">
        <v>255</v>
      </c>
      <c r="BN301" s="17">
        <v>299</v>
      </c>
      <c r="BO301" s="6">
        <v>45.600163879999997</v>
      </c>
      <c r="BP301" s="6">
        <v>45.48286032</v>
      </c>
      <c r="BQ301" s="6">
        <v>0.11730356</v>
      </c>
    </row>
    <row r="302" spans="1:69" x14ac:dyDescent="0.25">
      <c r="A302" s="31" t="s">
        <v>156</v>
      </c>
      <c r="B302" s="32">
        <v>1</v>
      </c>
      <c r="C302" s="32">
        <v>26</v>
      </c>
      <c r="D302" s="32">
        <v>2</v>
      </c>
      <c r="E302" s="32">
        <v>49</v>
      </c>
      <c r="F302" s="2">
        <v>60.9</v>
      </c>
      <c r="G302">
        <v>57.184330399458368</v>
      </c>
      <c r="H302" s="59">
        <v>15.2</v>
      </c>
      <c r="I302">
        <v>1</v>
      </c>
      <c r="AD302" s="17">
        <v>300</v>
      </c>
      <c r="AE302" s="6">
        <v>3.0738699999999999</v>
      </c>
      <c r="AF302" s="19">
        <v>-7.7234999999999996</v>
      </c>
      <c r="AG302" s="6">
        <v>2.9598</v>
      </c>
      <c r="AH302" s="6">
        <v>255</v>
      </c>
      <c r="AJ302" s="17">
        <v>300</v>
      </c>
      <c r="AK302" s="6">
        <v>5.8287399999999998</v>
      </c>
      <c r="AL302" s="19">
        <v>-7.7234999999999996</v>
      </c>
      <c r="AM302" s="6">
        <v>2.9598</v>
      </c>
      <c r="AN302" s="6">
        <v>255</v>
      </c>
      <c r="AQ302" s="17">
        <v>300</v>
      </c>
      <c r="AR302" s="6">
        <v>1.6029199999999999</v>
      </c>
      <c r="AS302" s="19">
        <v>-1.0874999999999999</v>
      </c>
      <c r="AT302" s="6">
        <v>0.81389999999999996</v>
      </c>
      <c r="AU302" s="6">
        <v>255</v>
      </c>
      <c r="AW302" s="17">
        <v>300</v>
      </c>
      <c r="AX302" s="6">
        <v>0.84531999999999996</v>
      </c>
      <c r="AY302" s="19">
        <v>-1.0874999999999999</v>
      </c>
      <c r="AZ302" s="6">
        <v>0.81389999999999996</v>
      </c>
      <c r="BA302" s="6">
        <v>255</v>
      </c>
      <c r="BN302" s="17">
        <v>300</v>
      </c>
      <c r="BO302" s="6">
        <v>48.723512139999997</v>
      </c>
      <c r="BP302" s="6">
        <v>44.136597870000003</v>
      </c>
      <c r="BQ302" s="6">
        <v>4.5869142700000003</v>
      </c>
    </row>
    <row r="303" spans="1:69" x14ac:dyDescent="0.25">
      <c r="A303" s="31" t="s">
        <v>156</v>
      </c>
      <c r="B303" s="32">
        <v>2</v>
      </c>
      <c r="C303" s="32">
        <v>13</v>
      </c>
      <c r="D303" s="32">
        <v>3</v>
      </c>
      <c r="E303" s="32">
        <v>49</v>
      </c>
      <c r="F303" s="2">
        <v>57.3</v>
      </c>
      <c r="G303">
        <v>47.567683814666601</v>
      </c>
      <c r="H303" s="61" t="s">
        <v>12</v>
      </c>
      <c r="I303" t="s">
        <v>12</v>
      </c>
      <c r="AD303" s="17">
        <v>301</v>
      </c>
      <c r="AE303" s="6">
        <v>3.0500799999999999</v>
      </c>
      <c r="AF303" s="19">
        <v>-6.5149999999999997</v>
      </c>
      <c r="AG303" s="6">
        <v>2.9369000000000001</v>
      </c>
      <c r="AH303" s="6">
        <v>255</v>
      </c>
      <c r="AJ303" s="17">
        <v>301</v>
      </c>
      <c r="AK303" s="6">
        <v>5.7836299999999996</v>
      </c>
      <c r="AL303" s="19">
        <v>-6.5149999999999997</v>
      </c>
      <c r="AM303" s="6">
        <v>2.9369000000000001</v>
      </c>
      <c r="AN303" s="6">
        <v>255</v>
      </c>
      <c r="AQ303" s="17">
        <v>301</v>
      </c>
      <c r="AR303" s="6">
        <v>1.59416</v>
      </c>
      <c r="AS303" s="6">
        <v>0.41489999999999999</v>
      </c>
      <c r="AT303" s="6">
        <v>0.8095</v>
      </c>
      <c r="AU303" s="6">
        <v>255</v>
      </c>
      <c r="AW303" s="17">
        <v>301</v>
      </c>
      <c r="AX303" s="6">
        <v>0.8407</v>
      </c>
      <c r="AY303" s="6">
        <v>0.41489999999999999</v>
      </c>
      <c r="AZ303" s="6">
        <v>0.8095</v>
      </c>
      <c r="BA303" s="6">
        <v>255</v>
      </c>
      <c r="BN303" s="17">
        <v>301</v>
      </c>
      <c r="BO303" s="6">
        <v>57.1843304</v>
      </c>
      <c r="BP303" s="6">
        <v>52.627324860000002</v>
      </c>
      <c r="BQ303" s="6">
        <v>4.5570055399999996</v>
      </c>
    </row>
    <row r="304" spans="1:69" x14ac:dyDescent="0.25">
      <c r="A304" s="31" t="s">
        <v>156</v>
      </c>
      <c r="B304" s="32">
        <v>3</v>
      </c>
      <c r="C304" s="32">
        <v>12</v>
      </c>
      <c r="D304" s="32">
        <v>5</v>
      </c>
      <c r="E304" s="32">
        <v>49</v>
      </c>
      <c r="F304" s="2">
        <v>57</v>
      </c>
      <c r="G304">
        <v>46.654192861978906</v>
      </c>
      <c r="H304" s="61" t="s">
        <v>12</v>
      </c>
      <c r="I304" t="s">
        <v>12</v>
      </c>
      <c r="AD304" s="17">
        <v>302</v>
      </c>
      <c r="AE304" s="6">
        <v>3.03911</v>
      </c>
      <c r="AF304" s="19">
        <v>-2.4165000000000001</v>
      </c>
      <c r="AG304" s="6">
        <v>2.9262999999999999</v>
      </c>
      <c r="AH304" s="6">
        <v>255</v>
      </c>
      <c r="AJ304" s="17">
        <v>302</v>
      </c>
      <c r="AK304" s="6">
        <v>5.7628199999999996</v>
      </c>
      <c r="AL304" s="19">
        <v>-2.4165000000000001</v>
      </c>
      <c r="AM304" s="6">
        <v>2.9262999999999999</v>
      </c>
      <c r="AN304" s="6">
        <v>255</v>
      </c>
      <c r="AQ304" s="17">
        <v>302</v>
      </c>
      <c r="AR304" s="6">
        <v>1.5966800000000001</v>
      </c>
      <c r="AS304" s="6">
        <v>0.80220000000000002</v>
      </c>
      <c r="AT304" s="6">
        <v>0.81079999999999997</v>
      </c>
      <c r="AU304" s="6">
        <v>255</v>
      </c>
      <c r="AW304" s="17">
        <v>302</v>
      </c>
      <c r="AX304" s="6">
        <v>0.84202999999999995</v>
      </c>
      <c r="AY304" s="6">
        <v>0.80220000000000002</v>
      </c>
      <c r="AZ304" s="6">
        <v>0.81079999999999997</v>
      </c>
      <c r="BA304" s="6">
        <v>255</v>
      </c>
      <c r="BN304" s="17">
        <v>302</v>
      </c>
      <c r="BO304" s="6">
        <v>47.567683809999998</v>
      </c>
      <c r="BP304" s="6">
        <v>50.062572330000002</v>
      </c>
      <c r="BQ304" s="19">
        <v>-2.4948885199999999</v>
      </c>
    </row>
    <row r="305" spans="1:69" x14ac:dyDescent="0.25">
      <c r="A305" s="31" t="s">
        <v>156</v>
      </c>
      <c r="B305" s="32">
        <v>1</v>
      </c>
      <c r="C305" s="32">
        <v>2</v>
      </c>
      <c r="D305" s="32">
        <v>1</v>
      </c>
      <c r="E305" s="32">
        <v>48</v>
      </c>
      <c r="F305" s="2">
        <v>52.2</v>
      </c>
      <c r="G305">
        <v>37.506112530736225</v>
      </c>
      <c r="H305" s="59">
        <v>17</v>
      </c>
      <c r="I305">
        <v>0</v>
      </c>
      <c r="AD305" s="17">
        <v>303</v>
      </c>
      <c r="AE305" s="6">
        <v>3.04772</v>
      </c>
      <c r="AF305" s="19">
        <v>-6.1725000000000003</v>
      </c>
      <c r="AG305" s="6">
        <v>2.9346000000000001</v>
      </c>
      <c r="AH305" s="6">
        <v>255</v>
      </c>
      <c r="AJ305" s="17">
        <v>303</v>
      </c>
      <c r="AK305" s="6">
        <v>5.7791499999999996</v>
      </c>
      <c r="AL305" s="19">
        <v>-6.1725000000000003</v>
      </c>
      <c r="AM305" s="6">
        <v>2.9346000000000001</v>
      </c>
      <c r="AN305" s="6">
        <v>255</v>
      </c>
      <c r="AQ305" s="17">
        <v>303</v>
      </c>
      <c r="AR305" s="6">
        <v>1.59293</v>
      </c>
      <c r="AS305" s="6">
        <v>0.87729999999999997</v>
      </c>
      <c r="AT305" s="6">
        <v>0.80889999999999995</v>
      </c>
      <c r="AU305" s="6">
        <v>255</v>
      </c>
      <c r="AW305" s="17">
        <v>303</v>
      </c>
      <c r="AX305" s="6">
        <v>0.84006000000000003</v>
      </c>
      <c r="AY305" s="6">
        <v>0.87729999999999997</v>
      </c>
      <c r="AZ305" s="6">
        <v>0.80889999999999995</v>
      </c>
      <c r="BA305" s="6">
        <v>255</v>
      </c>
      <c r="BN305" s="17">
        <v>303</v>
      </c>
      <c r="BO305" s="6">
        <v>46.654192860000002</v>
      </c>
      <c r="BP305" s="6">
        <v>48.716309879999997</v>
      </c>
      <c r="BQ305" s="19">
        <v>-2.0621170200000001</v>
      </c>
    </row>
    <row r="306" spans="1:69" x14ac:dyDescent="0.25">
      <c r="A306" s="31" t="s">
        <v>156</v>
      </c>
      <c r="B306" s="32">
        <v>2</v>
      </c>
      <c r="C306" s="32">
        <v>18</v>
      </c>
      <c r="D306" s="32">
        <v>3</v>
      </c>
      <c r="E306" s="32">
        <v>48</v>
      </c>
      <c r="F306" s="2">
        <v>49.3</v>
      </c>
      <c r="G306">
        <v>36.63109782556289</v>
      </c>
      <c r="H306" s="59" t="s">
        <v>12</v>
      </c>
      <c r="I306" t="s">
        <v>12</v>
      </c>
      <c r="AD306" s="17">
        <v>304</v>
      </c>
      <c r="AE306" s="6">
        <v>3.0423399999999998</v>
      </c>
      <c r="AF306" s="19">
        <v>-9.6929999999999996</v>
      </c>
      <c r="AG306" s="6">
        <v>2.9293999999999998</v>
      </c>
      <c r="AH306" s="6">
        <v>255</v>
      </c>
      <c r="AJ306" s="17">
        <v>304</v>
      </c>
      <c r="AK306" s="6">
        <v>5.7689399999999997</v>
      </c>
      <c r="AL306" s="19">
        <v>-9.6929999999999996</v>
      </c>
      <c r="AM306" s="6">
        <v>2.9293999999999998</v>
      </c>
      <c r="AN306" s="6">
        <v>255</v>
      </c>
      <c r="AQ306" s="17">
        <v>304</v>
      </c>
      <c r="AR306" s="6">
        <v>1.5908100000000001</v>
      </c>
      <c r="AS306" s="19">
        <v>-1.0674999999999999</v>
      </c>
      <c r="AT306" s="6">
        <v>0.80779999999999996</v>
      </c>
      <c r="AU306" s="6">
        <v>255</v>
      </c>
      <c r="AW306" s="17">
        <v>304</v>
      </c>
      <c r="AX306" s="6">
        <v>0.83894000000000002</v>
      </c>
      <c r="AY306" s="19">
        <v>-1.0674999999999999</v>
      </c>
      <c r="AZ306" s="6">
        <v>0.80779999999999996</v>
      </c>
      <c r="BA306" s="6">
        <v>255</v>
      </c>
      <c r="BN306" s="17">
        <v>304</v>
      </c>
      <c r="BO306" s="6">
        <v>37.506112530000003</v>
      </c>
      <c r="BP306" s="6">
        <v>40.251598479999998</v>
      </c>
      <c r="BQ306" s="19">
        <v>-2.74548595</v>
      </c>
    </row>
    <row r="307" spans="1:69" x14ac:dyDescent="0.25">
      <c r="A307" s="31" t="s">
        <v>156</v>
      </c>
      <c r="B307" s="32">
        <v>3</v>
      </c>
      <c r="C307" s="32">
        <v>11</v>
      </c>
      <c r="D307" s="32">
        <v>6</v>
      </c>
      <c r="E307" s="32">
        <v>48</v>
      </c>
      <c r="F307" s="2">
        <v>53.6</v>
      </c>
      <c r="G307">
        <v>40.141817569841798</v>
      </c>
      <c r="H307" s="61" t="s">
        <v>12</v>
      </c>
      <c r="I307" t="s">
        <v>12</v>
      </c>
      <c r="AD307" s="17">
        <v>305</v>
      </c>
      <c r="AE307" s="6">
        <v>3.0460799999999999</v>
      </c>
      <c r="AF307" s="19">
        <v>-9.3645999999999994</v>
      </c>
      <c r="AG307" s="6">
        <v>2.9329999999999998</v>
      </c>
      <c r="AH307" s="6">
        <v>255</v>
      </c>
      <c r="AJ307" s="17">
        <v>305</v>
      </c>
      <c r="AK307" s="6">
        <v>5.7760499999999997</v>
      </c>
      <c r="AL307" s="19">
        <v>-9.3645999999999994</v>
      </c>
      <c r="AM307" s="6">
        <v>2.9329999999999998</v>
      </c>
      <c r="AN307" s="6">
        <v>255</v>
      </c>
      <c r="AQ307" s="17">
        <v>305</v>
      </c>
      <c r="AR307" s="6">
        <v>1.5905400000000001</v>
      </c>
      <c r="AS307" s="19">
        <v>-0.2253</v>
      </c>
      <c r="AT307" s="6">
        <v>0.80769999999999997</v>
      </c>
      <c r="AU307" s="6">
        <v>255</v>
      </c>
      <c r="AW307" s="17">
        <v>305</v>
      </c>
      <c r="AX307" s="6">
        <v>0.83879000000000004</v>
      </c>
      <c r="AY307" s="19">
        <v>-0.2253</v>
      </c>
      <c r="AZ307" s="6">
        <v>0.80769999999999997</v>
      </c>
      <c r="BA307" s="6">
        <v>255</v>
      </c>
      <c r="BN307" s="17">
        <v>305</v>
      </c>
      <c r="BO307" s="6">
        <v>36.631097830000002</v>
      </c>
      <c r="BP307" s="6">
        <v>37.686845949999999</v>
      </c>
      <c r="BQ307" s="19">
        <v>-1.0557481200000001</v>
      </c>
    </row>
    <row r="308" spans="1:69" x14ac:dyDescent="0.25">
      <c r="A308" s="31" t="s">
        <v>156</v>
      </c>
      <c r="B308" s="32">
        <v>1</v>
      </c>
      <c r="C308" s="32">
        <v>10</v>
      </c>
      <c r="D308" s="32">
        <v>2</v>
      </c>
      <c r="E308" s="32">
        <v>26</v>
      </c>
      <c r="F308" s="2">
        <v>58.7</v>
      </c>
      <c r="G308">
        <v>58.362324112583416</v>
      </c>
      <c r="H308" s="59">
        <v>13.7</v>
      </c>
      <c r="I308">
        <v>2</v>
      </c>
      <c r="AD308" s="17">
        <v>306</v>
      </c>
      <c r="AE308" s="6">
        <v>3.0247999999999999</v>
      </c>
      <c r="AF308" s="19">
        <v>-6.8465999999999996</v>
      </c>
      <c r="AG308" s="6">
        <v>2.9125000000000001</v>
      </c>
      <c r="AH308" s="6">
        <v>255</v>
      </c>
      <c r="AJ308" s="17">
        <v>306</v>
      </c>
      <c r="AK308" s="6">
        <v>5.73569</v>
      </c>
      <c r="AL308" s="19">
        <v>-6.8465999999999996</v>
      </c>
      <c r="AM308" s="6">
        <v>2.9125000000000001</v>
      </c>
      <c r="AN308" s="6">
        <v>255</v>
      </c>
      <c r="AQ308" s="17">
        <v>306</v>
      </c>
      <c r="AR308" s="6">
        <v>1.5815600000000001</v>
      </c>
      <c r="AS308" s="19">
        <v>-1.8944000000000001</v>
      </c>
      <c r="AT308" s="6">
        <v>0.80310000000000004</v>
      </c>
      <c r="AU308" s="6">
        <v>255</v>
      </c>
      <c r="AW308" s="17">
        <v>306</v>
      </c>
      <c r="AX308" s="6">
        <v>0.83406000000000002</v>
      </c>
      <c r="AY308" s="19">
        <v>-1.8944000000000001</v>
      </c>
      <c r="AZ308" s="6">
        <v>0.80310000000000004</v>
      </c>
      <c r="BA308" s="6">
        <v>255</v>
      </c>
      <c r="BN308" s="17">
        <v>306</v>
      </c>
      <c r="BO308" s="6">
        <v>40.141817570000001</v>
      </c>
      <c r="BP308" s="6">
        <v>36.340583500000001</v>
      </c>
      <c r="BQ308" s="6">
        <v>3.80123407</v>
      </c>
    </row>
    <row r="309" spans="1:69" x14ac:dyDescent="0.25">
      <c r="A309" s="31" t="s">
        <v>156</v>
      </c>
      <c r="B309" s="32">
        <v>2</v>
      </c>
      <c r="C309" s="32">
        <v>5</v>
      </c>
      <c r="D309" s="32">
        <v>4</v>
      </c>
      <c r="E309" s="32">
        <v>26</v>
      </c>
      <c r="F309" s="2" t="s">
        <v>12</v>
      </c>
      <c r="G309" t="s">
        <v>12</v>
      </c>
      <c r="H309" s="59" t="s">
        <v>12</v>
      </c>
      <c r="I309" t="s">
        <v>12</v>
      </c>
      <c r="AD309" s="17">
        <v>307</v>
      </c>
      <c r="AE309" s="6">
        <v>3.0379999999999998</v>
      </c>
      <c r="AF309" s="19">
        <v>-5.1684000000000001</v>
      </c>
      <c r="AG309" s="6">
        <v>2.9251999999999998</v>
      </c>
      <c r="AH309" s="6">
        <v>255</v>
      </c>
      <c r="AJ309" s="17">
        <v>307</v>
      </c>
      <c r="AK309" s="6">
        <v>5.7607100000000004</v>
      </c>
      <c r="AL309" s="19">
        <v>-5.1684000000000001</v>
      </c>
      <c r="AM309" s="6">
        <v>2.9251999999999998</v>
      </c>
      <c r="AN309" s="6">
        <v>255</v>
      </c>
      <c r="AQ309" s="17">
        <v>307</v>
      </c>
      <c r="AR309" s="6">
        <v>1.5944700000000001</v>
      </c>
      <c r="AS309" s="19">
        <v>-1.5135000000000001</v>
      </c>
      <c r="AT309" s="6">
        <v>0.80969999999999998</v>
      </c>
      <c r="AU309" s="6">
        <v>255</v>
      </c>
      <c r="AW309" s="17">
        <v>307</v>
      </c>
      <c r="AX309" s="6">
        <v>0.84087000000000001</v>
      </c>
      <c r="AY309" s="19">
        <v>-1.5135000000000001</v>
      </c>
      <c r="AZ309" s="6">
        <v>0.80969999999999998</v>
      </c>
      <c r="BA309" s="6">
        <v>255</v>
      </c>
      <c r="BN309" s="17">
        <v>307</v>
      </c>
      <c r="BO309" s="6">
        <v>58.362324110000003</v>
      </c>
      <c r="BP309" s="6">
        <v>55.741674140000001</v>
      </c>
      <c r="BQ309" s="6">
        <v>2.6206499700000001</v>
      </c>
    </row>
    <row r="310" spans="1:69" x14ac:dyDescent="0.25">
      <c r="A310" s="31" t="s">
        <v>156</v>
      </c>
      <c r="B310" s="32">
        <v>3</v>
      </c>
      <c r="C310" s="32">
        <v>17</v>
      </c>
      <c r="D310" s="32">
        <v>5</v>
      </c>
      <c r="E310" s="32">
        <v>26</v>
      </c>
      <c r="F310" s="2">
        <v>56.4</v>
      </c>
      <c r="G310">
        <v>49.210009188509517</v>
      </c>
      <c r="H310" s="59" t="s">
        <v>12</v>
      </c>
      <c r="I310" t="s">
        <v>12</v>
      </c>
      <c r="AD310" s="17">
        <v>308</v>
      </c>
      <c r="AE310" s="6">
        <v>3.0534699999999999</v>
      </c>
      <c r="AF310" s="19">
        <v>-7.6505000000000001</v>
      </c>
      <c r="AG310" s="6">
        <v>2.9401000000000002</v>
      </c>
      <c r="AH310" s="6">
        <v>255</v>
      </c>
      <c r="AJ310" s="17">
        <v>308</v>
      </c>
      <c r="AK310" s="6">
        <v>5.7900499999999999</v>
      </c>
      <c r="AL310" s="19">
        <v>-7.6505000000000001</v>
      </c>
      <c r="AM310" s="6">
        <v>2.9401000000000002</v>
      </c>
      <c r="AN310" s="6">
        <v>255</v>
      </c>
      <c r="AQ310" s="17">
        <v>308</v>
      </c>
      <c r="AR310" s="6">
        <v>1.61934</v>
      </c>
      <c r="AS310" s="19">
        <v>-0.1351</v>
      </c>
      <c r="AT310" s="6">
        <v>0.82230000000000003</v>
      </c>
      <c r="AU310" s="6">
        <v>255</v>
      </c>
      <c r="AW310" s="17">
        <v>308</v>
      </c>
      <c r="AX310" s="6">
        <v>0.85399000000000003</v>
      </c>
      <c r="AY310" s="19">
        <v>-0.1351</v>
      </c>
      <c r="AZ310" s="6">
        <v>0.82230000000000003</v>
      </c>
      <c r="BA310" s="6">
        <v>255</v>
      </c>
      <c r="BN310" s="17">
        <v>308</v>
      </c>
      <c r="BO310" s="6" t="s">
        <v>12</v>
      </c>
      <c r="BP310" s="6">
        <v>53.176921610000001</v>
      </c>
      <c r="BQ310" s="6" t="s">
        <v>12</v>
      </c>
    </row>
    <row r="311" spans="1:69" x14ac:dyDescent="0.25">
      <c r="A311" s="31" t="s">
        <v>156</v>
      </c>
      <c r="B311" s="32">
        <v>1</v>
      </c>
      <c r="C311" s="32">
        <v>1</v>
      </c>
      <c r="D311" s="32">
        <v>2</v>
      </c>
      <c r="E311" s="32">
        <v>36</v>
      </c>
      <c r="F311" s="2">
        <v>59</v>
      </c>
      <c r="G311">
        <v>53.397951445981235</v>
      </c>
      <c r="H311" s="59">
        <v>15.7</v>
      </c>
      <c r="I311">
        <v>1</v>
      </c>
      <c r="AD311" s="17">
        <v>309</v>
      </c>
      <c r="AE311" s="6">
        <v>3.0658500000000002</v>
      </c>
      <c r="AF311" s="19">
        <v>-5.6901999999999999</v>
      </c>
      <c r="AG311" s="6">
        <v>2.9521000000000002</v>
      </c>
      <c r="AH311" s="6">
        <v>255</v>
      </c>
      <c r="AJ311" s="17">
        <v>309</v>
      </c>
      <c r="AK311" s="6">
        <v>5.8135199999999996</v>
      </c>
      <c r="AL311" s="19">
        <v>-5.6901999999999999</v>
      </c>
      <c r="AM311" s="6">
        <v>2.9521000000000002</v>
      </c>
      <c r="AN311" s="6">
        <v>255</v>
      </c>
      <c r="AQ311" s="17">
        <v>309</v>
      </c>
      <c r="AR311" s="6">
        <v>1.6009899999999999</v>
      </c>
      <c r="AS311" s="19">
        <v>-0.22420000000000001</v>
      </c>
      <c r="AT311" s="6">
        <v>0.81299999999999994</v>
      </c>
      <c r="AU311" s="6">
        <v>255</v>
      </c>
      <c r="AW311" s="17">
        <v>309</v>
      </c>
      <c r="AX311" s="6">
        <v>0.84430000000000005</v>
      </c>
      <c r="AY311" s="19">
        <v>-0.22420000000000001</v>
      </c>
      <c r="AZ311" s="6">
        <v>0.81299999999999994</v>
      </c>
      <c r="BA311" s="6">
        <v>255</v>
      </c>
      <c r="BN311" s="17">
        <v>309</v>
      </c>
      <c r="BO311" s="6">
        <v>49.210009190000001</v>
      </c>
      <c r="BP311" s="6">
        <v>51.830659160000003</v>
      </c>
      <c r="BQ311" s="19">
        <v>-2.6206499700000001</v>
      </c>
    </row>
    <row r="312" spans="1:69" x14ac:dyDescent="0.25">
      <c r="A312" s="31" t="s">
        <v>156</v>
      </c>
      <c r="B312" s="32">
        <v>2</v>
      </c>
      <c r="C312" s="32">
        <v>8</v>
      </c>
      <c r="D312" s="32">
        <v>3</v>
      </c>
      <c r="E312" s="32">
        <v>36</v>
      </c>
      <c r="F312" s="2">
        <v>58</v>
      </c>
      <c r="G312">
        <v>49.678134130466226</v>
      </c>
      <c r="H312" s="59" t="s">
        <v>12</v>
      </c>
      <c r="I312" t="s">
        <v>12</v>
      </c>
      <c r="AD312" s="17">
        <v>310</v>
      </c>
      <c r="AE312" s="6">
        <v>3.05132</v>
      </c>
      <c r="AF312" s="19">
        <v>-13.7563</v>
      </c>
      <c r="AG312" s="6">
        <v>2.9380999999999999</v>
      </c>
      <c r="AH312" s="6">
        <v>255</v>
      </c>
      <c r="AJ312" s="17">
        <v>310</v>
      </c>
      <c r="AK312" s="6">
        <v>5.7859699999999998</v>
      </c>
      <c r="AL312" s="19">
        <v>-13.7563</v>
      </c>
      <c r="AM312" s="6">
        <v>2.9380999999999999</v>
      </c>
      <c r="AN312" s="6">
        <v>255</v>
      </c>
      <c r="AQ312" s="17">
        <v>310</v>
      </c>
      <c r="AR312" s="6">
        <v>1.5956900000000001</v>
      </c>
      <c r="AS312" s="19">
        <v>-0.6351</v>
      </c>
      <c r="AT312" s="6">
        <v>0.81030000000000002</v>
      </c>
      <c r="AU312" s="6">
        <v>255</v>
      </c>
      <c r="AW312" s="17">
        <v>310</v>
      </c>
      <c r="AX312" s="6">
        <v>0.84150999999999998</v>
      </c>
      <c r="AY312" s="19">
        <v>-0.6351</v>
      </c>
      <c r="AZ312" s="6">
        <v>0.81030000000000002</v>
      </c>
      <c r="BA312" s="6">
        <v>255</v>
      </c>
      <c r="BN312" s="17">
        <v>310</v>
      </c>
      <c r="BO312" s="6">
        <v>53.397951450000001</v>
      </c>
      <c r="BP312" s="6">
        <v>53.542175890000003</v>
      </c>
      <c r="BQ312" s="19">
        <v>-0.14422444000000001</v>
      </c>
    </row>
    <row r="313" spans="1:69" x14ac:dyDescent="0.25">
      <c r="A313" s="31" t="s">
        <v>156</v>
      </c>
      <c r="B313" s="32">
        <v>3</v>
      </c>
      <c r="C313" s="32">
        <v>26</v>
      </c>
      <c r="D313" s="32">
        <v>6</v>
      </c>
      <c r="E313" s="32">
        <v>36</v>
      </c>
      <c r="F313" s="2">
        <v>58.4</v>
      </c>
      <c r="G313">
        <v>51.074674568447357</v>
      </c>
      <c r="H313" s="61" t="s">
        <v>12</v>
      </c>
      <c r="I313" t="s">
        <v>12</v>
      </c>
      <c r="AD313" s="17">
        <v>311</v>
      </c>
      <c r="AE313" s="6">
        <v>3.0408499999999998</v>
      </c>
      <c r="AF313" s="19">
        <v>-8.7135999999999996</v>
      </c>
      <c r="AG313" s="6">
        <v>2.9279999999999999</v>
      </c>
      <c r="AH313" s="6">
        <v>255</v>
      </c>
      <c r="AJ313" s="17">
        <v>311</v>
      </c>
      <c r="AK313" s="6">
        <v>5.7661199999999999</v>
      </c>
      <c r="AL313" s="19">
        <v>-8.7135999999999996</v>
      </c>
      <c r="AM313" s="6">
        <v>2.9279999999999999</v>
      </c>
      <c r="AN313" s="6">
        <v>255</v>
      </c>
      <c r="AQ313" s="17">
        <v>311</v>
      </c>
      <c r="AR313" s="6">
        <v>1.5893600000000001</v>
      </c>
      <c r="AS313" s="19">
        <v>-0.36270000000000002</v>
      </c>
      <c r="AT313" s="6">
        <v>0.80710000000000004</v>
      </c>
      <c r="AU313" s="6">
        <v>255</v>
      </c>
      <c r="AW313" s="17">
        <v>311</v>
      </c>
      <c r="AX313" s="6">
        <v>0.83816999999999997</v>
      </c>
      <c r="AY313" s="19">
        <v>-0.36270000000000002</v>
      </c>
      <c r="AZ313" s="6">
        <v>0.80710000000000004</v>
      </c>
      <c r="BA313" s="6">
        <v>255</v>
      </c>
      <c r="BN313" s="17">
        <v>311</v>
      </c>
      <c r="BO313" s="6">
        <v>49.678134129999997</v>
      </c>
      <c r="BP313" s="6">
        <v>50.977423360000003</v>
      </c>
      <c r="BQ313" s="19">
        <v>-1.2992892300000001</v>
      </c>
    </row>
    <row r="314" spans="1:69" x14ac:dyDescent="0.25">
      <c r="A314" s="31" t="s">
        <v>10</v>
      </c>
      <c r="B314" s="32">
        <v>1</v>
      </c>
      <c r="C314" s="32">
        <v>1</v>
      </c>
      <c r="D314" s="32">
        <v>1</v>
      </c>
      <c r="E314" s="32">
        <v>34</v>
      </c>
      <c r="F314" s="2">
        <v>56.2</v>
      </c>
      <c r="G314">
        <v>53.905276691729306</v>
      </c>
      <c r="H314">
        <v>14.8</v>
      </c>
      <c r="I314" t="s">
        <v>12</v>
      </c>
      <c r="AD314" s="17">
        <v>312</v>
      </c>
      <c r="AE314" s="6">
        <v>3.0512700000000001</v>
      </c>
      <c r="AF314" s="19">
        <v>-6.2362000000000002</v>
      </c>
      <c r="AG314" s="6">
        <v>2.9380000000000002</v>
      </c>
      <c r="AH314" s="6">
        <v>255</v>
      </c>
      <c r="AJ314" s="17">
        <v>312</v>
      </c>
      <c r="AK314" s="6">
        <v>5.7858799999999997</v>
      </c>
      <c r="AL314" s="19">
        <v>-6.2362000000000002</v>
      </c>
      <c r="AM314" s="6">
        <v>2.9380000000000002</v>
      </c>
      <c r="AN314" s="6">
        <v>255</v>
      </c>
      <c r="AQ314" s="17">
        <v>312</v>
      </c>
      <c r="AR314" s="6">
        <v>1.5911500000000001</v>
      </c>
      <c r="AS314" s="6">
        <v>0.16120000000000001</v>
      </c>
      <c r="AT314" s="6">
        <v>0.80800000000000005</v>
      </c>
      <c r="AU314" s="6">
        <v>255</v>
      </c>
      <c r="AW314" s="17">
        <v>312</v>
      </c>
      <c r="AX314" s="6">
        <v>0.83911999999999998</v>
      </c>
      <c r="AY314" s="6">
        <v>0.16120000000000001</v>
      </c>
      <c r="AZ314" s="6">
        <v>0.80800000000000005</v>
      </c>
      <c r="BA314" s="6">
        <v>255</v>
      </c>
      <c r="BN314" s="17">
        <v>312</v>
      </c>
      <c r="BO314" s="6">
        <v>51.074674569999999</v>
      </c>
      <c r="BP314" s="6">
        <v>49.631160909999998</v>
      </c>
      <c r="BQ314" s="6">
        <v>1.44351366</v>
      </c>
    </row>
    <row r="315" spans="1:69" x14ac:dyDescent="0.25">
      <c r="A315" s="31" t="s">
        <v>10</v>
      </c>
      <c r="B315" s="32">
        <v>1</v>
      </c>
      <c r="C315" s="32">
        <v>2</v>
      </c>
      <c r="D315" s="32">
        <v>1</v>
      </c>
      <c r="E315" s="32">
        <v>23</v>
      </c>
      <c r="F315" s="2">
        <v>53.6</v>
      </c>
      <c r="G315">
        <v>44.768842105263154</v>
      </c>
      <c r="H315">
        <v>15.5</v>
      </c>
      <c r="I315" t="s">
        <v>12</v>
      </c>
      <c r="AD315" s="17">
        <v>313</v>
      </c>
      <c r="AE315" s="6">
        <v>3.0529700000000002</v>
      </c>
      <c r="AF315" s="19">
        <v>-8.1555</v>
      </c>
      <c r="AG315" s="6">
        <v>2.9397000000000002</v>
      </c>
      <c r="AH315" s="6">
        <v>255</v>
      </c>
      <c r="AJ315" s="17">
        <v>313</v>
      </c>
      <c r="AK315" s="6">
        <v>5.7891000000000004</v>
      </c>
      <c r="AL315" s="19">
        <v>-8.1555</v>
      </c>
      <c r="AM315" s="6">
        <v>2.9397000000000002</v>
      </c>
      <c r="AN315" s="6">
        <v>255</v>
      </c>
      <c r="AQ315" s="17">
        <v>313</v>
      </c>
      <c r="AR315" s="6">
        <v>1.5930500000000001</v>
      </c>
      <c r="AS315" s="19">
        <v>-1.0215000000000001</v>
      </c>
      <c r="AT315" s="6">
        <v>0.80889999999999995</v>
      </c>
      <c r="AU315" s="6">
        <v>255</v>
      </c>
      <c r="AW315" s="17">
        <v>313</v>
      </c>
      <c r="AX315" s="6">
        <v>0.84011999999999998</v>
      </c>
      <c r="AY315" s="19">
        <v>-1.0215000000000001</v>
      </c>
      <c r="AZ315" s="6">
        <v>0.80889999999999995</v>
      </c>
      <c r="BA315" s="6">
        <v>255</v>
      </c>
      <c r="BN315" s="17">
        <v>313</v>
      </c>
      <c r="BO315" s="6">
        <v>53.905276690000001</v>
      </c>
      <c r="BP315" s="6">
        <v>51.55466062</v>
      </c>
      <c r="BQ315" s="6">
        <v>2.3506160700000001</v>
      </c>
    </row>
    <row r="316" spans="1:69" x14ac:dyDescent="0.25">
      <c r="A316" s="31" t="s">
        <v>10</v>
      </c>
      <c r="B316" s="32">
        <v>1</v>
      </c>
      <c r="C316" s="32">
        <v>3</v>
      </c>
      <c r="D316" s="32">
        <v>1</v>
      </c>
      <c r="E316" s="32">
        <v>18</v>
      </c>
      <c r="F316" s="2">
        <v>57.2</v>
      </c>
      <c r="G316">
        <v>57.949190977443607</v>
      </c>
      <c r="H316">
        <v>13.4</v>
      </c>
      <c r="I316" t="s">
        <v>12</v>
      </c>
      <c r="AD316" s="17">
        <v>314</v>
      </c>
      <c r="AE316" s="6">
        <v>3.04867</v>
      </c>
      <c r="AF316" s="19">
        <v>-6.8445</v>
      </c>
      <c r="AG316" s="6">
        <v>2.9355000000000002</v>
      </c>
      <c r="AH316" s="6">
        <v>255</v>
      </c>
      <c r="AJ316" s="17">
        <v>314</v>
      </c>
      <c r="AK316" s="6">
        <v>5.7809600000000003</v>
      </c>
      <c r="AL316" s="19">
        <v>-6.8445</v>
      </c>
      <c r="AM316" s="6">
        <v>2.9355000000000002</v>
      </c>
      <c r="AN316" s="6">
        <v>255</v>
      </c>
      <c r="AQ316" s="17">
        <v>314</v>
      </c>
      <c r="AR316" s="6">
        <v>1.59375</v>
      </c>
      <c r="AS316" s="19">
        <v>-1.2098</v>
      </c>
      <c r="AT316" s="6">
        <v>0.80930000000000002</v>
      </c>
      <c r="AU316" s="6">
        <v>255</v>
      </c>
      <c r="AW316" s="17">
        <v>314</v>
      </c>
      <c r="AX316" s="6">
        <v>0.84048999999999996</v>
      </c>
      <c r="AY316" s="19">
        <v>-1.2098</v>
      </c>
      <c r="AZ316" s="6">
        <v>0.80930000000000002</v>
      </c>
      <c r="BA316" s="6">
        <v>255</v>
      </c>
      <c r="BN316" s="17">
        <v>314</v>
      </c>
      <c r="BO316" s="6">
        <v>44.768842110000001</v>
      </c>
      <c r="BP316" s="6">
        <v>55.240479399999998</v>
      </c>
      <c r="BQ316" s="19">
        <v>-10.47163729</v>
      </c>
    </row>
    <row r="317" spans="1:69" x14ac:dyDescent="0.25">
      <c r="A317" s="31" t="s">
        <v>10</v>
      </c>
      <c r="B317" s="32">
        <v>1</v>
      </c>
      <c r="C317" s="32">
        <v>4</v>
      </c>
      <c r="D317" s="32">
        <v>1</v>
      </c>
      <c r="E317" s="32">
        <v>46</v>
      </c>
      <c r="F317" s="2">
        <v>58.2</v>
      </c>
      <c r="G317">
        <v>72.608336842105231</v>
      </c>
      <c r="H317">
        <v>14.1</v>
      </c>
      <c r="I317" t="s">
        <v>12</v>
      </c>
      <c r="AD317" s="17">
        <v>315</v>
      </c>
      <c r="AE317" s="6">
        <v>3.0263900000000001</v>
      </c>
      <c r="AF317" s="19">
        <v>-4.9508999999999999</v>
      </c>
      <c r="AG317" s="6">
        <v>2.9140999999999999</v>
      </c>
      <c r="AH317" s="6">
        <v>255</v>
      </c>
      <c r="AJ317" s="17">
        <v>315</v>
      </c>
      <c r="AK317" s="6">
        <v>5.7387100000000002</v>
      </c>
      <c r="AL317" s="19">
        <v>-4.9508999999999999</v>
      </c>
      <c r="AM317" s="6">
        <v>2.9140999999999999</v>
      </c>
      <c r="AN317" s="6">
        <v>255</v>
      </c>
      <c r="AQ317" s="17">
        <v>315</v>
      </c>
      <c r="AR317" s="6">
        <v>1.58223</v>
      </c>
      <c r="AS317" s="19">
        <v>-0.28029999999999999</v>
      </c>
      <c r="AT317" s="6">
        <v>0.8034</v>
      </c>
      <c r="AU317" s="6">
        <v>255</v>
      </c>
      <c r="AW317" s="17">
        <v>315</v>
      </c>
      <c r="AX317" s="6">
        <v>0.83440999999999999</v>
      </c>
      <c r="AY317" s="19">
        <v>-0.28029999999999999</v>
      </c>
      <c r="AZ317" s="6">
        <v>0.8034</v>
      </c>
      <c r="BA317" s="6">
        <v>255</v>
      </c>
      <c r="BN317" s="17">
        <v>315</v>
      </c>
      <c r="BO317" s="6">
        <v>57.949190979999997</v>
      </c>
      <c r="BP317" s="6">
        <v>59.674459540000001</v>
      </c>
      <c r="BQ317" s="19">
        <v>-1.72526856</v>
      </c>
    </row>
    <row r="318" spans="1:69" x14ac:dyDescent="0.25">
      <c r="A318" s="31" t="s">
        <v>10</v>
      </c>
      <c r="B318" s="32">
        <v>1</v>
      </c>
      <c r="C318" s="32">
        <v>5</v>
      </c>
      <c r="D318" s="32">
        <v>1</v>
      </c>
      <c r="E318" s="32">
        <v>43</v>
      </c>
      <c r="F318" s="2">
        <v>58.5</v>
      </c>
      <c r="G318">
        <v>54.405953684210516</v>
      </c>
      <c r="H318">
        <v>14</v>
      </c>
      <c r="I318" t="s">
        <v>12</v>
      </c>
      <c r="AD318" s="17">
        <v>316</v>
      </c>
      <c r="AE318" s="6">
        <v>3.0561699999999998</v>
      </c>
      <c r="AF318" s="19">
        <v>-11.1007</v>
      </c>
      <c r="AG318" s="6">
        <v>2.9426999999999999</v>
      </c>
      <c r="AH318" s="6">
        <v>255</v>
      </c>
      <c r="AJ318" s="17">
        <v>316</v>
      </c>
      <c r="AK318" s="6">
        <v>5.7951800000000002</v>
      </c>
      <c r="AL318" s="19">
        <v>-11.1007</v>
      </c>
      <c r="AM318" s="6">
        <v>2.9426999999999999</v>
      </c>
      <c r="AN318" s="6">
        <v>255</v>
      </c>
      <c r="AQ318" s="17">
        <v>316</v>
      </c>
      <c r="AR318" s="6">
        <v>1.5960300000000001</v>
      </c>
      <c r="AS318" s="19">
        <v>-2.6448</v>
      </c>
      <c r="AT318" s="6">
        <v>0.8105</v>
      </c>
      <c r="AU318" s="6">
        <v>255</v>
      </c>
      <c r="AW318" s="17">
        <v>316</v>
      </c>
      <c r="AX318" s="6">
        <v>0.84169000000000005</v>
      </c>
      <c r="AY318" s="19">
        <v>-2.6448</v>
      </c>
      <c r="AZ318" s="6">
        <v>0.8105</v>
      </c>
      <c r="BA318" s="6">
        <v>255</v>
      </c>
      <c r="BN318" s="17">
        <v>316</v>
      </c>
      <c r="BO318" s="6">
        <v>72.608336840000007</v>
      </c>
      <c r="BP318" s="6">
        <v>62.114901150000001</v>
      </c>
      <c r="BQ318" s="6">
        <v>10.49343569</v>
      </c>
    </row>
    <row r="319" spans="1:69" x14ac:dyDescent="0.25">
      <c r="A319" s="31" t="s">
        <v>10</v>
      </c>
      <c r="B319" s="32">
        <v>1</v>
      </c>
      <c r="C319" s="32">
        <v>6</v>
      </c>
      <c r="D319" s="32">
        <v>1</v>
      </c>
      <c r="E319" s="32">
        <v>37</v>
      </c>
      <c r="F319" s="2">
        <v>58.6</v>
      </c>
      <c r="G319">
        <v>60.811526616541336</v>
      </c>
      <c r="H319">
        <v>13.2</v>
      </c>
      <c r="I319" t="s">
        <v>12</v>
      </c>
      <c r="AD319" s="17">
        <v>317</v>
      </c>
      <c r="AE319" s="6">
        <v>3.0431300000000001</v>
      </c>
      <c r="AF319" s="19">
        <v>-7.9756999999999998</v>
      </c>
      <c r="AG319" s="6">
        <v>2.9302000000000001</v>
      </c>
      <c r="AH319" s="6">
        <v>255</v>
      </c>
      <c r="AJ319" s="17">
        <v>317</v>
      </c>
      <c r="AK319" s="6">
        <v>5.7704500000000003</v>
      </c>
      <c r="AL319" s="19">
        <v>-7.9756999999999998</v>
      </c>
      <c r="AM319" s="6">
        <v>2.9302000000000001</v>
      </c>
      <c r="AN319" s="6">
        <v>255</v>
      </c>
      <c r="AQ319" s="17">
        <v>317</v>
      </c>
      <c r="AR319" s="6">
        <v>1.5868100000000001</v>
      </c>
      <c r="AS319" s="19">
        <v>-0.27160000000000001</v>
      </c>
      <c r="AT319" s="6">
        <v>0.80579999999999996</v>
      </c>
      <c r="AU319" s="6">
        <v>255</v>
      </c>
      <c r="AW319" s="17">
        <v>317</v>
      </c>
      <c r="AX319" s="6">
        <v>0.83682999999999996</v>
      </c>
      <c r="AY319" s="19">
        <v>-0.27160000000000001</v>
      </c>
      <c r="AZ319" s="6">
        <v>0.80579999999999996</v>
      </c>
      <c r="BA319" s="6">
        <v>255</v>
      </c>
      <c r="BN319" s="17">
        <v>317</v>
      </c>
      <c r="BO319" s="6">
        <v>54.405953680000003</v>
      </c>
      <c r="BP319" s="6">
        <v>59.851467749999998</v>
      </c>
      <c r="BQ319" s="19">
        <v>-5.4455140699999998</v>
      </c>
    </row>
    <row r="320" spans="1:69" x14ac:dyDescent="0.25">
      <c r="A320" s="31" t="s">
        <v>10</v>
      </c>
      <c r="B320" s="32">
        <v>1</v>
      </c>
      <c r="C320" s="32">
        <v>7</v>
      </c>
      <c r="D320" s="32">
        <v>1</v>
      </c>
      <c r="E320" s="32">
        <v>28</v>
      </c>
      <c r="F320" s="2">
        <v>56.6</v>
      </c>
      <c r="G320">
        <v>53.842105263157876</v>
      </c>
      <c r="H320">
        <v>12.3</v>
      </c>
      <c r="I320" t="s">
        <v>12</v>
      </c>
      <c r="AD320" s="17">
        <v>318</v>
      </c>
      <c r="AE320" s="6">
        <v>3.0552100000000002</v>
      </c>
      <c r="AF320" s="19">
        <v>-5.6581000000000001</v>
      </c>
      <c r="AG320" s="6">
        <v>2.9418000000000002</v>
      </c>
      <c r="AH320" s="6">
        <v>255</v>
      </c>
      <c r="AJ320" s="17">
        <v>318</v>
      </c>
      <c r="AK320" s="6">
        <v>5.7933599999999998</v>
      </c>
      <c r="AL320" s="19">
        <v>-5.6581000000000001</v>
      </c>
      <c r="AM320" s="6">
        <v>2.9418000000000002</v>
      </c>
      <c r="AN320" s="6">
        <v>255</v>
      </c>
      <c r="AQ320" s="17">
        <v>318</v>
      </c>
      <c r="AR320" s="6">
        <v>1.6019399999999999</v>
      </c>
      <c r="AS320" s="19">
        <v>-0.53900000000000003</v>
      </c>
      <c r="AT320" s="6">
        <v>0.8135</v>
      </c>
      <c r="AU320" s="6">
        <v>255</v>
      </c>
      <c r="AW320" s="17">
        <v>318</v>
      </c>
      <c r="AX320" s="6">
        <v>0.84480999999999995</v>
      </c>
      <c r="AY320" s="19">
        <v>-0.53900000000000003</v>
      </c>
      <c r="AZ320" s="6">
        <v>0.8135</v>
      </c>
      <c r="BA320" s="6">
        <v>255</v>
      </c>
      <c r="BN320" s="17">
        <v>318</v>
      </c>
      <c r="BO320" s="6">
        <v>60.811526620000002</v>
      </c>
      <c r="BP320" s="6">
        <v>58.836496529999998</v>
      </c>
      <c r="BQ320" s="6">
        <v>1.97503009</v>
      </c>
    </row>
    <row r="321" spans="1:69" x14ac:dyDescent="0.25">
      <c r="A321" s="31" t="s">
        <v>10</v>
      </c>
      <c r="B321" s="32">
        <v>1</v>
      </c>
      <c r="C321" s="32">
        <v>8</v>
      </c>
      <c r="D321" s="32">
        <v>1</v>
      </c>
      <c r="E321" s="32">
        <v>35</v>
      </c>
      <c r="F321" s="2">
        <v>55.8</v>
      </c>
      <c r="G321">
        <v>53.23669172932329</v>
      </c>
      <c r="H321">
        <v>14</v>
      </c>
      <c r="I321" t="s">
        <v>12</v>
      </c>
      <c r="AD321" s="17">
        <v>319</v>
      </c>
      <c r="AE321" s="6">
        <v>3.05003</v>
      </c>
      <c r="AF321" s="19">
        <v>-5.7812000000000001</v>
      </c>
      <c r="AG321" s="6">
        <v>2.9367999999999999</v>
      </c>
      <c r="AH321" s="6">
        <v>255</v>
      </c>
      <c r="AJ321" s="17">
        <v>319</v>
      </c>
      <c r="AK321" s="6">
        <v>5.7835400000000003</v>
      </c>
      <c r="AL321" s="19">
        <v>-5.7812000000000001</v>
      </c>
      <c r="AM321" s="6">
        <v>2.9367999999999999</v>
      </c>
      <c r="AN321" s="6">
        <v>255</v>
      </c>
      <c r="AQ321" s="17">
        <v>319</v>
      </c>
      <c r="AR321" s="6">
        <v>1.5977600000000001</v>
      </c>
      <c r="AS321" s="19">
        <v>-0.28660000000000002</v>
      </c>
      <c r="AT321" s="6">
        <v>0.81130000000000002</v>
      </c>
      <c r="AU321" s="6">
        <v>255</v>
      </c>
      <c r="AW321" s="17">
        <v>319</v>
      </c>
      <c r="AX321" s="6">
        <v>0.84260000000000002</v>
      </c>
      <c r="AY321" s="19">
        <v>-0.28660000000000002</v>
      </c>
      <c r="AZ321" s="6">
        <v>0.81130000000000002</v>
      </c>
      <c r="BA321" s="6">
        <v>255</v>
      </c>
      <c r="BN321" s="17">
        <v>319</v>
      </c>
      <c r="BO321" s="6">
        <v>53.842105259999997</v>
      </c>
      <c r="BP321" s="6">
        <v>59.104614419999997</v>
      </c>
      <c r="BQ321" s="19">
        <v>-5.2625091599999996</v>
      </c>
    </row>
    <row r="322" spans="1:69" x14ac:dyDescent="0.25">
      <c r="A322" s="31" t="s">
        <v>10</v>
      </c>
      <c r="B322" s="32">
        <v>1</v>
      </c>
      <c r="C322" s="32">
        <v>9</v>
      </c>
      <c r="D322" s="32">
        <v>1</v>
      </c>
      <c r="E322" s="32">
        <v>49</v>
      </c>
      <c r="F322" s="2">
        <v>55.2</v>
      </c>
      <c r="G322">
        <v>50.831314285714285</v>
      </c>
      <c r="H322">
        <v>15.2</v>
      </c>
      <c r="I322" t="s">
        <v>12</v>
      </c>
      <c r="AD322" s="17">
        <v>320</v>
      </c>
      <c r="AE322" s="6">
        <v>3.0499800000000001</v>
      </c>
      <c r="AF322" s="19">
        <v>-9.2677999999999994</v>
      </c>
      <c r="AG322" s="6">
        <v>2.9367999999999999</v>
      </c>
      <c r="AH322" s="6">
        <v>255</v>
      </c>
      <c r="AJ322" s="17">
        <v>320</v>
      </c>
      <c r="AK322" s="6">
        <v>5.7834300000000001</v>
      </c>
      <c r="AL322" s="19">
        <v>-9.2677999999999994</v>
      </c>
      <c r="AM322" s="6">
        <v>2.9367999999999999</v>
      </c>
      <c r="AN322" s="6">
        <v>255</v>
      </c>
      <c r="AQ322" s="17">
        <v>320</v>
      </c>
      <c r="AR322" s="6">
        <v>1.59049</v>
      </c>
      <c r="AS322" s="19">
        <v>-1.6675</v>
      </c>
      <c r="AT322" s="6">
        <v>0.80759999999999998</v>
      </c>
      <c r="AU322" s="6">
        <v>255</v>
      </c>
      <c r="AW322" s="17">
        <v>320</v>
      </c>
      <c r="AX322" s="6">
        <v>0.83877000000000002</v>
      </c>
      <c r="AY322" s="19">
        <v>-1.6675</v>
      </c>
      <c r="AZ322" s="6">
        <v>0.80759999999999998</v>
      </c>
      <c r="BA322" s="6">
        <v>255</v>
      </c>
      <c r="BN322" s="17">
        <v>320</v>
      </c>
      <c r="BO322" s="6">
        <v>53.236691729999997</v>
      </c>
      <c r="BP322" s="6">
        <v>53.722966679999999</v>
      </c>
      <c r="BQ322" s="19">
        <v>-0.48627494999999998</v>
      </c>
    </row>
    <row r="323" spans="1:69" x14ac:dyDescent="0.25">
      <c r="A323" s="31" t="s">
        <v>10</v>
      </c>
      <c r="B323" s="32">
        <v>1</v>
      </c>
      <c r="C323" s="32">
        <v>10</v>
      </c>
      <c r="D323" s="32">
        <v>1</v>
      </c>
      <c r="E323" s="32">
        <v>7</v>
      </c>
      <c r="F323" s="2">
        <v>56.4</v>
      </c>
      <c r="G323">
        <v>42.335675187969919</v>
      </c>
      <c r="H323">
        <v>14.6</v>
      </c>
      <c r="I323" t="s">
        <v>12</v>
      </c>
      <c r="AD323" s="17">
        <v>321</v>
      </c>
      <c r="AE323" s="6">
        <v>3.0425200000000001</v>
      </c>
      <c r="AF323" s="19">
        <v>-8.0800999999999998</v>
      </c>
      <c r="AG323" s="6">
        <v>2.9296000000000002</v>
      </c>
      <c r="AH323" s="6">
        <v>255</v>
      </c>
      <c r="AJ323" s="17">
        <v>321</v>
      </c>
      <c r="AK323" s="6">
        <v>5.7692800000000002</v>
      </c>
      <c r="AL323" s="19">
        <v>-8.0800999999999998</v>
      </c>
      <c r="AM323" s="6">
        <v>2.9296000000000002</v>
      </c>
      <c r="AN323" s="6">
        <v>255</v>
      </c>
      <c r="AQ323" s="17">
        <v>321</v>
      </c>
      <c r="AR323" s="6">
        <v>1.59013</v>
      </c>
      <c r="AS323" s="19">
        <v>-1.3043</v>
      </c>
      <c r="AT323" s="6">
        <v>0.8075</v>
      </c>
      <c r="AU323" s="6">
        <v>255</v>
      </c>
      <c r="AW323" s="17">
        <v>321</v>
      </c>
      <c r="AX323" s="6">
        <v>0.83857999999999999</v>
      </c>
      <c r="AY323" s="19">
        <v>-1.3043</v>
      </c>
      <c r="AZ323" s="6">
        <v>0.8075</v>
      </c>
      <c r="BA323" s="6">
        <v>255</v>
      </c>
      <c r="BN323" s="17">
        <v>321</v>
      </c>
      <c r="BO323" s="6">
        <v>50.831314290000002</v>
      </c>
      <c r="BP323" s="6">
        <v>53.553351910000003</v>
      </c>
      <c r="BQ323" s="19">
        <v>-2.72203762</v>
      </c>
    </row>
    <row r="324" spans="1:69" x14ac:dyDescent="0.25">
      <c r="A324" s="31" t="s">
        <v>10</v>
      </c>
      <c r="B324" s="32">
        <v>1</v>
      </c>
      <c r="C324" s="32">
        <v>11</v>
      </c>
      <c r="D324" s="32">
        <v>1</v>
      </c>
      <c r="E324" s="32">
        <v>20</v>
      </c>
      <c r="F324" s="2">
        <v>58.2</v>
      </c>
      <c r="G324">
        <v>61.188153383458641</v>
      </c>
      <c r="H324">
        <v>13.1</v>
      </c>
      <c r="I324" t="s">
        <v>12</v>
      </c>
      <c r="AD324" s="17">
        <v>322</v>
      </c>
      <c r="AE324" s="6">
        <v>3.03091</v>
      </c>
      <c r="AF324" s="19">
        <v>-7.5071000000000003</v>
      </c>
      <c r="AG324" s="6">
        <v>2.9184000000000001</v>
      </c>
      <c r="AH324" s="6">
        <v>255</v>
      </c>
      <c r="AJ324" s="17">
        <v>322</v>
      </c>
      <c r="AK324" s="6">
        <v>5.7472700000000003</v>
      </c>
      <c r="AL324" s="19">
        <v>-7.5071000000000003</v>
      </c>
      <c r="AM324" s="6">
        <v>2.9184000000000001</v>
      </c>
      <c r="AN324" s="6">
        <v>255</v>
      </c>
      <c r="AQ324" s="17">
        <v>322</v>
      </c>
      <c r="AR324" s="6">
        <v>1.5874200000000001</v>
      </c>
      <c r="AS324" s="19">
        <v>-0.76880000000000004</v>
      </c>
      <c r="AT324" s="6">
        <v>0.80610000000000004</v>
      </c>
      <c r="AU324" s="6">
        <v>255</v>
      </c>
      <c r="AW324" s="17">
        <v>322</v>
      </c>
      <c r="AX324" s="6">
        <v>0.83714999999999995</v>
      </c>
      <c r="AY324" s="19">
        <v>-0.76880000000000004</v>
      </c>
      <c r="AZ324" s="6">
        <v>0.80610000000000004</v>
      </c>
      <c r="BA324" s="6">
        <v>255</v>
      </c>
      <c r="BN324" s="17">
        <v>322</v>
      </c>
      <c r="BO324" s="6">
        <v>42.335675190000003</v>
      </c>
      <c r="BP324" s="6">
        <v>50.261012950000001</v>
      </c>
      <c r="BQ324" s="19">
        <v>-7.9253377599999997</v>
      </c>
    </row>
    <row r="325" spans="1:69" x14ac:dyDescent="0.25">
      <c r="A325" s="31" t="s">
        <v>10</v>
      </c>
      <c r="B325" s="32">
        <v>1</v>
      </c>
      <c r="C325" s="32">
        <v>12</v>
      </c>
      <c r="D325" s="32">
        <v>1</v>
      </c>
      <c r="E325" s="32">
        <v>21</v>
      </c>
      <c r="F325" s="2">
        <v>57.6</v>
      </c>
      <c r="G325">
        <v>57.165428571428563</v>
      </c>
      <c r="H325">
        <v>13.5</v>
      </c>
      <c r="I325" t="s">
        <v>12</v>
      </c>
      <c r="AD325" s="17">
        <v>323</v>
      </c>
      <c r="AE325" s="6">
        <v>3.04297</v>
      </c>
      <c r="AF325" s="19">
        <v>-7.4839000000000002</v>
      </c>
      <c r="AG325" s="6">
        <v>2.93</v>
      </c>
      <c r="AH325" s="6">
        <v>255</v>
      </c>
      <c r="AJ325" s="17">
        <v>323</v>
      </c>
      <c r="AK325" s="6">
        <v>5.7701500000000001</v>
      </c>
      <c r="AL325" s="19">
        <v>-7.4839000000000002</v>
      </c>
      <c r="AM325" s="6">
        <v>2.93</v>
      </c>
      <c r="AN325" s="6">
        <v>255</v>
      </c>
      <c r="AQ325" s="17">
        <v>323</v>
      </c>
      <c r="AR325" s="6">
        <v>1.58857</v>
      </c>
      <c r="AS325" s="19">
        <v>-0.30459999999999998</v>
      </c>
      <c r="AT325" s="6">
        <v>0.80669999999999997</v>
      </c>
      <c r="AU325" s="6">
        <v>255</v>
      </c>
      <c r="AW325" s="17">
        <v>323</v>
      </c>
      <c r="AX325" s="6">
        <v>0.83775999999999995</v>
      </c>
      <c r="AY325" s="19">
        <v>-0.30459999999999998</v>
      </c>
      <c r="AZ325" s="6">
        <v>0.80669999999999997</v>
      </c>
      <c r="BA325" s="6">
        <v>255</v>
      </c>
      <c r="BN325" s="17">
        <v>323</v>
      </c>
      <c r="BO325" s="6">
        <v>61.188153380000003</v>
      </c>
      <c r="BP325" s="6">
        <v>61.208715499999997</v>
      </c>
      <c r="BQ325" s="19">
        <v>-2.056212E-2</v>
      </c>
    </row>
    <row r="326" spans="1:69" x14ac:dyDescent="0.25">
      <c r="A326" s="31" t="s">
        <v>10</v>
      </c>
      <c r="B326" s="32">
        <v>1</v>
      </c>
      <c r="C326" s="32">
        <v>13</v>
      </c>
      <c r="D326" s="32">
        <v>1</v>
      </c>
      <c r="E326" s="32">
        <v>40</v>
      </c>
      <c r="F326" s="2">
        <v>59.2</v>
      </c>
      <c r="G326">
        <v>60.799199999999985</v>
      </c>
      <c r="H326">
        <v>14</v>
      </c>
      <c r="I326" t="s">
        <v>12</v>
      </c>
      <c r="AD326" s="17">
        <v>324</v>
      </c>
      <c r="AE326" s="6">
        <v>3.0508000000000002</v>
      </c>
      <c r="AF326" s="19">
        <v>-8.4663000000000004</v>
      </c>
      <c r="AG326" s="6">
        <v>2.9376000000000002</v>
      </c>
      <c r="AH326" s="6">
        <v>255</v>
      </c>
      <c r="AJ326" s="17">
        <v>324</v>
      </c>
      <c r="AK326" s="6">
        <v>5.7849899999999996</v>
      </c>
      <c r="AL326" s="19">
        <v>-8.4663000000000004</v>
      </c>
      <c r="AM326" s="6">
        <v>2.9376000000000002</v>
      </c>
      <c r="AN326" s="6">
        <v>255</v>
      </c>
      <c r="AQ326" s="17">
        <v>324</v>
      </c>
      <c r="AR326" s="6">
        <v>1.59006</v>
      </c>
      <c r="AS326" s="19">
        <v>-1.4191</v>
      </c>
      <c r="AT326" s="6">
        <v>0.80740000000000001</v>
      </c>
      <c r="AU326" s="6">
        <v>255</v>
      </c>
      <c r="AW326" s="17">
        <v>324</v>
      </c>
      <c r="AX326" s="6">
        <v>0.83853999999999995</v>
      </c>
      <c r="AY326" s="19">
        <v>-1.4191</v>
      </c>
      <c r="AZ326" s="6">
        <v>0.80740000000000001</v>
      </c>
      <c r="BA326" s="6">
        <v>255</v>
      </c>
      <c r="BN326" s="17">
        <v>324</v>
      </c>
      <c r="BO326" s="6">
        <v>57.165428570000003</v>
      </c>
      <c r="BP326" s="6">
        <v>60.653182790000002</v>
      </c>
      <c r="BQ326" s="19">
        <v>-3.4877542199999998</v>
      </c>
    </row>
    <row r="327" spans="1:69" x14ac:dyDescent="0.25">
      <c r="A327" s="31" t="s">
        <v>10</v>
      </c>
      <c r="B327" s="32">
        <v>1</v>
      </c>
      <c r="C327" s="32">
        <v>13</v>
      </c>
      <c r="D327" s="32">
        <v>2</v>
      </c>
      <c r="E327" s="32">
        <v>9</v>
      </c>
      <c r="F327" s="2">
        <v>54.6</v>
      </c>
      <c r="G327">
        <v>57.360368337425967</v>
      </c>
      <c r="H327">
        <v>14.5</v>
      </c>
      <c r="I327" t="s">
        <v>12</v>
      </c>
      <c r="AD327" s="17">
        <v>325</v>
      </c>
      <c r="AE327" s="6">
        <v>3.03986</v>
      </c>
      <c r="AF327" s="19">
        <v>-0.87660000000000005</v>
      </c>
      <c r="AG327" s="6">
        <v>2.927</v>
      </c>
      <c r="AH327" s="6">
        <v>255</v>
      </c>
      <c r="AJ327" s="17">
        <v>325</v>
      </c>
      <c r="AK327" s="6">
        <v>5.76424</v>
      </c>
      <c r="AL327" s="19">
        <v>-0.87660000000000005</v>
      </c>
      <c r="AM327" s="6">
        <v>2.927</v>
      </c>
      <c r="AN327" s="6">
        <v>255</v>
      </c>
      <c r="AQ327" s="17">
        <v>325</v>
      </c>
      <c r="AR327" s="6">
        <v>1.59504</v>
      </c>
      <c r="AS327" s="19">
        <v>-4.3589999999999997E-2</v>
      </c>
      <c r="AT327" s="6">
        <v>0.80989999999999995</v>
      </c>
      <c r="AU327" s="6">
        <v>255</v>
      </c>
      <c r="AW327" s="17">
        <v>325</v>
      </c>
      <c r="AX327" s="6">
        <v>0.84116999999999997</v>
      </c>
      <c r="AY327" s="19">
        <v>-4.3589999999999997E-2</v>
      </c>
      <c r="AZ327" s="6">
        <v>0.80989999999999995</v>
      </c>
      <c r="BA327" s="6">
        <v>255</v>
      </c>
      <c r="BN327" s="17">
        <v>325</v>
      </c>
      <c r="BO327" s="6">
        <v>60.799199999999999</v>
      </c>
      <c r="BP327" s="6">
        <v>58.245954930000003</v>
      </c>
      <c r="BQ327" s="6">
        <v>2.55324507</v>
      </c>
    </row>
    <row r="328" spans="1:69" x14ac:dyDescent="0.25">
      <c r="A328" s="31" t="s">
        <v>10</v>
      </c>
      <c r="B328" s="32">
        <v>1</v>
      </c>
      <c r="C328" s="32">
        <v>12</v>
      </c>
      <c r="D328" s="32">
        <v>2</v>
      </c>
      <c r="E328" s="32">
        <v>32</v>
      </c>
      <c r="F328" s="2">
        <v>57.6</v>
      </c>
      <c r="G328">
        <v>55.242657807308966</v>
      </c>
      <c r="H328">
        <v>13.6</v>
      </c>
      <c r="I328" t="s">
        <v>12</v>
      </c>
      <c r="AD328" s="17">
        <v>326</v>
      </c>
      <c r="AE328" s="6">
        <v>3.0332400000000002</v>
      </c>
      <c r="AF328" s="19">
        <v>-6.9169999999999998</v>
      </c>
      <c r="AG328" s="6">
        <v>2.9207000000000001</v>
      </c>
      <c r="AH328" s="6">
        <v>255</v>
      </c>
      <c r="AJ328" s="17">
        <v>326</v>
      </c>
      <c r="AK328" s="6">
        <v>5.75169</v>
      </c>
      <c r="AL328" s="19">
        <v>-6.9169999999999998</v>
      </c>
      <c r="AM328" s="6">
        <v>2.9207000000000001</v>
      </c>
      <c r="AN328" s="6">
        <v>255</v>
      </c>
      <c r="AQ328" s="17">
        <v>326</v>
      </c>
      <c r="AR328" s="6">
        <v>1.58626</v>
      </c>
      <c r="AS328" s="19">
        <v>-1.413</v>
      </c>
      <c r="AT328" s="6">
        <v>0.80549999999999999</v>
      </c>
      <c r="AU328" s="6">
        <v>255</v>
      </c>
      <c r="AW328" s="17">
        <v>326</v>
      </c>
      <c r="AX328" s="6">
        <v>0.83653999999999995</v>
      </c>
      <c r="AY328" s="19">
        <v>-1.413</v>
      </c>
      <c r="AZ328" s="6">
        <v>0.80549999999999999</v>
      </c>
      <c r="BA328" s="6">
        <v>255</v>
      </c>
      <c r="BN328" s="17">
        <v>326</v>
      </c>
      <c r="BO328" s="6">
        <v>57.360368340000001</v>
      </c>
      <c r="BP328" s="6">
        <v>58.444274290000003</v>
      </c>
      <c r="BQ328" s="19">
        <v>-1.0839059499999999</v>
      </c>
    </row>
    <row r="329" spans="1:69" x14ac:dyDescent="0.25">
      <c r="A329" s="31" t="s">
        <v>10</v>
      </c>
      <c r="B329" s="32">
        <v>1</v>
      </c>
      <c r="C329" s="32">
        <v>11</v>
      </c>
      <c r="D329" s="32">
        <v>2</v>
      </c>
      <c r="E329" s="32">
        <v>17</v>
      </c>
      <c r="F329" s="2">
        <v>56.7</v>
      </c>
      <c r="G329">
        <v>60.487069478549756</v>
      </c>
      <c r="H329">
        <v>13.7</v>
      </c>
      <c r="I329" t="s">
        <v>12</v>
      </c>
      <c r="AD329" s="17">
        <v>327</v>
      </c>
      <c r="AE329" s="6">
        <v>3.0413100000000002</v>
      </c>
      <c r="AF329" s="6">
        <v>1.8469</v>
      </c>
      <c r="AG329" s="6">
        <v>2.9283999999999999</v>
      </c>
      <c r="AH329" s="6">
        <v>255</v>
      </c>
      <c r="AJ329" s="17">
        <v>327</v>
      </c>
      <c r="AK329" s="6">
        <v>5.7670000000000003</v>
      </c>
      <c r="AL329" s="6">
        <v>1.8469</v>
      </c>
      <c r="AM329" s="6">
        <v>2.9283999999999999</v>
      </c>
      <c r="AN329" s="6">
        <v>255</v>
      </c>
      <c r="AQ329" s="17">
        <v>327</v>
      </c>
      <c r="AR329" s="6">
        <v>1.5976900000000001</v>
      </c>
      <c r="AS329" s="6">
        <v>1.0784</v>
      </c>
      <c r="AT329" s="6">
        <v>0.81130000000000002</v>
      </c>
      <c r="AU329" s="6">
        <v>255</v>
      </c>
      <c r="AW329" s="17">
        <v>327</v>
      </c>
      <c r="AX329" s="6">
        <v>0.84257000000000004</v>
      </c>
      <c r="AY329" s="6">
        <v>1.0784</v>
      </c>
      <c r="AZ329" s="6">
        <v>0.81130000000000002</v>
      </c>
      <c r="BA329" s="6">
        <v>255</v>
      </c>
      <c r="BN329" s="17">
        <v>327</v>
      </c>
      <c r="BO329" s="6">
        <v>55.242657809999997</v>
      </c>
      <c r="BP329" s="6">
        <v>59.015219270000003</v>
      </c>
      <c r="BQ329" s="19">
        <v>-3.7725614599999999</v>
      </c>
    </row>
    <row r="330" spans="1:69" x14ac:dyDescent="0.25">
      <c r="A330" s="31" t="s">
        <v>10</v>
      </c>
      <c r="B330" s="32">
        <v>1</v>
      </c>
      <c r="C330" s="32">
        <v>10</v>
      </c>
      <c r="D330" s="32">
        <v>2</v>
      </c>
      <c r="E330" s="32">
        <v>36</v>
      </c>
      <c r="F330" s="2">
        <v>59.6</v>
      </c>
      <c r="G330">
        <v>58.27320468005199</v>
      </c>
      <c r="H330">
        <v>14</v>
      </c>
      <c r="I330" t="s">
        <v>12</v>
      </c>
      <c r="AD330" s="17">
        <v>328</v>
      </c>
      <c r="AE330" s="6">
        <v>3.05599</v>
      </c>
      <c r="AF330" s="19">
        <v>-3.5834000000000001</v>
      </c>
      <c r="AG330" s="6">
        <v>2.9426000000000001</v>
      </c>
      <c r="AH330" s="6">
        <v>255</v>
      </c>
      <c r="AJ330" s="17">
        <v>328</v>
      </c>
      <c r="AK330" s="6">
        <v>5.7948399999999998</v>
      </c>
      <c r="AL330" s="19">
        <v>-3.5834000000000001</v>
      </c>
      <c r="AM330" s="6">
        <v>2.9426000000000001</v>
      </c>
      <c r="AN330" s="6">
        <v>255</v>
      </c>
      <c r="AQ330" s="17">
        <v>328</v>
      </c>
      <c r="AR330" s="6">
        <v>1.5950299999999999</v>
      </c>
      <c r="AS330" s="19">
        <v>-0.26219999999999999</v>
      </c>
      <c r="AT330" s="6">
        <v>0.80989999999999995</v>
      </c>
      <c r="AU330" s="6">
        <v>255</v>
      </c>
      <c r="AW330" s="17">
        <v>328</v>
      </c>
      <c r="AX330" s="6">
        <v>0.84116000000000002</v>
      </c>
      <c r="AY330" s="19">
        <v>-0.26219999999999999</v>
      </c>
      <c r="AZ330" s="6">
        <v>0.80989999999999995</v>
      </c>
      <c r="BA330" s="6">
        <v>255</v>
      </c>
      <c r="BN330" s="17">
        <v>328</v>
      </c>
      <c r="BO330" s="6">
        <v>60.487069480000002</v>
      </c>
      <c r="BP330" s="6">
        <v>56.835090780000002</v>
      </c>
      <c r="BQ330" s="6">
        <v>3.6519786999999999</v>
      </c>
    </row>
    <row r="331" spans="1:69" x14ac:dyDescent="0.25">
      <c r="A331" s="31" t="s">
        <v>10</v>
      </c>
      <c r="B331" s="32">
        <v>1</v>
      </c>
      <c r="C331" s="32">
        <v>9</v>
      </c>
      <c r="D331" s="32">
        <v>2</v>
      </c>
      <c r="E331" s="32">
        <v>13</v>
      </c>
      <c r="F331" s="2">
        <v>58.1</v>
      </c>
      <c r="G331">
        <v>57.670219413549027</v>
      </c>
      <c r="H331">
        <v>13.2</v>
      </c>
      <c r="I331" t="s">
        <v>12</v>
      </c>
      <c r="AD331" s="17">
        <v>329</v>
      </c>
      <c r="AE331" s="6">
        <v>3.0603400000000001</v>
      </c>
      <c r="AF331" s="19">
        <v>-5.8436000000000003</v>
      </c>
      <c r="AG331" s="6">
        <v>2.9468000000000001</v>
      </c>
      <c r="AH331" s="6">
        <v>255</v>
      </c>
      <c r="AJ331" s="17">
        <v>329</v>
      </c>
      <c r="AK331" s="6">
        <v>5.80307</v>
      </c>
      <c r="AL331" s="19">
        <v>-5.8436000000000003</v>
      </c>
      <c r="AM331" s="6">
        <v>2.9468000000000001</v>
      </c>
      <c r="AN331" s="6">
        <v>255</v>
      </c>
      <c r="AQ331" s="17">
        <v>329</v>
      </c>
      <c r="AR331" s="6">
        <v>1.59941</v>
      </c>
      <c r="AS331" s="19">
        <v>-9.2039999999999997E-2</v>
      </c>
      <c r="AT331" s="6">
        <v>0.81220000000000003</v>
      </c>
      <c r="AU331" s="6">
        <v>255</v>
      </c>
      <c r="AW331" s="17">
        <v>329</v>
      </c>
      <c r="AX331" s="6">
        <v>0.84348000000000001</v>
      </c>
      <c r="AY331" s="19">
        <v>-9.2039999999999997E-2</v>
      </c>
      <c r="AZ331" s="6">
        <v>0.81220000000000003</v>
      </c>
      <c r="BA331" s="6">
        <v>255</v>
      </c>
      <c r="BN331" s="17">
        <v>329</v>
      </c>
      <c r="BO331" s="6">
        <v>58.273204679999999</v>
      </c>
      <c r="BP331" s="6">
        <v>54.318015359999997</v>
      </c>
      <c r="BQ331" s="6">
        <v>3.9551893200000001</v>
      </c>
    </row>
    <row r="332" spans="1:69" x14ac:dyDescent="0.25">
      <c r="A332" s="31" t="s">
        <v>10</v>
      </c>
      <c r="B332" s="32">
        <v>1</v>
      </c>
      <c r="C332" s="32">
        <v>8</v>
      </c>
      <c r="D332" s="32">
        <v>2</v>
      </c>
      <c r="E332" s="32">
        <v>2</v>
      </c>
      <c r="F332" s="2">
        <v>56.2</v>
      </c>
      <c r="G332">
        <v>71.660956232847028</v>
      </c>
      <c r="H332">
        <v>12.8</v>
      </c>
      <c r="I332" t="s">
        <v>12</v>
      </c>
      <c r="AD332" s="17">
        <v>330</v>
      </c>
      <c r="AE332" s="6">
        <v>3.0324800000000001</v>
      </c>
      <c r="AF332" s="19">
        <v>-4.5932000000000004</v>
      </c>
      <c r="AG332" s="6">
        <v>2.9199000000000002</v>
      </c>
      <c r="AH332" s="6">
        <v>255</v>
      </c>
      <c r="AJ332" s="17">
        <v>330</v>
      </c>
      <c r="AK332" s="6">
        <v>5.7502500000000003</v>
      </c>
      <c r="AL332" s="19">
        <v>-4.5932000000000004</v>
      </c>
      <c r="AM332" s="6">
        <v>2.9199000000000002</v>
      </c>
      <c r="AN332" s="6">
        <v>255</v>
      </c>
      <c r="AQ332" s="17">
        <v>330</v>
      </c>
      <c r="AR332" s="6">
        <v>1.59107</v>
      </c>
      <c r="AS332" s="19">
        <v>-0.50539999999999996</v>
      </c>
      <c r="AT332" s="6">
        <v>0.80789999999999995</v>
      </c>
      <c r="AU332" s="6">
        <v>255</v>
      </c>
      <c r="AW332" s="17">
        <v>330</v>
      </c>
      <c r="AX332" s="6">
        <v>0.83906999999999998</v>
      </c>
      <c r="AY332" s="19">
        <v>-0.50539999999999996</v>
      </c>
      <c r="AZ332" s="6">
        <v>0.80789999999999995</v>
      </c>
      <c r="BA332" s="6">
        <v>255</v>
      </c>
      <c r="BN332" s="17">
        <v>330</v>
      </c>
      <c r="BO332" s="6">
        <v>57.670219410000001</v>
      </c>
      <c r="BP332" s="6">
        <v>58.847182539999999</v>
      </c>
      <c r="BQ332" s="19">
        <v>-1.1769631300000001</v>
      </c>
    </row>
    <row r="333" spans="1:69" x14ac:dyDescent="0.25">
      <c r="A333" s="31" t="s">
        <v>10</v>
      </c>
      <c r="B333" s="32">
        <v>1</v>
      </c>
      <c r="C333" s="32">
        <v>7</v>
      </c>
      <c r="D333" s="32">
        <v>2</v>
      </c>
      <c r="E333" s="32">
        <v>11</v>
      </c>
      <c r="F333" s="2">
        <v>58.2</v>
      </c>
      <c r="G333">
        <v>63.282493138812647</v>
      </c>
      <c r="H333">
        <v>13.3</v>
      </c>
      <c r="I333" t="s">
        <v>12</v>
      </c>
      <c r="AD333" s="17">
        <v>331</v>
      </c>
      <c r="AE333" s="6">
        <v>3.0474899999999998</v>
      </c>
      <c r="AF333" s="19">
        <v>-4.8883999999999999</v>
      </c>
      <c r="AG333" s="6">
        <v>2.9344000000000001</v>
      </c>
      <c r="AH333" s="6">
        <v>255</v>
      </c>
      <c r="AJ333" s="17">
        <v>331</v>
      </c>
      <c r="AK333" s="6">
        <v>5.7787199999999999</v>
      </c>
      <c r="AL333" s="19">
        <v>-4.8883999999999999</v>
      </c>
      <c r="AM333" s="6">
        <v>2.9344000000000001</v>
      </c>
      <c r="AN333" s="6">
        <v>255</v>
      </c>
      <c r="AQ333" s="17">
        <v>331</v>
      </c>
      <c r="AR333" s="6">
        <v>1.60118</v>
      </c>
      <c r="AS333" s="19">
        <v>-1.7251000000000001</v>
      </c>
      <c r="AT333" s="6">
        <v>0.81310000000000004</v>
      </c>
      <c r="AU333" s="6">
        <v>255</v>
      </c>
      <c r="AW333" s="17">
        <v>331</v>
      </c>
      <c r="AX333" s="6">
        <v>0.84440999999999999</v>
      </c>
      <c r="AY333" s="19">
        <v>-1.7251000000000001</v>
      </c>
      <c r="AZ333" s="6">
        <v>0.81310000000000004</v>
      </c>
      <c r="BA333" s="6">
        <v>255</v>
      </c>
      <c r="BN333" s="17">
        <v>331</v>
      </c>
      <c r="BO333" s="6">
        <v>71.660956229999996</v>
      </c>
      <c r="BP333" s="6">
        <v>64.925252020000002</v>
      </c>
      <c r="BQ333" s="6">
        <v>6.7357042099999997</v>
      </c>
    </row>
    <row r="334" spans="1:69" x14ac:dyDescent="0.25">
      <c r="A334" s="31" t="s">
        <v>10</v>
      </c>
      <c r="B334" s="32">
        <v>1</v>
      </c>
      <c r="C334" s="32">
        <v>6</v>
      </c>
      <c r="D334" s="32">
        <v>2</v>
      </c>
      <c r="E334" s="32">
        <v>41</v>
      </c>
      <c r="F334" s="2">
        <v>58.3</v>
      </c>
      <c r="G334">
        <v>59.090830564784042</v>
      </c>
      <c r="H334">
        <v>14.3</v>
      </c>
      <c r="I334" t="s">
        <v>12</v>
      </c>
      <c r="AD334" s="17">
        <v>332</v>
      </c>
      <c r="AE334" s="6">
        <v>3.0544699999999998</v>
      </c>
      <c r="AF334" s="6">
        <v>0.54969999999999997</v>
      </c>
      <c r="AG334" s="6">
        <v>2.9411</v>
      </c>
      <c r="AH334" s="6">
        <v>255</v>
      </c>
      <c r="AJ334" s="17">
        <v>332</v>
      </c>
      <c r="AK334" s="6">
        <v>5.7919400000000003</v>
      </c>
      <c r="AL334" s="6">
        <v>0.54969999999999997</v>
      </c>
      <c r="AM334" s="6">
        <v>2.9411</v>
      </c>
      <c r="AN334" s="6">
        <v>255</v>
      </c>
      <c r="AQ334" s="17">
        <v>332</v>
      </c>
      <c r="AR334" s="6">
        <v>1.59524</v>
      </c>
      <c r="AS334" s="6">
        <v>1.2121</v>
      </c>
      <c r="AT334" s="6">
        <v>0.81010000000000004</v>
      </c>
      <c r="AU334" s="6">
        <v>255</v>
      </c>
      <c r="AW334" s="17">
        <v>332</v>
      </c>
      <c r="AX334" s="6">
        <v>0.84128000000000003</v>
      </c>
      <c r="AY334" s="6">
        <v>1.2121</v>
      </c>
      <c r="AZ334" s="6">
        <v>0.81010000000000004</v>
      </c>
      <c r="BA334" s="6">
        <v>255</v>
      </c>
      <c r="BN334" s="17">
        <v>332</v>
      </c>
      <c r="BO334" s="6">
        <v>63.28249314</v>
      </c>
      <c r="BP334" s="6">
        <v>65.938261749999995</v>
      </c>
      <c r="BQ334" s="19">
        <v>-2.65576861</v>
      </c>
    </row>
    <row r="335" spans="1:69" x14ac:dyDescent="0.25">
      <c r="A335" s="31" t="s">
        <v>10</v>
      </c>
      <c r="B335" s="32">
        <v>1</v>
      </c>
      <c r="C335" s="32">
        <v>5</v>
      </c>
      <c r="D335" s="32">
        <v>2</v>
      </c>
      <c r="E335" s="32">
        <v>12</v>
      </c>
      <c r="F335" s="2">
        <v>59.6</v>
      </c>
      <c r="G335">
        <v>61.797564639607103</v>
      </c>
      <c r="H335">
        <v>14.3</v>
      </c>
      <c r="I335" t="s">
        <v>12</v>
      </c>
      <c r="AD335" s="17">
        <v>333</v>
      </c>
      <c r="AE335" s="6">
        <v>3.0408900000000001</v>
      </c>
      <c r="AF335" s="19">
        <v>-2.5960000000000001</v>
      </c>
      <c r="AG335" s="6">
        <v>2.9279999999999999</v>
      </c>
      <c r="AH335" s="6">
        <v>255</v>
      </c>
      <c r="AJ335" s="17">
        <v>333</v>
      </c>
      <c r="AK335" s="6">
        <v>5.7661899999999999</v>
      </c>
      <c r="AL335" s="19">
        <v>-2.5960000000000001</v>
      </c>
      <c r="AM335" s="6">
        <v>2.9279999999999999</v>
      </c>
      <c r="AN335" s="6">
        <v>255</v>
      </c>
      <c r="AQ335" s="17">
        <v>333</v>
      </c>
      <c r="AR335" s="6">
        <v>1.5868899999999999</v>
      </c>
      <c r="AS335" s="6">
        <v>1.0658000000000001</v>
      </c>
      <c r="AT335" s="6">
        <v>0.80579999999999996</v>
      </c>
      <c r="AU335" s="6">
        <v>255</v>
      </c>
      <c r="AW335" s="17">
        <v>333</v>
      </c>
      <c r="AX335" s="6">
        <v>0.83687</v>
      </c>
      <c r="AY335" s="6">
        <v>1.0658000000000001</v>
      </c>
      <c r="AZ335" s="6">
        <v>0.80579999999999996</v>
      </c>
      <c r="BA335" s="6">
        <v>255</v>
      </c>
      <c r="BN335" s="17">
        <v>333</v>
      </c>
      <c r="BO335" s="6">
        <v>59.090830560000001</v>
      </c>
      <c r="BP335" s="6">
        <v>59.823843269999998</v>
      </c>
      <c r="BQ335" s="19">
        <v>-0.73301271000000001</v>
      </c>
    </row>
    <row r="336" spans="1:69" x14ac:dyDescent="0.25">
      <c r="A336" s="31" t="s">
        <v>10</v>
      </c>
      <c r="B336" s="32">
        <v>1</v>
      </c>
      <c r="C336" s="32">
        <v>4</v>
      </c>
      <c r="D336" s="32">
        <v>2</v>
      </c>
      <c r="E336" s="32">
        <v>1</v>
      </c>
      <c r="F336" s="2">
        <v>58.7</v>
      </c>
      <c r="G336">
        <v>66.133944821609134</v>
      </c>
      <c r="H336">
        <v>14</v>
      </c>
      <c r="I336" t="s">
        <v>12</v>
      </c>
      <c r="AD336" s="17">
        <v>334</v>
      </c>
      <c r="AE336" s="6">
        <v>3.0413600000000001</v>
      </c>
      <c r="AF336" s="19">
        <v>-4.3506999999999998</v>
      </c>
      <c r="AG336" s="6">
        <v>2.9285000000000001</v>
      </c>
      <c r="AH336" s="6">
        <v>255</v>
      </c>
      <c r="AJ336" s="17">
        <v>334</v>
      </c>
      <c r="AK336" s="6">
        <v>5.7670899999999996</v>
      </c>
      <c r="AL336" s="19">
        <v>-4.3506999999999998</v>
      </c>
      <c r="AM336" s="6">
        <v>2.9285000000000001</v>
      </c>
      <c r="AN336" s="6">
        <v>255</v>
      </c>
      <c r="AQ336" s="17">
        <v>334</v>
      </c>
      <c r="AR336" s="6">
        <v>1.58755</v>
      </c>
      <c r="AS336" s="6">
        <v>0.60840000000000005</v>
      </c>
      <c r="AT336" s="6">
        <v>0.80610000000000004</v>
      </c>
      <c r="AU336" s="6">
        <v>255</v>
      </c>
      <c r="AW336" s="17">
        <v>334</v>
      </c>
      <c r="AX336" s="6">
        <v>0.83721999999999996</v>
      </c>
      <c r="AY336" s="6">
        <v>0.60840000000000005</v>
      </c>
      <c r="AZ336" s="6">
        <v>0.80610000000000004</v>
      </c>
      <c r="BA336" s="6">
        <v>255</v>
      </c>
      <c r="BN336" s="17">
        <v>334</v>
      </c>
      <c r="BO336" s="6">
        <v>61.797564639999997</v>
      </c>
      <c r="BP336" s="6">
        <v>59.611354669999997</v>
      </c>
      <c r="BQ336" s="6">
        <v>2.1862099700000002</v>
      </c>
    </row>
    <row r="337" spans="1:69" x14ac:dyDescent="0.25">
      <c r="A337" s="31" t="s">
        <v>10</v>
      </c>
      <c r="B337" s="32">
        <v>1</v>
      </c>
      <c r="C337" s="32">
        <v>3</v>
      </c>
      <c r="D337" s="32">
        <v>2</v>
      </c>
      <c r="E337" s="32">
        <v>4</v>
      </c>
      <c r="F337" s="2">
        <v>56.8</v>
      </c>
      <c r="G337">
        <v>62.849198324425821</v>
      </c>
      <c r="H337">
        <v>13.2</v>
      </c>
      <c r="I337" t="s">
        <v>12</v>
      </c>
      <c r="AD337" s="17">
        <v>335</v>
      </c>
      <c r="AE337" s="6">
        <v>3.0572300000000001</v>
      </c>
      <c r="AF337" s="19">
        <v>-0.62949999999999995</v>
      </c>
      <c r="AG337" s="6">
        <v>2.9438</v>
      </c>
      <c r="AH337" s="6">
        <v>255</v>
      </c>
      <c r="AJ337" s="17">
        <v>335</v>
      </c>
      <c r="AK337" s="6">
        <v>5.7971899999999996</v>
      </c>
      <c r="AL337" s="19">
        <v>-0.62949999999999995</v>
      </c>
      <c r="AM337" s="6">
        <v>2.9438</v>
      </c>
      <c r="AN337" s="6">
        <v>255</v>
      </c>
      <c r="AQ337" s="17">
        <v>335</v>
      </c>
      <c r="AR337" s="6">
        <v>1.5989599999999999</v>
      </c>
      <c r="AS337" s="19">
        <v>-7.5490000000000002E-2</v>
      </c>
      <c r="AT337" s="6">
        <v>0.81189999999999996</v>
      </c>
      <c r="AU337" s="6">
        <v>255</v>
      </c>
      <c r="AW337" s="17">
        <v>335</v>
      </c>
      <c r="AX337" s="6">
        <v>0.84323999999999999</v>
      </c>
      <c r="AY337" s="19">
        <v>-7.5490000000000002E-2</v>
      </c>
      <c r="AZ337" s="6">
        <v>0.81189999999999996</v>
      </c>
      <c r="BA337" s="6">
        <v>255</v>
      </c>
      <c r="BN337" s="17">
        <v>335</v>
      </c>
      <c r="BO337" s="6">
        <v>66.133944819999996</v>
      </c>
      <c r="BP337" s="6">
        <v>72.40380992</v>
      </c>
      <c r="BQ337" s="19">
        <v>-6.2698650999999996</v>
      </c>
    </row>
    <row r="338" spans="1:69" x14ac:dyDescent="0.25">
      <c r="A338" s="31" t="s">
        <v>10</v>
      </c>
      <c r="B338" s="32">
        <v>1</v>
      </c>
      <c r="C338" s="32">
        <v>2</v>
      </c>
      <c r="D338" s="32">
        <v>2</v>
      </c>
      <c r="E338" s="32">
        <v>48</v>
      </c>
      <c r="F338" s="2">
        <v>53.5</v>
      </c>
      <c r="G338">
        <v>48.690182002022233</v>
      </c>
      <c r="H338">
        <v>15.6</v>
      </c>
      <c r="I338" t="s">
        <v>12</v>
      </c>
      <c r="AD338" s="17">
        <v>336</v>
      </c>
      <c r="AE338" s="6">
        <v>3.03627</v>
      </c>
      <c r="AF338" s="6">
        <v>7.8745000000000003</v>
      </c>
      <c r="AG338" s="6">
        <v>2.9236</v>
      </c>
      <c r="AH338" s="6">
        <v>255</v>
      </c>
      <c r="AJ338" s="17">
        <v>336</v>
      </c>
      <c r="AK338" s="6">
        <v>5.7574399999999999</v>
      </c>
      <c r="AL338" s="6">
        <v>7.8745000000000003</v>
      </c>
      <c r="AM338" s="6">
        <v>2.9236</v>
      </c>
      <c r="AN338" s="6">
        <v>255</v>
      </c>
      <c r="AQ338" s="17">
        <v>336</v>
      </c>
      <c r="AR338" s="6">
        <v>1.5954900000000001</v>
      </c>
      <c r="AS338" s="6">
        <v>2.8331</v>
      </c>
      <c r="AT338" s="6">
        <v>0.81020000000000003</v>
      </c>
      <c r="AU338" s="6">
        <v>255</v>
      </c>
      <c r="AW338" s="17">
        <v>336</v>
      </c>
      <c r="AX338" s="6">
        <v>0.84140999999999999</v>
      </c>
      <c r="AY338" s="6">
        <v>2.8331</v>
      </c>
      <c r="AZ338" s="6">
        <v>0.81020000000000003</v>
      </c>
      <c r="BA338" s="6">
        <v>255</v>
      </c>
      <c r="BN338" s="17">
        <v>336</v>
      </c>
      <c r="BO338" s="6">
        <v>62.849198319999999</v>
      </c>
      <c r="BP338" s="6">
        <v>54.15159294</v>
      </c>
      <c r="BQ338" s="6">
        <v>8.6976053800000006</v>
      </c>
    </row>
    <row r="339" spans="1:69" x14ac:dyDescent="0.25">
      <c r="A339" s="31" t="s">
        <v>10</v>
      </c>
      <c r="B339" s="32">
        <v>1</v>
      </c>
      <c r="C339" s="32">
        <v>1</v>
      </c>
      <c r="D339" s="32">
        <v>2</v>
      </c>
      <c r="E339" s="32">
        <v>6</v>
      </c>
      <c r="F339" s="2">
        <v>57.3</v>
      </c>
      <c r="G339">
        <v>53.325292503250026</v>
      </c>
      <c r="H339">
        <v>15.8</v>
      </c>
      <c r="I339" t="s">
        <v>12</v>
      </c>
      <c r="AD339" s="17">
        <v>337</v>
      </c>
      <c r="AE339" s="6">
        <v>3.0569799999999998</v>
      </c>
      <c r="AF339" s="6">
        <v>8.5802999999999994</v>
      </c>
      <c r="AG339" s="6">
        <v>2.9434999999999998</v>
      </c>
      <c r="AH339" s="6">
        <v>255</v>
      </c>
      <c r="AJ339" s="17">
        <v>337</v>
      </c>
      <c r="AK339" s="6">
        <v>5.79671</v>
      </c>
      <c r="AL339" s="6">
        <v>8.5802999999999994</v>
      </c>
      <c r="AM339" s="6">
        <v>2.9434999999999998</v>
      </c>
      <c r="AN339" s="6">
        <v>255</v>
      </c>
      <c r="AQ339" s="17">
        <v>337</v>
      </c>
      <c r="AR339" s="6">
        <v>1.59839</v>
      </c>
      <c r="AS339" s="6">
        <v>1.8597999999999999</v>
      </c>
      <c r="AT339" s="6">
        <v>0.81159999999999999</v>
      </c>
      <c r="AU339" s="6">
        <v>255</v>
      </c>
      <c r="AW339" s="17">
        <v>337</v>
      </c>
      <c r="AX339" s="6">
        <v>0.84292999999999996</v>
      </c>
      <c r="AY339" s="6">
        <v>1.8597999999999999</v>
      </c>
      <c r="AZ339" s="6">
        <v>0.81159999999999999</v>
      </c>
      <c r="BA339" s="6">
        <v>255</v>
      </c>
      <c r="BN339" s="17">
        <v>337</v>
      </c>
      <c r="BO339" s="6">
        <v>48.690182</v>
      </c>
      <c r="BP339" s="6">
        <v>51.302760720000002</v>
      </c>
      <c r="BQ339" s="19">
        <v>-2.6125787200000001</v>
      </c>
    </row>
    <row r="340" spans="1:69" x14ac:dyDescent="0.25">
      <c r="A340" s="31" t="s">
        <v>10</v>
      </c>
      <c r="B340" s="32">
        <v>1</v>
      </c>
      <c r="C340" s="32">
        <v>1</v>
      </c>
      <c r="D340" s="32">
        <v>3</v>
      </c>
      <c r="E340" s="32">
        <v>16</v>
      </c>
      <c r="F340" s="2">
        <v>57.4</v>
      </c>
      <c r="G340">
        <v>64.883083939482106</v>
      </c>
      <c r="H340">
        <v>13.6</v>
      </c>
      <c r="I340" t="s">
        <v>12</v>
      </c>
      <c r="AD340" s="17">
        <v>338</v>
      </c>
      <c r="AE340" s="6">
        <v>3.0346799999999998</v>
      </c>
      <c r="AF340" s="6">
        <v>12.233499999999999</v>
      </c>
      <c r="AG340" s="6">
        <v>2.9220000000000002</v>
      </c>
      <c r="AH340" s="6">
        <v>255</v>
      </c>
      <c r="AJ340" s="17">
        <v>338</v>
      </c>
      <c r="AK340" s="6">
        <v>5.7544199999999996</v>
      </c>
      <c r="AL340" s="6">
        <v>12.233499999999999</v>
      </c>
      <c r="AM340" s="6">
        <v>2.9220000000000002</v>
      </c>
      <c r="AN340" s="6">
        <v>255</v>
      </c>
      <c r="AQ340" s="17">
        <v>338</v>
      </c>
      <c r="AR340" s="6">
        <v>1.5847199999999999</v>
      </c>
      <c r="AS340" s="6">
        <v>2.7515000000000001</v>
      </c>
      <c r="AT340" s="6">
        <v>0.80469999999999997</v>
      </c>
      <c r="AU340" s="6">
        <v>255</v>
      </c>
      <c r="AW340" s="17">
        <v>338</v>
      </c>
      <c r="AX340" s="6">
        <v>0.83572999999999997</v>
      </c>
      <c r="AY340" s="6">
        <v>2.7515000000000001</v>
      </c>
      <c r="AZ340" s="6">
        <v>0.80469999999999997</v>
      </c>
      <c r="BA340" s="6">
        <v>255</v>
      </c>
      <c r="BN340" s="17">
        <v>338</v>
      </c>
      <c r="BO340" s="6">
        <v>53.325292500000003</v>
      </c>
      <c r="BP340" s="6">
        <v>53.595313060000002</v>
      </c>
      <c r="BQ340" s="19">
        <v>-0.27002056000000002</v>
      </c>
    </row>
    <row r="341" spans="1:69" x14ac:dyDescent="0.25">
      <c r="A341" s="31" t="s">
        <v>10</v>
      </c>
      <c r="B341" s="32">
        <v>1</v>
      </c>
      <c r="C341" s="32">
        <v>2</v>
      </c>
      <c r="D341" s="32">
        <v>3</v>
      </c>
      <c r="E341" s="32">
        <v>8</v>
      </c>
      <c r="F341" s="2">
        <v>58.1</v>
      </c>
      <c r="G341">
        <v>63.889421006691883</v>
      </c>
      <c r="H341">
        <v>13.4</v>
      </c>
      <c r="I341" t="s">
        <v>12</v>
      </c>
      <c r="AD341" s="17">
        <v>339</v>
      </c>
      <c r="AE341" s="6">
        <v>3.0387300000000002</v>
      </c>
      <c r="AF341" s="6">
        <v>4.7367999999999997</v>
      </c>
      <c r="AG341" s="6">
        <v>2.9258999999999999</v>
      </c>
      <c r="AH341" s="6">
        <v>255</v>
      </c>
      <c r="AJ341" s="17">
        <v>339</v>
      </c>
      <c r="AK341" s="6">
        <v>5.7620899999999997</v>
      </c>
      <c r="AL341" s="6">
        <v>4.7367999999999997</v>
      </c>
      <c r="AM341" s="6">
        <v>2.9258999999999999</v>
      </c>
      <c r="AN341" s="6">
        <v>255</v>
      </c>
      <c r="AQ341" s="17">
        <v>339</v>
      </c>
      <c r="AR341" s="6">
        <v>1.5805899999999999</v>
      </c>
      <c r="AS341" s="19">
        <v>-1.3620000000000001</v>
      </c>
      <c r="AT341" s="6">
        <v>0.80259999999999998</v>
      </c>
      <c r="AU341" s="6">
        <v>255</v>
      </c>
      <c r="AW341" s="17">
        <v>339</v>
      </c>
      <c r="AX341" s="6">
        <v>0.83355000000000001</v>
      </c>
      <c r="AY341" s="19">
        <v>-1.3620000000000001</v>
      </c>
      <c r="AZ341" s="6">
        <v>0.80259999999999998</v>
      </c>
      <c r="BA341" s="6">
        <v>255</v>
      </c>
      <c r="BN341" s="17">
        <v>339</v>
      </c>
      <c r="BO341" s="6">
        <v>64.883083940000006</v>
      </c>
      <c r="BP341" s="6">
        <v>69.586654670000001</v>
      </c>
      <c r="BQ341" s="19">
        <v>-4.70357073</v>
      </c>
    </row>
    <row r="342" spans="1:69" x14ac:dyDescent="0.25">
      <c r="A342" s="31" t="s">
        <v>10</v>
      </c>
      <c r="B342" s="32">
        <v>1</v>
      </c>
      <c r="C342" s="32">
        <v>3</v>
      </c>
      <c r="D342" s="32">
        <v>3</v>
      </c>
      <c r="E342" s="32">
        <v>33</v>
      </c>
      <c r="F342" s="2">
        <v>58</v>
      </c>
      <c r="G342">
        <v>62.900069100960131</v>
      </c>
      <c r="H342">
        <v>13</v>
      </c>
      <c r="I342" t="s">
        <v>12</v>
      </c>
      <c r="AD342" s="17">
        <v>340</v>
      </c>
      <c r="AE342" s="6">
        <v>3.0373899999999998</v>
      </c>
      <c r="AF342" s="6">
        <v>9.5394000000000005</v>
      </c>
      <c r="AG342" s="6">
        <v>2.9247000000000001</v>
      </c>
      <c r="AH342" s="6">
        <v>255</v>
      </c>
      <c r="AJ342" s="17">
        <v>340</v>
      </c>
      <c r="AK342" s="6">
        <v>5.7595599999999996</v>
      </c>
      <c r="AL342" s="6">
        <v>9.5394000000000005</v>
      </c>
      <c r="AM342" s="6">
        <v>2.9247000000000001</v>
      </c>
      <c r="AN342" s="6">
        <v>255</v>
      </c>
      <c r="AQ342" s="17">
        <v>340</v>
      </c>
      <c r="AR342" s="6">
        <v>1.61127</v>
      </c>
      <c r="AS342" s="6">
        <v>1.2133</v>
      </c>
      <c r="AT342" s="6">
        <v>0.81820000000000004</v>
      </c>
      <c r="AU342" s="6">
        <v>255</v>
      </c>
      <c r="AW342" s="17">
        <v>340</v>
      </c>
      <c r="AX342" s="6">
        <v>0.84972999999999999</v>
      </c>
      <c r="AY342" s="6">
        <v>1.2133</v>
      </c>
      <c r="AZ342" s="6">
        <v>0.81820000000000004</v>
      </c>
      <c r="BA342" s="6">
        <v>255</v>
      </c>
      <c r="BN342" s="17">
        <v>340</v>
      </c>
      <c r="BO342" s="6">
        <v>63.88942101</v>
      </c>
      <c r="BP342" s="6">
        <v>66.196934420000005</v>
      </c>
      <c r="BQ342" s="19">
        <v>-2.3075134099999999</v>
      </c>
    </row>
    <row r="343" spans="1:69" x14ac:dyDescent="0.25">
      <c r="A343" s="31" t="s">
        <v>10</v>
      </c>
      <c r="B343" s="32">
        <v>1</v>
      </c>
      <c r="C343" s="32">
        <v>4</v>
      </c>
      <c r="D343" s="32">
        <v>3</v>
      </c>
      <c r="E343" s="32">
        <v>5</v>
      </c>
      <c r="F343" s="2">
        <v>55.5</v>
      </c>
      <c r="G343">
        <v>61.098487052662207</v>
      </c>
      <c r="H343">
        <v>13.3</v>
      </c>
      <c r="I343" t="s">
        <v>12</v>
      </c>
      <c r="AD343" s="17">
        <v>341</v>
      </c>
      <c r="AE343" s="6">
        <v>3.05287</v>
      </c>
      <c r="AF343" s="6">
        <v>4.84</v>
      </c>
      <c r="AG343" s="6">
        <v>2.9396</v>
      </c>
      <c r="AH343" s="6">
        <v>255</v>
      </c>
      <c r="AJ343" s="17">
        <v>341</v>
      </c>
      <c r="AK343" s="6">
        <v>5.7889099999999996</v>
      </c>
      <c r="AL343" s="6">
        <v>4.84</v>
      </c>
      <c r="AM343" s="6">
        <v>2.9396</v>
      </c>
      <c r="AN343" s="6">
        <v>255</v>
      </c>
      <c r="AQ343" s="17">
        <v>341</v>
      </c>
      <c r="AR343" s="6">
        <v>1.59127</v>
      </c>
      <c r="AS343" s="19">
        <v>-0.63970000000000005</v>
      </c>
      <c r="AT343" s="6">
        <v>0.80800000000000005</v>
      </c>
      <c r="AU343" s="6">
        <v>255</v>
      </c>
      <c r="AW343" s="17">
        <v>341</v>
      </c>
      <c r="AX343" s="6">
        <v>0.83918000000000004</v>
      </c>
      <c r="AY343" s="19">
        <v>-0.63970000000000005</v>
      </c>
      <c r="AZ343" s="6">
        <v>0.80800000000000005</v>
      </c>
      <c r="BA343" s="6">
        <v>255</v>
      </c>
      <c r="BN343" s="17">
        <v>341</v>
      </c>
      <c r="BO343" s="6">
        <v>62.900069100000003</v>
      </c>
      <c r="BP343" s="6">
        <v>65.899566469999996</v>
      </c>
      <c r="BQ343" s="19">
        <v>-2.9994973699999998</v>
      </c>
    </row>
    <row r="344" spans="1:69" x14ac:dyDescent="0.25">
      <c r="A344" s="31" t="s">
        <v>10</v>
      </c>
      <c r="B344" s="32">
        <v>1</v>
      </c>
      <c r="C344" s="32">
        <v>5</v>
      </c>
      <c r="D344" s="32">
        <v>3</v>
      </c>
      <c r="E344" s="32">
        <v>42</v>
      </c>
      <c r="F344" s="2">
        <v>58</v>
      </c>
      <c r="G344">
        <v>62.585743380855391</v>
      </c>
      <c r="H344">
        <v>13.5</v>
      </c>
      <c r="I344" t="s">
        <v>12</v>
      </c>
      <c r="AD344" s="17">
        <v>342</v>
      </c>
      <c r="AE344" s="6">
        <v>3.0379900000000002</v>
      </c>
      <c r="AF344" s="6">
        <v>4.6814999999999998</v>
      </c>
      <c r="AG344" s="6">
        <v>2.9251999999999998</v>
      </c>
      <c r="AH344" s="6">
        <v>255</v>
      </c>
      <c r="AJ344" s="17">
        <v>342</v>
      </c>
      <c r="AK344" s="6">
        <v>5.7606999999999999</v>
      </c>
      <c r="AL344" s="6">
        <v>4.6814999999999998</v>
      </c>
      <c r="AM344" s="6">
        <v>2.9251999999999998</v>
      </c>
      <c r="AN344" s="6">
        <v>255</v>
      </c>
      <c r="AQ344" s="17">
        <v>342</v>
      </c>
      <c r="AR344" s="6">
        <v>1.5953200000000001</v>
      </c>
      <c r="AS344" s="19">
        <v>-0.87939999999999996</v>
      </c>
      <c r="AT344" s="6">
        <v>0.81010000000000004</v>
      </c>
      <c r="AU344" s="6">
        <v>255</v>
      </c>
      <c r="AW344" s="17">
        <v>342</v>
      </c>
      <c r="AX344" s="6">
        <v>0.84131999999999996</v>
      </c>
      <c r="AY344" s="19">
        <v>-0.87939999999999996</v>
      </c>
      <c r="AZ344" s="6">
        <v>0.81010000000000004</v>
      </c>
      <c r="BA344" s="6">
        <v>255</v>
      </c>
      <c r="BN344" s="17">
        <v>342</v>
      </c>
      <c r="BO344" s="6">
        <v>61.098487050000003</v>
      </c>
      <c r="BP344" s="6">
        <v>65.003484130000004</v>
      </c>
      <c r="BQ344" s="19">
        <v>-3.9049970799999998</v>
      </c>
    </row>
    <row r="345" spans="1:69" x14ac:dyDescent="0.25">
      <c r="A345" s="31" t="s">
        <v>10</v>
      </c>
      <c r="B345" s="32">
        <v>1</v>
      </c>
      <c r="C345" s="32">
        <v>6</v>
      </c>
      <c r="D345" s="32">
        <v>3</v>
      </c>
      <c r="E345" s="32">
        <v>3</v>
      </c>
      <c r="F345" s="2">
        <v>60.1</v>
      </c>
      <c r="G345">
        <v>68.674661041606043</v>
      </c>
      <c r="H345">
        <v>13.3</v>
      </c>
      <c r="I345" t="s">
        <v>12</v>
      </c>
      <c r="AD345" s="17">
        <v>343</v>
      </c>
      <c r="AE345" s="6">
        <v>3.02955</v>
      </c>
      <c r="AF345" s="6">
        <v>4.2770999999999999</v>
      </c>
      <c r="AG345" s="6">
        <v>2.9171</v>
      </c>
      <c r="AH345" s="6">
        <v>255</v>
      </c>
      <c r="AJ345" s="17">
        <v>343</v>
      </c>
      <c r="AK345" s="6">
        <v>5.7446999999999999</v>
      </c>
      <c r="AL345" s="6">
        <v>4.2770999999999999</v>
      </c>
      <c r="AM345" s="6">
        <v>2.9171</v>
      </c>
      <c r="AN345" s="6">
        <v>255</v>
      </c>
      <c r="AQ345" s="17">
        <v>343</v>
      </c>
      <c r="AR345" s="6">
        <v>1.58273</v>
      </c>
      <c r="AS345" s="6">
        <v>1.3875</v>
      </c>
      <c r="AT345" s="6">
        <v>0.80369999999999997</v>
      </c>
      <c r="AU345" s="6">
        <v>255</v>
      </c>
      <c r="AW345" s="17">
        <v>343</v>
      </c>
      <c r="AX345" s="6">
        <v>0.83467999999999998</v>
      </c>
      <c r="AY345" s="6">
        <v>1.3875</v>
      </c>
      <c r="AZ345" s="6">
        <v>0.80369999999999997</v>
      </c>
      <c r="BA345" s="6">
        <v>255</v>
      </c>
      <c r="BN345" s="17">
        <v>343</v>
      </c>
      <c r="BO345" s="6">
        <v>62.585743379999997</v>
      </c>
      <c r="BP345" s="6">
        <v>53.834471559999997</v>
      </c>
      <c r="BQ345" s="6">
        <v>8.7512718199999995</v>
      </c>
    </row>
    <row r="346" spans="1:69" x14ac:dyDescent="0.25">
      <c r="A346" s="31" t="s">
        <v>10</v>
      </c>
      <c r="B346" s="32">
        <v>1</v>
      </c>
      <c r="C346" s="32">
        <v>7</v>
      </c>
      <c r="D346" s="32">
        <v>3</v>
      </c>
      <c r="E346" s="32">
        <v>15</v>
      </c>
      <c r="F346" s="2">
        <v>56.3</v>
      </c>
      <c r="G346">
        <v>60.970841286005232</v>
      </c>
      <c r="H346">
        <v>13.4</v>
      </c>
      <c r="I346" t="s">
        <v>12</v>
      </c>
      <c r="AD346" s="17">
        <v>344</v>
      </c>
      <c r="AE346" s="6">
        <v>3.05999</v>
      </c>
      <c r="AF346" s="6">
        <v>5.7079000000000004</v>
      </c>
      <c r="AG346" s="6">
        <v>2.9464000000000001</v>
      </c>
      <c r="AH346" s="6">
        <v>255</v>
      </c>
      <c r="AJ346" s="17">
        <v>344</v>
      </c>
      <c r="AK346" s="6">
        <v>5.8024100000000001</v>
      </c>
      <c r="AL346" s="6">
        <v>5.7079000000000004</v>
      </c>
      <c r="AM346" s="6">
        <v>2.9464000000000001</v>
      </c>
      <c r="AN346" s="6">
        <v>255</v>
      </c>
      <c r="AQ346" s="17">
        <v>344</v>
      </c>
      <c r="AR346" s="6">
        <v>1.5966499999999999</v>
      </c>
      <c r="AS346" s="19">
        <v>-0.23430000000000001</v>
      </c>
      <c r="AT346" s="6">
        <v>0.81079999999999997</v>
      </c>
      <c r="AU346" s="6">
        <v>255</v>
      </c>
      <c r="AW346" s="17">
        <v>344</v>
      </c>
      <c r="AX346" s="6">
        <v>0.84201999999999999</v>
      </c>
      <c r="AY346" s="19">
        <v>-0.23430000000000001</v>
      </c>
      <c r="AZ346" s="6">
        <v>0.81079999999999997</v>
      </c>
      <c r="BA346" s="6">
        <v>255</v>
      </c>
      <c r="BN346" s="17">
        <v>344</v>
      </c>
      <c r="BO346" s="6">
        <v>68.674661040000004</v>
      </c>
      <c r="BP346" s="6">
        <v>66.421623960000005</v>
      </c>
      <c r="BQ346" s="6">
        <v>2.2530370799999999</v>
      </c>
    </row>
    <row r="347" spans="1:69" x14ac:dyDescent="0.25">
      <c r="A347" s="31" t="s">
        <v>10</v>
      </c>
      <c r="B347" s="32">
        <v>1</v>
      </c>
      <c r="C347" s="32">
        <v>8</v>
      </c>
      <c r="D347" s="32">
        <v>3</v>
      </c>
      <c r="E347" s="32">
        <v>47</v>
      </c>
      <c r="F347" s="2">
        <v>55.3</v>
      </c>
      <c r="G347">
        <v>59.548341576956638</v>
      </c>
      <c r="H347">
        <v>14.9</v>
      </c>
      <c r="I347" t="s">
        <v>12</v>
      </c>
      <c r="AD347" s="17">
        <v>345</v>
      </c>
      <c r="AE347" s="6">
        <v>3.0559699999999999</v>
      </c>
      <c r="AF347" s="6">
        <v>6.9165000000000001</v>
      </c>
      <c r="AG347" s="6">
        <v>2.9426000000000001</v>
      </c>
      <c r="AH347" s="6">
        <v>255</v>
      </c>
      <c r="AJ347" s="17">
        <v>345</v>
      </c>
      <c r="AK347" s="6">
        <v>5.7948000000000004</v>
      </c>
      <c r="AL347" s="6">
        <v>6.9165000000000001</v>
      </c>
      <c r="AM347" s="6">
        <v>2.9426000000000001</v>
      </c>
      <c r="AN347" s="6">
        <v>255</v>
      </c>
      <c r="AQ347" s="17">
        <v>345</v>
      </c>
      <c r="AR347" s="6">
        <v>1.5949</v>
      </c>
      <c r="AS347" s="6">
        <v>1.2681</v>
      </c>
      <c r="AT347" s="6">
        <v>0.80989999999999995</v>
      </c>
      <c r="AU347" s="6">
        <v>255</v>
      </c>
      <c r="AW347" s="17">
        <v>345</v>
      </c>
      <c r="AX347" s="6">
        <v>0.84109999999999996</v>
      </c>
      <c r="AY347" s="6">
        <v>1.2681</v>
      </c>
      <c r="AZ347" s="6">
        <v>0.80989999999999995</v>
      </c>
      <c r="BA347" s="6">
        <v>255</v>
      </c>
      <c r="BN347" s="17">
        <v>345</v>
      </c>
      <c r="BO347" s="6">
        <v>60.970841290000003</v>
      </c>
      <c r="BP347" s="6">
        <v>62.128524849999998</v>
      </c>
      <c r="BQ347" s="19">
        <v>-1.1576835599999999</v>
      </c>
    </row>
    <row r="348" spans="1:69" x14ac:dyDescent="0.25">
      <c r="A348" s="31" t="s">
        <v>10</v>
      </c>
      <c r="B348" s="32">
        <v>1</v>
      </c>
      <c r="C348" s="32">
        <v>9</v>
      </c>
      <c r="D348" s="32">
        <v>3</v>
      </c>
      <c r="E348" s="32">
        <v>30</v>
      </c>
      <c r="F348" s="2">
        <v>57.7</v>
      </c>
      <c r="G348">
        <v>55.526182135583355</v>
      </c>
      <c r="H348">
        <v>13.7</v>
      </c>
      <c r="I348" t="s">
        <v>12</v>
      </c>
      <c r="AD348" s="17">
        <v>346</v>
      </c>
      <c r="AE348" s="6">
        <v>3.0356299999999998</v>
      </c>
      <c r="AF348" s="6">
        <v>11.015000000000001</v>
      </c>
      <c r="AG348" s="6">
        <v>2.923</v>
      </c>
      <c r="AH348" s="6">
        <v>255</v>
      </c>
      <c r="AJ348" s="17">
        <v>346</v>
      </c>
      <c r="AK348" s="6">
        <v>5.7562199999999999</v>
      </c>
      <c r="AL348" s="6">
        <v>11.015000000000001</v>
      </c>
      <c r="AM348" s="6">
        <v>2.923</v>
      </c>
      <c r="AN348" s="6">
        <v>255</v>
      </c>
      <c r="AQ348" s="17">
        <v>346</v>
      </c>
      <c r="AR348" s="6">
        <v>1.5946800000000001</v>
      </c>
      <c r="AS348" s="6">
        <v>1.6553</v>
      </c>
      <c r="AT348" s="6">
        <v>0.80979999999999996</v>
      </c>
      <c r="AU348" s="6">
        <v>255</v>
      </c>
      <c r="AW348" s="17">
        <v>346</v>
      </c>
      <c r="AX348" s="6">
        <v>0.84097999999999995</v>
      </c>
      <c r="AY348" s="6">
        <v>1.6553</v>
      </c>
      <c r="AZ348" s="6">
        <v>0.80979999999999996</v>
      </c>
      <c r="BA348" s="6">
        <v>255</v>
      </c>
      <c r="BN348" s="17">
        <v>346</v>
      </c>
      <c r="BO348" s="6">
        <v>59.548341579999999</v>
      </c>
      <c r="BP348" s="6">
        <v>60.57970349</v>
      </c>
      <c r="BQ348" s="19">
        <v>-1.03136191</v>
      </c>
    </row>
    <row r="349" spans="1:69" x14ac:dyDescent="0.25">
      <c r="A349" s="31" t="s">
        <v>10</v>
      </c>
      <c r="B349" s="32">
        <v>1</v>
      </c>
      <c r="C349" s="32">
        <v>10</v>
      </c>
      <c r="D349" s="32">
        <v>3</v>
      </c>
      <c r="E349" s="32">
        <v>57</v>
      </c>
      <c r="F349" s="2">
        <v>52.4</v>
      </c>
      <c r="G349">
        <v>56.255878673261549</v>
      </c>
      <c r="H349">
        <v>14.3</v>
      </c>
      <c r="I349" t="s">
        <v>12</v>
      </c>
      <c r="AD349" s="17">
        <v>347</v>
      </c>
      <c r="AE349" s="6">
        <v>3.0506500000000001</v>
      </c>
      <c r="AF349" s="6">
        <v>7.2590000000000003</v>
      </c>
      <c r="AG349" s="6">
        <v>2.9373999999999998</v>
      </c>
      <c r="AH349" s="6">
        <v>255</v>
      </c>
      <c r="AJ349" s="17">
        <v>347</v>
      </c>
      <c r="AK349" s="6">
        <v>5.7847099999999996</v>
      </c>
      <c r="AL349" s="6">
        <v>7.2590000000000003</v>
      </c>
      <c r="AM349" s="6">
        <v>2.9373999999999998</v>
      </c>
      <c r="AN349" s="6">
        <v>255</v>
      </c>
      <c r="AQ349" s="17">
        <v>347</v>
      </c>
      <c r="AR349" s="6">
        <v>1.5924</v>
      </c>
      <c r="AS349" s="6">
        <v>1.7303999999999999</v>
      </c>
      <c r="AT349" s="6">
        <v>0.80859999999999999</v>
      </c>
      <c r="AU349" s="6">
        <v>255</v>
      </c>
      <c r="AW349" s="17">
        <v>347</v>
      </c>
      <c r="AX349" s="6">
        <v>0.83977999999999997</v>
      </c>
      <c r="AY349" s="6">
        <v>1.7303999999999999</v>
      </c>
      <c r="AZ349" s="6">
        <v>0.80859999999999999</v>
      </c>
      <c r="BA349" s="6">
        <v>255</v>
      </c>
      <c r="BN349" s="17">
        <v>347</v>
      </c>
      <c r="BO349" s="6">
        <v>55.526182140000003</v>
      </c>
      <c r="BP349" s="6">
        <v>55.309001809999998</v>
      </c>
      <c r="BQ349" s="6">
        <v>0.21718033</v>
      </c>
    </row>
    <row r="350" spans="1:69" x14ac:dyDescent="0.25">
      <c r="A350" s="31" t="s">
        <v>10</v>
      </c>
      <c r="B350" s="32">
        <v>1</v>
      </c>
      <c r="C350" s="32">
        <v>11</v>
      </c>
      <c r="D350" s="32">
        <v>3</v>
      </c>
      <c r="E350" s="32">
        <v>22</v>
      </c>
      <c r="F350" s="2">
        <v>58</v>
      </c>
      <c r="G350">
        <v>71.476828629618836</v>
      </c>
      <c r="H350">
        <v>13.5</v>
      </c>
      <c r="I350" t="s">
        <v>12</v>
      </c>
      <c r="AD350" s="17">
        <v>348</v>
      </c>
      <c r="AE350" s="6">
        <v>3.0470100000000002</v>
      </c>
      <c r="AF350" s="6">
        <v>3.7385000000000002</v>
      </c>
      <c r="AG350" s="6">
        <v>2.9339</v>
      </c>
      <c r="AH350" s="6">
        <v>255</v>
      </c>
      <c r="AJ350" s="17">
        <v>348</v>
      </c>
      <c r="AK350" s="6">
        <v>5.7778099999999997</v>
      </c>
      <c r="AL350" s="6">
        <v>3.7385000000000002</v>
      </c>
      <c r="AM350" s="6">
        <v>2.9339</v>
      </c>
      <c r="AN350" s="6">
        <v>255</v>
      </c>
      <c r="AQ350" s="17">
        <v>348</v>
      </c>
      <c r="AR350" s="6">
        <v>1.5898000000000001</v>
      </c>
      <c r="AS350" s="19">
        <v>-0.21440000000000001</v>
      </c>
      <c r="AT350" s="6">
        <v>0.80730000000000002</v>
      </c>
      <c r="AU350" s="6">
        <v>255</v>
      </c>
      <c r="AW350" s="17">
        <v>348</v>
      </c>
      <c r="AX350" s="6">
        <v>0.83840999999999999</v>
      </c>
      <c r="AY350" s="19">
        <v>-0.21440000000000001</v>
      </c>
      <c r="AZ350" s="6">
        <v>0.80730000000000002</v>
      </c>
      <c r="BA350" s="6">
        <v>255</v>
      </c>
      <c r="BN350" s="17">
        <v>348</v>
      </c>
      <c r="BO350" s="6">
        <v>56.255878670000001</v>
      </c>
      <c r="BP350" s="6">
        <v>47.080939749999999</v>
      </c>
      <c r="BQ350" s="6">
        <v>9.1749389200000007</v>
      </c>
    </row>
    <row r="351" spans="1:69" x14ac:dyDescent="0.25">
      <c r="A351" s="31" t="s">
        <v>10</v>
      </c>
      <c r="B351" s="32">
        <v>1</v>
      </c>
      <c r="C351" s="32">
        <v>12</v>
      </c>
      <c r="D351" s="32">
        <v>3</v>
      </c>
      <c r="E351" s="32">
        <v>31</v>
      </c>
      <c r="F351" s="2">
        <v>54.8</v>
      </c>
      <c r="G351">
        <v>44.50852196683153</v>
      </c>
      <c r="H351">
        <v>13.5</v>
      </c>
      <c r="I351" t="s">
        <v>12</v>
      </c>
      <c r="AD351" s="17">
        <v>349</v>
      </c>
      <c r="AE351" s="6">
        <v>3.0512600000000001</v>
      </c>
      <c r="AF351" s="6">
        <v>4.0669000000000004</v>
      </c>
      <c r="AG351" s="6">
        <v>2.9380000000000002</v>
      </c>
      <c r="AH351" s="6">
        <v>255</v>
      </c>
      <c r="AJ351" s="17">
        <v>349</v>
      </c>
      <c r="AK351" s="6">
        <v>5.7858700000000001</v>
      </c>
      <c r="AL351" s="6">
        <v>4.0669000000000004</v>
      </c>
      <c r="AM351" s="6">
        <v>2.9380000000000002</v>
      </c>
      <c r="AN351" s="6">
        <v>255</v>
      </c>
      <c r="AQ351" s="17">
        <v>349</v>
      </c>
      <c r="AR351" s="6">
        <v>1.59111</v>
      </c>
      <c r="AS351" s="6">
        <v>0.62780000000000002</v>
      </c>
      <c r="AT351" s="6">
        <v>0.80800000000000005</v>
      </c>
      <c r="AU351" s="6">
        <v>255</v>
      </c>
      <c r="AW351" s="17">
        <v>349</v>
      </c>
      <c r="AX351" s="6">
        <v>0.83909999999999996</v>
      </c>
      <c r="AY351" s="6">
        <v>0.62780000000000002</v>
      </c>
      <c r="AZ351" s="6">
        <v>0.80800000000000005</v>
      </c>
      <c r="BA351" s="6">
        <v>255</v>
      </c>
      <c r="BN351" s="17">
        <v>349</v>
      </c>
      <c r="BO351" s="6">
        <v>71.47682863</v>
      </c>
      <c r="BP351" s="6">
        <v>63.419032119999997</v>
      </c>
      <c r="BQ351" s="6">
        <v>8.0577965099999993</v>
      </c>
    </row>
    <row r="352" spans="1:69" x14ac:dyDescent="0.25">
      <c r="A352" s="31" t="s">
        <v>10</v>
      </c>
      <c r="B352" s="32">
        <v>1</v>
      </c>
      <c r="C352" s="32">
        <v>13</v>
      </c>
      <c r="D352" s="32">
        <v>3</v>
      </c>
      <c r="E352" s="32">
        <v>26</v>
      </c>
      <c r="F352" s="2">
        <v>56.4</v>
      </c>
      <c r="G352">
        <v>71.642740762292703</v>
      </c>
      <c r="H352">
        <v>13.2</v>
      </c>
      <c r="I352" t="s">
        <v>12</v>
      </c>
      <c r="AD352" s="17">
        <v>350</v>
      </c>
      <c r="AE352" s="6">
        <v>3.0404100000000001</v>
      </c>
      <c r="AF352" s="6">
        <v>6.5849000000000002</v>
      </c>
      <c r="AG352" s="6">
        <v>2.9276</v>
      </c>
      <c r="AH352" s="6">
        <v>255</v>
      </c>
      <c r="AJ352" s="17">
        <v>350</v>
      </c>
      <c r="AK352" s="6">
        <v>5.7652900000000002</v>
      </c>
      <c r="AL352" s="6">
        <v>6.5849000000000002</v>
      </c>
      <c r="AM352" s="6">
        <v>2.9276</v>
      </c>
      <c r="AN352" s="6">
        <v>255</v>
      </c>
      <c r="AQ352" s="17">
        <v>350</v>
      </c>
      <c r="AR352" s="6">
        <v>1.5880799999999999</v>
      </c>
      <c r="AS352" s="19">
        <v>-1.0411999999999999</v>
      </c>
      <c r="AT352" s="6">
        <v>0.80640000000000001</v>
      </c>
      <c r="AU352" s="6">
        <v>255</v>
      </c>
      <c r="AW352" s="17">
        <v>350</v>
      </c>
      <c r="AX352" s="6">
        <v>0.83750000000000002</v>
      </c>
      <c r="AY352" s="19">
        <v>-1.0411999999999999</v>
      </c>
      <c r="AZ352" s="6">
        <v>0.80640000000000001</v>
      </c>
      <c r="BA352" s="6">
        <v>255</v>
      </c>
      <c r="BN352" s="17">
        <v>350</v>
      </c>
      <c r="BO352" s="6">
        <v>44.508521969999997</v>
      </c>
      <c r="BP352" s="6">
        <v>60.404748439999999</v>
      </c>
      <c r="BQ352" s="19">
        <v>-15.89622647</v>
      </c>
    </row>
    <row r="353" spans="1:69" x14ac:dyDescent="0.25">
      <c r="A353" s="31" t="s">
        <v>10</v>
      </c>
      <c r="B353" s="32">
        <v>1</v>
      </c>
      <c r="C353" s="32">
        <v>13</v>
      </c>
      <c r="D353" s="32">
        <v>4</v>
      </c>
      <c r="E353" s="32">
        <v>29</v>
      </c>
      <c r="F353" s="2">
        <v>58.5</v>
      </c>
      <c r="G353">
        <v>69.681861909576767</v>
      </c>
      <c r="H353">
        <v>12.8</v>
      </c>
      <c r="I353" t="s">
        <v>12</v>
      </c>
      <c r="AD353" s="17">
        <v>351</v>
      </c>
      <c r="AE353" s="6">
        <v>3.05646</v>
      </c>
      <c r="AF353" s="6">
        <v>8.2630999999999997</v>
      </c>
      <c r="AG353" s="6">
        <v>2.9430000000000001</v>
      </c>
      <c r="AH353" s="6">
        <v>255</v>
      </c>
      <c r="AJ353" s="17">
        <v>351</v>
      </c>
      <c r="AK353" s="6">
        <v>5.7957200000000002</v>
      </c>
      <c r="AL353" s="6">
        <v>8.2630999999999997</v>
      </c>
      <c r="AM353" s="6">
        <v>2.9430000000000001</v>
      </c>
      <c r="AN353" s="6">
        <v>255</v>
      </c>
      <c r="AQ353" s="17">
        <v>351</v>
      </c>
      <c r="AR353" s="6">
        <v>1.6018399999999999</v>
      </c>
      <c r="AS353" s="19">
        <v>-0.66039999999999999</v>
      </c>
      <c r="AT353" s="6">
        <v>0.81340000000000001</v>
      </c>
      <c r="AU353" s="6">
        <v>255</v>
      </c>
      <c r="AW353" s="17">
        <v>351</v>
      </c>
      <c r="AX353" s="6">
        <v>0.84475</v>
      </c>
      <c r="AY353" s="19">
        <v>-0.66039999999999999</v>
      </c>
      <c r="AZ353" s="6">
        <v>0.81340000000000001</v>
      </c>
      <c r="BA353" s="6">
        <v>255</v>
      </c>
      <c r="BN353" s="17">
        <v>351</v>
      </c>
      <c r="BO353" s="6">
        <v>71.642740759999995</v>
      </c>
      <c r="BP353" s="6">
        <v>65.951941259999998</v>
      </c>
      <c r="BQ353" s="6">
        <v>5.6907994999999998</v>
      </c>
    </row>
    <row r="354" spans="1:69" x14ac:dyDescent="0.25">
      <c r="A354" s="31" t="s">
        <v>10</v>
      </c>
      <c r="B354" s="32">
        <v>1</v>
      </c>
      <c r="C354" s="32">
        <v>12</v>
      </c>
      <c r="D354" s="32">
        <v>4</v>
      </c>
      <c r="E354" s="32">
        <v>39</v>
      </c>
      <c r="F354" s="2">
        <v>58.1</v>
      </c>
      <c r="G354">
        <v>68.895119601328901</v>
      </c>
      <c r="H354">
        <v>13.3</v>
      </c>
      <c r="I354" t="s">
        <v>12</v>
      </c>
      <c r="AD354" s="17">
        <v>352</v>
      </c>
      <c r="AE354" s="6">
        <v>3.0470199999999998</v>
      </c>
      <c r="AF354" s="6">
        <v>5.7809999999999997</v>
      </c>
      <c r="AG354" s="6">
        <v>2.9339</v>
      </c>
      <c r="AH354" s="6">
        <v>255</v>
      </c>
      <c r="AJ354" s="17">
        <v>352</v>
      </c>
      <c r="AK354" s="6">
        <v>5.7778099999999997</v>
      </c>
      <c r="AL354" s="6">
        <v>5.7809999999999997</v>
      </c>
      <c r="AM354" s="6">
        <v>2.9339</v>
      </c>
      <c r="AN354" s="6">
        <v>255</v>
      </c>
      <c r="AQ354" s="17">
        <v>352</v>
      </c>
      <c r="AR354" s="6">
        <v>1.6152899999999999</v>
      </c>
      <c r="AS354" s="6">
        <v>0.71809999999999996</v>
      </c>
      <c r="AT354" s="6">
        <v>0.82020000000000004</v>
      </c>
      <c r="AU354" s="6">
        <v>255</v>
      </c>
      <c r="AW354" s="17">
        <v>352</v>
      </c>
      <c r="AX354" s="6">
        <v>0.85185</v>
      </c>
      <c r="AY354" s="6">
        <v>0.71809999999999996</v>
      </c>
      <c r="AZ354" s="6">
        <v>0.82020000000000004</v>
      </c>
      <c r="BA354" s="6">
        <v>255</v>
      </c>
      <c r="BN354" s="17">
        <v>352</v>
      </c>
      <c r="BO354" s="6">
        <v>69.681861909999995</v>
      </c>
      <c r="BP354" s="6">
        <v>69.945865449999999</v>
      </c>
      <c r="BQ354" s="19">
        <v>-0.26400353999999998</v>
      </c>
    </row>
    <row r="355" spans="1:69" x14ac:dyDescent="0.25">
      <c r="A355" s="31" t="s">
        <v>10</v>
      </c>
      <c r="B355" s="32">
        <v>1</v>
      </c>
      <c r="C355" s="32">
        <v>11</v>
      </c>
      <c r="D355" s="32">
        <v>4</v>
      </c>
      <c r="E355" s="32">
        <v>24</v>
      </c>
      <c r="F355" s="2">
        <v>59</v>
      </c>
      <c r="G355">
        <v>74.132023689152092</v>
      </c>
      <c r="H355">
        <v>13.1</v>
      </c>
      <c r="I355" t="s">
        <v>12</v>
      </c>
      <c r="AD355" s="17">
        <v>353</v>
      </c>
      <c r="AE355" s="6">
        <v>3.06392</v>
      </c>
      <c r="AF355" s="6">
        <v>7.7412000000000001</v>
      </c>
      <c r="AG355" s="6">
        <v>2.9502000000000002</v>
      </c>
      <c r="AH355" s="6">
        <v>255</v>
      </c>
      <c r="AJ355" s="17">
        <v>353</v>
      </c>
      <c r="AK355" s="6">
        <v>5.8098599999999996</v>
      </c>
      <c r="AL355" s="6">
        <v>7.7412000000000001</v>
      </c>
      <c r="AM355" s="6">
        <v>2.9502000000000002</v>
      </c>
      <c r="AN355" s="6">
        <v>255</v>
      </c>
      <c r="AQ355" s="17">
        <v>353</v>
      </c>
      <c r="AR355" s="6">
        <v>1.5987100000000001</v>
      </c>
      <c r="AS355" s="6">
        <v>0.629</v>
      </c>
      <c r="AT355" s="6">
        <v>0.81179999999999997</v>
      </c>
      <c r="AU355" s="6">
        <v>255</v>
      </c>
      <c r="AW355" s="17">
        <v>353</v>
      </c>
      <c r="AX355" s="6">
        <v>0.84309999999999996</v>
      </c>
      <c r="AY355" s="6">
        <v>0.629</v>
      </c>
      <c r="AZ355" s="6">
        <v>0.81179999999999997</v>
      </c>
      <c r="BA355" s="6">
        <v>255</v>
      </c>
      <c r="BN355" s="17">
        <v>353</v>
      </c>
      <c r="BO355" s="6">
        <v>68.895119600000001</v>
      </c>
      <c r="BP355" s="6">
        <v>66.078491869999993</v>
      </c>
      <c r="BQ355" s="6">
        <v>2.81662773</v>
      </c>
    </row>
    <row r="356" spans="1:69" x14ac:dyDescent="0.25">
      <c r="A356" s="31" t="s">
        <v>10</v>
      </c>
      <c r="B356" s="32">
        <v>1</v>
      </c>
      <c r="C356" s="32">
        <v>10</v>
      </c>
      <c r="D356" s="32">
        <v>4</v>
      </c>
      <c r="E356" s="32">
        <v>38</v>
      </c>
      <c r="F356" s="2">
        <v>58.4</v>
      </c>
      <c r="G356">
        <v>62.87259338437093</v>
      </c>
      <c r="H356">
        <v>13.8</v>
      </c>
      <c r="I356" t="s">
        <v>12</v>
      </c>
      <c r="AD356" s="17">
        <v>354</v>
      </c>
      <c r="AE356" s="6">
        <v>3.0494599999999998</v>
      </c>
      <c r="AF356" s="19">
        <v>-0.32490000000000002</v>
      </c>
      <c r="AG356" s="6">
        <v>2.9363000000000001</v>
      </c>
      <c r="AH356" s="6">
        <v>255</v>
      </c>
      <c r="AJ356" s="17">
        <v>354</v>
      </c>
      <c r="AK356" s="6">
        <v>5.7824499999999999</v>
      </c>
      <c r="AL356" s="19">
        <v>-0.32490000000000002</v>
      </c>
      <c r="AM356" s="6">
        <v>2.9363000000000001</v>
      </c>
      <c r="AN356" s="6">
        <v>255</v>
      </c>
      <c r="AQ356" s="17">
        <v>354</v>
      </c>
      <c r="AR356" s="6">
        <v>1.59568</v>
      </c>
      <c r="AS356" s="6">
        <v>0.21809999999999999</v>
      </c>
      <c r="AT356" s="6">
        <v>0.81030000000000002</v>
      </c>
      <c r="AU356" s="6">
        <v>255</v>
      </c>
      <c r="AW356" s="17">
        <v>354</v>
      </c>
      <c r="AX356" s="6">
        <v>0.84150000000000003</v>
      </c>
      <c r="AY356" s="6">
        <v>0.21809999999999999</v>
      </c>
      <c r="AZ356" s="6">
        <v>0.81030000000000002</v>
      </c>
      <c r="BA356" s="6">
        <v>255</v>
      </c>
      <c r="BN356" s="17">
        <v>354</v>
      </c>
      <c r="BO356" s="6">
        <v>74.132023689999997</v>
      </c>
      <c r="BP356" s="6">
        <v>64.767253220000001</v>
      </c>
      <c r="BQ356" s="6">
        <v>9.3647704699999998</v>
      </c>
    </row>
    <row r="357" spans="1:69" x14ac:dyDescent="0.25">
      <c r="A357" s="31" t="s">
        <v>10</v>
      </c>
      <c r="B357" s="32">
        <v>1</v>
      </c>
      <c r="C357" s="32">
        <v>9</v>
      </c>
      <c r="D357" s="32">
        <v>4</v>
      </c>
      <c r="E357" s="32">
        <v>19</v>
      </c>
      <c r="F357" s="2">
        <v>56.6</v>
      </c>
      <c r="G357">
        <v>64.887571573017468</v>
      </c>
      <c r="H357">
        <v>13.7</v>
      </c>
      <c r="I357" t="s">
        <v>12</v>
      </c>
      <c r="AD357" s="17">
        <v>355</v>
      </c>
      <c r="AE357" s="6">
        <v>3.0529299999999999</v>
      </c>
      <c r="AF357" s="6">
        <v>4.7179000000000002</v>
      </c>
      <c r="AG357" s="6">
        <v>2.9396</v>
      </c>
      <c r="AH357" s="6">
        <v>255</v>
      </c>
      <c r="AJ357" s="17">
        <v>355</v>
      </c>
      <c r="AK357" s="6">
        <v>5.7890300000000003</v>
      </c>
      <c r="AL357" s="6">
        <v>4.7179000000000002</v>
      </c>
      <c r="AM357" s="6">
        <v>2.9396</v>
      </c>
      <c r="AN357" s="6">
        <v>255</v>
      </c>
      <c r="AQ357" s="17">
        <v>355</v>
      </c>
      <c r="AR357" s="6">
        <v>1.5916300000000001</v>
      </c>
      <c r="AS357" s="6">
        <v>0.4904</v>
      </c>
      <c r="AT357" s="6">
        <v>0.80820000000000003</v>
      </c>
      <c r="AU357" s="6">
        <v>255</v>
      </c>
      <c r="AW357" s="17">
        <v>355</v>
      </c>
      <c r="AX357" s="6">
        <v>0.83936999999999995</v>
      </c>
      <c r="AY357" s="6">
        <v>0.4904</v>
      </c>
      <c r="AZ357" s="6">
        <v>0.80820000000000003</v>
      </c>
      <c r="BA357" s="6">
        <v>255</v>
      </c>
      <c r="BN357" s="17">
        <v>355</v>
      </c>
      <c r="BO357" s="6">
        <v>62.872593379999998</v>
      </c>
      <c r="BP357" s="6">
        <v>61.590565269999999</v>
      </c>
      <c r="BQ357" s="6">
        <v>1.2820281099999999</v>
      </c>
    </row>
    <row r="358" spans="1:69" x14ac:dyDescent="0.25">
      <c r="A358" s="31" t="s">
        <v>10</v>
      </c>
      <c r="B358" s="32">
        <v>1</v>
      </c>
      <c r="C358" s="32">
        <v>8</v>
      </c>
      <c r="D358" s="32">
        <v>4</v>
      </c>
      <c r="E358" s="32">
        <v>25</v>
      </c>
      <c r="F358" s="2">
        <v>58</v>
      </c>
      <c r="G358">
        <v>69.112667918532424</v>
      </c>
      <c r="H358">
        <v>13.3</v>
      </c>
      <c r="I358" t="s">
        <v>12</v>
      </c>
      <c r="AD358" s="17">
        <v>356</v>
      </c>
      <c r="AE358" s="6">
        <v>3.0481600000000002</v>
      </c>
      <c r="AF358" s="6">
        <v>7.1952999999999996</v>
      </c>
      <c r="AG358" s="6">
        <v>2.9350000000000001</v>
      </c>
      <c r="AH358" s="6">
        <v>255</v>
      </c>
      <c r="AJ358" s="17">
        <v>356</v>
      </c>
      <c r="AK358" s="6">
        <v>5.7799800000000001</v>
      </c>
      <c r="AL358" s="6">
        <v>7.1952999999999996</v>
      </c>
      <c r="AM358" s="6">
        <v>2.9350000000000001</v>
      </c>
      <c r="AN358" s="6">
        <v>255</v>
      </c>
      <c r="AQ358" s="17">
        <v>356</v>
      </c>
      <c r="AR358" s="6">
        <v>1.5896300000000001</v>
      </c>
      <c r="AS358" s="6">
        <v>1.0143</v>
      </c>
      <c r="AT358" s="6">
        <v>0.80720000000000003</v>
      </c>
      <c r="AU358" s="6">
        <v>255</v>
      </c>
      <c r="AW358" s="17">
        <v>356</v>
      </c>
      <c r="AX358" s="6">
        <v>0.83831999999999995</v>
      </c>
      <c r="AY358" s="6">
        <v>1.0143</v>
      </c>
      <c r="AZ358" s="6">
        <v>0.80720000000000003</v>
      </c>
      <c r="BA358" s="6">
        <v>255</v>
      </c>
      <c r="BN358" s="17">
        <v>356</v>
      </c>
      <c r="BO358" s="6">
        <v>64.887571570000006</v>
      </c>
      <c r="BP358" s="6">
        <v>59.874296860000001</v>
      </c>
      <c r="BQ358" s="6">
        <v>5.0132747100000001</v>
      </c>
    </row>
    <row r="359" spans="1:69" x14ac:dyDescent="0.25">
      <c r="A359" s="31" t="s">
        <v>10</v>
      </c>
      <c r="B359" s="32">
        <v>1</v>
      </c>
      <c r="C359" s="32">
        <v>7</v>
      </c>
      <c r="D359" s="32">
        <v>4</v>
      </c>
      <c r="E359" s="32">
        <v>14</v>
      </c>
      <c r="F359" s="2">
        <v>59.2</v>
      </c>
      <c r="G359">
        <v>59.556348403871155</v>
      </c>
      <c r="H359">
        <v>13.9</v>
      </c>
      <c r="I359" t="s">
        <v>12</v>
      </c>
      <c r="AD359" s="17">
        <v>357</v>
      </c>
      <c r="AE359" s="6">
        <v>3.0446499999999999</v>
      </c>
      <c r="AF359" s="6">
        <v>5.2759</v>
      </c>
      <c r="AG359" s="6">
        <v>2.9316</v>
      </c>
      <c r="AH359" s="6">
        <v>255</v>
      </c>
      <c r="AJ359" s="17">
        <v>357</v>
      </c>
      <c r="AK359" s="6">
        <v>5.77332</v>
      </c>
      <c r="AL359" s="6">
        <v>5.2759</v>
      </c>
      <c r="AM359" s="6">
        <v>2.9316</v>
      </c>
      <c r="AN359" s="6">
        <v>255</v>
      </c>
      <c r="AQ359" s="17">
        <v>357</v>
      </c>
      <c r="AR359" s="6">
        <v>1.5900799999999999</v>
      </c>
      <c r="AS359" s="19">
        <v>-0.16839999999999999</v>
      </c>
      <c r="AT359" s="6">
        <v>0.80740000000000001</v>
      </c>
      <c r="AU359" s="6">
        <v>255</v>
      </c>
      <c r="AW359" s="17">
        <v>357</v>
      </c>
      <c r="AX359" s="6">
        <v>0.83855000000000002</v>
      </c>
      <c r="AY359" s="19">
        <v>-0.16839999999999999</v>
      </c>
      <c r="AZ359" s="6">
        <v>0.80740000000000001</v>
      </c>
      <c r="BA359" s="6">
        <v>255</v>
      </c>
      <c r="BN359" s="17">
        <v>357</v>
      </c>
      <c r="BO359" s="6">
        <v>69.112667920000007</v>
      </c>
      <c r="BP359" s="6">
        <v>66.581976949999998</v>
      </c>
      <c r="BQ359" s="6">
        <v>2.5306909700000002</v>
      </c>
    </row>
    <row r="360" spans="1:69" x14ac:dyDescent="0.25">
      <c r="A360" s="31" t="s">
        <v>10</v>
      </c>
      <c r="B360" s="32">
        <v>1</v>
      </c>
      <c r="C360" s="32">
        <v>6</v>
      </c>
      <c r="D360" s="32">
        <v>4</v>
      </c>
      <c r="E360" s="32">
        <v>10</v>
      </c>
      <c r="F360" s="2">
        <v>53.5</v>
      </c>
      <c r="G360">
        <v>55.913144590495449</v>
      </c>
      <c r="H360">
        <v>15.2</v>
      </c>
      <c r="I360" t="s">
        <v>12</v>
      </c>
      <c r="AD360" s="17">
        <v>358</v>
      </c>
      <c r="AE360" s="6">
        <v>3.05017</v>
      </c>
      <c r="AF360" s="6">
        <v>6.5869</v>
      </c>
      <c r="AG360" s="6">
        <v>2.9369999999999998</v>
      </c>
      <c r="AH360" s="6">
        <v>255</v>
      </c>
      <c r="AJ360" s="17">
        <v>358</v>
      </c>
      <c r="AK360" s="6">
        <v>5.7837899999999998</v>
      </c>
      <c r="AL360" s="6">
        <v>6.5869</v>
      </c>
      <c r="AM360" s="6">
        <v>2.9369999999999998</v>
      </c>
      <c r="AN360" s="6">
        <v>255</v>
      </c>
      <c r="AQ360" s="17">
        <v>358</v>
      </c>
      <c r="AR360" s="6">
        <v>1.59212</v>
      </c>
      <c r="AS360" s="19">
        <v>-0.35670000000000002</v>
      </c>
      <c r="AT360" s="6">
        <v>0.8085</v>
      </c>
      <c r="AU360" s="6">
        <v>255</v>
      </c>
      <c r="AW360" s="17">
        <v>358</v>
      </c>
      <c r="AX360" s="6">
        <v>0.83962999999999999</v>
      </c>
      <c r="AY360" s="19">
        <v>-0.35670000000000002</v>
      </c>
      <c r="AZ360" s="6">
        <v>0.8085</v>
      </c>
      <c r="BA360" s="6">
        <v>255</v>
      </c>
      <c r="BN360" s="17">
        <v>358</v>
      </c>
      <c r="BO360" s="6">
        <v>59.556348399999997</v>
      </c>
      <c r="BP360" s="6">
        <v>56.311507599999999</v>
      </c>
      <c r="BQ360" s="6">
        <v>3.2448408</v>
      </c>
    </row>
    <row r="361" spans="1:69" x14ac:dyDescent="0.25">
      <c r="A361" s="31" t="s">
        <v>10</v>
      </c>
      <c r="B361" s="32">
        <v>1</v>
      </c>
      <c r="C361" s="32">
        <v>5</v>
      </c>
      <c r="D361" s="32">
        <v>4</v>
      </c>
      <c r="E361" s="32">
        <v>27</v>
      </c>
      <c r="F361" s="2">
        <v>58.8</v>
      </c>
      <c r="G361">
        <v>67.605788675429707</v>
      </c>
      <c r="H361">
        <v>13.3</v>
      </c>
      <c r="I361" t="s">
        <v>12</v>
      </c>
      <c r="AD361" s="17">
        <v>359</v>
      </c>
      <c r="AE361" s="6">
        <v>3.04373</v>
      </c>
      <c r="AF361" s="6">
        <v>8.4806000000000008</v>
      </c>
      <c r="AG361" s="6">
        <v>2.9308000000000001</v>
      </c>
      <c r="AH361" s="6">
        <v>255</v>
      </c>
      <c r="AJ361" s="17">
        <v>359</v>
      </c>
      <c r="AK361" s="6">
        <v>5.7715800000000002</v>
      </c>
      <c r="AL361" s="6">
        <v>8.4806000000000008</v>
      </c>
      <c r="AM361" s="6">
        <v>2.9308000000000001</v>
      </c>
      <c r="AN361" s="6">
        <v>255</v>
      </c>
      <c r="AQ361" s="17">
        <v>359</v>
      </c>
      <c r="AR361" s="6">
        <v>1.58971</v>
      </c>
      <c r="AS361" s="6">
        <v>0.57279999999999998</v>
      </c>
      <c r="AT361" s="6">
        <v>0.80720000000000003</v>
      </c>
      <c r="AU361" s="6">
        <v>255</v>
      </c>
      <c r="AW361" s="17">
        <v>359</v>
      </c>
      <c r="AX361" s="6">
        <v>0.83835999999999999</v>
      </c>
      <c r="AY361" s="6">
        <v>0.57279999999999998</v>
      </c>
      <c r="AZ361" s="6">
        <v>0.80720000000000003</v>
      </c>
      <c r="BA361" s="6">
        <v>255</v>
      </c>
      <c r="BN361" s="17">
        <v>359</v>
      </c>
      <c r="BO361" s="6">
        <v>55.913144590000002</v>
      </c>
      <c r="BP361" s="6">
        <v>53.28538219</v>
      </c>
      <c r="BQ361" s="6">
        <v>2.6277623999999999</v>
      </c>
    </row>
    <row r="362" spans="1:69" x14ac:dyDescent="0.25">
      <c r="A362" s="31" t="s">
        <v>10</v>
      </c>
      <c r="B362" s="32">
        <v>1</v>
      </c>
      <c r="C362" s="32">
        <v>4</v>
      </c>
      <c r="D362" s="32">
        <v>4</v>
      </c>
      <c r="E362" s="32">
        <v>58</v>
      </c>
      <c r="F362" s="2">
        <v>57.3</v>
      </c>
      <c r="G362">
        <v>58.621585150946125</v>
      </c>
      <c r="H362">
        <v>14.7</v>
      </c>
      <c r="I362" t="s">
        <v>12</v>
      </c>
      <c r="AD362" s="17">
        <v>360</v>
      </c>
      <c r="AE362" s="6">
        <v>3.0658599999999998</v>
      </c>
      <c r="AF362" s="6">
        <v>2.3308</v>
      </c>
      <c r="AG362" s="6">
        <v>2.9521000000000002</v>
      </c>
      <c r="AH362" s="6">
        <v>255</v>
      </c>
      <c r="AJ362" s="17">
        <v>360</v>
      </c>
      <c r="AK362" s="6">
        <v>5.8135500000000002</v>
      </c>
      <c r="AL362" s="6">
        <v>2.3308</v>
      </c>
      <c r="AM362" s="6">
        <v>2.9521000000000002</v>
      </c>
      <c r="AN362" s="6">
        <v>255</v>
      </c>
      <c r="AQ362" s="17">
        <v>360</v>
      </c>
      <c r="AR362" s="6">
        <v>1.5988599999999999</v>
      </c>
      <c r="AS362" s="19">
        <v>-1.7916000000000001</v>
      </c>
      <c r="AT362" s="6">
        <v>0.81189999999999996</v>
      </c>
      <c r="AU362" s="6">
        <v>255</v>
      </c>
      <c r="AW362" s="17">
        <v>360</v>
      </c>
      <c r="AX362" s="6">
        <v>0.84318000000000004</v>
      </c>
      <c r="AY362" s="19">
        <v>-1.7916000000000001</v>
      </c>
      <c r="AZ362" s="6">
        <v>0.81189999999999996</v>
      </c>
      <c r="BA362" s="6">
        <v>255</v>
      </c>
      <c r="BN362" s="17">
        <v>360</v>
      </c>
      <c r="BO362" s="6">
        <v>67.605788680000003</v>
      </c>
      <c r="BP362" s="6">
        <v>60.388655470000003</v>
      </c>
      <c r="BQ362" s="6">
        <v>7.2171332100000001</v>
      </c>
    </row>
    <row r="363" spans="1:69" x14ac:dyDescent="0.25">
      <c r="A363" s="31" t="s">
        <v>10</v>
      </c>
      <c r="B363" s="32">
        <v>1</v>
      </c>
      <c r="C363" s="32">
        <v>3</v>
      </c>
      <c r="D363" s="32">
        <v>4</v>
      </c>
      <c r="E363" s="32">
        <v>60</v>
      </c>
      <c r="F363" s="2">
        <v>54.8</v>
      </c>
      <c r="G363">
        <v>50.9950339448216</v>
      </c>
      <c r="H363">
        <v>15.4</v>
      </c>
      <c r="I363" t="s">
        <v>12</v>
      </c>
      <c r="AD363" s="17">
        <v>361</v>
      </c>
      <c r="AE363" s="6">
        <v>3.04026</v>
      </c>
      <c r="AF363" s="6">
        <v>5.4557000000000002</v>
      </c>
      <c r="AG363" s="6">
        <v>2.9274</v>
      </c>
      <c r="AH363" s="6">
        <v>255</v>
      </c>
      <c r="AJ363" s="17">
        <v>361</v>
      </c>
      <c r="AK363" s="6">
        <v>5.7650100000000002</v>
      </c>
      <c r="AL363" s="6">
        <v>5.4557000000000002</v>
      </c>
      <c r="AM363" s="6">
        <v>2.9274</v>
      </c>
      <c r="AN363" s="6">
        <v>255</v>
      </c>
      <c r="AQ363" s="17">
        <v>361</v>
      </c>
      <c r="AR363" s="6">
        <v>1.5817300000000001</v>
      </c>
      <c r="AS363" s="6">
        <v>0.58150000000000002</v>
      </c>
      <c r="AT363" s="6">
        <v>0.80320000000000003</v>
      </c>
      <c r="AU363" s="6">
        <v>255</v>
      </c>
      <c r="AW363" s="17">
        <v>361</v>
      </c>
      <c r="AX363" s="6">
        <v>0.83414999999999995</v>
      </c>
      <c r="AY363" s="6">
        <v>0.58150000000000002</v>
      </c>
      <c r="AZ363" s="6">
        <v>0.80320000000000003</v>
      </c>
      <c r="BA363" s="6">
        <v>255</v>
      </c>
      <c r="BN363" s="17">
        <v>361</v>
      </c>
      <c r="BO363" s="6">
        <v>58.621585150000001</v>
      </c>
      <c r="BP363" s="6">
        <v>55.332759879999998</v>
      </c>
      <c r="BQ363" s="6">
        <v>3.2888252699999998</v>
      </c>
    </row>
    <row r="364" spans="1:69" x14ac:dyDescent="0.25">
      <c r="A364" s="31" t="s">
        <v>10</v>
      </c>
      <c r="B364" s="32">
        <v>1</v>
      </c>
      <c r="C364" s="32">
        <v>2</v>
      </c>
      <c r="D364" s="32">
        <v>4</v>
      </c>
      <c r="E364" s="32">
        <v>45</v>
      </c>
      <c r="F364" s="2">
        <v>55.3</v>
      </c>
      <c r="G364">
        <v>47.238668207424524</v>
      </c>
      <c r="H364">
        <v>14.2</v>
      </c>
      <c r="I364" t="s">
        <v>12</v>
      </c>
      <c r="AD364" s="17">
        <v>362</v>
      </c>
      <c r="AE364" s="6">
        <v>3.0492599999999999</v>
      </c>
      <c r="AF364" s="6">
        <v>7.7733999999999996</v>
      </c>
      <c r="AG364" s="6">
        <v>2.9361000000000002</v>
      </c>
      <c r="AH364" s="6">
        <v>255</v>
      </c>
      <c r="AJ364" s="17">
        <v>362</v>
      </c>
      <c r="AK364" s="6">
        <v>5.7820600000000004</v>
      </c>
      <c r="AL364" s="6">
        <v>7.7733999999999996</v>
      </c>
      <c r="AM364" s="6">
        <v>2.9361000000000002</v>
      </c>
      <c r="AN364" s="6">
        <v>255</v>
      </c>
      <c r="AQ364" s="17">
        <v>362</v>
      </c>
      <c r="AR364" s="6">
        <v>1.59778</v>
      </c>
      <c r="AS364" s="6">
        <v>0.31409999999999999</v>
      </c>
      <c r="AT364" s="6">
        <v>0.81130000000000002</v>
      </c>
      <c r="AU364" s="6">
        <v>255</v>
      </c>
      <c r="AW364" s="17">
        <v>362</v>
      </c>
      <c r="AX364" s="6">
        <v>0.84260999999999997</v>
      </c>
      <c r="AY364" s="6">
        <v>0.31409999999999999</v>
      </c>
      <c r="AZ364" s="6">
        <v>0.81130000000000002</v>
      </c>
      <c r="BA364" s="6">
        <v>255</v>
      </c>
      <c r="BN364" s="17">
        <v>362</v>
      </c>
      <c r="BO364" s="6">
        <v>50.995033939999999</v>
      </c>
      <c r="BP364" s="6">
        <v>53.901850799999998</v>
      </c>
      <c r="BQ364" s="19">
        <v>-2.9068168600000002</v>
      </c>
    </row>
    <row r="365" spans="1:69" x14ac:dyDescent="0.25">
      <c r="A365" s="31" t="s">
        <v>10</v>
      </c>
      <c r="B365" s="32">
        <v>1</v>
      </c>
      <c r="C365" s="32">
        <v>1</v>
      </c>
      <c r="D365" s="32">
        <v>4</v>
      </c>
      <c r="E365" s="32">
        <v>44</v>
      </c>
      <c r="F365" s="2">
        <v>57.4</v>
      </c>
      <c r="G365">
        <v>45.716101382488482</v>
      </c>
      <c r="H365">
        <v>14.5</v>
      </c>
      <c r="I365" t="s">
        <v>12</v>
      </c>
      <c r="AD365" s="17">
        <v>363</v>
      </c>
      <c r="AE365" s="6">
        <v>3.0341999999999998</v>
      </c>
      <c r="AF365" s="6">
        <v>7.6502999999999997</v>
      </c>
      <c r="AG365" s="6">
        <v>2.9216000000000002</v>
      </c>
      <c r="AH365" s="6">
        <v>255</v>
      </c>
      <c r="AJ365" s="17">
        <v>363</v>
      </c>
      <c r="AK365" s="6">
        <v>5.75352</v>
      </c>
      <c r="AL365" s="6">
        <v>7.6502999999999997</v>
      </c>
      <c r="AM365" s="6">
        <v>2.9216000000000002</v>
      </c>
      <c r="AN365" s="6">
        <v>255</v>
      </c>
      <c r="AQ365" s="17">
        <v>363</v>
      </c>
      <c r="AR365" s="6">
        <v>1.58725</v>
      </c>
      <c r="AS365" s="6">
        <v>0.5665</v>
      </c>
      <c r="AT365" s="6">
        <v>0.80600000000000005</v>
      </c>
      <c r="AU365" s="6">
        <v>255</v>
      </c>
      <c r="AW365" s="17">
        <v>363</v>
      </c>
      <c r="AX365" s="6">
        <v>0.83706000000000003</v>
      </c>
      <c r="AY365" s="6">
        <v>0.5665</v>
      </c>
      <c r="AZ365" s="6">
        <v>0.80600000000000005</v>
      </c>
      <c r="BA365" s="6">
        <v>255</v>
      </c>
      <c r="BN365" s="17">
        <v>363</v>
      </c>
      <c r="BO365" s="6">
        <v>47.23866821</v>
      </c>
      <c r="BP365" s="6">
        <v>58.882420510000003</v>
      </c>
      <c r="BQ365" s="19">
        <v>-11.643752299999999</v>
      </c>
    </row>
    <row r="366" spans="1:69" x14ac:dyDescent="0.25">
      <c r="A366" s="31" t="s">
        <v>10</v>
      </c>
      <c r="B366" s="32">
        <v>2</v>
      </c>
      <c r="C366" s="32">
        <v>1</v>
      </c>
      <c r="D366" s="32">
        <v>5</v>
      </c>
      <c r="E366" s="32">
        <v>35</v>
      </c>
      <c r="F366" s="2">
        <v>56.2</v>
      </c>
      <c r="G366">
        <v>49.21618479262672</v>
      </c>
      <c r="H366" t="s">
        <v>12</v>
      </c>
      <c r="I366" t="s">
        <v>12</v>
      </c>
      <c r="AD366" s="17">
        <v>364</v>
      </c>
      <c r="AE366" s="6">
        <v>3.05782</v>
      </c>
      <c r="AF366" s="6">
        <v>4.1635999999999997</v>
      </c>
      <c r="AG366" s="6">
        <v>2.9443000000000001</v>
      </c>
      <c r="AH366" s="6">
        <v>255</v>
      </c>
      <c r="AJ366" s="17">
        <v>364</v>
      </c>
      <c r="AK366" s="6">
        <v>5.7983000000000002</v>
      </c>
      <c r="AL366" s="6">
        <v>4.1635999999999997</v>
      </c>
      <c r="AM366" s="6">
        <v>2.9443000000000001</v>
      </c>
      <c r="AN366" s="6">
        <v>255</v>
      </c>
      <c r="AQ366" s="17">
        <v>364</v>
      </c>
      <c r="AR366" s="6">
        <v>1.5917399999999999</v>
      </c>
      <c r="AS366" s="19">
        <v>-0.81430000000000002</v>
      </c>
      <c r="AT366" s="6">
        <v>0.80830000000000002</v>
      </c>
      <c r="AU366" s="6">
        <v>255</v>
      </c>
      <c r="AW366" s="17">
        <v>364</v>
      </c>
      <c r="AX366" s="6">
        <v>0.83943000000000001</v>
      </c>
      <c r="AY366" s="19">
        <v>-0.81430000000000002</v>
      </c>
      <c r="AZ366" s="6">
        <v>0.80830000000000002</v>
      </c>
      <c r="BA366" s="6">
        <v>255</v>
      </c>
      <c r="BN366" s="17">
        <v>364</v>
      </c>
      <c r="BO366" s="6">
        <v>45.716101379999998</v>
      </c>
      <c r="BP366" s="6">
        <v>56.909098569999998</v>
      </c>
      <c r="BQ366" s="19">
        <v>-11.19299719</v>
      </c>
    </row>
    <row r="367" spans="1:69" x14ac:dyDescent="0.25">
      <c r="A367" s="31" t="s">
        <v>10</v>
      </c>
      <c r="B367" s="32">
        <v>2</v>
      </c>
      <c r="C367" s="32">
        <v>2</v>
      </c>
      <c r="D367" s="32">
        <v>5</v>
      </c>
      <c r="E367" s="32">
        <v>19</v>
      </c>
      <c r="F367" s="2">
        <v>55.8</v>
      </c>
      <c r="G367">
        <v>43.526695852534559</v>
      </c>
      <c r="H367" t="s">
        <v>12</v>
      </c>
      <c r="I367" t="s">
        <v>12</v>
      </c>
      <c r="AD367" s="17">
        <v>365</v>
      </c>
      <c r="AE367" s="6">
        <v>3.0440700000000001</v>
      </c>
      <c r="AF367" s="6">
        <v>5.3513000000000002</v>
      </c>
      <c r="AG367" s="6">
        <v>2.9310999999999998</v>
      </c>
      <c r="AH367" s="6">
        <v>255</v>
      </c>
      <c r="AJ367" s="17">
        <v>365</v>
      </c>
      <c r="AK367" s="6">
        <v>5.7722300000000004</v>
      </c>
      <c r="AL367" s="6">
        <v>5.3513000000000002</v>
      </c>
      <c r="AM367" s="6">
        <v>2.9310999999999998</v>
      </c>
      <c r="AN367" s="6">
        <v>255</v>
      </c>
      <c r="AQ367" s="17">
        <v>365</v>
      </c>
      <c r="AR367" s="6">
        <v>1.5879799999999999</v>
      </c>
      <c r="AS367" s="19">
        <v>-0.4511</v>
      </c>
      <c r="AT367" s="6">
        <v>0.80640000000000001</v>
      </c>
      <c r="AU367" s="6">
        <v>255</v>
      </c>
      <c r="AW367" s="17">
        <v>365</v>
      </c>
      <c r="AX367" s="6">
        <v>0.83745000000000003</v>
      </c>
      <c r="AY367" s="19">
        <v>-0.4511</v>
      </c>
      <c r="AZ367" s="6">
        <v>0.80640000000000001</v>
      </c>
      <c r="BA367" s="6">
        <v>255</v>
      </c>
      <c r="BN367" s="17">
        <v>365</v>
      </c>
      <c r="BO367" s="6">
        <v>49.21618479</v>
      </c>
      <c r="BP367" s="6">
        <v>46.86728952</v>
      </c>
      <c r="BQ367" s="6">
        <v>2.3488952699999999</v>
      </c>
    </row>
    <row r="368" spans="1:69" x14ac:dyDescent="0.25">
      <c r="A368" s="31" t="s">
        <v>10</v>
      </c>
      <c r="B368" s="32">
        <v>2</v>
      </c>
      <c r="C368" s="32">
        <v>3</v>
      </c>
      <c r="D368" s="32">
        <v>5</v>
      </c>
      <c r="E368" s="32">
        <v>45</v>
      </c>
      <c r="F368" s="2">
        <v>59.4</v>
      </c>
      <c r="G368">
        <v>60.445111520737321</v>
      </c>
      <c r="H368" t="s">
        <v>12</v>
      </c>
      <c r="I368" t="s">
        <v>12</v>
      </c>
      <c r="AD368" s="17">
        <v>366</v>
      </c>
      <c r="AE368" s="6">
        <v>3.04793</v>
      </c>
      <c r="AF368" s="6">
        <v>5.9244000000000003</v>
      </c>
      <c r="AG368" s="6">
        <v>2.9348000000000001</v>
      </c>
      <c r="AH368" s="6">
        <v>255</v>
      </c>
      <c r="AJ368" s="17">
        <v>366</v>
      </c>
      <c r="AK368" s="6">
        <v>5.7795399999999999</v>
      </c>
      <c r="AL368" s="6">
        <v>5.9244000000000003</v>
      </c>
      <c r="AM368" s="6">
        <v>2.9348000000000001</v>
      </c>
      <c r="AN368" s="6">
        <v>255</v>
      </c>
      <c r="AQ368" s="17">
        <v>366</v>
      </c>
      <c r="AR368" s="6">
        <v>1.5926899999999999</v>
      </c>
      <c r="AS368" s="6">
        <v>8.4339999999999998E-2</v>
      </c>
      <c r="AT368" s="6">
        <v>0.80879999999999996</v>
      </c>
      <c r="AU368" s="6">
        <v>255</v>
      </c>
      <c r="AW368" s="17">
        <v>366</v>
      </c>
      <c r="AX368" s="6">
        <v>0.83992999999999995</v>
      </c>
      <c r="AY368" s="6">
        <v>8.4339999999999998E-2</v>
      </c>
      <c r="AZ368" s="6">
        <v>0.80879999999999996</v>
      </c>
      <c r="BA368" s="6">
        <v>255</v>
      </c>
      <c r="BN368" s="17">
        <v>366</v>
      </c>
      <c r="BO368" s="6">
        <v>43.526695850000003</v>
      </c>
      <c r="BP368" s="6">
        <v>53.018619690000001</v>
      </c>
      <c r="BQ368" s="19">
        <v>-9.4919238400000001</v>
      </c>
    </row>
    <row r="369" spans="1:69" x14ac:dyDescent="0.25">
      <c r="A369" s="31" t="s">
        <v>10</v>
      </c>
      <c r="B369" s="32">
        <v>2</v>
      </c>
      <c r="C369" s="32">
        <v>4</v>
      </c>
      <c r="D369" s="32">
        <v>5</v>
      </c>
      <c r="E369" s="32">
        <v>20</v>
      </c>
      <c r="F369" s="2">
        <v>59</v>
      </c>
      <c r="G369">
        <v>55.288790046082951</v>
      </c>
      <c r="H369" t="s">
        <v>12</v>
      </c>
      <c r="I369" t="s">
        <v>12</v>
      </c>
      <c r="AD369" s="17">
        <v>367</v>
      </c>
      <c r="AE369" s="6">
        <v>3.0373100000000002</v>
      </c>
      <c r="AF369" s="6">
        <v>5.9476000000000004</v>
      </c>
      <c r="AG369" s="6">
        <v>2.9245999999999999</v>
      </c>
      <c r="AH369" s="6">
        <v>255</v>
      </c>
      <c r="AJ369" s="17">
        <v>367</v>
      </c>
      <c r="AK369" s="6">
        <v>5.7594099999999999</v>
      </c>
      <c r="AL369" s="6">
        <v>5.9476000000000004</v>
      </c>
      <c r="AM369" s="6">
        <v>2.9245999999999999</v>
      </c>
      <c r="AN369" s="6">
        <v>255</v>
      </c>
      <c r="AQ369" s="17">
        <v>367</v>
      </c>
      <c r="AR369" s="6">
        <v>1.5863100000000001</v>
      </c>
      <c r="AS369" s="6">
        <v>0.54849999999999999</v>
      </c>
      <c r="AT369" s="6">
        <v>0.80549999999999999</v>
      </c>
      <c r="AU369" s="6">
        <v>255</v>
      </c>
      <c r="AW369" s="17">
        <v>367</v>
      </c>
      <c r="AX369" s="6">
        <v>0.83655999999999997</v>
      </c>
      <c r="AY369" s="6">
        <v>0.54849999999999999</v>
      </c>
      <c r="AZ369" s="6">
        <v>0.80549999999999999</v>
      </c>
      <c r="BA369" s="6">
        <v>255</v>
      </c>
      <c r="BN369" s="17">
        <v>367</v>
      </c>
      <c r="BO369" s="6">
        <v>60.445111519999998</v>
      </c>
      <c r="BP369" s="6">
        <v>52.026743340000003</v>
      </c>
      <c r="BQ369" s="6">
        <v>8.4183681799999999</v>
      </c>
    </row>
    <row r="370" spans="1:69" x14ac:dyDescent="0.25">
      <c r="A370" s="31" t="s">
        <v>10</v>
      </c>
      <c r="B370" s="32">
        <v>2</v>
      </c>
      <c r="C370" s="32">
        <v>5</v>
      </c>
      <c r="D370" s="32">
        <v>5</v>
      </c>
      <c r="E370" s="32">
        <v>29</v>
      </c>
      <c r="F370" s="2">
        <v>59.4</v>
      </c>
      <c r="G370">
        <v>59.808025990783413</v>
      </c>
      <c r="H370" t="s">
        <v>12</v>
      </c>
      <c r="I370" t="s">
        <v>12</v>
      </c>
      <c r="AD370" s="17">
        <v>368</v>
      </c>
      <c r="AE370" s="6">
        <v>3.0382799999999999</v>
      </c>
      <c r="AF370" s="6">
        <v>4.9650999999999996</v>
      </c>
      <c r="AG370" s="6">
        <v>2.9255</v>
      </c>
      <c r="AH370" s="6">
        <v>255</v>
      </c>
      <c r="AJ370" s="17">
        <v>368</v>
      </c>
      <c r="AK370" s="6">
        <v>5.7612399999999999</v>
      </c>
      <c r="AL370" s="6">
        <v>4.9650999999999996</v>
      </c>
      <c r="AM370" s="6">
        <v>2.9255</v>
      </c>
      <c r="AN370" s="6">
        <v>255</v>
      </c>
      <c r="AQ370" s="17">
        <v>368</v>
      </c>
      <c r="AR370" s="6">
        <v>1.5860300000000001</v>
      </c>
      <c r="AS370" s="19">
        <v>-0.56599999999999995</v>
      </c>
      <c r="AT370" s="6">
        <v>0.8054</v>
      </c>
      <c r="AU370" s="6">
        <v>255</v>
      </c>
      <c r="AW370" s="17">
        <v>368</v>
      </c>
      <c r="AX370" s="6">
        <v>0.83642000000000005</v>
      </c>
      <c r="AY370" s="19">
        <v>-0.56599999999999995</v>
      </c>
      <c r="AZ370" s="6">
        <v>0.8054</v>
      </c>
      <c r="BA370" s="6">
        <v>255</v>
      </c>
      <c r="BN370" s="17">
        <v>368</v>
      </c>
      <c r="BO370" s="6">
        <v>55.288790050000003</v>
      </c>
      <c r="BP370" s="6">
        <v>54.353038329999997</v>
      </c>
      <c r="BQ370" s="6">
        <v>0.93575171999999995</v>
      </c>
    </row>
    <row r="371" spans="1:69" x14ac:dyDescent="0.25">
      <c r="A371" s="31" t="s">
        <v>10</v>
      </c>
      <c r="B371" s="32">
        <v>2</v>
      </c>
      <c r="C371" s="32">
        <v>6</v>
      </c>
      <c r="D371" s="32">
        <v>5</v>
      </c>
      <c r="E371" s="32">
        <v>8</v>
      </c>
      <c r="F371" s="2">
        <v>58.6</v>
      </c>
      <c r="G371">
        <v>63.907853225806448</v>
      </c>
      <c r="H371" t="s">
        <v>12</v>
      </c>
      <c r="I371" t="s">
        <v>12</v>
      </c>
      <c r="AD371" s="17">
        <v>369</v>
      </c>
      <c r="AE371" s="6">
        <v>3.0479699999999998</v>
      </c>
      <c r="AF371" s="6">
        <v>12.5549</v>
      </c>
      <c r="AG371" s="6">
        <v>2.9348000000000001</v>
      </c>
      <c r="AH371" s="6">
        <v>255</v>
      </c>
      <c r="AJ371" s="17">
        <v>369</v>
      </c>
      <c r="AK371" s="6">
        <v>5.77963</v>
      </c>
      <c r="AL371" s="6">
        <v>12.5549</v>
      </c>
      <c r="AM371" s="6">
        <v>2.9348000000000001</v>
      </c>
      <c r="AN371" s="6">
        <v>255</v>
      </c>
      <c r="AQ371" s="17">
        <v>369</v>
      </c>
      <c r="AR371" s="6">
        <v>1.5977600000000001</v>
      </c>
      <c r="AS371" s="6">
        <v>0.8095</v>
      </c>
      <c r="AT371" s="6">
        <v>0.81130000000000002</v>
      </c>
      <c r="AU371" s="6">
        <v>255</v>
      </c>
      <c r="AW371" s="17">
        <v>369</v>
      </c>
      <c r="AX371" s="6">
        <v>0.84260999999999997</v>
      </c>
      <c r="AY371" s="6">
        <v>0.8095</v>
      </c>
      <c r="AZ371" s="6">
        <v>0.81130000000000002</v>
      </c>
      <c r="BA371" s="6">
        <v>255</v>
      </c>
      <c r="BN371" s="17">
        <v>369</v>
      </c>
      <c r="BO371" s="6">
        <v>59.808025989999997</v>
      </c>
      <c r="BP371" s="6">
        <v>63.09018828</v>
      </c>
      <c r="BQ371" s="19">
        <v>-3.28216229</v>
      </c>
    </row>
    <row r="372" spans="1:69" x14ac:dyDescent="0.25">
      <c r="A372" s="31" t="s">
        <v>10</v>
      </c>
      <c r="B372" s="32">
        <v>2</v>
      </c>
      <c r="C372" s="32">
        <v>7</v>
      </c>
      <c r="D372" s="32">
        <v>5</v>
      </c>
      <c r="E372" s="32">
        <v>37</v>
      </c>
      <c r="F372" s="2">
        <v>58</v>
      </c>
      <c r="G372">
        <v>48.603251612903222</v>
      </c>
      <c r="H372" t="s">
        <v>12</v>
      </c>
      <c r="I372" t="s">
        <v>12</v>
      </c>
      <c r="AD372" s="17">
        <v>370</v>
      </c>
      <c r="AE372" s="6">
        <v>3.0222899999999999</v>
      </c>
      <c r="AF372" s="6">
        <v>6.5145</v>
      </c>
      <c r="AG372" s="6">
        <v>2.9100999999999999</v>
      </c>
      <c r="AH372" s="6">
        <v>255</v>
      </c>
      <c r="AJ372" s="17">
        <v>370</v>
      </c>
      <c r="AK372" s="6">
        <v>5.7309400000000004</v>
      </c>
      <c r="AL372" s="6">
        <v>6.5145</v>
      </c>
      <c r="AM372" s="6">
        <v>2.9100999999999999</v>
      </c>
      <c r="AN372" s="6">
        <v>255</v>
      </c>
      <c r="AQ372" s="17">
        <v>370</v>
      </c>
      <c r="AR372" s="6">
        <v>1.5804</v>
      </c>
      <c r="AS372" s="19">
        <v>-0.55979999999999996</v>
      </c>
      <c r="AT372" s="6">
        <v>0.80249999999999999</v>
      </c>
      <c r="AU372" s="6">
        <v>255</v>
      </c>
      <c r="AW372" s="17">
        <v>370</v>
      </c>
      <c r="AX372" s="6">
        <v>0.83345000000000002</v>
      </c>
      <c r="AY372" s="19">
        <v>-0.55979999999999996</v>
      </c>
      <c r="AZ372" s="6">
        <v>0.80249999999999999</v>
      </c>
      <c r="BA372" s="6">
        <v>255</v>
      </c>
      <c r="BN372" s="17">
        <v>370</v>
      </c>
      <c r="BO372" s="6">
        <v>63.907853230000001</v>
      </c>
      <c r="BP372" s="6">
        <v>59.341257249999998</v>
      </c>
      <c r="BQ372" s="6">
        <v>4.5665959799999998</v>
      </c>
    </row>
    <row r="373" spans="1:69" x14ac:dyDescent="0.25">
      <c r="A373" s="31" t="s">
        <v>10</v>
      </c>
      <c r="B373" s="32">
        <v>2</v>
      </c>
      <c r="C373" s="32">
        <v>8</v>
      </c>
      <c r="D373" s="32">
        <v>5</v>
      </c>
      <c r="E373" s="32">
        <v>39</v>
      </c>
      <c r="F373" s="2">
        <v>58</v>
      </c>
      <c r="G373">
        <v>58.170780414746545</v>
      </c>
      <c r="H373" t="s">
        <v>12</v>
      </c>
      <c r="I373" t="s">
        <v>12</v>
      </c>
      <c r="AD373" s="17">
        <v>371</v>
      </c>
      <c r="AE373" s="6">
        <v>3.0350799999999998</v>
      </c>
      <c r="AF373" s="6">
        <v>15.2784</v>
      </c>
      <c r="AG373" s="6">
        <v>2.9224000000000001</v>
      </c>
      <c r="AH373" s="6">
        <v>255</v>
      </c>
      <c r="AJ373" s="17">
        <v>371</v>
      </c>
      <c r="AK373" s="6">
        <v>5.7551699999999997</v>
      </c>
      <c r="AL373" s="6">
        <v>15.2784</v>
      </c>
      <c r="AM373" s="6">
        <v>2.9224000000000001</v>
      </c>
      <c r="AN373" s="6">
        <v>255</v>
      </c>
      <c r="AQ373" s="17">
        <v>371</v>
      </c>
      <c r="AR373" s="6">
        <v>1.5905499999999999</v>
      </c>
      <c r="AS373" s="6">
        <v>1.9316</v>
      </c>
      <c r="AT373" s="6">
        <v>0.80769999999999997</v>
      </c>
      <c r="AU373" s="6">
        <v>255</v>
      </c>
      <c r="AW373" s="17">
        <v>371</v>
      </c>
      <c r="AX373" s="6">
        <v>0.83879999999999999</v>
      </c>
      <c r="AY373" s="6">
        <v>1.9316</v>
      </c>
      <c r="AZ373" s="6">
        <v>0.80769999999999997</v>
      </c>
      <c r="BA373" s="6">
        <v>255</v>
      </c>
      <c r="BN373" s="17">
        <v>371</v>
      </c>
      <c r="BO373" s="6">
        <v>48.603251610000001</v>
      </c>
      <c r="BP373" s="6">
        <v>51.980819369999999</v>
      </c>
      <c r="BQ373" s="19">
        <v>-3.3775677599999998</v>
      </c>
    </row>
    <row r="374" spans="1:69" x14ac:dyDescent="0.25">
      <c r="A374" s="31" t="s">
        <v>10</v>
      </c>
      <c r="B374" s="32">
        <v>2</v>
      </c>
      <c r="C374" s="32">
        <v>9</v>
      </c>
      <c r="D374" s="32">
        <v>5</v>
      </c>
      <c r="E374" s="32">
        <v>22</v>
      </c>
      <c r="F374" s="2">
        <v>57</v>
      </c>
      <c r="G374">
        <v>57.048179723502308</v>
      </c>
      <c r="H374" t="s">
        <v>12</v>
      </c>
      <c r="I374" t="s">
        <v>12</v>
      </c>
      <c r="AD374" s="17">
        <v>372</v>
      </c>
      <c r="AE374" s="6">
        <v>3.0459000000000001</v>
      </c>
      <c r="AF374" s="6">
        <v>9.8481000000000005</v>
      </c>
      <c r="AG374" s="6">
        <v>2.9329000000000001</v>
      </c>
      <c r="AH374" s="6">
        <v>255</v>
      </c>
      <c r="AJ374" s="17">
        <v>372</v>
      </c>
      <c r="AK374" s="6">
        <v>5.7756999999999996</v>
      </c>
      <c r="AL374" s="6">
        <v>9.8481000000000005</v>
      </c>
      <c r="AM374" s="6">
        <v>2.9329000000000001</v>
      </c>
      <c r="AN374" s="6">
        <v>255</v>
      </c>
      <c r="AQ374" s="17">
        <v>372</v>
      </c>
      <c r="AR374" s="6">
        <v>1.5906899999999999</v>
      </c>
      <c r="AS374" s="6">
        <v>0.59099999999999997</v>
      </c>
      <c r="AT374" s="6">
        <v>0.80769999999999997</v>
      </c>
      <c r="AU374" s="6">
        <v>255</v>
      </c>
      <c r="AW374" s="17">
        <v>372</v>
      </c>
      <c r="AX374" s="6">
        <v>0.83887</v>
      </c>
      <c r="AY374" s="6">
        <v>0.59099999999999997</v>
      </c>
      <c r="AZ374" s="6">
        <v>0.80769999999999997</v>
      </c>
      <c r="BA374" s="6">
        <v>255</v>
      </c>
      <c r="BN374" s="17">
        <v>372</v>
      </c>
      <c r="BO374" s="6">
        <v>58.170780409999999</v>
      </c>
      <c r="BP374" s="6">
        <v>59.222814710000002</v>
      </c>
      <c r="BQ374" s="19">
        <v>-1.0520343000000001</v>
      </c>
    </row>
    <row r="375" spans="1:69" x14ac:dyDescent="0.25">
      <c r="A375" s="31" t="s">
        <v>10</v>
      </c>
      <c r="B375" s="32">
        <v>2</v>
      </c>
      <c r="C375" s="32">
        <v>10</v>
      </c>
      <c r="D375" s="32">
        <v>5</v>
      </c>
      <c r="E375" s="32">
        <v>13</v>
      </c>
      <c r="F375" s="2">
        <v>57.3</v>
      </c>
      <c r="G375">
        <v>55.153639078341016</v>
      </c>
      <c r="H375" t="s">
        <v>12</v>
      </c>
      <c r="I375" t="s">
        <v>12</v>
      </c>
      <c r="AD375" s="17">
        <v>373</v>
      </c>
      <c r="AE375" s="6">
        <v>3.0680200000000002</v>
      </c>
      <c r="AF375" s="6">
        <v>7.5879000000000003</v>
      </c>
      <c r="AG375" s="6">
        <v>2.9540999999999999</v>
      </c>
      <c r="AH375" s="6">
        <v>255</v>
      </c>
      <c r="AJ375" s="17">
        <v>373</v>
      </c>
      <c r="AK375" s="6">
        <v>5.8176300000000003</v>
      </c>
      <c r="AL375" s="6">
        <v>7.5879000000000003</v>
      </c>
      <c r="AM375" s="6">
        <v>2.9540999999999999</v>
      </c>
      <c r="AN375" s="6">
        <v>255</v>
      </c>
      <c r="AQ375" s="17">
        <v>373</v>
      </c>
      <c r="AR375" s="6">
        <v>1.5998000000000001</v>
      </c>
      <c r="AS375" s="6">
        <v>0.7611</v>
      </c>
      <c r="AT375" s="6">
        <v>0.81240000000000001</v>
      </c>
      <c r="AU375" s="6">
        <v>255</v>
      </c>
      <c r="AW375" s="17">
        <v>373</v>
      </c>
      <c r="AX375" s="6">
        <v>0.84367999999999999</v>
      </c>
      <c r="AY375" s="6">
        <v>0.7611</v>
      </c>
      <c r="AZ375" s="6">
        <v>0.81240000000000001</v>
      </c>
      <c r="BA375" s="6">
        <v>255</v>
      </c>
      <c r="BN375" s="17">
        <v>373</v>
      </c>
      <c r="BO375" s="6">
        <v>57.04817972</v>
      </c>
      <c r="BP375" s="6">
        <v>56.563354949999997</v>
      </c>
      <c r="BQ375" s="6">
        <v>0.48482477000000002</v>
      </c>
    </row>
    <row r="376" spans="1:69" x14ac:dyDescent="0.25">
      <c r="A376" s="31" t="s">
        <v>10</v>
      </c>
      <c r="B376" s="32">
        <v>2</v>
      </c>
      <c r="C376" s="32">
        <v>11</v>
      </c>
      <c r="D376" s="32">
        <v>5</v>
      </c>
      <c r="E376" s="32">
        <v>58</v>
      </c>
      <c r="F376" s="2">
        <v>58.8</v>
      </c>
      <c r="G376">
        <v>50.967252995391696</v>
      </c>
      <c r="H376" t="s">
        <v>12</v>
      </c>
      <c r="I376" t="s">
        <v>12</v>
      </c>
      <c r="AD376" s="17">
        <v>374</v>
      </c>
      <c r="AE376" s="6">
        <v>3.0390799999999998</v>
      </c>
      <c r="AF376" s="6">
        <v>8.8383000000000003</v>
      </c>
      <c r="AG376" s="6">
        <v>2.9262999999999999</v>
      </c>
      <c r="AH376" s="6">
        <v>255</v>
      </c>
      <c r="AJ376" s="17">
        <v>374</v>
      </c>
      <c r="AK376" s="6">
        <v>5.7627600000000001</v>
      </c>
      <c r="AL376" s="6">
        <v>8.8383000000000003</v>
      </c>
      <c r="AM376" s="6">
        <v>2.9262999999999999</v>
      </c>
      <c r="AN376" s="6">
        <v>255</v>
      </c>
      <c r="AQ376" s="17">
        <v>374</v>
      </c>
      <c r="AR376" s="6">
        <v>1.5949500000000001</v>
      </c>
      <c r="AS376" s="6">
        <v>0.34770000000000001</v>
      </c>
      <c r="AT376" s="6">
        <v>0.80989999999999995</v>
      </c>
      <c r="AU376" s="6">
        <v>255</v>
      </c>
      <c r="AW376" s="17">
        <v>374</v>
      </c>
      <c r="AX376" s="6">
        <v>0.84111999999999998</v>
      </c>
      <c r="AY376" s="6">
        <v>0.34770000000000001</v>
      </c>
      <c r="AZ376" s="6">
        <v>0.80989999999999995</v>
      </c>
      <c r="BA376" s="6">
        <v>255</v>
      </c>
      <c r="BN376" s="17">
        <v>374</v>
      </c>
      <c r="BO376" s="6">
        <v>55.153639079999998</v>
      </c>
      <c r="BP376" s="6">
        <v>51.99150538</v>
      </c>
      <c r="BQ376" s="6">
        <v>3.1621337</v>
      </c>
    </row>
    <row r="377" spans="1:69" x14ac:dyDescent="0.25">
      <c r="A377" s="31" t="s">
        <v>10</v>
      </c>
      <c r="B377" s="32">
        <v>2</v>
      </c>
      <c r="C377" s="32">
        <v>12</v>
      </c>
      <c r="D377" s="32">
        <v>5</v>
      </c>
      <c r="E377" s="32">
        <v>17</v>
      </c>
      <c r="F377" s="2">
        <v>55.9</v>
      </c>
      <c r="G377">
        <v>47.978297004608294</v>
      </c>
      <c r="H377" t="s">
        <v>12</v>
      </c>
      <c r="I377" t="s">
        <v>12</v>
      </c>
      <c r="AD377" s="17">
        <v>375</v>
      </c>
      <c r="AE377" s="6">
        <v>3.0501100000000001</v>
      </c>
      <c r="AF377" s="6">
        <v>8.5429999999999993</v>
      </c>
      <c r="AG377" s="6">
        <v>2.9369000000000001</v>
      </c>
      <c r="AH377" s="6">
        <v>255</v>
      </c>
      <c r="AJ377" s="17">
        <v>375</v>
      </c>
      <c r="AK377" s="6">
        <v>5.7836699999999999</v>
      </c>
      <c r="AL377" s="6">
        <v>8.5429999999999993</v>
      </c>
      <c r="AM377" s="6">
        <v>2.9369000000000001</v>
      </c>
      <c r="AN377" s="6">
        <v>255</v>
      </c>
      <c r="AQ377" s="17">
        <v>375</v>
      </c>
      <c r="AR377" s="6">
        <v>1.59874</v>
      </c>
      <c r="AS377" s="19">
        <v>-0.872</v>
      </c>
      <c r="AT377" s="6">
        <v>0.81179999999999997</v>
      </c>
      <c r="AU377" s="6">
        <v>255</v>
      </c>
      <c r="AW377" s="17">
        <v>375</v>
      </c>
      <c r="AX377" s="6">
        <v>0.84311999999999998</v>
      </c>
      <c r="AY377" s="19">
        <v>-0.872</v>
      </c>
      <c r="AZ377" s="6">
        <v>0.81179999999999997</v>
      </c>
      <c r="BA377" s="6">
        <v>255</v>
      </c>
      <c r="BN377" s="17">
        <v>375</v>
      </c>
      <c r="BO377" s="6">
        <v>50.967252999999999</v>
      </c>
      <c r="BP377" s="6">
        <v>48.477082709999998</v>
      </c>
      <c r="BQ377" s="6">
        <v>2.49017029</v>
      </c>
    </row>
    <row r="378" spans="1:69" x14ac:dyDescent="0.25">
      <c r="A378" s="31" t="s">
        <v>10</v>
      </c>
      <c r="B378" s="32">
        <v>2</v>
      </c>
      <c r="C378" s="32">
        <v>13</v>
      </c>
      <c r="D378" s="32">
        <v>5</v>
      </c>
      <c r="E378" s="32">
        <v>12</v>
      </c>
      <c r="F378" s="2">
        <v>59.7</v>
      </c>
      <c r="G378">
        <v>56.333700829493075</v>
      </c>
      <c r="H378" t="s">
        <v>12</v>
      </c>
      <c r="I378" t="s">
        <v>12</v>
      </c>
      <c r="AD378" s="17">
        <v>376</v>
      </c>
      <c r="AE378" s="6">
        <v>3.04237</v>
      </c>
      <c r="AF378" s="6">
        <v>13.981199999999999</v>
      </c>
      <c r="AG378" s="6">
        <v>2.9295</v>
      </c>
      <c r="AH378" s="6">
        <v>255</v>
      </c>
      <c r="AJ378" s="17">
        <v>376</v>
      </c>
      <c r="AK378" s="6">
        <v>5.7690000000000001</v>
      </c>
      <c r="AL378" s="6">
        <v>13.981199999999999</v>
      </c>
      <c r="AM378" s="6">
        <v>2.9295</v>
      </c>
      <c r="AN378" s="6">
        <v>255</v>
      </c>
      <c r="AQ378" s="17">
        <v>376</v>
      </c>
      <c r="AR378" s="6">
        <v>1.5884400000000001</v>
      </c>
      <c r="AS378" s="6">
        <v>2.0651999999999999</v>
      </c>
      <c r="AT378" s="6">
        <v>0.80659999999999998</v>
      </c>
      <c r="AU378" s="6">
        <v>255</v>
      </c>
      <c r="AW378" s="17">
        <v>376</v>
      </c>
      <c r="AX378" s="6">
        <v>0.83769000000000005</v>
      </c>
      <c r="AY378" s="6">
        <v>2.0651999999999999</v>
      </c>
      <c r="AZ378" s="6">
        <v>0.80659999999999998</v>
      </c>
      <c r="BA378" s="6">
        <v>255</v>
      </c>
      <c r="BN378" s="17">
        <v>376</v>
      </c>
      <c r="BO378" s="6">
        <v>47.978296999999998</v>
      </c>
      <c r="BP378" s="6">
        <v>49.979413620000003</v>
      </c>
      <c r="BQ378" s="19">
        <v>-2.0011166199999999</v>
      </c>
    </row>
    <row r="379" spans="1:69" x14ac:dyDescent="0.25">
      <c r="A379" s="31" t="s">
        <v>10</v>
      </c>
      <c r="B379" s="32">
        <v>2</v>
      </c>
      <c r="C379" s="32">
        <v>13</v>
      </c>
      <c r="D379" s="32">
        <v>6</v>
      </c>
      <c r="E379" s="32">
        <v>6</v>
      </c>
      <c r="F379" s="2">
        <v>58.6</v>
      </c>
      <c r="G379">
        <v>48.025135951661618</v>
      </c>
      <c r="H379" t="s">
        <v>12</v>
      </c>
      <c r="I379" t="s">
        <v>12</v>
      </c>
      <c r="AD379" s="17">
        <v>377</v>
      </c>
      <c r="AE379" s="6">
        <v>3.0575600000000001</v>
      </c>
      <c r="AF379" s="6">
        <v>10.8354</v>
      </c>
      <c r="AG379" s="6">
        <v>2.9441000000000002</v>
      </c>
      <c r="AH379" s="6">
        <v>255</v>
      </c>
      <c r="AJ379" s="17">
        <v>377</v>
      </c>
      <c r="AK379" s="6">
        <v>5.7978100000000001</v>
      </c>
      <c r="AL379" s="6">
        <v>10.8354</v>
      </c>
      <c r="AM379" s="6">
        <v>2.9441000000000002</v>
      </c>
      <c r="AN379" s="6">
        <v>255</v>
      </c>
      <c r="AQ379" s="17">
        <v>377</v>
      </c>
      <c r="AR379" s="6">
        <v>1.5886400000000001</v>
      </c>
      <c r="AS379" s="6">
        <v>1.9189000000000001</v>
      </c>
      <c r="AT379" s="6">
        <v>0.80669999999999997</v>
      </c>
      <c r="AU379" s="6">
        <v>255</v>
      </c>
      <c r="AW379" s="17">
        <v>377</v>
      </c>
      <c r="AX379" s="6">
        <v>0.83779000000000003</v>
      </c>
      <c r="AY379" s="6">
        <v>1.9189000000000001</v>
      </c>
      <c r="AZ379" s="6">
        <v>0.80669999999999997</v>
      </c>
      <c r="BA379" s="6">
        <v>255</v>
      </c>
      <c r="BN379" s="17">
        <v>377</v>
      </c>
      <c r="BO379" s="6">
        <v>56.333700829999998</v>
      </c>
      <c r="BP379" s="6">
        <v>52.755677499999997</v>
      </c>
      <c r="BQ379" s="6">
        <v>3.5780233300000002</v>
      </c>
    </row>
    <row r="380" spans="1:69" x14ac:dyDescent="0.25">
      <c r="A380" s="31" t="s">
        <v>10</v>
      </c>
      <c r="B380" s="32">
        <v>2</v>
      </c>
      <c r="C380" s="32">
        <v>12</v>
      </c>
      <c r="D380" s="32">
        <v>6</v>
      </c>
      <c r="E380" s="32">
        <v>14</v>
      </c>
      <c r="F380" s="2">
        <v>57.4</v>
      </c>
      <c r="G380">
        <v>50.191903323262835</v>
      </c>
      <c r="H380" t="s">
        <v>12</v>
      </c>
      <c r="I380" t="s">
        <v>12</v>
      </c>
      <c r="AD380" s="17">
        <v>378</v>
      </c>
      <c r="AE380" s="6">
        <v>3.0585200000000001</v>
      </c>
      <c r="AF380" s="6">
        <v>9.0807000000000002</v>
      </c>
      <c r="AG380" s="6">
        <v>2.9449999999999998</v>
      </c>
      <c r="AH380" s="6">
        <v>255</v>
      </c>
      <c r="AJ380" s="17">
        <v>378</v>
      </c>
      <c r="AK380" s="6">
        <v>5.7996299999999996</v>
      </c>
      <c r="AL380" s="6">
        <v>9.0807000000000002</v>
      </c>
      <c r="AM380" s="6">
        <v>2.9449999999999998</v>
      </c>
      <c r="AN380" s="6">
        <v>255</v>
      </c>
      <c r="AQ380" s="17">
        <v>378</v>
      </c>
      <c r="AR380" s="6">
        <v>1.5929</v>
      </c>
      <c r="AS380" s="6">
        <v>1.4616</v>
      </c>
      <c r="AT380" s="6">
        <v>0.80889999999999995</v>
      </c>
      <c r="AU380" s="6">
        <v>255</v>
      </c>
      <c r="AW380" s="17">
        <v>378</v>
      </c>
      <c r="AX380" s="6">
        <v>0.84004000000000001</v>
      </c>
      <c r="AY380" s="6">
        <v>1.4616</v>
      </c>
      <c r="AZ380" s="6">
        <v>0.80889999999999995</v>
      </c>
      <c r="BA380" s="6">
        <v>255</v>
      </c>
      <c r="BN380" s="17">
        <v>378</v>
      </c>
      <c r="BO380" s="6">
        <v>48.025135949999999</v>
      </c>
      <c r="BP380" s="6">
        <v>46.739635890000002</v>
      </c>
      <c r="BQ380" s="6">
        <v>1.2855000599999999</v>
      </c>
    </row>
    <row r="381" spans="1:69" x14ac:dyDescent="0.25">
      <c r="A381" s="31" t="s">
        <v>10</v>
      </c>
      <c r="B381" s="32">
        <v>2</v>
      </c>
      <c r="C381" s="32">
        <v>11</v>
      </c>
      <c r="D381" s="32">
        <v>6</v>
      </c>
      <c r="E381" s="32">
        <v>1</v>
      </c>
      <c r="F381" s="2">
        <v>59.1</v>
      </c>
      <c r="G381">
        <v>68.463534743202416</v>
      </c>
      <c r="H381" t="s">
        <v>12</v>
      </c>
      <c r="I381" t="s">
        <v>12</v>
      </c>
      <c r="AD381" s="17">
        <v>379</v>
      </c>
      <c r="AE381" s="6">
        <v>3.0670099999999998</v>
      </c>
      <c r="AF381" s="6">
        <v>12.802</v>
      </c>
      <c r="AG381" s="6">
        <v>2.9531999999999998</v>
      </c>
      <c r="AH381" s="6">
        <v>255</v>
      </c>
      <c r="AJ381" s="17">
        <v>379</v>
      </c>
      <c r="AK381" s="6">
        <v>5.8157300000000003</v>
      </c>
      <c r="AL381" s="6">
        <v>12.802</v>
      </c>
      <c r="AM381" s="6">
        <v>2.9531999999999998</v>
      </c>
      <c r="AN381" s="6">
        <v>255</v>
      </c>
      <c r="AQ381" s="17">
        <v>379</v>
      </c>
      <c r="AR381" s="6">
        <v>1.6001799999999999</v>
      </c>
      <c r="AS381" s="6">
        <v>0.77759999999999996</v>
      </c>
      <c r="AT381" s="6">
        <v>0.81259999999999999</v>
      </c>
      <c r="AU381" s="6">
        <v>255</v>
      </c>
      <c r="AW381" s="17">
        <v>379</v>
      </c>
      <c r="AX381" s="6">
        <v>0.84387999999999996</v>
      </c>
      <c r="AY381" s="6">
        <v>0.77759999999999996</v>
      </c>
      <c r="AZ381" s="6">
        <v>0.81259999999999999</v>
      </c>
      <c r="BA381" s="6">
        <v>255</v>
      </c>
      <c r="BN381" s="17">
        <v>379</v>
      </c>
      <c r="BO381" s="6">
        <v>50.191903320000002</v>
      </c>
      <c r="BP381" s="6">
        <v>49.455830429999999</v>
      </c>
      <c r="BQ381" s="6">
        <v>0.73607288999999998</v>
      </c>
    </row>
    <row r="382" spans="1:69" x14ac:dyDescent="0.25">
      <c r="A382" s="31" t="s">
        <v>10</v>
      </c>
      <c r="B382" s="32">
        <v>2</v>
      </c>
      <c r="C382" s="32">
        <v>10</v>
      </c>
      <c r="D382" s="32">
        <v>6</v>
      </c>
      <c r="E382" s="32">
        <v>42</v>
      </c>
      <c r="F382" s="2">
        <v>57.8</v>
      </c>
      <c r="G382">
        <v>53.842792403970641</v>
      </c>
      <c r="H382" t="s">
        <v>12</v>
      </c>
      <c r="I382" t="s">
        <v>12</v>
      </c>
      <c r="AD382" s="17">
        <v>380</v>
      </c>
      <c r="AE382" s="6">
        <v>3.0539200000000002</v>
      </c>
      <c r="AF382" s="6">
        <v>21.306000000000001</v>
      </c>
      <c r="AG382" s="6">
        <v>2.9405999999999999</v>
      </c>
      <c r="AH382" s="6">
        <v>255</v>
      </c>
      <c r="AJ382" s="17">
        <v>380</v>
      </c>
      <c r="AK382" s="6">
        <v>5.7908999999999997</v>
      </c>
      <c r="AL382" s="6">
        <v>21.306000000000001</v>
      </c>
      <c r="AM382" s="6">
        <v>2.9405999999999999</v>
      </c>
      <c r="AN382" s="6">
        <v>255</v>
      </c>
      <c r="AQ382" s="17">
        <v>380</v>
      </c>
      <c r="AR382" s="6">
        <v>1.5991</v>
      </c>
      <c r="AS382" s="6">
        <v>3.6861999999999999</v>
      </c>
      <c r="AT382" s="6">
        <v>0.81200000000000006</v>
      </c>
      <c r="AU382" s="6">
        <v>255</v>
      </c>
      <c r="AW382" s="17">
        <v>380</v>
      </c>
      <c r="AX382" s="6">
        <v>0.84331</v>
      </c>
      <c r="AY382" s="6">
        <v>3.6861999999999999</v>
      </c>
      <c r="AZ382" s="6">
        <v>0.81200000000000006</v>
      </c>
      <c r="BA382" s="6">
        <v>255</v>
      </c>
      <c r="BN382" s="17">
        <v>380</v>
      </c>
      <c r="BO382" s="6">
        <v>68.46353474</v>
      </c>
      <c r="BP382" s="6">
        <v>65.548132749999994</v>
      </c>
      <c r="BQ382" s="6">
        <v>2.9154019899999999</v>
      </c>
    </row>
    <row r="383" spans="1:69" x14ac:dyDescent="0.25">
      <c r="A383" s="31" t="s">
        <v>10</v>
      </c>
      <c r="B383" s="32">
        <v>2</v>
      </c>
      <c r="C383" s="32">
        <v>9</v>
      </c>
      <c r="D383" s="32">
        <v>6</v>
      </c>
      <c r="E383" s="32">
        <v>7</v>
      </c>
      <c r="F383" s="2">
        <v>58</v>
      </c>
      <c r="G383">
        <v>51.121965904186439</v>
      </c>
      <c r="H383" t="s">
        <v>12</v>
      </c>
      <c r="I383" t="s">
        <v>12</v>
      </c>
      <c r="AD383" s="17">
        <v>381</v>
      </c>
      <c r="AE383" s="6">
        <v>3.0537299999999998</v>
      </c>
      <c r="AF383" s="6">
        <v>3.6532</v>
      </c>
      <c r="AG383" s="6">
        <v>2.9403999999999999</v>
      </c>
      <c r="AH383" s="6">
        <v>255</v>
      </c>
      <c r="AJ383" s="17">
        <v>381</v>
      </c>
      <c r="AK383" s="6">
        <v>5.7905499999999996</v>
      </c>
      <c r="AL383" s="6">
        <v>3.6532</v>
      </c>
      <c r="AM383" s="6">
        <v>2.9403999999999999</v>
      </c>
      <c r="AN383" s="6">
        <v>255</v>
      </c>
      <c r="AQ383" s="17">
        <v>381</v>
      </c>
      <c r="AR383" s="6">
        <v>1.5960099999999999</v>
      </c>
      <c r="AS383" s="6">
        <v>0.89170000000000005</v>
      </c>
      <c r="AT383" s="6">
        <v>0.81040000000000001</v>
      </c>
      <c r="AU383" s="6">
        <v>255</v>
      </c>
      <c r="AW383" s="17">
        <v>381</v>
      </c>
      <c r="AX383" s="6">
        <v>0.84167999999999998</v>
      </c>
      <c r="AY383" s="6">
        <v>0.89170000000000005</v>
      </c>
      <c r="AZ383" s="6">
        <v>0.81040000000000001</v>
      </c>
      <c r="BA383" s="6">
        <v>255</v>
      </c>
      <c r="BN383" s="17">
        <v>381</v>
      </c>
      <c r="BO383" s="6">
        <v>53.8427924</v>
      </c>
      <c r="BP383" s="6">
        <v>46.978794389999997</v>
      </c>
      <c r="BQ383" s="6">
        <v>6.8639980100000004</v>
      </c>
    </row>
    <row r="384" spans="1:69" x14ac:dyDescent="0.25">
      <c r="A384" s="31" t="s">
        <v>10</v>
      </c>
      <c r="B384" s="32">
        <v>2</v>
      </c>
      <c r="C384" s="32">
        <v>8</v>
      </c>
      <c r="D384" s="32">
        <v>6</v>
      </c>
      <c r="E384" s="32">
        <v>23</v>
      </c>
      <c r="F384" s="2">
        <v>56.4</v>
      </c>
      <c r="G384">
        <v>53.002054380664653</v>
      </c>
      <c r="H384" t="s">
        <v>12</v>
      </c>
      <c r="I384" t="s">
        <v>12</v>
      </c>
      <c r="AD384" s="17">
        <v>382</v>
      </c>
      <c r="AE384" s="6">
        <v>3.04982</v>
      </c>
      <c r="AF384" s="19">
        <v>-3.8435000000000001</v>
      </c>
      <c r="AG384" s="6">
        <v>2.9365999999999999</v>
      </c>
      <c r="AH384" s="6">
        <v>255</v>
      </c>
      <c r="AJ384" s="17">
        <v>382</v>
      </c>
      <c r="AK384" s="6">
        <v>5.7831400000000004</v>
      </c>
      <c r="AL384" s="19">
        <v>-3.8435000000000001</v>
      </c>
      <c r="AM384" s="6">
        <v>2.9365999999999999</v>
      </c>
      <c r="AN384" s="6">
        <v>255</v>
      </c>
      <c r="AQ384" s="17">
        <v>382</v>
      </c>
      <c r="AR384" s="6">
        <v>1.5940799999999999</v>
      </c>
      <c r="AS384" s="19">
        <v>-3.2218</v>
      </c>
      <c r="AT384" s="6">
        <v>0.8095</v>
      </c>
      <c r="AU384" s="6">
        <v>255</v>
      </c>
      <c r="AW384" s="17">
        <v>382</v>
      </c>
      <c r="AX384" s="6">
        <v>0.84065999999999996</v>
      </c>
      <c r="AY384" s="19">
        <v>-3.2218</v>
      </c>
      <c r="AZ384" s="6">
        <v>0.8095</v>
      </c>
      <c r="BA384" s="6">
        <v>255</v>
      </c>
      <c r="BN384" s="17">
        <v>382</v>
      </c>
      <c r="BO384" s="6">
        <v>51.121965899999999</v>
      </c>
      <c r="BP384" s="6">
        <v>43.405335790000002</v>
      </c>
      <c r="BQ384" s="6">
        <v>7.7166301099999997</v>
      </c>
    </row>
    <row r="385" spans="1:69" x14ac:dyDescent="0.25">
      <c r="A385" s="31" t="s">
        <v>10</v>
      </c>
      <c r="B385" s="32">
        <v>2</v>
      </c>
      <c r="C385" s="32">
        <v>7</v>
      </c>
      <c r="D385" s="32">
        <v>6</v>
      </c>
      <c r="E385" s="32">
        <v>57</v>
      </c>
      <c r="F385" s="2">
        <v>53.1</v>
      </c>
      <c r="G385">
        <v>41.908243418213203</v>
      </c>
      <c r="H385" t="s">
        <v>12</v>
      </c>
      <c r="I385" t="s">
        <v>12</v>
      </c>
      <c r="AD385" s="17">
        <v>383</v>
      </c>
      <c r="AE385" s="6">
        <v>3.0643600000000002</v>
      </c>
      <c r="AF385" s="6">
        <v>0.95909999999999995</v>
      </c>
      <c r="AG385" s="6">
        <v>2.9506000000000001</v>
      </c>
      <c r="AH385" s="6">
        <v>255</v>
      </c>
      <c r="AJ385" s="17">
        <v>383</v>
      </c>
      <c r="AK385" s="6">
        <v>5.8107100000000003</v>
      </c>
      <c r="AL385" s="6">
        <v>0.95909999999999995</v>
      </c>
      <c r="AM385" s="6">
        <v>2.9506000000000001</v>
      </c>
      <c r="AN385" s="6">
        <v>255</v>
      </c>
      <c r="AQ385" s="17">
        <v>383</v>
      </c>
      <c r="AR385" s="6">
        <v>1.62513</v>
      </c>
      <c r="AS385" s="19">
        <v>-0.64649999999999996</v>
      </c>
      <c r="AT385" s="6">
        <v>0.82520000000000004</v>
      </c>
      <c r="AU385" s="6">
        <v>255</v>
      </c>
      <c r="AW385" s="17">
        <v>383</v>
      </c>
      <c r="AX385" s="6">
        <v>0.85704000000000002</v>
      </c>
      <c r="AY385" s="19">
        <v>-0.64649999999999996</v>
      </c>
      <c r="AZ385" s="6">
        <v>0.82520000000000004</v>
      </c>
      <c r="BA385" s="6">
        <v>255</v>
      </c>
      <c r="BN385" s="17">
        <v>383</v>
      </c>
      <c r="BO385" s="6">
        <v>53.002054379999997</v>
      </c>
      <c r="BP385" s="6">
        <v>48.384802229999998</v>
      </c>
      <c r="BQ385" s="6">
        <v>4.6172521499999997</v>
      </c>
    </row>
    <row r="386" spans="1:69" x14ac:dyDescent="0.25">
      <c r="A386" s="31" t="s">
        <v>10</v>
      </c>
      <c r="B386" s="32">
        <v>2</v>
      </c>
      <c r="C386" s="32">
        <v>6</v>
      </c>
      <c r="D386" s="32">
        <v>6</v>
      </c>
      <c r="E386" s="32">
        <v>43</v>
      </c>
      <c r="F386" s="2">
        <v>58.5</v>
      </c>
      <c r="G386">
        <v>59.545402244281391</v>
      </c>
      <c r="H386" t="s">
        <v>12</v>
      </c>
      <c r="I386" t="s">
        <v>12</v>
      </c>
      <c r="AD386" s="17">
        <v>384</v>
      </c>
      <c r="AE386" s="6">
        <v>3.0541999999999998</v>
      </c>
      <c r="AF386" s="19">
        <v>-3.7403</v>
      </c>
      <c r="AG386" s="6">
        <v>2.9407999999999999</v>
      </c>
      <c r="AH386" s="6">
        <v>255</v>
      </c>
      <c r="AJ386" s="17">
        <v>384</v>
      </c>
      <c r="AK386" s="6">
        <v>5.7914399999999997</v>
      </c>
      <c r="AL386" s="19">
        <v>-3.7403</v>
      </c>
      <c r="AM386" s="6">
        <v>2.9407999999999999</v>
      </c>
      <c r="AN386" s="6">
        <v>255</v>
      </c>
      <c r="AQ386" s="17">
        <v>384</v>
      </c>
      <c r="AR386" s="6">
        <v>1.5980099999999999</v>
      </c>
      <c r="AS386" s="19">
        <v>-2.4994999999999998</v>
      </c>
      <c r="AT386" s="6">
        <v>0.8115</v>
      </c>
      <c r="AU386" s="6">
        <v>255</v>
      </c>
      <c r="AW386" s="17">
        <v>384</v>
      </c>
      <c r="AX386" s="6">
        <v>0.84274000000000004</v>
      </c>
      <c r="AY386" s="19">
        <v>-2.4994999999999998</v>
      </c>
      <c r="AZ386" s="6">
        <v>0.8115</v>
      </c>
      <c r="BA386" s="6">
        <v>255</v>
      </c>
      <c r="BN386" s="17">
        <v>384</v>
      </c>
      <c r="BO386" s="6">
        <v>41.908243419999998</v>
      </c>
      <c r="BP386" s="6">
        <v>40.225262579999999</v>
      </c>
      <c r="BQ386" s="6">
        <v>1.6829808399999999</v>
      </c>
    </row>
    <row r="387" spans="1:69" x14ac:dyDescent="0.25">
      <c r="A387" s="31" t="s">
        <v>10</v>
      </c>
      <c r="B387" s="32">
        <v>2</v>
      </c>
      <c r="C387" s="32">
        <v>5</v>
      </c>
      <c r="D387" s="32">
        <v>6</v>
      </c>
      <c r="E387" s="32">
        <v>28</v>
      </c>
      <c r="F387" s="2">
        <v>58.7</v>
      </c>
      <c r="G387">
        <v>59.252447129909349</v>
      </c>
      <c r="H387" t="s">
        <v>12</v>
      </c>
      <c r="I387" t="s">
        <v>12</v>
      </c>
      <c r="AD387" s="17">
        <v>385</v>
      </c>
      <c r="AE387" s="6">
        <v>3.0455399999999999</v>
      </c>
      <c r="AF387" s="19">
        <v>-3.8988</v>
      </c>
      <c r="AG387" s="6">
        <v>2.9325000000000001</v>
      </c>
      <c r="AH387" s="6">
        <v>255</v>
      </c>
      <c r="AJ387" s="17">
        <v>385</v>
      </c>
      <c r="AK387" s="6">
        <v>5.7750199999999996</v>
      </c>
      <c r="AL387" s="19">
        <v>-3.8988</v>
      </c>
      <c r="AM387" s="6">
        <v>2.9325000000000001</v>
      </c>
      <c r="AN387" s="6">
        <v>255</v>
      </c>
      <c r="AQ387" s="17">
        <v>385</v>
      </c>
      <c r="AR387" s="6">
        <v>1.60016</v>
      </c>
      <c r="AS387" s="19">
        <v>-2.7393000000000001</v>
      </c>
      <c r="AT387" s="6">
        <v>0.8125</v>
      </c>
      <c r="AU387" s="6">
        <v>255</v>
      </c>
      <c r="AW387" s="17">
        <v>385</v>
      </c>
      <c r="AX387" s="6">
        <v>0.84387000000000001</v>
      </c>
      <c r="AY387" s="19">
        <v>-2.7393000000000001</v>
      </c>
      <c r="AZ387" s="6">
        <v>0.8125</v>
      </c>
      <c r="BA387" s="6">
        <v>255</v>
      </c>
      <c r="BN387" s="17">
        <v>385</v>
      </c>
      <c r="BO387" s="6">
        <v>59.545402240000001</v>
      </c>
      <c r="BP387" s="6">
        <v>52.995790589999999</v>
      </c>
      <c r="BQ387" s="6">
        <v>6.5496116500000001</v>
      </c>
    </row>
    <row r="388" spans="1:69" x14ac:dyDescent="0.25">
      <c r="A388" s="31" t="s">
        <v>10</v>
      </c>
      <c r="B388" s="32">
        <v>2</v>
      </c>
      <c r="C388" s="32">
        <v>4</v>
      </c>
      <c r="D388" s="32">
        <v>6</v>
      </c>
      <c r="E388" s="32">
        <v>60</v>
      </c>
      <c r="F388" s="2">
        <v>54.6</v>
      </c>
      <c r="G388">
        <v>50.050807078118254</v>
      </c>
      <c r="H388" t="s">
        <v>12</v>
      </c>
      <c r="I388" t="s">
        <v>12</v>
      </c>
      <c r="AD388" s="17">
        <v>386</v>
      </c>
      <c r="AE388" s="6">
        <v>3.0562</v>
      </c>
      <c r="AF388" s="19">
        <v>-4.3032000000000004</v>
      </c>
      <c r="AG388" s="6">
        <v>2.9428000000000001</v>
      </c>
      <c r="AH388" s="6">
        <v>255</v>
      </c>
      <c r="AJ388" s="17">
        <v>386</v>
      </c>
      <c r="AK388" s="6">
        <v>5.7952199999999996</v>
      </c>
      <c r="AL388" s="19">
        <v>-4.3032000000000004</v>
      </c>
      <c r="AM388" s="6">
        <v>2.9428000000000001</v>
      </c>
      <c r="AN388" s="6">
        <v>255</v>
      </c>
      <c r="AQ388" s="17">
        <v>386</v>
      </c>
      <c r="AR388" s="6">
        <v>1.5990200000000001</v>
      </c>
      <c r="AS388" s="19">
        <v>-0.4723</v>
      </c>
      <c r="AT388" s="6">
        <v>0.81200000000000006</v>
      </c>
      <c r="AU388" s="6">
        <v>255</v>
      </c>
      <c r="AW388" s="17">
        <v>386</v>
      </c>
      <c r="AX388" s="6">
        <v>0.84326999999999996</v>
      </c>
      <c r="AY388" s="19">
        <v>-0.4723</v>
      </c>
      <c r="AZ388" s="6">
        <v>0.81200000000000006</v>
      </c>
      <c r="BA388" s="6">
        <v>255</v>
      </c>
      <c r="BN388" s="17">
        <v>386</v>
      </c>
      <c r="BO388" s="6">
        <v>59.25244713</v>
      </c>
      <c r="BP388" s="6">
        <v>52.248937249999997</v>
      </c>
      <c r="BQ388" s="6">
        <v>7.0035098800000002</v>
      </c>
    </row>
    <row r="389" spans="1:69" x14ac:dyDescent="0.25">
      <c r="A389" s="31" t="s">
        <v>10</v>
      </c>
      <c r="B389" s="32">
        <v>2</v>
      </c>
      <c r="C389" s="32">
        <v>3</v>
      </c>
      <c r="D389" s="32">
        <v>6</v>
      </c>
      <c r="E389" s="32">
        <v>16</v>
      </c>
      <c r="F389" s="2">
        <v>58.7</v>
      </c>
      <c r="G389">
        <v>56.29963314630988</v>
      </c>
      <c r="H389" t="s">
        <v>12</v>
      </c>
      <c r="I389" t="s">
        <v>12</v>
      </c>
      <c r="AD389" s="17">
        <v>387</v>
      </c>
      <c r="AE389" s="6">
        <v>3.06365</v>
      </c>
      <c r="AF389" s="19">
        <v>-2.8723999999999998</v>
      </c>
      <c r="AG389" s="6">
        <v>2.9499</v>
      </c>
      <c r="AH389" s="6">
        <v>255</v>
      </c>
      <c r="AJ389" s="17">
        <v>387</v>
      </c>
      <c r="AK389" s="6">
        <v>5.8093599999999999</v>
      </c>
      <c r="AL389" s="19">
        <v>-2.8723999999999998</v>
      </c>
      <c r="AM389" s="6">
        <v>2.9499</v>
      </c>
      <c r="AN389" s="6">
        <v>255</v>
      </c>
      <c r="AQ389" s="17">
        <v>387</v>
      </c>
      <c r="AR389" s="6">
        <v>1.6040300000000001</v>
      </c>
      <c r="AS389" s="19">
        <v>-2.0941000000000001</v>
      </c>
      <c r="AT389" s="6">
        <v>0.8145</v>
      </c>
      <c r="AU389" s="6">
        <v>255</v>
      </c>
      <c r="AW389" s="17">
        <v>387</v>
      </c>
      <c r="AX389" s="6">
        <v>0.84591000000000005</v>
      </c>
      <c r="AY389" s="19">
        <v>-2.0941000000000001</v>
      </c>
      <c r="AZ389" s="6">
        <v>0.8145</v>
      </c>
      <c r="BA389" s="6">
        <v>255</v>
      </c>
      <c r="BN389" s="17">
        <v>387</v>
      </c>
      <c r="BO389" s="6">
        <v>50.050807079999998</v>
      </c>
      <c r="BP389" s="6">
        <v>47.046173629999998</v>
      </c>
      <c r="BQ389" s="6">
        <v>3.00463345</v>
      </c>
    </row>
    <row r="390" spans="1:69" x14ac:dyDescent="0.25">
      <c r="A390" s="31" t="s">
        <v>10</v>
      </c>
      <c r="B390" s="32">
        <v>2</v>
      </c>
      <c r="C390" s="32">
        <v>2</v>
      </c>
      <c r="D390" s="32">
        <v>6</v>
      </c>
      <c r="E390" s="32">
        <v>3</v>
      </c>
      <c r="F390" s="2">
        <v>58</v>
      </c>
      <c r="G390">
        <v>48.784738886491148</v>
      </c>
      <c r="H390" t="s">
        <v>12</v>
      </c>
      <c r="I390" t="s">
        <v>12</v>
      </c>
      <c r="AD390" s="17">
        <v>388</v>
      </c>
      <c r="AE390" s="6">
        <v>3.0455100000000002</v>
      </c>
      <c r="AF390" s="19">
        <v>-1.6637999999999999</v>
      </c>
      <c r="AG390" s="6">
        <v>2.9325000000000001</v>
      </c>
      <c r="AH390" s="6">
        <v>255</v>
      </c>
      <c r="AJ390" s="17">
        <v>388</v>
      </c>
      <c r="AK390" s="6">
        <v>5.7749699999999997</v>
      </c>
      <c r="AL390" s="19">
        <v>-1.6637999999999999</v>
      </c>
      <c r="AM390" s="6">
        <v>2.9325000000000001</v>
      </c>
      <c r="AN390" s="6">
        <v>255</v>
      </c>
      <c r="AQ390" s="17">
        <v>388</v>
      </c>
      <c r="AR390" s="6">
        <v>1.5954999999999999</v>
      </c>
      <c r="AS390" s="19">
        <v>-0.5917</v>
      </c>
      <c r="AT390" s="6">
        <v>0.81020000000000003</v>
      </c>
      <c r="AU390" s="6">
        <v>255</v>
      </c>
      <c r="AW390" s="17">
        <v>388</v>
      </c>
      <c r="AX390" s="6">
        <v>0.84140999999999999</v>
      </c>
      <c r="AY390" s="19">
        <v>-0.5917</v>
      </c>
      <c r="AZ390" s="6">
        <v>0.81020000000000003</v>
      </c>
      <c r="BA390" s="6">
        <v>255</v>
      </c>
      <c r="BN390" s="17">
        <v>388</v>
      </c>
      <c r="BO390" s="6">
        <v>56.299633149999998</v>
      </c>
      <c r="BP390" s="6">
        <v>62.730977500000002</v>
      </c>
      <c r="BQ390" s="19">
        <v>-6.4313443499999998</v>
      </c>
    </row>
    <row r="391" spans="1:69" x14ac:dyDescent="0.25">
      <c r="A391" s="31" t="s">
        <v>10</v>
      </c>
      <c r="B391" s="32">
        <v>2</v>
      </c>
      <c r="C391" s="32">
        <v>1</v>
      </c>
      <c r="D391" s="32">
        <v>6</v>
      </c>
      <c r="E391" s="32">
        <v>26</v>
      </c>
      <c r="F391" s="2">
        <v>55.2</v>
      </c>
      <c r="G391">
        <v>49.667112645662492</v>
      </c>
      <c r="H391" t="s">
        <v>12</v>
      </c>
      <c r="I391" t="s">
        <v>12</v>
      </c>
      <c r="AD391" s="17">
        <v>389</v>
      </c>
      <c r="AE391" s="6">
        <v>3.0532400000000002</v>
      </c>
      <c r="AF391" s="6">
        <v>2.4346999999999999</v>
      </c>
      <c r="AG391" s="6">
        <v>2.9399000000000002</v>
      </c>
      <c r="AH391" s="6">
        <v>255</v>
      </c>
      <c r="AJ391" s="17">
        <v>389</v>
      </c>
      <c r="AK391" s="6">
        <v>5.7896200000000002</v>
      </c>
      <c r="AL391" s="6">
        <v>2.4346999999999999</v>
      </c>
      <c r="AM391" s="6">
        <v>2.9399000000000002</v>
      </c>
      <c r="AN391" s="6">
        <v>255</v>
      </c>
      <c r="AQ391" s="17">
        <v>389</v>
      </c>
      <c r="AR391" s="6">
        <v>1.6066400000000001</v>
      </c>
      <c r="AS391" s="19">
        <v>-0.20449999999999999</v>
      </c>
      <c r="AT391" s="6">
        <v>0.81579999999999997</v>
      </c>
      <c r="AU391" s="6">
        <v>255</v>
      </c>
      <c r="AW391" s="17">
        <v>389</v>
      </c>
      <c r="AX391" s="6">
        <v>0.84728000000000003</v>
      </c>
      <c r="AY391" s="19">
        <v>-0.20449999999999999</v>
      </c>
      <c r="AZ391" s="6">
        <v>0.81579999999999997</v>
      </c>
      <c r="BA391" s="6">
        <v>255</v>
      </c>
      <c r="BN391" s="17">
        <v>389</v>
      </c>
      <c r="BO391" s="6">
        <v>48.78473889</v>
      </c>
      <c r="BP391" s="6">
        <v>59.565946799999999</v>
      </c>
      <c r="BQ391" s="19">
        <v>-10.781207909999999</v>
      </c>
    </row>
    <row r="392" spans="1:69" x14ac:dyDescent="0.25">
      <c r="A392" s="31" t="s">
        <v>10</v>
      </c>
      <c r="B392" s="32">
        <v>2</v>
      </c>
      <c r="C392" s="32">
        <v>1</v>
      </c>
      <c r="D392" s="32">
        <v>7</v>
      </c>
      <c r="E392" s="32">
        <v>2</v>
      </c>
      <c r="F392" s="2">
        <v>59.3</v>
      </c>
      <c r="G392">
        <v>56.645465004793863</v>
      </c>
      <c r="H392" t="s">
        <v>12</v>
      </c>
      <c r="I392" t="s">
        <v>12</v>
      </c>
      <c r="AD392" s="17">
        <v>390</v>
      </c>
      <c r="AE392" s="6">
        <v>3.0403699999999998</v>
      </c>
      <c r="AF392" s="19">
        <v>-1.3213999999999999</v>
      </c>
      <c r="AG392" s="6">
        <v>2.9275000000000002</v>
      </c>
      <c r="AH392" s="6">
        <v>255</v>
      </c>
      <c r="AJ392" s="17">
        <v>390</v>
      </c>
      <c r="AK392" s="6">
        <v>5.7652200000000002</v>
      </c>
      <c r="AL392" s="19">
        <v>-1.3213999999999999</v>
      </c>
      <c r="AM392" s="6">
        <v>2.9275000000000002</v>
      </c>
      <c r="AN392" s="6">
        <v>255</v>
      </c>
      <c r="AQ392" s="17">
        <v>390</v>
      </c>
      <c r="AR392" s="6">
        <v>1.5863400000000001</v>
      </c>
      <c r="AS392" s="19">
        <v>-0.12939999999999999</v>
      </c>
      <c r="AT392" s="6">
        <v>0.80549999999999999</v>
      </c>
      <c r="AU392" s="6">
        <v>255</v>
      </c>
      <c r="AW392" s="17">
        <v>390</v>
      </c>
      <c r="AX392" s="6">
        <v>0.83657999999999999</v>
      </c>
      <c r="AY392" s="19">
        <v>-0.12939999999999999</v>
      </c>
      <c r="AZ392" s="6">
        <v>0.80549999999999999</v>
      </c>
      <c r="BA392" s="6">
        <v>255</v>
      </c>
      <c r="BN392" s="17">
        <v>390</v>
      </c>
      <c r="BO392" s="6">
        <v>49.66711265</v>
      </c>
      <c r="BP392" s="6">
        <v>59.096264089999998</v>
      </c>
      <c r="BQ392" s="19">
        <v>-9.4291514400000001</v>
      </c>
    </row>
    <row r="393" spans="1:69" x14ac:dyDescent="0.25">
      <c r="A393" s="31" t="s">
        <v>10</v>
      </c>
      <c r="B393" s="32">
        <v>2</v>
      </c>
      <c r="C393" s="32">
        <v>2</v>
      </c>
      <c r="D393" s="32">
        <v>7</v>
      </c>
      <c r="E393" s="32">
        <v>46</v>
      </c>
      <c r="F393" s="2">
        <v>56.5</v>
      </c>
      <c r="G393">
        <v>43.945843720038361</v>
      </c>
      <c r="H393" t="s">
        <v>12</v>
      </c>
      <c r="I393" t="s">
        <v>12</v>
      </c>
      <c r="AD393" s="17">
        <v>391</v>
      </c>
      <c r="AE393" s="6">
        <v>3.0558200000000002</v>
      </c>
      <c r="AF393" s="19">
        <v>-4.8418000000000001</v>
      </c>
      <c r="AG393" s="6">
        <v>2.9424000000000001</v>
      </c>
      <c r="AH393" s="6">
        <v>255</v>
      </c>
      <c r="AJ393" s="17">
        <v>391</v>
      </c>
      <c r="AK393" s="6">
        <v>5.7945200000000003</v>
      </c>
      <c r="AL393" s="19">
        <v>-4.8418000000000001</v>
      </c>
      <c r="AM393" s="6">
        <v>2.9424000000000001</v>
      </c>
      <c r="AN393" s="6">
        <v>255</v>
      </c>
      <c r="AQ393" s="17">
        <v>391</v>
      </c>
      <c r="AR393" s="6">
        <v>1.5971500000000001</v>
      </c>
      <c r="AS393" s="19">
        <v>-2.0741999999999998</v>
      </c>
      <c r="AT393" s="6">
        <v>0.81100000000000005</v>
      </c>
      <c r="AU393" s="6">
        <v>255</v>
      </c>
      <c r="AW393" s="17">
        <v>391</v>
      </c>
      <c r="AX393" s="6">
        <v>0.84228000000000003</v>
      </c>
      <c r="AY393" s="19">
        <v>-2.0741999999999998</v>
      </c>
      <c r="AZ393" s="6">
        <v>0.81100000000000005</v>
      </c>
      <c r="BA393" s="6">
        <v>255</v>
      </c>
      <c r="BN393" s="17">
        <v>391</v>
      </c>
      <c r="BO393" s="6">
        <v>56.645465000000002</v>
      </c>
      <c r="BP393" s="6">
        <v>58.069574850000002</v>
      </c>
      <c r="BQ393" s="19">
        <v>-1.42410985</v>
      </c>
    </row>
    <row r="394" spans="1:69" x14ac:dyDescent="0.25">
      <c r="A394" s="31" t="s">
        <v>10</v>
      </c>
      <c r="B394" s="32">
        <v>2</v>
      </c>
      <c r="C394" s="32">
        <v>3</v>
      </c>
      <c r="D394" s="32">
        <v>7</v>
      </c>
      <c r="E394" s="32">
        <v>48</v>
      </c>
      <c r="F394" s="2">
        <v>55.9</v>
      </c>
      <c r="G394">
        <v>47.509407094918494</v>
      </c>
      <c r="H394" t="s">
        <v>12</v>
      </c>
      <c r="I394" t="s">
        <v>12</v>
      </c>
      <c r="AD394" s="17">
        <v>392</v>
      </c>
      <c r="AE394" s="6">
        <v>3.0576300000000001</v>
      </c>
      <c r="AF394" s="19">
        <v>-4.5134999999999996</v>
      </c>
      <c r="AG394" s="6">
        <v>2.9441000000000002</v>
      </c>
      <c r="AH394" s="6">
        <v>255</v>
      </c>
      <c r="AJ394" s="17">
        <v>392</v>
      </c>
      <c r="AK394" s="6">
        <v>5.7979399999999996</v>
      </c>
      <c r="AL394" s="19">
        <v>-4.5134999999999996</v>
      </c>
      <c r="AM394" s="6">
        <v>2.9441000000000002</v>
      </c>
      <c r="AN394" s="6">
        <v>255</v>
      </c>
      <c r="AQ394" s="17">
        <v>392</v>
      </c>
      <c r="AR394" s="6">
        <v>1.5995699999999999</v>
      </c>
      <c r="AS394" s="19">
        <v>-1.232</v>
      </c>
      <c r="AT394" s="6">
        <v>0.81220000000000003</v>
      </c>
      <c r="AU394" s="6">
        <v>255</v>
      </c>
      <c r="AW394" s="17">
        <v>392</v>
      </c>
      <c r="AX394" s="6">
        <v>0.84355999999999998</v>
      </c>
      <c r="AY394" s="19">
        <v>-1.232</v>
      </c>
      <c r="AZ394" s="6">
        <v>0.81220000000000003</v>
      </c>
      <c r="BA394" s="6">
        <v>255</v>
      </c>
      <c r="BN394" s="17">
        <v>392</v>
      </c>
      <c r="BO394" s="6">
        <v>43.945843719999999</v>
      </c>
      <c r="BP394" s="6">
        <v>55.259223980000002</v>
      </c>
      <c r="BQ394" s="19">
        <v>-11.313380260000001</v>
      </c>
    </row>
    <row r="395" spans="1:69" x14ac:dyDescent="0.25">
      <c r="A395" s="31" t="s">
        <v>10</v>
      </c>
      <c r="B395" s="32">
        <v>2</v>
      </c>
      <c r="C395" s="32">
        <v>4</v>
      </c>
      <c r="D395" s="32">
        <v>7</v>
      </c>
      <c r="E395" s="32">
        <v>32</v>
      </c>
      <c r="F395" s="2">
        <v>59.5</v>
      </c>
      <c r="G395">
        <v>60.150805369127511</v>
      </c>
      <c r="H395" t="s">
        <v>12</v>
      </c>
      <c r="I395" t="s">
        <v>12</v>
      </c>
      <c r="AD395" s="17">
        <v>393</v>
      </c>
      <c r="AE395" s="6">
        <v>3.0484900000000001</v>
      </c>
      <c r="AF395" s="19">
        <v>-1.9954000000000001</v>
      </c>
      <c r="AG395" s="6">
        <v>2.9352999999999998</v>
      </c>
      <c r="AH395" s="6">
        <v>255</v>
      </c>
      <c r="AJ395" s="17">
        <v>393</v>
      </c>
      <c r="AK395" s="6">
        <v>5.7805999999999997</v>
      </c>
      <c r="AL395" s="19">
        <v>-1.9954000000000001</v>
      </c>
      <c r="AM395" s="6">
        <v>2.9352999999999998</v>
      </c>
      <c r="AN395" s="6">
        <v>255</v>
      </c>
      <c r="AQ395" s="17">
        <v>393</v>
      </c>
      <c r="AR395" s="6">
        <v>1.5934600000000001</v>
      </c>
      <c r="AS395" s="19">
        <v>-2.9009999999999998</v>
      </c>
      <c r="AT395" s="6">
        <v>0.80910000000000004</v>
      </c>
      <c r="AU395" s="6">
        <v>255</v>
      </c>
      <c r="AW395" s="17">
        <v>393</v>
      </c>
      <c r="AX395" s="6">
        <v>0.84033000000000002</v>
      </c>
      <c r="AY395" s="19">
        <v>-2.9009999999999998</v>
      </c>
      <c r="AZ395" s="6">
        <v>0.80910000000000004</v>
      </c>
      <c r="BA395" s="6">
        <v>255</v>
      </c>
      <c r="BN395" s="17">
        <v>393</v>
      </c>
      <c r="BO395" s="6">
        <v>47.509407090000003</v>
      </c>
      <c r="BP395" s="6">
        <v>44.447083550000002</v>
      </c>
      <c r="BQ395" s="6">
        <v>3.06232354</v>
      </c>
    </row>
    <row r="396" spans="1:69" x14ac:dyDescent="0.25">
      <c r="A396" s="31" t="s">
        <v>10</v>
      </c>
      <c r="B396" s="32">
        <v>2</v>
      </c>
      <c r="C396" s="32">
        <v>5</v>
      </c>
      <c r="D396" s="32">
        <v>7</v>
      </c>
      <c r="E396" s="32">
        <v>44</v>
      </c>
      <c r="F396" s="2">
        <v>59.7</v>
      </c>
      <c r="G396">
        <v>55.00238772770853</v>
      </c>
      <c r="H396" t="s">
        <v>12</v>
      </c>
      <c r="I396" t="s">
        <v>12</v>
      </c>
      <c r="AD396" s="17">
        <v>394</v>
      </c>
      <c r="AE396" s="6">
        <v>3.0461900000000002</v>
      </c>
      <c r="AF396" s="19">
        <v>-0.31719999999999998</v>
      </c>
      <c r="AG396" s="6">
        <v>2.9331</v>
      </c>
      <c r="AH396" s="6">
        <v>255</v>
      </c>
      <c r="AJ396" s="17">
        <v>394</v>
      </c>
      <c r="AK396" s="6">
        <v>5.7762500000000001</v>
      </c>
      <c r="AL396" s="19">
        <v>-0.31719999999999998</v>
      </c>
      <c r="AM396" s="6">
        <v>2.9331</v>
      </c>
      <c r="AN396" s="6">
        <v>255</v>
      </c>
      <c r="AQ396" s="17">
        <v>394</v>
      </c>
      <c r="AR396" s="6">
        <v>1.6056900000000001</v>
      </c>
      <c r="AS396" s="19">
        <v>-2.5202</v>
      </c>
      <c r="AT396" s="6">
        <v>0.81540000000000001</v>
      </c>
      <c r="AU396" s="6">
        <v>255</v>
      </c>
      <c r="AW396" s="17">
        <v>394</v>
      </c>
      <c r="AX396" s="6">
        <v>0.84677999999999998</v>
      </c>
      <c r="AY396" s="19">
        <v>-2.5202</v>
      </c>
      <c r="AZ396" s="6">
        <v>0.81540000000000001</v>
      </c>
      <c r="BA396" s="6">
        <v>255</v>
      </c>
      <c r="BN396" s="17">
        <v>394</v>
      </c>
      <c r="BO396" s="6">
        <v>60.15080537</v>
      </c>
      <c r="BP396" s="6">
        <v>52.159542100000003</v>
      </c>
      <c r="BQ396" s="6">
        <v>7.9912632700000001</v>
      </c>
    </row>
    <row r="397" spans="1:69" x14ac:dyDescent="0.25">
      <c r="A397" s="31" t="s">
        <v>10</v>
      </c>
      <c r="B397" s="32">
        <v>2</v>
      </c>
      <c r="C397" s="32">
        <v>6</v>
      </c>
      <c r="D397" s="32">
        <v>7</v>
      </c>
      <c r="E397" s="32">
        <v>15</v>
      </c>
      <c r="F397" s="2">
        <v>57.1</v>
      </c>
      <c r="G397">
        <v>55.927558389261726</v>
      </c>
      <c r="H397" t="s">
        <v>12</v>
      </c>
      <c r="I397" t="s">
        <v>12</v>
      </c>
      <c r="AD397" s="17">
        <v>395</v>
      </c>
      <c r="AE397" s="6">
        <v>3.0511200000000001</v>
      </c>
      <c r="AF397" s="19">
        <v>-2.7993999999999999</v>
      </c>
      <c r="AG397" s="6">
        <v>2.9379</v>
      </c>
      <c r="AH397" s="6">
        <v>255</v>
      </c>
      <c r="AJ397" s="17">
        <v>395</v>
      </c>
      <c r="AK397" s="6">
        <v>5.7855999999999996</v>
      </c>
      <c r="AL397" s="19">
        <v>-2.7993999999999999</v>
      </c>
      <c r="AM397" s="6">
        <v>2.9379</v>
      </c>
      <c r="AN397" s="6">
        <v>255</v>
      </c>
      <c r="AQ397" s="17">
        <v>395</v>
      </c>
      <c r="AR397" s="6">
        <v>1.6237200000000001</v>
      </c>
      <c r="AS397" s="19">
        <v>-1.1416999999999999</v>
      </c>
      <c r="AT397" s="6">
        <v>0.82450000000000001</v>
      </c>
      <c r="AU397" s="6">
        <v>255</v>
      </c>
      <c r="AW397" s="17">
        <v>395</v>
      </c>
      <c r="AX397" s="6">
        <v>0.85629</v>
      </c>
      <c r="AY397" s="19">
        <v>-1.1416999999999999</v>
      </c>
      <c r="AZ397" s="6">
        <v>0.82450000000000001</v>
      </c>
      <c r="BA397" s="6">
        <v>255</v>
      </c>
      <c r="BN397" s="17">
        <v>395</v>
      </c>
      <c r="BO397" s="6">
        <v>55.002387730000002</v>
      </c>
      <c r="BP397" s="6">
        <v>50.053421399999998</v>
      </c>
      <c r="BQ397" s="6">
        <v>4.9489663300000002</v>
      </c>
    </row>
    <row r="398" spans="1:69" x14ac:dyDescent="0.25">
      <c r="A398" s="31" t="s">
        <v>10</v>
      </c>
      <c r="B398" s="32">
        <v>2</v>
      </c>
      <c r="C398" s="32">
        <v>7</v>
      </c>
      <c r="D398" s="32">
        <v>7</v>
      </c>
      <c r="E398" s="32">
        <v>9</v>
      </c>
      <c r="F398" s="2">
        <v>54.5</v>
      </c>
      <c r="G398">
        <v>46.977208533077665</v>
      </c>
      <c r="H398" t="s">
        <v>12</v>
      </c>
      <c r="I398" t="s">
        <v>12</v>
      </c>
      <c r="AD398" s="17">
        <v>396</v>
      </c>
      <c r="AE398" s="6">
        <v>3.0592600000000001</v>
      </c>
      <c r="AF398" s="19">
        <v>-0.83909999999999996</v>
      </c>
      <c r="AG398" s="6">
        <v>2.9457</v>
      </c>
      <c r="AH398" s="6">
        <v>255</v>
      </c>
      <c r="AJ398" s="17">
        <v>396</v>
      </c>
      <c r="AK398" s="6">
        <v>5.8010299999999999</v>
      </c>
      <c r="AL398" s="19">
        <v>-0.83909999999999996</v>
      </c>
      <c r="AM398" s="6">
        <v>2.9457</v>
      </c>
      <c r="AN398" s="6">
        <v>255</v>
      </c>
      <c r="AQ398" s="17">
        <v>396</v>
      </c>
      <c r="AR398" s="6">
        <v>1.60005</v>
      </c>
      <c r="AS398" s="19">
        <v>-1.2307999999999999</v>
      </c>
      <c r="AT398" s="6">
        <v>0.8125</v>
      </c>
      <c r="AU398" s="6">
        <v>255</v>
      </c>
      <c r="AW398" s="17">
        <v>396</v>
      </c>
      <c r="AX398" s="6">
        <v>0.84380999999999995</v>
      </c>
      <c r="AY398" s="19">
        <v>-1.2307999999999999</v>
      </c>
      <c r="AZ398" s="6">
        <v>0.8125</v>
      </c>
      <c r="BA398" s="6">
        <v>255</v>
      </c>
      <c r="BN398" s="17">
        <v>396</v>
      </c>
      <c r="BO398" s="6">
        <v>55.927558390000002</v>
      </c>
      <c r="BP398" s="6">
        <v>55.272847689999999</v>
      </c>
      <c r="BQ398" s="6">
        <v>0.65471069999999998</v>
      </c>
    </row>
    <row r="399" spans="1:69" x14ac:dyDescent="0.25">
      <c r="A399" s="31" t="s">
        <v>10</v>
      </c>
      <c r="B399" s="32">
        <v>2</v>
      </c>
      <c r="C399" s="32">
        <v>8</v>
      </c>
      <c r="D399" s="32">
        <v>7</v>
      </c>
      <c r="E399" s="32">
        <v>18</v>
      </c>
      <c r="F399" s="2">
        <v>54.6</v>
      </c>
      <c r="G399">
        <v>45.093503355704691</v>
      </c>
      <c r="H399" t="s">
        <v>12</v>
      </c>
      <c r="I399" t="s">
        <v>12</v>
      </c>
      <c r="AD399" s="17">
        <v>397</v>
      </c>
      <c r="AE399" s="6">
        <v>3.0536599999999998</v>
      </c>
      <c r="AF399" s="19">
        <v>-8.9052000000000007</v>
      </c>
      <c r="AG399" s="6">
        <v>2.9403000000000001</v>
      </c>
      <c r="AH399" s="6">
        <v>255</v>
      </c>
      <c r="AJ399" s="17">
        <v>397</v>
      </c>
      <c r="AK399" s="6">
        <v>5.7904099999999996</v>
      </c>
      <c r="AL399" s="19">
        <v>-8.9052000000000007</v>
      </c>
      <c r="AM399" s="6">
        <v>2.9403000000000001</v>
      </c>
      <c r="AN399" s="6">
        <v>255</v>
      </c>
      <c r="AQ399" s="17">
        <v>397</v>
      </c>
      <c r="AR399" s="6">
        <v>1.59857</v>
      </c>
      <c r="AS399" s="19">
        <v>-1.6417999999999999</v>
      </c>
      <c r="AT399" s="6">
        <v>0.81169999999999998</v>
      </c>
      <c r="AU399" s="6">
        <v>255</v>
      </c>
      <c r="AW399" s="17">
        <v>397</v>
      </c>
      <c r="AX399" s="6">
        <v>0.84302999999999995</v>
      </c>
      <c r="AY399" s="19">
        <v>-1.6417999999999999</v>
      </c>
      <c r="AZ399" s="6">
        <v>0.81169999999999998</v>
      </c>
      <c r="BA399" s="6">
        <v>255</v>
      </c>
      <c r="BN399" s="17">
        <v>397</v>
      </c>
      <c r="BO399" s="6">
        <v>46.977208529999999</v>
      </c>
      <c r="BP399" s="6">
        <v>51.588597120000003</v>
      </c>
      <c r="BQ399" s="19">
        <v>-4.6113885899999998</v>
      </c>
    </row>
    <row r="400" spans="1:69" x14ac:dyDescent="0.25">
      <c r="A400" s="31" t="s">
        <v>10</v>
      </c>
      <c r="B400" s="32">
        <v>2</v>
      </c>
      <c r="C400" s="32">
        <v>9</v>
      </c>
      <c r="D400" s="32">
        <v>7</v>
      </c>
      <c r="E400" s="32">
        <v>41</v>
      </c>
      <c r="F400" s="2">
        <v>57.5</v>
      </c>
      <c r="G400">
        <v>47.604762224352832</v>
      </c>
      <c r="H400" t="s">
        <v>12</v>
      </c>
      <c r="I400" t="s">
        <v>12</v>
      </c>
      <c r="AD400" s="17">
        <v>398</v>
      </c>
      <c r="AE400" s="6">
        <v>3.0617999999999999</v>
      </c>
      <c r="AF400" s="19">
        <v>-3.8624000000000001</v>
      </c>
      <c r="AG400" s="6">
        <v>2.9481999999999999</v>
      </c>
      <c r="AH400" s="6">
        <v>255</v>
      </c>
      <c r="AJ400" s="17">
        <v>398</v>
      </c>
      <c r="AK400" s="6">
        <v>5.8058500000000004</v>
      </c>
      <c r="AL400" s="19">
        <v>-3.8624000000000001</v>
      </c>
      <c r="AM400" s="6">
        <v>2.9481999999999999</v>
      </c>
      <c r="AN400" s="6">
        <v>255</v>
      </c>
      <c r="AQ400" s="17">
        <v>398</v>
      </c>
      <c r="AR400" s="6">
        <v>1.5987800000000001</v>
      </c>
      <c r="AS400" s="19">
        <v>-1.3694</v>
      </c>
      <c r="AT400" s="6">
        <v>0.81179999999999997</v>
      </c>
      <c r="AU400" s="6">
        <v>255</v>
      </c>
      <c r="AW400" s="17">
        <v>398</v>
      </c>
      <c r="AX400" s="6">
        <v>0.84314</v>
      </c>
      <c r="AY400" s="19">
        <v>-1.3694</v>
      </c>
      <c r="AZ400" s="6">
        <v>0.81179999999999997</v>
      </c>
      <c r="BA400" s="6">
        <v>255</v>
      </c>
      <c r="BN400" s="17">
        <v>398</v>
      </c>
      <c r="BO400" s="6">
        <v>45.09350336</v>
      </c>
      <c r="BP400" s="6">
        <v>52.818782370000001</v>
      </c>
      <c r="BQ400" s="19">
        <v>-7.7252790100000004</v>
      </c>
    </row>
    <row r="401" spans="1:69" x14ac:dyDescent="0.25">
      <c r="A401" s="31" t="s">
        <v>10</v>
      </c>
      <c r="B401" s="32">
        <v>2</v>
      </c>
      <c r="C401" s="32">
        <v>10</v>
      </c>
      <c r="D401" s="32">
        <v>7</v>
      </c>
      <c r="E401" s="32">
        <v>10</v>
      </c>
      <c r="F401" s="2">
        <v>52</v>
      </c>
      <c r="G401">
        <v>40.917943432406517</v>
      </c>
      <c r="H401" t="s">
        <v>12</v>
      </c>
      <c r="I401" t="s">
        <v>12</v>
      </c>
      <c r="AD401" s="17">
        <v>399</v>
      </c>
      <c r="AE401" s="6">
        <v>3.0590700000000002</v>
      </c>
      <c r="AF401" s="19">
        <v>-1.3851</v>
      </c>
      <c r="AG401" s="6">
        <v>2.9455</v>
      </c>
      <c r="AH401" s="6">
        <v>255</v>
      </c>
      <c r="AJ401" s="17">
        <v>399</v>
      </c>
      <c r="AK401" s="6">
        <v>5.8006700000000002</v>
      </c>
      <c r="AL401" s="19">
        <v>-1.3851</v>
      </c>
      <c r="AM401" s="6">
        <v>2.9455</v>
      </c>
      <c r="AN401" s="6">
        <v>255</v>
      </c>
      <c r="AQ401" s="17">
        <v>399</v>
      </c>
      <c r="AR401" s="6">
        <v>1.59829</v>
      </c>
      <c r="AS401" s="19">
        <v>-0.84550000000000003</v>
      </c>
      <c r="AT401" s="6">
        <v>0.81159999999999999</v>
      </c>
      <c r="AU401" s="6">
        <v>255</v>
      </c>
      <c r="AW401" s="17">
        <v>399</v>
      </c>
      <c r="AX401" s="6">
        <v>0.84287999999999996</v>
      </c>
      <c r="AY401" s="19">
        <v>-0.84550000000000003</v>
      </c>
      <c r="AZ401" s="6">
        <v>0.81159999999999999</v>
      </c>
      <c r="BA401" s="6">
        <v>255</v>
      </c>
      <c r="BN401" s="17">
        <v>399</v>
      </c>
      <c r="BO401" s="6">
        <v>47.604762219999998</v>
      </c>
      <c r="BP401" s="6">
        <v>52.968166099999998</v>
      </c>
      <c r="BQ401" s="19">
        <v>-5.3634038799999999</v>
      </c>
    </row>
    <row r="402" spans="1:69" x14ac:dyDescent="0.25">
      <c r="A402" s="31" t="s">
        <v>10</v>
      </c>
      <c r="B402" s="32">
        <v>2</v>
      </c>
      <c r="C402" s="32">
        <v>11</v>
      </c>
      <c r="D402" s="32">
        <v>7</v>
      </c>
      <c r="E402" s="32">
        <v>49</v>
      </c>
      <c r="F402" s="2">
        <v>55</v>
      </c>
      <c r="G402">
        <v>53.161671140939603</v>
      </c>
      <c r="H402" t="s">
        <v>12</v>
      </c>
      <c r="I402" t="s">
        <v>12</v>
      </c>
      <c r="AD402" s="17">
        <v>400</v>
      </c>
      <c r="AE402" s="6">
        <v>3.0543800000000001</v>
      </c>
      <c r="AF402" s="19">
        <v>-3.3043999999999998</v>
      </c>
      <c r="AG402" s="6">
        <v>2.9409999999999998</v>
      </c>
      <c r="AH402" s="6">
        <v>255</v>
      </c>
      <c r="AJ402" s="17">
        <v>400</v>
      </c>
      <c r="AK402" s="6">
        <v>5.7917699999999996</v>
      </c>
      <c r="AL402" s="19">
        <v>-3.3043999999999998</v>
      </c>
      <c r="AM402" s="6">
        <v>2.9409999999999998</v>
      </c>
      <c r="AN402" s="6">
        <v>255</v>
      </c>
      <c r="AQ402" s="17">
        <v>400</v>
      </c>
      <c r="AR402" s="6">
        <v>1.5981399999999999</v>
      </c>
      <c r="AS402" s="19">
        <v>-2.0282</v>
      </c>
      <c r="AT402" s="6">
        <v>0.8115</v>
      </c>
      <c r="AU402" s="6">
        <v>255</v>
      </c>
      <c r="AW402" s="17">
        <v>400</v>
      </c>
      <c r="AX402" s="6">
        <v>0.84279999999999999</v>
      </c>
      <c r="AY402" s="19">
        <v>-2.0282</v>
      </c>
      <c r="AZ402" s="6">
        <v>0.8115</v>
      </c>
      <c r="BA402" s="6">
        <v>255</v>
      </c>
      <c r="BN402" s="17">
        <v>400</v>
      </c>
      <c r="BO402" s="6">
        <v>40.917943430000001</v>
      </c>
      <c r="BP402" s="6">
        <v>46.429705030000001</v>
      </c>
      <c r="BQ402" s="19">
        <v>-5.5117615999999998</v>
      </c>
    </row>
    <row r="403" spans="1:69" x14ac:dyDescent="0.25">
      <c r="A403" s="31" t="s">
        <v>10</v>
      </c>
      <c r="B403" s="32">
        <v>2</v>
      </c>
      <c r="C403" s="32">
        <v>12</v>
      </c>
      <c r="D403" s="32">
        <v>7</v>
      </c>
      <c r="E403" s="32">
        <v>33</v>
      </c>
      <c r="F403" s="2">
        <v>56.5</v>
      </c>
      <c r="G403">
        <v>56.406507670182165</v>
      </c>
      <c r="H403" t="s">
        <v>12</v>
      </c>
      <c r="I403" t="s">
        <v>12</v>
      </c>
      <c r="AD403" s="17">
        <v>401</v>
      </c>
      <c r="AE403" s="6">
        <v>3.0482</v>
      </c>
      <c r="AF403" s="19">
        <v>-1.9934000000000001</v>
      </c>
      <c r="AG403" s="6">
        <v>2.9350999999999998</v>
      </c>
      <c r="AH403" s="6">
        <v>255</v>
      </c>
      <c r="AJ403" s="17">
        <v>401</v>
      </c>
      <c r="AK403" s="6">
        <v>5.7800700000000003</v>
      </c>
      <c r="AL403" s="19">
        <v>-1.9934000000000001</v>
      </c>
      <c r="AM403" s="6">
        <v>2.9350999999999998</v>
      </c>
      <c r="AN403" s="6">
        <v>255</v>
      </c>
      <c r="AQ403" s="17">
        <v>401</v>
      </c>
      <c r="AR403" s="6">
        <v>1.5919300000000001</v>
      </c>
      <c r="AS403" s="19">
        <v>-2.2164999999999999</v>
      </c>
      <c r="AT403" s="6">
        <v>0.80840000000000001</v>
      </c>
      <c r="AU403" s="6">
        <v>255</v>
      </c>
      <c r="AW403" s="17">
        <v>401</v>
      </c>
      <c r="AX403" s="6">
        <v>0.83953</v>
      </c>
      <c r="AY403" s="19">
        <v>-2.2164999999999999</v>
      </c>
      <c r="AZ403" s="6">
        <v>0.80840000000000001</v>
      </c>
      <c r="BA403" s="6">
        <v>255</v>
      </c>
      <c r="BN403" s="17">
        <v>401</v>
      </c>
      <c r="BO403" s="6">
        <v>53.161671140000003</v>
      </c>
      <c r="BP403" s="6">
        <v>46.697674749999997</v>
      </c>
      <c r="BQ403" s="6">
        <v>6.4639963900000001</v>
      </c>
    </row>
    <row r="404" spans="1:69" x14ac:dyDescent="0.25">
      <c r="A404" s="31" t="s">
        <v>10</v>
      </c>
      <c r="B404" s="32">
        <v>2</v>
      </c>
      <c r="C404" s="32">
        <v>13</v>
      </c>
      <c r="D404" s="32">
        <v>7</v>
      </c>
      <c r="E404" s="32">
        <v>31</v>
      </c>
      <c r="F404" s="12">
        <v>57.8</v>
      </c>
      <c r="G404">
        <v>59.100057526366243</v>
      </c>
      <c r="H404" t="s">
        <v>12</v>
      </c>
      <c r="I404" t="s">
        <v>12</v>
      </c>
      <c r="AD404" s="17">
        <v>402</v>
      </c>
      <c r="AE404" s="6">
        <v>3.03485</v>
      </c>
      <c r="AF404" s="19">
        <v>-9.9720000000000003E-2</v>
      </c>
      <c r="AG404" s="6">
        <v>2.9222000000000001</v>
      </c>
      <c r="AH404" s="6">
        <v>255</v>
      </c>
      <c r="AJ404" s="17">
        <v>402</v>
      </c>
      <c r="AK404" s="6">
        <v>5.7547499999999996</v>
      </c>
      <c r="AL404" s="19">
        <v>-9.9720000000000003E-2</v>
      </c>
      <c r="AM404" s="6">
        <v>2.9222000000000001</v>
      </c>
      <c r="AN404" s="6">
        <v>255</v>
      </c>
      <c r="AQ404" s="17">
        <v>402</v>
      </c>
      <c r="AR404" s="6">
        <v>1.5902499999999999</v>
      </c>
      <c r="AS404" s="19">
        <v>-1.2869999999999999</v>
      </c>
      <c r="AT404" s="6">
        <v>0.8075</v>
      </c>
      <c r="AU404" s="6">
        <v>255</v>
      </c>
      <c r="AW404" s="17">
        <v>402</v>
      </c>
      <c r="AX404" s="6">
        <v>0.83864000000000005</v>
      </c>
      <c r="AY404" s="19">
        <v>-1.2869999999999999</v>
      </c>
      <c r="AZ404" s="6">
        <v>0.8075</v>
      </c>
      <c r="BA404" s="6">
        <v>255</v>
      </c>
      <c r="BN404" s="17">
        <v>402</v>
      </c>
      <c r="BO404" s="6">
        <v>56.406507670000003</v>
      </c>
      <c r="BP404" s="6">
        <v>59.043889299999996</v>
      </c>
      <c r="BQ404" s="19">
        <v>-2.6373816300000001</v>
      </c>
    </row>
    <row r="405" spans="1:69" x14ac:dyDescent="0.25">
      <c r="A405" s="31" t="s">
        <v>10</v>
      </c>
      <c r="B405" s="32">
        <v>2</v>
      </c>
      <c r="C405" s="32">
        <v>13</v>
      </c>
      <c r="D405" s="32">
        <v>8</v>
      </c>
      <c r="E405" s="32">
        <v>24</v>
      </c>
      <c r="F405" s="12">
        <v>58</v>
      </c>
      <c r="G405">
        <v>57.233892093654561</v>
      </c>
      <c r="H405" t="s">
        <v>12</v>
      </c>
      <c r="I405" t="s">
        <v>12</v>
      </c>
      <c r="AD405" s="17">
        <v>403</v>
      </c>
      <c r="AE405" s="6">
        <v>3.0613899999999998</v>
      </c>
      <c r="AF405" s="19">
        <v>-6.2495000000000003</v>
      </c>
      <c r="AG405" s="6">
        <v>2.9478</v>
      </c>
      <c r="AH405" s="6">
        <v>255</v>
      </c>
      <c r="AJ405" s="17">
        <v>403</v>
      </c>
      <c r="AK405" s="6">
        <v>5.8050699999999997</v>
      </c>
      <c r="AL405" s="19">
        <v>-6.2495000000000003</v>
      </c>
      <c r="AM405" s="6">
        <v>2.9478</v>
      </c>
      <c r="AN405" s="6">
        <v>255</v>
      </c>
      <c r="AQ405" s="17">
        <v>403</v>
      </c>
      <c r="AR405" s="6">
        <v>1.6024400000000001</v>
      </c>
      <c r="AS405" s="19">
        <v>-3.6514000000000002</v>
      </c>
      <c r="AT405" s="6">
        <v>0.81369999999999998</v>
      </c>
      <c r="AU405" s="6">
        <v>255</v>
      </c>
      <c r="AW405" s="17">
        <v>403</v>
      </c>
      <c r="AX405" s="6">
        <v>0.84506999999999999</v>
      </c>
      <c r="AY405" s="19">
        <v>-3.6514000000000002</v>
      </c>
      <c r="AZ405" s="6">
        <v>0.81369999999999998</v>
      </c>
      <c r="BA405" s="6">
        <v>255</v>
      </c>
      <c r="BN405" s="17">
        <v>403</v>
      </c>
      <c r="BO405" s="6">
        <v>59.100057530000001</v>
      </c>
      <c r="BP405" s="6">
        <v>53.54907128</v>
      </c>
      <c r="BQ405" s="6">
        <v>5.5509862500000002</v>
      </c>
    </row>
    <row r="406" spans="1:69" x14ac:dyDescent="0.25">
      <c r="A406" s="31" t="s">
        <v>10</v>
      </c>
      <c r="B406" s="32">
        <v>2</v>
      </c>
      <c r="C406" s="32">
        <v>12</v>
      </c>
      <c r="D406" s="32">
        <v>8</v>
      </c>
      <c r="E406" s="32">
        <v>25</v>
      </c>
      <c r="F406" s="12">
        <v>55.2</v>
      </c>
      <c r="G406">
        <v>54.715532502787333</v>
      </c>
      <c r="H406" t="s">
        <v>12</v>
      </c>
      <c r="I406" t="s">
        <v>12</v>
      </c>
      <c r="AD406" s="17">
        <v>404</v>
      </c>
      <c r="AE406" s="6">
        <v>3.0578799999999999</v>
      </c>
      <c r="AF406" s="19">
        <v>-3.1246</v>
      </c>
      <c r="AG406" s="6">
        <v>2.9443999999999999</v>
      </c>
      <c r="AH406" s="6">
        <v>255</v>
      </c>
      <c r="AJ406" s="17">
        <v>404</v>
      </c>
      <c r="AK406" s="6">
        <v>5.7984200000000001</v>
      </c>
      <c r="AL406" s="19">
        <v>-3.1246</v>
      </c>
      <c r="AM406" s="6">
        <v>2.9443999999999999</v>
      </c>
      <c r="AN406" s="6">
        <v>255</v>
      </c>
      <c r="AQ406" s="17">
        <v>404</v>
      </c>
      <c r="AR406" s="6">
        <v>1.59459</v>
      </c>
      <c r="AS406" s="19">
        <v>-1.2783</v>
      </c>
      <c r="AT406" s="6">
        <v>0.80969999999999998</v>
      </c>
      <c r="AU406" s="6">
        <v>255</v>
      </c>
      <c r="AW406" s="17">
        <v>404</v>
      </c>
      <c r="AX406" s="6">
        <v>0.84092999999999996</v>
      </c>
      <c r="AY406" s="19">
        <v>-1.2783</v>
      </c>
      <c r="AZ406" s="6">
        <v>0.80969999999999998</v>
      </c>
      <c r="BA406" s="6">
        <v>255</v>
      </c>
      <c r="BN406" s="17">
        <v>404</v>
      </c>
      <c r="BO406" s="6">
        <v>57.233892089999998</v>
      </c>
      <c r="BP406" s="6">
        <v>57.911576060000002</v>
      </c>
      <c r="BQ406" s="19">
        <v>-0.67768397000000002</v>
      </c>
    </row>
    <row r="407" spans="1:69" x14ac:dyDescent="0.25">
      <c r="A407" s="31" t="s">
        <v>10</v>
      </c>
      <c r="B407" s="32">
        <v>2</v>
      </c>
      <c r="C407" s="32">
        <v>11</v>
      </c>
      <c r="D407" s="32">
        <v>8</v>
      </c>
      <c r="E407" s="32">
        <v>47</v>
      </c>
      <c r="F407" s="12">
        <v>58</v>
      </c>
      <c r="G407">
        <v>59.444343400067865</v>
      </c>
      <c r="H407" t="s">
        <v>12</v>
      </c>
      <c r="I407" t="s">
        <v>12</v>
      </c>
      <c r="AD407" s="17">
        <v>405</v>
      </c>
      <c r="AE407" s="6">
        <v>3.0467900000000001</v>
      </c>
      <c r="AF407" s="19">
        <v>-0.80689999999999995</v>
      </c>
      <c r="AG407" s="6">
        <v>2.9337</v>
      </c>
      <c r="AH407" s="6">
        <v>255</v>
      </c>
      <c r="AJ407" s="17">
        <v>405</v>
      </c>
      <c r="AK407" s="6">
        <v>5.7773899999999996</v>
      </c>
      <c r="AL407" s="19">
        <v>-0.80689999999999995</v>
      </c>
      <c r="AM407" s="6">
        <v>2.9337</v>
      </c>
      <c r="AN407" s="6">
        <v>255</v>
      </c>
      <c r="AQ407" s="17">
        <v>405</v>
      </c>
      <c r="AR407" s="6">
        <v>1.59901</v>
      </c>
      <c r="AS407" s="19">
        <v>-1.5457000000000001</v>
      </c>
      <c r="AT407" s="6">
        <v>0.81200000000000006</v>
      </c>
      <c r="AU407" s="6">
        <v>255</v>
      </c>
      <c r="AW407" s="17">
        <v>405</v>
      </c>
      <c r="AX407" s="6">
        <v>0.84326000000000001</v>
      </c>
      <c r="AY407" s="19">
        <v>-1.5457000000000001</v>
      </c>
      <c r="AZ407" s="6">
        <v>0.81200000000000006</v>
      </c>
      <c r="BA407" s="6">
        <v>255</v>
      </c>
      <c r="BN407" s="17">
        <v>405</v>
      </c>
      <c r="BO407" s="6">
        <v>54.715532500000002</v>
      </c>
      <c r="BP407" s="6">
        <v>59.726299779999998</v>
      </c>
      <c r="BQ407" s="19">
        <v>-5.0107672799999996</v>
      </c>
    </row>
    <row r="408" spans="1:69" x14ac:dyDescent="0.25">
      <c r="A408" s="31" t="s">
        <v>10</v>
      </c>
      <c r="B408" s="32">
        <v>2</v>
      </c>
      <c r="C408" s="32">
        <v>10</v>
      </c>
      <c r="D408" s="32">
        <v>8</v>
      </c>
      <c r="E408" s="32">
        <v>5</v>
      </c>
      <c r="F408" s="12">
        <v>55.5</v>
      </c>
      <c r="G408">
        <v>52.076428329051332</v>
      </c>
      <c r="H408" t="s">
        <v>12</v>
      </c>
      <c r="I408" t="s">
        <v>12</v>
      </c>
      <c r="AD408" s="17">
        <v>406</v>
      </c>
      <c r="AE408" s="6">
        <v>3.0614599999999998</v>
      </c>
      <c r="AF408" s="19">
        <v>-0.93</v>
      </c>
      <c r="AG408" s="6">
        <v>2.9478</v>
      </c>
      <c r="AH408" s="6">
        <v>255</v>
      </c>
      <c r="AJ408" s="17">
        <v>406</v>
      </c>
      <c r="AK408" s="6">
        <v>5.8052099999999998</v>
      </c>
      <c r="AL408" s="19">
        <v>-0.93</v>
      </c>
      <c r="AM408" s="6">
        <v>2.9478</v>
      </c>
      <c r="AN408" s="6">
        <v>255</v>
      </c>
      <c r="AQ408" s="17">
        <v>406</v>
      </c>
      <c r="AR408" s="6">
        <v>1.60548</v>
      </c>
      <c r="AS408" s="19">
        <v>-1.2932999999999999</v>
      </c>
      <c r="AT408" s="6">
        <v>0.81520000000000004</v>
      </c>
      <c r="AU408" s="6">
        <v>255</v>
      </c>
      <c r="AW408" s="17">
        <v>406</v>
      </c>
      <c r="AX408" s="6">
        <v>0.84667000000000003</v>
      </c>
      <c r="AY408" s="19">
        <v>-1.2932999999999999</v>
      </c>
      <c r="AZ408" s="6">
        <v>0.81520000000000004</v>
      </c>
      <c r="BA408" s="6">
        <v>255</v>
      </c>
      <c r="BN408" s="17">
        <v>406</v>
      </c>
      <c r="BO408" s="6">
        <v>59.444343400000001</v>
      </c>
      <c r="BP408" s="6">
        <v>53.72402632</v>
      </c>
      <c r="BQ408" s="6">
        <v>5.7203170800000001</v>
      </c>
    </row>
    <row r="409" spans="1:69" x14ac:dyDescent="0.25">
      <c r="A409" s="31" t="s">
        <v>10</v>
      </c>
      <c r="B409" s="32">
        <v>2</v>
      </c>
      <c r="C409" s="32">
        <v>9</v>
      </c>
      <c r="D409" s="32">
        <v>8</v>
      </c>
      <c r="E409" s="32">
        <v>11</v>
      </c>
      <c r="F409" s="12">
        <v>56.9</v>
      </c>
      <c r="G409">
        <v>56.271438751272477</v>
      </c>
      <c r="H409" t="s">
        <v>12</v>
      </c>
      <c r="I409" t="s">
        <v>12</v>
      </c>
      <c r="AD409" s="17">
        <v>407</v>
      </c>
      <c r="AE409" s="6">
        <v>3.0642100000000001</v>
      </c>
      <c r="AF409" s="19">
        <v>-4.4166999999999996</v>
      </c>
      <c r="AG409" s="6">
        <v>2.9504999999999999</v>
      </c>
      <c r="AH409" s="6">
        <v>255</v>
      </c>
      <c r="AJ409" s="17">
        <v>407</v>
      </c>
      <c r="AK409" s="6">
        <v>5.8104199999999997</v>
      </c>
      <c r="AL409" s="19">
        <v>-4.4166999999999996</v>
      </c>
      <c r="AM409" s="6">
        <v>2.9504999999999999</v>
      </c>
      <c r="AN409" s="6">
        <v>255</v>
      </c>
      <c r="AQ409" s="17">
        <v>407</v>
      </c>
      <c r="AR409" s="6">
        <v>1.5966899999999999</v>
      </c>
      <c r="AS409" s="19">
        <v>-2.6741999999999999</v>
      </c>
      <c r="AT409" s="6">
        <v>0.81079999999999997</v>
      </c>
      <c r="AU409" s="6">
        <v>255</v>
      </c>
      <c r="AW409" s="17">
        <v>407</v>
      </c>
      <c r="AX409" s="6">
        <v>0.84204000000000001</v>
      </c>
      <c r="AY409" s="19">
        <v>-2.6741999999999999</v>
      </c>
      <c r="AZ409" s="6">
        <v>0.81079999999999997</v>
      </c>
      <c r="BA409" s="6">
        <v>255</v>
      </c>
      <c r="BN409" s="17">
        <v>407</v>
      </c>
      <c r="BO409" s="6">
        <v>52.076428329999999</v>
      </c>
      <c r="BP409" s="6">
        <v>58.147806969999998</v>
      </c>
      <c r="BQ409" s="19">
        <v>-6.0713786399999998</v>
      </c>
    </row>
    <row r="410" spans="1:69" x14ac:dyDescent="0.25">
      <c r="A410" s="31" t="s">
        <v>10</v>
      </c>
      <c r="B410" s="32">
        <v>2</v>
      </c>
      <c r="C410" s="32">
        <v>8</v>
      </c>
      <c r="D410" s="32">
        <v>8</v>
      </c>
      <c r="E410" s="32">
        <v>38</v>
      </c>
      <c r="F410" s="2">
        <v>56.8</v>
      </c>
      <c r="G410">
        <v>54.732425226622709</v>
      </c>
      <c r="H410" t="s">
        <v>12</v>
      </c>
      <c r="I410" t="s">
        <v>12</v>
      </c>
      <c r="AD410" s="17">
        <v>408</v>
      </c>
      <c r="AE410" s="6">
        <v>3.05003</v>
      </c>
      <c r="AF410" s="19">
        <v>-3.2290000000000001</v>
      </c>
      <c r="AG410" s="6">
        <v>2.9367999999999999</v>
      </c>
      <c r="AH410" s="6">
        <v>255</v>
      </c>
      <c r="AJ410" s="17">
        <v>408</v>
      </c>
      <c r="AK410" s="6">
        <v>5.7835200000000002</v>
      </c>
      <c r="AL410" s="19">
        <v>-3.2290000000000001</v>
      </c>
      <c r="AM410" s="6">
        <v>2.9367999999999999</v>
      </c>
      <c r="AN410" s="6">
        <v>255</v>
      </c>
      <c r="AQ410" s="17">
        <v>408</v>
      </c>
      <c r="AR410" s="6">
        <v>1.5933200000000001</v>
      </c>
      <c r="AS410" s="19">
        <v>-2.3109000000000002</v>
      </c>
      <c r="AT410" s="6">
        <v>0.80910000000000004</v>
      </c>
      <c r="AU410" s="6">
        <v>255</v>
      </c>
      <c r="AW410" s="17">
        <v>408</v>
      </c>
      <c r="AX410" s="6">
        <v>0.84026000000000001</v>
      </c>
      <c r="AY410" s="19">
        <v>-2.3109000000000002</v>
      </c>
      <c r="AZ410" s="6">
        <v>0.80910000000000004</v>
      </c>
      <c r="BA410" s="6">
        <v>255</v>
      </c>
      <c r="BN410" s="17">
        <v>408</v>
      </c>
      <c r="BO410" s="6">
        <v>56.271438750000002</v>
      </c>
      <c r="BP410" s="6">
        <v>59.082584580000002</v>
      </c>
      <c r="BQ410" s="19">
        <v>-2.8111458300000001</v>
      </c>
    </row>
    <row r="411" spans="1:69" x14ac:dyDescent="0.25">
      <c r="A411" s="31" t="s">
        <v>10</v>
      </c>
      <c r="B411" s="32">
        <v>2</v>
      </c>
      <c r="C411" s="32">
        <v>7</v>
      </c>
      <c r="D411" s="32">
        <v>8</v>
      </c>
      <c r="E411" s="32">
        <v>4</v>
      </c>
      <c r="F411" s="2">
        <v>53</v>
      </c>
      <c r="G411">
        <v>36.382320034902321</v>
      </c>
      <c r="H411" t="s">
        <v>12</v>
      </c>
      <c r="I411" t="s">
        <v>12</v>
      </c>
      <c r="AD411" s="17">
        <v>409</v>
      </c>
      <c r="AE411" s="6">
        <v>3.0472999999999999</v>
      </c>
      <c r="AF411" s="19">
        <v>-2.6560000000000001</v>
      </c>
      <c r="AG411" s="6">
        <v>2.9342000000000001</v>
      </c>
      <c r="AH411" s="6">
        <v>255</v>
      </c>
      <c r="AJ411" s="17">
        <v>409</v>
      </c>
      <c r="AK411" s="6">
        <v>5.77834</v>
      </c>
      <c r="AL411" s="19">
        <v>-2.6560000000000001</v>
      </c>
      <c r="AM411" s="6">
        <v>2.9342000000000001</v>
      </c>
      <c r="AN411" s="6">
        <v>255</v>
      </c>
      <c r="AQ411" s="17">
        <v>409</v>
      </c>
      <c r="AR411" s="6">
        <v>1.59409</v>
      </c>
      <c r="AS411" s="19">
        <v>-1.7755000000000001</v>
      </c>
      <c r="AT411" s="6">
        <v>0.8095</v>
      </c>
      <c r="AU411" s="6">
        <v>255</v>
      </c>
      <c r="AW411" s="17">
        <v>409</v>
      </c>
      <c r="AX411" s="6">
        <v>0.84067000000000003</v>
      </c>
      <c r="AY411" s="19">
        <v>-1.7755000000000001</v>
      </c>
      <c r="AZ411" s="6">
        <v>0.8095</v>
      </c>
      <c r="BA411" s="6">
        <v>255</v>
      </c>
      <c r="BN411" s="17">
        <v>409</v>
      </c>
      <c r="BO411" s="6">
        <v>54.732425229999997</v>
      </c>
      <c r="BP411" s="6">
        <v>54.73488811</v>
      </c>
      <c r="BQ411" s="19">
        <v>-2.4628800000000002E-3</v>
      </c>
    </row>
    <row r="412" spans="1:69" x14ac:dyDescent="0.25">
      <c r="A412" s="31" t="s">
        <v>10</v>
      </c>
      <c r="B412" s="32">
        <v>2</v>
      </c>
      <c r="C412" s="32">
        <v>6</v>
      </c>
      <c r="D412" s="32">
        <v>8</v>
      </c>
      <c r="E412" s="32">
        <v>21</v>
      </c>
      <c r="F412" s="2">
        <v>59.2</v>
      </c>
      <c r="G412">
        <v>53.910882156187888</v>
      </c>
      <c r="H412" t="s">
        <v>12</v>
      </c>
      <c r="I412" t="s">
        <v>12</v>
      </c>
      <c r="AD412" s="17">
        <v>410</v>
      </c>
      <c r="AE412" s="6">
        <v>3.0594000000000001</v>
      </c>
      <c r="AF412" s="19">
        <v>-2.6328</v>
      </c>
      <c r="AG412" s="6">
        <v>2.9458000000000002</v>
      </c>
      <c r="AH412" s="6">
        <v>255</v>
      </c>
      <c r="AJ412" s="17">
        <v>410</v>
      </c>
      <c r="AK412" s="6">
        <v>5.8012899999999998</v>
      </c>
      <c r="AL412" s="19">
        <v>-2.6328</v>
      </c>
      <c r="AM412" s="6">
        <v>2.9458000000000002</v>
      </c>
      <c r="AN412" s="6">
        <v>255</v>
      </c>
      <c r="AQ412" s="17">
        <v>410</v>
      </c>
      <c r="AR412" s="6">
        <v>1.59938</v>
      </c>
      <c r="AS412" s="19">
        <v>-1.3112999999999999</v>
      </c>
      <c r="AT412" s="6">
        <v>0.81220000000000003</v>
      </c>
      <c r="AU412" s="6">
        <v>255</v>
      </c>
      <c r="AW412" s="17">
        <v>410</v>
      </c>
      <c r="AX412" s="6">
        <v>0.84345999999999999</v>
      </c>
      <c r="AY412" s="19">
        <v>-1.3112999999999999</v>
      </c>
      <c r="AZ412" s="6">
        <v>0.81220000000000003</v>
      </c>
      <c r="BA412" s="6">
        <v>255</v>
      </c>
      <c r="BN412" s="17">
        <v>410</v>
      </c>
      <c r="BO412" s="6">
        <v>36.382320030000002</v>
      </c>
      <c r="BP412" s="6">
        <v>47.295915770000001</v>
      </c>
      <c r="BQ412" s="19">
        <v>-10.91359574</v>
      </c>
    </row>
    <row r="413" spans="1:69" x14ac:dyDescent="0.25">
      <c r="A413" s="31" t="s">
        <v>10</v>
      </c>
      <c r="B413" s="32">
        <v>2</v>
      </c>
      <c r="C413" s="32">
        <v>5</v>
      </c>
      <c r="D413" s="32">
        <v>8</v>
      </c>
      <c r="E413" s="32">
        <v>36</v>
      </c>
      <c r="F413" s="2">
        <v>61</v>
      </c>
      <c r="G413">
        <v>56.983380677686753</v>
      </c>
      <c r="H413" t="s">
        <v>12</v>
      </c>
      <c r="I413" t="s">
        <v>12</v>
      </c>
      <c r="AD413" s="17">
        <v>411</v>
      </c>
      <c r="AE413" s="6">
        <v>3.0511900000000001</v>
      </c>
      <c r="AF413" s="19">
        <v>-3.6152000000000002</v>
      </c>
      <c r="AG413" s="6">
        <v>2.9379</v>
      </c>
      <c r="AH413" s="6">
        <v>255</v>
      </c>
      <c r="AJ413" s="17">
        <v>411</v>
      </c>
      <c r="AK413" s="6">
        <v>5.78573</v>
      </c>
      <c r="AL413" s="19">
        <v>-3.6152000000000002</v>
      </c>
      <c r="AM413" s="6">
        <v>2.9379</v>
      </c>
      <c r="AN413" s="6">
        <v>255</v>
      </c>
      <c r="AQ413" s="17">
        <v>411</v>
      </c>
      <c r="AR413" s="6">
        <v>1.59213</v>
      </c>
      <c r="AS413" s="19">
        <v>-2.4258000000000002</v>
      </c>
      <c r="AT413" s="6">
        <v>0.8085</v>
      </c>
      <c r="AU413" s="6">
        <v>255</v>
      </c>
      <c r="AW413" s="17">
        <v>411</v>
      </c>
      <c r="AX413" s="6">
        <v>0.83962999999999999</v>
      </c>
      <c r="AY413" s="19">
        <v>-2.4258000000000002</v>
      </c>
      <c r="AZ413" s="6">
        <v>0.8085</v>
      </c>
      <c r="BA413" s="6">
        <v>255</v>
      </c>
      <c r="BN413" s="17">
        <v>411</v>
      </c>
      <c r="BO413" s="6">
        <v>53.91088216</v>
      </c>
      <c r="BP413" s="6">
        <v>53.797505620000003</v>
      </c>
      <c r="BQ413" s="6">
        <v>0.11337654</v>
      </c>
    </row>
    <row r="414" spans="1:69" x14ac:dyDescent="0.25">
      <c r="A414" s="31" t="s">
        <v>10</v>
      </c>
      <c r="B414" s="32">
        <v>2</v>
      </c>
      <c r="C414" s="32">
        <v>4</v>
      </c>
      <c r="D414" s="32">
        <v>8</v>
      </c>
      <c r="E414" s="32">
        <v>34</v>
      </c>
      <c r="F414" s="2">
        <v>57</v>
      </c>
      <c r="G414">
        <v>53.766415773910502</v>
      </c>
      <c r="H414" t="s">
        <v>12</v>
      </c>
      <c r="I414" t="s">
        <v>12</v>
      </c>
      <c r="AD414" s="17">
        <v>412</v>
      </c>
      <c r="AE414" s="6">
        <v>3.0594600000000001</v>
      </c>
      <c r="AF414" s="6">
        <v>3.9746000000000001</v>
      </c>
      <c r="AG414" s="6">
        <v>2.9459</v>
      </c>
      <c r="AH414" s="6">
        <v>255</v>
      </c>
      <c r="AJ414" s="17">
        <v>412</v>
      </c>
      <c r="AK414" s="6">
        <v>5.8014000000000001</v>
      </c>
      <c r="AL414" s="6">
        <v>3.9746000000000001</v>
      </c>
      <c r="AM414" s="6">
        <v>2.9459</v>
      </c>
      <c r="AN414" s="6">
        <v>255</v>
      </c>
      <c r="AQ414" s="17">
        <v>412</v>
      </c>
      <c r="AR414" s="6">
        <v>1.6064000000000001</v>
      </c>
      <c r="AS414" s="19">
        <v>-1.0503</v>
      </c>
      <c r="AT414" s="6">
        <v>0.81569999999999998</v>
      </c>
      <c r="AU414" s="6">
        <v>255</v>
      </c>
      <c r="AW414" s="17">
        <v>412</v>
      </c>
      <c r="AX414" s="6">
        <v>0.84716000000000002</v>
      </c>
      <c r="AY414" s="19">
        <v>-1.0503</v>
      </c>
      <c r="AZ414" s="6">
        <v>0.81569999999999998</v>
      </c>
      <c r="BA414" s="6">
        <v>255</v>
      </c>
      <c r="BN414" s="17">
        <v>412</v>
      </c>
      <c r="BO414" s="6">
        <v>56.983380680000003</v>
      </c>
      <c r="BP414" s="6">
        <v>47.462338189999997</v>
      </c>
      <c r="BQ414" s="6">
        <v>9.5210424899999992</v>
      </c>
    </row>
    <row r="415" spans="1:69" x14ac:dyDescent="0.25">
      <c r="A415" s="31" t="s">
        <v>10</v>
      </c>
      <c r="B415" s="32">
        <v>2</v>
      </c>
      <c r="C415" s="32">
        <v>3</v>
      </c>
      <c r="D415" s="32">
        <v>8</v>
      </c>
      <c r="E415" s="32">
        <v>27</v>
      </c>
      <c r="F415" s="2">
        <v>60</v>
      </c>
      <c r="G415">
        <v>51.484923845072473</v>
      </c>
      <c r="H415" t="s">
        <v>12</v>
      </c>
      <c r="I415" t="s">
        <v>12</v>
      </c>
      <c r="AD415" s="17">
        <v>413</v>
      </c>
      <c r="AE415" s="6">
        <v>3.03613</v>
      </c>
      <c r="AF415" s="19">
        <v>-2.0657999999999999</v>
      </c>
      <c r="AG415" s="6">
        <v>2.9234</v>
      </c>
      <c r="AH415" s="6">
        <v>255</v>
      </c>
      <c r="AJ415" s="17">
        <v>413</v>
      </c>
      <c r="AK415" s="6">
        <v>5.75718</v>
      </c>
      <c r="AL415" s="19">
        <v>-2.0657999999999999</v>
      </c>
      <c r="AM415" s="6">
        <v>2.9234</v>
      </c>
      <c r="AN415" s="6">
        <v>255</v>
      </c>
      <c r="AQ415" s="17">
        <v>413</v>
      </c>
      <c r="AR415" s="6">
        <v>1.58965</v>
      </c>
      <c r="AS415" s="19">
        <v>-2.4196</v>
      </c>
      <c r="AT415" s="6">
        <v>0.80720000000000003</v>
      </c>
      <c r="AU415" s="6">
        <v>255</v>
      </c>
      <c r="AW415" s="17">
        <v>413</v>
      </c>
      <c r="AX415" s="6">
        <v>0.83831999999999995</v>
      </c>
      <c r="AY415" s="19">
        <v>-2.4196</v>
      </c>
      <c r="AZ415" s="6">
        <v>0.80720000000000003</v>
      </c>
      <c r="BA415" s="6">
        <v>255</v>
      </c>
      <c r="BN415" s="17">
        <v>413</v>
      </c>
      <c r="BO415" s="6">
        <v>53.766415770000002</v>
      </c>
      <c r="BP415" s="6">
        <v>44.698983460000001</v>
      </c>
      <c r="BQ415" s="6">
        <v>9.0674323099999992</v>
      </c>
    </row>
    <row r="416" spans="1:69" x14ac:dyDescent="0.25">
      <c r="A416" s="31" t="s">
        <v>10</v>
      </c>
      <c r="B416" s="32">
        <v>2</v>
      </c>
      <c r="C416" s="32">
        <v>2</v>
      </c>
      <c r="D416" s="32">
        <v>8</v>
      </c>
      <c r="E416" s="32">
        <v>30</v>
      </c>
      <c r="F416" s="2">
        <v>57.3</v>
      </c>
      <c r="G416">
        <v>43.3689682485821</v>
      </c>
      <c r="H416" t="s">
        <v>12</v>
      </c>
      <c r="I416" t="s">
        <v>12</v>
      </c>
      <c r="AD416" s="17">
        <v>414</v>
      </c>
      <c r="AE416" s="6">
        <v>3.0654499999999998</v>
      </c>
      <c r="AF416" s="6">
        <v>6.6981000000000002</v>
      </c>
      <c r="AG416" s="6">
        <v>2.9517000000000002</v>
      </c>
      <c r="AH416" s="6">
        <v>255</v>
      </c>
      <c r="AJ416" s="17">
        <v>414</v>
      </c>
      <c r="AK416" s="6">
        <v>5.8127800000000001</v>
      </c>
      <c r="AL416" s="6">
        <v>6.6981000000000002</v>
      </c>
      <c r="AM416" s="6">
        <v>2.9517000000000002</v>
      </c>
      <c r="AN416" s="6">
        <v>255</v>
      </c>
      <c r="AQ416" s="17">
        <v>414</v>
      </c>
      <c r="AR416" s="6">
        <v>1.60927</v>
      </c>
      <c r="AS416" s="6">
        <v>7.1760000000000004E-2</v>
      </c>
      <c r="AT416" s="6">
        <v>0.81720000000000004</v>
      </c>
      <c r="AU416" s="6">
        <v>255</v>
      </c>
      <c r="AW416" s="17">
        <v>414</v>
      </c>
      <c r="AX416" s="6">
        <v>0.84867999999999999</v>
      </c>
      <c r="AY416" s="6">
        <v>7.1760000000000004E-2</v>
      </c>
      <c r="AZ416" s="6">
        <v>0.81720000000000004</v>
      </c>
      <c r="BA416" s="6">
        <v>255</v>
      </c>
      <c r="BN416" s="17">
        <v>414</v>
      </c>
      <c r="BO416" s="6">
        <v>51.484923850000001</v>
      </c>
      <c r="BP416" s="6">
        <v>53.532978309999997</v>
      </c>
      <c r="BQ416" s="19">
        <v>-2.0480544599999999</v>
      </c>
    </row>
    <row r="417" spans="1:69" x14ac:dyDescent="0.25">
      <c r="A417" s="31" t="s">
        <v>10</v>
      </c>
      <c r="B417" s="32">
        <v>2</v>
      </c>
      <c r="C417" s="32">
        <v>1</v>
      </c>
      <c r="D417" s="32">
        <v>8</v>
      </c>
      <c r="E417" s="32">
        <v>40</v>
      </c>
      <c r="F417" s="2">
        <v>60.2</v>
      </c>
      <c r="G417">
        <v>46.988167143341897</v>
      </c>
      <c r="H417" t="s">
        <v>12</v>
      </c>
      <c r="I417" t="s">
        <v>12</v>
      </c>
      <c r="AD417" s="17">
        <v>415</v>
      </c>
      <c r="AE417" s="6">
        <v>3.0546799999999998</v>
      </c>
      <c r="AF417" s="6">
        <v>1.2678</v>
      </c>
      <c r="AG417" s="6">
        <v>2.9413</v>
      </c>
      <c r="AH417" s="6">
        <v>255</v>
      </c>
      <c r="AJ417" s="17">
        <v>415</v>
      </c>
      <c r="AK417" s="6">
        <v>5.7923499999999999</v>
      </c>
      <c r="AL417" s="6">
        <v>1.2678</v>
      </c>
      <c r="AM417" s="6">
        <v>2.9413</v>
      </c>
      <c r="AN417" s="6">
        <v>255</v>
      </c>
      <c r="AQ417" s="17">
        <v>415</v>
      </c>
      <c r="AR417" s="6">
        <v>1.59745</v>
      </c>
      <c r="AS417" s="19">
        <v>-1.2687999999999999</v>
      </c>
      <c r="AT417" s="6">
        <v>0.81120000000000003</v>
      </c>
      <c r="AU417" s="6">
        <v>255</v>
      </c>
      <c r="AW417" s="17">
        <v>415</v>
      </c>
      <c r="AX417" s="6">
        <v>0.84243999999999997</v>
      </c>
      <c r="AY417" s="19">
        <v>-1.2687999999999999</v>
      </c>
      <c r="AZ417" s="6">
        <v>0.81120000000000003</v>
      </c>
      <c r="BA417" s="6">
        <v>255</v>
      </c>
      <c r="BN417" s="17">
        <v>415</v>
      </c>
      <c r="BO417" s="6">
        <v>43.368968250000002</v>
      </c>
      <c r="BP417" s="6">
        <v>48.453324639999998</v>
      </c>
      <c r="BQ417" s="19">
        <v>-5.0843563899999999</v>
      </c>
    </row>
    <row r="418" spans="1:69" x14ac:dyDescent="0.25">
      <c r="A418" s="31" t="s">
        <v>10</v>
      </c>
      <c r="B418" s="32">
        <v>3</v>
      </c>
      <c r="C418" s="32">
        <v>1</v>
      </c>
      <c r="D418" s="32">
        <v>9</v>
      </c>
      <c r="E418" s="32">
        <v>57</v>
      </c>
      <c r="F418" s="2">
        <v>54.8</v>
      </c>
      <c r="G418">
        <v>34.660834866828083</v>
      </c>
      <c r="H418" t="s">
        <v>12</v>
      </c>
      <c r="I418" t="s">
        <v>12</v>
      </c>
      <c r="AD418" s="17">
        <v>416</v>
      </c>
      <c r="AE418" s="6">
        <v>3.0700799999999999</v>
      </c>
      <c r="AF418" s="19">
        <v>-0.99250000000000005</v>
      </c>
      <c r="AG418" s="6">
        <v>2.9561000000000002</v>
      </c>
      <c r="AH418" s="6">
        <v>255</v>
      </c>
      <c r="AJ418" s="17">
        <v>416</v>
      </c>
      <c r="AK418" s="6">
        <v>5.8215399999999997</v>
      </c>
      <c r="AL418" s="19">
        <v>-0.99250000000000005</v>
      </c>
      <c r="AM418" s="6">
        <v>2.9561000000000002</v>
      </c>
      <c r="AN418" s="6">
        <v>255</v>
      </c>
      <c r="AQ418" s="17">
        <v>416</v>
      </c>
      <c r="AR418" s="6">
        <v>1.60764</v>
      </c>
      <c r="AS418" s="19">
        <v>-1.0987</v>
      </c>
      <c r="AT418" s="6">
        <v>0.81630000000000003</v>
      </c>
      <c r="AU418" s="6">
        <v>255</v>
      </c>
      <c r="AW418" s="17">
        <v>416</v>
      </c>
      <c r="AX418" s="6">
        <v>0.84780999999999995</v>
      </c>
      <c r="AY418" s="19">
        <v>-1.0987</v>
      </c>
      <c r="AZ418" s="6">
        <v>0.81630000000000003</v>
      </c>
      <c r="BA418" s="6">
        <v>255</v>
      </c>
      <c r="BN418" s="17">
        <v>416</v>
      </c>
      <c r="BO418" s="6">
        <v>46.988167140000002</v>
      </c>
      <c r="BP418" s="6">
        <v>51.390277759999996</v>
      </c>
      <c r="BQ418" s="19">
        <v>-4.4021106200000002</v>
      </c>
    </row>
    <row r="419" spans="1:69" x14ac:dyDescent="0.25">
      <c r="A419" s="31" t="s">
        <v>10</v>
      </c>
      <c r="B419" s="32">
        <v>3</v>
      </c>
      <c r="C419" s="32">
        <v>2</v>
      </c>
      <c r="D419" s="32">
        <v>9</v>
      </c>
      <c r="E419" s="32">
        <v>34</v>
      </c>
      <c r="F419" s="2">
        <v>54.5</v>
      </c>
      <c r="G419">
        <v>38.574427118644067</v>
      </c>
      <c r="H419" t="s">
        <v>12</v>
      </c>
      <c r="I419" t="s">
        <v>12</v>
      </c>
      <c r="AD419" s="17">
        <v>417</v>
      </c>
      <c r="AE419" s="6">
        <v>3.0486300000000002</v>
      </c>
      <c r="AF419" s="6">
        <v>0.25800000000000001</v>
      </c>
      <c r="AG419" s="6">
        <v>2.9355000000000002</v>
      </c>
      <c r="AH419" s="6">
        <v>255</v>
      </c>
      <c r="AJ419" s="17">
        <v>417</v>
      </c>
      <c r="AK419" s="6">
        <v>5.7808700000000002</v>
      </c>
      <c r="AL419" s="6">
        <v>0.25800000000000001</v>
      </c>
      <c r="AM419" s="6">
        <v>2.9355000000000002</v>
      </c>
      <c r="AN419" s="6">
        <v>255</v>
      </c>
      <c r="AQ419" s="17">
        <v>417</v>
      </c>
      <c r="AR419" s="6">
        <v>1.60331</v>
      </c>
      <c r="AS419" s="19">
        <v>-1.5121</v>
      </c>
      <c r="AT419" s="6">
        <v>0.81410000000000005</v>
      </c>
      <c r="AU419" s="6">
        <v>255</v>
      </c>
      <c r="AW419" s="17">
        <v>417</v>
      </c>
      <c r="AX419" s="6">
        <v>0.84553</v>
      </c>
      <c r="AY419" s="19">
        <v>-1.5121</v>
      </c>
      <c r="AZ419" s="6">
        <v>0.81410000000000005</v>
      </c>
      <c r="BA419" s="6">
        <v>255</v>
      </c>
      <c r="BN419" s="17">
        <v>417</v>
      </c>
      <c r="BO419" s="6">
        <v>34.660834870000002</v>
      </c>
      <c r="BP419" s="6">
        <v>45.518754629999997</v>
      </c>
      <c r="BQ419" s="19">
        <v>-10.85791976</v>
      </c>
    </row>
    <row r="420" spans="1:69" x14ac:dyDescent="0.25">
      <c r="A420" s="31" t="s">
        <v>10</v>
      </c>
      <c r="B420" s="32">
        <v>3</v>
      </c>
      <c r="C420" s="32">
        <v>3</v>
      </c>
      <c r="D420" s="32">
        <v>9</v>
      </c>
      <c r="E420" s="32">
        <v>17</v>
      </c>
      <c r="F420" s="2">
        <v>55.8</v>
      </c>
      <c r="G420">
        <v>53.62204358353511</v>
      </c>
      <c r="H420" t="s">
        <v>12</v>
      </c>
      <c r="I420" t="s">
        <v>12</v>
      </c>
      <c r="AD420" s="17">
        <v>418</v>
      </c>
      <c r="AE420" s="6">
        <v>3.0533700000000001</v>
      </c>
      <c r="AF420" s="19">
        <v>-3.7269999999999998E-2</v>
      </c>
      <c r="AG420" s="6">
        <v>2.94</v>
      </c>
      <c r="AH420" s="6">
        <v>255</v>
      </c>
      <c r="AJ420" s="17">
        <v>418</v>
      </c>
      <c r="AK420" s="6">
        <v>5.7898699999999996</v>
      </c>
      <c r="AL420" s="19">
        <v>-3.7269999999999998E-2</v>
      </c>
      <c r="AM420" s="6">
        <v>2.94</v>
      </c>
      <c r="AN420" s="6">
        <v>255</v>
      </c>
      <c r="AQ420" s="17">
        <v>418</v>
      </c>
      <c r="AR420" s="6">
        <v>1.60531</v>
      </c>
      <c r="AS420" s="19">
        <v>-2.7317999999999998</v>
      </c>
      <c r="AT420" s="6">
        <v>0.81520000000000004</v>
      </c>
      <c r="AU420" s="6">
        <v>255</v>
      </c>
      <c r="AW420" s="17">
        <v>418</v>
      </c>
      <c r="AX420" s="6">
        <v>0.84658</v>
      </c>
      <c r="AY420" s="19">
        <v>-2.7317999999999998</v>
      </c>
      <c r="AZ420" s="6">
        <v>0.81520000000000004</v>
      </c>
      <c r="BA420" s="6">
        <v>255</v>
      </c>
      <c r="BN420" s="17">
        <v>418</v>
      </c>
      <c r="BO420" s="6">
        <v>38.574427120000003</v>
      </c>
      <c r="BP420" s="6">
        <v>49.992475499999998</v>
      </c>
      <c r="BQ420" s="19">
        <v>-11.41804838</v>
      </c>
    </row>
    <row r="421" spans="1:69" x14ac:dyDescent="0.25">
      <c r="A421" s="31" t="s">
        <v>10</v>
      </c>
      <c r="B421" s="32">
        <v>3</v>
      </c>
      <c r="C421" s="32">
        <v>4</v>
      </c>
      <c r="D421" s="32">
        <v>9</v>
      </c>
      <c r="E421" s="32">
        <v>47</v>
      </c>
      <c r="F421" s="2">
        <v>58</v>
      </c>
      <c r="G421">
        <v>54.328563196125899</v>
      </c>
      <c r="H421" t="s">
        <v>12</v>
      </c>
      <c r="I421" t="s">
        <v>12</v>
      </c>
      <c r="AD421" s="17">
        <v>419</v>
      </c>
      <c r="AE421" s="6">
        <v>3.05206</v>
      </c>
      <c r="AF421" s="6">
        <v>5.4009</v>
      </c>
      <c r="AG421" s="6">
        <v>2.9388000000000001</v>
      </c>
      <c r="AH421" s="6">
        <v>255</v>
      </c>
      <c r="AJ421" s="17">
        <v>419</v>
      </c>
      <c r="AK421" s="6">
        <v>5.7873700000000001</v>
      </c>
      <c r="AL421" s="6">
        <v>5.4009</v>
      </c>
      <c r="AM421" s="6">
        <v>2.9388000000000001</v>
      </c>
      <c r="AN421" s="6">
        <v>255</v>
      </c>
      <c r="AQ421" s="17">
        <v>419</v>
      </c>
      <c r="AR421" s="6">
        <v>1.59737</v>
      </c>
      <c r="AS421" s="6">
        <v>0.2054</v>
      </c>
      <c r="AT421" s="6">
        <v>0.81110000000000004</v>
      </c>
      <c r="AU421" s="6">
        <v>255</v>
      </c>
      <c r="AW421" s="17">
        <v>419</v>
      </c>
      <c r="AX421" s="6">
        <v>0.84240000000000004</v>
      </c>
      <c r="AY421" s="6">
        <v>0.2054</v>
      </c>
      <c r="AZ421" s="6">
        <v>0.81110000000000004</v>
      </c>
      <c r="BA421" s="6">
        <v>255</v>
      </c>
      <c r="BN421" s="17">
        <v>419</v>
      </c>
      <c r="BO421" s="6">
        <v>53.622043580000003</v>
      </c>
      <c r="BP421" s="6">
        <v>55.272905659999999</v>
      </c>
      <c r="BQ421" s="19">
        <v>-1.65086208</v>
      </c>
    </row>
    <row r="422" spans="1:69" x14ac:dyDescent="0.25">
      <c r="A422" s="31" t="s">
        <v>10</v>
      </c>
      <c r="B422" s="32">
        <v>3</v>
      </c>
      <c r="C422" s="32">
        <v>5</v>
      </c>
      <c r="D422" s="32">
        <v>9</v>
      </c>
      <c r="E422" s="32">
        <v>38</v>
      </c>
      <c r="F422" s="2">
        <v>60.4</v>
      </c>
      <c r="G422">
        <v>58.74881491525425</v>
      </c>
      <c r="H422" t="s">
        <v>12</v>
      </c>
      <c r="I422" t="s">
        <v>12</v>
      </c>
      <c r="AD422" s="17">
        <v>420</v>
      </c>
      <c r="AE422" s="6">
        <v>3.0710600000000001</v>
      </c>
      <c r="AF422" s="6">
        <v>2.2551000000000001</v>
      </c>
      <c r="AG422" s="6">
        <v>2.9571000000000001</v>
      </c>
      <c r="AH422" s="6">
        <v>255</v>
      </c>
      <c r="AJ422" s="17">
        <v>420</v>
      </c>
      <c r="AK422" s="6">
        <v>5.8234000000000004</v>
      </c>
      <c r="AL422" s="6">
        <v>2.2551000000000001</v>
      </c>
      <c r="AM422" s="6">
        <v>2.9571000000000001</v>
      </c>
      <c r="AN422" s="6">
        <v>255</v>
      </c>
      <c r="AQ422" s="17">
        <v>420</v>
      </c>
      <c r="AR422" s="6">
        <v>1.5982499999999999</v>
      </c>
      <c r="AS422" s="6">
        <v>5.91E-2</v>
      </c>
      <c r="AT422" s="6">
        <v>0.81159999999999999</v>
      </c>
      <c r="AU422" s="6">
        <v>255</v>
      </c>
      <c r="AW422" s="17">
        <v>420</v>
      </c>
      <c r="AX422" s="6">
        <v>0.84286000000000005</v>
      </c>
      <c r="AY422" s="6">
        <v>5.91E-2</v>
      </c>
      <c r="AZ422" s="6">
        <v>0.81159999999999999</v>
      </c>
      <c r="BA422" s="6">
        <v>255</v>
      </c>
      <c r="BN422" s="17">
        <v>420</v>
      </c>
      <c r="BO422" s="6">
        <v>54.328563199999998</v>
      </c>
      <c r="BP422" s="6">
        <v>59.017518369999998</v>
      </c>
      <c r="BQ422" s="19">
        <v>-4.6889551699999998</v>
      </c>
    </row>
    <row r="423" spans="1:69" x14ac:dyDescent="0.25">
      <c r="A423" s="31" t="s">
        <v>10</v>
      </c>
      <c r="B423" s="32">
        <v>3</v>
      </c>
      <c r="C423" s="32">
        <v>6</v>
      </c>
      <c r="D423" s="32">
        <v>9</v>
      </c>
      <c r="E423" s="32">
        <v>30</v>
      </c>
      <c r="F423" s="2">
        <v>59.5</v>
      </c>
      <c r="G423">
        <v>58.613992736077478</v>
      </c>
      <c r="H423" t="s">
        <v>12</v>
      </c>
      <c r="I423" t="s">
        <v>12</v>
      </c>
      <c r="AD423" s="17">
        <v>421</v>
      </c>
      <c r="AE423" s="6">
        <v>3.0323699999999998</v>
      </c>
      <c r="AF423" s="6">
        <v>0.50039999999999996</v>
      </c>
      <c r="AG423" s="6">
        <v>2.9198</v>
      </c>
      <c r="AH423" s="6">
        <v>255</v>
      </c>
      <c r="AJ423" s="17">
        <v>421</v>
      </c>
      <c r="AK423" s="6">
        <v>5.7500400000000003</v>
      </c>
      <c r="AL423" s="6">
        <v>0.50039999999999996</v>
      </c>
      <c r="AM423" s="6">
        <v>2.9198</v>
      </c>
      <c r="AN423" s="6">
        <v>255</v>
      </c>
      <c r="AQ423" s="17">
        <v>421</v>
      </c>
      <c r="AR423" s="6">
        <v>1.5871200000000001</v>
      </c>
      <c r="AS423" s="19">
        <v>-0.3982</v>
      </c>
      <c r="AT423" s="6">
        <v>0.80589999999999995</v>
      </c>
      <c r="AU423" s="6">
        <v>255</v>
      </c>
      <c r="AW423" s="17">
        <v>421</v>
      </c>
      <c r="AX423" s="6">
        <v>0.83699000000000001</v>
      </c>
      <c r="AY423" s="19">
        <v>-0.3982</v>
      </c>
      <c r="AZ423" s="6">
        <v>0.80589999999999995</v>
      </c>
      <c r="BA423" s="6">
        <v>255</v>
      </c>
      <c r="BN423" s="17">
        <v>421</v>
      </c>
      <c r="BO423" s="6">
        <v>58.748814920000001</v>
      </c>
      <c r="BP423" s="6">
        <v>60.028380149999997</v>
      </c>
      <c r="BQ423" s="19">
        <v>-1.27956523</v>
      </c>
    </row>
    <row r="424" spans="1:69" x14ac:dyDescent="0.25">
      <c r="A424" s="31" t="s">
        <v>10</v>
      </c>
      <c r="B424" s="32">
        <v>3</v>
      </c>
      <c r="C424" s="32">
        <v>7</v>
      </c>
      <c r="D424" s="32">
        <v>9</v>
      </c>
      <c r="E424" s="32">
        <v>24</v>
      </c>
      <c r="F424" s="2">
        <v>58.5</v>
      </c>
      <c r="G424">
        <v>54.517981598062953</v>
      </c>
      <c r="H424" t="s">
        <v>12</v>
      </c>
      <c r="I424" t="s">
        <v>12</v>
      </c>
      <c r="AD424" s="17">
        <v>422</v>
      </c>
      <c r="AE424" s="6">
        <v>3.0694300000000001</v>
      </c>
      <c r="AF424" s="6">
        <v>4.2217000000000002</v>
      </c>
      <c r="AG424" s="6">
        <v>2.9554999999999998</v>
      </c>
      <c r="AH424" s="6">
        <v>255</v>
      </c>
      <c r="AJ424" s="17">
        <v>422</v>
      </c>
      <c r="AK424" s="6">
        <v>5.8203100000000001</v>
      </c>
      <c r="AL424" s="6">
        <v>4.2217000000000002</v>
      </c>
      <c r="AM424" s="6">
        <v>2.9554999999999998</v>
      </c>
      <c r="AN424" s="6">
        <v>255</v>
      </c>
      <c r="AQ424" s="17">
        <v>422</v>
      </c>
      <c r="AR424" s="6">
        <v>1.6064000000000001</v>
      </c>
      <c r="AS424" s="19">
        <v>-1.0822000000000001</v>
      </c>
      <c r="AT424" s="6">
        <v>0.81569999999999998</v>
      </c>
      <c r="AU424" s="6">
        <v>255</v>
      </c>
      <c r="AW424" s="17">
        <v>422</v>
      </c>
      <c r="AX424" s="6">
        <v>0.84716000000000002</v>
      </c>
      <c r="AY424" s="19">
        <v>-1.0822000000000001</v>
      </c>
      <c r="AZ424" s="6">
        <v>0.81569999999999998</v>
      </c>
      <c r="BA424" s="6">
        <v>255</v>
      </c>
      <c r="BN424" s="17">
        <v>422</v>
      </c>
      <c r="BO424" s="6">
        <v>58.61399274</v>
      </c>
      <c r="BP424" s="6">
        <v>53.746816680000002</v>
      </c>
      <c r="BQ424" s="6">
        <v>4.8671760600000002</v>
      </c>
    </row>
    <row r="425" spans="1:69" x14ac:dyDescent="0.25">
      <c r="A425" s="31" t="s">
        <v>10</v>
      </c>
      <c r="B425" s="32">
        <v>3</v>
      </c>
      <c r="C425" s="32">
        <v>8</v>
      </c>
      <c r="D425" s="32">
        <v>9</v>
      </c>
      <c r="E425" s="32">
        <v>8</v>
      </c>
      <c r="F425" s="2">
        <v>59</v>
      </c>
      <c r="G425">
        <v>62.375666731234865</v>
      </c>
      <c r="H425" t="s">
        <v>12</v>
      </c>
      <c r="I425" t="s">
        <v>12</v>
      </c>
      <c r="AD425" s="17">
        <v>423</v>
      </c>
      <c r="AE425" s="6">
        <v>3.0442999999999998</v>
      </c>
      <c r="AF425" s="6">
        <v>12.7257</v>
      </c>
      <c r="AG425" s="6">
        <v>2.9312999999999998</v>
      </c>
      <c r="AH425" s="6">
        <v>255</v>
      </c>
      <c r="AJ425" s="17">
        <v>423</v>
      </c>
      <c r="AK425" s="6">
        <v>5.7726600000000001</v>
      </c>
      <c r="AL425" s="6">
        <v>12.7257</v>
      </c>
      <c r="AM425" s="6">
        <v>2.9312999999999998</v>
      </c>
      <c r="AN425" s="6">
        <v>255</v>
      </c>
      <c r="AQ425" s="17">
        <v>423</v>
      </c>
      <c r="AR425" s="6">
        <v>1.6001399999999999</v>
      </c>
      <c r="AS425" s="6">
        <v>1.8264</v>
      </c>
      <c r="AT425" s="6">
        <v>0.8125</v>
      </c>
      <c r="AU425" s="6">
        <v>255</v>
      </c>
      <c r="AW425" s="17">
        <v>423</v>
      </c>
      <c r="AX425" s="6">
        <v>0.84386000000000005</v>
      </c>
      <c r="AY425" s="6">
        <v>1.8264</v>
      </c>
      <c r="AZ425" s="6">
        <v>0.8125</v>
      </c>
      <c r="BA425" s="6">
        <v>255</v>
      </c>
      <c r="BN425" s="17">
        <v>423</v>
      </c>
      <c r="BO425" s="6">
        <v>54.517981599999999</v>
      </c>
      <c r="BP425" s="6">
        <v>63.205068099999998</v>
      </c>
      <c r="BQ425" s="19">
        <v>-8.6870864999999995</v>
      </c>
    </row>
    <row r="426" spans="1:69" x14ac:dyDescent="0.25">
      <c r="A426" s="31" t="s">
        <v>10</v>
      </c>
      <c r="B426" s="32">
        <v>3</v>
      </c>
      <c r="C426" s="32">
        <v>9</v>
      </c>
      <c r="D426" s="32">
        <v>9</v>
      </c>
      <c r="E426" s="32">
        <v>6</v>
      </c>
      <c r="F426" s="2">
        <v>57.8</v>
      </c>
      <c r="G426">
        <v>51.017648426150117</v>
      </c>
      <c r="H426" t="s">
        <v>12</v>
      </c>
      <c r="I426" t="s">
        <v>12</v>
      </c>
      <c r="AD426" s="17">
        <v>424</v>
      </c>
      <c r="AE426" s="6">
        <v>3.0645799999999999</v>
      </c>
      <c r="AF426" s="19">
        <v>-7.4966999999999997</v>
      </c>
      <c r="AG426" s="6">
        <v>2.9508000000000001</v>
      </c>
      <c r="AH426" s="6">
        <v>255</v>
      </c>
      <c r="AJ426" s="17">
        <v>424</v>
      </c>
      <c r="AK426" s="6">
        <v>5.8111199999999998</v>
      </c>
      <c r="AL426" s="19">
        <v>-7.4966999999999997</v>
      </c>
      <c r="AM426" s="6">
        <v>2.9508000000000001</v>
      </c>
      <c r="AN426" s="6">
        <v>255</v>
      </c>
      <c r="AQ426" s="17">
        <v>424</v>
      </c>
      <c r="AR426" s="6">
        <v>1.59335</v>
      </c>
      <c r="AS426" s="19">
        <v>-4.1135000000000002</v>
      </c>
      <c r="AT426" s="6">
        <v>0.80910000000000004</v>
      </c>
      <c r="AU426" s="6">
        <v>255</v>
      </c>
      <c r="AW426" s="17">
        <v>424</v>
      </c>
      <c r="AX426" s="6">
        <v>0.84026999999999996</v>
      </c>
      <c r="AY426" s="19">
        <v>-4.1135000000000002</v>
      </c>
      <c r="AZ426" s="6">
        <v>0.80910000000000004</v>
      </c>
      <c r="BA426" s="6">
        <v>255</v>
      </c>
      <c r="BN426" s="17">
        <v>424</v>
      </c>
      <c r="BO426" s="6">
        <v>62.375666729999999</v>
      </c>
      <c r="BP426" s="6">
        <v>64.634749299999996</v>
      </c>
      <c r="BQ426" s="19">
        <v>-2.2590825699999999</v>
      </c>
    </row>
    <row r="427" spans="1:69" x14ac:dyDescent="0.25">
      <c r="A427" s="31" t="s">
        <v>10</v>
      </c>
      <c r="B427" s="32">
        <v>3</v>
      </c>
      <c r="C427" s="32">
        <v>10</v>
      </c>
      <c r="D427" s="32">
        <v>9</v>
      </c>
      <c r="E427" s="32">
        <v>15</v>
      </c>
      <c r="F427" s="2">
        <v>56.9</v>
      </c>
      <c r="G427">
        <v>61.069312590799036</v>
      </c>
      <c r="H427" t="s">
        <v>12</v>
      </c>
      <c r="I427" t="s">
        <v>12</v>
      </c>
      <c r="AD427" s="17">
        <v>425</v>
      </c>
      <c r="AE427" s="6">
        <v>3.04589</v>
      </c>
      <c r="AF427" s="19">
        <v>-2.6941000000000002</v>
      </c>
      <c r="AG427" s="6">
        <v>2.9327999999999999</v>
      </c>
      <c r="AH427" s="6">
        <v>255</v>
      </c>
      <c r="AJ427" s="17">
        <v>425</v>
      </c>
      <c r="AK427" s="6">
        <v>5.77569</v>
      </c>
      <c r="AL427" s="19">
        <v>-2.6941000000000002</v>
      </c>
      <c r="AM427" s="6">
        <v>2.9327999999999999</v>
      </c>
      <c r="AN427" s="6">
        <v>255</v>
      </c>
      <c r="AQ427" s="17">
        <v>425</v>
      </c>
      <c r="AR427" s="6">
        <v>1.6135699999999999</v>
      </c>
      <c r="AS427" s="19">
        <v>-1.5382</v>
      </c>
      <c r="AT427" s="6">
        <v>0.81940000000000002</v>
      </c>
      <c r="AU427" s="6">
        <v>255</v>
      </c>
      <c r="AW427" s="17">
        <v>425</v>
      </c>
      <c r="AX427" s="6">
        <v>0.85094000000000003</v>
      </c>
      <c r="AY427" s="19">
        <v>-1.5382</v>
      </c>
      <c r="AZ427" s="6">
        <v>0.81940000000000002</v>
      </c>
      <c r="BA427" s="6">
        <v>255</v>
      </c>
      <c r="BN427" s="17">
        <v>425</v>
      </c>
      <c r="BO427" s="6">
        <v>51.017648430000001</v>
      </c>
      <c r="BP427" s="6">
        <v>52.033127929999999</v>
      </c>
      <c r="BQ427" s="19">
        <v>-1.0154795000000001</v>
      </c>
    </row>
    <row r="428" spans="1:69" x14ac:dyDescent="0.25">
      <c r="A428" s="31" t="s">
        <v>10</v>
      </c>
      <c r="B428" s="32">
        <v>3</v>
      </c>
      <c r="C428" s="32">
        <v>11</v>
      </c>
      <c r="D428" s="32">
        <v>9</v>
      </c>
      <c r="E428" s="32">
        <v>44</v>
      </c>
      <c r="F428" s="2">
        <v>58.3</v>
      </c>
      <c r="G428">
        <v>61.590944309927359</v>
      </c>
      <c r="H428" t="s">
        <v>12</v>
      </c>
      <c r="I428" t="s">
        <v>12</v>
      </c>
      <c r="AD428" s="17">
        <v>426</v>
      </c>
      <c r="AE428" s="6">
        <v>3.0469499999999998</v>
      </c>
      <c r="AF428" s="19">
        <v>-7.3936000000000002</v>
      </c>
      <c r="AG428" s="6">
        <v>2.9339</v>
      </c>
      <c r="AH428" s="6">
        <v>255</v>
      </c>
      <c r="AJ428" s="17">
        <v>426</v>
      </c>
      <c r="AK428" s="6">
        <v>5.7777000000000003</v>
      </c>
      <c r="AL428" s="19">
        <v>-7.3936000000000002</v>
      </c>
      <c r="AM428" s="6">
        <v>2.9339</v>
      </c>
      <c r="AN428" s="6">
        <v>255</v>
      </c>
      <c r="AQ428" s="17">
        <v>426</v>
      </c>
      <c r="AR428" s="6">
        <v>1.5897699999999999</v>
      </c>
      <c r="AS428" s="19">
        <v>-3.3912</v>
      </c>
      <c r="AT428" s="6">
        <v>0.80730000000000002</v>
      </c>
      <c r="AU428" s="6">
        <v>255</v>
      </c>
      <c r="AW428" s="17">
        <v>426</v>
      </c>
      <c r="AX428" s="6">
        <v>0.83838999999999997</v>
      </c>
      <c r="AY428" s="19">
        <v>-3.3912</v>
      </c>
      <c r="AZ428" s="6">
        <v>0.80730000000000002</v>
      </c>
      <c r="BA428" s="6">
        <v>255</v>
      </c>
      <c r="BN428" s="17">
        <v>426</v>
      </c>
      <c r="BO428" s="6">
        <v>61.069312590000003</v>
      </c>
      <c r="BP428" s="6">
        <v>60.566339730000003</v>
      </c>
      <c r="BQ428" s="6">
        <v>0.50297285999999997</v>
      </c>
    </row>
    <row r="429" spans="1:69" x14ac:dyDescent="0.25">
      <c r="A429" s="31" t="s">
        <v>10</v>
      </c>
      <c r="B429" s="32">
        <v>3</v>
      </c>
      <c r="C429" s="32">
        <v>12</v>
      </c>
      <c r="D429" s="32">
        <v>9</v>
      </c>
      <c r="E429" s="32">
        <v>40</v>
      </c>
      <c r="F429" s="2">
        <v>56.8</v>
      </c>
      <c r="G429">
        <v>58.532635351089581</v>
      </c>
      <c r="H429" t="s">
        <v>12</v>
      </c>
      <c r="I429" t="s">
        <v>12</v>
      </c>
      <c r="AD429" s="17">
        <v>427</v>
      </c>
      <c r="AE429" s="6">
        <v>3.0380199999999999</v>
      </c>
      <c r="AF429" s="19">
        <v>-7.5519999999999996</v>
      </c>
      <c r="AG429" s="6">
        <v>2.9253</v>
      </c>
      <c r="AH429" s="6">
        <v>255</v>
      </c>
      <c r="AJ429" s="17">
        <v>427</v>
      </c>
      <c r="AK429" s="6">
        <v>5.7607499999999998</v>
      </c>
      <c r="AL429" s="19">
        <v>-7.5519999999999996</v>
      </c>
      <c r="AM429" s="6">
        <v>2.9253</v>
      </c>
      <c r="AN429" s="6">
        <v>255</v>
      </c>
      <c r="AQ429" s="17">
        <v>427</v>
      </c>
      <c r="AR429" s="6">
        <v>1.5963000000000001</v>
      </c>
      <c r="AS429" s="19">
        <v>-3.6309999999999998</v>
      </c>
      <c r="AT429" s="6">
        <v>0.81059999999999999</v>
      </c>
      <c r="AU429" s="6">
        <v>255</v>
      </c>
      <c r="AW429" s="17">
        <v>427</v>
      </c>
      <c r="AX429" s="6">
        <v>0.84182999999999997</v>
      </c>
      <c r="AY429" s="19">
        <v>-3.6309999999999998</v>
      </c>
      <c r="AZ429" s="6">
        <v>0.81059999999999999</v>
      </c>
      <c r="BA429" s="6">
        <v>255</v>
      </c>
      <c r="BN429" s="17">
        <v>427</v>
      </c>
      <c r="BO429" s="6">
        <v>61.590944309999998</v>
      </c>
      <c r="BP429" s="6">
        <v>55.346913450000002</v>
      </c>
      <c r="BQ429" s="6">
        <v>6.2440308599999996</v>
      </c>
    </row>
    <row r="430" spans="1:69" x14ac:dyDescent="0.25">
      <c r="A430" s="31" t="s">
        <v>10</v>
      </c>
      <c r="B430" s="32">
        <v>3</v>
      </c>
      <c r="C430" s="32">
        <v>13</v>
      </c>
      <c r="D430" s="32">
        <v>9</v>
      </c>
      <c r="E430" s="32">
        <v>39</v>
      </c>
      <c r="F430" s="2">
        <v>57.2</v>
      </c>
      <c r="G430">
        <v>62.751713317191282</v>
      </c>
      <c r="H430" t="s">
        <v>12</v>
      </c>
      <c r="I430" t="s">
        <v>12</v>
      </c>
      <c r="AD430" s="17">
        <v>428</v>
      </c>
      <c r="AE430" s="6">
        <v>3.0493999999999999</v>
      </c>
      <c r="AF430" s="19">
        <v>-7.9564000000000004</v>
      </c>
      <c r="AG430" s="6">
        <v>2.9361999999999999</v>
      </c>
      <c r="AH430" s="6">
        <v>255</v>
      </c>
      <c r="AJ430" s="17">
        <v>428</v>
      </c>
      <c r="AK430" s="6">
        <v>5.7823399999999996</v>
      </c>
      <c r="AL430" s="19">
        <v>-7.9564000000000004</v>
      </c>
      <c r="AM430" s="6">
        <v>2.9361999999999999</v>
      </c>
      <c r="AN430" s="6">
        <v>255</v>
      </c>
      <c r="AQ430" s="17">
        <v>428</v>
      </c>
      <c r="AR430" s="6">
        <v>1.5905199999999999</v>
      </c>
      <c r="AS430" s="19">
        <v>-1.3640000000000001</v>
      </c>
      <c r="AT430" s="6">
        <v>0.80769999999999997</v>
      </c>
      <c r="AU430" s="6">
        <v>255</v>
      </c>
      <c r="AW430" s="17">
        <v>428</v>
      </c>
      <c r="AX430" s="6">
        <v>0.83877999999999997</v>
      </c>
      <c r="AY430" s="19">
        <v>-1.3640000000000001</v>
      </c>
      <c r="AZ430" s="6">
        <v>0.80769999999999997</v>
      </c>
      <c r="BA430" s="6">
        <v>255</v>
      </c>
      <c r="BN430" s="17">
        <v>428</v>
      </c>
      <c r="BO430" s="6">
        <v>58.53263535</v>
      </c>
      <c r="BP430" s="6">
        <v>56.6837698</v>
      </c>
      <c r="BQ430" s="6">
        <v>1.84886555</v>
      </c>
    </row>
    <row r="431" spans="1:69" x14ac:dyDescent="0.25">
      <c r="A431" s="31" t="s">
        <v>10</v>
      </c>
      <c r="B431" s="32">
        <v>3</v>
      </c>
      <c r="C431" s="32">
        <v>13</v>
      </c>
      <c r="D431" s="32">
        <v>10</v>
      </c>
      <c r="E431" s="32">
        <v>4</v>
      </c>
      <c r="F431" s="2">
        <v>54.7</v>
      </c>
      <c r="G431">
        <v>54.805398174225495</v>
      </c>
      <c r="H431" t="s">
        <v>12</v>
      </c>
      <c r="I431" t="s">
        <v>12</v>
      </c>
      <c r="AD431" s="17">
        <v>429</v>
      </c>
      <c r="AE431" s="6">
        <v>3.06555</v>
      </c>
      <c r="AF431" s="19">
        <v>-6.5255999999999998</v>
      </c>
      <c r="AG431" s="6">
        <v>2.9518</v>
      </c>
      <c r="AH431" s="6">
        <v>255</v>
      </c>
      <c r="AJ431" s="17">
        <v>429</v>
      </c>
      <c r="AK431" s="6">
        <v>5.8129499999999998</v>
      </c>
      <c r="AL431" s="19">
        <v>-6.5255999999999998</v>
      </c>
      <c r="AM431" s="6">
        <v>2.9518</v>
      </c>
      <c r="AN431" s="6">
        <v>255</v>
      </c>
      <c r="AQ431" s="17">
        <v>429</v>
      </c>
      <c r="AR431" s="6">
        <v>1.6000700000000001</v>
      </c>
      <c r="AS431" s="19">
        <v>-2.9859</v>
      </c>
      <c r="AT431" s="6">
        <v>0.8125</v>
      </c>
      <c r="AU431" s="6">
        <v>255</v>
      </c>
      <c r="AW431" s="17">
        <v>429</v>
      </c>
      <c r="AX431" s="6">
        <v>0.84382000000000001</v>
      </c>
      <c r="AY431" s="19">
        <v>-2.9859</v>
      </c>
      <c r="AZ431" s="6">
        <v>0.8125</v>
      </c>
      <c r="BA431" s="6">
        <v>255</v>
      </c>
      <c r="BN431" s="17">
        <v>429</v>
      </c>
      <c r="BO431" s="6">
        <v>62.75171332</v>
      </c>
      <c r="BP431" s="6">
        <v>64.516306749999998</v>
      </c>
      <c r="BQ431" s="19">
        <v>-1.7645934299999999</v>
      </c>
    </row>
    <row r="432" spans="1:69" x14ac:dyDescent="0.25">
      <c r="A432" s="31" t="s">
        <v>10</v>
      </c>
      <c r="B432" s="32">
        <v>3</v>
      </c>
      <c r="C432" s="32">
        <v>12</v>
      </c>
      <c r="D432" s="32">
        <v>10</v>
      </c>
      <c r="E432" s="32">
        <v>9</v>
      </c>
      <c r="F432" s="2">
        <v>54.1</v>
      </c>
      <c r="G432">
        <v>62.577383703991437</v>
      </c>
      <c r="H432" t="s">
        <v>12</v>
      </c>
      <c r="I432" t="s">
        <v>12</v>
      </c>
      <c r="AD432" s="17">
        <v>430</v>
      </c>
      <c r="AE432" s="6">
        <v>3.0486800000000001</v>
      </c>
      <c r="AF432" s="19">
        <v>-5.3170000000000002</v>
      </c>
      <c r="AG432" s="6">
        <v>2.9355000000000002</v>
      </c>
      <c r="AH432" s="6">
        <v>255</v>
      </c>
      <c r="AJ432" s="17">
        <v>430</v>
      </c>
      <c r="AK432" s="6">
        <v>5.7809799999999996</v>
      </c>
      <c r="AL432" s="19">
        <v>-5.3170000000000002</v>
      </c>
      <c r="AM432" s="6">
        <v>2.9355000000000002</v>
      </c>
      <c r="AN432" s="6">
        <v>255</v>
      </c>
      <c r="AQ432" s="17">
        <v>430</v>
      </c>
      <c r="AR432" s="6">
        <v>1.5916600000000001</v>
      </c>
      <c r="AS432" s="19">
        <v>-1.4835</v>
      </c>
      <c r="AT432" s="6">
        <v>0.80820000000000003</v>
      </c>
      <c r="AU432" s="6">
        <v>255</v>
      </c>
      <c r="AW432" s="17">
        <v>430</v>
      </c>
      <c r="AX432" s="6">
        <v>0.83938999999999997</v>
      </c>
      <c r="AY432" s="19">
        <v>-1.4835</v>
      </c>
      <c r="AZ432" s="6">
        <v>0.80820000000000003</v>
      </c>
      <c r="BA432" s="6">
        <v>255</v>
      </c>
      <c r="BN432" s="17">
        <v>430</v>
      </c>
      <c r="BO432" s="6">
        <v>54.805398169999997</v>
      </c>
      <c r="BP432" s="6">
        <v>52.589407809999997</v>
      </c>
      <c r="BQ432" s="6">
        <v>2.2159903600000002</v>
      </c>
    </row>
    <row r="433" spans="1:69" x14ac:dyDescent="0.25">
      <c r="A433" s="31" t="s">
        <v>10</v>
      </c>
      <c r="B433" s="32">
        <v>3</v>
      </c>
      <c r="C433" s="32">
        <v>11</v>
      </c>
      <c r="D433" s="32">
        <v>10</v>
      </c>
      <c r="E433" s="32">
        <v>60</v>
      </c>
      <c r="F433" s="2">
        <v>53.7</v>
      </c>
      <c r="G433">
        <v>52.241849082256948</v>
      </c>
      <c r="H433" t="s">
        <v>12</v>
      </c>
      <c r="I433" t="s">
        <v>12</v>
      </c>
      <c r="AD433" s="17">
        <v>431</v>
      </c>
      <c r="AE433" s="6">
        <v>3.0466299999999999</v>
      </c>
      <c r="AF433" s="19">
        <v>-1.2185999999999999</v>
      </c>
      <c r="AG433" s="6">
        <v>2.9336000000000002</v>
      </c>
      <c r="AH433" s="6">
        <v>255</v>
      </c>
      <c r="AJ433" s="17">
        <v>431</v>
      </c>
      <c r="AK433" s="6">
        <v>5.7770900000000003</v>
      </c>
      <c r="AL433" s="19">
        <v>-1.2185999999999999</v>
      </c>
      <c r="AM433" s="6">
        <v>2.9336000000000002</v>
      </c>
      <c r="AN433" s="6">
        <v>255</v>
      </c>
      <c r="AQ433" s="17">
        <v>431</v>
      </c>
      <c r="AR433" s="6">
        <v>1.59823</v>
      </c>
      <c r="AS433" s="19">
        <v>-1.0962000000000001</v>
      </c>
      <c r="AT433" s="6">
        <v>0.81159999999999999</v>
      </c>
      <c r="AU433" s="6">
        <v>255</v>
      </c>
      <c r="AW433" s="17">
        <v>431</v>
      </c>
      <c r="AX433" s="6">
        <v>0.84284999999999999</v>
      </c>
      <c r="AY433" s="19">
        <v>-1.0962000000000001</v>
      </c>
      <c r="AZ433" s="6">
        <v>0.81159999999999999</v>
      </c>
      <c r="BA433" s="6">
        <v>255</v>
      </c>
      <c r="BN433" s="17">
        <v>431</v>
      </c>
      <c r="BO433" s="6">
        <v>62.577383699999999</v>
      </c>
      <c r="BP433" s="6">
        <v>56.88208916</v>
      </c>
      <c r="BQ433" s="6">
        <v>5.6952945399999999</v>
      </c>
    </row>
    <row r="434" spans="1:69" x14ac:dyDescent="0.25">
      <c r="A434" s="31" t="s">
        <v>10</v>
      </c>
      <c r="B434" s="32">
        <v>3</v>
      </c>
      <c r="C434" s="32">
        <v>10</v>
      </c>
      <c r="D434" s="32">
        <v>10</v>
      </c>
      <c r="E434" s="32">
        <v>23</v>
      </c>
      <c r="F434" s="2">
        <v>59.4</v>
      </c>
      <c r="G434">
        <v>59.532679421190622</v>
      </c>
      <c r="H434" t="s">
        <v>12</v>
      </c>
      <c r="I434" t="s">
        <v>12</v>
      </c>
      <c r="AD434" s="17">
        <v>432</v>
      </c>
      <c r="AE434" s="6">
        <v>3.04684</v>
      </c>
      <c r="AF434" s="19">
        <v>-4.9745999999999997</v>
      </c>
      <c r="AG434" s="6">
        <v>2.9338000000000002</v>
      </c>
      <c r="AH434" s="6">
        <v>255</v>
      </c>
      <c r="AJ434" s="17">
        <v>432</v>
      </c>
      <c r="AK434" s="6">
        <v>5.7774799999999997</v>
      </c>
      <c r="AL434" s="19">
        <v>-4.9745999999999997</v>
      </c>
      <c r="AM434" s="6">
        <v>2.9338000000000002</v>
      </c>
      <c r="AN434" s="6">
        <v>255</v>
      </c>
      <c r="AQ434" s="17">
        <v>432</v>
      </c>
      <c r="AR434" s="6">
        <v>1.59053</v>
      </c>
      <c r="AS434" s="19">
        <v>-1.0210999999999999</v>
      </c>
      <c r="AT434" s="6">
        <v>0.80769999999999997</v>
      </c>
      <c r="AU434" s="6">
        <v>255</v>
      </c>
      <c r="AW434" s="17">
        <v>432</v>
      </c>
      <c r="AX434" s="6">
        <v>0.83879000000000004</v>
      </c>
      <c r="AY434" s="19">
        <v>-1.0210999999999999</v>
      </c>
      <c r="AZ434" s="6">
        <v>0.80769999999999997</v>
      </c>
      <c r="BA434" s="6">
        <v>255</v>
      </c>
      <c r="BN434" s="17">
        <v>432</v>
      </c>
      <c r="BO434" s="6">
        <v>52.241849080000001</v>
      </c>
      <c r="BP434" s="6">
        <v>52.339665670000002</v>
      </c>
      <c r="BQ434" s="19">
        <v>-9.7816589999999995E-2</v>
      </c>
    </row>
    <row r="435" spans="1:69" x14ac:dyDescent="0.25">
      <c r="A435" s="31" t="s">
        <v>10</v>
      </c>
      <c r="B435" s="32">
        <v>3</v>
      </c>
      <c r="C435" s="32">
        <v>9</v>
      </c>
      <c r="D435" s="32">
        <v>10</v>
      </c>
      <c r="E435" s="32">
        <v>10</v>
      </c>
      <c r="F435" s="2">
        <v>54.6</v>
      </c>
      <c r="G435">
        <v>54.607196270758472</v>
      </c>
      <c r="H435" t="s">
        <v>12</v>
      </c>
      <c r="I435" t="s">
        <v>12</v>
      </c>
      <c r="AD435" s="17">
        <v>433</v>
      </c>
      <c r="AE435" s="6">
        <v>3.0397599999999998</v>
      </c>
      <c r="AF435" s="19">
        <v>-8.4949999999999992</v>
      </c>
      <c r="AG435" s="6">
        <v>2.9268999999999998</v>
      </c>
      <c r="AH435" s="6">
        <v>255</v>
      </c>
      <c r="AJ435" s="17">
        <v>433</v>
      </c>
      <c r="AK435" s="6">
        <v>5.7640500000000001</v>
      </c>
      <c r="AL435" s="19">
        <v>-8.4949999999999992</v>
      </c>
      <c r="AM435" s="6">
        <v>2.9268999999999998</v>
      </c>
      <c r="AN435" s="6">
        <v>255</v>
      </c>
      <c r="AQ435" s="17">
        <v>433</v>
      </c>
      <c r="AR435" s="6">
        <v>1.5873699999999999</v>
      </c>
      <c r="AS435" s="19">
        <v>-2.9659</v>
      </c>
      <c r="AT435" s="6">
        <v>0.80610000000000004</v>
      </c>
      <c r="AU435" s="6">
        <v>255</v>
      </c>
      <c r="AW435" s="17">
        <v>433</v>
      </c>
      <c r="AX435" s="6">
        <v>0.83711999999999998</v>
      </c>
      <c r="AY435" s="19">
        <v>-2.9659</v>
      </c>
      <c r="AZ435" s="6">
        <v>0.80610000000000004</v>
      </c>
      <c r="BA435" s="6">
        <v>255</v>
      </c>
      <c r="BN435" s="17">
        <v>433</v>
      </c>
      <c r="BO435" s="6">
        <v>59.532679420000001</v>
      </c>
      <c r="BP435" s="6">
        <v>53.678294280000003</v>
      </c>
      <c r="BQ435" s="6">
        <v>5.8543851399999998</v>
      </c>
    </row>
    <row r="436" spans="1:69" x14ac:dyDescent="0.25">
      <c r="A436" s="31" t="s">
        <v>10</v>
      </c>
      <c r="B436" s="32">
        <v>3</v>
      </c>
      <c r="C436" s="32">
        <v>8</v>
      </c>
      <c r="D436" s="32">
        <v>10</v>
      </c>
      <c r="E436" s="32">
        <v>21</v>
      </c>
      <c r="F436" s="2">
        <v>58</v>
      </c>
      <c r="G436">
        <v>62.465375352044276</v>
      </c>
      <c r="H436" t="s">
        <v>12</v>
      </c>
      <c r="I436" t="s">
        <v>12</v>
      </c>
      <c r="AD436" s="17">
        <v>434</v>
      </c>
      <c r="AE436" s="6">
        <v>3.0380799999999999</v>
      </c>
      <c r="AF436" s="19">
        <v>-8.1667000000000005</v>
      </c>
      <c r="AG436" s="6">
        <v>2.9253</v>
      </c>
      <c r="AH436" s="6">
        <v>255</v>
      </c>
      <c r="AJ436" s="17">
        <v>434</v>
      </c>
      <c r="AK436" s="6">
        <v>5.7608600000000001</v>
      </c>
      <c r="AL436" s="19">
        <v>-8.1667000000000005</v>
      </c>
      <c r="AM436" s="6">
        <v>2.9253</v>
      </c>
      <c r="AN436" s="6">
        <v>255</v>
      </c>
      <c r="AQ436" s="17">
        <v>434</v>
      </c>
      <c r="AR436" s="6">
        <v>1.5894999999999999</v>
      </c>
      <c r="AS436" s="19">
        <v>-2.1236999999999999</v>
      </c>
      <c r="AT436" s="6">
        <v>0.80710000000000004</v>
      </c>
      <c r="AU436" s="6">
        <v>255</v>
      </c>
      <c r="AW436" s="17">
        <v>434</v>
      </c>
      <c r="AX436" s="6">
        <v>0.83825000000000005</v>
      </c>
      <c r="AY436" s="19">
        <v>-2.1236999999999999</v>
      </c>
      <c r="AZ436" s="6">
        <v>0.80710000000000004</v>
      </c>
      <c r="BA436" s="6">
        <v>255</v>
      </c>
      <c r="BN436" s="17">
        <v>434</v>
      </c>
      <c r="BO436" s="6">
        <v>54.607196270000003</v>
      </c>
      <c r="BP436" s="6">
        <v>51.723197069999998</v>
      </c>
      <c r="BQ436" s="6">
        <v>2.8839991999999999</v>
      </c>
    </row>
    <row r="437" spans="1:69" x14ac:dyDescent="0.25">
      <c r="A437" s="31" t="s">
        <v>10</v>
      </c>
      <c r="B437" s="32">
        <v>3</v>
      </c>
      <c r="C437" s="32">
        <v>7</v>
      </c>
      <c r="D437" s="32">
        <v>10</v>
      </c>
      <c r="E437" s="32">
        <v>49</v>
      </c>
      <c r="F437" s="2">
        <v>54.5</v>
      </c>
      <c r="G437">
        <v>48.249208021753894</v>
      </c>
      <c r="H437" t="s">
        <v>12</v>
      </c>
      <c r="I437" t="s">
        <v>12</v>
      </c>
      <c r="AD437" s="17">
        <v>435</v>
      </c>
      <c r="AE437" s="6">
        <v>3.0354199999999998</v>
      </c>
      <c r="AF437" s="19">
        <v>-5.6486999999999998</v>
      </c>
      <c r="AG437" s="6">
        <v>2.9228000000000001</v>
      </c>
      <c r="AH437" s="6">
        <v>255</v>
      </c>
      <c r="AJ437" s="17">
        <v>435</v>
      </c>
      <c r="AK437" s="6">
        <v>5.7558199999999999</v>
      </c>
      <c r="AL437" s="19">
        <v>-5.6486999999999998</v>
      </c>
      <c r="AM437" s="6">
        <v>2.9228000000000001</v>
      </c>
      <c r="AN437" s="6">
        <v>255</v>
      </c>
      <c r="AQ437" s="17">
        <v>435</v>
      </c>
      <c r="AR437" s="6">
        <v>1.58595</v>
      </c>
      <c r="AS437" s="19">
        <v>-3.7928000000000002</v>
      </c>
      <c r="AT437" s="6">
        <v>0.80530000000000002</v>
      </c>
      <c r="AU437" s="6">
        <v>255</v>
      </c>
      <c r="AW437" s="17">
        <v>435</v>
      </c>
      <c r="AX437" s="6">
        <v>0.83638000000000001</v>
      </c>
      <c r="AY437" s="19">
        <v>-3.7928000000000002</v>
      </c>
      <c r="AZ437" s="6">
        <v>0.80530000000000002</v>
      </c>
      <c r="BA437" s="6">
        <v>255</v>
      </c>
      <c r="BN437" s="17">
        <v>435</v>
      </c>
      <c r="BO437" s="6">
        <v>62.465375350000002</v>
      </c>
      <c r="BP437" s="6">
        <v>59.09099767</v>
      </c>
      <c r="BQ437" s="6">
        <v>3.3743776799999998</v>
      </c>
    </row>
    <row r="438" spans="1:69" x14ac:dyDescent="0.25">
      <c r="A438" s="31" t="s">
        <v>10</v>
      </c>
      <c r="B438" s="32">
        <v>3</v>
      </c>
      <c r="C438" s="32">
        <v>6</v>
      </c>
      <c r="D438" s="32">
        <v>10</v>
      </c>
      <c r="E438" s="32">
        <v>12</v>
      </c>
      <c r="F438" s="2">
        <v>57.9</v>
      </c>
      <c r="G438">
        <v>52.284936243566065</v>
      </c>
      <c r="H438" t="s">
        <v>12</v>
      </c>
      <c r="I438" t="s">
        <v>12</v>
      </c>
      <c r="AD438" s="17">
        <v>436</v>
      </c>
      <c r="AE438" s="6">
        <v>3.0321099999999999</v>
      </c>
      <c r="AF438" s="19">
        <v>-3.9704000000000002</v>
      </c>
      <c r="AG438" s="6">
        <v>2.9196</v>
      </c>
      <c r="AH438" s="6">
        <v>255</v>
      </c>
      <c r="AJ438" s="17">
        <v>436</v>
      </c>
      <c r="AK438" s="6">
        <v>5.7495500000000002</v>
      </c>
      <c r="AL438" s="19">
        <v>-3.9704000000000002</v>
      </c>
      <c r="AM438" s="6">
        <v>2.9196</v>
      </c>
      <c r="AN438" s="6">
        <v>255</v>
      </c>
      <c r="AQ438" s="17">
        <v>436</v>
      </c>
      <c r="AR438" s="6">
        <v>1.5908199999999999</v>
      </c>
      <c r="AS438" s="19">
        <v>-3.4119000000000002</v>
      </c>
      <c r="AT438" s="6">
        <v>0.80779999999999996</v>
      </c>
      <c r="AU438" s="6">
        <v>255</v>
      </c>
      <c r="AW438" s="17">
        <v>436</v>
      </c>
      <c r="AX438" s="6">
        <v>0.83894000000000002</v>
      </c>
      <c r="AY438" s="19">
        <v>-3.4119000000000002</v>
      </c>
      <c r="AZ438" s="6">
        <v>0.80779999999999996</v>
      </c>
      <c r="BA438" s="6">
        <v>255</v>
      </c>
      <c r="BN438" s="17">
        <v>436</v>
      </c>
      <c r="BO438" s="6">
        <v>48.249208019999998</v>
      </c>
      <c r="BP438" s="6">
        <v>51.991166790000001</v>
      </c>
      <c r="BQ438" s="19">
        <v>-3.7419587700000001</v>
      </c>
    </row>
    <row r="439" spans="1:69" x14ac:dyDescent="0.25">
      <c r="A439" s="31" t="s">
        <v>10</v>
      </c>
      <c r="B439" s="32">
        <v>3</v>
      </c>
      <c r="C439" s="32">
        <v>5</v>
      </c>
      <c r="D439" s="32">
        <v>10</v>
      </c>
      <c r="E439" s="32">
        <v>37</v>
      </c>
      <c r="F439" s="2">
        <v>59.4</v>
      </c>
      <c r="G439">
        <v>58.676849082256958</v>
      </c>
      <c r="H439" t="s">
        <v>12</v>
      </c>
      <c r="I439" t="s">
        <v>12</v>
      </c>
      <c r="AD439" s="17">
        <v>437</v>
      </c>
      <c r="AE439" s="6">
        <v>3.0542400000000001</v>
      </c>
      <c r="AF439" s="19">
        <v>-6.4526000000000003</v>
      </c>
      <c r="AG439" s="6">
        <v>2.9409000000000001</v>
      </c>
      <c r="AH439" s="6">
        <v>255</v>
      </c>
      <c r="AJ439" s="17">
        <v>437</v>
      </c>
      <c r="AK439" s="6">
        <v>5.7915099999999997</v>
      </c>
      <c r="AL439" s="19">
        <v>-6.4526000000000003</v>
      </c>
      <c r="AM439" s="6">
        <v>2.9409000000000001</v>
      </c>
      <c r="AN439" s="6">
        <v>255</v>
      </c>
      <c r="AQ439" s="17">
        <v>437</v>
      </c>
      <c r="AR439" s="6">
        <v>1.61782</v>
      </c>
      <c r="AS439" s="19">
        <v>-2.0333999999999999</v>
      </c>
      <c r="AT439" s="6">
        <v>0.82150000000000001</v>
      </c>
      <c r="AU439" s="6">
        <v>255</v>
      </c>
      <c r="AW439" s="17">
        <v>437</v>
      </c>
      <c r="AX439" s="6">
        <v>0.85318000000000005</v>
      </c>
      <c r="AY439" s="19">
        <v>-2.0333999999999999</v>
      </c>
      <c r="AZ439" s="6">
        <v>0.82150000000000001</v>
      </c>
      <c r="BA439" s="6">
        <v>255</v>
      </c>
      <c r="BN439" s="17">
        <v>437</v>
      </c>
      <c r="BO439" s="6">
        <v>52.28493624</v>
      </c>
      <c r="BP439" s="6">
        <v>58.049169540000001</v>
      </c>
      <c r="BQ439" s="19">
        <v>-5.7642332999999999</v>
      </c>
    </row>
    <row r="440" spans="1:69" x14ac:dyDescent="0.25">
      <c r="A440" s="31" t="s">
        <v>10</v>
      </c>
      <c r="B440" s="32">
        <v>3</v>
      </c>
      <c r="C440" s="32">
        <v>4</v>
      </c>
      <c r="D440" s="32">
        <v>10</v>
      </c>
      <c r="E440" s="32">
        <v>45</v>
      </c>
      <c r="F440" s="2">
        <v>56.5</v>
      </c>
      <c r="G440">
        <v>60.545619500825474</v>
      </c>
      <c r="H440" t="s">
        <v>12</v>
      </c>
      <c r="I440" t="s">
        <v>12</v>
      </c>
      <c r="AD440" s="17">
        <v>438</v>
      </c>
      <c r="AE440" s="6">
        <v>3.0512999999999999</v>
      </c>
      <c r="AF440" s="19">
        <v>-4.4923000000000002</v>
      </c>
      <c r="AG440" s="6">
        <v>2.9380000000000002</v>
      </c>
      <c r="AH440" s="6">
        <v>255</v>
      </c>
      <c r="AJ440" s="17">
        <v>438</v>
      </c>
      <c r="AK440" s="6">
        <v>5.7859299999999996</v>
      </c>
      <c r="AL440" s="19">
        <v>-4.4923000000000002</v>
      </c>
      <c r="AM440" s="6">
        <v>2.9380000000000002</v>
      </c>
      <c r="AN440" s="6">
        <v>255</v>
      </c>
      <c r="AQ440" s="17">
        <v>438</v>
      </c>
      <c r="AR440" s="6">
        <v>1.5941700000000001</v>
      </c>
      <c r="AS440" s="19">
        <v>-2.1225999999999998</v>
      </c>
      <c r="AT440" s="6">
        <v>0.8095</v>
      </c>
      <c r="AU440" s="6">
        <v>255</v>
      </c>
      <c r="AW440" s="17">
        <v>438</v>
      </c>
      <c r="AX440" s="6">
        <v>0.84070999999999996</v>
      </c>
      <c r="AY440" s="19">
        <v>-2.1225999999999998</v>
      </c>
      <c r="AZ440" s="6">
        <v>0.8095</v>
      </c>
      <c r="BA440" s="6">
        <v>255</v>
      </c>
      <c r="BN440" s="17">
        <v>438</v>
      </c>
      <c r="BO440" s="6">
        <v>58.676849079999997</v>
      </c>
      <c r="BP440" s="6">
        <v>57.274311410000003</v>
      </c>
      <c r="BQ440" s="6">
        <v>1.4025376700000001</v>
      </c>
    </row>
    <row r="441" spans="1:69" x14ac:dyDescent="0.25">
      <c r="A441" s="31" t="s">
        <v>10</v>
      </c>
      <c r="B441" s="32">
        <v>3</v>
      </c>
      <c r="C441" s="32">
        <v>3</v>
      </c>
      <c r="D441" s="32">
        <v>10</v>
      </c>
      <c r="E441" s="32">
        <v>58</v>
      </c>
      <c r="F441" s="2">
        <v>57.4</v>
      </c>
      <c r="G441">
        <v>47.991579197824599</v>
      </c>
      <c r="H441" t="s">
        <v>12</v>
      </c>
      <c r="I441" t="s">
        <v>12</v>
      </c>
      <c r="AD441" s="17">
        <v>439</v>
      </c>
      <c r="AE441" s="6">
        <v>3.0598299999999998</v>
      </c>
      <c r="AF441" s="19">
        <v>-12.558400000000001</v>
      </c>
      <c r="AG441" s="6">
        <v>2.9462999999999999</v>
      </c>
      <c r="AH441" s="6">
        <v>255</v>
      </c>
      <c r="AJ441" s="17">
        <v>439</v>
      </c>
      <c r="AK441" s="6">
        <v>5.8021200000000004</v>
      </c>
      <c r="AL441" s="19">
        <v>-12.558400000000001</v>
      </c>
      <c r="AM441" s="6">
        <v>2.9462999999999999</v>
      </c>
      <c r="AN441" s="6">
        <v>255</v>
      </c>
      <c r="AQ441" s="17">
        <v>439</v>
      </c>
      <c r="AR441" s="6">
        <v>1.59718</v>
      </c>
      <c r="AS441" s="19">
        <v>-2.5335000000000001</v>
      </c>
      <c r="AT441" s="6">
        <v>0.81100000000000005</v>
      </c>
      <c r="AU441" s="6">
        <v>255</v>
      </c>
      <c r="AW441" s="17">
        <v>439</v>
      </c>
      <c r="AX441" s="6">
        <v>0.84230000000000005</v>
      </c>
      <c r="AY441" s="19">
        <v>-2.5335000000000001</v>
      </c>
      <c r="AZ441" s="6">
        <v>0.81100000000000005</v>
      </c>
      <c r="BA441" s="6">
        <v>255</v>
      </c>
      <c r="BN441" s="17">
        <v>439</v>
      </c>
      <c r="BO441" s="6">
        <v>60.545619500000001</v>
      </c>
      <c r="BP441" s="6">
        <v>57.32023538</v>
      </c>
      <c r="BQ441" s="6">
        <v>3.2253841200000002</v>
      </c>
    </row>
    <row r="442" spans="1:69" x14ac:dyDescent="0.25">
      <c r="A442" s="31" t="s">
        <v>10</v>
      </c>
      <c r="B442" s="32">
        <v>3</v>
      </c>
      <c r="C442" s="32">
        <v>2</v>
      </c>
      <c r="D442" s="32">
        <v>10</v>
      </c>
      <c r="E442" s="32">
        <v>36</v>
      </c>
      <c r="F442" s="2">
        <v>57.9</v>
      </c>
      <c r="G442">
        <v>39.279598426726217</v>
      </c>
      <c r="H442" t="s">
        <v>12</v>
      </c>
      <c r="I442" t="s">
        <v>12</v>
      </c>
      <c r="AD442" s="17">
        <v>440</v>
      </c>
      <c r="AE442" s="6">
        <v>3.0366599999999999</v>
      </c>
      <c r="AF442" s="19">
        <v>-7.5156000000000001</v>
      </c>
      <c r="AG442" s="6">
        <v>2.9239999999999999</v>
      </c>
      <c r="AH442" s="6">
        <v>255</v>
      </c>
      <c r="AJ442" s="17">
        <v>440</v>
      </c>
      <c r="AK442" s="6">
        <v>5.7581699999999998</v>
      </c>
      <c r="AL442" s="19">
        <v>-7.5156000000000001</v>
      </c>
      <c r="AM442" s="6">
        <v>2.9239999999999999</v>
      </c>
      <c r="AN442" s="6">
        <v>255</v>
      </c>
      <c r="AQ442" s="17">
        <v>440</v>
      </c>
      <c r="AR442" s="6">
        <v>1.5871200000000001</v>
      </c>
      <c r="AS442" s="19">
        <v>-2.2610999999999999</v>
      </c>
      <c r="AT442" s="6">
        <v>0.80589999999999995</v>
      </c>
      <c r="AU442" s="6">
        <v>255</v>
      </c>
      <c r="AW442" s="17">
        <v>440</v>
      </c>
      <c r="AX442" s="6">
        <v>0.83699000000000001</v>
      </c>
      <c r="AY442" s="19">
        <v>-2.2610999999999999</v>
      </c>
      <c r="AZ442" s="6">
        <v>0.80589999999999995</v>
      </c>
      <c r="BA442" s="6">
        <v>255</v>
      </c>
      <c r="BN442" s="17">
        <v>440</v>
      </c>
      <c r="BO442" s="6">
        <v>47.991579199999997</v>
      </c>
      <c r="BP442" s="6">
        <v>53.770574760000002</v>
      </c>
      <c r="BQ442" s="19">
        <v>-5.7789955600000003</v>
      </c>
    </row>
    <row r="443" spans="1:69" x14ac:dyDescent="0.25">
      <c r="A443" s="31" t="s">
        <v>10</v>
      </c>
      <c r="B443" s="32">
        <v>3</v>
      </c>
      <c r="C443" s="32">
        <v>1</v>
      </c>
      <c r="D443" s="32">
        <v>10</v>
      </c>
      <c r="E443" s="32">
        <v>42</v>
      </c>
      <c r="F443" s="2">
        <v>57.3</v>
      </c>
      <c r="G443">
        <v>36.657016606778662</v>
      </c>
      <c r="H443" t="s">
        <v>12</v>
      </c>
      <c r="I443" t="s">
        <v>12</v>
      </c>
      <c r="AD443" s="17">
        <v>441</v>
      </c>
      <c r="AE443" s="6">
        <v>3.05023</v>
      </c>
      <c r="AF443" s="19">
        <v>-5.0382999999999996</v>
      </c>
      <c r="AG443" s="6">
        <v>2.9369999999999998</v>
      </c>
      <c r="AH443" s="6">
        <v>255</v>
      </c>
      <c r="AJ443" s="17">
        <v>441</v>
      </c>
      <c r="AK443" s="6">
        <v>5.7839099999999997</v>
      </c>
      <c r="AL443" s="19">
        <v>-5.0382999999999996</v>
      </c>
      <c r="AM443" s="6">
        <v>2.9369999999999998</v>
      </c>
      <c r="AN443" s="6">
        <v>255</v>
      </c>
      <c r="AQ443" s="17">
        <v>441</v>
      </c>
      <c r="AR443" s="6">
        <v>1.5885899999999999</v>
      </c>
      <c r="AS443" s="19">
        <v>-1.7372000000000001</v>
      </c>
      <c r="AT443" s="6">
        <v>0.80669999999999997</v>
      </c>
      <c r="AU443" s="6">
        <v>255</v>
      </c>
      <c r="AW443" s="17">
        <v>441</v>
      </c>
      <c r="AX443" s="6">
        <v>0.83777000000000001</v>
      </c>
      <c r="AY443" s="19">
        <v>-1.7372000000000001</v>
      </c>
      <c r="AZ443" s="6">
        <v>0.80669999999999997</v>
      </c>
      <c r="BA443" s="6">
        <v>255</v>
      </c>
      <c r="BN443" s="17">
        <v>441</v>
      </c>
      <c r="BO443" s="6">
        <v>39.27959843</v>
      </c>
      <c r="BP443" s="6">
        <v>52.755830240000002</v>
      </c>
      <c r="BQ443" s="19">
        <v>-13.47623181</v>
      </c>
    </row>
    <row r="444" spans="1:69" x14ac:dyDescent="0.25">
      <c r="A444" s="31" t="s">
        <v>10</v>
      </c>
      <c r="B444" s="32">
        <v>3</v>
      </c>
      <c r="C444" s="32">
        <v>1</v>
      </c>
      <c r="D444" s="32">
        <v>11</v>
      </c>
      <c r="E444" s="32">
        <v>13</v>
      </c>
      <c r="F444" s="2">
        <v>58.2</v>
      </c>
      <c r="G444">
        <v>55.299826854606636</v>
      </c>
      <c r="H444" t="s">
        <v>12</v>
      </c>
      <c r="I444" t="s">
        <v>12</v>
      </c>
      <c r="AD444" s="17">
        <v>442</v>
      </c>
      <c r="AE444" s="6">
        <v>3.0599400000000001</v>
      </c>
      <c r="AF444" s="19">
        <v>-6.9576000000000002</v>
      </c>
      <c r="AG444" s="6">
        <v>2.9464000000000001</v>
      </c>
      <c r="AH444" s="6">
        <v>255</v>
      </c>
      <c r="AJ444" s="17">
        <v>442</v>
      </c>
      <c r="AK444" s="6">
        <v>5.8023300000000004</v>
      </c>
      <c r="AL444" s="19">
        <v>-6.9576000000000002</v>
      </c>
      <c r="AM444" s="6">
        <v>2.9464000000000001</v>
      </c>
      <c r="AN444" s="6">
        <v>255</v>
      </c>
      <c r="AQ444" s="17">
        <v>442</v>
      </c>
      <c r="AR444" s="6">
        <v>1.59545</v>
      </c>
      <c r="AS444" s="19">
        <v>-2.9199000000000002</v>
      </c>
      <c r="AT444" s="6">
        <v>0.81020000000000003</v>
      </c>
      <c r="AU444" s="6">
        <v>255</v>
      </c>
      <c r="AW444" s="17">
        <v>442</v>
      </c>
      <c r="AX444" s="6">
        <v>0.84138000000000002</v>
      </c>
      <c r="AY444" s="19">
        <v>-2.9199000000000002</v>
      </c>
      <c r="AZ444" s="6">
        <v>0.81020000000000003</v>
      </c>
      <c r="BA444" s="6">
        <v>255</v>
      </c>
      <c r="BN444" s="17">
        <v>442</v>
      </c>
      <c r="BO444" s="6">
        <v>36.657016609999999</v>
      </c>
      <c r="BP444" s="6">
        <v>52.272286440000002</v>
      </c>
      <c r="BQ444" s="19">
        <v>-15.615269830000001</v>
      </c>
    </row>
    <row r="445" spans="1:69" x14ac:dyDescent="0.25">
      <c r="A445" s="31" t="s">
        <v>10</v>
      </c>
      <c r="B445" s="32">
        <v>3</v>
      </c>
      <c r="C445" s="32">
        <v>2</v>
      </c>
      <c r="D445" s="32">
        <v>11</v>
      </c>
      <c r="E445" s="32">
        <v>32</v>
      </c>
      <c r="F445" s="2">
        <v>60.1</v>
      </c>
      <c r="G445">
        <v>53.234332341608543</v>
      </c>
      <c r="H445" t="s">
        <v>12</v>
      </c>
      <c r="I445" t="s">
        <v>12</v>
      </c>
      <c r="AD445" s="17">
        <v>443</v>
      </c>
      <c r="AE445" s="6">
        <v>3.0468899999999999</v>
      </c>
      <c r="AF445" s="19">
        <v>-5.6466000000000003</v>
      </c>
      <c r="AG445" s="6">
        <v>2.9338000000000002</v>
      </c>
      <c r="AH445" s="6">
        <v>255</v>
      </c>
      <c r="AJ445" s="17">
        <v>443</v>
      </c>
      <c r="AK445" s="6">
        <v>5.7775699999999999</v>
      </c>
      <c r="AL445" s="19">
        <v>-5.6466000000000003</v>
      </c>
      <c r="AM445" s="6">
        <v>2.9338000000000002</v>
      </c>
      <c r="AN445" s="6">
        <v>255</v>
      </c>
      <c r="AQ445" s="17">
        <v>443</v>
      </c>
      <c r="AR445" s="6">
        <v>1.5914600000000001</v>
      </c>
      <c r="AS445" s="19">
        <v>-3.1082000000000001</v>
      </c>
      <c r="AT445" s="6">
        <v>0.80810000000000004</v>
      </c>
      <c r="AU445" s="6">
        <v>255</v>
      </c>
      <c r="AW445" s="17">
        <v>443</v>
      </c>
      <c r="AX445" s="6">
        <v>0.83928000000000003</v>
      </c>
      <c r="AY445" s="19">
        <v>-3.1082000000000001</v>
      </c>
      <c r="AZ445" s="6">
        <v>0.80810000000000004</v>
      </c>
      <c r="BA445" s="6">
        <v>255</v>
      </c>
      <c r="BN445" s="17">
        <v>443</v>
      </c>
      <c r="BO445" s="6">
        <v>55.299826850000002</v>
      </c>
      <c r="BP445" s="6">
        <v>57.284997420000003</v>
      </c>
      <c r="BQ445" s="19">
        <v>-1.98517057</v>
      </c>
    </row>
    <row r="446" spans="1:69" x14ac:dyDescent="0.25">
      <c r="A446" s="31" t="s">
        <v>10</v>
      </c>
      <c r="B446" s="32">
        <v>3</v>
      </c>
      <c r="C446" s="32">
        <v>3</v>
      </c>
      <c r="D446" s="32">
        <v>11</v>
      </c>
      <c r="E446" s="32">
        <v>11</v>
      </c>
      <c r="F446" s="2">
        <v>60.9</v>
      </c>
      <c r="G446">
        <v>69.842991074476913</v>
      </c>
      <c r="H446" t="s">
        <v>12</v>
      </c>
      <c r="I446" t="s">
        <v>12</v>
      </c>
      <c r="AD446" s="17">
        <v>444</v>
      </c>
      <c r="AE446" s="6">
        <v>3.0553699999999999</v>
      </c>
      <c r="AF446" s="19">
        <v>-3.7528999999999999</v>
      </c>
      <c r="AG446" s="6">
        <v>2.9420000000000002</v>
      </c>
      <c r="AH446" s="6">
        <v>255</v>
      </c>
      <c r="AJ446" s="17">
        <v>444</v>
      </c>
      <c r="AK446" s="6">
        <v>5.79366</v>
      </c>
      <c r="AL446" s="19">
        <v>-3.7528999999999999</v>
      </c>
      <c r="AM446" s="6">
        <v>2.9420000000000002</v>
      </c>
      <c r="AN446" s="6">
        <v>255</v>
      </c>
      <c r="AQ446" s="17">
        <v>444</v>
      </c>
      <c r="AR446" s="6">
        <v>1.59457</v>
      </c>
      <c r="AS446" s="19">
        <v>-2.1787000000000001</v>
      </c>
      <c r="AT446" s="6">
        <v>0.80969999999999998</v>
      </c>
      <c r="AU446" s="6">
        <v>255</v>
      </c>
      <c r="AW446" s="17">
        <v>444</v>
      </c>
      <c r="AX446" s="6">
        <v>0.84092</v>
      </c>
      <c r="AY446" s="19">
        <v>-2.1787000000000001</v>
      </c>
      <c r="AZ446" s="6">
        <v>0.80969999999999998</v>
      </c>
      <c r="BA446" s="6">
        <v>255</v>
      </c>
      <c r="BN446" s="17">
        <v>444</v>
      </c>
      <c r="BO446" s="6">
        <v>53.234332340000002</v>
      </c>
      <c r="BP446" s="6">
        <v>57.453034150000001</v>
      </c>
      <c r="BQ446" s="19">
        <v>-4.2187018099999998</v>
      </c>
    </row>
    <row r="447" spans="1:69" x14ac:dyDescent="0.25">
      <c r="A447" s="31" t="s">
        <v>10</v>
      </c>
      <c r="B447" s="32">
        <v>3</v>
      </c>
      <c r="C447" s="32">
        <v>4</v>
      </c>
      <c r="D447" s="32">
        <v>11</v>
      </c>
      <c r="E447" s="32">
        <v>33</v>
      </c>
      <c r="F447" s="2">
        <v>57.4</v>
      </c>
      <c r="G447">
        <v>69.974260352143588</v>
      </c>
      <c r="H447" t="s">
        <v>12</v>
      </c>
      <c r="I447" t="s">
        <v>12</v>
      </c>
      <c r="AD447" s="17">
        <v>445</v>
      </c>
      <c r="AE447" s="6">
        <v>3.0721699999999998</v>
      </c>
      <c r="AF447" s="19">
        <v>-9.9026999999999994</v>
      </c>
      <c r="AG447" s="6">
        <v>2.9581</v>
      </c>
      <c r="AH447" s="6">
        <v>255</v>
      </c>
      <c r="AJ447" s="17">
        <v>445</v>
      </c>
      <c r="AK447" s="6">
        <v>5.8255100000000004</v>
      </c>
      <c r="AL447" s="19">
        <v>-9.9026999999999994</v>
      </c>
      <c r="AM447" s="6">
        <v>2.9581</v>
      </c>
      <c r="AN447" s="6">
        <v>255</v>
      </c>
      <c r="AQ447" s="17">
        <v>445</v>
      </c>
      <c r="AR447" s="6">
        <v>1.6028</v>
      </c>
      <c r="AS447" s="19">
        <v>-4.5431999999999997</v>
      </c>
      <c r="AT447" s="6">
        <v>0.81389999999999996</v>
      </c>
      <c r="AU447" s="6">
        <v>255</v>
      </c>
      <c r="AW447" s="17">
        <v>445</v>
      </c>
      <c r="AX447" s="6">
        <v>0.84526000000000001</v>
      </c>
      <c r="AY447" s="19">
        <v>-4.5431999999999997</v>
      </c>
      <c r="AZ447" s="6">
        <v>0.81389999999999996</v>
      </c>
      <c r="BA447" s="6">
        <v>255</v>
      </c>
      <c r="BN447" s="17">
        <v>445</v>
      </c>
      <c r="BO447" s="6">
        <v>69.842991069999997</v>
      </c>
      <c r="BP447" s="6">
        <v>64.37607663</v>
      </c>
      <c r="BQ447" s="6">
        <v>5.46691444</v>
      </c>
    </row>
    <row r="448" spans="1:69" x14ac:dyDescent="0.25">
      <c r="A448" s="31" t="s">
        <v>10</v>
      </c>
      <c r="B448" s="32">
        <v>3</v>
      </c>
      <c r="C448" s="32">
        <v>5</v>
      </c>
      <c r="D448" s="32">
        <v>11</v>
      </c>
      <c r="E448" s="32">
        <v>31</v>
      </c>
      <c r="F448" s="2">
        <v>59</v>
      </c>
      <c r="G448">
        <v>69.187803540945225</v>
      </c>
      <c r="H448" t="s">
        <v>12</v>
      </c>
      <c r="I448" t="s">
        <v>12</v>
      </c>
      <c r="AD448" s="17">
        <v>446</v>
      </c>
      <c r="AE448" s="6">
        <v>3.0548700000000002</v>
      </c>
      <c r="AF448" s="19">
        <v>-6.7778</v>
      </c>
      <c r="AG448" s="6">
        <v>2.9415</v>
      </c>
      <c r="AH448" s="6">
        <v>255</v>
      </c>
      <c r="AJ448" s="17">
        <v>446</v>
      </c>
      <c r="AK448" s="6">
        <v>5.7927099999999996</v>
      </c>
      <c r="AL448" s="19">
        <v>-6.7778</v>
      </c>
      <c r="AM448" s="6">
        <v>2.9415</v>
      </c>
      <c r="AN448" s="6">
        <v>255</v>
      </c>
      <c r="AQ448" s="17">
        <v>446</v>
      </c>
      <c r="AR448" s="6">
        <v>1.58901</v>
      </c>
      <c r="AS448" s="19">
        <v>-2.17</v>
      </c>
      <c r="AT448" s="6">
        <v>0.80689999999999995</v>
      </c>
      <c r="AU448" s="6">
        <v>255</v>
      </c>
      <c r="AW448" s="17">
        <v>446</v>
      </c>
      <c r="AX448" s="6">
        <v>0.83799000000000001</v>
      </c>
      <c r="AY448" s="19">
        <v>-2.17</v>
      </c>
      <c r="AZ448" s="6">
        <v>0.80689999999999995</v>
      </c>
      <c r="BA448" s="6">
        <v>255</v>
      </c>
      <c r="BN448" s="17">
        <v>446</v>
      </c>
      <c r="BO448" s="6">
        <v>69.974260349999994</v>
      </c>
      <c r="BP448" s="6">
        <v>64.337381350000001</v>
      </c>
      <c r="BQ448" s="6">
        <v>5.6368790000000004</v>
      </c>
    </row>
    <row r="449" spans="1:69" x14ac:dyDescent="0.25">
      <c r="A449" s="31" t="s">
        <v>10</v>
      </c>
      <c r="B449" s="32">
        <v>3</v>
      </c>
      <c r="C449" s="32">
        <v>6</v>
      </c>
      <c r="D449" s="32">
        <v>11</v>
      </c>
      <c r="E449" s="32">
        <v>22</v>
      </c>
      <c r="F449" s="2">
        <v>54.8</v>
      </c>
      <c r="G449">
        <v>53.314225723064915</v>
      </c>
      <c r="H449" t="s">
        <v>12</v>
      </c>
      <c r="I449" t="s">
        <v>12</v>
      </c>
      <c r="AD449" s="17">
        <v>447</v>
      </c>
      <c r="AE449" s="6">
        <v>3.0348600000000001</v>
      </c>
      <c r="AF449" s="19">
        <v>-4.4600999999999997</v>
      </c>
      <c r="AG449" s="6">
        <v>2.9222000000000001</v>
      </c>
      <c r="AH449" s="6">
        <v>255</v>
      </c>
      <c r="AJ449" s="17">
        <v>447</v>
      </c>
      <c r="AK449" s="6">
        <v>5.7547600000000001</v>
      </c>
      <c r="AL449" s="19">
        <v>-4.4600999999999997</v>
      </c>
      <c r="AM449" s="6">
        <v>2.9222000000000001</v>
      </c>
      <c r="AN449" s="6">
        <v>255</v>
      </c>
      <c r="AQ449" s="17">
        <v>447</v>
      </c>
      <c r="AR449" s="6">
        <v>1.5943400000000001</v>
      </c>
      <c r="AS449" s="19">
        <v>-2.4373999999999998</v>
      </c>
      <c r="AT449" s="6">
        <v>0.80959999999999999</v>
      </c>
      <c r="AU449" s="6">
        <v>255</v>
      </c>
      <c r="AW449" s="17">
        <v>447</v>
      </c>
      <c r="AX449" s="6">
        <v>0.84079999999999999</v>
      </c>
      <c r="AY449" s="19">
        <v>-2.4373999999999998</v>
      </c>
      <c r="AZ449" s="6">
        <v>0.80959999999999999</v>
      </c>
      <c r="BA449" s="6">
        <v>255</v>
      </c>
      <c r="BN449" s="17">
        <v>447</v>
      </c>
      <c r="BO449" s="6">
        <v>69.187803540000004</v>
      </c>
      <c r="BP449" s="6">
        <v>58.842563319999996</v>
      </c>
      <c r="BQ449" s="6">
        <v>10.345240220000001</v>
      </c>
    </row>
    <row r="450" spans="1:69" x14ac:dyDescent="0.25">
      <c r="A450" s="31" t="s">
        <v>10</v>
      </c>
      <c r="B450" s="32">
        <v>3</v>
      </c>
      <c r="C450" s="32">
        <v>7</v>
      </c>
      <c r="D450" s="32">
        <v>11</v>
      </c>
      <c r="E450" s="32">
        <v>27</v>
      </c>
      <c r="F450" s="2">
        <v>57.4</v>
      </c>
      <c r="G450">
        <v>53.657391601229079</v>
      </c>
      <c r="H450" t="s">
        <v>12</v>
      </c>
      <c r="I450" t="s">
        <v>12</v>
      </c>
      <c r="AD450" s="17">
        <v>448</v>
      </c>
      <c r="AE450" s="6">
        <v>3.05959</v>
      </c>
      <c r="AF450" s="19">
        <v>-4.5831999999999997</v>
      </c>
      <c r="AG450" s="6">
        <v>2.9460000000000002</v>
      </c>
      <c r="AH450" s="6">
        <v>255</v>
      </c>
      <c r="AJ450" s="17">
        <v>448</v>
      </c>
      <c r="AK450" s="6">
        <v>5.8016500000000004</v>
      </c>
      <c r="AL450" s="19">
        <v>-4.5831999999999997</v>
      </c>
      <c r="AM450" s="6">
        <v>2.9460000000000002</v>
      </c>
      <c r="AN450" s="6">
        <v>255</v>
      </c>
      <c r="AQ450" s="17">
        <v>448</v>
      </c>
      <c r="AR450" s="6">
        <v>1.59988</v>
      </c>
      <c r="AS450" s="19">
        <v>-2.1850000000000001</v>
      </c>
      <c r="AT450" s="6">
        <v>0.81240000000000001</v>
      </c>
      <c r="AU450" s="6">
        <v>255</v>
      </c>
      <c r="AW450" s="17">
        <v>448</v>
      </c>
      <c r="AX450" s="6">
        <v>0.84372000000000003</v>
      </c>
      <c r="AY450" s="19">
        <v>-2.1850000000000001</v>
      </c>
      <c r="AZ450" s="6">
        <v>0.81240000000000001</v>
      </c>
      <c r="BA450" s="6">
        <v>255</v>
      </c>
      <c r="BN450" s="17">
        <v>448</v>
      </c>
      <c r="BO450" s="6">
        <v>53.314225720000003</v>
      </c>
      <c r="BP450" s="6">
        <v>61.856847000000002</v>
      </c>
      <c r="BQ450" s="19">
        <v>-8.5426212800000005</v>
      </c>
    </row>
    <row r="451" spans="1:69" x14ac:dyDescent="0.25">
      <c r="A451" s="31" t="s">
        <v>10</v>
      </c>
      <c r="B451" s="32">
        <v>3</v>
      </c>
      <c r="C451" s="32">
        <v>8</v>
      </c>
      <c r="D451" s="32">
        <v>11</v>
      </c>
      <c r="E451" s="32">
        <v>7</v>
      </c>
      <c r="F451" s="2">
        <v>56.6</v>
      </c>
      <c r="G451">
        <v>48.907535482612296</v>
      </c>
      <c r="H451" t="s">
        <v>12</v>
      </c>
      <c r="I451" t="s">
        <v>12</v>
      </c>
      <c r="AD451" s="17">
        <v>449</v>
      </c>
      <c r="AE451" s="6">
        <v>3.048</v>
      </c>
      <c r="AF451" s="19">
        <v>-8.0699000000000005</v>
      </c>
      <c r="AG451" s="6">
        <v>2.9348999999999998</v>
      </c>
      <c r="AH451" s="6">
        <v>255</v>
      </c>
      <c r="AJ451" s="17">
        <v>449</v>
      </c>
      <c r="AK451" s="6">
        <v>5.7796700000000003</v>
      </c>
      <c r="AL451" s="19">
        <v>-8.0699000000000005</v>
      </c>
      <c r="AM451" s="6">
        <v>2.9348999999999998</v>
      </c>
      <c r="AN451" s="6">
        <v>255</v>
      </c>
      <c r="AQ451" s="17">
        <v>449</v>
      </c>
      <c r="AR451" s="6">
        <v>1.5903799999999999</v>
      </c>
      <c r="AS451" s="19">
        <v>-3.5659000000000001</v>
      </c>
      <c r="AT451" s="6">
        <v>0.80759999999999998</v>
      </c>
      <c r="AU451" s="6">
        <v>255</v>
      </c>
      <c r="AW451" s="17">
        <v>449</v>
      </c>
      <c r="AX451" s="6">
        <v>0.83870999999999996</v>
      </c>
      <c r="AY451" s="19">
        <v>-3.5659000000000001</v>
      </c>
      <c r="AZ451" s="6">
        <v>0.80759999999999998</v>
      </c>
      <c r="BA451" s="6">
        <v>255</v>
      </c>
      <c r="BN451" s="17">
        <v>449</v>
      </c>
      <c r="BO451" s="6">
        <v>53.657391599999997</v>
      </c>
      <c r="BP451" s="6">
        <v>58.826470350000001</v>
      </c>
      <c r="BQ451" s="19">
        <v>-5.1690787499999997</v>
      </c>
    </row>
    <row r="452" spans="1:69" x14ac:dyDescent="0.25">
      <c r="A452" s="31" t="s">
        <v>10</v>
      </c>
      <c r="B452" s="32">
        <v>3</v>
      </c>
      <c r="C452" s="32">
        <v>9</v>
      </c>
      <c r="D452" s="32">
        <v>11</v>
      </c>
      <c r="E452" s="32">
        <v>20</v>
      </c>
      <c r="F452" s="2">
        <v>57</v>
      </c>
      <c r="G452">
        <v>58.731340779398131</v>
      </c>
      <c r="H452" t="s">
        <v>12</v>
      </c>
      <c r="I452" t="s">
        <v>12</v>
      </c>
      <c r="AD452" s="17">
        <v>450</v>
      </c>
      <c r="AE452" s="6">
        <v>3.0550199999999998</v>
      </c>
      <c r="AF452" s="19">
        <v>-6.8822000000000001</v>
      </c>
      <c r="AG452" s="6">
        <v>2.9416000000000002</v>
      </c>
      <c r="AH452" s="6">
        <v>255</v>
      </c>
      <c r="AJ452" s="17">
        <v>450</v>
      </c>
      <c r="AK452" s="6">
        <v>5.7929899999999996</v>
      </c>
      <c r="AL452" s="19">
        <v>-6.8822000000000001</v>
      </c>
      <c r="AM452" s="6">
        <v>2.9416000000000002</v>
      </c>
      <c r="AN452" s="6">
        <v>255</v>
      </c>
      <c r="AQ452" s="17">
        <v>450</v>
      </c>
      <c r="AR452" s="6">
        <v>1.5924799999999999</v>
      </c>
      <c r="AS452" s="19">
        <v>-3.2027000000000001</v>
      </c>
      <c r="AT452" s="6">
        <v>0.80859999999999999</v>
      </c>
      <c r="AU452" s="6">
        <v>255</v>
      </c>
      <c r="AW452" s="17">
        <v>450</v>
      </c>
      <c r="AX452" s="6">
        <v>0.83982000000000001</v>
      </c>
      <c r="AY452" s="19">
        <v>-3.2027000000000001</v>
      </c>
      <c r="AZ452" s="6">
        <v>0.80859999999999999</v>
      </c>
      <c r="BA452" s="6">
        <v>255</v>
      </c>
      <c r="BN452" s="17">
        <v>450</v>
      </c>
      <c r="BO452" s="6">
        <v>48.90753548</v>
      </c>
      <c r="BP452" s="6">
        <v>48.698827829999999</v>
      </c>
      <c r="BQ452" s="6">
        <v>0.20870764999999999</v>
      </c>
    </row>
    <row r="453" spans="1:69" x14ac:dyDescent="0.25">
      <c r="A453" s="31" t="s">
        <v>10</v>
      </c>
      <c r="B453" s="32">
        <v>3</v>
      </c>
      <c r="C453" s="32">
        <v>10</v>
      </c>
      <c r="D453" s="32">
        <v>11</v>
      </c>
      <c r="E453" s="32">
        <v>26</v>
      </c>
      <c r="F453" s="2">
        <v>57.8</v>
      </c>
      <c r="G453">
        <v>68.128108081744116</v>
      </c>
      <c r="H453" t="s">
        <v>12</v>
      </c>
      <c r="I453" t="s">
        <v>12</v>
      </c>
      <c r="AD453" s="17">
        <v>451</v>
      </c>
      <c r="AE453" s="6">
        <v>3.0468700000000002</v>
      </c>
      <c r="AF453" s="19">
        <v>-6.3091999999999997</v>
      </c>
      <c r="AG453" s="6">
        <v>2.9338000000000002</v>
      </c>
      <c r="AH453" s="6">
        <v>255</v>
      </c>
      <c r="AJ453" s="17">
        <v>451</v>
      </c>
      <c r="AK453" s="6">
        <v>5.7775299999999996</v>
      </c>
      <c r="AL453" s="19">
        <v>-6.3091999999999997</v>
      </c>
      <c r="AM453" s="6">
        <v>2.9338000000000002</v>
      </c>
      <c r="AN453" s="6">
        <v>255</v>
      </c>
      <c r="AQ453" s="17">
        <v>451</v>
      </c>
      <c r="AR453" s="6">
        <v>1.59013</v>
      </c>
      <c r="AS453" s="19">
        <v>-2.6671999999999998</v>
      </c>
      <c r="AT453" s="6">
        <v>0.8075</v>
      </c>
      <c r="AU453" s="6">
        <v>255</v>
      </c>
      <c r="AW453" s="17">
        <v>451</v>
      </c>
      <c r="AX453" s="6">
        <v>0.83857999999999999</v>
      </c>
      <c r="AY453" s="19">
        <v>-2.6671999999999998</v>
      </c>
      <c r="AZ453" s="6">
        <v>0.8075</v>
      </c>
      <c r="BA453" s="6">
        <v>255</v>
      </c>
      <c r="BN453" s="17">
        <v>451</v>
      </c>
      <c r="BO453" s="6">
        <v>58.731340779999996</v>
      </c>
      <c r="BP453" s="6">
        <v>59.646530380000002</v>
      </c>
      <c r="BQ453" s="19">
        <v>-0.91518960000000005</v>
      </c>
    </row>
    <row r="454" spans="1:69" x14ac:dyDescent="0.25">
      <c r="A454" s="31" t="s">
        <v>10</v>
      </c>
      <c r="B454" s="32">
        <v>3</v>
      </c>
      <c r="C454" s="32">
        <v>11</v>
      </c>
      <c r="D454" s="32">
        <v>11</v>
      </c>
      <c r="E454" s="32">
        <v>46</v>
      </c>
      <c r="F454" s="2">
        <v>56.8</v>
      </c>
      <c r="G454">
        <v>61.372660586255677</v>
      </c>
      <c r="H454" t="s">
        <v>12</v>
      </c>
      <c r="I454" t="s">
        <v>12</v>
      </c>
      <c r="AD454" s="17">
        <v>452</v>
      </c>
      <c r="AE454" s="6">
        <v>3.0474800000000002</v>
      </c>
      <c r="AF454" s="19">
        <v>-6.2859999999999996</v>
      </c>
      <c r="AG454" s="6">
        <v>2.9344000000000001</v>
      </c>
      <c r="AH454" s="6">
        <v>255</v>
      </c>
      <c r="AJ454" s="17">
        <v>452</v>
      </c>
      <c r="AK454" s="6">
        <v>5.7786900000000001</v>
      </c>
      <c r="AL454" s="19">
        <v>-6.2859999999999996</v>
      </c>
      <c r="AM454" s="6">
        <v>2.9344000000000001</v>
      </c>
      <c r="AN454" s="6">
        <v>255</v>
      </c>
      <c r="AQ454" s="17">
        <v>452</v>
      </c>
      <c r="AR454" s="6">
        <v>1.5906199999999999</v>
      </c>
      <c r="AS454" s="19">
        <v>-2.2029999999999998</v>
      </c>
      <c r="AT454" s="6">
        <v>0.80769999999999997</v>
      </c>
      <c r="AU454" s="6">
        <v>255</v>
      </c>
      <c r="AW454" s="17">
        <v>452</v>
      </c>
      <c r="AX454" s="6">
        <v>0.83884000000000003</v>
      </c>
      <c r="AY454" s="19">
        <v>-2.2029999999999998</v>
      </c>
      <c r="AZ454" s="6">
        <v>0.80769999999999997</v>
      </c>
      <c r="BA454" s="6">
        <v>255</v>
      </c>
      <c r="BN454" s="17">
        <v>452</v>
      </c>
      <c r="BO454" s="6">
        <v>68.128108080000004</v>
      </c>
      <c r="BP454" s="6">
        <v>64.389756140000003</v>
      </c>
      <c r="BQ454" s="6">
        <v>3.7383519399999998</v>
      </c>
    </row>
    <row r="455" spans="1:69" x14ac:dyDescent="0.25">
      <c r="A455" s="31" t="s">
        <v>10</v>
      </c>
      <c r="B455" s="32">
        <v>3</v>
      </c>
      <c r="C455" s="32">
        <v>12</v>
      </c>
      <c r="D455" s="32">
        <v>11</v>
      </c>
      <c r="E455" s="32">
        <v>19</v>
      </c>
      <c r="F455" s="2">
        <v>53.8</v>
      </c>
      <c r="G455">
        <v>62.79076086426376</v>
      </c>
      <c r="H455" t="s">
        <v>12</v>
      </c>
      <c r="I455" t="s">
        <v>12</v>
      </c>
      <c r="AD455" s="17">
        <v>453</v>
      </c>
      <c r="AE455" s="6">
        <v>3.0545599999999999</v>
      </c>
      <c r="AF455" s="19">
        <v>-7.2683999999999997</v>
      </c>
      <c r="AG455" s="6">
        <v>2.9411999999999998</v>
      </c>
      <c r="AH455" s="6">
        <v>255</v>
      </c>
      <c r="AJ455" s="17">
        <v>453</v>
      </c>
      <c r="AK455" s="6">
        <v>5.7921199999999997</v>
      </c>
      <c r="AL455" s="19">
        <v>-7.2683999999999997</v>
      </c>
      <c r="AM455" s="6">
        <v>2.9411999999999998</v>
      </c>
      <c r="AN455" s="6">
        <v>255</v>
      </c>
      <c r="AQ455" s="17">
        <v>453</v>
      </c>
      <c r="AR455" s="6">
        <v>1.5925100000000001</v>
      </c>
      <c r="AS455" s="19">
        <v>-3.3174999999999999</v>
      </c>
      <c r="AT455" s="6">
        <v>0.80869999999999997</v>
      </c>
      <c r="AU455" s="6">
        <v>255</v>
      </c>
      <c r="AW455" s="17">
        <v>453</v>
      </c>
      <c r="AX455" s="6">
        <v>0.83982999999999997</v>
      </c>
      <c r="AY455" s="19">
        <v>-3.3174999999999999</v>
      </c>
      <c r="AZ455" s="6">
        <v>0.80869999999999997</v>
      </c>
      <c r="BA455" s="6">
        <v>255</v>
      </c>
      <c r="BN455" s="17">
        <v>453</v>
      </c>
      <c r="BO455" s="6">
        <v>61.372660590000002</v>
      </c>
      <c r="BP455" s="6">
        <v>60.552716019999998</v>
      </c>
      <c r="BQ455" s="6">
        <v>0.81994456999999998</v>
      </c>
    </row>
    <row r="456" spans="1:69" x14ac:dyDescent="0.25">
      <c r="A456" s="31" t="s">
        <v>10</v>
      </c>
      <c r="B456" s="32">
        <v>3</v>
      </c>
      <c r="C456" s="32">
        <v>13</v>
      </c>
      <c r="D456" s="32">
        <v>11</v>
      </c>
      <c r="E456" s="32">
        <v>35</v>
      </c>
      <c r="F456" s="2">
        <v>55.7</v>
      </c>
      <c r="G456">
        <v>50.298161244695898</v>
      </c>
      <c r="H456" t="s">
        <v>12</v>
      </c>
      <c r="I456" t="s">
        <v>12</v>
      </c>
      <c r="AD456" s="17">
        <v>454</v>
      </c>
      <c r="AE456" s="6">
        <v>3.0433500000000002</v>
      </c>
      <c r="AF456" s="6">
        <v>0.32140000000000002</v>
      </c>
      <c r="AG456" s="6">
        <v>2.9304000000000001</v>
      </c>
      <c r="AH456" s="6">
        <v>255</v>
      </c>
      <c r="AJ456" s="17">
        <v>454</v>
      </c>
      <c r="AK456" s="6">
        <v>5.7708700000000004</v>
      </c>
      <c r="AL456" s="6">
        <v>0.32140000000000002</v>
      </c>
      <c r="AM456" s="6">
        <v>2.9304000000000001</v>
      </c>
      <c r="AN456" s="6">
        <v>255</v>
      </c>
      <c r="AQ456" s="17">
        <v>454</v>
      </c>
      <c r="AR456" s="6">
        <v>1.5979399999999999</v>
      </c>
      <c r="AS456" s="19">
        <v>-1.9419999999999999</v>
      </c>
      <c r="AT456" s="6">
        <v>0.81140000000000001</v>
      </c>
      <c r="AU456" s="6">
        <v>255</v>
      </c>
      <c r="AW456" s="17">
        <v>454</v>
      </c>
      <c r="AX456" s="6">
        <v>0.8427</v>
      </c>
      <c r="AY456" s="19">
        <v>-1.9419999999999999</v>
      </c>
      <c r="AZ456" s="6">
        <v>0.81140000000000001</v>
      </c>
      <c r="BA456" s="6">
        <v>255</v>
      </c>
      <c r="BN456" s="17">
        <v>454</v>
      </c>
      <c r="BO456" s="6">
        <v>62.790760859999999</v>
      </c>
      <c r="BP456" s="6">
        <v>58.312111729999998</v>
      </c>
      <c r="BQ456" s="6">
        <v>4.47864913</v>
      </c>
    </row>
    <row r="457" spans="1:69" x14ac:dyDescent="0.25">
      <c r="A457" s="31" t="s">
        <v>10</v>
      </c>
      <c r="B457" s="32">
        <v>3</v>
      </c>
      <c r="C457" s="32">
        <v>13</v>
      </c>
      <c r="D457" s="32">
        <v>12</v>
      </c>
      <c r="E457" s="32">
        <v>28</v>
      </c>
      <c r="F457" s="2">
        <v>54.6</v>
      </c>
      <c r="G457">
        <v>55.801428571428552</v>
      </c>
      <c r="H457" t="s">
        <v>12</v>
      </c>
      <c r="I457" t="s">
        <v>12</v>
      </c>
      <c r="AD457" s="17">
        <v>455</v>
      </c>
      <c r="AE457" s="6">
        <v>3.0331399999999999</v>
      </c>
      <c r="AF457" s="19">
        <v>-5.7190000000000003</v>
      </c>
      <c r="AG457" s="6">
        <v>2.9205999999999999</v>
      </c>
      <c r="AH457" s="6">
        <v>255</v>
      </c>
      <c r="AJ457" s="17">
        <v>455</v>
      </c>
      <c r="AK457" s="6">
        <v>5.7515000000000001</v>
      </c>
      <c r="AL457" s="19">
        <v>-5.7190000000000003</v>
      </c>
      <c r="AM457" s="6">
        <v>2.9205999999999999</v>
      </c>
      <c r="AN457" s="6">
        <v>255</v>
      </c>
      <c r="AQ457" s="17">
        <v>455</v>
      </c>
      <c r="AR457" s="6">
        <v>1.58378</v>
      </c>
      <c r="AS457" s="19">
        <v>-3.3113999999999999</v>
      </c>
      <c r="AT457" s="6">
        <v>0.80420000000000003</v>
      </c>
      <c r="AU457" s="6">
        <v>255</v>
      </c>
      <c r="AW457" s="17">
        <v>455</v>
      </c>
      <c r="AX457" s="6">
        <v>0.83523000000000003</v>
      </c>
      <c r="AY457" s="19">
        <v>-3.3113999999999999</v>
      </c>
      <c r="AZ457" s="6">
        <v>0.80420000000000003</v>
      </c>
      <c r="BA457" s="6">
        <v>255</v>
      </c>
      <c r="BN457" s="17">
        <v>455</v>
      </c>
      <c r="BO457" s="6">
        <v>50.298161239999999</v>
      </c>
      <c r="BP457" s="6">
        <v>52.160781559999997</v>
      </c>
      <c r="BQ457" s="19">
        <v>-1.86262032</v>
      </c>
    </row>
    <row r="458" spans="1:69" x14ac:dyDescent="0.25">
      <c r="A458" s="31" t="s">
        <v>10</v>
      </c>
      <c r="B458" s="32">
        <v>3</v>
      </c>
      <c r="C458" s="32">
        <v>12</v>
      </c>
      <c r="D458" s="32">
        <v>12</v>
      </c>
      <c r="E458" s="32">
        <v>16</v>
      </c>
      <c r="F458" s="2">
        <v>54.8</v>
      </c>
      <c r="G458">
        <v>79.159384615384596</v>
      </c>
      <c r="H458" t="s">
        <v>12</v>
      </c>
      <c r="I458" t="s">
        <v>12</v>
      </c>
      <c r="AD458" s="17">
        <v>456</v>
      </c>
      <c r="AE458" s="6">
        <v>3.0634299999999999</v>
      </c>
      <c r="AF458" s="6">
        <v>3.0448</v>
      </c>
      <c r="AG458" s="6">
        <v>2.9497</v>
      </c>
      <c r="AH458" s="6">
        <v>255</v>
      </c>
      <c r="AJ458" s="17">
        <v>456</v>
      </c>
      <c r="AK458" s="6">
        <v>5.8089399999999998</v>
      </c>
      <c r="AL458" s="6">
        <v>3.0448</v>
      </c>
      <c r="AM458" s="6">
        <v>2.9497</v>
      </c>
      <c r="AN458" s="6">
        <v>255</v>
      </c>
      <c r="AQ458" s="17">
        <v>456</v>
      </c>
      <c r="AR458" s="6">
        <v>1.6015900000000001</v>
      </c>
      <c r="AS458" s="19">
        <v>-0.82</v>
      </c>
      <c r="AT458" s="6">
        <v>0.81330000000000002</v>
      </c>
      <c r="AU458" s="6">
        <v>255</v>
      </c>
      <c r="AW458" s="17">
        <v>456</v>
      </c>
      <c r="AX458" s="6">
        <v>0.84462000000000004</v>
      </c>
      <c r="AY458" s="19">
        <v>-0.82</v>
      </c>
      <c r="AZ458" s="6">
        <v>0.81330000000000002</v>
      </c>
      <c r="BA458" s="6">
        <v>255</v>
      </c>
      <c r="BN458" s="17">
        <v>456</v>
      </c>
      <c r="BO458" s="6">
        <v>55.801428569999999</v>
      </c>
      <c r="BP458" s="6">
        <v>57.542429290000001</v>
      </c>
      <c r="BQ458" s="19">
        <v>-1.7410007199999999</v>
      </c>
    </row>
    <row r="459" spans="1:69" x14ac:dyDescent="0.25">
      <c r="A459" s="31" t="s">
        <v>10</v>
      </c>
      <c r="B459" s="32">
        <v>3</v>
      </c>
      <c r="C459" s="32">
        <v>11</v>
      </c>
      <c r="D459" s="32">
        <v>12</v>
      </c>
      <c r="E459" s="32">
        <v>41</v>
      </c>
      <c r="F459" s="2">
        <v>57.3</v>
      </c>
      <c r="G459">
        <v>64.358074725274705</v>
      </c>
      <c r="H459" t="s">
        <v>12</v>
      </c>
      <c r="I459" t="s">
        <v>12</v>
      </c>
      <c r="AD459" s="17">
        <v>457</v>
      </c>
      <c r="AE459" s="6">
        <v>3.0416599999999998</v>
      </c>
      <c r="AF459" s="19">
        <v>-2.3855</v>
      </c>
      <c r="AG459" s="6">
        <v>2.9287999999999998</v>
      </c>
      <c r="AH459" s="6">
        <v>255</v>
      </c>
      <c r="AJ459" s="17">
        <v>457</v>
      </c>
      <c r="AK459" s="6">
        <v>5.7676600000000002</v>
      </c>
      <c r="AL459" s="19">
        <v>-2.3855</v>
      </c>
      <c r="AM459" s="6">
        <v>2.9287999999999998</v>
      </c>
      <c r="AN459" s="6">
        <v>255</v>
      </c>
      <c r="AQ459" s="17">
        <v>457</v>
      </c>
      <c r="AR459" s="6">
        <v>1.5872200000000001</v>
      </c>
      <c r="AS459" s="19">
        <v>-2.1606000000000001</v>
      </c>
      <c r="AT459" s="6">
        <v>0.80600000000000005</v>
      </c>
      <c r="AU459" s="6">
        <v>255</v>
      </c>
      <c r="AW459" s="17">
        <v>457</v>
      </c>
      <c r="AX459" s="6">
        <v>0.83704000000000001</v>
      </c>
      <c r="AY459" s="19">
        <v>-2.1606000000000001</v>
      </c>
      <c r="AZ459" s="6">
        <v>0.80600000000000005</v>
      </c>
      <c r="BA459" s="6">
        <v>255</v>
      </c>
      <c r="BN459" s="17">
        <v>457</v>
      </c>
      <c r="BO459" s="6">
        <v>79.159384619999997</v>
      </c>
      <c r="BP459" s="6">
        <v>68.024469539999998</v>
      </c>
      <c r="BQ459" s="6">
        <v>11.134915080000001</v>
      </c>
    </row>
    <row r="460" spans="1:69" x14ac:dyDescent="0.25">
      <c r="A460" s="31" t="s">
        <v>10</v>
      </c>
      <c r="B460" s="32">
        <v>3</v>
      </c>
      <c r="C460" s="32">
        <v>10</v>
      </c>
      <c r="D460" s="32">
        <v>12</v>
      </c>
      <c r="E460" s="32">
        <v>18</v>
      </c>
      <c r="F460" s="2">
        <v>57.6</v>
      </c>
      <c r="G460">
        <v>67.562821978021972</v>
      </c>
      <c r="H460" t="s">
        <v>12</v>
      </c>
      <c r="I460" t="s">
        <v>12</v>
      </c>
      <c r="AD460" s="17">
        <v>458</v>
      </c>
      <c r="AE460" s="6">
        <v>3.0606</v>
      </c>
      <c r="AF460" s="19">
        <v>-4.6456999999999997</v>
      </c>
      <c r="AG460" s="6">
        <v>2.9470000000000001</v>
      </c>
      <c r="AH460" s="6">
        <v>255</v>
      </c>
      <c r="AJ460" s="17">
        <v>458</v>
      </c>
      <c r="AK460" s="6">
        <v>5.8035800000000002</v>
      </c>
      <c r="AL460" s="19">
        <v>-4.6456999999999997</v>
      </c>
      <c r="AM460" s="6">
        <v>2.9470000000000001</v>
      </c>
      <c r="AN460" s="6">
        <v>255</v>
      </c>
      <c r="AQ460" s="17">
        <v>458</v>
      </c>
      <c r="AR460" s="6">
        <v>1.59775</v>
      </c>
      <c r="AS460" s="19">
        <v>-1.9903999999999999</v>
      </c>
      <c r="AT460" s="6">
        <v>0.81130000000000002</v>
      </c>
      <c r="AU460" s="6">
        <v>255</v>
      </c>
      <c r="AW460" s="17">
        <v>458</v>
      </c>
      <c r="AX460" s="6">
        <v>0.84260000000000002</v>
      </c>
      <c r="AY460" s="19">
        <v>-1.9903999999999999</v>
      </c>
      <c r="AZ460" s="6">
        <v>0.81130000000000002</v>
      </c>
      <c r="BA460" s="6">
        <v>255</v>
      </c>
      <c r="BN460" s="17">
        <v>458</v>
      </c>
      <c r="BO460" s="6">
        <v>64.358074729999998</v>
      </c>
      <c r="BP460" s="6">
        <v>58.261658140000002</v>
      </c>
      <c r="BQ460" s="6">
        <v>6.0964165899999996</v>
      </c>
    </row>
    <row r="461" spans="1:69" x14ac:dyDescent="0.25">
      <c r="A461" s="31" t="s">
        <v>10</v>
      </c>
      <c r="B461" s="32">
        <v>3</v>
      </c>
      <c r="C461" s="32">
        <v>9</v>
      </c>
      <c r="D461" s="32">
        <v>12</v>
      </c>
      <c r="E461" s="32">
        <v>5</v>
      </c>
      <c r="F461" s="2">
        <v>58</v>
      </c>
      <c r="G461">
        <v>73.417674725274722</v>
      </c>
      <c r="H461" t="s">
        <v>12</v>
      </c>
      <c r="I461" t="s">
        <v>12</v>
      </c>
      <c r="AD461" s="17">
        <v>459</v>
      </c>
      <c r="AE461" s="6">
        <v>3.0486200000000001</v>
      </c>
      <c r="AF461" s="19">
        <v>-3.3952</v>
      </c>
      <c r="AG461" s="6">
        <v>2.9355000000000002</v>
      </c>
      <c r="AH461" s="6">
        <v>255</v>
      </c>
      <c r="AJ461" s="17">
        <v>459</v>
      </c>
      <c r="AK461" s="6">
        <v>5.7808599999999997</v>
      </c>
      <c r="AL461" s="19">
        <v>-3.3952</v>
      </c>
      <c r="AM461" s="6">
        <v>2.9355000000000002</v>
      </c>
      <c r="AN461" s="6">
        <v>255</v>
      </c>
      <c r="AQ461" s="17">
        <v>459</v>
      </c>
      <c r="AR461" s="6">
        <v>1.59745</v>
      </c>
      <c r="AS461" s="19">
        <v>-2.4037999999999999</v>
      </c>
      <c r="AT461" s="6">
        <v>0.81120000000000003</v>
      </c>
      <c r="AU461" s="6">
        <v>255</v>
      </c>
      <c r="AW461" s="17">
        <v>459</v>
      </c>
      <c r="AX461" s="6">
        <v>0.84243999999999997</v>
      </c>
      <c r="AY461" s="19">
        <v>-2.4037999999999999</v>
      </c>
      <c r="AZ461" s="6">
        <v>0.81120000000000003</v>
      </c>
      <c r="BA461" s="6">
        <v>255</v>
      </c>
      <c r="BN461" s="17">
        <v>459</v>
      </c>
      <c r="BO461" s="6">
        <v>67.562821979999995</v>
      </c>
      <c r="BP461" s="6">
        <v>58.112274409999998</v>
      </c>
      <c r="BQ461" s="6">
        <v>9.4505475699999995</v>
      </c>
    </row>
    <row r="462" spans="1:69" x14ac:dyDescent="0.25">
      <c r="A462" s="31" t="s">
        <v>10</v>
      </c>
      <c r="B462" s="32">
        <v>3</v>
      </c>
      <c r="C462" s="32">
        <v>8</v>
      </c>
      <c r="D462" s="32">
        <v>12</v>
      </c>
      <c r="E462" s="32">
        <v>43</v>
      </c>
      <c r="F462" s="2">
        <v>57.6</v>
      </c>
      <c r="G462">
        <v>57.185185054945052</v>
      </c>
      <c r="H462" t="s">
        <v>12</v>
      </c>
      <c r="I462" t="s">
        <v>12</v>
      </c>
      <c r="AD462" s="17">
        <v>460</v>
      </c>
      <c r="AE462" s="6">
        <v>3.052</v>
      </c>
      <c r="AF462" s="19">
        <v>-3.6905000000000001</v>
      </c>
      <c r="AG462" s="6">
        <v>2.9386999999999999</v>
      </c>
      <c r="AH462" s="6">
        <v>255</v>
      </c>
      <c r="AJ462" s="17">
        <v>460</v>
      </c>
      <c r="AK462" s="6">
        <v>5.7872599999999998</v>
      </c>
      <c r="AL462" s="19">
        <v>-3.6905000000000001</v>
      </c>
      <c r="AM462" s="6">
        <v>2.9386999999999999</v>
      </c>
      <c r="AN462" s="6">
        <v>255</v>
      </c>
      <c r="AQ462" s="17">
        <v>460</v>
      </c>
      <c r="AR462" s="6">
        <v>1.6007100000000001</v>
      </c>
      <c r="AS462" s="19">
        <v>-3.6234999999999999</v>
      </c>
      <c r="AT462" s="6">
        <v>0.81279999999999997</v>
      </c>
      <c r="AU462" s="6">
        <v>255</v>
      </c>
      <c r="AW462" s="17">
        <v>460</v>
      </c>
      <c r="AX462" s="6">
        <v>0.84416000000000002</v>
      </c>
      <c r="AY462" s="19">
        <v>-3.6234999999999999</v>
      </c>
      <c r="AZ462" s="6">
        <v>0.81279999999999997</v>
      </c>
      <c r="BA462" s="6">
        <v>255</v>
      </c>
      <c r="BN462" s="17">
        <v>460</v>
      </c>
      <c r="BO462" s="6">
        <v>73.417674730000002</v>
      </c>
      <c r="BP462" s="6">
        <v>63.441299010000002</v>
      </c>
      <c r="BQ462" s="6">
        <v>9.9763757200000001</v>
      </c>
    </row>
    <row r="463" spans="1:69" x14ac:dyDescent="0.25">
      <c r="A463" s="31" t="s">
        <v>10</v>
      </c>
      <c r="B463" s="32">
        <v>3</v>
      </c>
      <c r="C463" s="32">
        <v>7</v>
      </c>
      <c r="D463" s="32">
        <v>12</v>
      </c>
      <c r="E463" s="32">
        <v>48</v>
      </c>
      <c r="F463" s="2">
        <v>54</v>
      </c>
      <c r="G463">
        <v>49.290830769230759</v>
      </c>
      <c r="H463" t="s">
        <v>12</v>
      </c>
      <c r="I463" t="s">
        <v>12</v>
      </c>
      <c r="AD463" s="17">
        <v>461</v>
      </c>
      <c r="AE463" s="6">
        <v>3.0444599999999999</v>
      </c>
      <c r="AF463" s="6">
        <v>1.7477</v>
      </c>
      <c r="AG463" s="6">
        <v>2.9315000000000002</v>
      </c>
      <c r="AH463" s="6">
        <v>255</v>
      </c>
      <c r="AJ463" s="17">
        <v>461</v>
      </c>
      <c r="AK463" s="6">
        <v>5.7729600000000003</v>
      </c>
      <c r="AL463" s="6">
        <v>1.7477</v>
      </c>
      <c r="AM463" s="6">
        <v>2.9315000000000002</v>
      </c>
      <c r="AN463" s="6">
        <v>255</v>
      </c>
      <c r="AQ463" s="17">
        <v>461</v>
      </c>
      <c r="AR463" s="6">
        <v>1.5902400000000001</v>
      </c>
      <c r="AS463" s="19">
        <v>-0.68630000000000002</v>
      </c>
      <c r="AT463" s="6">
        <v>0.8075</v>
      </c>
      <c r="AU463" s="6">
        <v>255</v>
      </c>
      <c r="AW463" s="17">
        <v>461</v>
      </c>
      <c r="AX463" s="6">
        <v>0.83862999999999999</v>
      </c>
      <c r="AY463" s="19">
        <v>-0.68630000000000002</v>
      </c>
      <c r="AZ463" s="6">
        <v>0.8075</v>
      </c>
      <c r="BA463" s="6">
        <v>255</v>
      </c>
      <c r="BN463" s="17">
        <v>461</v>
      </c>
      <c r="BO463" s="6">
        <v>57.185185050000001</v>
      </c>
      <c r="BP463" s="6">
        <v>58.289282630000002</v>
      </c>
      <c r="BQ463" s="19">
        <v>-1.1040975799999999</v>
      </c>
    </row>
    <row r="464" spans="1:69" x14ac:dyDescent="0.25">
      <c r="A464" s="31" t="s">
        <v>10</v>
      </c>
      <c r="B464" s="32">
        <v>3</v>
      </c>
      <c r="C464" s="32">
        <v>6</v>
      </c>
      <c r="D464" s="32">
        <v>12</v>
      </c>
      <c r="E464" s="32">
        <v>29</v>
      </c>
      <c r="F464" s="2">
        <v>57.4</v>
      </c>
      <c r="G464">
        <v>71.929846153846128</v>
      </c>
      <c r="H464" t="s">
        <v>12</v>
      </c>
      <c r="I464" t="s">
        <v>12</v>
      </c>
      <c r="AD464" s="17">
        <v>462</v>
      </c>
      <c r="AE464" s="6">
        <v>3.04617</v>
      </c>
      <c r="AF464" s="19">
        <v>-1.3980999999999999</v>
      </c>
      <c r="AG464" s="6">
        <v>2.9331</v>
      </c>
      <c r="AH464" s="6">
        <v>255</v>
      </c>
      <c r="AJ464" s="17">
        <v>462</v>
      </c>
      <c r="AK464" s="6">
        <v>5.7762099999999998</v>
      </c>
      <c r="AL464" s="19">
        <v>-1.3980999999999999</v>
      </c>
      <c r="AM464" s="6">
        <v>2.9331</v>
      </c>
      <c r="AN464" s="6">
        <v>255</v>
      </c>
      <c r="AQ464" s="17">
        <v>462</v>
      </c>
      <c r="AR464" s="6">
        <v>1.5883400000000001</v>
      </c>
      <c r="AS464" s="19">
        <v>-0.83260000000000001</v>
      </c>
      <c r="AT464" s="6">
        <v>0.80649999999999999</v>
      </c>
      <c r="AU464" s="6">
        <v>255</v>
      </c>
      <c r="AW464" s="17">
        <v>462</v>
      </c>
      <c r="AX464" s="6">
        <v>0.83764000000000005</v>
      </c>
      <c r="AY464" s="19">
        <v>-0.83260000000000001</v>
      </c>
      <c r="AZ464" s="6">
        <v>0.80649999999999999</v>
      </c>
      <c r="BA464" s="6">
        <v>255</v>
      </c>
      <c r="BN464" s="17">
        <v>462</v>
      </c>
      <c r="BO464" s="6">
        <v>49.290830769999999</v>
      </c>
      <c r="BP464" s="6">
        <v>49.740575589999999</v>
      </c>
      <c r="BQ464" s="19">
        <v>-0.44974481999999999</v>
      </c>
    </row>
    <row r="465" spans="1:69" x14ac:dyDescent="0.25">
      <c r="A465" s="31" t="s">
        <v>10</v>
      </c>
      <c r="B465" s="32">
        <v>3</v>
      </c>
      <c r="C465" s="32">
        <v>5</v>
      </c>
      <c r="D465" s="32">
        <v>12</v>
      </c>
      <c r="E465" s="32">
        <v>1</v>
      </c>
      <c r="F465" s="2">
        <v>57.8</v>
      </c>
      <c r="G465">
        <v>74.19608791208789</v>
      </c>
      <c r="H465" t="s">
        <v>12</v>
      </c>
      <c r="I465" t="s">
        <v>12</v>
      </c>
      <c r="AD465" s="17">
        <v>463</v>
      </c>
      <c r="AE465" s="6">
        <v>3.0514999999999999</v>
      </c>
      <c r="AF465" s="19">
        <v>-3.1528</v>
      </c>
      <c r="AG465" s="6">
        <v>2.9382000000000001</v>
      </c>
      <c r="AH465" s="6">
        <v>255</v>
      </c>
      <c r="AJ465" s="17">
        <v>463</v>
      </c>
      <c r="AK465" s="6">
        <v>5.7863199999999999</v>
      </c>
      <c r="AL465" s="19">
        <v>-3.1528</v>
      </c>
      <c r="AM465" s="6">
        <v>2.9382000000000001</v>
      </c>
      <c r="AN465" s="6">
        <v>255</v>
      </c>
      <c r="AQ465" s="17">
        <v>463</v>
      </c>
      <c r="AR465" s="6">
        <v>1.5903700000000001</v>
      </c>
      <c r="AS465" s="19">
        <v>-1.29</v>
      </c>
      <c r="AT465" s="6">
        <v>0.80759999999999998</v>
      </c>
      <c r="AU465" s="6">
        <v>255</v>
      </c>
      <c r="AW465" s="17">
        <v>463</v>
      </c>
      <c r="AX465" s="6">
        <v>0.8387</v>
      </c>
      <c r="AY465" s="19">
        <v>-1.29</v>
      </c>
      <c r="AZ465" s="6">
        <v>0.80759999999999998</v>
      </c>
      <c r="BA465" s="6">
        <v>255</v>
      </c>
      <c r="BN465" s="17">
        <v>463</v>
      </c>
      <c r="BO465" s="6">
        <v>71.929846150000003</v>
      </c>
      <c r="BP465" s="6">
        <v>68.383680319999996</v>
      </c>
      <c r="BQ465" s="6">
        <v>3.5461658300000001</v>
      </c>
    </row>
    <row r="466" spans="1:69" x14ac:dyDescent="0.25">
      <c r="A466" s="31" t="s">
        <v>10</v>
      </c>
      <c r="B466" s="32">
        <v>3</v>
      </c>
      <c r="C466" s="32">
        <v>4</v>
      </c>
      <c r="D466" s="32">
        <v>12</v>
      </c>
      <c r="E466" s="32">
        <v>3</v>
      </c>
      <c r="F466" s="2">
        <v>60.8</v>
      </c>
      <c r="G466">
        <v>73.387609670329653</v>
      </c>
      <c r="H466" t="s">
        <v>12</v>
      </c>
      <c r="I466" t="s">
        <v>12</v>
      </c>
      <c r="AD466" s="17">
        <v>464</v>
      </c>
      <c r="AE466" s="6">
        <v>3.0560299999999998</v>
      </c>
      <c r="AF466" s="6">
        <v>0.56850000000000001</v>
      </c>
      <c r="AG466" s="6">
        <v>2.9426000000000001</v>
      </c>
      <c r="AH466" s="6">
        <v>255</v>
      </c>
      <c r="AJ466" s="17">
        <v>464</v>
      </c>
      <c r="AK466" s="6">
        <v>5.7949099999999998</v>
      </c>
      <c r="AL466" s="6">
        <v>0.56850000000000001</v>
      </c>
      <c r="AM466" s="6">
        <v>2.9426000000000001</v>
      </c>
      <c r="AN466" s="6">
        <v>255</v>
      </c>
      <c r="AQ466" s="17">
        <v>464</v>
      </c>
      <c r="AR466" s="6">
        <v>1.59738</v>
      </c>
      <c r="AS466" s="19">
        <v>-1.9739</v>
      </c>
      <c r="AT466" s="6">
        <v>0.81110000000000004</v>
      </c>
      <c r="AU466" s="6">
        <v>255</v>
      </c>
      <c r="AW466" s="17">
        <v>464</v>
      </c>
      <c r="AX466" s="6">
        <v>0.84240000000000004</v>
      </c>
      <c r="AY466" s="19">
        <v>-1.9739</v>
      </c>
      <c r="AZ466" s="6">
        <v>0.81110000000000004</v>
      </c>
      <c r="BA466" s="6">
        <v>255</v>
      </c>
      <c r="BN466" s="17">
        <v>464</v>
      </c>
      <c r="BO466" s="6">
        <v>74.196087910000003</v>
      </c>
      <c r="BP466" s="6">
        <v>70.841624800000005</v>
      </c>
      <c r="BQ466" s="6">
        <v>3.3544631100000002</v>
      </c>
    </row>
    <row r="467" spans="1:69" x14ac:dyDescent="0.25">
      <c r="A467" s="31" t="s">
        <v>10</v>
      </c>
      <c r="B467" s="32">
        <v>3</v>
      </c>
      <c r="C467" s="32">
        <v>3</v>
      </c>
      <c r="D467" s="32">
        <v>12</v>
      </c>
      <c r="E467" s="32">
        <v>25</v>
      </c>
      <c r="F467" s="2">
        <v>57.6</v>
      </c>
      <c r="G467">
        <v>67.499868131868112</v>
      </c>
      <c r="H467" t="s">
        <v>12</v>
      </c>
      <c r="I467" t="s">
        <v>12</v>
      </c>
      <c r="AD467" s="17">
        <v>465</v>
      </c>
      <c r="AE467" s="6">
        <v>3.0233699999999999</v>
      </c>
      <c r="AF467" s="6">
        <v>9.0724999999999998</v>
      </c>
      <c r="AG467" s="6">
        <v>2.9112</v>
      </c>
      <c r="AH467" s="6">
        <v>255</v>
      </c>
      <c r="AJ467" s="17">
        <v>465</v>
      </c>
      <c r="AK467" s="6">
        <v>5.7329699999999999</v>
      </c>
      <c r="AL467" s="6">
        <v>9.0724999999999998</v>
      </c>
      <c r="AM467" s="6">
        <v>2.9112</v>
      </c>
      <c r="AN467" s="6">
        <v>255</v>
      </c>
      <c r="AQ467" s="17">
        <v>465</v>
      </c>
      <c r="AR467" s="6">
        <v>1.58233</v>
      </c>
      <c r="AS467" s="6">
        <v>0.93469999999999998</v>
      </c>
      <c r="AT467" s="6">
        <v>0.80349999999999999</v>
      </c>
      <c r="AU467" s="6">
        <v>255</v>
      </c>
      <c r="AW467" s="17">
        <v>465</v>
      </c>
      <c r="AX467" s="6">
        <v>0.83445999999999998</v>
      </c>
      <c r="AY467" s="6">
        <v>0.93469999999999998</v>
      </c>
      <c r="AZ467" s="6">
        <v>0.80349999999999999</v>
      </c>
      <c r="BA467" s="6">
        <v>255</v>
      </c>
      <c r="BN467" s="17">
        <v>465</v>
      </c>
      <c r="BO467" s="6">
        <v>73.387609670000003</v>
      </c>
      <c r="BP467" s="6">
        <v>64.859438839999996</v>
      </c>
      <c r="BQ467" s="6">
        <v>8.5281708300000005</v>
      </c>
    </row>
    <row r="468" spans="1:69" x14ac:dyDescent="0.25">
      <c r="A468" s="31" t="s">
        <v>10</v>
      </c>
      <c r="B468" s="32">
        <v>3</v>
      </c>
      <c r="C468" s="32">
        <v>2</v>
      </c>
      <c r="D468" s="32">
        <v>12</v>
      </c>
      <c r="E468" s="32">
        <v>2</v>
      </c>
      <c r="F468" s="2">
        <v>58</v>
      </c>
      <c r="G468">
        <v>58.051472527472527</v>
      </c>
      <c r="H468" t="s">
        <v>12</v>
      </c>
      <c r="I468" t="s">
        <v>12</v>
      </c>
      <c r="AD468" s="17">
        <v>466</v>
      </c>
      <c r="AE468" s="6">
        <v>3.04216</v>
      </c>
      <c r="AF468" s="6">
        <v>4.8026</v>
      </c>
      <c r="AG468" s="6">
        <v>2.9291999999999998</v>
      </c>
      <c r="AH468" s="6">
        <v>255</v>
      </c>
      <c r="AJ468" s="17">
        <v>466</v>
      </c>
      <c r="AK468" s="6">
        <v>5.7686000000000002</v>
      </c>
      <c r="AL468" s="6">
        <v>4.8026</v>
      </c>
      <c r="AM468" s="6">
        <v>2.9291999999999998</v>
      </c>
      <c r="AN468" s="6">
        <v>255</v>
      </c>
      <c r="AQ468" s="17">
        <v>466</v>
      </c>
      <c r="AR468" s="6">
        <v>1.6072900000000001</v>
      </c>
      <c r="AS468" s="6">
        <v>2.5752999999999999</v>
      </c>
      <c r="AT468" s="6">
        <v>0.81620000000000004</v>
      </c>
      <c r="AU468" s="6">
        <v>255</v>
      </c>
      <c r="AW468" s="17">
        <v>466</v>
      </c>
      <c r="AX468" s="6">
        <v>0.84762999999999999</v>
      </c>
      <c r="AY468" s="6">
        <v>2.5752999999999999</v>
      </c>
      <c r="AZ468" s="6">
        <v>0.81620000000000004</v>
      </c>
      <c r="BA468" s="6">
        <v>255</v>
      </c>
      <c r="BN468" s="17">
        <v>466</v>
      </c>
      <c r="BO468" s="6">
        <v>67.499868129999996</v>
      </c>
      <c r="BP468" s="6">
        <v>65.019791819999995</v>
      </c>
      <c r="BQ468" s="6">
        <v>2.4800763099999998</v>
      </c>
    </row>
    <row r="469" spans="1:69" x14ac:dyDescent="0.25">
      <c r="A469" s="31" t="s">
        <v>10</v>
      </c>
      <c r="B469" s="32">
        <v>3</v>
      </c>
      <c r="C469" s="32">
        <v>1</v>
      </c>
      <c r="D469" s="32">
        <v>12</v>
      </c>
      <c r="E469" s="32">
        <v>14</v>
      </c>
      <c r="F469" s="2">
        <v>58.5</v>
      </c>
      <c r="G469">
        <v>50.76840879120877</v>
      </c>
      <c r="H469" t="s">
        <v>12</v>
      </c>
      <c r="I469" t="s">
        <v>12</v>
      </c>
      <c r="AD469" s="17">
        <v>467</v>
      </c>
      <c r="AE469" s="6">
        <v>3.05111</v>
      </c>
      <c r="AF469" s="6">
        <v>0.1032</v>
      </c>
      <c r="AG469" s="6">
        <v>2.9379</v>
      </c>
      <c r="AH469" s="6">
        <v>255</v>
      </c>
      <c r="AJ469" s="17">
        <v>467</v>
      </c>
      <c r="AK469" s="6">
        <v>5.7855800000000004</v>
      </c>
      <c r="AL469" s="6">
        <v>0.1032</v>
      </c>
      <c r="AM469" s="6">
        <v>2.9379</v>
      </c>
      <c r="AN469" s="6">
        <v>255</v>
      </c>
      <c r="AQ469" s="17">
        <v>467</v>
      </c>
      <c r="AR469" s="6">
        <v>1.5883700000000001</v>
      </c>
      <c r="AS469" s="6">
        <v>0.72230000000000005</v>
      </c>
      <c r="AT469" s="6">
        <v>0.80659999999999998</v>
      </c>
      <c r="AU469" s="6">
        <v>255</v>
      </c>
      <c r="AW469" s="17">
        <v>467</v>
      </c>
      <c r="AX469" s="6">
        <v>0.83765000000000001</v>
      </c>
      <c r="AY469" s="6">
        <v>0.72230000000000005</v>
      </c>
      <c r="AZ469" s="6">
        <v>0.80659999999999998</v>
      </c>
      <c r="BA469" s="6">
        <v>255</v>
      </c>
      <c r="BN469" s="17">
        <v>467</v>
      </c>
      <c r="BO469" s="6">
        <v>58.051472529999998</v>
      </c>
      <c r="BP469" s="6">
        <v>63.363066889999999</v>
      </c>
      <c r="BQ469" s="19">
        <v>-5.31159436</v>
      </c>
    </row>
    <row r="470" spans="1:69" x14ac:dyDescent="0.25">
      <c r="A470" s="31" t="s">
        <v>11</v>
      </c>
      <c r="B470" s="32">
        <v>1</v>
      </c>
      <c r="C470" s="32">
        <v>5</v>
      </c>
      <c r="D470" s="32">
        <v>3</v>
      </c>
      <c r="E470" s="11">
        <v>30</v>
      </c>
      <c r="F470" s="2">
        <v>58.7</v>
      </c>
      <c r="G470">
        <v>33.919317101008183</v>
      </c>
      <c r="H470">
        <v>15.4</v>
      </c>
      <c r="I470">
        <v>1</v>
      </c>
      <c r="AD470" s="17">
        <v>468</v>
      </c>
      <c r="AE470" s="6">
        <v>3.0478399999999999</v>
      </c>
      <c r="AF470" s="19">
        <v>-5.525E-2</v>
      </c>
      <c r="AG470" s="6">
        <v>2.9346999999999999</v>
      </c>
      <c r="AH470" s="6">
        <v>255</v>
      </c>
      <c r="AJ470" s="17">
        <v>468</v>
      </c>
      <c r="AK470" s="6">
        <v>5.7793799999999997</v>
      </c>
      <c r="AL470" s="19">
        <v>-5.525E-2</v>
      </c>
      <c r="AM470" s="6">
        <v>2.9346999999999999</v>
      </c>
      <c r="AN470" s="6">
        <v>255</v>
      </c>
      <c r="AQ470" s="17">
        <v>468</v>
      </c>
      <c r="AR470" s="6">
        <v>1.5954299999999999</v>
      </c>
      <c r="AS470" s="6">
        <v>0.48249999999999998</v>
      </c>
      <c r="AT470" s="6">
        <v>0.81010000000000004</v>
      </c>
      <c r="AU470" s="6">
        <v>255</v>
      </c>
      <c r="AW470" s="17">
        <v>468</v>
      </c>
      <c r="AX470" s="6">
        <v>0.84138000000000002</v>
      </c>
      <c r="AY470" s="6">
        <v>0.48249999999999998</v>
      </c>
      <c r="AZ470" s="6">
        <v>0.81010000000000004</v>
      </c>
      <c r="BA470" s="6">
        <v>255</v>
      </c>
      <c r="BN470" s="17">
        <v>624</v>
      </c>
      <c r="BO470" s="6">
        <v>44.009744269999999</v>
      </c>
      <c r="BP470" s="6">
        <v>50.830495640000002</v>
      </c>
      <c r="BQ470" s="19">
        <v>-6.82075137</v>
      </c>
    </row>
    <row r="471" spans="1:69" x14ac:dyDescent="0.25">
      <c r="A471" s="31" t="s">
        <v>11</v>
      </c>
      <c r="B471" s="32">
        <v>2</v>
      </c>
      <c r="C471" s="32">
        <v>4</v>
      </c>
      <c r="D471" s="32">
        <v>5</v>
      </c>
      <c r="E471" s="11">
        <v>30</v>
      </c>
      <c r="F471" s="2">
        <v>60.6</v>
      </c>
      <c r="G471">
        <v>27.661778650447772</v>
      </c>
      <c r="H471" t="s">
        <v>12</v>
      </c>
      <c r="I471">
        <v>1</v>
      </c>
      <c r="AD471" s="17">
        <v>469</v>
      </c>
      <c r="AE471" s="6">
        <v>3.0573700000000001</v>
      </c>
      <c r="AF471" s="19">
        <v>-0.4597</v>
      </c>
      <c r="AG471" s="6">
        <v>2.9439000000000002</v>
      </c>
      <c r="AH471" s="6">
        <v>255</v>
      </c>
      <c r="AJ471" s="17">
        <v>469</v>
      </c>
      <c r="AK471" s="6">
        <v>5.7974500000000004</v>
      </c>
      <c r="AL471" s="19">
        <v>-0.4597</v>
      </c>
      <c r="AM471" s="6">
        <v>2.9439000000000002</v>
      </c>
      <c r="AN471" s="6">
        <v>255</v>
      </c>
      <c r="AQ471" s="17">
        <v>469</v>
      </c>
      <c r="AR471" s="6">
        <v>1.5897699999999999</v>
      </c>
      <c r="AS471" s="6">
        <v>2.7494000000000001</v>
      </c>
      <c r="AT471" s="6">
        <v>0.80730000000000002</v>
      </c>
      <c r="AU471" s="6">
        <v>255</v>
      </c>
      <c r="AW471" s="17">
        <v>469</v>
      </c>
      <c r="AX471" s="6">
        <v>0.83838999999999997</v>
      </c>
      <c r="AY471" s="6">
        <v>2.7494000000000001</v>
      </c>
      <c r="AZ471" s="6">
        <v>0.80730000000000002</v>
      </c>
      <c r="BA471" s="6">
        <v>255</v>
      </c>
      <c r="BN471" s="17">
        <v>625</v>
      </c>
      <c r="BO471" s="6">
        <v>33.919317100000001</v>
      </c>
      <c r="BP471" s="6">
        <v>32.37427022</v>
      </c>
      <c r="BQ471" s="6">
        <v>1.5450468799999999</v>
      </c>
    </row>
    <row r="472" spans="1:69" x14ac:dyDescent="0.25">
      <c r="A472" s="31" t="s">
        <v>11</v>
      </c>
      <c r="B472" s="32">
        <v>3</v>
      </c>
      <c r="C472" s="32">
        <v>3</v>
      </c>
      <c r="D472" s="32">
        <v>9</v>
      </c>
      <c r="E472" s="11">
        <v>30</v>
      </c>
      <c r="F472" s="2">
        <v>59.2</v>
      </c>
      <c r="G472">
        <v>41.210701264264394</v>
      </c>
      <c r="H472" t="s">
        <v>12</v>
      </c>
      <c r="I472">
        <v>1</v>
      </c>
      <c r="AD472" s="17">
        <v>470</v>
      </c>
      <c r="AE472" s="6">
        <v>3.0601600000000002</v>
      </c>
      <c r="AF472" s="6">
        <v>0.97119999999999995</v>
      </c>
      <c r="AG472" s="6">
        <v>2.9466000000000001</v>
      </c>
      <c r="AH472" s="6">
        <v>255</v>
      </c>
      <c r="AJ472" s="17">
        <v>470</v>
      </c>
      <c r="AK472" s="6">
        <v>5.8027300000000004</v>
      </c>
      <c r="AL472" s="6">
        <v>0.97119999999999995</v>
      </c>
      <c r="AM472" s="6">
        <v>2.9466000000000001</v>
      </c>
      <c r="AN472" s="6">
        <v>255</v>
      </c>
      <c r="AQ472" s="17">
        <v>470</v>
      </c>
      <c r="AR472" s="6">
        <v>1.59236</v>
      </c>
      <c r="AS472" s="6">
        <v>1.1275999999999999</v>
      </c>
      <c r="AT472" s="6">
        <v>0.80859999999999999</v>
      </c>
      <c r="AU472" s="6">
        <v>255</v>
      </c>
      <c r="AW472" s="17">
        <v>470</v>
      </c>
      <c r="AX472" s="6">
        <v>0.83975</v>
      </c>
      <c r="AY472" s="6">
        <v>1.1275999999999999</v>
      </c>
      <c r="AZ472" s="6">
        <v>0.80859999999999999</v>
      </c>
      <c r="BA472" s="6">
        <v>255</v>
      </c>
      <c r="BN472" s="17">
        <v>626</v>
      </c>
      <c r="BO472" s="6">
        <v>27.661778649999999</v>
      </c>
      <c r="BP472" s="6">
        <v>32.381481460000003</v>
      </c>
      <c r="BQ472" s="19">
        <v>-4.7197028100000002</v>
      </c>
    </row>
    <row r="473" spans="1:69" x14ac:dyDescent="0.25">
      <c r="A473" s="31" t="s">
        <v>11</v>
      </c>
      <c r="B473" s="32">
        <v>1</v>
      </c>
      <c r="C473" s="32">
        <v>2</v>
      </c>
      <c r="D473" s="32">
        <v>1</v>
      </c>
      <c r="E473" s="11">
        <v>39</v>
      </c>
      <c r="F473" s="2">
        <v>58.7</v>
      </c>
      <c r="G473">
        <v>29.392416536582903</v>
      </c>
      <c r="H473">
        <v>15.6</v>
      </c>
      <c r="I473">
        <v>5</v>
      </c>
      <c r="AD473" s="17">
        <v>471</v>
      </c>
      <c r="AE473" s="6">
        <v>3.05572</v>
      </c>
      <c r="AF473" s="6">
        <v>2.1797</v>
      </c>
      <c r="AG473" s="6">
        <v>2.9422999999999999</v>
      </c>
      <c r="AH473" s="6">
        <v>255</v>
      </c>
      <c r="AJ473" s="17">
        <v>471</v>
      </c>
      <c r="AK473" s="6">
        <v>5.7943199999999999</v>
      </c>
      <c r="AL473" s="6">
        <v>2.1797</v>
      </c>
      <c r="AM473" s="6">
        <v>2.9422999999999999</v>
      </c>
      <c r="AN473" s="6">
        <v>255</v>
      </c>
      <c r="AQ473" s="17">
        <v>471</v>
      </c>
      <c r="AR473" s="6">
        <v>1.5910200000000001</v>
      </c>
      <c r="AS473" s="6">
        <v>2.63</v>
      </c>
      <c r="AT473" s="6">
        <v>0.80789999999999995</v>
      </c>
      <c r="AU473" s="6">
        <v>255</v>
      </c>
      <c r="AW473" s="17">
        <v>471</v>
      </c>
      <c r="AX473" s="6">
        <v>0.83904999999999996</v>
      </c>
      <c r="AY473" s="6">
        <v>2.63</v>
      </c>
      <c r="AZ473" s="6">
        <v>0.80789999999999995</v>
      </c>
      <c r="BA473" s="6">
        <v>255</v>
      </c>
      <c r="BN473" s="17">
        <v>627</v>
      </c>
      <c r="BO473" s="6">
        <v>41.21070126</v>
      </c>
      <c r="BP473" s="6">
        <v>38.03604533</v>
      </c>
      <c r="BQ473" s="6">
        <v>3.1746559300000001</v>
      </c>
    </row>
    <row r="474" spans="1:69" x14ac:dyDescent="0.25">
      <c r="A474" s="31" t="s">
        <v>11</v>
      </c>
      <c r="B474" s="32">
        <v>2</v>
      </c>
      <c r="C474" s="32">
        <v>8</v>
      </c>
      <c r="D474" s="32">
        <v>6</v>
      </c>
      <c r="E474" s="11">
        <v>39</v>
      </c>
      <c r="F474" s="2">
        <v>56.9</v>
      </c>
      <c r="G474">
        <v>19.372246010120666</v>
      </c>
      <c r="H474" t="s">
        <v>12</v>
      </c>
      <c r="I474">
        <v>3</v>
      </c>
      <c r="AD474" s="17">
        <v>472</v>
      </c>
      <c r="AE474" s="6">
        <v>3.0608900000000001</v>
      </c>
      <c r="AF474" s="6">
        <v>6.2782</v>
      </c>
      <c r="AG474" s="6">
        <v>2.9472999999999998</v>
      </c>
      <c r="AH474" s="6">
        <v>255</v>
      </c>
      <c r="AJ474" s="17">
        <v>472</v>
      </c>
      <c r="AK474" s="6">
        <v>5.8041200000000002</v>
      </c>
      <c r="AL474" s="6">
        <v>6.2782</v>
      </c>
      <c r="AM474" s="6">
        <v>2.9472999999999998</v>
      </c>
      <c r="AN474" s="6">
        <v>255</v>
      </c>
      <c r="AQ474" s="17">
        <v>472</v>
      </c>
      <c r="AR474" s="6">
        <v>1.59833</v>
      </c>
      <c r="AS474" s="6">
        <v>3.0173000000000001</v>
      </c>
      <c r="AT474" s="6">
        <v>0.81159999999999999</v>
      </c>
      <c r="AU474" s="6">
        <v>255</v>
      </c>
      <c r="AW474" s="17">
        <v>472</v>
      </c>
      <c r="AX474" s="6">
        <v>0.84289999999999998</v>
      </c>
      <c r="AY474" s="6">
        <v>3.0173000000000001</v>
      </c>
      <c r="AZ474" s="6">
        <v>0.81159999999999999</v>
      </c>
      <c r="BA474" s="6">
        <v>255</v>
      </c>
      <c r="BN474" s="17">
        <v>628</v>
      </c>
      <c r="BO474" s="6">
        <v>29.392416539999999</v>
      </c>
      <c r="BP474" s="6">
        <v>24.31575905</v>
      </c>
      <c r="BQ474" s="6">
        <v>5.0766574899999997</v>
      </c>
    </row>
    <row r="475" spans="1:69" x14ac:dyDescent="0.25">
      <c r="A475" s="31" t="s">
        <v>11</v>
      </c>
      <c r="B475" s="32">
        <v>3</v>
      </c>
      <c r="C475" s="32">
        <v>15</v>
      </c>
      <c r="D475" s="32">
        <v>9</v>
      </c>
      <c r="E475" s="11">
        <v>39</v>
      </c>
      <c r="F475" s="2">
        <v>57.5</v>
      </c>
      <c r="G475">
        <v>29.851600928074237</v>
      </c>
      <c r="H475" t="s">
        <v>12</v>
      </c>
      <c r="I475">
        <v>4</v>
      </c>
      <c r="AD475" s="17">
        <v>473</v>
      </c>
      <c r="AE475" s="6">
        <v>3.0576599999999998</v>
      </c>
      <c r="AF475" s="6">
        <v>2.5222000000000002</v>
      </c>
      <c r="AG475" s="6">
        <v>2.9441999999999999</v>
      </c>
      <c r="AH475" s="6">
        <v>255</v>
      </c>
      <c r="AJ475" s="17">
        <v>473</v>
      </c>
      <c r="AK475" s="6">
        <v>5.798</v>
      </c>
      <c r="AL475" s="6">
        <v>2.5222000000000002</v>
      </c>
      <c r="AM475" s="6">
        <v>2.9441999999999999</v>
      </c>
      <c r="AN475" s="6">
        <v>255</v>
      </c>
      <c r="AQ475" s="17">
        <v>473</v>
      </c>
      <c r="AR475" s="6">
        <v>1.5917699999999999</v>
      </c>
      <c r="AS475" s="6">
        <v>3.0922999999999998</v>
      </c>
      <c r="AT475" s="6">
        <v>0.80830000000000002</v>
      </c>
      <c r="AU475" s="6">
        <v>255</v>
      </c>
      <c r="AW475" s="17">
        <v>473</v>
      </c>
      <c r="AX475" s="6">
        <v>0.83943999999999996</v>
      </c>
      <c r="AY475" s="6">
        <v>3.0922999999999998</v>
      </c>
      <c r="AZ475" s="6">
        <v>0.80830000000000002</v>
      </c>
      <c r="BA475" s="6">
        <v>255</v>
      </c>
      <c r="BN475" s="17">
        <v>629</v>
      </c>
      <c r="BO475" s="6">
        <v>19.372246010000001</v>
      </c>
      <c r="BP475" s="6">
        <v>24.322970290000001</v>
      </c>
      <c r="BQ475" s="19">
        <v>-4.9507242800000002</v>
      </c>
    </row>
    <row r="476" spans="1:69" x14ac:dyDescent="0.25">
      <c r="A476" s="31" t="s">
        <v>11</v>
      </c>
      <c r="B476" s="32">
        <v>1</v>
      </c>
      <c r="C476" s="32">
        <v>3</v>
      </c>
      <c r="D476" s="32">
        <v>2</v>
      </c>
      <c r="E476" s="11">
        <v>38</v>
      </c>
      <c r="F476" s="2">
        <v>57.7</v>
      </c>
      <c r="G476">
        <v>32.581871185431446</v>
      </c>
      <c r="H476">
        <v>15.3</v>
      </c>
      <c r="I476">
        <v>1</v>
      </c>
      <c r="AD476" s="17">
        <v>474</v>
      </c>
      <c r="AE476" s="6">
        <v>3.0642900000000002</v>
      </c>
      <c r="AF476" s="19">
        <v>-0.99829999999999997</v>
      </c>
      <c r="AG476" s="6">
        <v>2.9506000000000001</v>
      </c>
      <c r="AH476" s="6">
        <v>255</v>
      </c>
      <c r="AJ476" s="17">
        <v>474</v>
      </c>
      <c r="AK476" s="6">
        <v>5.8105700000000002</v>
      </c>
      <c r="AL476" s="19">
        <v>-0.99829999999999997</v>
      </c>
      <c r="AM476" s="6">
        <v>2.9506000000000001</v>
      </c>
      <c r="AN476" s="6">
        <v>255</v>
      </c>
      <c r="AQ476" s="17">
        <v>474</v>
      </c>
      <c r="AR476" s="6">
        <v>1.59382</v>
      </c>
      <c r="AS476" s="6">
        <v>1.1475</v>
      </c>
      <c r="AT476" s="6">
        <v>0.80930000000000002</v>
      </c>
      <c r="AU476" s="6">
        <v>255</v>
      </c>
      <c r="AW476" s="17">
        <v>474</v>
      </c>
      <c r="AX476" s="6">
        <v>0.84053</v>
      </c>
      <c r="AY476" s="6">
        <v>1.1475</v>
      </c>
      <c r="AZ476" s="6">
        <v>0.80930000000000002</v>
      </c>
      <c r="BA476" s="6">
        <v>255</v>
      </c>
      <c r="BN476" s="17">
        <v>630</v>
      </c>
      <c r="BO476" s="6">
        <v>29.85160093</v>
      </c>
      <c r="BP476" s="6">
        <v>29.97753415</v>
      </c>
      <c r="BQ476" s="19">
        <v>-0.12593322000000001</v>
      </c>
    </row>
    <row r="477" spans="1:69" x14ac:dyDescent="0.25">
      <c r="A477" s="31" t="s">
        <v>11</v>
      </c>
      <c r="B477" s="32">
        <v>2</v>
      </c>
      <c r="C477" s="32">
        <v>13</v>
      </c>
      <c r="D477" s="32">
        <v>6</v>
      </c>
      <c r="E477" s="11">
        <v>38</v>
      </c>
      <c r="F477" s="2">
        <v>57.8</v>
      </c>
      <c r="G477">
        <v>40.104104223433232</v>
      </c>
      <c r="H477" t="s">
        <v>12</v>
      </c>
      <c r="I477">
        <v>1</v>
      </c>
      <c r="AD477" s="17">
        <v>475</v>
      </c>
      <c r="AE477" s="6">
        <v>3.0504799999999999</v>
      </c>
      <c r="AF477" s="19">
        <v>-0.66990000000000005</v>
      </c>
      <c r="AG477" s="6">
        <v>2.9373</v>
      </c>
      <c r="AH477" s="6">
        <v>255</v>
      </c>
      <c r="AJ477" s="17">
        <v>475</v>
      </c>
      <c r="AK477" s="6">
        <v>5.7843799999999996</v>
      </c>
      <c r="AL477" s="19">
        <v>-0.66990000000000005</v>
      </c>
      <c r="AM477" s="6">
        <v>2.9373</v>
      </c>
      <c r="AN477" s="6">
        <v>255</v>
      </c>
      <c r="AQ477" s="17">
        <v>475</v>
      </c>
      <c r="AR477" s="6">
        <v>1.5890500000000001</v>
      </c>
      <c r="AS477" s="6">
        <v>1.9898</v>
      </c>
      <c r="AT477" s="6">
        <v>0.80689999999999995</v>
      </c>
      <c r="AU477" s="6">
        <v>255</v>
      </c>
      <c r="AW477" s="17">
        <v>475</v>
      </c>
      <c r="AX477" s="6">
        <v>0.83801000000000003</v>
      </c>
      <c r="AY477" s="6">
        <v>1.9898</v>
      </c>
      <c r="AZ477" s="6">
        <v>0.80689999999999995</v>
      </c>
      <c r="BA477" s="6">
        <v>255</v>
      </c>
      <c r="BN477" s="17">
        <v>631</v>
      </c>
      <c r="BO477" s="6">
        <v>32.581871190000001</v>
      </c>
      <c r="BP477" s="6">
        <v>35.819109990000001</v>
      </c>
      <c r="BQ477" s="19">
        <v>-3.2372388000000001</v>
      </c>
    </row>
    <row r="478" spans="1:69" x14ac:dyDescent="0.25">
      <c r="A478" s="31" t="s">
        <v>11</v>
      </c>
      <c r="B478" s="32">
        <v>3</v>
      </c>
      <c r="C478" s="32">
        <v>12</v>
      </c>
      <c r="D478" s="32">
        <v>8</v>
      </c>
      <c r="E478" s="11">
        <v>38</v>
      </c>
      <c r="F478" s="2">
        <v>56.7</v>
      </c>
      <c r="G478">
        <v>40.440340909090907</v>
      </c>
      <c r="H478" t="s">
        <v>12</v>
      </c>
      <c r="I478">
        <v>1</v>
      </c>
      <c r="AD478" s="17">
        <v>476</v>
      </c>
      <c r="AE478" s="6">
        <v>3.04738</v>
      </c>
      <c r="AF478" s="6">
        <v>1.8481000000000001</v>
      </c>
      <c r="AG478" s="6">
        <v>2.9342999999999999</v>
      </c>
      <c r="AH478" s="6">
        <v>255</v>
      </c>
      <c r="AJ478" s="17">
        <v>476</v>
      </c>
      <c r="AK478" s="6">
        <v>5.7785099999999998</v>
      </c>
      <c r="AL478" s="6">
        <v>1.8481000000000001</v>
      </c>
      <c r="AM478" s="6">
        <v>2.9342999999999999</v>
      </c>
      <c r="AN478" s="6">
        <v>255</v>
      </c>
      <c r="AQ478" s="17">
        <v>476</v>
      </c>
      <c r="AR478" s="6">
        <v>1.5842400000000001</v>
      </c>
      <c r="AS478" s="6">
        <v>0.32069999999999999</v>
      </c>
      <c r="AT478" s="6">
        <v>0.80449999999999999</v>
      </c>
      <c r="AU478" s="6">
        <v>255</v>
      </c>
      <c r="AW478" s="17">
        <v>476</v>
      </c>
      <c r="AX478" s="6">
        <v>0.83547000000000005</v>
      </c>
      <c r="AY478" s="6">
        <v>0.32069999999999999</v>
      </c>
      <c r="AZ478" s="6">
        <v>0.80449999999999999</v>
      </c>
      <c r="BA478" s="6">
        <v>255</v>
      </c>
      <c r="BN478" s="17">
        <v>632</v>
      </c>
      <c r="BO478" s="6">
        <v>40.104104220000004</v>
      </c>
      <c r="BP478" s="6">
        <v>35.826321229999998</v>
      </c>
      <c r="BQ478" s="6">
        <v>4.2777829900000004</v>
      </c>
    </row>
    <row r="479" spans="1:69" x14ac:dyDescent="0.25">
      <c r="A479" s="31" t="s">
        <v>11</v>
      </c>
      <c r="B479" s="32">
        <v>1</v>
      </c>
      <c r="C479" s="32">
        <v>1</v>
      </c>
      <c r="D479" s="32">
        <v>2</v>
      </c>
      <c r="E479" s="11">
        <v>37</v>
      </c>
      <c r="F479" s="2">
        <v>60.1</v>
      </c>
      <c r="G479">
        <v>23.317292710762665</v>
      </c>
      <c r="H479">
        <v>15.9</v>
      </c>
      <c r="I479">
        <v>4</v>
      </c>
      <c r="AD479" s="17">
        <v>477</v>
      </c>
      <c r="AE479" s="6">
        <v>3.0728200000000001</v>
      </c>
      <c r="AF479" s="6">
        <v>3.5263</v>
      </c>
      <c r="AG479" s="6">
        <v>2.9588000000000001</v>
      </c>
      <c r="AH479" s="6">
        <v>255</v>
      </c>
      <c r="AJ479" s="17">
        <v>477</v>
      </c>
      <c r="AK479" s="6">
        <v>5.8267499999999997</v>
      </c>
      <c r="AL479" s="6">
        <v>3.5263</v>
      </c>
      <c r="AM479" s="6">
        <v>2.9588000000000001</v>
      </c>
      <c r="AN479" s="6">
        <v>255</v>
      </c>
      <c r="AQ479" s="17">
        <v>477</v>
      </c>
      <c r="AR479" s="6">
        <v>1.6003099999999999</v>
      </c>
      <c r="AS479" s="6">
        <v>0.7016</v>
      </c>
      <c r="AT479" s="6">
        <v>0.81259999999999999</v>
      </c>
      <c r="AU479" s="6">
        <v>255</v>
      </c>
      <c r="AW479" s="17">
        <v>477</v>
      </c>
      <c r="AX479" s="6">
        <v>0.84394999999999998</v>
      </c>
      <c r="AY479" s="6">
        <v>0.7016</v>
      </c>
      <c r="AZ479" s="6">
        <v>0.81259999999999999</v>
      </c>
      <c r="BA479" s="6">
        <v>255</v>
      </c>
      <c r="BN479" s="17">
        <v>633</v>
      </c>
      <c r="BO479" s="6">
        <v>40.440340910000003</v>
      </c>
      <c r="BP479" s="6">
        <v>41.480885100000002</v>
      </c>
      <c r="BQ479" s="19">
        <v>-1.0405441900000001</v>
      </c>
    </row>
    <row r="480" spans="1:69" x14ac:dyDescent="0.25">
      <c r="A480" s="31" t="s">
        <v>11</v>
      </c>
      <c r="B480" s="32">
        <v>2</v>
      </c>
      <c r="C480" s="32">
        <v>16</v>
      </c>
      <c r="D480" s="32">
        <v>4</v>
      </c>
      <c r="E480" s="11">
        <v>37</v>
      </c>
      <c r="F480" s="2">
        <v>59.1</v>
      </c>
      <c r="G480">
        <v>19.166686487290022</v>
      </c>
      <c r="H480" t="s">
        <v>12</v>
      </c>
      <c r="I480">
        <v>3</v>
      </c>
      <c r="AD480" s="17">
        <v>478</v>
      </c>
      <c r="AE480" s="6">
        <v>3.0561199999999999</v>
      </c>
      <c r="AF480" s="6">
        <v>1.0442</v>
      </c>
      <c r="AG480" s="6">
        <v>2.9426999999999999</v>
      </c>
      <c r="AH480" s="6">
        <v>255</v>
      </c>
      <c r="AJ480" s="17">
        <v>478</v>
      </c>
      <c r="AK480" s="6">
        <v>5.7950799999999996</v>
      </c>
      <c r="AL480" s="6">
        <v>1.0442</v>
      </c>
      <c r="AM480" s="6">
        <v>2.9426999999999999</v>
      </c>
      <c r="AN480" s="6">
        <v>255</v>
      </c>
      <c r="AQ480" s="17">
        <v>478</v>
      </c>
      <c r="AR480" s="6">
        <v>1.6179399999999999</v>
      </c>
      <c r="AS480" s="6">
        <v>2.08</v>
      </c>
      <c r="AT480" s="6">
        <v>0.8216</v>
      </c>
      <c r="AU480" s="6">
        <v>255</v>
      </c>
      <c r="AW480" s="17">
        <v>478</v>
      </c>
      <c r="AX480" s="6">
        <v>0.85324</v>
      </c>
      <c r="AY480" s="6">
        <v>2.08</v>
      </c>
      <c r="AZ480" s="6">
        <v>0.8216</v>
      </c>
      <c r="BA480" s="6">
        <v>255</v>
      </c>
      <c r="BN480" s="17">
        <v>634</v>
      </c>
      <c r="BO480" s="6">
        <v>23.31729271</v>
      </c>
      <c r="BP480" s="6">
        <v>20.065657160000001</v>
      </c>
      <c r="BQ480" s="6">
        <v>3.25163555</v>
      </c>
    </row>
    <row r="481" spans="1:69" x14ac:dyDescent="0.25">
      <c r="A481" s="31" t="s">
        <v>11</v>
      </c>
      <c r="B481" s="32">
        <v>3</v>
      </c>
      <c r="C481" s="32">
        <v>17</v>
      </c>
      <c r="D481" s="32">
        <v>7</v>
      </c>
      <c r="E481" s="11">
        <v>37</v>
      </c>
      <c r="F481" s="2">
        <v>58.6</v>
      </c>
      <c r="G481">
        <v>23.381978607083429</v>
      </c>
      <c r="H481" t="s">
        <v>12</v>
      </c>
      <c r="I481">
        <v>3</v>
      </c>
      <c r="AD481" s="17">
        <v>479</v>
      </c>
      <c r="AE481" s="6">
        <v>3.0690400000000002</v>
      </c>
      <c r="AF481" s="6">
        <v>3.0044</v>
      </c>
      <c r="AG481" s="6">
        <v>2.9550999999999998</v>
      </c>
      <c r="AH481" s="6">
        <v>255</v>
      </c>
      <c r="AJ481" s="17">
        <v>479</v>
      </c>
      <c r="AK481" s="6">
        <v>5.8195800000000002</v>
      </c>
      <c r="AL481" s="6">
        <v>3.0044</v>
      </c>
      <c r="AM481" s="6">
        <v>2.9550999999999998</v>
      </c>
      <c r="AN481" s="6">
        <v>255</v>
      </c>
      <c r="AQ481" s="17">
        <v>479</v>
      </c>
      <c r="AR481" s="6">
        <v>1.5970500000000001</v>
      </c>
      <c r="AS481" s="6">
        <v>1.9908999999999999</v>
      </c>
      <c r="AT481" s="6">
        <v>0.81100000000000005</v>
      </c>
      <c r="AU481" s="6">
        <v>255</v>
      </c>
      <c r="AW481" s="17">
        <v>479</v>
      </c>
      <c r="AX481" s="6">
        <v>0.84223000000000003</v>
      </c>
      <c r="AY481" s="6">
        <v>1.9908999999999999</v>
      </c>
      <c r="AZ481" s="6">
        <v>0.81100000000000005</v>
      </c>
      <c r="BA481" s="6">
        <v>255</v>
      </c>
      <c r="BN481" s="17">
        <v>635</v>
      </c>
      <c r="BO481" s="6">
        <v>19.16668649</v>
      </c>
      <c r="BP481" s="6">
        <v>20.072868400000001</v>
      </c>
      <c r="BQ481" s="19">
        <v>-0.90618191000000003</v>
      </c>
    </row>
    <row r="482" spans="1:69" x14ac:dyDescent="0.25">
      <c r="A482" s="31" t="s">
        <v>11</v>
      </c>
      <c r="B482" s="32">
        <v>1</v>
      </c>
      <c r="C482" s="32">
        <v>8</v>
      </c>
      <c r="D482" s="32">
        <v>3</v>
      </c>
      <c r="E482" s="11">
        <v>40</v>
      </c>
      <c r="F482" s="2">
        <v>58.7</v>
      </c>
      <c r="G482">
        <v>17.38102529960053</v>
      </c>
      <c r="H482">
        <v>14</v>
      </c>
      <c r="I482">
        <v>4</v>
      </c>
      <c r="AD482" s="17">
        <v>480</v>
      </c>
      <c r="AE482" s="6">
        <v>3.0640200000000002</v>
      </c>
      <c r="AF482" s="19">
        <v>-5.0617000000000001</v>
      </c>
      <c r="AG482" s="6">
        <v>2.9502999999999999</v>
      </c>
      <c r="AH482" s="6">
        <v>255</v>
      </c>
      <c r="AJ482" s="17">
        <v>480</v>
      </c>
      <c r="AK482" s="6">
        <v>5.81006</v>
      </c>
      <c r="AL482" s="19">
        <v>-5.0617000000000001</v>
      </c>
      <c r="AM482" s="6">
        <v>2.9502999999999999</v>
      </c>
      <c r="AN482" s="6">
        <v>255</v>
      </c>
      <c r="AQ482" s="17">
        <v>480</v>
      </c>
      <c r="AR482" s="6">
        <v>1.5945800000000001</v>
      </c>
      <c r="AS482" s="6">
        <v>1.58</v>
      </c>
      <c r="AT482" s="6">
        <v>0.80969999999999998</v>
      </c>
      <c r="AU482" s="6">
        <v>255</v>
      </c>
      <c r="AW482" s="17">
        <v>480</v>
      </c>
      <c r="AX482" s="6">
        <v>0.84092</v>
      </c>
      <c r="AY482" s="6">
        <v>1.58</v>
      </c>
      <c r="AZ482" s="6">
        <v>0.80969999999999998</v>
      </c>
      <c r="BA482" s="6">
        <v>255</v>
      </c>
      <c r="BN482" s="17">
        <v>636</v>
      </c>
      <c r="BO482" s="6">
        <v>23.381978610000001</v>
      </c>
      <c r="BP482" s="6">
        <v>25.72743226</v>
      </c>
      <c r="BQ482" s="19">
        <v>-2.3454536500000001</v>
      </c>
    </row>
    <row r="483" spans="1:69" x14ac:dyDescent="0.25">
      <c r="A483" s="31" t="s">
        <v>11</v>
      </c>
      <c r="B483" s="32">
        <v>2</v>
      </c>
      <c r="C483" s="32">
        <v>10</v>
      </c>
      <c r="D483" s="32">
        <v>6</v>
      </c>
      <c r="E483" s="11">
        <v>40</v>
      </c>
      <c r="F483" s="2">
        <v>57.9</v>
      </c>
      <c r="G483">
        <v>19.624274036590108</v>
      </c>
      <c r="H483" t="s">
        <v>12</v>
      </c>
      <c r="I483">
        <v>3</v>
      </c>
      <c r="AD483" s="17">
        <v>481</v>
      </c>
      <c r="AE483" s="6">
        <v>3.0460099999999999</v>
      </c>
      <c r="AF483" s="19">
        <v>-1.8890000000000001E-2</v>
      </c>
      <c r="AG483" s="6">
        <v>2.9329999999999998</v>
      </c>
      <c r="AH483" s="6">
        <v>255</v>
      </c>
      <c r="AJ483" s="17">
        <v>481</v>
      </c>
      <c r="AK483" s="6">
        <v>5.7759</v>
      </c>
      <c r="AL483" s="19">
        <v>-1.8890000000000001E-2</v>
      </c>
      <c r="AM483" s="6">
        <v>2.9329999999999998</v>
      </c>
      <c r="AN483" s="6">
        <v>255</v>
      </c>
      <c r="AQ483" s="17">
        <v>481</v>
      </c>
      <c r="AR483" s="6">
        <v>1.58605</v>
      </c>
      <c r="AS483" s="6">
        <v>1.8524</v>
      </c>
      <c r="AT483" s="6">
        <v>0.8054</v>
      </c>
      <c r="AU483" s="6">
        <v>255</v>
      </c>
      <c r="AW483" s="17">
        <v>481</v>
      </c>
      <c r="AX483" s="6">
        <v>0.83643000000000001</v>
      </c>
      <c r="AY483" s="6">
        <v>1.8524</v>
      </c>
      <c r="AZ483" s="6">
        <v>0.8054</v>
      </c>
      <c r="BA483" s="6">
        <v>255</v>
      </c>
      <c r="BN483" s="17">
        <v>637</v>
      </c>
      <c r="BO483" s="6">
        <v>17.381025300000001</v>
      </c>
      <c r="BP483" s="6">
        <v>20.099008380000001</v>
      </c>
      <c r="BQ483" s="19">
        <v>-2.7179830800000002</v>
      </c>
    </row>
    <row r="484" spans="1:69" x14ac:dyDescent="0.25">
      <c r="A484" s="31" t="s">
        <v>11</v>
      </c>
      <c r="B484" s="32">
        <v>3</v>
      </c>
      <c r="C484" s="32">
        <v>18</v>
      </c>
      <c r="D484" s="32">
        <v>7</v>
      </c>
      <c r="E484" s="11">
        <v>40</v>
      </c>
      <c r="F484" s="2">
        <v>62.3</v>
      </c>
      <c r="G484">
        <v>28.960712146422626</v>
      </c>
      <c r="H484" t="s">
        <v>12</v>
      </c>
      <c r="I484">
        <v>3</v>
      </c>
      <c r="AD484" s="17">
        <v>482</v>
      </c>
      <c r="AE484" s="6">
        <v>3.0549200000000001</v>
      </c>
      <c r="AF484" s="6">
        <v>2.4584999999999999</v>
      </c>
      <c r="AG484" s="6">
        <v>2.9415</v>
      </c>
      <c r="AH484" s="6">
        <v>255</v>
      </c>
      <c r="AJ484" s="17">
        <v>482</v>
      </c>
      <c r="AK484" s="6">
        <v>5.7927999999999997</v>
      </c>
      <c r="AL484" s="6">
        <v>2.4584999999999999</v>
      </c>
      <c r="AM484" s="6">
        <v>2.9415</v>
      </c>
      <c r="AN484" s="6">
        <v>255</v>
      </c>
      <c r="AQ484" s="17">
        <v>482</v>
      </c>
      <c r="AR484" s="6">
        <v>1.58487</v>
      </c>
      <c r="AS484" s="6">
        <v>2.3763000000000001</v>
      </c>
      <c r="AT484" s="6">
        <v>0.80479999999999996</v>
      </c>
      <c r="AU484" s="6">
        <v>255</v>
      </c>
      <c r="AW484" s="17">
        <v>482</v>
      </c>
      <c r="AX484" s="6">
        <v>0.83579999999999999</v>
      </c>
      <c r="AY484" s="6">
        <v>2.3763000000000001</v>
      </c>
      <c r="AZ484" s="6">
        <v>0.80479999999999996</v>
      </c>
      <c r="BA484" s="6">
        <v>255</v>
      </c>
      <c r="BN484" s="17">
        <v>638</v>
      </c>
      <c r="BO484" s="6">
        <v>19.62427404</v>
      </c>
      <c r="BP484" s="6">
        <v>20.106219620000001</v>
      </c>
      <c r="BQ484" s="19">
        <v>-0.48194557999999998</v>
      </c>
    </row>
    <row r="485" spans="1:69" x14ac:dyDescent="0.25">
      <c r="A485" s="31" t="s">
        <v>11</v>
      </c>
      <c r="B485" s="32">
        <v>1</v>
      </c>
      <c r="C485" s="32">
        <v>3</v>
      </c>
      <c r="D485" s="32">
        <v>3</v>
      </c>
      <c r="E485" s="11">
        <v>41</v>
      </c>
      <c r="F485" s="2">
        <v>58.3</v>
      </c>
      <c r="G485">
        <v>27.281966901274487</v>
      </c>
      <c r="H485">
        <v>15.1</v>
      </c>
      <c r="I485">
        <v>3</v>
      </c>
      <c r="AD485" s="17">
        <v>483</v>
      </c>
      <c r="AE485" s="6">
        <v>3.0509499999999998</v>
      </c>
      <c r="AF485" s="6">
        <v>0.53920000000000001</v>
      </c>
      <c r="AG485" s="6">
        <v>2.9377</v>
      </c>
      <c r="AH485" s="6">
        <v>255</v>
      </c>
      <c r="AJ485" s="17">
        <v>483</v>
      </c>
      <c r="AK485" s="6">
        <v>5.7852800000000002</v>
      </c>
      <c r="AL485" s="6">
        <v>0.53920000000000001</v>
      </c>
      <c r="AM485" s="6">
        <v>2.9377</v>
      </c>
      <c r="AN485" s="6">
        <v>255</v>
      </c>
      <c r="AQ485" s="17">
        <v>483</v>
      </c>
      <c r="AR485" s="6">
        <v>1.58754</v>
      </c>
      <c r="AS485" s="6">
        <v>1.1936</v>
      </c>
      <c r="AT485" s="6">
        <v>0.80610000000000004</v>
      </c>
      <c r="AU485" s="6">
        <v>255</v>
      </c>
      <c r="AW485" s="17">
        <v>483</v>
      </c>
      <c r="AX485" s="6">
        <v>0.83721000000000001</v>
      </c>
      <c r="AY485" s="6">
        <v>1.1936</v>
      </c>
      <c r="AZ485" s="6">
        <v>0.80610000000000004</v>
      </c>
      <c r="BA485" s="6">
        <v>255</v>
      </c>
      <c r="BN485" s="17">
        <v>639</v>
      </c>
      <c r="BO485" s="6">
        <v>28.960712149999999</v>
      </c>
      <c r="BP485" s="6">
        <v>25.760783490000001</v>
      </c>
      <c r="BQ485" s="6">
        <v>3.1999286599999999</v>
      </c>
    </row>
    <row r="486" spans="1:69" x14ac:dyDescent="0.25">
      <c r="A486" s="31" t="s">
        <v>11</v>
      </c>
      <c r="B486" s="32">
        <v>2</v>
      </c>
      <c r="C486" s="32">
        <v>17</v>
      </c>
      <c r="D486" s="32">
        <v>6</v>
      </c>
      <c r="E486" s="11">
        <v>41</v>
      </c>
      <c r="F486" s="2" t="s">
        <v>12</v>
      </c>
      <c r="G486">
        <v>16.952064032697546</v>
      </c>
      <c r="H486" t="s">
        <v>12</v>
      </c>
      <c r="I486">
        <v>3</v>
      </c>
      <c r="AD486" s="17">
        <v>484</v>
      </c>
      <c r="AE486" s="6">
        <v>3.0647199999999999</v>
      </c>
      <c r="AF486" s="6">
        <v>1.8502000000000001</v>
      </c>
      <c r="AG486" s="6">
        <v>2.9510000000000001</v>
      </c>
      <c r="AH486" s="6">
        <v>255</v>
      </c>
      <c r="AJ486" s="17">
        <v>484</v>
      </c>
      <c r="AK486" s="6">
        <v>5.8113799999999998</v>
      </c>
      <c r="AL486" s="6">
        <v>1.8502000000000001</v>
      </c>
      <c r="AM486" s="6">
        <v>2.9510000000000001</v>
      </c>
      <c r="AN486" s="6">
        <v>255</v>
      </c>
      <c r="AQ486" s="17">
        <v>484</v>
      </c>
      <c r="AR486" s="6">
        <v>1.5951</v>
      </c>
      <c r="AS486" s="6">
        <v>1.0052000000000001</v>
      </c>
      <c r="AT486" s="6">
        <v>0.81</v>
      </c>
      <c r="AU486" s="6">
        <v>255</v>
      </c>
      <c r="AW486" s="17">
        <v>484</v>
      </c>
      <c r="AX486" s="6">
        <v>0.84119999999999995</v>
      </c>
      <c r="AY486" s="6">
        <v>1.0052000000000001</v>
      </c>
      <c r="AZ486" s="6">
        <v>0.81</v>
      </c>
      <c r="BA486" s="6">
        <v>255</v>
      </c>
      <c r="BN486" s="17">
        <v>640</v>
      </c>
      <c r="BO486" s="6">
        <v>27.2819669</v>
      </c>
      <c r="BP486" s="6">
        <v>20.95867981</v>
      </c>
      <c r="BQ486" s="6">
        <v>6.32328709</v>
      </c>
    </row>
    <row r="487" spans="1:69" x14ac:dyDescent="0.25">
      <c r="A487" s="31" t="s">
        <v>11</v>
      </c>
      <c r="B487" s="32">
        <v>3</v>
      </c>
      <c r="C487" s="32">
        <v>18</v>
      </c>
      <c r="D487" s="32">
        <v>9</v>
      </c>
      <c r="E487" s="11">
        <v>41</v>
      </c>
      <c r="F487" s="2">
        <v>58</v>
      </c>
      <c r="G487">
        <v>24.310994838770771</v>
      </c>
      <c r="H487" t="s">
        <v>12</v>
      </c>
      <c r="I487">
        <v>4</v>
      </c>
      <c r="AD487" s="17">
        <v>485</v>
      </c>
      <c r="AE487" s="6">
        <v>3.0534300000000001</v>
      </c>
      <c r="AF487" s="6">
        <v>3.7437999999999998</v>
      </c>
      <c r="AG487" s="6">
        <v>2.9401000000000002</v>
      </c>
      <c r="AH487" s="6">
        <v>255</v>
      </c>
      <c r="AJ487" s="17">
        <v>485</v>
      </c>
      <c r="AK487" s="6">
        <v>5.7899799999999999</v>
      </c>
      <c r="AL487" s="6">
        <v>3.7437999999999998</v>
      </c>
      <c r="AM487" s="6">
        <v>2.9401000000000002</v>
      </c>
      <c r="AN487" s="6">
        <v>255</v>
      </c>
      <c r="AQ487" s="17">
        <v>485</v>
      </c>
      <c r="AR487" s="6">
        <v>1.59029</v>
      </c>
      <c r="AS487" s="6">
        <v>1.9348000000000001</v>
      </c>
      <c r="AT487" s="6">
        <v>0.8075</v>
      </c>
      <c r="AU487" s="6">
        <v>255</v>
      </c>
      <c r="AW487" s="17">
        <v>485</v>
      </c>
      <c r="AX487" s="6">
        <v>0.83865999999999996</v>
      </c>
      <c r="AY487" s="6">
        <v>1.9348000000000001</v>
      </c>
      <c r="AZ487" s="6">
        <v>0.8075</v>
      </c>
      <c r="BA487" s="6">
        <v>255</v>
      </c>
      <c r="BN487" s="17">
        <v>641</v>
      </c>
      <c r="BO487" s="6">
        <v>16.952064029999999</v>
      </c>
      <c r="BP487" s="6">
        <v>20.96589105</v>
      </c>
      <c r="BQ487" s="19">
        <v>-4.0138270199999999</v>
      </c>
    </row>
    <row r="488" spans="1:69" x14ac:dyDescent="0.25">
      <c r="A488" s="31" t="s">
        <v>11</v>
      </c>
      <c r="B488" s="32">
        <v>1</v>
      </c>
      <c r="C488" s="32">
        <v>13</v>
      </c>
      <c r="D488" s="32">
        <v>3</v>
      </c>
      <c r="E488" s="11">
        <v>20</v>
      </c>
      <c r="F488" s="2">
        <v>60.9</v>
      </c>
      <c r="G488">
        <v>24.14737492866654</v>
      </c>
      <c r="H488">
        <v>15</v>
      </c>
      <c r="I488">
        <v>4</v>
      </c>
      <c r="AD488" s="17">
        <v>486</v>
      </c>
      <c r="AE488" s="6">
        <v>3.0644300000000002</v>
      </c>
      <c r="AF488" s="19">
        <v>-2.4060000000000001</v>
      </c>
      <c r="AG488" s="6">
        <v>2.9506999999999999</v>
      </c>
      <c r="AH488" s="6">
        <v>255</v>
      </c>
      <c r="AJ488" s="17">
        <v>486</v>
      </c>
      <c r="AK488" s="6">
        <v>5.8108399999999998</v>
      </c>
      <c r="AL488" s="19">
        <v>-2.4060000000000001</v>
      </c>
      <c r="AM488" s="6">
        <v>2.9506999999999999</v>
      </c>
      <c r="AN488" s="6">
        <v>255</v>
      </c>
      <c r="AQ488" s="17">
        <v>486</v>
      </c>
      <c r="AR488" s="6">
        <v>1.5954699999999999</v>
      </c>
      <c r="AS488" s="19">
        <v>-0.42970000000000003</v>
      </c>
      <c r="AT488" s="6">
        <v>0.81020000000000003</v>
      </c>
      <c r="AU488" s="6">
        <v>255</v>
      </c>
      <c r="AW488" s="17">
        <v>486</v>
      </c>
      <c r="AX488" s="6">
        <v>0.84140000000000004</v>
      </c>
      <c r="AY488" s="19">
        <v>-0.42970000000000003</v>
      </c>
      <c r="AZ488" s="6">
        <v>0.81020000000000003</v>
      </c>
      <c r="BA488" s="6">
        <v>255</v>
      </c>
      <c r="BN488" s="17">
        <v>642</v>
      </c>
      <c r="BO488" s="6">
        <v>24.310994839999999</v>
      </c>
      <c r="BP488" s="6">
        <v>26.620454909999999</v>
      </c>
      <c r="BQ488" s="19">
        <v>-2.3094600700000001</v>
      </c>
    </row>
    <row r="489" spans="1:69" x14ac:dyDescent="0.25">
      <c r="A489" s="31" t="s">
        <v>11</v>
      </c>
      <c r="B489" s="32">
        <v>2</v>
      </c>
      <c r="C489" s="32">
        <v>5</v>
      </c>
      <c r="D489" s="32">
        <v>6</v>
      </c>
      <c r="E489" s="11">
        <v>20</v>
      </c>
      <c r="F489" s="2">
        <v>60.4</v>
      </c>
      <c r="G489">
        <v>26.747245036979368</v>
      </c>
      <c r="H489" t="s">
        <v>12</v>
      </c>
      <c r="I489">
        <v>4</v>
      </c>
      <c r="AD489" s="17">
        <v>487</v>
      </c>
      <c r="AE489" s="6">
        <v>3.0529899999999999</v>
      </c>
      <c r="AF489" s="6">
        <v>0.71899999999999997</v>
      </c>
      <c r="AG489" s="6">
        <v>2.9397000000000002</v>
      </c>
      <c r="AH489" s="6">
        <v>255</v>
      </c>
      <c r="AJ489" s="17">
        <v>487</v>
      </c>
      <c r="AK489" s="6">
        <v>5.7891500000000002</v>
      </c>
      <c r="AL489" s="6">
        <v>0.71899999999999997</v>
      </c>
      <c r="AM489" s="6">
        <v>2.9397000000000002</v>
      </c>
      <c r="AN489" s="6">
        <v>255</v>
      </c>
      <c r="AQ489" s="17">
        <v>487</v>
      </c>
      <c r="AR489" s="6">
        <v>1.5830900000000001</v>
      </c>
      <c r="AS489" s="6">
        <v>1.9435</v>
      </c>
      <c r="AT489" s="6">
        <v>0.80389999999999995</v>
      </c>
      <c r="AU489" s="6">
        <v>255</v>
      </c>
      <c r="AW489" s="17">
        <v>487</v>
      </c>
      <c r="AX489" s="6">
        <v>0.83486000000000005</v>
      </c>
      <c r="AY489" s="6">
        <v>1.9435</v>
      </c>
      <c r="AZ489" s="6">
        <v>0.80389999999999995</v>
      </c>
      <c r="BA489" s="6">
        <v>255</v>
      </c>
      <c r="BN489" s="17">
        <v>643</v>
      </c>
      <c r="BO489" s="6">
        <v>24.147374930000002</v>
      </c>
      <c r="BP489" s="6">
        <v>28.682730509999999</v>
      </c>
      <c r="BQ489" s="19">
        <v>-4.5353555800000001</v>
      </c>
    </row>
    <row r="490" spans="1:69" x14ac:dyDescent="0.25">
      <c r="A490" s="31" t="s">
        <v>11</v>
      </c>
      <c r="B490" s="32">
        <v>3</v>
      </c>
      <c r="C490" s="32">
        <v>2</v>
      </c>
      <c r="D490" s="32">
        <v>9</v>
      </c>
      <c r="E490" s="11">
        <v>20</v>
      </c>
      <c r="F490" s="2">
        <v>61.8</v>
      </c>
      <c r="G490">
        <v>40.822557886263539</v>
      </c>
      <c r="H490" t="s">
        <v>12</v>
      </c>
      <c r="I490">
        <v>3</v>
      </c>
      <c r="AD490" s="17">
        <v>488</v>
      </c>
      <c r="AE490" s="6">
        <v>3.05654</v>
      </c>
      <c r="AF490" s="6">
        <v>3.0366</v>
      </c>
      <c r="AG490" s="6">
        <v>2.9430999999999998</v>
      </c>
      <c r="AH490" s="6">
        <v>255</v>
      </c>
      <c r="AJ490" s="17">
        <v>488</v>
      </c>
      <c r="AK490" s="6">
        <v>5.7958699999999999</v>
      </c>
      <c r="AL490" s="6">
        <v>3.0366</v>
      </c>
      <c r="AM490" s="6">
        <v>2.9430999999999998</v>
      </c>
      <c r="AN490" s="6">
        <v>255</v>
      </c>
      <c r="AQ490" s="17">
        <v>488</v>
      </c>
      <c r="AR490" s="6">
        <v>1.5951299999999999</v>
      </c>
      <c r="AS490" s="6">
        <v>1.6760999999999999</v>
      </c>
      <c r="AT490" s="6">
        <v>0.81</v>
      </c>
      <c r="AU490" s="6">
        <v>255</v>
      </c>
      <c r="AW490" s="17">
        <v>488</v>
      </c>
      <c r="AX490" s="6">
        <v>0.84121999999999997</v>
      </c>
      <c r="AY490" s="6">
        <v>1.6760999999999999</v>
      </c>
      <c r="AZ490" s="6">
        <v>0.81</v>
      </c>
      <c r="BA490" s="6">
        <v>255</v>
      </c>
      <c r="BN490" s="17">
        <v>644</v>
      </c>
      <c r="BO490" s="6">
        <v>26.747245039999999</v>
      </c>
      <c r="BP490" s="6">
        <v>28.689941749999999</v>
      </c>
      <c r="BQ490" s="19">
        <v>-1.9426967100000001</v>
      </c>
    </row>
    <row r="491" spans="1:69" x14ac:dyDescent="0.25">
      <c r="A491" s="31" t="s">
        <v>11</v>
      </c>
      <c r="B491" s="32">
        <v>1</v>
      </c>
      <c r="C491" s="32">
        <v>1</v>
      </c>
      <c r="D491" s="32">
        <v>3</v>
      </c>
      <c r="E491" s="11">
        <v>32</v>
      </c>
      <c r="F491" s="2">
        <v>60.6</v>
      </c>
      <c r="G491">
        <v>34.959786950732358</v>
      </c>
      <c r="H491">
        <v>15.6</v>
      </c>
      <c r="I491">
        <v>4</v>
      </c>
      <c r="AD491" s="17">
        <v>489</v>
      </c>
      <c r="AE491" s="6">
        <v>3.0542899999999999</v>
      </c>
      <c r="AF491" s="6">
        <v>2.9135</v>
      </c>
      <c r="AG491" s="6">
        <v>2.9409000000000001</v>
      </c>
      <c r="AH491" s="6">
        <v>255</v>
      </c>
      <c r="AJ491" s="17">
        <v>489</v>
      </c>
      <c r="AK491" s="6">
        <v>5.7916100000000004</v>
      </c>
      <c r="AL491" s="6">
        <v>2.9135</v>
      </c>
      <c r="AM491" s="6">
        <v>2.9409000000000001</v>
      </c>
      <c r="AN491" s="6">
        <v>255</v>
      </c>
      <c r="AQ491" s="17">
        <v>489</v>
      </c>
      <c r="AR491" s="6">
        <v>1.59785</v>
      </c>
      <c r="AS491" s="6">
        <v>1.9283999999999999</v>
      </c>
      <c r="AT491" s="6">
        <v>0.81140000000000001</v>
      </c>
      <c r="AU491" s="6">
        <v>255</v>
      </c>
      <c r="AW491" s="17">
        <v>489</v>
      </c>
      <c r="AX491" s="6">
        <v>0.84265000000000001</v>
      </c>
      <c r="AY491" s="6">
        <v>1.9283999999999999</v>
      </c>
      <c r="AZ491" s="6">
        <v>0.81140000000000001</v>
      </c>
      <c r="BA491" s="6">
        <v>255</v>
      </c>
      <c r="BN491" s="17">
        <v>645</v>
      </c>
      <c r="BO491" s="6">
        <v>40.822557889999999</v>
      </c>
      <c r="BP491" s="6">
        <v>34.344505609999999</v>
      </c>
      <c r="BQ491" s="6">
        <v>6.47805228</v>
      </c>
    </row>
    <row r="492" spans="1:69" x14ac:dyDescent="0.25">
      <c r="A492" s="31" t="s">
        <v>11</v>
      </c>
      <c r="B492" s="32">
        <v>2</v>
      </c>
      <c r="C492" s="32">
        <v>9</v>
      </c>
      <c r="D492" s="32">
        <v>6</v>
      </c>
      <c r="E492" s="11">
        <v>32</v>
      </c>
      <c r="F492" s="2">
        <v>59</v>
      </c>
      <c r="G492">
        <v>25.235751265083689</v>
      </c>
      <c r="H492" t="s">
        <v>12</v>
      </c>
      <c r="I492">
        <v>3</v>
      </c>
      <c r="AD492" s="17">
        <v>490</v>
      </c>
      <c r="AE492" s="6">
        <v>3.0789</v>
      </c>
      <c r="AF492" s="19">
        <v>-0.57320000000000004</v>
      </c>
      <c r="AG492" s="6">
        <v>2.9645999999999999</v>
      </c>
      <c r="AH492" s="6">
        <v>255</v>
      </c>
      <c r="AJ492" s="17">
        <v>490</v>
      </c>
      <c r="AK492" s="6">
        <v>5.83826</v>
      </c>
      <c r="AL492" s="19">
        <v>-0.57320000000000004</v>
      </c>
      <c r="AM492" s="6">
        <v>2.9645999999999999</v>
      </c>
      <c r="AN492" s="6">
        <v>255</v>
      </c>
      <c r="AQ492" s="17">
        <v>490</v>
      </c>
      <c r="AR492" s="6">
        <v>1.5939300000000001</v>
      </c>
      <c r="AS492" s="6">
        <v>0.54759999999999998</v>
      </c>
      <c r="AT492" s="6">
        <v>0.80940000000000001</v>
      </c>
      <c r="AU492" s="6">
        <v>255</v>
      </c>
      <c r="AW492" s="17">
        <v>490</v>
      </c>
      <c r="AX492" s="6">
        <v>0.84057999999999999</v>
      </c>
      <c r="AY492" s="6">
        <v>0.54759999999999998</v>
      </c>
      <c r="AZ492" s="6">
        <v>0.80940000000000001</v>
      </c>
      <c r="BA492" s="6">
        <v>255</v>
      </c>
      <c r="BN492" s="17">
        <v>646</v>
      </c>
      <c r="BO492" s="6">
        <v>34.959786950000002</v>
      </c>
      <c r="BP492" s="6">
        <v>31.306029630000001</v>
      </c>
      <c r="BQ492" s="6">
        <v>3.65375732</v>
      </c>
    </row>
    <row r="493" spans="1:69" x14ac:dyDescent="0.25">
      <c r="A493" s="31" t="s">
        <v>11</v>
      </c>
      <c r="B493" s="32">
        <v>3</v>
      </c>
      <c r="C493" s="32">
        <v>4</v>
      </c>
      <c r="D493" s="32">
        <v>9</v>
      </c>
      <c r="E493" s="11">
        <v>32</v>
      </c>
      <c r="F493" s="14">
        <v>62.1</v>
      </c>
      <c r="G493">
        <v>39.391537004593005</v>
      </c>
      <c r="H493" t="s">
        <v>12</v>
      </c>
      <c r="I493">
        <v>4</v>
      </c>
      <c r="AD493" s="17">
        <v>491</v>
      </c>
      <c r="AE493" s="6">
        <v>3.0594399999999999</v>
      </c>
      <c r="AF493" s="6">
        <v>0.61450000000000005</v>
      </c>
      <c r="AG493" s="6">
        <v>2.9459</v>
      </c>
      <c r="AH493" s="6">
        <v>255</v>
      </c>
      <c r="AJ493" s="17">
        <v>491</v>
      </c>
      <c r="AK493" s="6">
        <v>5.8013700000000004</v>
      </c>
      <c r="AL493" s="6">
        <v>0.61450000000000005</v>
      </c>
      <c r="AM493" s="6">
        <v>2.9459</v>
      </c>
      <c r="AN493" s="6">
        <v>255</v>
      </c>
      <c r="AQ493" s="17">
        <v>491</v>
      </c>
      <c r="AR493" s="6">
        <v>1.5899000000000001</v>
      </c>
      <c r="AS493" s="6">
        <v>0.91080000000000005</v>
      </c>
      <c r="AT493" s="6">
        <v>0.80730000000000002</v>
      </c>
      <c r="AU493" s="6">
        <v>255</v>
      </c>
      <c r="AW493" s="17">
        <v>491</v>
      </c>
      <c r="AX493" s="6">
        <v>0.83845999999999998</v>
      </c>
      <c r="AY493" s="6">
        <v>0.91080000000000005</v>
      </c>
      <c r="AZ493" s="6">
        <v>0.80730000000000002</v>
      </c>
      <c r="BA493" s="6">
        <v>255</v>
      </c>
      <c r="BN493" s="17">
        <v>647</v>
      </c>
      <c r="BO493" s="6">
        <v>25.235751270000002</v>
      </c>
      <c r="BP493" s="6">
        <v>31.313240870000001</v>
      </c>
      <c r="BQ493" s="19">
        <v>-6.0774895999999998</v>
      </c>
    </row>
    <row r="494" spans="1:69" x14ac:dyDescent="0.25">
      <c r="A494" s="31" t="s">
        <v>11</v>
      </c>
      <c r="B494" s="32">
        <v>1</v>
      </c>
      <c r="C494" s="32">
        <v>3</v>
      </c>
      <c r="D494" s="32">
        <v>1</v>
      </c>
      <c r="E494" s="11">
        <v>21</v>
      </c>
      <c r="F494" s="2">
        <v>56.4</v>
      </c>
      <c r="G494">
        <v>18.067911274485116</v>
      </c>
      <c r="H494">
        <v>15.9</v>
      </c>
      <c r="I494">
        <v>4</v>
      </c>
      <c r="AD494" s="17">
        <v>492</v>
      </c>
      <c r="AE494" s="6">
        <v>3.0492400000000002</v>
      </c>
      <c r="AF494" s="6">
        <v>1.1876</v>
      </c>
      <c r="AG494" s="6">
        <v>2.9361000000000002</v>
      </c>
      <c r="AH494" s="6">
        <v>255</v>
      </c>
      <c r="AJ494" s="17">
        <v>492</v>
      </c>
      <c r="AK494" s="6">
        <v>5.7820400000000003</v>
      </c>
      <c r="AL494" s="6">
        <v>1.1876</v>
      </c>
      <c r="AM494" s="6">
        <v>2.9361000000000002</v>
      </c>
      <c r="AN494" s="6">
        <v>255</v>
      </c>
      <c r="AQ494" s="17">
        <v>492</v>
      </c>
      <c r="AR494" s="6">
        <v>1.58788</v>
      </c>
      <c r="AS494" s="6">
        <v>1.4462999999999999</v>
      </c>
      <c r="AT494" s="6">
        <v>0.80630000000000002</v>
      </c>
      <c r="AU494" s="6">
        <v>255</v>
      </c>
      <c r="AW494" s="17">
        <v>492</v>
      </c>
      <c r="AX494" s="6">
        <v>0.83738999999999997</v>
      </c>
      <c r="AY494" s="6">
        <v>1.4462999999999999</v>
      </c>
      <c r="AZ494" s="6">
        <v>0.80630000000000002</v>
      </c>
      <c r="BA494" s="6">
        <v>255</v>
      </c>
      <c r="BN494" s="17">
        <v>648</v>
      </c>
      <c r="BO494" s="6">
        <v>39.391537</v>
      </c>
      <c r="BP494" s="6">
        <v>36.967804729999997</v>
      </c>
      <c r="BQ494" s="6">
        <v>2.4237322699999999</v>
      </c>
    </row>
    <row r="495" spans="1:69" x14ac:dyDescent="0.25">
      <c r="A495" s="31" t="s">
        <v>11</v>
      </c>
      <c r="B495" s="32">
        <v>2</v>
      </c>
      <c r="C495" s="32">
        <v>8</v>
      </c>
      <c r="D495" s="32">
        <v>5</v>
      </c>
      <c r="E495" s="11">
        <v>21</v>
      </c>
      <c r="F495" s="2">
        <v>59.5</v>
      </c>
      <c r="G495">
        <v>20.174693261816955</v>
      </c>
      <c r="H495" t="s">
        <v>12</v>
      </c>
      <c r="I495">
        <v>2</v>
      </c>
      <c r="AD495" s="17">
        <v>493</v>
      </c>
      <c r="AE495" s="6">
        <v>3.0569999999999999</v>
      </c>
      <c r="AF495" s="6">
        <v>1.2108000000000001</v>
      </c>
      <c r="AG495" s="6">
        <v>2.9434999999999998</v>
      </c>
      <c r="AH495" s="6">
        <v>255</v>
      </c>
      <c r="AJ495" s="17">
        <v>493</v>
      </c>
      <c r="AK495" s="6">
        <v>5.7967399999999998</v>
      </c>
      <c r="AL495" s="6">
        <v>1.2108000000000001</v>
      </c>
      <c r="AM495" s="6">
        <v>2.9434999999999998</v>
      </c>
      <c r="AN495" s="6">
        <v>255</v>
      </c>
      <c r="AQ495" s="17">
        <v>493</v>
      </c>
      <c r="AR495" s="6">
        <v>1.5906800000000001</v>
      </c>
      <c r="AS495" s="6">
        <v>1.9105000000000001</v>
      </c>
      <c r="AT495" s="6">
        <v>0.80769999999999997</v>
      </c>
      <c r="AU495" s="6">
        <v>255</v>
      </c>
      <c r="AW495" s="17">
        <v>493</v>
      </c>
      <c r="AX495" s="6">
        <v>0.83887</v>
      </c>
      <c r="AY495" s="6">
        <v>1.9105000000000001</v>
      </c>
      <c r="AZ495" s="6">
        <v>0.80769999999999997</v>
      </c>
      <c r="BA495" s="6">
        <v>255</v>
      </c>
      <c r="BN495" s="17">
        <v>649</v>
      </c>
      <c r="BO495" s="6">
        <v>18.06791127</v>
      </c>
      <c r="BP495" s="6">
        <v>21.187661689999999</v>
      </c>
      <c r="BQ495" s="19">
        <v>-3.1197504199999999</v>
      </c>
    </row>
    <row r="496" spans="1:69" x14ac:dyDescent="0.25">
      <c r="A496" s="31" t="s">
        <v>11</v>
      </c>
      <c r="B496" s="32">
        <v>3</v>
      </c>
      <c r="C496" s="32">
        <v>7</v>
      </c>
      <c r="D496" s="32">
        <v>8</v>
      </c>
      <c r="E496" s="11">
        <v>21</v>
      </c>
      <c r="F496" s="2">
        <v>60.4</v>
      </c>
      <c r="G496">
        <v>30.989366883116876</v>
      </c>
      <c r="H496" t="s">
        <v>12</v>
      </c>
      <c r="I496">
        <v>3</v>
      </c>
      <c r="AD496" s="17">
        <v>494</v>
      </c>
      <c r="AE496" s="6">
        <v>3.0644399999999998</v>
      </c>
      <c r="AF496" s="6">
        <v>0.22839999999999999</v>
      </c>
      <c r="AG496" s="6">
        <v>2.9506999999999999</v>
      </c>
      <c r="AH496" s="6">
        <v>255</v>
      </c>
      <c r="AJ496" s="17">
        <v>494</v>
      </c>
      <c r="AK496" s="6">
        <v>5.8108500000000003</v>
      </c>
      <c r="AL496" s="6">
        <v>0.22839999999999999</v>
      </c>
      <c r="AM496" s="6">
        <v>2.9506999999999999</v>
      </c>
      <c r="AN496" s="6">
        <v>255</v>
      </c>
      <c r="AQ496" s="17">
        <v>494</v>
      </c>
      <c r="AR496" s="6">
        <v>1.5914699999999999</v>
      </c>
      <c r="AS496" s="6">
        <v>0.79600000000000004</v>
      </c>
      <c r="AT496" s="6">
        <v>0.80810000000000004</v>
      </c>
      <c r="AU496" s="6">
        <v>255</v>
      </c>
      <c r="AW496" s="17">
        <v>494</v>
      </c>
      <c r="AX496" s="6">
        <v>0.83928000000000003</v>
      </c>
      <c r="AY496" s="6">
        <v>0.79600000000000004</v>
      </c>
      <c r="AZ496" s="6">
        <v>0.80810000000000004</v>
      </c>
      <c r="BA496" s="6">
        <v>255</v>
      </c>
      <c r="BN496" s="17">
        <v>650</v>
      </c>
      <c r="BO496" s="6">
        <v>20.174693260000002</v>
      </c>
      <c r="BP496" s="6">
        <v>21.194872929999999</v>
      </c>
      <c r="BQ496" s="19">
        <v>-1.0201796700000001</v>
      </c>
    </row>
    <row r="497" spans="1:69" x14ac:dyDescent="0.25">
      <c r="A497" s="31" t="s">
        <v>11</v>
      </c>
      <c r="B497" s="32">
        <v>1</v>
      </c>
      <c r="C497" s="32">
        <v>12</v>
      </c>
      <c r="D497" s="32">
        <v>2</v>
      </c>
      <c r="E497" s="11">
        <v>29</v>
      </c>
      <c r="F497" s="2">
        <v>57.5</v>
      </c>
      <c r="G497">
        <v>23.538941100580551</v>
      </c>
      <c r="H497">
        <v>14.3</v>
      </c>
      <c r="I497">
        <v>4</v>
      </c>
      <c r="AD497" s="17">
        <v>495</v>
      </c>
      <c r="AE497" s="6">
        <v>3.0483699999999998</v>
      </c>
      <c r="AF497" s="6">
        <v>7.8181000000000003</v>
      </c>
      <c r="AG497" s="6">
        <v>2.9352</v>
      </c>
      <c r="AH497" s="6">
        <v>255</v>
      </c>
      <c r="AJ497" s="17">
        <v>495</v>
      </c>
      <c r="AK497" s="6">
        <v>5.7803800000000001</v>
      </c>
      <c r="AL497" s="6">
        <v>7.8181000000000003</v>
      </c>
      <c r="AM497" s="6">
        <v>2.9352</v>
      </c>
      <c r="AN497" s="6">
        <v>255</v>
      </c>
      <c r="AQ497" s="17">
        <v>495</v>
      </c>
      <c r="AR497" s="6">
        <v>1.59518</v>
      </c>
      <c r="AS497" s="6">
        <v>2.1715</v>
      </c>
      <c r="AT497" s="6">
        <v>0.81</v>
      </c>
      <c r="AU497" s="6">
        <v>255</v>
      </c>
      <c r="AW497" s="17">
        <v>495</v>
      </c>
      <c r="AX497" s="6">
        <v>0.84123999999999999</v>
      </c>
      <c r="AY497" s="6">
        <v>2.1715</v>
      </c>
      <c r="AZ497" s="6">
        <v>0.81</v>
      </c>
      <c r="BA497" s="6">
        <v>255</v>
      </c>
      <c r="BN497" s="17">
        <v>651</v>
      </c>
      <c r="BO497" s="6">
        <v>30.989366879999999</v>
      </c>
      <c r="BP497" s="6">
        <v>26.849436789999999</v>
      </c>
      <c r="BQ497" s="6">
        <v>4.13993009</v>
      </c>
    </row>
    <row r="498" spans="1:69" x14ac:dyDescent="0.25">
      <c r="A498" s="31" t="s">
        <v>11</v>
      </c>
      <c r="B498" s="32">
        <v>2</v>
      </c>
      <c r="C498" s="32">
        <v>7</v>
      </c>
      <c r="D498" s="32">
        <v>4</v>
      </c>
      <c r="E498" s="11">
        <v>29</v>
      </c>
      <c r="F498" s="2">
        <v>58.7</v>
      </c>
      <c r="G498">
        <v>21.265990783410135</v>
      </c>
      <c r="H498" t="s">
        <v>12</v>
      </c>
      <c r="I498">
        <v>4</v>
      </c>
      <c r="AD498" s="17">
        <v>496</v>
      </c>
      <c r="AE498" s="6">
        <v>3.0591300000000001</v>
      </c>
      <c r="AF498" s="6">
        <v>1.7777000000000001</v>
      </c>
      <c r="AG498" s="6">
        <v>2.9456000000000002</v>
      </c>
      <c r="AH498" s="6">
        <v>255</v>
      </c>
      <c r="AJ498" s="17">
        <v>496</v>
      </c>
      <c r="AK498" s="6">
        <v>5.8007900000000001</v>
      </c>
      <c r="AL498" s="6">
        <v>1.7777000000000001</v>
      </c>
      <c r="AM498" s="6">
        <v>2.9456000000000002</v>
      </c>
      <c r="AN498" s="6">
        <v>255</v>
      </c>
      <c r="AQ498" s="17">
        <v>496</v>
      </c>
      <c r="AR498" s="6">
        <v>1.5901400000000001</v>
      </c>
      <c r="AS498" s="6">
        <v>0.80210000000000004</v>
      </c>
      <c r="AT498" s="6">
        <v>0.8075</v>
      </c>
      <c r="AU498" s="6">
        <v>255</v>
      </c>
      <c r="AW498" s="17">
        <v>496</v>
      </c>
      <c r="AX498" s="6">
        <v>0.83857999999999999</v>
      </c>
      <c r="AY498" s="6">
        <v>0.80210000000000004</v>
      </c>
      <c r="AZ498" s="6">
        <v>0.8075</v>
      </c>
      <c r="BA498" s="6">
        <v>255</v>
      </c>
      <c r="BN498" s="17">
        <v>652</v>
      </c>
      <c r="BO498" s="6">
        <v>23.538941099999999</v>
      </c>
      <c r="BP498" s="6">
        <v>22.968847539999999</v>
      </c>
      <c r="BQ498" s="6">
        <v>0.57009356</v>
      </c>
    </row>
    <row r="499" spans="1:69" x14ac:dyDescent="0.25">
      <c r="A499" s="31" t="s">
        <v>11</v>
      </c>
      <c r="B499" s="32">
        <v>3</v>
      </c>
      <c r="C499" s="32">
        <v>10</v>
      </c>
      <c r="D499" s="32">
        <v>9</v>
      </c>
      <c r="E499" s="11">
        <v>29</v>
      </c>
      <c r="F499" s="2">
        <v>63.5</v>
      </c>
      <c r="G499">
        <v>29.770597092665366</v>
      </c>
      <c r="H499" t="s">
        <v>12</v>
      </c>
      <c r="I499">
        <v>3</v>
      </c>
      <c r="AD499" s="17">
        <v>497</v>
      </c>
      <c r="AE499" s="6">
        <v>3.0455000000000001</v>
      </c>
      <c r="AF499" s="6">
        <v>10.541600000000001</v>
      </c>
      <c r="AG499" s="6">
        <v>2.9325000000000001</v>
      </c>
      <c r="AH499" s="6">
        <v>255</v>
      </c>
      <c r="AJ499" s="17">
        <v>497</v>
      </c>
      <c r="AK499" s="6">
        <v>5.7749300000000003</v>
      </c>
      <c r="AL499" s="6">
        <v>10.541600000000001</v>
      </c>
      <c r="AM499" s="6">
        <v>2.9325000000000001</v>
      </c>
      <c r="AN499" s="6">
        <v>255</v>
      </c>
      <c r="AQ499" s="17">
        <v>497</v>
      </c>
      <c r="AR499" s="6">
        <v>1.5963799999999999</v>
      </c>
      <c r="AS499" s="6">
        <v>3.2934999999999999</v>
      </c>
      <c r="AT499" s="6">
        <v>0.81059999999999999</v>
      </c>
      <c r="AU499" s="6">
        <v>255</v>
      </c>
      <c r="AW499" s="17">
        <v>497</v>
      </c>
      <c r="AX499" s="6">
        <v>0.84187000000000001</v>
      </c>
      <c r="AY499" s="6">
        <v>3.2934999999999999</v>
      </c>
      <c r="AZ499" s="6">
        <v>0.81059999999999999</v>
      </c>
      <c r="BA499" s="6">
        <v>255</v>
      </c>
      <c r="BN499" s="17">
        <v>653</v>
      </c>
      <c r="BO499" s="6">
        <v>21.265990779999999</v>
      </c>
      <c r="BP499" s="6">
        <v>22.976058779999999</v>
      </c>
      <c r="BQ499" s="19">
        <v>-1.7100679999999999</v>
      </c>
    </row>
    <row r="500" spans="1:69" x14ac:dyDescent="0.25">
      <c r="A500" s="31" t="s">
        <v>11</v>
      </c>
      <c r="B500" s="32">
        <v>1</v>
      </c>
      <c r="C500" s="32">
        <v>9</v>
      </c>
      <c r="D500" s="32">
        <v>2</v>
      </c>
      <c r="E500" s="11">
        <v>22</v>
      </c>
      <c r="F500" s="2">
        <v>63.1</v>
      </c>
      <c r="G500">
        <v>29.15059494864288</v>
      </c>
      <c r="H500">
        <v>12.7</v>
      </c>
      <c r="I500">
        <v>3</v>
      </c>
      <c r="AD500" s="17">
        <v>498</v>
      </c>
      <c r="AE500" s="6">
        <v>3.0579200000000002</v>
      </c>
      <c r="AF500" s="6">
        <v>5.1113</v>
      </c>
      <c r="AG500" s="6">
        <v>2.9443999999999999</v>
      </c>
      <c r="AH500" s="6">
        <v>255</v>
      </c>
      <c r="AJ500" s="17">
        <v>498</v>
      </c>
      <c r="AK500" s="6">
        <v>5.7984999999999998</v>
      </c>
      <c r="AL500" s="6">
        <v>5.1113</v>
      </c>
      <c r="AM500" s="6">
        <v>2.9443999999999999</v>
      </c>
      <c r="AN500" s="6">
        <v>255</v>
      </c>
      <c r="AQ500" s="17">
        <v>498</v>
      </c>
      <c r="AR500" s="6">
        <v>1.5915900000000001</v>
      </c>
      <c r="AS500" s="6">
        <v>1.9529000000000001</v>
      </c>
      <c r="AT500" s="6">
        <v>0.80820000000000003</v>
      </c>
      <c r="AU500" s="6">
        <v>255</v>
      </c>
      <c r="AW500" s="17">
        <v>498</v>
      </c>
      <c r="AX500" s="6">
        <v>0.83935000000000004</v>
      </c>
      <c r="AY500" s="6">
        <v>1.9529000000000001</v>
      </c>
      <c r="AZ500" s="6">
        <v>0.80820000000000003</v>
      </c>
      <c r="BA500" s="6">
        <v>255</v>
      </c>
      <c r="BN500" s="17">
        <v>654</v>
      </c>
      <c r="BO500" s="6">
        <v>29.770597089999999</v>
      </c>
      <c r="BP500" s="6">
        <v>28.630622649999999</v>
      </c>
      <c r="BQ500" s="6">
        <v>1.13997444</v>
      </c>
    </row>
    <row r="501" spans="1:69" x14ac:dyDescent="0.25">
      <c r="A501" s="31" t="s">
        <v>11</v>
      </c>
      <c r="B501" s="32">
        <v>2</v>
      </c>
      <c r="C501" s="32">
        <v>11</v>
      </c>
      <c r="D501" s="32">
        <v>4</v>
      </c>
      <c r="E501" s="11">
        <v>22</v>
      </c>
      <c r="F501" s="2">
        <v>62.5</v>
      </c>
      <c r="G501">
        <v>27.736482830385011</v>
      </c>
      <c r="H501" t="s">
        <v>12</v>
      </c>
      <c r="I501">
        <v>3</v>
      </c>
      <c r="AD501" s="17">
        <v>499</v>
      </c>
      <c r="AE501" s="6">
        <v>3.07342</v>
      </c>
      <c r="AF501" s="6">
        <v>2.8511000000000002</v>
      </c>
      <c r="AG501" s="6">
        <v>2.9592999999999998</v>
      </c>
      <c r="AH501" s="6">
        <v>255</v>
      </c>
      <c r="AJ501" s="17">
        <v>499</v>
      </c>
      <c r="AK501" s="6">
        <v>5.8278800000000004</v>
      </c>
      <c r="AL501" s="6">
        <v>2.8511000000000002</v>
      </c>
      <c r="AM501" s="6">
        <v>2.9592999999999998</v>
      </c>
      <c r="AN501" s="6">
        <v>255</v>
      </c>
      <c r="AQ501" s="17">
        <v>499</v>
      </c>
      <c r="AR501" s="6">
        <v>1.60226</v>
      </c>
      <c r="AS501" s="6">
        <v>2.1230000000000002</v>
      </c>
      <c r="AT501" s="6">
        <v>0.81359999999999999</v>
      </c>
      <c r="AU501" s="6">
        <v>255</v>
      </c>
      <c r="AW501" s="17">
        <v>499</v>
      </c>
      <c r="AX501" s="6">
        <v>0.84497999999999995</v>
      </c>
      <c r="AY501" s="6">
        <v>2.1230000000000002</v>
      </c>
      <c r="AZ501" s="6">
        <v>0.81359999999999999</v>
      </c>
      <c r="BA501" s="6">
        <v>255</v>
      </c>
      <c r="BN501" s="17">
        <v>655</v>
      </c>
      <c r="BO501" s="6">
        <v>29.150594949999999</v>
      </c>
      <c r="BP501" s="6">
        <v>28.93819646</v>
      </c>
      <c r="BQ501" s="6">
        <v>0.21239849</v>
      </c>
    </row>
    <row r="502" spans="1:69" x14ac:dyDescent="0.25">
      <c r="A502" s="31" t="s">
        <v>11</v>
      </c>
      <c r="B502" s="32">
        <v>3</v>
      </c>
      <c r="C502" s="32">
        <v>1</v>
      </c>
      <c r="D502" s="32">
        <v>9</v>
      </c>
      <c r="E502" s="11">
        <v>22</v>
      </c>
      <c r="F502" s="2">
        <v>62.6</v>
      </c>
      <c r="G502">
        <v>35.596497940243374</v>
      </c>
      <c r="H502" t="s">
        <v>12</v>
      </c>
      <c r="I502">
        <v>4</v>
      </c>
      <c r="AD502" s="17">
        <v>500</v>
      </c>
      <c r="AE502" s="6">
        <v>3.0411700000000002</v>
      </c>
      <c r="AF502" s="6">
        <v>4.1014999999999997</v>
      </c>
      <c r="AG502" s="6">
        <v>2.9283000000000001</v>
      </c>
      <c r="AH502" s="6">
        <v>255</v>
      </c>
      <c r="AJ502" s="17">
        <v>500</v>
      </c>
      <c r="AK502" s="6">
        <v>5.7667200000000003</v>
      </c>
      <c r="AL502" s="6">
        <v>4.1014999999999997</v>
      </c>
      <c r="AM502" s="6">
        <v>2.9283000000000001</v>
      </c>
      <c r="AN502" s="6">
        <v>255</v>
      </c>
      <c r="AQ502" s="17">
        <v>500</v>
      </c>
      <c r="AR502" s="6">
        <v>1.59331</v>
      </c>
      <c r="AS502" s="6">
        <v>1.7096</v>
      </c>
      <c r="AT502" s="6">
        <v>0.80910000000000004</v>
      </c>
      <c r="AU502" s="6">
        <v>255</v>
      </c>
      <c r="AW502" s="17">
        <v>500</v>
      </c>
      <c r="AX502" s="6">
        <v>0.84025000000000005</v>
      </c>
      <c r="AY502" s="6">
        <v>1.7096</v>
      </c>
      <c r="AZ502" s="6">
        <v>0.80910000000000004</v>
      </c>
      <c r="BA502" s="6">
        <v>255</v>
      </c>
      <c r="BN502" s="17">
        <v>656</v>
      </c>
      <c r="BO502" s="6">
        <v>27.73648283</v>
      </c>
      <c r="BP502" s="6">
        <v>28.945407700000001</v>
      </c>
      <c r="BQ502" s="19">
        <v>-1.2089248699999999</v>
      </c>
    </row>
    <row r="503" spans="1:69" x14ac:dyDescent="0.25">
      <c r="A503" s="31" t="s">
        <v>11</v>
      </c>
      <c r="B503" s="32">
        <v>1</v>
      </c>
      <c r="C503" s="32">
        <v>8</v>
      </c>
      <c r="D503" s="32">
        <v>2</v>
      </c>
      <c r="E503" s="11">
        <v>18</v>
      </c>
      <c r="F503" s="2" t="s">
        <v>12</v>
      </c>
      <c r="G503">
        <v>17.356292115317814</v>
      </c>
      <c r="H503">
        <v>15</v>
      </c>
      <c r="I503">
        <v>2</v>
      </c>
      <c r="AD503" s="17">
        <v>501</v>
      </c>
      <c r="AE503" s="6">
        <v>3.04305</v>
      </c>
      <c r="AF503" s="6">
        <v>3.8062999999999998</v>
      </c>
      <c r="AG503" s="6">
        <v>2.9300999999999999</v>
      </c>
      <c r="AH503" s="6">
        <v>255</v>
      </c>
      <c r="AJ503" s="17">
        <v>501</v>
      </c>
      <c r="AK503" s="6">
        <v>5.7702999999999998</v>
      </c>
      <c r="AL503" s="6">
        <v>3.8062999999999998</v>
      </c>
      <c r="AM503" s="6">
        <v>2.9300999999999999</v>
      </c>
      <c r="AN503" s="6">
        <v>255</v>
      </c>
      <c r="AQ503" s="17">
        <v>501</v>
      </c>
      <c r="AR503" s="6">
        <v>1.59379</v>
      </c>
      <c r="AS503" s="6">
        <v>0.4899</v>
      </c>
      <c r="AT503" s="6">
        <v>0.80930000000000002</v>
      </c>
      <c r="AU503" s="6">
        <v>255</v>
      </c>
      <c r="AW503" s="17">
        <v>501</v>
      </c>
      <c r="AX503" s="6">
        <v>0.84050999999999998</v>
      </c>
      <c r="AY503" s="6">
        <v>0.4899</v>
      </c>
      <c r="AZ503" s="6">
        <v>0.80930000000000002</v>
      </c>
      <c r="BA503" s="6">
        <v>255</v>
      </c>
      <c r="BN503" s="17">
        <v>657</v>
      </c>
      <c r="BO503" s="6">
        <v>35.596497939999999</v>
      </c>
      <c r="BP503" s="6">
        <v>34.59997156</v>
      </c>
      <c r="BQ503" s="6">
        <v>0.99652638000000004</v>
      </c>
    </row>
    <row r="504" spans="1:69" x14ac:dyDescent="0.25">
      <c r="A504" s="31" t="s">
        <v>11</v>
      </c>
      <c r="B504" s="32">
        <v>2</v>
      </c>
      <c r="C504" s="32">
        <v>17</v>
      </c>
      <c r="D504" s="32">
        <v>4</v>
      </c>
      <c r="E504" s="11">
        <v>18</v>
      </c>
      <c r="F504" s="2">
        <v>58.2</v>
      </c>
      <c r="G504">
        <v>19.5376482830385</v>
      </c>
      <c r="H504" t="s">
        <v>12</v>
      </c>
      <c r="I504">
        <v>3</v>
      </c>
      <c r="AD504" s="17">
        <v>502</v>
      </c>
      <c r="AE504" s="6">
        <v>3.0581</v>
      </c>
      <c r="AF504" s="6">
        <v>9.2444000000000006</v>
      </c>
      <c r="AG504" s="6">
        <v>2.9445999999999999</v>
      </c>
      <c r="AH504" s="6">
        <v>255</v>
      </c>
      <c r="AJ504" s="17">
        <v>502</v>
      </c>
      <c r="AK504" s="6">
        <v>5.7988400000000002</v>
      </c>
      <c r="AL504" s="6">
        <v>9.2444000000000006</v>
      </c>
      <c r="AM504" s="6">
        <v>2.9445999999999999</v>
      </c>
      <c r="AN504" s="6">
        <v>255</v>
      </c>
      <c r="AQ504" s="17">
        <v>502</v>
      </c>
      <c r="AR504" s="6">
        <v>1.59267</v>
      </c>
      <c r="AS504" s="6">
        <v>3.4272</v>
      </c>
      <c r="AT504" s="6">
        <v>0.80869999999999997</v>
      </c>
      <c r="AU504" s="6">
        <v>255</v>
      </c>
      <c r="AW504" s="17">
        <v>502</v>
      </c>
      <c r="AX504" s="6">
        <v>0.83992</v>
      </c>
      <c r="AY504" s="6">
        <v>3.4272</v>
      </c>
      <c r="AZ504" s="6">
        <v>0.80869999999999997</v>
      </c>
      <c r="BA504" s="6">
        <v>255</v>
      </c>
      <c r="BN504" s="17">
        <v>658</v>
      </c>
      <c r="BO504" s="6">
        <v>17.356292119999999</v>
      </c>
      <c r="BP504" s="6">
        <v>20.536956960000001</v>
      </c>
      <c r="BQ504" s="19">
        <v>-3.1806648399999999</v>
      </c>
    </row>
    <row r="505" spans="1:69" x14ac:dyDescent="0.25">
      <c r="A505" s="31" t="s">
        <v>11</v>
      </c>
      <c r="B505" s="32">
        <v>3</v>
      </c>
      <c r="C505" s="32">
        <v>7</v>
      </c>
      <c r="D505" s="32">
        <v>7</v>
      </c>
      <c r="E505" s="11">
        <v>18</v>
      </c>
      <c r="F505" s="2">
        <v>58.6</v>
      </c>
      <c r="G505">
        <v>30.385916805324456</v>
      </c>
      <c r="H505" t="s">
        <v>12</v>
      </c>
      <c r="I505">
        <v>2</v>
      </c>
      <c r="AD505" s="17">
        <v>503</v>
      </c>
      <c r="AE505" s="6">
        <v>3.0701900000000002</v>
      </c>
      <c r="AF505" s="6">
        <v>6.0986000000000002</v>
      </c>
      <c r="AG505" s="6">
        <v>2.9561999999999999</v>
      </c>
      <c r="AH505" s="6">
        <v>255</v>
      </c>
      <c r="AJ505" s="17">
        <v>503</v>
      </c>
      <c r="AK505" s="6">
        <v>5.8217600000000003</v>
      </c>
      <c r="AL505" s="6">
        <v>6.0986000000000002</v>
      </c>
      <c r="AM505" s="6">
        <v>2.9561999999999999</v>
      </c>
      <c r="AN505" s="6">
        <v>255</v>
      </c>
      <c r="AQ505" s="17">
        <v>503</v>
      </c>
      <c r="AR505" s="6">
        <v>1.59195</v>
      </c>
      <c r="AS505" s="6">
        <v>3.2808999999999999</v>
      </c>
      <c r="AT505" s="6">
        <v>0.80840000000000001</v>
      </c>
      <c r="AU505" s="6">
        <v>255</v>
      </c>
      <c r="AW505" s="17">
        <v>503</v>
      </c>
      <c r="AX505" s="6">
        <v>0.83953999999999995</v>
      </c>
      <c r="AY505" s="6">
        <v>3.2808999999999999</v>
      </c>
      <c r="AZ505" s="6">
        <v>0.80840000000000001</v>
      </c>
      <c r="BA505" s="6">
        <v>255</v>
      </c>
      <c r="BN505" s="17">
        <v>659</v>
      </c>
      <c r="BO505" s="6">
        <v>19.537648279999999</v>
      </c>
      <c r="BP505" s="6">
        <v>20.544168200000001</v>
      </c>
      <c r="BQ505" s="19">
        <v>-1.0065199199999999</v>
      </c>
    </row>
    <row r="506" spans="1:69" x14ac:dyDescent="0.25">
      <c r="A506" s="31" t="s">
        <v>11</v>
      </c>
      <c r="B506" s="32">
        <v>1</v>
      </c>
      <c r="C506" s="32">
        <v>12</v>
      </c>
      <c r="D506" s="32">
        <v>1</v>
      </c>
      <c r="E506" s="11">
        <v>14</v>
      </c>
      <c r="F506" s="2" t="s">
        <v>12</v>
      </c>
      <c r="G506">
        <v>18.332572637091495</v>
      </c>
      <c r="H506">
        <v>15.7</v>
      </c>
      <c r="I506">
        <v>4</v>
      </c>
      <c r="AD506" s="17">
        <v>504</v>
      </c>
      <c r="AE506" s="6">
        <v>3.0632799999999998</v>
      </c>
      <c r="AF506" s="6">
        <v>4.3438999999999997</v>
      </c>
      <c r="AG506" s="6">
        <v>2.9496000000000002</v>
      </c>
      <c r="AH506" s="6">
        <v>255</v>
      </c>
      <c r="AJ506" s="17">
        <v>504</v>
      </c>
      <c r="AK506" s="6">
        <v>5.8086500000000001</v>
      </c>
      <c r="AL506" s="6">
        <v>4.3438999999999997</v>
      </c>
      <c r="AM506" s="6">
        <v>2.9496000000000002</v>
      </c>
      <c r="AN506" s="6">
        <v>255</v>
      </c>
      <c r="AQ506" s="17">
        <v>504</v>
      </c>
      <c r="AR506" s="6">
        <v>1.59104</v>
      </c>
      <c r="AS506" s="6">
        <v>2.8235000000000001</v>
      </c>
      <c r="AT506" s="6">
        <v>0.80789999999999995</v>
      </c>
      <c r="AU506" s="6">
        <v>255</v>
      </c>
      <c r="AW506" s="17">
        <v>504</v>
      </c>
      <c r="AX506" s="6">
        <v>0.83906000000000003</v>
      </c>
      <c r="AY506" s="6">
        <v>2.8235000000000001</v>
      </c>
      <c r="AZ506" s="6">
        <v>0.80789999999999995</v>
      </c>
      <c r="BA506" s="6">
        <v>255</v>
      </c>
      <c r="BN506" s="17">
        <v>660</v>
      </c>
      <c r="BO506" s="6">
        <v>30.385916810000001</v>
      </c>
      <c r="BP506" s="6">
        <v>26.198732060000001</v>
      </c>
      <c r="BQ506" s="6">
        <v>4.1871847500000001</v>
      </c>
    </row>
    <row r="507" spans="1:69" x14ac:dyDescent="0.25">
      <c r="A507" s="31" t="s">
        <v>11</v>
      </c>
      <c r="B507" s="32">
        <v>2</v>
      </c>
      <c r="C507" s="32">
        <v>14</v>
      </c>
      <c r="D507" s="32">
        <v>5</v>
      </c>
      <c r="E507" s="11">
        <v>14</v>
      </c>
      <c r="F507" s="2">
        <v>61</v>
      </c>
      <c r="G507">
        <v>25.792057851635452</v>
      </c>
      <c r="H507" t="s">
        <v>12</v>
      </c>
      <c r="I507">
        <v>3</v>
      </c>
      <c r="AD507" s="17">
        <v>505</v>
      </c>
      <c r="AE507" s="6">
        <v>3.0652400000000002</v>
      </c>
      <c r="AF507" s="6">
        <v>8.0652000000000008</v>
      </c>
      <c r="AG507" s="6">
        <v>2.9514999999999998</v>
      </c>
      <c r="AH507" s="6">
        <v>255</v>
      </c>
      <c r="AJ507" s="17">
        <v>505</v>
      </c>
      <c r="AK507" s="6">
        <v>5.8123699999999996</v>
      </c>
      <c r="AL507" s="6">
        <v>8.0652000000000008</v>
      </c>
      <c r="AM507" s="6">
        <v>2.9514999999999998</v>
      </c>
      <c r="AN507" s="6">
        <v>255</v>
      </c>
      <c r="AQ507" s="17">
        <v>505</v>
      </c>
      <c r="AR507" s="6">
        <v>1.59554</v>
      </c>
      <c r="AS507" s="6">
        <v>2.1396000000000002</v>
      </c>
      <c r="AT507" s="6">
        <v>0.81020000000000003</v>
      </c>
      <c r="AU507" s="6">
        <v>255</v>
      </c>
      <c r="AW507" s="17">
        <v>505</v>
      </c>
      <c r="AX507" s="6">
        <v>0.84143000000000001</v>
      </c>
      <c r="AY507" s="6">
        <v>2.1396000000000002</v>
      </c>
      <c r="AZ507" s="6">
        <v>0.81020000000000003</v>
      </c>
      <c r="BA507" s="6">
        <v>255</v>
      </c>
      <c r="BN507" s="17">
        <v>661</v>
      </c>
      <c r="BO507" s="6">
        <v>18.332572639999999</v>
      </c>
      <c r="BP507" s="6">
        <v>22.107550369999998</v>
      </c>
      <c r="BQ507" s="19">
        <v>-3.7749777299999998</v>
      </c>
    </row>
    <row r="508" spans="1:69" x14ac:dyDescent="0.25">
      <c r="A508" s="31" t="s">
        <v>11</v>
      </c>
      <c r="B508" s="32">
        <v>3</v>
      </c>
      <c r="C508" s="32">
        <v>17</v>
      </c>
      <c r="D508" s="32">
        <v>9</v>
      </c>
      <c r="E508" s="11">
        <v>14</v>
      </c>
      <c r="F508" s="2">
        <v>58.9</v>
      </c>
      <c r="G508">
        <v>27.867006960556839</v>
      </c>
      <c r="H508" t="s">
        <v>12</v>
      </c>
      <c r="I508">
        <v>3</v>
      </c>
      <c r="AD508" s="17">
        <v>506</v>
      </c>
      <c r="AE508" s="6">
        <v>3.0553300000000001</v>
      </c>
      <c r="AF508" s="6">
        <v>16.569199999999999</v>
      </c>
      <c r="AG508" s="6">
        <v>2.9419</v>
      </c>
      <c r="AH508" s="6">
        <v>255</v>
      </c>
      <c r="AJ508" s="17">
        <v>506</v>
      </c>
      <c r="AK508" s="6">
        <v>5.79359</v>
      </c>
      <c r="AL508" s="6">
        <v>16.569199999999999</v>
      </c>
      <c r="AM508" s="6">
        <v>2.9419</v>
      </c>
      <c r="AN508" s="6">
        <v>255</v>
      </c>
      <c r="AQ508" s="17">
        <v>506</v>
      </c>
      <c r="AR508" s="6">
        <v>1.59518</v>
      </c>
      <c r="AS508" s="6">
        <v>5.0481999999999996</v>
      </c>
      <c r="AT508" s="6">
        <v>0.81</v>
      </c>
      <c r="AU508" s="6">
        <v>255</v>
      </c>
      <c r="AW508" s="17">
        <v>506</v>
      </c>
      <c r="AX508" s="6">
        <v>0.84123999999999999</v>
      </c>
      <c r="AY508" s="6">
        <v>5.0481999999999996</v>
      </c>
      <c r="AZ508" s="6">
        <v>0.81</v>
      </c>
      <c r="BA508" s="6">
        <v>255</v>
      </c>
      <c r="BN508" s="17">
        <v>662</v>
      </c>
      <c r="BO508" s="6">
        <v>25.792057849999999</v>
      </c>
      <c r="BP508" s="6">
        <v>22.114761609999999</v>
      </c>
      <c r="BQ508" s="6">
        <v>3.67729624</v>
      </c>
    </row>
    <row r="509" spans="1:69" x14ac:dyDescent="0.25">
      <c r="A509" s="31" t="s">
        <v>11</v>
      </c>
      <c r="B509" s="32">
        <v>1</v>
      </c>
      <c r="C509" s="32">
        <v>7</v>
      </c>
      <c r="D509" s="32">
        <v>3</v>
      </c>
      <c r="E509" s="11">
        <v>15</v>
      </c>
      <c r="F509" s="2">
        <v>59.8</v>
      </c>
      <c r="G509">
        <v>21.023328894806927</v>
      </c>
      <c r="H509">
        <v>14.1</v>
      </c>
      <c r="I509">
        <v>3</v>
      </c>
      <c r="AD509" s="17">
        <v>507</v>
      </c>
      <c r="AE509" s="6">
        <v>3.0529700000000002</v>
      </c>
      <c r="AF509" s="19">
        <v>-4.6993999999999998</v>
      </c>
      <c r="AG509" s="6">
        <v>2.9397000000000002</v>
      </c>
      <c r="AH509" s="6">
        <v>255</v>
      </c>
      <c r="AJ509" s="17">
        <v>507</v>
      </c>
      <c r="AK509" s="6">
        <v>5.7891000000000004</v>
      </c>
      <c r="AL509" s="19">
        <v>-4.6993999999999998</v>
      </c>
      <c r="AM509" s="6">
        <v>2.9397000000000002</v>
      </c>
      <c r="AN509" s="6">
        <v>255</v>
      </c>
      <c r="AQ509" s="17">
        <v>507</v>
      </c>
      <c r="AR509" s="6">
        <v>1.6141300000000001</v>
      </c>
      <c r="AS509" s="19">
        <v>-1.853</v>
      </c>
      <c r="AT509" s="6">
        <v>0.8196</v>
      </c>
      <c r="AU509" s="6">
        <v>255</v>
      </c>
      <c r="AW509" s="17">
        <v>507</v>
      </c>
      <c r="AX509" s="6">
        <v>0.85123000000000004</v>
      </c>
      <c r="AY509" s="19">
        <v>-1.853</v>
      </c>
      <c r="AZ509" s="6">
        <v>0.8196</v>
      </c>
      <c r="BA509" s="6">
        <v>255</v>
      </c>
      <c r="BN509" s="17">
        <v>663</v>
      </c>
      <c r="BO509" s="6">
        <v>27.867006960000001</v>
      </c>
      <c r="BP509" s="6">
        <v>27.769325469999998</v>
      </c>
      <c r="BQ509" s="6">
        <v>9.7681489999999996E-2</v>
      </c>
    </row>
    <row r="510" spans="1:69" x14ac:dyDescent="0.25">
      <c r="A510" s="31" t="s">
        <v>11</v>
      </c>
      <c r="B510" s="32">
        <v>2</v>
      </c>
      <c r="C510" s="32">
        <v>15</v>
      </c>
      <c r="D510" s="32">
        <v>5</v>
      </c>
      <c r="E510" s="11">
        <v>15</v>
      </c>
      <c r="F510" s="2">
        <v>59.1</v>
      </c>
      <c r="G510">
        <v>20.476088309946839</v>
      </c>
      <c r="H510" t="s">
        <v>12</v>
      </c>
      <c r="I510">
        <v>3</v>
      </c>
      <c r="AD510" s="17">
        <v>508</v>
      </c>
      <c r="AE510" s="6">
        <v>3.0427</v>
      </c>
      <c r="AF510" s="19">
        <v>-4.8578999999999999</v>
      </c>
      <c r="AG510" s="6">
        <v>2.9298000000000002</v>
      </c>
      <c r="AH510" s="6">
        <v>255</v>
      </c>
      <c r="AJ510" s="17">
        <v>508</v>
      </c>
      <c r="AK510" s="6">
        <v>5.7696300000000003</v>
      </c>
      <c r="AL510" s="19">
        <v>-4.8578999999999999</v>
      </c>
      <c r="AM510" s="6">
        <v>2.9298000000000002</v>
      </c>
      <c r="AN510" s="6">
        <v>255</v>
      </c>
      <c r="AQ510" s="17">
        <v>508</v>
      </c>
      <c r="AR510" s="6">
        <v>1.6209800000000001</v>
      </c>
      <c r="AS510" s="19">
        <v>-2.0928</v>
      </c>
      <c r="AT510" s="6">
        <v>0.82310000000000005</v>
      </c>
      <c r="AU510" s="6">
        <v>255</v>
      </c>
      <c r="AW510" s="17">
        <v>508</v>
      </c>
      <c r="AX510" s="6">
        <v>0.85485</v>
      </c>
      <c r="AY510" s="19">
        <v>-2.0928</v>
      </c>
      <c r="AZ510" s="6">
        <v>0.82310000000000005</v>
      </c>
      <c r="BA510" s="6">
        <v>255</v>
      </c>
      <c r="BN510" s="17">
        <v>664</v>
      </c>
      <c r="BO510" s="6">
        <v>21.023328889999998</v>
      </c>
      <c r="BP510" s="6">
        <v>17.973087339999999</v>
      </c>
      <c r="BQ510" s="6">
        <v>3.05024155</v>
      </c>
    </row>
    <row r="511" spans="1:69" x14ac:dyDescent="0.25">
      <c r="A511" s="31" t="s">
        <v>11</v>
      </c>
      <c r="B511" s="32">
        <v>3</v>
      </c>
      <c r="C511" s="32">
        <v>8</v>
      </c>
      <c r="D511" s="32">
        <v>8</v>
      </c>
      <c r="E511" s="11">
        <v>15</v>
      </c>
      <c r="F511" s="2">
        <v>56.8</v>
      </c>
      <c r="G511">
        <v>18.088831168831167</v>
      </c>
      <c r="H511" t="s">
        <v>12</v>
      </c>
      <c r="I511">
        <v>3</v>
      </c>
      <c r="AD511" s="17">
        <v>509</v>
      </c>
      <c r="AE511" s="6">
        <v>3.0508700000000002</v>
      </c>
      <c r="AF511" s="19">
        <v>-5.2622999999999998</v>
      </c>
      <c r="AG511" s="6">
        <v>2.9376000000000002</v>
      </c>
      <c r="AH511" s="6">
        <v>255</v>
      </c>
      <c r="AJ511" s="17">
        <v>509</v>
      </c>
      <c r="AK511" s="6">
        <v>5.78512</v>
      </c>
      <c r="AL511" s="19">
        <v>-5.2622999999999998</v>
      </c>
      <c r="AM511" s="6">
        <v>2.9376000000000002</v>
      </c>
      <c r="AN511" s="6">
        <v>255</v>
      </c>
      <c r="AQ511" s="17">
        <v>509</v>
      </c>
      <c r="AR511" s="6">
        <v>1.61798</v>
      </c>
      <c r="AS511" s="6">
        <v>0.17419999999999999</v>
      </c>
      <c r="AT511" s="6">
        <v>0.8216</v>
      </c>
      <c r="AU511" s="6">
        <v>255</v>
      </c>
      <c r="AW511" s="17">
        <v>509</v>
      </c>
      <c r="AX511" s="6">
        <v>0.85326999999999997</v>
      </c>
      <c r="AY511" s="6">
        <v>0.17419999999999999</v>
      </c>
      <c r="AZ511" s="6">
        <v>0.8216</v>
      </c>
      <c r="BA511" s="6">
        <v>255</v>
      </c>
      <c r="BN511" s="17">
        <v>665</v>
      </c>
      <c r="BO511" s="6">
        <v>20.476088310000002</v>
      </c>
      <c r="BP511" s="6">
        <v>17.980298579999999</v>
      </c>
      <c r="BQ511" s="6">
        <v>2.4957897299999998</v>
      </c>
    </row>
    <row r="512" spans="1:69" x14ac:dyDescent="0.25">
      <c r="A512" s="31" t="s">
        <v>11</v>
      </c>
      <c r="B512" s="32">
        <v>1</v>
      </c>
      <c r="C512" s="32">
        <v>17</v>
      </c>
      <c r="D512" s="32">
        <v>2</v>
      </c>
      <c r="E512" s="11">
        <v>16</v>
      </c>
      <c r="F512" s="2">
        <v>60.5</v>
      </c>
      <c r="G512">
        <v>23.774147769562841</v>
      </c>
      <c r="H512">
        <v>15</v>
      </c>
      <c r="I512">
        <v>3</v>
      </c>
      <c r="AD512" s="17">
        <v>510</v>
      </c>
      <c r="AE512" s="6">
        <v>3.06257</v>
      </c>
      <c r="AF512" s="19">
        <v>-3.8315000000000001</v>
      </c>
      <c r="AG512" s="6">
        <v>2.9489000000000001</v>
      </c>
      <c r="AH512" s="6">
        <v>255</v>
      </c>
      <c r="AJ512" s="17">
        <v>510</v>
      </c>
      <c r="AK512" s="6">
        <v>5.8072999999999997</v>
      </c>
      <c r="AL512" s="19">
        <v>-3.8315000000000001</v>
      </c>
      <c r="AM512" s="6">
        <v>2.9489000000000001</v>
      </c>
      <c r="AN512" s="6">
        <v>255</v>
      </c>
      <c r="AQ512" s="17">
        <v>510</v>
      </c>
      <c r="AR512" s="6">
        <v>1.6249</v>
      </c>
      <c r="AS512" s="19">
        <v>-1.4476</v>
      </c>
      <c r="AT512" s="6">
        <v>0.82509999999999994</v>
      </c>
      <c r="AU512" s="6">
        <v>255</v>
      </c>
      <c r="AW512" s="17">
        <v>510</v>
      </c>
      <c r="AX512" s="6">
        <v>0.85692000000000002</v>
      </c>
      <c r="AY512" s="19">
        <v>-1.4476</v>
      </c>
      <c r="AZ512" s="6">
        <v>0.82509999999999994</v>
      </c>
      <c r="BA512" s="6">
        <v>255</v>
      </c>
      <c r="BN512" s="17">
        <v>666</v>
      </c>
      <c r="BO512" s="6">
        <v>18.088831169999999</v>
      </c>
      <c r="BP512" s="6">
        <v>23.63486245</v>
      </c>
      <c r="BQ512" s="19">
        <v>-5.5460312800000002</v>
      </c>
    </row>
    <row r="513" spans="1:69" x14ac:dyDescent="0.25">
      <c r="A513" s="31" t="s">
        <v>11</v>
      </c>
      <c r="B513" s="32">
        <v>2</v>
      </c>
      <c r="C513" s="32">
        <v>1</v>
      </c>
      <c r="D513" s="32">
        <v>5</v>
      </c>
      <c r="E513" s="11">
        <v>16</v>
      </c>
      <c r="F513" s="2">
        <v>58.3</v>
      </c>
      <c r="G513">
        <v>30.353330779177234</v>
      </c>
      <c r="H513" t="s">
        <v>12</v>
      </c>
      <c r="I513">
        <v>3</v>
      </c>
      <c r="AD513" s="17">
        <v>511</v>
      </c>
      <c r="AE513" s="6">
        <v>3.04304</v>
      </c>
      <c r="AF513" s="19">
        <v>-2.6229</v>
      </c>
      <c r="AG513" s="6">
        <v>2.9300999999999999</v>
      </c>
      <c r="AH513" s="6">
        <v>255</v>
      </c>
      <c r="AJ513" s="17">
        <v>511</v>
      </c>
      <c r="AK513" s="6">
        <v>5.7702799999999996</v>
      </c>
      <c r="AL513" s="19">
        <v>-2.6229</v>
      </c>
      <c r="AM513" s="6">
        <v>2.9300999999999999</v>
      </c>
      <c r="AN513" s="6">
        <v>255</v>
      </c>
      <c r="AQ513" s="17">
        <v>511</v>
      </c>
      <c r="AR513" s="6">
        <v>1.61686</v>
      </c>
      <c r="AS513" s="6">
        <v>5.4760000000000003E-2</v>
      </c>
      <c r="AT513" s="6">
        <v>0.82099999999999995</v>
      </c>
      <c r="AU513" s="6">
        <v>255</v>
      </c>
      <c r="AW513" s="17">
        <v>511</v>
      </c>
      <c r="AX513" s="6">
        <v>0.85267999999999999</v>
      </c>
      <c r="AY513" s="6">
        <v>5.4760000000000003E-2</v>
      </c>
      <c r="AZ513" s="6">
        <v>0.82099999999999995</v>
      </c>
      <c r="BA513" s="6">
        <v>255</v>
      </c>
      <c r="BN513" s="17">
        <v>667</v>
      </c>
      <c r="BO513" s="6">
        <v>23.774147769999999</v>
      </c>
      <c r="BP513" s="6">
        <v>27.304843720000001</v>
      </c>
      <c r="BQ513" s="19">
        <v>-3.5306959500000001</v>
      </c>
    </row>
    <row r="514" spans="1:69" x14ac:dyDescent="0.25">
      <c r="A514" s="31" t="s">
        <v>11</v>
      </c>
      <c r="B514" s="32">
        <v>3</v>
      </c>
      <c r="C514" s="32">
        <v>2</v>
      </c>
      <c r="D514" s="32">
        <v>8</v>
      </c>
      <c r="E514" s="11">
        <v>16</v>
      </c>
      <c r="F514" s="2">
        <v>58.7</v>
      </c>
      <c r="G514">
        <v>33.456038961038963</v>
      </c>
      <c r="H514" t="s">
        <v>12</v>
      </c>
      <c r="I514">
        <v>3</v>
      </c>
      <c r="AD514" s="17">
        <v>512</v>
      </c>
      <c r="AE514" s="6">
        <v>3.04359</v>
      </c>
      <c r="AF514" s="6">
        <v>1.4756</v>
      </c>
      <c r="AG514" s="6">
        <v>2.9306000000000001</v>
      </c>
      <c r="AH514" s="6">
        <v>255</v>
      </c>
      <c r="AJ514" s="17">
        <v>512</v>
      </c>
      <c r="AK514" s="6">
        <v>5.7713099999999997</v>
      </c>
      <c r="AL514" s="6">
        <v>1.4756</v>
      </c>
      <c r="AM514" s="6">
        <v>2.9306000000000001</v>
      </c>
      <c r="AN514" s="6">
        <v>255</v>
      </c>
      <c r="AQ514" s="17">
        <v>512</v>
      </c>
      <c r="AR514" s="6">
        <v>1.6232</v>
      </c>
      <c r="AS514" s="6">
        <v>0.442</v>
      </c>
      <c r="AT514" s="6">
        <v>0.82420000000000004</v>
      </c>
      <c r="AU514" s="6">
        <v>255</v>
      </c>
      <c r="AW514" s="17">
        <v>512</v>
      </c>
      <c r="AX514" s="6">
        <v>0.85602</v>
      </c>
      <c r="AY514" s="6">
        <v>0.442</v>
      </c>
      <c r="AZ514" s="6">
        <v>0.82420000000000004</v>
      </c>
      <c r="BA514" s="6">
        <v>255</v>
      </c>
      <c r="BN514" s="17">
        <v>668</v>
      </c>
      <c r="BO514" s="6">
        <v>30.35333078</v>
      </c>
      <c r="BP514" s="6">
        <v>27.312054960000001</v>
      </c>
      <c r="BQ514" s="6">
        <v>3.0412758200000001</v>
      </c>
    </row>
    <row r="515" spans="1:69" x14ac:dyDescent="0.25">
      <c r="A515" s="31" t="s">
        <v>11</v>
      </c>
      <c r="B515" s="32">
        <v>1</v>
      </c>
      <c r="C515" s="32">
        <v>17</v>
      </c>
      <c r="D515" s="32">
        <v>1</v>
      </c>
      <c r="E515" s="11">
        <v>11</v>
      </c>
      <c r="F515" s="2">
        <v>61.2</v>
      </c>
      <c r="G515">
        <v>27.122580190341903</v>
      </c>
      <c r="H515">
        <v>15.1</v>
      </c>
      <c r="I515">
        <v>5</v>
      </c>
      <c r="AD515" s="17">
        <v>513</v>
      </c>
      <c r="AE515" s="6">
        <v>3.0573299999999999</v>
      </c>
      <c r="AF515" s="19">
        <v>-2.2805</v>
      </c>
      <c r="AG515" s="6">
        <v>2.9439000000000002</v>
      </c>
      <c r="AH515" s="6">
        <v>255</v>
      </c>
      <c r="AJ515" s="17">
        <v>513</v>
      </c>
      <c r="AK515" s="6">
        <v>5.7973699999999999</v>
      </c>
      <c r="AL515" s="19">
        <v>-2.2805</v>
      </c>
      <c r="AM515" s="6">
        <v>2.9439000000000002</v>
      </c>
      <c r="AN515" s="6">
        <v>255</v>
      </c>
      <c r="AQ515" s="17">
        <v>513</v>
      </c>
      <c r="AR515" s="6">
        <v>1.61791</v>
      </c>
      <c r="AS515" s="6">
        <v>0.5171</v>
      </c>
      <c r="AT515" s="6">
        <v>0.8216</v>
      </c>
      <c r="AU515" s="6">
        <v>255</v>
      </c>
      <c r="AW515" s="17">
        <v>513</v>
      </c>
      <c r="AX515" s="6">
        <v>0.85323000000000004</v>
      </c>
      <c r="AY515" s="6">
        <v>0.5171</v>
      </c>
      <c r="AZ515" s="6">
        <v>0.8216</v>
      </c>
      <c r="BA515" s="6">
        <v>255</v>
      </c>
      <c r="BN515" s="17">
        <v>669</v>
      </c>
      <c r="BO515" s="6">
        <v>33.456038960000001</v>
      </c>
      <c r="BP515" s="6">
        <v>32.966618830000002</v>
      </c>
      <c r="BQ515" s="6">
        <v>0.48942013000000001</v>
      </c>
    </row>
    <row r="516" spans="1:69" x14ac:dyDescent="0.25">
      <c r="A516" s="31" t="s">
        <v>11</v>
      </c>
      <c r="B516" s="32">
        <v>2</v>
      </c>
      <c r="C516" s="32">
        <v>9</v>
      </c>
      <c r="D516" s="32">
        <v>4</v>
      </c>
      <c r="E516" s="11">
        <v>11</v>
      </c>
      <c r="F516" s="2">
        <v>61.5</v>
      </c>
      <c r="G516">
        <v>27.887379218076401</v>
      </c>
      <c r="H516" t="s">
        <v>12</v>
      </c>
      <c r="I516">
        <v>4</v>
      </c>
      <c r="AD516" s="17">
        <v>514</v>
      </c>
      <c r="AE516" s="6">
        <v>3.0511400000000002</v>
      </c>
      <c r="AF516" s="19">
        <v>-5.8009000000000004</v>
      </c>
      <c r="AG516" s="6">
        <v>2.9379</v>
      </c>
      <c r="AH516" s="6">
        <v>255</v>
      </c>
      <c r="AJ516" s="17">
        <v>514</v>
      </c>
      <c r="AK516" s="6">
        <v>5.7856300000000003</v>
      </c>
      <c r="AL516" s="19">
        <v>-5.8009000000000004</v>
      </c>
      <c r="AM516" s="6">
        <v>2.9379</v>
      </c>
      <c r="AN516" s="6">
        <v>255</v>
      </c>
      <c r="AQ516" s="17">
        <v>514</v>
      </c>
      <c r="AR516" s="6">
        <v>1.61528</v>
      </c>
      <c r="AS516" s="19">
        <v>-1.4277</v>
      </c>
      <c r="AT516" s="6">
        <v>0.82020000000000004</v>
      </c>
      <c r="AU516" s="6">
        <v>255</v>
      </c>
      <c r="AW516" s="17">
        <v>514</v>
      </c>
      <c r="AX516" s="6">
        <v>0.85184000000000004</v>
      </c>
      <c r="AY516" s="19">
        <v>-1.4277</v>
      </c>
      <c r="AZ516" s="6">
        <v>0.82020000000000004</v>
      </c>
      <c r="BA516" s="6">
        <v>255</v>
      </c>
      <c r="BN516" s="17">
        <v>670</v>
      </c>
      <c r="BO516" s="6">
        <v>27.122580190000001</v>
      </c>
      <c r="BP516" s="6">
        <v>26.709543910000001</v>
      </c>
      <c r="BQ516" s="6">
        <v>0.41303627999999998</v>
      </c>
    </row>
    <row r="517" spans="1:69" x14ac:dyDescent="0.25">
      <c r="A517" s="31" t="s">
        <v>11</v>
      </c>
      <c r="B517" s="32">
        <v>3</v>
      </c>
      <c r="C517" s="32">
        <v>12</v>
      </c>
      <c r="D517" s="32">
        <v>7</v>
      </c>
      <c r="E517" s="11">
        <v>11</v>
      </c>
      <c r="F517" s="2">
        <v>59</v>
      </c>
      <c r="G517">
        <v>30.787658664131211</v>
      </c>
      <c r="H517" t="s">
        <v>12</v>
      </c>
      <c r="I517">
        <v>4</v>
      </c>
      <c r="AD517" s="17">
        <v>515</v>
      </c>
      <c r="AE517" s="6">
        <v>3.0546899999999999</v>
      </c>
      <c r="AF517" s="19">
        <v>-5.4725999999999999</v>
      </c>
      <c r="AG517" s="6">
        <v>2.9413</v>
      </c>
      <c r="AH517" s="6">
        <v>255</v>
      </c>
      <c r="AJ517" s="17">
        <v>515</v>
      </c>
      <c r="AK517" s="6">
        <v>5.79237</v>
      </c>
      <c r="AL517" s="19">
        <v>-5.4725999999999999</v>
      </c>
      <c r="AM517" s="6">
        <v>2.9413</v>
      </c>
      <c r="AN517" s="6">
        <v>255</v>
      </c>
      <c r="AQ517" s="17">
        <v>515</v>
      </c>
      <c r="AR517" s="6">
        <v>1.61636</v>
      </c>
      <c r="AS517" s="19">
        <v>-0.58550000000000002</v>
      </c>
      <c r="AT517" s="6">
        <v>0.82079999999999997</v>
      </c>
      <c r="AU517" s="6">
        <v>255</v>
      </c>
      <c r="AW517" s="17">
        <v>515</v>
      </c>
      <c r="AX517" s="6">
        <v>0.85241</v>
      </c>
      <c r="AY517" s="19">
        <v>-0.58550000000000002</v>
      </c>
      <c r="AZ517" s="6">
        <v>0.82079999999999997</v>
      </c>
      <c r="BA517" s="6">
        <v>255</v>
      </c>
      <c r="BN517" s="17">
        <v>671</v>
      </c>
      <c r="BO517" s="6">
        <v>27.88737922</v>
      </c>
      <c r="BP517" s="6">
        <v>26.716755150000001</v>
      </c>
      <c r="BQ517" s="6">
        <v>1.1706240699999999</v>
      </c>
    </row>
    <row r="518" spans="1:69" x14ac:dyDescent="0.25">
      <c r="A518" s="31" t="s">
        <v>11</v>
      </c>
      <c r="B518" s="32">
        <v>1</v>
      </c>
      <c r="C518" s="32">
        <v>18</v>
      </c>
      <c r="D518" s="32">
        <v>1</v>
      </c>
      <c r="E518" s="11">
        <v>1</v>
      </c>
      <c r="F518" s="2">
        <v>57.3</v>
      </c>
      <c r="G518">
        <v>25.266810010574545</v>
      </c>
      <c r="H518">
        <v>15.7</v>
      </c>
      <c r="I518">
        <v>4</v>
      </c>
      <c r="AD518" s="17">
        <v>516</v>
      </c>
      <c r="AE518" s="6">
        <v>3.05071</v>
      </c>
      <c r="AF518" s="19">
        <v>-2.9546000000000001</v>
      </c>
      <c r="AG518" s="6">
        <v>2.9375</v>
      </c>
      <c r="AH518" s="6">
        <v>255</v>
      </c>
      <c r="AJ518" s="17">
        <v>516</v>
      </c>
      <c r="AK518" s="6">
        <v>5.7848199999999999</v>
      </c>
      <c r="AL518" s="19">
        <v>-2.9546000000000001</v>
      </c>
      <c r="AM518" s="6">
        <v>2.9375</v>
      </c>
      <c r="AN518" s="6">
        <v>255</v>
      </c>
      <c r="AQ518" s="17">
        <v>516</v>
      </c>
      <c r="AR518" s="6">
        <v>1.6147899999999999</v>
      </c>
      <c r="AS518" s="19">
        <v>-2.2545000000000002</v>
      </c>
      <c r="AT518" s="6">
        <v>0.82</v>
      </c>
      <c r="AU518" s="6">
        <v>255</v>
      </c>
      <c r="AW518" s="17">
        <v>516</v>
      </c>
      <c r="AX518" s="6">
        <v>0.85158999999999996</v>
      </c>
      <c r="AY518" s="19">
        <v>-2.2545000000000002</v>
      </c>
      <c r="AZ518" s="6">
        <v>0.82</v>
      </c>
      <c r="BA518" s="6">
        <v>255</v>
      </c>
      <c r="BN518" s="17">
        <v>672</v>
      </c>
      <c r="BO518" s="6">
        <v>30.787658660000002</v>
      </c>
      <c r="BP518" s="6">
        <v>32.371319010000001</v>
      </c>
      <c r="BQ518" s="19">
        <v>-1.5836603499999999</v>
      </c>
    </row>
    <row r="519" spans="1:69" x14ac:dyDescent="0.25">
      <c r="A519" s="31" t="s">
        <v>11</v>
      </c>
      <c r="B519" s="32">
        <v>2</v>
      </c>
      <c r="C519" s="32">
        <v>12</v>
      </c>
      <c r="D519" s="32">
        <v>5</v>
      </c>
      <c r="E519" s="11">
        <v>1</v>
      </c>
      <c r="F519" s="2">
        <v>57.6</v>
      </c>
      <c r="G519">
        <v>21.039716488673911</v>
      </c>
      <c r="H519" t="s">
        <v>12</v>
      </c>
      <c r="I519">
        <v>2</v>
      </c>
      <c r="AD519" s="17">
        <v>517</v>
      </c>
      <c r="AE519" s="6">
        <v>3.0534400000000002</v>
      </c>
      <c r="AF519" s="19">
        <v>-1.2763</v>
      </c>
      <c r="AG519" s="6">
        <v>2.9401000000000002</v>
      </c>
      <c r="AH519" s="6">
        <v>255</v>
      </c>
      <c r="AJ519" s="17">
        <v>517</v>
      </c>
      <c r="AK519" s="6">
        <v>5.7899900000000004</v>
      </c>
      <c r="AL519" s="19">
        <v>-1.2763</v>
      </c>
      <c r="AM519" s="6">
        <v>2.9401000000000002</v>
      </c>
      <c r="AN519" s="6">
        <v>255</v>
      </c>
      <c r="AQ519" s="17">
        <v>517</v>
      </c>
      <c r="AR519" s="6">
        <v>1.6234299999999999</v>
      </c>
      <c r="AS519" s="19">
        <v>-1.8736999999999999</v>
      </c>
      <c r="AT519" s="6">
        <v>0.82440000000000002</v>
      </c>
      <c r="AU519" s="6">
        <v>255</v>
      </c>
      <c r="AW519" s="17">
        <v>517</v>
      </c>
      <c r="AX519" s="6">
        <v>0.85614000000000001</v>
      </c>
      <c r="AY519" s="19">
        <v>-1.8736999999999999</v>
      </c>
      <c r="AZ519" s="6">
        <v>0.82440000000000002</v>
      </c>
      <c r="BA519" s="6">
        <v>255</v>
      </c>
      <c r="BN519" s="17">
        <v>673</v>
      </c>
      <c r="BO519" s="6">
        <v>25.26681001</v>
      </c>
      <c r="BP519" s="6">
        <v>20.774418149999999</v>
      </c>
      <c r="BQ519" s="6">
        <v>4.4923918599999997</v>
      </c>
    </row>
    <row r="520" spans="1:69" x14ac:dyDescent="0.25">
      <c r="A520" s="31" t="s">
        <v>11</v>
      </c>
      <c r="B520" s="32">
        <v>3</v>
      </c>
      <c r="C520" s="32">
        <v>14</v>
      </c>
      <c r="D520" s="32">
        <v>8</v>
      </c>
      <c r="E520" s="11">
        <v>1</v>
      </c>
      <c r="F520" s="2">
        <v>56.4</v>
      </c>
      <c r="G520">
        <v>21.68571428571428</v>
      </c>
      <c r="H520" t="s">
        <v>12</v>
      </c>
      <c r="I520">
        <v>2</v>
      </c>
      <c r="AD520" s="17">
        <v>518</v>
      </c>
      <c r="AE520" s="6">
        <v>3.0579800000000001</v>
      </c>
      <c r="AF520" s="19">
        <v>-3.7585000000000002</v>
      </c>
      <c r="AG520" s="6">
        <v>2.9445000000000001</v>
      </c>
      <c r="AH520" s="6">
        <v>255</v>
      </c>
      <c r="AJ520" s="17">
        <v>518</v>
      </c>
      <c r="AK520" s="6">
        <v>5.7985899999999999</v>
      </c>
      <c r="AL520" s="19">
        <v>-3.7585000000000002</v>
      </c>
      <c r="AM520" s="6">
        <v>2.9445000000000001</v>
      </c>
      <c r="AN520" s="6">
        <v>255</v>
      </c>
      <c r="AQ520" s="17">
        <v>518</v>
      </c>
      <c r="AR520" s="6">
        <v>1.64276</v>
      </c>
      <c r="AS520" s="19">
        <v>-0.49519999999999997</v>
      </c>
      <c r="AT520" s="6">
        <v>0.83420000000000005</v>
      </c>
      <c r="AU520" s="6">
        <v>255</v>
      </c>
      <c r="AW520" s="17">
        <v>518</v>
      </c>
      <c r="AX520" s="6">
        <v>0.86633000000000004</v>
      </c>
      <c r="AY520" s="19">
        <v>-0.49519999999999997</v>
      </c>
      <c r="AZ520" s="6">
        <v>0.83420000000000005</v>
      </c>
      <c r="BA520" s="6">
        <v>255</v>
      </c>
      <c r="BN520" s="17">
        <v>674</v>
      </c>
      <c r="BO520" s="6">
        <v>21.03971649</v>
      </c>
      <c r="BP520" s="6">
        <v>20.781629389999999</v>
      </c>
      <c r="BQ520" s="6">
        <v>0.25808710000000001</v>
      </c>
    </row>
    <row r="521" spans="1:69" x14ac:dyDescent="0.25">
      <c r="A521" s="31" t="s">
        <v>11</v>
      </c>
      <c r="B521" s="32">
        <v>1</v>
      </c>
      <c r="C521" s="32">
        <v>10</v>
      </c>
      <c r="D521" s="32">
        <v>1</v>
      </c>
      <c r="E521" s="11">
        <v>17</v>
      </c>
      <c r="F521" s="2">
        <v>60.7</v>
      </c>
      <c r="G521">
        <v>23.779890729643981</v>
      </c>
      <c r="H521">
        <v>14.3</v>
      </c>
      <c r="I521">
        <v>3</v>
      </c>
      <c r="AD521" s="17">
        <v>519</v>
      </c>
      <c r="AE521" s="6">
        <v>3.06718</v>
      </c>
      <c r="AF521" s="19">
        <v>-1.7982</v>
      </c>
      <c r="AG521" s="6">
        <v>2.9533</v>
      </c>
      <c r="AH521" s="6">
        <v>255</v>
      </c>
      <c r="AJ521" s="17">
        <v>519</v>
      </c>
      <c r="AK521" s="6">
        <v>5.8160400000000001</v>
      </c>
      <c r="AL521" s="19">
        <v>-1.7982</v>
      </c>
      <c r="AM521" s="6">
        <v>2.9533</v>
      </c>
      <c r="AN521" s="6">
        <v>255</v>
      </c>
      <c r="AQ521" s="17">
        <v>519</v>
      </c>
      <c r="AR521" s="6">
        <v>1.6260300000000001</v>
      </c>
      <c r="AS521" s="19">
        <v>-0.58430000000000004</v>
      </c>
      <c r="AT521" s="6">
        <v>0.82569999999999999</v>
      </c>
      <c r="AU521" s="6">
        <v>255</v>
      </c>
      <c r="AW521" s="17">
        <v>519</v>
      </c>
      <c r="AX521" s="6">
        <v>0.85750999999999999</v>
      </c>
      <c r="AY521" s="19">
        <v>-0.58430000000000004</v>
      </c>
      <c r="AZ521" s="6">
        <v>0.82569999999999999</v>
      </c>
      <c r="BA521" s="6">
        <v>255</v>
      </c>
      <c r="BN521" s="17">
        <v>675</v>
      </c>
      <c r="BO521" s="6">
        <v>21.68571429</v>
      </c>
      <c r="BP521" s="6">
        <v>26.436193249999999</v>
      </c>
      <c r="BQ521" s="19">
        <v>-4.7504789599999997</v>
      </c>
    </row>
    <row r="522" spans="1:69" x14ac:dyDescent="0.25">
      <c r="A522" s="31" t="s">
        <v>11</v>
      </c>
      <c r="B522" s="32">
        <v>2</v>
      </c>
      <c r="C522" s="32">
        <v>13</v>
      </c>
      <c r="D522" s="32">
        <v>4</v>
      </c>
      <c r="E522" s="11">
        <v>17</v>
      </c>
      <c r="F522" s="2">
        <v>59.5</v>
      </c>
      <c r="G522">
        <v>25.383460680838411</v>
      </c>
      <c r="H522" t="s">
        <v>12</v>
      </c>
      <c r="I522">
        <v>3</v>
      </c>
      <c r="AD522" s="17">
        <v>520</v>
      </c>
      <c r="AE522" s="6">
        <v>3.06013</v>
      </c>
      <c r="AF522" s="19">
        <v>-9.8643000000000001</v>
      </c>
      <c r="AG522" s="6">
        <v>2.9466000000000001</v>
      </c>
      <c r="AH522" s="6">
        <v>255</v>
      </c>
      <c r="AJ522" s="17">
        <v>520</v>
      </c>
      <c r="AK522" s="6">
        <v>5.8026799999999996</v>
      </c>
      <c r="AL522" s="19">
        <v>-9.8643000000000001</v>
      </c>
      <c r="AM522" s="6">
        <v>2.9466000000000001</v>
      </c>
      <c r="AN522" s="6">
        <v>255</v>
      </c>
      <c r="AQ522" s="17">
        <v>520</v>
      </c>
      <c r="AR522" s="6">
        <v>1.6228</v>
      </c>
      <c r="AS522" s="19">
        <v>-0.99529999999999996</v>
      </c>
      <c r="AT522" s="6">
        <v>0.82399999999999995</v>
      </c>
      <c r="AU522" s="6">
        <v>255</v>
      </c>
      <c r="AW522" s="17">
        <v>520</v>
      </c>
      <c r="AX522" s="6">
        <v>0.85580999999999996</v>
      </c>
      <c r="AY522" s="19">
        <v>-0.99529999999999996</v>
      </c>
      <c r="AZ522" s="6">
        <v>0.82399999999999995</v>
      </c>
      <c r="BA522" s="6">
        <v>255</v>
      </c>
      <c r="BN522" s="17">
        <v>676</v>
      </c>
      <c r="BO522" s="6">
        <v>23.779890730000002</v>
      </c>
      <c r="BP522" s="6">
        <v>24.701104789999999</v>
      </c>
      <c r="BQ522" s="19">
        <v>-0.92121405999999995</v>
      </c>
    </row>
    <row r="523" spans="1:69" x14ac:dyDescent="0.25">
      <c r="A523" s="31" t="s">
        <v>11</v>
      </c>
      <c r="B523" s="32">
        <v>3</v>
      </c>
      <c r="C523" s="32">
        <v>11</v>
      </c>
      <c r="D523" s="32">
        <v>9</v>
      </c>
      <c r="E523" s="11">
        <v>17</v>
      </c>
      <c r="F523" s="2">
        <v>59.2</v>
      </c>
      <c r="G523">
        <v>30.608949287371555</v>
      </c>
      <c r="H523" t="s">
        <v>12</v>
      </c>
      <c r="I523">
        <v>3</v>
      </c>
      <c r="AD523" s="17">
        <v>521</v>
      </c>
      <c r="AE523" s="6">
        <v>3.0242499999999999</v>
      </c>
      <c r="AF523" s="19">
        <v>-4.8215000000000003</v>
      </c>
      <c r="AG523" s="6">
        <v>2.9119999999999999</v>
      </c>
      <c r="AH523" s="6">
        <v>255</v>
      </c>
      <c r="AJ523" s="17">
        <v>521</v>
      </c>
      <c r="AK523" s="6">
        <v>5.7346399999999997</v>
      </c>
      <c r="AL523" s="19">
        <v>-4.8215000000000003</v>
      </c>
      <c r="AM523" s="6">
        <v>2.9119999999999999</v>
      </c>
      <c r="AN523" s="6">
        <v>255</v>
      </c>
      <c r="AQ523" s="17">
        <v>521</v>
      </c>
      <c r="AR523" s="6">
        <v>1.6008800000000001</v>
      </c>
      <c r="AS523" s="19">
        <v>-0.72289999999999999</v>
      </c>
      <c r="AT523" s="6">
        <v>0.81289999999999996</v>
      </c>
      <c r="AU523" s="6">
        <v>255</v>
      </c>
      <c r="AW523" s="17">
        <v>521</v>
      </c>
      <c r="AX523" s="6">
        <v>0.84424999999999994</v>
      </c>
      <c r="AY523" s="19">
        <v>-0.72289999999999999</v>
      </c>
      <c r="AZ523" s="6">
        <v>0.81289999999999996</v>
      </c>
      <c r="BA523" s="6">
        <v>255</v>
      </c>
      <c r="BN523" s="17">
        <v>677</v>
      </c>
      <c r="BO523" s="6">
        <v>25.383460679999999</v>
      </c>
      <c r="BP523" s="6">
        <v>24.708316029999999</v>
      </c>
      <c r="BQ523" s="6">
        <v>0.67514465000000001</v>
      </c>
    </row>
    <row r="524" spans="1:69" x14ac:dyDescent="0.25">
      <c r="A524" s="31" t="s">
        <v>11</v>
      </c>
      <c r="B524" s="32">
        <v>1</v>
      </c>
      <c r="C524" s="32">
        <v>14</v>
      </c>
      <c r="D524" s="32">
        <v>1</v>
      </c>
      <c r="E524" s="11">
        <v>12</v>
      </c>
      <c r="F524" s="2">
        <v>48.7</v>
      </c>
      <c r="G524">
        <v>13.182468905785784</v>
      </c>
      <c r="H524">
        <v>16.7</v>
      </c>
      <c r="I524">
        <v>2</v>
      </c>
      <c r="AD524" s="17">
        <v>522</v>
      </c>
      <c r="AE524" s="6">
        <v>3.0496799999999999</v>
      </c>
      <c r="AF524" s="19">
        <v>-2.3441999999999998</v>
      </c>
      <c r="AG524" s="6">
        <v>2.9365000000000001</v>
      </c>
      <c r="AH524" s="6">
        <v>255</v>
      </c>
      <c r="AJ524" s="17">
        <v>522</v>
      </c>
      <c r="AK524" s="6">
        <v>5.78287</v>
      </c>
      <c r="AL524" s="19">
        <v>-2.3441999999999998</v>
      </c>
      <c r="AM524" s="6">
        <v>2.9365000000000001</v>
      </c>
      <c r="AN524" s="6">
        <v>255</v>
      </c>
      <c r="AQ524" s="17">
        <v>522</v>
      </c>
      <c r="AR524" s="6">
        <v>1.61463</v>
      </c>
      <c r="AS524" s="19">
        <v>-0.19900000000000001</v>
      </c>
      <c r="AT524" s="6">
        <v>0.81989999999999996</v>
      </c>
      <c r="AU524" s="6">
        <v>255</v>
      </c>
      <c r="AW524" s="17">
        <v>522</v>
      </c>
      <c r="AX524" s="6">
        <v>0.85150000000000003</v>
      </c>
      <c r="AY524" s="19">
        <v>-0.19900000000000001</v>
      </c>
      <c r="AZ524" s="6">
        <v>0.81989999999999996</v>
      </c>
      <c r="BA524" s="6">
        <v>255</v>
      </c>
      <c r="BN524" s="17">
        <v>678</v>
      </c>
      <c r="BO524" s="6">
        <v>30.608949290000002</v>
      </c>
      <c r="BP524" s="6">
        <v>30.362879889999999</v>
      </c>
      <c r="BQ524" s="6">
        <v>0.24606939999999999</v>
      </c>
    </row>
    <row r="525" spans="1:69" x14ac:dyDescent="0.25">
      <c r="A525" s="31" t="s">
        <v>11</v>
      </c>
      <c r="B525" s="32">
        <v>2</v>
      </c>
      <c r="C525" s="32">
        <v>2</v>
      </c>
      <c r="D525" s="32">
        <v>4</v>
      </c>
      <c r="E525" s="11">
        <v>12</v>
      </c>
      <c r="F525" s="2" t="s">
        <v>12</v>
      </c>
      <c r="G525">
        <v>10.207581388434663</v>
      </c>
      <c r="H525" t="s">
        <v>12</v>
      </c>
      <c r="I525">
        <v>1</v>
      </c>
      <c r="AD525" s="17">
        <v>523</v>
      </c>
      <c r="AE525" s="6">
        <v>3.04752</v>
      </c>
      <c r="AF525" s="19">
        <v>-4.2634999999999996</v>
      </c>
      <c r="AG525" s="6">
        <v>2.9344000000000001</v>
      </c>
      <c r="AH525" s="6">
        <v>255</v>
      </c>
      <c r="AJ525" s="17">
        <v>523</v>
      </c>
      <c r="AK525" s="6">
        <v>5.7787699999999997</v>
      </c>
      <c r="AL525" s="19">
        <v>-4.2634999999999996</v>
      </c>
      <c r="AM525" s="6">
        <v>2.9344000000000001</v>
      </c>
      <c r="AN525" s="6">
        <v>255</v>
      </c>
      <c r="AQ525" s="17">
        <v>523</v>
      </c>
      <c r="AR525" s="6">
        <v>1.6139699999999999</v>
      </c>
      <c r="AS525" s="19">
        <v>-1.3816999999999999</v>
      </c>
      <c r="AT525" s="6">
        <v>0.8196</v>
      </c>
      <c r="AU525" s="6">
        <v>255</v>
      </c>
      <c r="AW525" s="17">
        <v>523</v>
      </c>
      <c r="AX525" s="6">
        <v>0.85114999999999996</v>
      </c>
      <c r="AY525" s="19">
        <v>-1.3816999999999999</v>
      </c>
      <c r="AZ525" s="6">
        <v>0.8196</v>
      </c>
      <c r="BA525" s="6">
        <v>255</v>
      </c>
      <c r="BN525" s="17">
        <v>679</v>
      </c>
      <c r="BO525" s="6">
        <v>13.182468910000001</v>
      </c>
      <c r="BP525" s="6">
        <v>11.3260279</v>
      </c>
      <c r="BQ525" s="6">
        <v>1.8564410099999999</v>
      </c>
    </row>
    <row r="526" spans="1:69" x14ac:dyDescent="0.25">
      <c r="A526" s="31" t="s">
        <v>11</v>
      </c>
      <c r="B526" s="32">
        <v>3</v>
      </c>
      <c r="C526" s="32">
        <v>12</v>
      </c>
      <c r="D526" s="32">
        <v>9</v>
      </c>
      <c r="E526" s="11">
        <v>12</v>
      </c>
      <c r="F526" s="2" t="s">
        <v>12</v>
      </c>
      <c r="G526">
        <v>16.257019745253086</v>
      </c>
      <c r="H526" t="s">
        <v>12</v>
      </c>
      <c r="I526">
        <v>1</v>
      </c>
      <c r="AD526" s="17">
        <v>524</v>
      </c>
      <c r="AE526" s="6">
        <v>3.0506000000000002</v>
      </c>
      <c r="AF526" s="19">
        <v>-2.9525000000000001</v>
      </c>
      <c r="AG526" s="6">
        <v>2.9373999999999998</v>
      </c>
      <c r="AH526" s="6">
        <v>255</v>
      </c>
      <c r="AJ526" s="17">
        <v>524</v>
      </c>
      <c r="AK526" s="6">
        <v>5.7846099999999998</v>
      </c>
      <c r="AL526" s="19">
        <v>-2.9525000000000001</v>
      </c>
      <c r="AM526" s="6">
        <v>2.9373999999999998</v>
      </c>
      <c r="AN526" s="6">
        <v>255</v>
      </c>
      <c r="AQ526" s="17">
        <v>524</v>
      </c>
      <c r="AR526" s="6">
        <v>1.6157999999999999</v>
      </c>
      <c r="AS526" s="19">
        <v>-1.57</v>
      </c>
      <c r="AT526" s="6">
        <v>0.82050000000000001</v>
      </c>
      <c r="AU526" s="6">
        <v>255</v>
      </c>
      <c r="AW526" s="17">
        <v>524</v>
      </c>
      <c r="AX526" s="6">
        <v>0.85211999999999999</v>
      </c>
      <c r="AY526" s="19">
        <v>-1.57</v>
      </c>
      <c r="AZ526" s="6">
        <v>0.82050000000000001</v>
      </c>
      <c r="BA526" s="6">
        <v>255</v>
      </c>
      <c r="BN526" s="17">
        <v>680</v>
      </c>
      <c r="BO526" s="6">
        <v>10.20758139</v>
      </c>
      <c r="BP526" s="6">
        <v>11.33323914</v>
      </c>
      <c r="BQ526" s="19">
        <v>-1.12565775</v>
      </c>
    </row>
    <row r="527" spans="1:69" x14ac:dyDescent="0.25">
      <c r="A527" s="31" t="s">
        <v>11</v>
      </c>
      <c r="B527" s="32">
        <v>1</v>
      </c>
      <c r="C527" s="32">
        <v>15</v>
      </c>
      <c r="D527" s="32">
        <v>1</v>
      </c>
      <c r="E527" s="11">
        <v>13</v>
      </c>
      <c r="F527" s="2">
        <v>60.1</v>
      </c>
      <c r="G527">
        <v>28.13207210836396</v>
      </c>
      <c r="H527">
        <v>14.6</v>
      </c>
      <c r="I527">
        <v>1</v>
      </c>
      <c r="AD527" s="17">
        <v>525</v>
      </c>
      <c r="AE527" s="6">
        <v>3.0442100000000001</v>
      </c>
      <c r="AF527" s="19">
        <v>-1.0588</v>
      </c>
      <c r="AG527" s="6">
        <v>2.9312</v>
      </c>
      <c r="AH527" s="6">
        <v>255</v>
      </c>
      <c r="AJ527" s="17">
        <v>525</v>
      </c>
      <c r="AK527" s="6">
        <v>5.7724900000000003</v>
      </c>
      <c r="AL527" s="19">
        <v>-1.0588</v>
      </c>
      <c r="AM527" s="6">
        <v>2.9312</v>
      </c>
      <c r="AN527" s="6">
        <v>255</v>
      </c>
      <c r="AQ527" s="17">
        <v>525</v>
      </c>
      <c r="AR527" s="6">
        <v>1.6142700000000001</v>
      </c>
      <c r="AS527" s="19">
        <v>-0.64049999999999996</v>
      </c>
      <c r="AT527" s="6">
        <v>0.81969999999999998</v>
      </c>
      <c r="AU527" s="6">
        <v>255</v>
      </c>
      <c r="AW527" s="17">
        <v>525</v>
      </c>
      <c r="AX527" s="6">
        <v>0.85131000000000001</v>
      </c>
      <c r="AY527" s="19">
        <v>-0.64049999999999996</v>
      </c>
      <c r="AZ527" s="6">
        <v>0.81969999999999998</v>
      </c>
      <c r="BA527" s="6">
        <v>255</v>
      </c>
      <c r="BN527" s="17">
        <v>681</v>
      </c>
      <c r="BO527" s="6">
        <v>16.257019750000001</v>
      </c>
      <c r="BP527" s="6">
        <v>16.98780301</v>
      </c>
      <c r="BQ527" s="19">
        <v>-0.73078326000000005</v>
      </c>
    </row>
    <row r="528" spans="1:69" x14ac:dyDescent="0.25">
      <c r="A528" s="31" t="s">
        <v>11</v>
      </c>
      <c r="B528" s="32">
        <v>2</v>
      </c>
      <c r="C528" s="32">
        <v>11</v>
      </c>
      <c r="D528" s="32">
        <v>6</v>
      </c>
      <c r="E528" s="11">
        <v>13</v>
      </c>
      <c r="F528" s="2">
        <v>61.4</v>
      </c>
      <c r="G528">
        <v>22.927613857532112</v>
      </c>
      <c r="H528" t="s">
        <v>12</v>
      </c>
      <c r="I528">
        <v>1</v>
      </c>
      <c r="AD528" s="17">
        <v>526</v>
      </c>
      <c r="AE528" s="6">
        <v>3.0674800000000002</v>
      </c>
      <c r="AF528" s="19">
        <v>-7.2085999999999997</v>
      </c>
      <c r="AG528" s="6">
        <v>2.9535999999999998</v>
      </c>
      <c r="AH528" s="6">
        <v>255</v>
      </c>
      <c r="AJ528" s="17">
        <v>526</v>
      </c>
      <c r="AK528" s="6">
        <v>5.81663</v>
      </c>
      <c r="AL528" s="19">
        <v>-7.2085999999999997</v>
      </c>
      <c r="AM528" s="6">
        <v>2.9535999999999998</v>
      </c>
      <c r="AN528" s="6">
        <v>255</v>
      </c>
      <c r="AQ528" s="17">
        <v>526</v>
      </c>
      <c r="AR528" s="6">
        <v>1.62435</v>
      </c>
      <c r="AS528" s="19">
        <v>-3.0049000000000001</v>
      </c>
      <c r="AT528" s="6">
        <v>0.82479999999999998</v>
      </c>
      <c r="AU528" s="6">
        <v>255</v>
      </c>
      <c r="AW528" s="17">
        <v>526</v>
      </c>
      <c r="AX528" s="6">
        <v>0.85663</v>
      </c>
      <c r="AY528" s="19">
        <v>-3.0049000000000001</v>
      </c>
      <c r="AZ528" s="6">
        <v>0.82479999999999998</v>
      </c>
      <c r="BA528" s="6">
        <v>255</v>
      </c>
      <c r="BN528" s="17">
        <v>682</v>
      </c>
      <c r="BO528" s="6">
        <v>28.132072109999999</v>
      </c>
      <c r="BP528" s="6">
        <v>24.264778660000001</v>
      </c>
      <c r="BQ528" s="6">
        <v>3.86729345</v>
      </c>
    </row>
    <row r="529" spans="1:69" x14ac:dyDescent="0.25">
      <c r="A529" s="31" t="s">
        <v>11</v>
      </c>
      <c r="B529" s="32">
        <v>3</v>
      </c>
      <c r="C529" s="32">
        <v>17</v>
      </c>
      <c r="D529" s="32">
        <v>8</v>
      </c>
      <c r="E529" s="11">
        <v>13</v>
      </c>
      <c r="F529" s="2">
        <v>62.5</v>
      </c>
      <c r="G529">
        <v>27.403636363636359</v>
      </c>
      <c r="H529" t="s">
        <v>12</v>
      </c>
      <c r="I529">
        <v>1</v>
      </c>
      <c r="AD529" s="17">
        <v>527</v>
      </c>
      <c r="AE529" s="6">
        <v>3.0579900000000002</v>
      </c>
      <c r="AF529" s="19">
        <v>-4.0837000000000003</v>
      </c>
      <c r="AG529" s="6">
        <v>2.9445000000000001</v>
      </c>
      <c r="AH529" s="6">
        <v>255</v>
      </c>
      <c r="AJ529" s="17">
        <v>527</v>
      </c>
      <c r="AK529" s="6">
        <v>5.7986199999999997</v>
      </c>
      <c r="AL529" s="19">
        <v>-4.0837000000000003</v>
      </c>
      <c r="AM529" s="6">
        <v>2.9445000000000001</v>
      </c>
      <c r="AN529" s="6">
        <v>255</v>
      </c>
      <c r="AQ529" s="17">
        <v>527</v>
      </c>
      <c r="AR529" s="6">
        <v>1.6139300000000001</v>
      </c>
      <c r="AS529" s="19">
        <v>-0.63180000000000003</v>
      </c>
      <c r="AT529" s="6">
        <v>0.81950000000000001</v>
      </c>
      <c r="AU529" s="6">
        <v>255</v>
      </c>
      <c r="AW529" s="17">
        <v>527</v>
      </c>
      <c r="AX529" s="6">
        <v>0.85113000000000005</v>
      </c>
      <c r="AY529" s="19">
        <v>-0.63180000000000003</v>
      </c>
      <c r="AZ529" s="6">
        <v>0.81950000000000001</v>
      </c>
      <c r="BA529" s="6">
        <v>255</v>
      </c>
      <c r="BN529" s="17">
        <v>683</v>
      </c>
      <c r="BO529" s="6">
        <v>22.927613860000001</v>
      </c>
      <c r="BP529" s="6">
        <v>24.271989900000001</v>
      </c>
      <c r="BQ529" s="19">
        <v>-1.34437604</v>
      </c>
    </row>
    <row r="530" spans="1:69" x14ac:dyDescent="0.25">
      <c r="A530" s="31" t="s">
        <v>11</v>
      </c>
      <c r="B530" s="32">
        <v>1</v>
      </c>
      <c r="C530" s="32">
        <v>17</v>
      </c>
      <c r="D530" s="32">
        <v>3</v>
      </c>
      <c r="E530" s="11">
        <v>2</v>
      </c>
      <c r="F530" s="2" t="s">
        <v>12</v>
      </c>
      <c r="G530">
        <v>10.007436750998666</v>
      </c>
      <c r="H530" t="s">
        <v>12</v>
      </c>
      <c r="I530">
        <v>2</v>
      </c>
      <c r="AD530" s="17">
        <v>528</v>
      </c>
      <c r="AE530" s="6">
        <v>3.0316000000000001</v>
      </c>
      <c r="AF530" s="19">
        <v>-1.766</v>
      </c>
      <c r="AG530" s="6">
        <v>2.9190999999999998</v>
      </c>
      <c r="AH530" s="6">
        <v>255</v>
      </c>
      <c r="AJ530" s="17">
        <v>528</v>
      </c>
      <c r="AK530" s="6">
        <v>5.7485799999999996</v>
      </c>
      <c r="AL530" s="19">
        <v>-1.766</v>
      </c>
      <c r="AM530" s="6">
        <v>2.9190999999999998</v>
      </c>
      <c r="AN530" s="6">
        <v>255</v>
      </c>
      <c r="AQ530" s="17">
        <v>528</v>
      </c>
      <c r="AR530" s="6">
        <v>1.6185700000000001</v>
      </c>
      <c r="AS530" s="19">
        <v>-0.8992</v>
      </c>
      <c r="AT530" s="6">
        <v>0.82189999999999996</v>
      </c>
      <c r="AU530" s="6">
        <v>255</v>
      </c>
      <c r="AW530" s="17">
        <v>528</v>
      </c>
      <c r="AX530" s="6">
        <v>0.85358000000000001</v>
      </c>
      <c r="AY530" s="19">
        <v>-0.8992</v>
      </c>
      <c r="AZ530" s="6">
        <v>0.82189999999999996</v>
      </c>
      <c r="BA530" s="6">
        <v>255</v>
      </c>
      <c r="BN530" s="17">
        <v>684</v>
      </c>
      <c r="BO530" s="6">
        <v>27.40363636</v>
      </c>
      <c r="BP530" s="6">
        <v>29.926553770000002</v>
      </c>
      <c r="BQ530" s="19">
        <v>-2.5229174099999998</v>
      </c>
    </row>
    <row r="531" spans="1:69" x14ac:dyDescent="0.25">
      <c r="A531" s="31" t="s">
        <v>11</v>
      </c>
      <c r="B531" s="32">
        <v>2</v>
      </c>
      <c r="C531" s="32">
        <v>14</v>
      </c>
      <c r="D531" s="32">
        <v>6</v>
      </c>
      <c r="E531" s="11">
        <v>2</v>
      </c>
      <c r="F531" s="2" t="s">
        <v>12</v>
      </c>
      <c r="G531">
        <v>15.167636239782013</v>
      </c>
      <c r="H531" t="s">
        <v>12</v>
      </c>
      <c r="I531">
        <v>1</v>
      </c>
      <c r="AD531" s="17">
        <v>529</v>
      </c>
      <c r="AE531" s="6">
        <v>3.03721</v>
      </c>
      <c r="AF531" s="19">
        <v>-1.8891</v>
      </c>
      <c r="AG531" s="6">
        <v>2.9245000000000001</v>
      </c>
      <c r="AH531" s="6">
        <v>255</v>
      </c>
      <c r="AJ531" s="17">
        <v>529</v>
      </c>
      <c r="AK531" s="6">
        <v>5.75922</v>
      </c>
      <c r="AL531" s="19">
        <v>-1.8891</v>
      </c>
      <c r="AM531" s="6">
        <v>2.9245000000000001</v>
      </c>
      <c r="AN531" s="6">
        <v>255</v>
      </c>
      <c r="AQ531" s="17">
        <v>529</v>
      </c>
      <c r="AR531" s="6">
        <v>1.61653</v>
      </c>
      <c r="AS531" s="19">
        <v>-0.64680000000000004</v>
      </c>
      <c r="AT531" s="6">
        <v>0.82089999999999996</v>
      </c>
      <c r="AU531" s="6">
        <v>255</v>
      </c>
      <c r="AW531" s="17">
        <v>529</v>
      </c>
      <c r="AX531" s="6">
        <v>0.85250000000000004</v>
      </c>
      <c r="AY531" s="19">
        <v>-0.64680000000000004</v>
      </c>
      <c r="AZ531" s="6">
        <v>0.82089999999999996</v>
      </c>
      <c r="BA531" s="6">
        <v>255</v>
      </c>
      <c r="BN531" s="17">
        <v>685</v>
      </c>
      <c r="BO531" s="6">
        <v>10.00743675</v>
      </c>
      <c r="BP531" s="6">
        <v>14.19233051</v>
      </c>
      <c r="BQ531" s="19">
        <v>-4.1848937599999996</v>
      </c>
    </row>
    <row r="532" spans="1:69" x14ac:dyDescent="0.25">
      <c r="A532" s="31" t="s">
        <v>11</v>
      </c>
      <c r="B532" s="32">
        <v>3</v>
      </c>
      <c r="C532" s="32">
        <v>13</v>
      </c>
      <c r="D532" s="32">
        <v>9</v>
      </c>
      <c r="E532" s="11">
        <v>2</v>
      </c>
      <c r="F532" s="2">
        <v>60.4</v>
      </c>
      <c r="G532">
        <v>23.070904872389782</v>
      </c>
      <c r="H532" t="s">
        <v>12</v>
      </c>
      <c r="I532">
        <v>1</v>
      </c>
      <c r="AD532" s="17">
        <v>530</v>
      </c>
      <c r="AE532" s="6">
        <v>3.0539900000000002</v>
      </c>
      <c r="AF532" s="19">
        <v>-5.3757999999999999</v>
      </c>
      <c r="AG532" s="6">
        <v>2.9405999999999999</v>
      </c>
      <c r="AH532" s="6">
        <v>255</v>
      </c>
      <c r="AJ532" s="17">
        <v>530</v>
      </c>
      <c r="AK532" s="6">
        <v>5.7910300000000001</v>
      </c>
      <c r="AL532" s="19">
        <v>-5.3757999999999999</v>
      </c>
      <c r="AM532" s="6">
        <v>2.9405999999999999</v>
      </c>
      <c r="AN532" s="6">
        <v>255</v>
      </c>
      <c r="AQ532" s="17">
        <v>530</v>
      </c>
      <c r="AR532" s="6">
        <v>1.61625</v>
      </c>
      <c r="AS532" s="19">
        <v>-2.0276999999999998</v>
      </c>
      <c r="AT532" s="6">
        <v>0.82069999999999999</v>
      </c>
      <c r="AU532" s="6">
        <v>255</v>
      </c>
      <c r="AW532" s="17">
        <v>530</v>
      </c>
      <c r="AX532" s="6">
        <v>0.85235000000000005</v>
      </c>
      <c r="AY532" s="19">
        <v>-2.0276999999999998</v>
      </c>
      <c r="AZ532" s="6">
        <v>0.82069999999999999</v>
      </c>
      <c r="BA532" s="6">
        <v>255</v>
      </c>
      <c r="BN532" s="17">
        <v>686</v>
      </c>
      <c r="BO532" s="6">
        <v>15.16763624</v>
      </c>
      <c r="BP532" s="6">
        <v>14.19954175</v>
      </c>
      <c r="BQ532" s="6">
        <v>0.96809449000000003</v>
      </c>
    </row>
    <row r="533" spans="1:69" x14ac:dyDescent="0.25">
      <c r="A533" s="31" t="s">
        <v>11</v>
      </c>
      <c r="B533" s="32">
        <v>1</v>
      </c>
      <c r="C533" s="32">
        <v>6</v>
      </c>
      <c r="D533" s="32">
        <v>2</v>
      </c>
      <c r="E533" s="11">
        <v>9</v>
      </c>
      <c r="F533" s="2">
        <v>58.7</v>
      </c>
      <c r="G533">
        <v>40.433834168610126</v>
      </c>
      <c r="H533">
        <v>14.9</v>
      </c>
      <c r="I533">
        <v>2</v>
      </c>
      <c r="AD533" s="17">
        <v>531</v>
      </c>
      <c r="AE533" s="6">
        <v>3.0416400000000001</v>
      </c>
      <c r="AF533" s="19">
        <v>-4.1881000000000004</v>
      </c>
      <c r="AG533" s="6">
        <v>2.9287000000000001</v>
      </c>
      <c r="AH533" s="6">
        <v>255</v>
      </c>
      <c r="AJ533" s="17">
        <v>531</v>
      </c>
      <c r="AK533" s="6">
        <v>5.7676100000000003</v>
      </c>
      <c r="AL533" s="19">
        <v>-4.1881000000000004</v>
      </c>
      <c r="AM533" s="6">
        <v>2.9287000000000001</v>
      </c>
      <c r="AN533" s="6">
        <v>255</v>
      </c>
      <c r="AQ533" s="17">
        <v>531</v>
      </c>
      <c r="AR533" s="6">
        <v>1.6116900000000001</v>
      </c>
      <c r="AS533" s="19">
        <v>-1.6645000000000001</v>
      </c>
      <c r="AT533" s="6">
        <v>0.81840000000000002</v>
      </c>
      <c r="AU533" s="6">
        <v>255</v>
      </c>
      <c r="AW533" s="17">
        <v>531</v>
      </c>
      <c r="AX533" s="6">
        <v>0.84994999999999998</v>
      </c>
      <c r="AY533" s="19">
        <v>-1.6645000000000001</v>
      </c>
      <c r="AZ533" s="6">
        <v>0.81840000000000002</v>
      </c>
      <c r="BA533" s="6">
        <v>255</v>
      </c>
      <c r="BN533" s="17">
        <v>687</v>
      </c>
      <c r="BO533" s="6">
        <v>23.07090487</v>
      </c>
      <c r="BP533" s="6">
        <v>19.854105610000001</v>
      </c>
      <c r="BQ533" s="6">
        <v>3.2167992600000002</v>
      </c>
    </row>
    <row r="534" spans="1:69" x14ac:dyDescent="0.25">
      <c r="A534" s="31" t="s">
        <v>11</v>
      </c>
      <c r="B534" s="32">
        <v>2</v>
      </c>
      <c r="C534" s="32">
        <v>5</v>
      </c>
      <c r="D534" s="32">
        <v>4</v>
      </c>
      <c r="E534" s="11">
        <v>9</v>
      </c>
      <c r="F534" s="2">
        <v>57.6</v>
      </c>
      <c r="G534">
        <v>30.764025568604126</v>
      </c>
      <c r="H534" t="s">
        <v>12</v>
      </c>
      <c r="I534">
        <v>3</v>
      </c>
      <c r="AD534" s="17">
        <v>532</v>
      </c>
      <c r="AE534" s="6">
        <v>3.0476200000000002</v>
      </c>
      <c r="AF534" s="19">
        <v>-3.6151</v>
      </c>
      <c r="AG534" s="6">
        <v>2.9344999999999999</v>
      </c>
      <c r="AH534" s="6">
        <v>255</v>
      </c>
      <c r="AJ534" s="17">
        <v>532</v>
      </c>
      <c r="AK534" s="6">
        <v>5.7789599999999997</v>
      </c>
      <c r="AL534" s="19">
        <v>-3.6151</v>
      </c>
      <c r="AM534" s="6">
        <v>2.9344999999999999</v>
      </c>
      <c r="AN534" s="6">
        <v>255</v>
      </c>
      <c r="AQ534" s="17">
        <v>532</v>
      </c>
      <c r="AR534" s="6">
        <v>1.6185499999999999</v>
      </c>
      <c r="AS534" s="19">
        <v>-1.129</v>
      </c>
      <c r="AT534" s="6">
        <v>0.82189999999999996</v>
      </c>
      <c r="AU534" s="6">
        <v>255</v>
      </c>
      <c r="AW534" s="17">
        <v>532</v>
      </c>
      <c r="AX534" s="6">
        <v>0.85357000000000005</v>
      </c>
      <c r="AY534" s="19">
        <v>-1.129</v>
      </c>
      <c r="AZ534" s="6">
        <v>0.82189999999999996</v>
      </c>
      <c r="BA534" s="6">
        <v>255</v>
      </c>
      <c r="BN534" s="17">
        <v>688</v>
      </c>
      <c r="BO534" s="6">
        <v>40.433834169999997</v>
      </c>
      <c r="BP534" s="6">
        <v>33.716917870000003</v>
      </c>
      <c r="BQ534" s="6">
        <v>6.7169163000000003</v>
      </c>
    </row>
    <row r="535" spans="1:69" x14ac:dyDescent="0.25">
      <c r="A535" s="31" t="s">
        <v>11</v>
      </c>
      <c r="B535" s="32">
        <v>3</v>
      </c>
      <c r="C535" s="32">
        <v>4</v>
      </c>
      <c r="D535" s="32">
        <v>7</v>
      </c>
      <c r="E535" s="11">
        <v>9</v>
      </c>
      <c r="F535" s="2">
        <v>58.2</v>
      </c>
      <c r="G535">
        <v>35.62188019966721</v>
      </c>
      <c r="H535" t="s">
        <v>12</v>
      </c>
      <c r="I535">
        <v>2</v>
      </c>
      <c r="AD535" s="17">
        <v>533</v>
      </c>
      <c r="AE535" s="6">
        <v>3.04921</v>
      </c>
      <c r="AF535" s="19">
        <v>-3.5918999999999999</v>
      </c>
      <c r="AG535" s="6">
        <v>2.9359999999999999</v>
      </c>
      <c r="AH535" s="6">
        <v>255</v>
      </c>
      <c r="AJ535" s="17">
        <v>533</v>
      </c>
      <c r="AK535" s="6">
        <v>5.7819700000000003</v>
      </c>
      <c r="AL535" s="19">
        <v>-3.5918999999999999</v>
      </c>
      <c r="AM535" s="6">
        <v>2.9359999999999999</v>
      </c>
      <c r="AN535" s="6">
        <v>255</v>
      </c>
      <c r="AQ535" s="17">
        <v>533</v>
      </c>
      <c r="AR535" s="6">
        <v>1.6160300000000001</v>
      </c>
      <c r="AS535" s="19">
        <v>-0.66479999999999995</v>
      </c>
      <c r="AT535" s="6">
        <v>0.8206</v>
      </c>
      <c r="AU535" s="6">
        <v>255</v>
      </c>
      <c r="AW535" s="17">
        <v>533</v>
      </c>
      <c r="AX535" s="6">
        <v>0.85224</v>
      </c>
      <c r="AY535" s="19">
        <v>-0.66479999999999995</v>
      </c>
      <c r="AZ535" s="6">
        <v>0.8206</v>
      </c>
      <c r="BA535" s="6">
        <v>255</v>
      </c>
      <c r="BN535" s="17">
        <v>689</v>
      </c>
      <c r="BO535" s="6">
        <v>30.764025570000001</v>
      </c>
      <c r="BP535" s="6">
        <v>33.72412911</v>
      </c>
      <c r="BQ535" s="19">
        <v>-2.96010354</v>
      </c>
    </row>
    <row r="536" spans="1:69" x14ac:dyDescent="0.25">
      <c r="A536" s="31" t="s">
        <v>11</v>
      </c>
      <c r="B536" s="32">
        <v>1</v>
      </c>
      <c r="C536" s="32">
        <v>14</v>
      </c>
      <c r="D536" s="32">
        <v>3</v>
      </c>
      <c r="E536" s="11">
        <v>3</v>
      </c>
      <c r="F536" s="2">
        <v>59.9</v>
      </c>
      <c r="G536">
        <v>24.525804641430472</v>
      </c>
      <c r="H536">
        <v>14.5</v>
      </c>
      <c r="I536">
        <v>1</v>
      </c>
      <c r="AD536" s="17">
        <v>534</v>
      </c>
      <c r="AE536" s="6">
        <v>3.0550799999999998</v>
      </c>
      <c r="AF536" s="19">
        <v>-4.5743</v>
      </c>
      <c r="AG536" s="6">
        <v>2.9417</v>
      </c>
      <c r="AH536" s="6">
        <v>255</v>
      </c>
      <c r="AJ536" s="17">
        <v>534</v>
      </c>
      <c r="AK536" s="6">
        <v>5.7931100000000004</v>
      </c>
      <c r="AL536" s="19">
        <v>-4.5743</v>
      </c>
      <c r="AM536" s="6">
        <v>2.9417</v>
      </c>
      <c r="AN536" s="6">
        <v>255</v>
      </c>
      <c r="AQ536" s="17">
        <v>534</v>
      </c>
      <c r="AR536" s="6">
        <v>1.6155600000000001</v>
      </c>
      <c r="AS536" s="19">
        <v>-1.7793000000000001</v>
      </c>
      <c r="AT536" s="6">
        <v>0.82040000000000002</v>
      </c>
      <c r="AU536" s="6">
        <v>255</v>
      </c>
      <c r="AW536" s="17">
        <v>534</v>
      </c>
      <c r="AX536" s="6">
        <v>0.85199000000000003</v>
      </c>
      <c r="AY536" s="19">
        <v>-1.7793000000000001</v>
      </c>
      <c r="AZ536" s="6">
        <v>0.82040000000000002</v>
      </c>
      <c r="BA536" s="6">
        <v>255</v>
      </c>
      <c r="BN536" s="17">
        <v>690</v>
      </c>
      <c r="BO536" s="6">
        <v>35.6218802</v>
      </c>
      <c r="BP536" s="6">
        <v>39.378692970000003</v>
      </c>
      <c r="BQ536" s="19">
        <v>-3.7568127699999998</v>
      </c>
    </row>
    <row r="537" spans="1:69" x14ac:dyDescent="0.25">
      <c r="A537" s="31" t="s">
        <v>11</v>
      </c>
      <c r="B537" s="32">
        <v>2</v>
      </c>
      <c r="C537" s="32">
        <v>9</v>
      </c>
      <c r="D537" s="32">
        <v>5</v>
      </c>
      <c r="E537" s="11">
        <v>3</v>
      </c>
      <c r="F537" s="2">
        <v>62.2</v>
      </c>
      <c r="G537">
        <v>30.8522896413007</v>
      </c>
      <c r="H537" t="s">
        <v>12</v>
      </c>
      <c r="I537">
        <v>1</v>
      </c>
      <c r="AD537" s="17">
        <v>535</v>
      </c>
      <c r="AE537" s="6">
        <v>3.0484100000000001</v>
      </c>
      <c r="AF537" s="6">
        <v>3.0154999999999998</v>
      </c>
      <c r="AG537" s="6">
        <v>2.9352999999999998</v>
      </c>
      <c r="AH537" s="6">
        <v>255</v>
      </c>
      <c r="AJ537" s="17">
        <v>535</v>
      </c>
      <c r="AK537" s="6">
        <v>5.7804500000000001</v>
      </c>
      <c r="AL537" s="6">
        <v>3.0154999999999998</v>
      </c>
      <c r="AM537" s="6">
        <v>2.9352999999999998</v>
      </c>
      <c r="AN537" s="6">
        <v>255</v>
      </c>
      <c r="AQ537" s="17">
        <v>535</v>
      </c>
      <c r="AR537" s="6">
        <v>1.6232200000000001</v>
      </c>
      <c r="AS537" s="19">
        <v>-0.40379999999999999</v>
      </c>
      <c r="AT537" s="6">
        <v>0.82430000000000003</v>
      </c>
      <c r="AU537" s="6">
        <v>255</v>
      </c>
      <c r="AW537" s="17">
        <v>535</v>
      </c>
      <c r="AX537" s="6">
        <v>0.85602999999999996</v>
      </c>
      <c r="AY537" s="19">
        <v>-0.40379999999999999</v>
      </c>
      <c r="AZ537" s="6">
        <v>0.82430000000000003</v>
      </c>
      <c r="BA537" s="6">
        <v>255</v>
      </c>
      <c r="BN537" s="17">
        <v>691</v>
      </c>
      <c r="BO537" s="6">
        <v>24.52580464</v>
      </c>
      <c r="BP537" s="6">
        <v>28.371105069999999</v>
      </c>
      <c r="BQ537" s="19">
        <v>-3.84530043</v>
      </c>
    </row>
    <row r="538" spans="1:69" x14ac:dyDescent="0.25">
      <c r="A538" s="31" t="s">
        <v>11</v>
      </c>
      <c r="B538" s="32">
        <v>3</v>
      </c>
      <c r="C538" s="32">
        <v>8</v>
      </c>
      <c r="D538" s="32">
        <v>7</v>
      </c>
      <c r="E538" s="11">
        <v>3</v>
      </c>
      <c r="F538" s="2">
        <v>60.7</v>
      </c>
      <c r="G538">
        <v>35.404207273591631</v>
      </c>
      <c r="H538" t="s">
        <v>12</v>
      </c>
      <c r="I538">
        <v>1</v>
      </c>
      <c r="AD538" s="17">
        <v>536</v>
      </c>
      <c r="AE538" s="6">
        <v>3.0491799999999998</v>
      </c>
      <c r="AF538" s="19">
        <v>-3.0249000000000001</v>
      </c>
      <c r="AG538" s="6">
        <v>2.9359999999999999</v>
      </c>
      <c r="AH538" s="6">
        <v>255</v>
      </c>
      <c r="AJ538" s="17">
        <v>536</v>
      </c>
      <c r="AK538" s="6">
        <v>5.7819099999999999</v>
      </c>
      <c r="AL538" s="19">
        <v>-3.0249000000000001</v>
      </c>
      <c r="AM538" s="6">
        <v>2.9359999999999999</v>
      </c>
      <c r="AN538" s="6">
        <v>255</v>
      </c>
      <c r="AQ538" s="17">
        <v>536</v>
      </c>
      <c r="AR538" s="6">
        <v>1.6120399999999999</v>
      </c>
      <c r="AS538" s="19">
        <v>-1.7730999999999999</v>
      </c>
      <c r="AT538" s="6">
        <v>0.81859999999999999</v>
      </c>
      <c r="AU538" s="6">
        <v>255</v>
      </c>
      <c r="AW538" s="17">
        <v>536</v>
      </c>
      <c r="AX538" s="6">
        <v>0.85013000000000005</v>
      </c>
      <c r="AY538" s="19">
        <v>-1.7730999999999999</v>
      </c>
      <c r="AZ538" s="6">
        <v>0.81859999999999999</v>
      </c>
      <c r="BA538" s="6">
        <v>255</v>
      </c>
      <c r="BN538" s="17">
        <v>692</v>
      </c>
      <c r="BO538" s="6">
        <v>30.852289639999999</v>
      </c>
      <c r="BP538" s="6">
        <v>28.378316309999999</v>
      </c>
      <c r="BQ538" s="6">
        <v>2.4739733300000002</v>
      </c>
    </row>
    <row r="539" spans="1:69" x14ac:dyDescent="0.25">
      <c r="A539" s="31" t="s">
        <v>11</v>
      </c>
      <c r="B539" s="32">
        <v>1</v>
      </c>
      <c r="C539" s="32">
        <v>18</v>
      </c>
      <c r="D539" s="32">
        <v>2</v>
      </c>
      <c r="E539" s="11">
        <v>10</v>
      </c>
      <c r="F539" s="2">
        <v>59</v>
      </c>
      <c r="G539">
        <v>38.736396566268049</v>
      </c>
      <c r="H539">
        <v>14.9</v>
      </c>
      <c r="I539">
        <v>1</v>
      </c>
      <c r="AD539" s="17">
        <v>537</v>
      </c>
      <c r="AE539" s="6">
        <v>3.0449899999999999</v>
      </c>
      <c r="AF539" s="6">
        <v>5.7389000000000001</v>
      </c>
      <c r="AG539" s="6">
        <v>2.9319999999999999</v>
      </c>
      <c r="AH539" s="6">
        <v>255</v>
      </c>
      <c r="AJ539" s="17">
        <v>537</v>
      </c>
      <c r="AK539" s="6">
        <v>5.7739700000000003</v>
      </c>
      <c r="AL539" s="6">
        <v>5.7389000000000001</v>
      </c>
      <c r="AM539" s="6">
        <v>2.9319999999999999</v>
      </c>
      <c r="AN539" s="6">
        <v>255</v>
      </c>
      <c r="AQ539" s="17">
        <v>537</v>
      </c>
      <c r="AR539" s="6">
        <v>1.6195999999999999</v>
      </c>
      <c r="AS539" s="6">
        <v>0.71830000000000005</v>
      </c>
      <c r="AT539" s="6">
        <v>0.82240000000000002</v>
      </c>
      <c r="AU539" s="6">
        <v>255</v>
      </c>
      <c r="AW539" s="17">
        <v>537</v>
      </c>
      <c r="AX539" s="6">
        <v>0.85411999999999999</v>
      </c>
      <c r="AY539" s="6">
        <v>0.71830000000000005</v>
      </c>
      <c r="AZ539" s="6">
        <v>0.82240000000000002</v>
      </c>
      <c r="BA539" s="6">
        <v>255</v>
      </c>
      <c r="BN539" s="17">
        <v>693</v>
      </c>
      <c r="BO539" s="6">
        <v>35.404207270000001</v>
      </c>
      <c r="BP539" s="6">
        <v>34.032880169999999</v>
      </c>
      <c r="BQ539" s="6">
        <v>1.3713271</v>
      </c>
    </row>
    <row r="540" spans="1:69" x14ac:dyDescent="0.25">
      <c r="A540" s="31" t="s">
        <v>11</v>
      </c>
      <c r="B540" s="32">
        <v>2</v>
      </c>
      <c r="C540" s="32">
        <v>13</v>
      </c>
      <c r="D540" s="32">
        <v>5</v>
      </c>
      <c r="E540" s="11">
        <v>10</v>
      </c>
      <c r="F540" s="2">
        <v>59</v>
      </c>
      <c r="G540">
        <v>30.993007039892717</v>
      </c>
      <c r="H540" t="s">
        <v>12</v>
      </c>
      <c r="I540">
        <v>2</v>
      </c>
      <c r="AD540" s="17">
        <v>538</v>
      </c>
      <c r="AE540" s="6">
        <v>3.0440100000000001</v>
      </c>
      <c r="AF540" s="6">
        <v>0.30869999999999997</v>
      </c>
      <c r="AG540" s="6">
        <v>2.931</v>
      </c>
      <c r="AH540" s="6">
        <v>255</v>
      </c>
      <c r="AJ540" s="17">
        <v>538</v>
      </c>
      <c r="AK540" s="6">
        <v>5.7721099999999996</v>
      </c>
      <c r="AL540" s="6">
        <v>0.30869999999999997</v>
      </c>
      <c r="AM540" s="6">
        <v>2.931</v>
      </c>
      <c r="AN540" s="6">
        <v>255</v>
      </c>
      <c r="AQ540" s="17">
        <v>538</v>
      </c>
      <c r="AR540" s="6">
        <v>1.60721</v>
      </c>
      <c r="AS540" s="19">
        <v>-0.62229999999999996</v>
      </c>
      <c r="AT540" s="6">
        <v>0.81610000000000005</v>
      </c>
      <c r="AU540" s="6">
        <v>255</v>
      </c>
      <c r="AW540" s="17">
        <v>538</v>
      </c>
      <c r="AX540" s="6">
        <v>0.84758999999999995</v>
      </c>
      <c r="AY540" s="19">
        <v>-0.62229999999999996</v>
      </c>
      <c r="AZ540" s="6">
        <v>0.81610000000000005</v>
      </c>
      <c r="BA540" s="6">
        <v>255</v>
      </c>
      <c r="BN540" s="17">
        <v>694</v>
      </c>
      <c r="BO540" s="6">
        <v>38.736396569999997</v>
      </c>
      <c r="BP540" s="6">
        <v>34.25558281</v>
      </c>
      <c r="BQ540" s="6">
        <v>4.4808137600000002</v>
      </c>
    </row>
    <row r="541" spans="1:69" x14ac:dyDescent="0.25">
      <c r="A541" s="31" t="s">
        <v>11</v>
      </c>
      <c r="B541" s="32">
        <v>3</v>
      </c>
      <c r="C541" s="32">
        <v>6</v>
      </c>
      <c r="D541" s="32">
        <v>8</v>
      </c>
      <c r="E541" s="11">
        <v>10</v>
      </c>
      <c r="F541" s="2">
        <v>61</v>
      </c>
      <c r="G541">
        <v>38.706331168831163</v>
      </c>
      <c r="H541" t="s">
        <v>12</v>
      </c>
      <c r="I541">
        <v>2</v>
      </c>
      <c r="AD541" s="17">
        <v>539</v>
      </c>
      <c r="AE541" s="6">
        <v>3.06427</v>
      </c>
      <c r="AF541" s="19">
        <v>-1.9516</v>
      </c>
      <c r="AG541" s="6">
        <v>2.9504999999999999</v>
      </c>
      <c r="AH541" s="6">
        <v>255</v>
      </c>
      <c r="AJ541" s="17">
        <v>539</v>
      </c>
      <c r="AK541" s="6">
        <v>5.8105399999999996</v>
      </c>
      <c r="AL541" s="19">
        <v>-1.9516</v>
      </c>
      <c r="AM541" s="6">
        <v>2.9504999999999999</v>
      </c>
      <c r="AN541" s="6">
        <v>255</v>
      </c>
      <c r="AQ541" s="17">
        <v>539</v>
      </c>
      <c r="AR541" s="6">
        <v>1.62581</v>
      </c>
      <c r="AS541" s="19">
        <v>-0.45219999999999999</v>
      </c>
      <c r="AT541" s="6">
        <v>0.8256</v>
      </c>
      <c r="AU541" s="6">
        <v>255</v>
      </c>
      <c r="AW541" s="17">
        <v>539</v>
      </c>
      <c r="AX541" s="6">
        <v>0.85740000000000005</v>
      </c>
      <c r="AY541" s="19">
        <v>-0.45219999999999999</v>
      </c>
      <c r="AZ541" s="6">
        <v>0.8256</v>
      </c>
      <c r="BA541" s="6">
        <v>255</v>
      </c>
      <c r="BN541" s="17">
        <v>695</v>
      </c>
      <c r="BO541" s="6">
        <v>30.993007039999998</v>
      </c>
      <c r="BP541" s="6">
        <v>34.262794049999997</v>
      </c>
      <c r="BQ541" s="19">
        <v>-3.2697870099999999</v>
      </c>
    </row>
    <row r="542" spans="1:69" x14ac:dyDescent="0.25">
      <c r="A542" s="31" t="s">
        <v>11</v>
      </c>
      <c r="B542" s="32">
        <v>1</v>
      </c>
      <c r="C542" s="32">
        <v>5</v>
      </c>
      <c r="D542" s="32">
        <v>1</v>
      </c>
      <c r="E542" s="11">
        <v>4</v>
      </c>
      <c r="F542" s="2">
        <v>59.4</v>
      </c>
      <c r="G542">
        <v>36.883095825570258</v>
      </c>
      <c r="H542">
        <v>14.9</v>
      </c>
      <c r="I542">
        <v>1</v>
      </c>
      <c r="AD542" s="17">
        <v>540</v>
      </c>
      <c r="AE542" s="6">
        <v>3.04129</v>
      </c>
      <c r="AF542" s="19">
        <v>-0.70109999999999995</v>
      </c>
      <c r="AG542" s="6">
        <v>2.9283999999999999</v>
      </c>
      <c r="AH542" s="6">
        <v>255</v>
      </c>
      <c r="AJ542" s="17">
        <v>540</v>
      </c>
      <c r="AK542" s="6">
        <v>5.7669600000000001</v>
      </c>
      <c r="AL542" s="19">
        <v>-0.70109999999999995</v>
      </c>
      <c r="AM542" s="6">
        <v>2.9283999999999999</v>
      </c>
      <c r="AN542" s="6">
        <v>255</v>
      </c>
      <c r="AQ542" s="17">
        <v>540</v>
      </c>
      <c r="AR542" s="6">
        <v>1.6197900000000001</v>
      </c>
      <c r="AS542" s="19">
        <v>-0.86560000000000004</v>
      </c>
      <c r="AT542" s="6">
        <v>0.82250000000000001</v>
      </c>
      <c r="AU542" s="6">
        <v>255</v>
      </c>
      <c r="AW542" s="17">
        <v>540</v>
      </c>
      <c r="AX542" s="6">
        <v>0.85421999999999998</v>
      </c>
      <c r="AY542" s="19">
        <v>-0.86560000000000004</v>
      </c>
      <c r="AZ542" s="6">
        <v>0.82250000000000001</v>
      </c>
      <c r="BA542" s="6">
        <v>255</v>
      </c>
      <c r="BN542" s="17">
        <v>696</v>
      </c>
      <c r="BO542" s="6">
        <v>38.706331169999999</v>
      </c>
      <c r="BP542" s="6">
        <v>39.917357920000001</v>
      </c>
      <c r="BQ542" s="19">
        <v>-1.21102675</v>
      </c>
    </row>
    <row r="543" spans="1:69" x14ac:dyDescent="0.25">
      <c r="A543" s="31" t="s">
        <v>11</v>
      </c>
      <c r="B543" s="32">
        <v>2</v>
      </c>
      <c r="C543" s="32">
        <v>2</v>
      </c>
      <c r="D543" s="32">
        <v>6</v>
      </c>
      <c r="E543" s="11">
        <v>4</v>
      </c>
      <c r="F543" s="2">
        <v>58.9</v>
      </c>
      <c r="G543">
        <v>45.214222946671853</v>
      </c>
      <c r="H543" t="s">
        <v>12</v>
      </c>
      <c r="I543">
        <v>1</v>
      </c>
      <c r="AD543" s="17">
        <v>541</v>
      </c>
      <c r="AE543" s="6">
        <v>3.0520100000000001</v>
      </c>
      <c r="AF543" s="19">
        <v>-0.99639999999999995</v>
      </c>
      <c r="AG543" s="6">
        <v>2.9386999999999999</v>
      </c>
      <c r="AH543" s="6">
        <v>255</v>
      </c>
      <c r="AJ543" s="17">
        <v>541</v>
      </c>
      <c r="AK543" s="6">
        <v>5.7872899999999996</v>
      </c>
      <c r="AL543" s="19">
        <v>-0.99639999999999995</v>
      </c>
      <c r="AM543" s="6">
        <v>2.9386999999999999</v>
      </c>
      <c r="AN543" s="6">
        <v>255</v>
      </c>
      <c r="AQ543" s="17">
        <v>541</v>
      </c>
      <c r="AR543" s="6">
        <v>1.6252</v>
      </c>
      <c r="AS543" s="19">
        <v>-2.0853000000000002</v>
      </c>
      <c r="AT543" s="6">
        <v>0.82530000000000003</v>
      </c>
      <c r="AU543" s="6">
        <v>255</v>
      </c>
      <c r="AW543" s="17">
        <v>541</v>
      </c>
      <c r="AX543" s="6">
        <v>0.85707</v>
      </c>
      <c r="AY543" s="19">
        <v>-2.0853000000000002</v>
      </c>
      <c r="AZ543" s="6">
        <v>0.82530000000000003</v>
      </c>
      <c r="BA543" s="6">
        <v>255</v>
      </c>
      <c r="BN543" s="17">
        <v>697</v>
      </c>
      <c r="BO543" s="6">
        <v>36.883095830000002</v>
      </c>
      <c r="BP543" s="6">
        <v>38.745734769999999</v>
      </c>
      <c r="BQ543" s="19">
        <v>-1.8626389400000001</v>
      </c>
    </row>
    <row r="544" spans="1:69" x14ac:dyDescent="0.25">
      <c r="A544" s="31" t="s">
        <v>11</v>
      </c>
      <c r="B544" s="32">
        <v>3</v>
      </c>
      <c r="C544" s="32">
        <v>1</v>
      </c>
      <c r="D544" s="32">
        <v>7</v>
      </c>
      <c r="E544" s="11">
        <v>4</v>
      </c>
      <c r="F544" s="2">
        <v>57.3</v>
      </c>
      <c r="G544">
        <v>39.808871880199661</v>
      </c>
      <c r="H544" t="s">
        <v>12</v>
      </c>
      <c r="I544">
        <v>1</v>
      </c>
      <c r="AD544" s="17">
        <v>542</v>
      </c>
      <c r="AE544" s="6">
        <v>3.04135</v>
      </c>
      <c r="AF544" s="6">
        <v>4.4417999999999997</v>
      </c>
      <c r="AG544" s="6">
        <v>2.9285000000000001</v>
      </c>
      <c r="AH544" s="6">
        <v>255</v>
      </c>
      <c r="AJ544" s="17">
        <v>542</v>
      </c>
      <c r="AK544" s="6">
        <v>5.7670700000000004</v>
      </c>
      <c r="AL544" s="6">
        <v>4.4417999999999997</v>
      </c>
      <c r="AM544" s="6">
        <v>2.9285000000000001</v>
      </c>
      <c r="AN544" s="6">
        <v>255</v>
      </c>
      <c r="AQ544" s="17">
        <v>542</v>
      </c>
      <c r="AR544" s="6">
        <v>1.6130899999999999</v>
      </c>
      <c r="AS544" s="6">
        <v>0.85189999999999999</v>
      </c>
      <c r="AT544" s="6">
        <v>0.81910000000000005</v>
      </c>
      <c r="AU544" s="6">
        <v>255</v>
      </c>
      <c r="AW544" s="17">
        <v>542</v>
      </c>
      <c r="AX544" s="6">
        <v>0.85067999999999999</v>
      </c>
      <c r="AY544" s="6">
        <v>0.85189999999999999</v>
      </c>
      <c r="AZ544" s="6">
        <v>0.81910000000000005</v>
      </c>
      <c r="BA544" s="6">
        <v>255</v>
      </c>
      <c r="BN544" s="17">
        <v>698</v>
      </c>
      <c r="BO544" s="6">
        <v>45.21422295</v>
      </c>
      <c r="BP544" s="6">
        <v>38.752946010000002</v>
      </c>
      <c r="BQ544" s="6">
        <v>6.4612769400000003</v>
      </c>
    </row>
    <row r="545" spans="1:69" x14ac:dyDescent="0.25">
      <c r="A545" s="31" t="s">
        <v>11</v>
      </c>
      <c r="B545" s="32">
        <v>1</v>
      </c>
      <c r="C545" s="32">
        <v>10</v>
      </c>
      <c r="D545" s="32">
        <v>2</v>
      </c>
      <c r="E545" s="11">
        <v>5</v>
      </c>
      <c r="F545" s="2">
        <v>57.6</v>
      </c>
      <c r="G545">
        <v>44.34603632213566</v>
      </c>
      <c r="H545">
        <v>14.1</v>
      </c>
      <c r="I545">
        <v>1</v>
      </c>
      <c r="AD545" s="17">
        <v>543</v>
      </c>
      <c r="AE545" s="6">
        <v>3.0514899999999998</v>
      </c>
      <c r="AF545" s="6">
        <v>1.296</v>
      </c>
      <c r="AG545" s="6">
        <v>2.9382000000000001</v>
      </c>
      <c r="AH545" s="6">
        <v>255</v>
      </c>
      <c r="AJ545" s="17">
        <v>543</v>
      </c>
      <c r="AK545" s="6">
        <v>5.7862999999999998</v>
      </c>
      <c r="AL545" s="6">
        <v>1.296</v>
      </c>
      <c r="AM545" s="6">
        <v>2.9382000000000001</v>
      </c>
      <c r="AN545" s="6">
        <v>255</v>
      </c>
      <c r="AQ545" s="17">
        <v>543</v>
      </c>
      <c r="AR545" s="6">
        <v>1.61175</v>
      </c>
      <c r="AS545" s="6">
        <v>0.7056</v>
      </c>
      <c r="AT545" s="6">
        <v>0.81840000000000002</v>
      </c>
      <c r="AU545" s="6">
        <v>255</v>
      </c>
      <c r="AW545" s="17">
        <v>543</v>
      </c>
      <c r="AX545" s="6">
        <v>0.84997999999999996</v>
      </c>
      <c r="AY545" s="6">
        <v>0.7056</v>
      </c>
      <c r="AZ545" s="6">
        <v>0.81840000000000002</v>
      </c>
      <c r="BA545" s="6">
        <v>255</v>
      </c>
      <c r="BN545" s="17">
        <v>699</v>
      </c>
      <c r="BO545" s="6">
        <v>39.808871879999998</v>
      </c>
      <c r="BP545" s="6">
        <v>44.407509879999999</v>
      </c>
      <c r="BQ545" s="19">
        <v>-4.5986380000000002</v>
      </c>
    </row>
    <row r="546" spans="1:69" x14ac:dyDescent="0.25">
      <c r="A546" s="31" t="s">
        <v>11</v>
      </c>
      <c r="B546" s="32">
        <v>2</v>
      </c>
      <c r="C546" s="32">
        <v>12</v>
      </c>
      <c r="D546" s="32">
        <v>4</v>
      </c>
      <c r="E546" s="11">
        <v>5</v>
      </c>
      <c r="F546" s="2">
        <v>59.1</v>
      </c>
      <c r="G546">
        <v>44.955742530102562</v>
      </c>
      <c r="H546" t="s">
        <v>12</v>
      </c>
      <c r="I546">
        <v>2</v>
      </c>
      <c r="AD546" s="17">
        <v>544</v>
      </c>
      <c r="AE546" s="6">
        <v>3.05498</v>
      </c>
      <c r="AF546" s="19">
        <v>-0.4587</v>
      </c>
      <c r="AG546" s="6">
        <v>2.9416000000000002</v>
      </c>
      <c r="AH546" s="6">
        <v>255</v>
      </c>
      <c r="AJ546" s="17">
        <v>544</v>
      </c>
      <c r="AK546" s="6">
        <v>5.79291</v>
      </c>
      <c r="AL546" s="19">
        <v>-0.4587</v>
      </c>
      <c r="AM546" s="6">
        <v>2.9416000000000002</v>
      </c>
      <c r="AN546" s="6">
        <v>255</v>
      </c>
      <c r="AQ546" s="17">
        <v>544</v>
      </c>
      <c r="AR546" s="6">
        <v>1.6168899999999999</v>
      </c>
      <c r="AS546" s="6">
        <v>0.2482</v>
      </c>
      <c r="AT546" s="6">
        <v>0.82099999999999995</v>
      </c>
      <c r="AU546" s="6">
        <v>255</v>
      </c>
      <c r="AW546" s="17">
        <v>544</v>
      </c>
      <c r="AX546" s="6">
        <v>0.85268999999999995</v>
      </c>
      <c r="AY546" s="6">
        <v>0.2482</v>
      </c>
      <c r="AZ546" s="6">
        <v>0.82099999999999995</v>
      </c>
      <c r="BA546" s="6">
        <v>255</v>
      </c>
      <c r="BN546" s="17">
        <v>700</v>
      </c>
      <c r="BO546" s="6">
        <v>44.346036320000003</v>
      </c>
      <c r="BP546" s="6">
        <v>41.015723479999998</v>
      </c>
      <c r="BQ546" s="6">
        <v>3.3303128399999999</v>
      </c>
    </row>
    <row r="547" spans="1:69" x14ac:dyDescent="0.25">
      <c r="A547" s="31" t="s">
        <v>11</v>
      </c>
      <c r="B547" s="32">
        <v>3</v>
      </c>
      <c r="C547" s="32">
        <v>2</v>
      </c>
      <c r="D547" s="32">
        <v>7</v>
      </c>
      <c r="E547" s="11">
        <v>5</v>
      </c>
      <c r="F547" s="2">
        <v>58.6</v>
      </c>
      <c r="G547">
        <v>39.41437794152602</v>
      </c>
      <c r="H547" t="s">
        <v>12</v>
      </c>
      <c r="I547">
        <v>2</v>
      </c>
      <c r="AD547" s="17">
        <v>545</v>
      </c>
      <c r="AE547" s="6">
        <v>3.0484</v>
      </c>
      <c r="AF547" s="6">
        <v>3.2625999999999999</v>
      </c>
      <c r="AG547" s="6">
        <v>2.9352999999999998</v>
      </c>
      <c r="AH547" s="6">
        <v>255</v>
      </c>
      <c r="AJ547" s="17">
        <v>545</v>
      </c>
      <c r="AK547" s="6">
        <v>5.78043</v>
      </c>
      <c r="AL547" s="6">
        <v>3.2625999999999999</v>
      </c>
      <c r="AM547" s="6">
        <v>2.9352999999999998</v>
      </c>
      <c r="AN547" s="6">
        <v>255</v>
      </c>
      <c r="AQ547" s="17">
        <v>545</v>
      </c>
      <c r="AR547" s="6">
        <v>1.62168</v>
      </c>
      <c r="AS547" s="19">
        <v>-0.43569999999999998</v>
      </c>
      <c r="AT547" s="6">
        <v>0.82350000000000001</v>
      </c>
      <c r="AU547" s="6">
        <v>255</v>
      </c>
      <c r="AW547" s="17">
        <v>545</v>
      </c>
      <c r="AX547" s="6">
        <v>0.85521999999999998</v>
      </c>
      <c r="AY547" s="19">
        <v>-0.43569999999999998</v>
      </c>
      <c r="AZ547" s="6">
        <v>0.82350000000000001</v>
      </c>
      <c r="BA547" s="6">
        <v>255</v>
      </c>
      <c r="BN547" s="17">
        <v>701</v>
      </c>
      <c r="BO547" s="6">
        <v>44.955742530000002</v>
      </c>
      <c r="BP547" s="6">
        <v>41.022934720000002</v>
      </c>
      <c r="BQ547" s="6">
        <v>3.9328078099999999</v>
      </c>
    </row>
    <row r="548" spans="1:69" x14ac:dyDescent="0.25">
      <c r="A548" s="31" t="s">
        <v>11</v>
      </c>
      <c r="B548" s="32">
        <v>1</v>
      </c>
      <c r="C548" s="32">
        <v>4</v>
      </c>
      <c r="D548" s="32">
        <v>1</v>
      </c>
      <c r="E548" s="11">
        <v>19</v>
      </c>
      <c r="F548" s="2">
        <v>56.6</v>
      </c>
      <c r="G548">
        <v>19.937839266831155</v>
      </c>
      <c r="H548">
        <v>14.8</v>
      </c>
      <c r="I548">
        <v>4</v>
      </c>
      <c r="AD548" s="17">
        <v>546</v>
      </c>
      <c r="AE548" s="6">
        <v>3.0444599999999999</v>
      </c>
      <c r="AF548" s="6">
        <v>11.7666</v>
      </c>
      <c r="AG548" s="6">
        <v>2.9315000000000002</v>
      </c>
      <c r="AH548" s="6">
        <v>255</v>
      </c>
      <c r="AJ548" s="17">
        <v>546</v>
      </c>
      <c r="AK548" s="6">
        <v>5.7729600000000003</v>
      </c>
      <c r="AL548" s="6">
        <v>11.7666</v>
      </c>
      <c r="AM548" s="6">
        <v>2.9315000000000002</v>
      </c>
      <c r="AN548" s="6">
        <v>255</v>
      </c>
      <c r="AQ548" s="17">
        <v>546</v>
      </c>
      <c r="AR548" s="6">
        <v>1.6227199999999999</v>
      </c>
      <c r="AS548" s="6">
        <v>2.4729000000000001</v>
      </c>
      <c r="AT548" s="6">
        <v>0.82399999999999995</v>
      </c>
      <c r="AU548" s="6">
        <v>255</v>
      </c>
      <c r="AW548" s="17">
        <v>546</v>
      </c>
      <c r="AX548" s="6">
        <v>0.85577000000000003</v>
      </c>
      <c r="AY548" s="6">
        <v>2.4729000000000001</v>
      </c>
      <c r="AZ548" s="6">
        <v>0.82399999999999995</v>
      </c>
      <c r="BA548" s="6">
        <v>255</v>
      </c>
      <c r="BN548" s="17">
        <v>702</v>
      </c>
      <c r="BO548" s="6">
        <v>39.414377940000001</v>
      </c>
      <c r="BP548" s="6">
        <v>46.677498589999999</v>
      </c>
      <c r="BQ548" s="19">
        <v>-7.2631206500000003</v>
      </c>
    </row>
    <row r="549" spans="1:69" x14ac:dyDescent="0.25">
      <c r="A549" s="31" t="s">
        <v>11</v>
      </c>
      <c r="B549" s="32">
        <v>2</v>
      </c>
      <c r="C549" s="32">
        <v>5</v>
      </c>
      <c r="D549" s="32">
        <v>5</v>
      </c>
      <c r="E549" s="11">
        <v>19</v>
      </c>
      <c r="F549" s="2">
        <v>60.8</v>
      </c>
      <c r="G549">
        <v>28.787660073751255</v>
      </c>
      <c r="H549" t="s">
        <v>12</v>
      </c>
      <c r="I549">
        <v>3</v>
      </c>
      <c r="AD549" s="17">
        <v>547</v>
      </c>
      <c r="AE549" s="6">
        <v>3.04569</v>
      </c>
      <c r="AF549" s="19">
        <v>-0.15840000000000001</v>
      </c>
      <c r="AG549" s="6">
        <v>2.9327000000000001</v>
      </c>
      <c r="AH549" s="6">
        <v>255</v>
      </c>
      <c r="AJ549" s="17">
        <v>547</v>
      </c>
      <c r="AK549" s="6">
        <v>5.7753100000000002</v>
      </c>
      <c r="AL549" s="19">
        <v>-0.15840000000000001</v>
      </c>
      <c r="AM549" s="6">
        <v>2.9327000000000001</v>
      </c>
      <c r="AN549" s="6">
        <v>255</v>
      </c>
      <c r="AQ549" s="17">
        <v>547</v>
      </c>
      <c r="AR549" s="6">
        <v>1.59443</v>
      </c>
      <c r="AS549" s="19">
        <v>-0.23980000000000001</v>
      </c>
      <c r="AT549" s="6">
        <v>0.80959999999999999</v>
      </c>
      <c r="AU549" s="6">
        <v>255</v>
      </c>
      <c r="AW549" s="17">
        <v>547</v>
      </c>
      <c r="AX549" s="6">
        <v>0.84084999999999999</v>
      </c>
      <c r="AY549" s="19">
        <v>-0.23980000000000001</v>
      </c>
      <c r="AZ549" s="6">
        <v>0.80959999999999999</v>
      </c>
      <c r="BA549" s="6">
        <v>255</v>
      </c>
      <c r="BN549" s="17">
        <v>703</v>
      </c>
      <c r="BO549" s="6">
        <v>19.937839270000001</v>
      </c>
      <c r="BP549" s="6">
        <v>25.162398270000001</v>
      </c>
      <c r="BQ549" s="19">
        <v>-5.2245590000000002</v>
      </c>
    </row>
    <row r="550" spans="1:69" x14ac:dyDescent="0.25">
      <c r="A550" s="31" t="s">
        <v>11</v>
      </c>
      <c r="B550" s="32">
        <v>3</v>
      </c>
      <c r="C550" s="32">
        <v>3</v>
      </c>
      <c r="D550" s="32">
        <v>8</v>
      </c>
      <c r="E550" s="11">
        <v>19</v>
      </c>
      <c r="F550" s="2">
        <v>59.9</v>
      </c>
      <c r="G550">
        <v>32.43068181818181</v>
      </c>
      <c r="H550" t="s">
        <v>12</v>
      </c>
      <c r="I550">
        <v>3</v>
      </c>
      <c r="AD550" s="17">
        <v>548</v>
      </c>
      <c r="AE550" s="6">
        <v>3.0398100000000001</v>
      </c>
      <c r="AF550" s="19">
        <v>-0.56289999999999996</v>
      </c>
      <c r="AG550" s="6">
        <v>2.927</v>
      </c>
      <c r="AH550" s="6">
        <v>255</v>
      </c>
      <c r="AJ550" s="17">
        <v>548</v>
      </c>
      <c r="AK550" s="6">
        <v>5.7641400000000003</v>
      </c>
      <c r="AL550" s="19">
        <v>-0.56289999999999996</v>
      </c>
      <c r="AM550" s="6">
        <v>2.927</v>
      </c>
      <c r="AN550" s="6">
        <v>255</v>
      </c>
      <c r="AQ550" s="17">
        <v>548</v>
      </c>
      <c r="AR550" s="6">
        <v>1.5874699999999999</v>
      </c>
      <c r="AS550" s="6">
        <v>2.0272000000000001</v>
      </c>
      <c r="AT550" s="6">
        <v>0.80610000000000004</v>
      </c>
      <c r="AU550" s="6">
        <v>255</v>
      </c>
      <c r="AW550" s="17">
        <v>548</v>
      </c>
      <c r="AX550" s="6">
        <v>0.83718000000000004</v>
      </c>
      <c r="AY550" s="6">
        <v>2.0272000000000001</v>
      </c>
      <c r="AZ550" s="6">
        <v>0.80610000000000004</v>
      </c>
      <c r="BA550" s="6">
        <v>255</v>
      </c>
      <c r="BN550" s="17">
        <v>704</v>
      </c>
      <c r="BO550" s="6">
        <v>28.787660070000001</v>
      </c>
      <c r="BP550" s="6">
        <v>25.169609510000001</v>
      </c>
      <c r="BQ550" s="6">
        <v>3.6180505599999999</v>
      </c>
    </row>
    <row r="551" spans="1:69" x14ac:dyDescent="0.25">
      <c r="A551" s="31" t="s">
        <v>11</v>
      </c>
      <c r="B551" s="32">
        <v>1</v>
      </c>
      <c r="C551" s="32">
        <v>4</v>
      </c>
      <c r="D551" s="32">
        <v>2</v>
      </c>
      <c r="E551" s="11">
        <v>6</v>
      </c>
      <c r="F551" s="2">
        <v>59.4</v>
      </c>
      <c r="G551">
        <v>32.998542648737164</v>
      </c>
      <c r="H551">
        <v>15.7</v>
      </c>
      <c r="I551">
        <v>1</v>
      </c>
      <c r="AD551" s="17">
        <v>549</v>
      </c>
      <c r="AE551" s="6">
        <v>3.0643899999999999</v>
      </c>
      <c r="AF551" s="6">
        <v>0.86799999999999999</v>
      </c>
      <c r="AG551" s="6">
        <v>2.9506999999999999</v>
      </c>
      <c r="AH551" s="6">
        <v>255</v>
      </c>
      <c r="AJ551" s="17">
        <v>549</v>
      </c>
      <c r="AK551" s="6">
        <v>5.8107699999999998</v>
      </c>
      <c r="AL551" s="6">
        <v>0.86799999999999999</v>
      </c>
      <c r="AM551" s="6">
        <v>2.9506999999999999</v>
      </c>
      <c r="AN551" s="6">
        <v>255</v>
      </c>
      <c r="AQ551" s="17">
        <v>549</v>
      </c>
      <c r="AR551" s="6">
        <v>1.59873</v>
      </c>
      <c r="AS551" s="6">
        <v>0.40539999999999998</v>
      </c>
      <c r="AT551" s="6">
        <v>0.81179999999999997</v>
      </c>
      <c r="AU551" s="6">
        <v>255</v>
      </c>
      <c r="AW551" s="17">
        <v>549</v>
      </c>
      <c r="AX551" s="6">
        <v>0.84311999999999998</v>
      </c>
      <c r="AY551" s="6">
        <v>0.40539999999999998</v>
      </c>
      <c r="AZ551" s="6">
        <v>0.81179999999999997</v>
      </c>
      <c r="BA551" s="6">
        <v>255</v>
      </c>
      <c r="BN551" s="17">
        <v>705</v>
      </c>
      <c r="BO551" s="6">
        <v>32.430681819999997</v>
      </c>
      <c r="BP551" s="6">
        <v>30.824173380000001</v>
      </c>
      <c r="BQ551" s="6">
        <v>1.60650844</v>
      </c>
    </row>
    <row r="552" spans="1:69" x14ac:dyDescent="0.25">
      <c r="A552" s="31" t="s">
        <v>11</v>
      </c>
      <c r="B552" s="32">
        <v>2</v>
      </c>
      <c r="C552" s="32">
        <v>2</v>
      </c>
      <c r="D552" s="32">
        <v>5</v>
      </c>
      <c r="E552" s="11">
        <v>6</v>
      </c>
      <c r="F552" s="2">
        <v>60.1</v>
      </c>
      <c r="G552">
        <v>42.66098271155596</v>
      </c>
      <c r="H552" t="s">
        <v>12</v>
      </c>
      <c r="I552">
        <v>1</v>
      </c>
      <c r="AD552" s="17">
        <v>550</v>
      </c>
      <c r="AE552" s="6">
        <v>3.0367000000000002</v>
      </c>
      <c r="AF552" s="6">
        <v>2.0764999999999998</v>
      </c>
      <c r="AG552" s="6">
        <v>2.9239999999999999</v>
      </c>
      <c r="AH552" s="6">
        <v>255</v>
      </c>
      <c r="AJ552" s="17">
        <v>550</v>
      </c>
      <c r="AK552" s="6">
        <v>5.7582500000000003</v>
      </c>
      <c r="AL552" s="6">
        <v>2.0764999999999998</v>
      </c>
      <c r="AM552" s="6">
        <v>2.9239999999999999</v>
      </c>
      <c r="AN552" s="6">
        <v>255</v>
      </c>
      <c r="AQ552" s="17">
        <v>550</v>
      </c>
      <c r="AR552" s="6">
        <v>1.5884400000000001</v>
      </c>
      <c r="AS552" s="6">
        <v>1.9077999999999999</v>
      </c>
      <c r="AT552" s="6">
        <v>0.80659999999999998</v>
      </c>
      <c r="AU552" s="6">
        <v>255</v>
      </c>
      <c r="AW552" s="17">
        <v>550</v>
      </c>
      <c r="AX552" s="6">
        <v>0.83769000000000005</v>
      </c>
      <c r="AY552" s="6">
        <v>1.9077999999999999</v>
      </c>
      <c r="AZ552" s="6">
        <v>0.80659999999999998</v>
      </c>
      <c r="BA552" s="6">
        <v>255</v>
      </c>
      <c r="BN552" s="17">
        <v>706</v>
      </c>
      <c r="BO552" s="6">
        <v>32.998542649999997</v>
      </c>
      <c r="BP552" s="6">
        <v>40.020553049999997</v>
      </c>
      <c r="BQ552" s="19">
        <v>-7.0220104000000001</v>
      </c>
    </row>
    <row r="553" spans="1:69" x14ac:dyDescent="0.25">
      <c r="A553" s="31" t="s">
        <v>11</v>
      </c>
      <c r="B553" s="32">
        <v>3</v>
      </c>
      <c r="C553" s="32">
        <v>11</v>
      </c>
      <c r="D553" s="32">
        <v>8</v>
      </c>
      <c r="E553" s="11">
        <v>6</v>
      </c>
      <c r="F553" s="2">
        <v>60</v>
      </c>
      <c r="G553">
        <v>50.071120129870124</v>
      </c>
      <c r="H553" t="s">
        <v>12</v>
      </c>
      <c r="I553">
        <v>1</v>
      </c>
      <c r="AD553" s="17">
        <v>551</v>
      </c>
      <c r="AE553" s="6">
        <v>3.05532</v>
      </c>
      <c r="AF553" s="6">
        <v>6.1749999999999998</v>
      </c>
      <c r="AG553" s="6">
        <v>2.9419</v>
      </c>
      <c r="AH553" s="6">
        <v>255</v>
      </c>
      <c r="AJ553" s="17">
        <v>551</v>
      </c>
      <c r="AK553" s="6">
        <v>5.7935600000000003</v>
      </c>
      <c r="AL553" s="6">
        <v>6.1749999999999998</v>
      </c>
      <c r="AM553" s="6">
        <v>2.9419</v>
      </c>
      <c r="AN553" s="6">
        <v>255</v>
      </c>
      <c r="AQ553" s="17">
        <v>551</v>
      </c>
      <c r="AR553" s="6">
        <v>1.6004799999999999</v>
      </c>
      <c r="AS553" s="6">
        <v>2.2949999999999999</v>
      </c>
      <c r="AT553" s="6">
        <v>0.81269999999999998</v>
      </c>
      <c r="AU553" s="6">
        <v>255</v>
      </c>
      <c r="AW553" s="17">
        <v>551</v>
      </c>
      <c r="AX553" s="6">
        <v>0.84402999999999995</v>
      </c>
      <c r="AY553" s="6">
        <v>2.2949999999999999</v>
      </c>
      <c r="AZ553" s="6">
        <v>0.81269999999999998</v>
      </c>
      <c r="BA553" s="6">
        <v>255</v>
      </c>
      <c r="BN553" s="17">
        <v>707</v>
      </c>
      <c r="BO553" s="6">
        <v>42.660982709999999</v>
      </c>
      <c r="BP553" s="6">
        <v>40.02776429</v>
      </c>
      <c r="BQ553" s="6">
        <v>2.6332184199999999</v>
      </c>
    </row>
    <row r="554" spans="1:69" x14ac:dyDescent="0.25">
      <c r="A554" s="31" t="s">
        <v>11</v>
      </c>
      <c r="B554" s="32">
        <v>1</v>
      </c>
      <c r="C554" s="32">
        <v>16</v>
      </c>
      <c r="D554" s="32">
        <v>3</v>
      </c>
      <c r="E554" s="11">
        <v>8</v>
      </c>
      <c r="F554" s="2">
        <v>58.8</v>
      </c>
      <c r="G554">
        <v>20.969940079893469</v>
      </c>
      <c r="H554">
        <v>13.2</v>
      </c>
      <c r="I554">
        <v>2</v>
      </c>
      <c r="AD554" s="17">
        <v>552</v>
      </c>
      <c r="AE554" s="6">
        <v>3.04352</v>
      </c>
      <c r="AF554" s="6">
        <v>2.419</v>
      </c>
      <c r="AG554" s="6">
        <v>2.9306000000000001</v>
      </c>
      <c r="AH554" s="6">
        <v>255</v>
      </c>
      <c r="AJ554" s="17">
        <v>552</v>
      </c>
      <c r="AK554" s="6">
        <v>5.7711800000000002</v>
      </c>
      <c r="AL554" s="6">
        <v>2.419</v>
      </c>
      <c r="AM554" s="6">
        <v>2.9306000000000001</v>
      </c>
      <c r="AN554" s="6">
        <v>255</v>
      </c>
      <c r="AQ554" s="17">
        <v>552</v>
      </c>
      <c r="AR554" s="6">
        <v>1.58972</v>
      </c>
      <c r="AS554" s="6">
        <v>2.3700999999999999</v>
      </c>
      <c r="AT554" s="6">
        <v>0.80720000000000003</v>
      </c>
      <c r="AU554" s="6">
        <v>255</v>
      </c>
      <c r="AW554" s="17">
        <v>552</v>
      </c>
      <c r="AX554" s="6">
        <v>0.83836999999999995</v>
      </c>
      <c r="AY554" s="6">
        <v>2.3700999999999999</v>
      </c>
      <c r="AZ554" s="6">
        <v>0.80720000000000003</v>
      </c>
      <c r="BA554" s="6">
        <v>255</v>
      </c>
      <c r="BN554" s="17">
        <v>708</v>
      </c>
      <c r="BO554" s="6">
        <v>50.071120129999997</v>
      </c>
      <c r="BP554" s="6">
        <v>45.682328149999996</v>
      </c>
      <c r="BQ554" s="6">
        <v>4.3887919799999997</v>
      </c>
    </row>
    <row r="555" spans="1:69" x14ac:dyDescent="0.25">
      <c r="A555" s="31" t="s">
        <v>11</v>
      </c>
      <c r="B555" s="32">
        <v>2</v>
      </c>
      <c r="C555" s="32">
        <v>10</v>
      </c>
      <c r="D555" s="32">
        <v>5</v>
      </c>
      <c r="E555" s="11">
        <v>8</v>
      </c>
      <c r="F555" s="2">
        <v>59.9</v>
      </c>
      <c r="G555">
        <v>32.182704372395953</v>
      </c>
      <c r="H555" t="s">
        <v>12</v>
      </c>
      <c r="I555">
        <v>1</v>
      </c>
      <c r="AD555" s="17">
        <v>553</v>
      </c>
      <c r="AE555" s="6">
        <v>3.0503300000000002</v>
      </c>
      <c r="AF555" s="19">
        <v>-1.1014999999999999</v>
      </c>
      <c r="AG555" s="6">
        <v>2.9371</v>
      </c>
      <c r="AH555" s="6">
        <v>255</v>
      </c>
      <c r="AJ555" s="17">
        <v>553</v>
      </c>
      <c r="AK555" s="6">
        <v>5.78409</v>
      </c>
      <c r="AL555" s="19">
        <v>-1.1014999999999999</v>
      </c>
      <c r="AM555" s="6">
        <v>2.9371</v>
      </c>
      <c r="AN555" s="6">
        <v>255</v>
      </c>
      <c r="AQ555" s="17">
        <v>553</v>
      </c>
      <c r="AR555" s="6">
        <v>1.5919000000000001</v>
      </c>
      <c r="AS555" s="6">
        <v>0.42530000000000001</v>
      </c>
      <c r="AT555" s="6">
        <v>0.80840000000000001</v>
      </c>
      <c r="AU555" s="6">
        <v>255</v>
      </c>
      <c r="AW555" s="17">
        <v>553</v>
      </c>
      <c r="AX555" s="6">
        <v>0.83950999999999998</v>
      </c>
      <c r="AY555" s="6">
        <v>0.42530000000000001</v>
      </c>
      <c r="AZ555" s="6">
        <v>0.80840000000000001</v>
      </c>
      <c r="BA555" s="6">
        <v>255</v>
      </c>
      <c r="BN555" s="17">
        <v>709</v>
      </c>
      <c r="BO555" s="6">
        <v>20.969940080000001</v>
      </c>
      <c r="BP555" s="6">
        <v>28.965729629999998</v>
      </c>
      <c r="BQ555" s="19">
        <v>-7.9957895499999996</v>
      </c>
    </row>
    <row r="556" spans="1:69" x14ac:dyDescent="0.25">
      <c r="A556" s="31" t="s">
        <v>11</v>
      </c>
      <c r="B556" s="32">
        <v>3</v>
      </c>
      <c r="C556" s="32">
        <v>6</v>
      </c>
      <c r="D556" s="32">
        <v>7</v>
      </c>
      <c r="E556" s="11">
        <v>8</v>
      </c>
      <c r="F556" s="2">
        <v>61</v>
      </c>
      <c r="G556">
        <v>39.413530782029945</v>
      </c>
      <c r="H556" t="s">
        <v>12</v>
      </c>
      <c r="I556">
        <v>1</v>
      </c>
      <c r="AD556" s="17">
        <v>554</v>
      </c>
      <c r="AE556" s="6">
        <v>3.0466000000000002</v>
      </c>
      <c r="AF556" s="19">
        <v>-0.77310000000000001</v>
      </c>
      <c r="AG556" s="6">
        <v>2.9335</v>
      </c>
      <c r="AH556" s="6">
        <v>255</v>
      </c>
      <c r="AJ556" s="17">
        <v>554</v>
      </c>
      <c r="AK556" s="6">
        <v>5.7770200000000003</v>
      </c>
      <c r="AL556" s="19">
        <v>-0.77310000000000001</v>
      </c>
      <c r="AM556" s="6">
        <v>2.9335</v>
      </c>
      <c r="AN556" s="6">
        <v>255</v>
      </c>
      <c r="AQ556" s="17">
        <v>554</v>
      </c>
      <c r="AR556" s="6">
        <v>1.59026</v>
      </c>
      <c r="AS556" s="6">
        <v>1.2675000000000001</v>
      </c>
      <c r="AT556" s="6">
        <v>0.8075</v>
      </c>
      <c r="AU556" s="6">
        <v>255</v>
      </c>
      <c r="AW556" s="17">
        <v>554</v>
      </c>
      <c r="AX556" s="6">
        <v>0.83865000000000001</v>
      </c>
      <c r="AY556" s="6">
        <v>1.2675000000000001</v>
      </c>
      <c r="AZ556" s="6">
        <v>0.8075</v>
      </c>
      <c r="BA556" s="6">
        <v>255</v>
      </c>
      <c r="BN556" s="17">
        <v>710</v>
      </c>
      <c r="BO556" s="6">
        <v>32.182704370000003</v>
      </c>
      <c r="BP556" s="6">
        <v>28.972940869999999</v>
      </c>
      <c r="BQ556" s="6">
        <v>3.2097635000000002</v>
      </c>
    </row>
    <row r="557" spans="1:69" x14ac:dyDescent="0.25">
      <c r="A557" s="31" t="s">
        <v>11</v>
      </c>
      <c r="B557" s="32">
        <v>1</v>
      </c>
      <c r="C557" s="32">
        <v>9</v>
      </c>
      <c r="D557" s="32">
        <v>1</v>
      </c>
      <c r="E557" s="11">
        <v>7</v>
      </c>
      <c r="F557" s="2">
        <v>59</v>
      </c>
      <c r="G557">
        <v>20.715671483961927</v>
      </c>
      <c r="H557">
        <v>15</v>
      </c>
      <c r="I557">
        <v>2</v>
      </c>
      <c r="AD557" s="17">
        <v>555</v>
      </c>
      <c r="AE557" s="6">
        <v>3.0354999999999999</v>
      </c>
      <c r="AF557" s="6">
        <v>1.7448999999999999</v>
      </c>
      <c r="AG557" s="6">
        <v>2.9228000000000001</v>
      </c>
      <c r="AH557" s="6">
        <v>255</v>
      </c>
      <c r="AJ557" s="17">
        <v>555</v>
      </c>
      <c r="AK557" s="6">
        <v>5.7559800000000001</v>
      </c>
      <c r="AL557" s="6">
        <v>1.7448999999999999</v>
      </c>
      <c r="AM557" s="6">
        <v>2.9228000000000001</v>
      </c>
      <c r="AN557" s="6">
        <v>255</v>
      </c>
      <c r="AQ557" s="17">
        <v>555</v>
      </c>
      <c r="AR557" s="6">
        <v>1.5862700000000001</v>
      </c>
      <c r="AS557" s="19">
        <v>-0.40150000000000002</v>
      </c>
      <c r="AT557" s="6">
        <v>0.80549999999999999</v>
      </c>
      <c r="AU557" s="6">
        <v>255</v>
      </c>
      <c r="AW557" s="17">
        <v>555</v>
      </c>
      <c r="AX557" s="6">
        <v>0.83655000000000002</v>
      </c>
      <c r="AY557" s="19">
        <v>-0.40150000000000002</v>
      </c>
      <c r="AZ557" s="6">
        <v>0.80549999999999999</v>
      </c>
      <c r="BA557" s="6">
        <v>255</v>
      </c>
      <c r="BN557" s="17">
        <v>711</v>
      </c>
      <c r="BO557" s="6">
        <v>39.413530780000002</v>
      </c>
      <c r="BP557" s="6">
        <v>34.627504729999998</v>
      </c>
      <c r="BQ557" s="6">
        <v>4.7860260500000003</v>
      </c>
    </row>
    <row r="558" spans="1:69" x14ac:dyDescent="0.25">
      <c r="A558" s="31" t="s">
        <v>11</v>
      </c>
      <c r="B558" s="32">
        <v>2</v>
      </c>
      <c r="C558" s="32">
        <v>18</v>
      </c>
      <c r="D558" s="32">
        <v>4</v>
      </c>
      <c r="E558" s="11">
        <v>7</v>
      </c>
      <c r="F558" s="2">
        <v>58.2</v>
      </c>
      <c r="G558">
        <v>36.258106139438084</v>
      </c>
      <c r="H558" t="s">
        <v>12</v>
      </c>
      <c r="I558">
        <v>1</v>
      </c>
      <c r="AD558" s="17">
        <v>556</v>
      </c>
      <c r="AE558" s="6">
        <v>3.0451199999999998</v>
      </c>
      <c r="AF558" s="6">
        <v>3.4230999999999998</v>
      </c>
      <c r="AG558" s="6">
        <v>2.9321000000000002</v>
      </c>
      <c r="AH558" s="6">
        <v>255</v>
      </c>
      <c r="AJ558" s="17">
        <v>556</v>
      </c>
      <c r="AK558" s="6">
        <v>5.7742300000000002</v>
      </c>
      <c r="AL558" s="6">
        <v>3.4230999999999998</v>
      </c>
      <c r="AM558" s="6">
        <v>2.9321000000000002</v>
      </c>
      <c r="AN558" s="6">
        <v>255</v>
      </c>
      <c r="AQ558" s="17">
        <v>556</v>
      </c>
      <c r="AR558" s="6">
        <v>1.59582</v>
      </c>
      <c r="AS558" s="19">
        <v>-2.07E-2</v>
      </c>
      <c r="AT558" s="6">
        <v>0.81030000000000002</v>
      </c>
      <c r="AU558" s="6">
        <v>255</v>
      </c>
      <c r="AW558" s="17">
        <v>556</v>
      </c>
      <c r="AX558" s="6">
        <v>0.84157999999999999</v>
      </c>
      <c r="AY558" s="19">
        <v>-2.07E-2</v>
      </c>
      <c r="AZ558" s="6">
        <v>0.81030000000000002</v>
      </c>
      <c r="BA558" s="6">
        <v>255</v>
      </c>
      <c r="BN558" s="17">
        <v>712</v>
      </c>
      <c r="BO558" s="6">
        <v>20.715671480000001</v>
      </c>
      <c r="BP558" s="6">
        <v>23.774468500000001</v>
      </c>
      <c r="BQ558" s="19">
        <v>-3.0587970200000001</v>
      </c>
    </row>
    <row r="559" spans="1:69" x14ac:dyDescent="0.25">
      <c r="A559" s="31" t="s">
        <v>11</v>
      </c>
      <c r="B559" s="32">
        <v>3</v>
      </c>
      <c r="C559" s="32">
        <v>16</v>
      </c>
      <c r="D559" s="32">
        <v>7</v>
      </c>
      <c r="E559" s="11">
        <v>7</v>
      </c>
      <c r="F559" s="2">
        <v>59.3</v>
      </c>
      <c r="G559">
        <v>20.018614214404558</v>
      </c>
      <c r="H559" t="s">
        <v>12</v>
      </c>
      <c r="I559">
        <v>1</v>
      </c>
      <c r="AD559" s="17">
        <v>557</v>
      </c>
      <c r="AE559" s="6">
        <v>3.05097</v>
      </c>
      <c r="AF559" s="6">
        <v>0.94099999999999995</v>
      </c>
      <c r="AG559" s="6">
        <v>2.9377</v>
      </c>
      <c r="AH559" s="6">
        <v>255</v>
      </c>
      <c r="AJ559" s="17">
        <v>557</v>
      </c>
      <c r="AK559" s="6">
        <v>5.78531</v>
      </c>
      <c r="AL559" s="6">
        <v>0.94099999999999995</v>
      </c>
      <c r="AM559" s="6">
        <v>2.9377</v>
      </c>
      <c r="AN559" s="6">
        <v>255</v>
      </c>
      <c r="AQ559" s="17">
        <v>557</v>
      </c>
      <c r="AR559" s="6">
        <v>1.61564</v>
      </c>
      <c r="AS559" s="6">
        <v>1.3577999999999999</v>
      </c>
      <c r="AT559" s="6">
        <v>0.82040000000000002</v>
      </c>
      <c r="AU559" s="6">
        <v>255</v>
      </c>
      <c r="AW559" s="17">
        <v>557</v>
      </c>
      <c r="AX559" s="6">
        <v>0.85202999999999995</v>
      </c>
      <c r="AY559" s="6">
        <v>1.3577999999999999</v>
      </c>
      <c r="AZ559" s="6">
        <v>0.82040000000000002</v>
      </c>
      <c r="BA559" s="6">
        <v>255</v>
      </c>
      <c r="BN559" s="17">
        <v>713</v>
      </c>
      <c r="BO559" s="6">
        <v>36.258106140000002</v>
      </c>
      <c r="BP559" s="6">
        <v>23.781679740000001</v>
      </c>
      <c r="BQ559" s="6">
        <v>12.476426399999999</v>
      </c>
    </row>
    <row r="560" spans="1:69" x14ac:dyDescent="0.25">
      <c r="A560" s="31" t="s">
        <v>11</v>
      </c>
      <c r="B560" s="32">
        <v>1</v>
      </c>
      <c r="C560" s="32">
        <v>4</v>
      </c>
      <c r="D560" s="32">
        <v>3</v>
      </c>
      <c r="E560" s="11">
        <v>42</v>
      </c>
      <c r="F560" s="2">
        <v>59.6</v>
      </c>
      <c r="G560">
        <v>23.822522351150845</v>
      </c>
      <c r="H560">
        <v>14.9</v>
      </c>
      <c r="I560">
        <v>3</v>
      </c>
      <c r="AD560" s="17">
        <v>558</v>
      </c>
      <c r="AE560" s="6">
        <v>3.06562</v>
      </c>
      <c r="AF560" s="6">
        <v>2.9011999999999998</v>
      </c>
      <c r="AG560" s="6">
        <v>2.9518</v>
      </c>
      <c r="AH560" s="6">
        <v>255</v>
      </c>
      <c r="AJ560" s="17">
        <v>558</v>
      </c>
      <c r="AK560" s="6">
        <v>5.8130899999999999</v>
      </c>
      <c r="AL560" s="6">
        <v>2.9011999999999998</v>
      </c>
      <c r="AM560" s="6">
        <v>2.9518</v>
      </c>
      <c r="AN560" s="6">
        <v>255</v>
      </c>
      <c r="AQ560" s="17">
        <v>558</v>
      </c>
      <c r="AR560" s="6">
        <v>1.6010200000000001</v>
      </c>
      <c r="AS560" s="6">
        <v>1.2686999999999999</v>
      </c>
      <c r="AT560" s="6">
        <v>0.81299999999999994</v>
      </c>
      <c r="AU560" s="6">
        <v>255</v>
      </c>
      <c r="AW560" s="17">
        <v>558</v>
      </c>
      <c r="AX560" s="6">
        <v>0.84431999999999996</v>
      </c>
      <c r="AY560" s="6">
        <v>1.2686999999999999</v>
      </c>
      <c r="AZ560" s="6">
        <v>0.81299999999999994</v>
      </c>
      <c r="BA560" s="6">
        <v>255</v>
      </c>
      <c r="BN560" s="17">
        <v>714</v>
      </c>
      <c r="BO560" s="6">
        <v>20.018614209999999</v>
      </c>
      <c r="BP560" s="6">
        <v>29.436243600000001</v>
      </c>
      <c r="BQ560" s="19">
        <v>-9.4176293900000001</v>
      </c>
    </row>
    <row r="561" spans="1:69" x14ac:dyDescent="0.25">
      <c r="A561" s="31" t="s">
        <v>11</v>
      </c>
      <c r="B561" s="32">
        <v>2</v>
      </c>
      <c r="C561" s="32">
        <v>6</v>
      </c>
      <c r="D561" s="32">
        <v>5</v>
      </c>
      <c r="E561" s="11">
        <v>42</v>
      </c>
      <c r="F561" s="2">
        <v>59.9</v>
      </c>
      <c r="G561">
        <v>20.6941813131555</v>
      </c>
      <c r="H561" t="s">
        <v>12</v>
      </c>
      <c r="I561">
        <v>3</v>
      </c>
      <c r="AD561" s="17">
        <v>559</v>
      </c>
      <c r="AE561" s="6">
        <v>3.0584600000000002</v>
      </c>
      <c r="AF561" s="19">
        <v>-5.1647999999999996</v>
      </c>
      <c r="AG561" s="6">
        <v>2.9449000000000001</v>
      </c>
      <c r="AH561" s="6">
        <v>255</v>
      </c>
      <c r="AJ561" s="17">
        <v>559</v>
      </c>
      <c r="AK561" s="6">
        <v>5.7995099999999997</v>
      </c>
      <c r="AL561" s="19">
        <v>-5.1647999999999996</v>
      </c>
      <c r="AM561" s="6">
        <v>2.9449000000000001</v>
      </c>
      <c r="AN561" s="6">
        <v>255</v>
      </c>
      <c r="AQ561" s="17">
        <v>559</v>
      </c>
      <c r="AR561" s="6">
        <v>1.5987199999999999</v>
      </c>
      <c r="AS561" s="6">
        <v>0.85770000000000002</v>
      </c>
      <c r="AT561" s="6">
        <v>0.81179999999999997</v>
      </c>
      <c r="AU561" s="6">
        <v>255</v>
      </c>
      <c r="AW561" s="17">
        <v>559</v>
      </c>
      <c r="AX561" s="6">
        <v>0.84311000000000003</v>
      </c>
      <c r="AY561" s="6">
        <v>0.85770000000000002</v>
      </c>
      <c r="AZ561" s="6">
        <v>0.81179999999999997</v>
      </c>
      <c r="BA561" s="6">
        <v>255</v>
      </c>
      <c r="BN561" s="17">
        <v>715</v>
      </c>
      <c r="BO561" s="6">
        <v>23.82252235</v>
      </c>
      <c r="BP561" s="6">
        <v>21.524014959999999</v>
      </c>
      <c r="BQ561" s="6">
        <v>2.2985073900000002</v>
      </c>
    </row>
    <row r="562" spans="1:69" x14ac:dyDescent="0.25">
      <c r="A562" s="31" t="s">
        <v>11</v>
      </c>
      <c r="B562" s="32">
        <v>3</v>
      </c>
      <c r="C562" s="32">
        <v>5</v>
      </c>
      <c r="D562" s="32">
        <v>7</v>
      </c>
      <c r="E562" s="11">
        <v>42</v>
      </c>
      <c r="F562" s="2">
        <v>59.9</v>
      </c>
      <c r="G562">
        <v>25.724327549322552</v>
      </c>
      <c r="H562" t="s">
        <v>12</v>
      </c>
      <c r="I562">
        <v>3</v>
      </c>
      <c r="AD562" s="17">
        <v>560</v>
      </c>
      <c r="AE562" s="6">
        <v>3.0413899999999998</v>
      </c>
      <c r="AF562" s="19">
        <v>-0.1221</v>
      </c>
      <c r="AG562" s="6">
        <v>2.9285000000000001</v>
      </c>
      <c r="AH562" s="6">
        <v>255</v>
      </c>
      <c r="AJ562" s="17">
        <v>560</v>
      </c>
      <c r="AK562" s="6">
        <v>5.76715</v>
      </c>
      <c r="AL562" s="19">
        <v>-0.1221</v>
      </c>
      <c r="AM562" s="6">
        <v>2.9285000000000001</v>
      </c>
      <c r="AN562" s="6">
        <v>255</v>
      </c>
      <c r="AQ562" s="17">
        <v>560</v>
      </c>
      <c r="AR562" s="6">
        <v>1.5884799999999999</v>
      </c>
      <c r="AS562" s="6">
        <v>1.1301000000000001</v>
      </c>
      <c r="AT562" s="6">
        <v>0.80659999999999998</v>
      </c>
      <c r="AU562" s="6">
        <v>255</v>
      </c>
      <c r="AW562" s="17">
        <v>560</v>
      </c>
      <c r="AX562" s="6">
        <v>0.83770999999999995</v>
      </c>
      <c r="AY562" s="6">
        <v>1.1301000000000001</v>
      </c>
      <c r="AZ562" s="6">
        <v>0.80659999999999998</v>
      </c>
      <c r="BA562" s="6">
        <v>255</v>
      </c>
      <c r="BN562" s="17">
        <v>716</v>
      </c>
      <c r="BO562" s="6">
        <v>20.694181310000001</v>
      </c>
      <c r="BP562" s="6">
        <v>21.531226199999999</v>
      </c>
      <c r="BQ562" s="19">
        <v>-0.83704489000000004</v>
      </c>
    </row>
    <row r="563" spans="1:69" x14ac:dyDescent="0.25">
      <c r="A563" s="31" t="s">
        <v>11</v>
      </c>
      <c r="B563" s="32">
        <v>1</v>
      </c>
      <c r="C563" s="32">
        <v>14</v>
      </c>
      <c r="D563" s="32">
        <v>2</v>
      </c>
      <c r="E563" s="11">
        <v>44</v>
      </c>
      <c r="F563" s="2">
        <v>59</v>
      </c>
      <c r="G563">
        <v>27.556662035428964</v>
      </c>
      <c r="H563">
        <v>15.3</v>
      </c>
      <c r="I563">
        <v>3</v>
      </c>
      <c r="AD563" s="17">
        <v>561</v>
      </c>
      <c r="AE563" s="6">
        <v>3.0660699999999999</v>
      </c>
      <c r="AF563" s="6">
        <v>2.3553000000000002</v>
      </c>
      <c r="AG563" s="6">
        <v>2.9523000000000001</v>
      </c>
      <c r="AH563" s="6">
        <v>255</v>
      </c>
      <c r="AJ563" s="17">
        <v>561</v>
      </c>
      <c r="AK563" s="6">
        <v>5.8139500000000002</v>
      </c>
      <c r="AL563" s="6">
        <v>2.3553000000000002</v>
      </c>
      <c r="AM563" s="6">
        <v>2.9523000000000001</v>
      </c>
      <c r="AN563" s="6">
        <v>255</v>
      </c>
      <c r="AQ563" s="17">
        <v>561</v>
      </c>
      <c r="AR563" s="6">
        <v>1.5951299999999999</v>
      </c>
      <c r="AS563" s="6">
        <v>1.6539999999999999</v>
      </c>
      <c r="AT563" s="6">
        <v>0.81</v>
      </c>
      <c r="AU563" s="6">
        <v>255</v>
      </c>
      <c r="AW563" s="17">
        <v>561</v>
      </c>
      <c r="AX563" s="6">
        <v>0.84121999999999997</v>
      </c>
      <c r="AY563" s="6">
        <v>1.6539999999999999</v>
      </c>
      <c r="AZ563" s="6">
        <v>0.81</v>
      </c>
      <c r="BA563" s="6">
        <v>255</v>
      </c>
      <c r="BN563" s="17">
        <v>717</v>
      </c>
      <c r="BO563" s="6">
        <v>25.724327550000002</v>
      </c>
      <c r="BP563" s="6">
        <v>27.185790059999999</v>
      </c>
      <c r="BQ563" s="19">
        <v>-1.46146251</v>
      </c>
    </row>
    <row r="564" spans="1:69" x14ac:dyDescent="0.25">
      <c r="A564" s="31" t="s">
        <v>11</v>
      </c>
      <c r="B564" s="32">
        <v>2</v>
      </c>
      <c r="C564" s="32">
        <v>7</v>
      </c>
      <c r="D564" s="32">
        <v>6</v>
      </c>
      <c r="E564" s="11">
        <v>44</v>
      </c>
      <c r="F564" s="2">
        <v>59.1</v>
      </c>
      <c r="G564">
        <v>31.10542234332425</v>
      </c>
      <c r="H564" t="s">
        <v>12</v>
      </c>
      <c r="I564">
        <v>4</v>
      </c>
      <c r="AD564" s="17">
        <v>562</v>
      </c>
      <c r="AE564" s="6">
        <v>3.0625399999999998</v>
      </c>
      <c r="AF564" s="6">
        <v>0.436</v>
      </c>
      <c r="AG564" s="6">
        <v>2.9489000000000001</v>
      </c>
      <c r="AH564" s="6">
        <v>255</v>
      </c>
      <c r="AJ564" s="17">
        <v>562</v>
      </c>
      <c r="AK564" s="6">
        <v>5.8072499999999998</v>
      </c>
      <c r="AL564" s="6">
        <v>0.436</v>
      </c>
      <c r="AM564" s="6">
        <v>2.9489000000000001</v>
      </c>
      <c r="AN564" s="6">
        <v>255</v>
      </c>
      <c r="AQ564" s="17">
        <v>562</v>
      </c>
      <c r="AR564" s="6">
        <v>1.5969899999999999</v>
      </c>
      <c r="AS564" s="6">
        <v>0.4713</v>
      </c>
      <c r="AT564" s="6">
        <v>0.81089999999999995</v>
      </c>
      <c r="AU564" s="6">
        <v>255</v>
      </c>
      <c r="AW564" s="17">
        <v>562</v>
      </c>
      <c r="AX564" s="6">
        <v>0.84219999999999995</v>
      </c>
      <c r="AY564" s="6">
        <v>0.4713</v>
      </c>
      <c r="AZ564" s="6">
        <v>0.81089999999999995</v>
      </c>
      <c r="BA564" s="6">
        <v>255</v>
      </c>
      <c r="BN564" s="17">
        <v>718</v>
      </c>
      <c r="BO564" s="6">
        <v>27.556662039999999</v>
      </c>
      <c r="BP564" s="6">
        <v>30.446033709999998</v>
      </c>
      <c r="BQ564" s="19">
        <v>-2.8893716700000001</v>
      </c>
    </row>
    <row r="565" spans="1:69" x14ac:dyDescent="0.25">
      <c r="A565" s="31" t="s">
        <v>11</v>
      </c>
      <c r="B565" s="32">
        <v>3</v>
      </c>
      <c r="C565" s="32">
        <v>5</v>
      </c>
      <c r="D565" s="32">
        <v>9</v>
      </c>
      <c r="E565" s="11">
        <v>44</v>
      </c>
      <c r="F565" s="2">
        <v>60.1</v>
      </c>
      <c r="G565">
        <v>38.345003077797237</v>
      </c>
      <c r="H565" t="s">
        <v>12</v>
      </c>
      <c r="I565">
        <v>4</v>
      </c>
      <c r="AD565" s="17">
        <v>563</v>
      </c>
      <c r="AE565" s="6">
        <v>3.0284300000000002</v>
      </c>
      <c r="AF565" s="6">
        <v>1.7470000000000001</v>
      </c>
      <c r="AG565" s="6">
        <v>2.9159999999999999</v>
      </c>
      <c r="AH565" s="6">
        <v>255</v>
      </c>
      <c r="AJ565" s="17">
        <v>563</v>
      </c>
      <c r="AK565" s="6">
        <v>5.7425699999999997</v>
      </c>
      <c r="AL565" s="6">
        <v>1.7470000000000001</v>
      </c>
      <c r="AM565" s="6">
        <v>2.9159999999999999</v>
      </c>
      <c r="AN565" s="6">
        <v>255</v>
      </c>
      <c r="AQ565" s="17">
        <v>563</v>
      </c>
      <c r="AR565" s="6">
        <v>1.5839000000000001</v>
      </c>
      <c r="AS565" s="6">
        <v>0.28299999999999997</v>
      </c>
      <c r="AT565" s="6">
        <v>0.80430000000000001</v>
      </c>
      <c r="AU565" s="6">
        <v>255</v>
      </c>
      <c r="AW565" s="17">
        <v>563</v>
      </c>
      <c r="AX565" s="6">
        <v>0.83528999999999998</v>
      </c>
      <c r="AY565" s="6">
        <v>0.28299999999999997</v>
      </c>
      <c r="AZ565" s="6">
        <v>0.80430000000000001</v>
      </c>
      <c r="BA565" s="6">
        <v>255</v>
      </c>
      <c r="BN565" s="17">
        <v>719</v>
      </c>
      <c r="BO565" s="6">
        <v>31.105422340000001</v>
      </c>
      <c r="BP565" s="6">
        <v>30.453244949999998</v>
      </c>
      <c r="BQ565" s="6">
        <v>0.65217738999999997</v>
      </c>
    </row>
    <row r="566" spans="1:69" x14ac:dyDescent="0.25">
      <c r="A566" s="31" t="s">
        <v>11</v>
      </c>
      <c r="B566" s="32">
        <v>1</v>
      </c>
      <c r="C566" s="32">
        <v>11</v>
      </c>
      <c r="D566" s="32">
        <v>3</v>
      </c>
      <c r="E566" s="11">
        <v>43</v>
      </c>
      <c r="F566" s="2">
        <v>59.4</v>
      </c>
      <c r="G566">
        <v>19.12463619935324</v>
      </c>
      <c r="H566">
        <v>14.8</v>
      </c>
      <c r="I566">
        <v>4</v>
      </c>
      <c r="AD566" s="17">
        <v>564</v>
      </c>
      <c r="AE566" s="6">
        <v>3.03234</v>
      </c>
      <c r="AF566" s="6">
        <v>3.6406000000000001</v>
      </c>
      <c r="AG566" s="6">
        <v>2.9198</v>
      </c>
      <c r="AH566" s="6">
        <v>255</v>
      </c>
      <c r="AJ566" s="17">
        <v>564</v>
      </c>
      <c r="AK566" s="6">
        <v>5.7499799999999999</v>
      </c>
      <c r="AL566" s="6">
        <v>3.6406000000000001</v>
      </c>
      <c r="AM566" s="6">
        <v>2.9198</v>
      </c>
      <c r="AN566" s="6">
        <v>255</v>
      </c>
      <c r="AQ566" s="17">
        <v>564</v>
      </c>
      <c r="AR566" s="6">
        <v>1.58361</v>
      </c>
      <c r="AS566" s="6">
        <v>1.2124999999999999</v>
      </c>
      <c r="AT566" s="6">
        <v>0.80410000000000004</v>
      </c>
      <c r="AU566" s="6">
        <v>255</v>
      </c>
      <c r="AW566" s="17">
        <v>564</v>
      </c>
      <c r="AX566" s="6">
        <v>0.83513999999999999</v>
      </c>
      <c r="AY566" s="6">
        <v>1.2124999999999999</v>
      </c>
      <c r="AZ566" s="6">
        <v>0.80410000000000004</v>
      </c>
      <c r="BA566" s="6">
        <v>255</v>
      </c>
      <c r="BN566" s="17">
        <v>720</v>
      </c>
      <c r="BO566" s="6">
        <v>38.345003079999998</v>
      </c>
      <c r="BP566" s="6">
        <v>36.107808810000002</v>
      </c>
      <c r="BQ566" s="6">
        <v>2.2371942699999998</v>
      </c>
    </row>
    <row r="567" spans="1:69" x14ac:dyDescent="0.25">
      <c r="A567" s="31" t="s">
        <v>11</v>
      </c>
      <c r="B567" s="32">
        <v>2</v>
      </c>
      <c r="C567" s="32">
        <v>6</v>
      </c>
      <c r="D567" s="32">
        <v>6</v>
      </c>
      <c r="E567" s="11">
        <v>43</v>
      </c>
      <c r="F567" s="2">
        <v>58.8</v>
      </c>
      <c r="G567">
        <v>19.097192487349162</v>
      </c>
      <c r="H567" t="s">
        <v>12</v>
      </c>
      <c r="I567">
        <v>3</v>
      </c>
      <c r="AD567" s="17">
        <v>565</v>
      </c>
      <c r="AE567" s="6">
        <v>3.0499100000000001</v>
      </c>
      <c r="AF567" s="19">
        <v>-2.5091999999999999</v>
      </c>
      <c r="AG567" s="6">
        <v>2.9367000000000001</v>
      </c>
      <c r="AH567" s="6">
        <v>255</v>
      </c>
      <c r="AJ567" s="17">
        <v>565</v>
      </c>
      <c r="AK567" s="6">
        <v>5.78329</v>
      </c>
      <c r="AL567" s="19">
        <v>-2.5091999999999999</v>
      </c>
      <c r="AM567" s="6">
        <v>2.9367000000000001</v>
      </c>
      <c r="AN567" s="6">
        <v>255</v>
      </c>
      <c r="AQ567" s="17">
        <v>565</v>
      </c>
      <c r="AR567" s="6">
        <v>1.5943099999999999</v>
      </c>
      <c r="AS567" s="19">
        <v>-1.1518999999999999</v>
      </c>
      <c r="AT567" s="6">
        <v>0.80959999999999999</v>
      </c>
      <c r="AU567" s="6">
        <v>255</v>
      </c>
      <c r="AW567" s="17">
        <v>565</v>
      </c>
      <c r="AX567" s="6">
        <v>0.84077999999999997</v>
      </c>
      <c r="AY567" s="19">
        <v>-1.1518999999999999</v>
      </c>
      <c r="AZ567" s="6">
        <v>0.80959999999999999</v>
      </c>
      <c r="BA567" s="6">
        <v>255</v>
      </c>
      <c r="BN567" s="17">
        <v>721</v>
      </c>
      <c r="BO567" s="6">
        <v>19.124636200000001</v>
      </c>
      <c r="BP567" s="6">
        <v>17.48629287</v>
      </c>
      <c r="BQ567" s="6">
        <v>1.6383433300000001</v>
      </c>
    </row>
    <row r="568" spans="1:69" x14ac:dyDescent="0.25">
      <c r="A568" s="31" t="s">
        <v>11</v>
      </c>
      <c r="B568" s="32">
        <v>3</v>
      </c>
      <c r="C568" s="32">
        <v>9</v>
      </c>
      <c r="D568" s="32">
        <v>9</v>
      </c>
      <c r="E568" s="11">
        <v>43</v>
      </c>
      <c r="F568" s="2">
        <v>57.5</v>
      </c>
      <c r="G568">
        <v>19.906036270656745</v>
      </c>
      <c r="H568" t="s">
        <v>12</v>
      </c>
      <c r="I568">
        <v>2</v>
      </c>
      <c r="AD568" s="17">
        <v>566</v>
      </c>
      <c r="AE568" s="6">
        <v>3.05043</v>
      </c>
      <c r="AF568" s="6">
        <v>0.61580000000000001</v>
      </c>
      <c r="AG568" s="6">
        <v>2.9371999999999998</v>
      </c>
      <c r="AH568" s="6">
        <v>255</v>
      </c>
      <c r="AJ568" s="17">
        <v>566</v>
      </c>
      <c r="AK568" s="6">
        <v>5.7842799999999999</v>
      </c>
      <c r="AL568" s="6">
        <v>0.61580000000000001</v>
      </c>
      <c r="AM568" s="6">
        <v>2.9371999999999998</v>
      </c>
      <c r="AN568" s="6">
        <v>255</v>
      </c>
      <c r="AQ568" s="17">
        <v>566</v>
      </c>
      <c r="AR568" s="6">
        <v>1.58884</v>
      </c>
      <c r="AS568" s="6">
        <v>1.2212000000000001</v>
      </c>
      <c r="AT568" s="6">
        <v>0.80679999999999996</v>
      </c>
      <c r="AU568" s="6">
        <v>255</v>
      </c>
      <c r="AW568" s="17">
        <v>566</v>
      </c>
      <c r="AX568" s="6">
        <v>0.83789999999999998</v>
      </c>
      <c r="AY568" s="6">
        <v>1.2212000000000001</v>
      </c>
      <c r="AZ568" s="6">
        <v>0.80679999999999996</v>
      </c>
      <c r="BA568" s="6">
        <v>255</v>
      </c>
      <c r="BN568" s="17">
        <v>722</v>
      </c>
      <c r="BO568" s="6">
        <v>19.097192490000001</v>
      </c>
      <c r="BP568" s="6">
        <v>17.49350411</v>
      </c>
      <c r="BQ568" s="6">
        <v>1.6036883799999999</v>
      </c>
    </row>
    <row r="569" spans="1:69" x14ac:dyDescent="0.25">
      <c r="A569" s="31" t="s">
        <v>11</v>
      </c>
      <c r="B569" s="32">
        <v>1</v>
      </c>
      <c r="C569" s="32">
        <v>13</v>
      </c>
      <c r="D569" s="32">
        <v>1</v>
      </c>
      <c r="E569" s="11">
        <v>27</v>
      </c>
      <c r="F569" s="2">
        <v>57.7</v>
      </c>
      <c r="G569">
        <v>22.662271010624899</v>
      </c>
      <c r="H569">
        <v>15.3</v>
      </c>
      <c r="I569">
        <v>5</v>
      </c>
      <c r="AD569" s="17">
        <v>567</v>
      </c>
      <c r="AE569" s="6">
        <v>3.05552</v>
      </c>
      <c r="AF569" s="6">
        <v>2.9333999999999998</v>
      </c>
      <c r="AG569" s="6">
        <v>2.9420999999999999</v>
      </c>
      <c r="AH569" s="6">
        <v>255</v>
      </c>
      <c r="AJ569" s="17">
        <v>567</v>
      </c>
      <c r="AK569" s="6">
        <v>5.7939400000000001</v>
      </c>
      <c r="AL569" s="6">
        <v>2.9333999999999998</v>
      </c>
      <c r="AM569" s="6">
        <v>2.9420999999999999</v>
      </c>
      <c r="AN569" s="6">
        <v>255</v>
      </c>
      <c r="AQ569" s="17">
        <v>567</v>
      </c>
      <c r="AR569" s="6">
        <v>1.60137</v>
      </c>
      <c r="AS569" s="6">
        <v>0.95379999999999998</v>
      </c>
      <c r="AT569" s="6">
        <v>0.81320000000000003</v>
      </c>
      <c r="AU569" s="6">
        <v>255</v>
      </c>
      <c r="AW569" s="17">
        <v>567</v>
      </c>
      <c r="AX569" s="6">
        <v>0.84450999999999998</v>
      </c>
      <c r="AY569" s="6">
        <v>0.95379999999999998</v>
      </c>
      <c r="AZ569" s="6">
        <v>0.81320000000000003</v>
      </c>
      <c r="BA569" s="6">
        <v>255</v>
      </c>
      <c r="BN569" s="17">
        <v>723</v>
      </c>
      <c r="BO569" s="6">
        <v>19.906036270000001</v>
      </c>
      <c r="BP569" s="6">
        <v>23.14806798</v>
      </c>
      <c r="BQ569" s="19">
        <v>-3.24203171</v>
      </c>
    </row>
    <row r="570" spans="1:69" x14ac:dyDescent="0.25">
      <c r="A570" s="31" t="s">
        <v>11</v>
      </c>
      <c r="B570" s="32">
        <v>2</v>
      </c>
      <c r="C570" s="32">
        <v>14</v>
      </c>
      <c r="D570" s="32">
        <v>4</v>
      </c>
      <c r="E570" s="11">
        <v>27</v>
      </c>
      <c r="F570" s="2">
        <v>56.6</v>
      </c>
      <c r="G570">
        <v>18.756774193548381</v>
      </c>
      <c r="H570" t="s">
        <v>12</v>
      </c>
      <c r="I570">
        <v>3</v>
      </c>
      <c r="AD570" s="17">
        <v>568</v>
      </c>
      <c r="AE570" s="6">
        <v>3.06663</v>
      </c>
      <c r="AF570" s="6">
        <v>2.8102999999999998</v>
      </c>
      <c r="AG570" s="6">
        <v>2.9527999999999999</v>
      </c>
      <c r="AH570" s="6">
        <v>255</v>
      </c>
      <c r="AJ570" s="17">
        <v>568</v>
      </c>
      <c r="AK570" s="6">
        <v>5.81501</v>
      </c>
      <c r="AL570" s="6">
        <v>2.8102999999999998</v>
      </c>
      <c r="AM570" s="6">
        <v>2.9527999999999999</v>
      </c>
      <c r="AN570" s="6">
        <v>255</v>
      </c>
      <c r="AQ570" s="17">
        <v>568</v>
      </c>
      <c r="AR570" s="6">
        <v>1.60175</v>
      </c>
      <c r="AS570" s="6">
        <v>1.2061999999999999</v>
      </c>
      <c r="AT570" s="6">
        <v>0.81340000000000001</v>
      </c>
      <c r="AU570" s="6">
        <v>255</v>
      </c>
      <c r="AW570" s="17">
        <v>568</v>
      </c>
      <c r="AX570" s="6">
        <v>0.84470999999999996</v>
      </c>
      <c r="AY570" s="6">
        <v>1.2061999999999999</v>
      </c>
      <c r="AZ570" s="6">
        <v>0.81340000000000001</v>
      </c>
      <c r="BA570" s="6">
        <v>255</v>
      </c>
      <c r="BN570" s="17">
        <v>724</v>
      </c>
      <c r="BO570" s="6">
        <v>22.662271010000001</v>
      </c>
      <c r="BP570" s="6">
        <v>21.128033689999999</v>
      </c>
      <c r="BQ570" s="6">
        <v>1.5342373199999999</v>
      </c>
    </row>
    <row r="571" spans="1:69" x14ac:dyDescent="0.25">
      <c r="A571" s="31" t="s">
        <v>11</v>
      </c>
      <c r="B571" s="32">
        <v>3</v>
      </c>
      <c r="C571" s="32">
        <v>1</v>
      </c>
      <c r="D571" s="32">
        <v>8</v>
      </c>
      <c r="E571" s="11">
        <v>27</v>
      </c>
      <c r="F571" s="2">
        <v>58.1</v>
      </c>
      <c r="G571">
        <v>27.634042207792202</v>
      </c>
      <c r="H571" t="s">
        <v>12</v>
      </c>
      <c r="I571">
        <v>4</v>
      </c>
      <c r="AD571" s="17">
        <v>569</v>
      </c>
      <c r="AE571" s="6">
        <v>3.0495299999999999</v>
      </c>
      <c r="AF571" s="19">
        <v>-0.67630000000000001</v>
      </c>
      <c r="AG571" s="6">
        <v>2.9363000000000001</v>
      </c>
      <c r="AH571" s="6">
        <v>255</v>
      </c>
      <c r="AJ571" s="17">
        <v>569</v>
      </c>
      <c r="AK571" s="6">
        <v>5.7825699999999998</v>
      </c>
      <c r="AL571" s="19">
        <v>-0.67630000000000001</v>
      </c>
      <c r="AM571" s="6">
        <v>2.9363000000000001</v>
      </c>
      <c r="AN571" s="6">
        <v>255</v>
      </c>
      <c r="AQ571" s="17">
        <v>569</v>
      </c>
      <c r="AR571" s="6">
        <v>1.5887800000000001</v>
      </c>
      <c r="AS571" s="19">
        <v>-0.17469999999999999</v>
      </c>
      <c r="AT571" s="6">
        <v>0.80679999999999996</v>
      </c>
      <c r="AU571" s="6">
        <v>255</v>
      </c>
      <c r="AW571" s="17">
        <v>569</v>
      </c>
      <c r="AX571" s="6">
        <v>0.83787</v>
      </c>
      <c r="AY571" s="19">
        <v>-0.17469999999999999</v>
      </c>
      <c r="AZ571" s="6">
        <v>0.80679999999999996</v>
      </c>
      <c r="BA571" s="6">
        <v>255</v>
      </c>
      <c r="BN571" s="17">
        <v>725</v>
      </c>
      <c r="BO571" s="6">
        <v>18.756774190000002</v>
      </c>
      <c r="BP571" s="6">
        <v>21.135244929999999</v>
      </c>
      <c r="BQ571" s="19">
        <v>-2.37847074</v>
      </c>
    </row>
    <row r="572" spans="1:69" x14ac:dyDescent="0.25">
      <c r="A572" s="31" t="s">
        <v>11</v>
      </c>
      <c r="B572" s="32">
        <v>1</v>
      </c>
      <c r="C572" s="32">
        <v>7</v>
      </c>
      <c r="D572" s="32">
        <v>2</v>
      </c>
      <c r="E572" s="11">
        <v>31</v>
      </c>
      <c r="F572" s="2">
        <v>59.5</v>
      </c>
      <c r="G572">
        <v>26.008021634496099</v>
      </c>
      <c r="H572">
        <v>14.9</v>
      </c>
      <c r="I572">
        <v>1</v>
      </c>
      <c r="AD572" s="17">
        <v>570</v>
      </c>
      <c r="AE572" s="6">
        <v>3.04114</v>
      </c>
      <c r="AF572" s="6">
        <v>0.51129999999999998</v>
      </c>
      <c r="AG572" s="6">
        <v>2.9283000000000001</v>
      </c>
      <c r="AH572" s="6">
        <v>255</v>
      </c>
      <c r="AJ572" s="17">
        <v>570</v>
      </c>
      <c r="AK572" s="6">
        <v>5.7666700000000004</v>
      </c>
      <c r="AL572" s="6">
        <v>0.51129999999999998</v>
      </c>
      <c r="AM572" s="6">
        <v>2.9283000000000001</v>
      </c>
      <c r="AN572" s="6">
        <v>255</v>
      </c>
      <c r="AQ572" s="17">
        <v>570</v>
      </c>
      <c r="AR572" s="6">
        <v>1.58508</v>
      </c>
      <c r="AS572" s="6">
        <v>0.1885</v>
      </c>
      <c r="AT572" s="6">
        <v>0.80489999999999995</v>
      </c>
      <c r="AU572" s="6">
        <v>255</v>
      </c>
      <c r="AW572" s="17">
        <v>570</v>
      </c>
      <c r="AX572" s="6">
        <v>0.83591000000000004</v>
      </c>
      <c r="AY572" s="6">
        <v>0.1885</v>
      </c>
      <c r="AZ572" s="6">
        <v>0.80489999999999995</v>
      </c>
      <c r="BA572" s="6">
        <v>255</v>
      </c>
      <c r="BN572" s="17">
        <v>726</v>
      </c>
      <c r="BO572" s="6">
        <v>27.63404221</v>
      </c>
      <c r="BP572" s="6">
        <v>26.789808789999999</v>
      </c>
      <c r="BQ572" s="6">
        <v>0.84423342000000001</v>
      </c>
    </row>
    <row r="573" spans="1:69" x14ac:dyDescent="0.25">
      <c r="A573" s="31" t="s">
        <v>11</v>
      </c>
      <c r="B573" s="32">
        <v>2</v>
      </c>
      <c r="C573" s="32">
        <v>6</v>
      </c>
      <c r="D573" s="32">
        <v>4</v>
      </c>
      <c r="E573" s="11">
        <v>31</v>
      </c>
      <c r="F573" s="2">
        <v>60.2</v>
      </c>
      <c r="G573">
        <v>26.276771220454876</v>
      </c>
      <c r="H573" t="s">
        <v>12</v>
      </c>
      <c r="I573">
        <v>2</v>
      </c>
      <c r="AD573" s="17">
        <v>571</v>
      </c>
      <c r="AE573" s="6">
        <v>3.0460400000000001</v>
      </c>
      <c r="AF573" s="6">
        <v>1.0844</v>
      </c>
      <c r="AG573" s="6">
        <v>2.9329999999999998</v>
      </c>
      <c r="AH573" s="6">
        <v>255</v>
      </c>
      <c r="AJ573" s="17">
        <v>571</v>
      </c>
      <c r="AK573" s="6">
        <v>5.7759499999999999</v>
      </c>
      <c r="AL573" s="6">
        <v>1.0844</v>
      </c>
      <c r="AM573" s="6">
        <v>2.9329999999999998</v>
      </c>
      <c r="AN573" s="6">
        <v>255</v>
      </c>
      <c r="AQ573" s="17">
        <v>571</v>
      </c>
      <c r="AR573" s="6">
        <v>1.58813</v>
      </c>
      <c r="AS573" s="6">
        <v>0.72399999999999998</v>
      </c>
      <c r="AT573" s="6">
        <v>0.80640000000000001</v>
      </c>
      <c r="AU573" s="6">
        <v>255</v>
      </c>
      <c r="AW573" s="17">
        <v>571</v>
      </c>
      <c r="AX573" s="6">
        <v>0.83752000000000004</v>
      </c>
      <c r="AY573" s="6">
        <v>0.72399999999999998</v>
      </c>
      <c r="AZ573" s="6">
        <v>0.80640000000000001</v>
      </c>
      <c r="BA573" s="6">
        <v>255</v>
      </c>
      <c r="BN573" s="17">
        <v>727</v>
      </c>
      <c r="BO573" s="6">
        <v>26.008021629999998</v>
      </c>
      <c r="BP573" s="6">
        <v>23.65123629</v>
      </c>
      <c r="BQ573" s="6">
        <v>2.3567853400000001</v>
      </c>
    </row>
    <row r="574" spans="1:69" x14ac:dyDescent="0.25">
      <c r="A574" s="31" t="s">
        <v>11</v>
      </c>
      <c r="B574" s="32">
        <v>3</v>
      </c>
      <c r="C574" s="32">
        <v>16</v>
      </c>
      <c r="D574" s="32">
        <v>9</v>
      </c>
      <c r="E574" s="11">
        <v>31</v>
      </c>
      <c r="F574" s="2">
        <v>58.6</v>
      </c>
      <c r="G574">
        <v>24.337902362801263</v>
      </c>
      <c r="H574" t="s">
        <v>12</v>
      </c>
      <c r="I574">
        <v>1</v>
      </c>
      <c r="AD574" s="17">
        <v>572</v>
      </c>
      <c r="AE574" s="6">
        <v>3.0439500000000002</v>
      </c>
      <c r="AF574" s="6">
        <v>1.1075999999999999</v>
      </c>
      <c r="AG574" s="6">
        <v>2.931</v>
      </c>
      <c r="AH574" s="6">
        <v>255</v>
      </c>
      <c r="AJ574" s="17">
        <v>572</v>
      </c>
      <c r="AK574" s="6">
        <v>5.7720000000000002</v>
      </c>
      <c r="AL574" s="6">
        <v>1.1075999999999999</v>
      </c>
      <c r="AM574" s="6">
        <v>2.931</v>
      </c>
      <c r="AN574" s="6">
        <v>255</v>
      </c>
      <c r="AQ574" s="17">
        <v>572</v>
      </c>
      <c r="AR574" s="6">
        <v>1.5888599999999999</v>
      </c>
      <c r="AS574" s="6">
        <v>1.1881999999999999</v>
      </c>
      <c r="AT574" s="6">
        <v>0.80679999999999996</v>
      </c>
      <c r="AU574" s="6">
        <v>255</v>
      </c>
      <c r="AW574" s="17">
        <v>572</v>
      </c>
      <c r="AX574" s="6">
        <v>0.83791000000000004</v>
      </c>
      <c r="AY574" s="6">
        <v>1.1881999999999999</v>
      </c>
      <c r="AZ574" s="6">
        <v>0.80679999999999996</v>
      </c>
      <c r="BA574" s="6">
        <v>255</v>
      </c>
      <c r="BN574" s="17">
        <v>728</v>
      </c>
      <c r="BO574" s="6">
        <v>26.276771220000001</v>
      </c>
      <c r="BP574" s="6">
        <v>23.65844753</v>
      </c>
      <c r="BQ574" s="6">
        <v>2.61832369</v>
      </c>
    </row>
    <row r="575" spans="1:69" x14ac:dyDescent="0.25">
      <c r="A575" s="31" t="s">
        <v>11</v>
      </c>
      <c r="B575" s="32">
        <v>1</v>
      </c>
      <c r="C575" s="32">
        <v>6</v>
      </c>
      <c r="D575" s="32">
        <v>1</v>
      </c>
      <c r="E575" s="11">
        <v>23</v>
      </c>
      <c r="F575" s="2" t="s">
        <v>12</v>
      </c>
      <c r="G575">
        <v>18.10205951961327</v>
      </c>
      <c r="H575">
        <v>15.2</v>
      </c>
      <c r="I575">
        <v>6</v>
      </c>
      <c r="AD575" s="17">
        <v>573</v>
      </c>
      <c r="AE575" s="6">
        <v>3.0551400000000002</v>
      </c>
      <c r="AF575" s="6">
        <v>0.12520000000000001</v>
      </c>
      <c r="AG575" s="6">
        <v>2.9418000000000002</v>
      </c>
      <c r="AH575" s="6">
        <v>255</v>
      </c>
      <c r="AJ575" s="17">
        <v>573</v>
      </c>
      <c r="AK575" s="6">
        <v>5.7932199999999998</v>
      </c>
      <c r="AL575" s="6">
        <v>0.12520000000000001</v>
      </c>
      <c r="AM575" s="6">
        <v>2.9418000000000002</v>
      </c>
      <c r="AN575" s="6">
        <v>255</v>
      </c>
      <c r="AQ575" s="17">
        <v>573</v>
      </c>
      <c r="AR575" s="6">
        <v>1.5940000000000001</v>
      </c>
      <c r="AS575" s="6">
        <v>7.374E-2</v>
      </c>
      <c r="AT575" s="6">
        <v>0.80940000000000001</v>
      </c>
      <c r="AU575" s="6">
        <v>255</v>
      </c>
      <c r="AW575" s="17">
        <v>573</v>
      </c>
      <c r="AX575" s="6">
        <v>0.84062000000000003</v>
      </c>
      <c r="AY575" s="6">
        <v>7.374E-2</v>
      </c>
      <c r="AZ575" s="6">
        <v>0.80940000000000001</v>
      </c>
      <c r="BA575" s="6">
        <v>255</v>
      </c>
      <c r="BN575" s="17">
        <v>729</v>
      </c>
      <c r="BO575" s="6">
        <v>24.337902360000001</v>
      </c>
      <c r="BP575" s="6">
        <v>29.31301139</v>
      </c>
      <c r="BQ575" s="19">
        <v>-4.9751090299999996</v>
      </c>
    </row>
    <row r="576" spans="1:69" x14ac:dyDescent="0.25">
      <c r="A576" s="31" t="s">
        <v>11</v>
      </c>
      <c r="B576" s="32">
        <v>2</v>
      </c>
      <c r="C576" s="32">
        <v>18</v>
      </c>
      <c r="D576" s="32">
        <v>6</v>
      </c>
      <c r="E576" s="11">
        <v>23</v>
      </c>
      <c r="F576" s="2">
        <v>59.8</v>
      </c>
      <c r="G576">
        <v>26.734624367458149</v>
      </c>
      <c r="H576" t="s">
        <v>12</v>
      </c>
      <c r="I576">
        <v>5</v>
      </c>
      <c r="AD576" s="17">
        <v>574</v>
      </c>
      <c r="AE576" s="6">
        <v>3.0522300000000002</v>
      </c>
      <c r="AF576" s="6">
        <v>7.7149000000000001</v>
      </c>
      <c r="AG576" s="6">
        <v>2.9388999999999998</v>
      </c>
      <c r="AH576" s="6">
        <v>255</v>
      </c>
      <c r="AJ576" s="17">
        <v>574</v>
      </c>
      <c r="AK576" s="6">
        <v>5.7877000000000001</v>
      </c>
      <c r="AL576" s="6">
        <v>7.7149000000000001</v>
      </c>
      <c r="AM576" s="6">
        <v>2.9388999999999998</v>
      </c>
      <c r="AN576" s="6">
        <v>255</v>
      </c>
      <c r="AQ576" s="17">
        <v>574</v>
      </c>
      <c r="AR576" s="6">
        <v>1.6009899999999999</v>
      </c>
      <c r="AS576" s="6">
        <v>1.4492</v>
      </c>
      <c r="AT576" s="6">
        <v>0.81299999999999994</v>
      </c>
      <c r="AU576" s="6">
        <v>255</v>
      </c>
      <c r="AW576" s="17">
        <v>574</v>
      </c>
      <c r="AX576" s="6">
        <v>0.84430000000000005</v>
      </c>
      <c r="AY576" s="6">
        <v>1.4492</v>
      </c>
      <c r="AZ576" s="6">
        <v>0.81299999999999994</v>
      </c>
      <c r="BA576" s="6">
        <v>255</v>
      </c>
      <c r="BN576" s="17">
        <v>730</v>
      </c>
      <c r="BO576" s="6">
        <v>18.102059520000001</v>
      </c>
      <c r="BP576" s="6">
        <v>23.235704380000001</v>
      </c>
      <c r="BQ576" s="19">
        <v>-5.1336448600000004</v>
      </c>
    </row>
    <row r="577" spans="1:69" x14ac:dyDescent="0.25">
      <c r="A577" s="31" t="s">
        <v>11</v>
      </c>
      <c r="B577" s="32">
        <v>3</v>
      </c>
      <c r="C577" s="32">
        <v>13</v>
      </c>
      <c r="D577" s="32">
        <v>8</v>
      </c>
      <c r="E577" s="11">
        <v>23</v>
      </c>
      <c r="F577" s="2">
        <v>61.1</v>
      </c>
      <c r="G577">
        <v>30.539415584415583</v>
      </c>
      <c r="H577" t="s">
        <v>12</v>
      </c>
      <c r="I577">
        <v>3</v>
      </c>
      <c r="AD577" s="17">
        <v>575</v>
      </c>
      <c r="AE577" s="6">
        <v>3.0449600000000001</v>
      </c>
      <c r="AF577" s="6">
        <v>1.6745000000000001</v>
      </c>
      <c r="AG577" s="6">
        <v>2.9319000000000002</v>
      </c>
      <c r="AH577" s="6">
        <v>255</v>
      </c>
      <c r="AJ577" s="17">
        <v>575</v>
      </c>
      <c r="AK577" s="6">
        <v>5.7739099999999999</v>
      </c>
      <c r="AL577" s="6">
        <v>1.6745000000000001</v>
      </c>
      <c r="AM577" s="6">
        <v>2.9319000000000002</v>
      </c>
      <c r="AN577" s="6">
        <v>255</v>
      </c>
      <c r="AQ577" s="17">
        <v>575</v>
      </c>
      <c r="AR577" s="6">
        <v>1.5871500000000001</v>
      </c>
      <c r="AS577" s="6">
        <v>7.9850000000000004E-2</v>
      </c>
      <c r="AT577" s="6">
        <v>0.80589999999999995</v>
      </c>
      <c r="AU577" s="6">
        <v>255</v>
      </c>
      <c r="AW577" s="17">
        <v>575</v>
      </c>
      <c r="AX577" s="6">
        <v>0.83701000000000003</v>
      </c>
      <c r="AY577" s="6">
        <v>7.9850000000000004E-2</v>
      </c>
      <c r="AZ577" s="6">
        <v>0.80589999999999995</v>
      </c>
      <c r="BA577" s="6">
        <v>255</v>
      </c>
      <c r="BN577" s="17">
        <v>731</v>
      </c>
      <c r="BO577" s="6">
        <v>26.734624369999999</v>
      </c>
      <c r="BP577" s="6">
        <v>23.242915620000002</v>
      </c>
      <c r="BQ577" s="6">
        <v>3.4917087499999999</v>
      </c>
    </row>
    <row r="578" spans="1:69" x14ac:dyDescent="0.25">
      <c r="A578" s="31" t="s">
        <v>11</v>
      </c>
      <c r="B578" s="32">
        <v>1</v>
      </c>
      <c r="C578" s="32">
        <v>16</v>
      </c>
      <c r="D578" s="32">
        <v>2</v>
      </c>
      <c r="E578" s="11">
        <v>28</v>
      </c>
      <c r="F578" s="2">
        <v>60.4</v>
      </c>
      <c r="G578">
        <v>32.236871929737504</v>
      </c>
      <c r="H578">
        <v>13.8</v>
      </c>
      <c r="I578">
        <v>3</v>
      </c>
      <c r="AD578" s="17">
        <v>576</v>
      </c>
      <c r="AE578" s="6">
        <v>3.05775</v>
      </c>
      <c r="AF578" s="6">
        <v>10.4384</v>
      </c>
      <c r="AG578" s="6">
        <v>2.9443000000000001</v>
      </c>
      <c r="AH578" s="6">
        <v>255</v>
      </c>
      <c r="AJ578" s="17">
        <v>576</v>
      </c>
      <c r="AK578" s="6">
        <v>5.7981600000000002</v>
      </c>
      <c r="AL578" s="6">
        <v>10.4384</v>
      </c>
      <c r="AM578" s="6">
        <v>2.9443000000000001</v>
      </c>
      <c r="AN578" s="6">
        <v>255</v>
      </c>
      <c r="AQ578" s="17">
        <v>576</v>
      </c>
      <c r="AR578" s="6">
        <v>1.59992</v>
      </c>
      <c r="AS578" s="6">
        <v>2.5712999999999999</v>
      </c>
      <c r="AT578" s="6">
        <v>0.81240000000000001</v>
      </c>
      <c r="AU578" s="6">
        <v>255</v>
      </c>
      <c r="AW578" s="17">
        <v>576</v>
      </c>
      <c r="AX578" s="6">
        <v>0.84374000000000005</v>
      </c>
      <c r="AY578" s="6">
        <v>2.5712999999999999</v>
      </c>
      <c r="AZ578" s="6">
        <v>0.81240000000000001</v>
      </c>
      <c r="BA578" s="6">
        <v>255</v>
      </c>
      <c r="BN578" s="17">
        <v>732</v>
      </c>
      <c r="BO578" s="6">
        <v>30.53941558</v>
      </c>
      <c r="BP578" s="6">
        <v>28.897479480000001</v>
      </c>
      <c r="BQ578" s="6">
        <v>1.6419360999999999</v>
      </c>
    </row>
    <row r="579" spans="1:69" x14ac:dyDescent="0.25">
      <c r="A579" s="31" t="s">
        <v>11</v>
      </c>
      <c r="B579" s="32">
        <v>2</v>
      </c>
      <c r="C579" s="32">
        <v>17</v>
      </c>
      <c r="D579" s="32">
        <v>5</v>
      </c>
      <c r="E579" s="11">
        <v>28</v>
      </c>
      <c r="F579" s="2">
        <v>61.7</v>
      </c>
      <c r="G579">
        <v>26.77542023849432</v>
      </c>
      <c r="H579" t="s">
        <v>12</v>
      </c>
      <c r="I579">
        <v>2</v>
      </c>
      <c r="AD579" s="17">
        <v>577</v>
      </c>
      <c r="AE579" s="6">
        <v>3.0451199999999998</v>
      </c>
      <c r="AF579" s="6">
        <v>5.0080999999999998</v>
      </c>
      <c r="AG579" s="6">
        <v>2.9321000000000002</v>
      </c>
      <c r="AH579" s="6">
        <v>255</v>
      </c>
      <c r="AJ579" s="17">
        <v>577</v>
      </c>
      <c r="AK579" s="6">
        <v>5.7742199999999997</v>
      </c>
      <c r="AL579" s="6">
        <v>5.0080999999999998</v>
      </c>
      <c r="AM579" s="6">
        <v>2.9321000000000002</v>
      </c>
      <c r="AN579" s="6">
        <v>255</v>
      </c>
      <c r="AQ579" s="17">
        <v>577</v>
      </c>
      <c r="AR579" s="6">
        <v>1.5901400000000001</v>
      </c>
      <c r="AS579" s="6">
        <v>1.2306999999999999</v>
      </c>
      <c r="AT579" s="6">
        <v>0.8075</v>
      </c>
      <c r="AU579" s="6">
        <v>255</v>
      </c>
      <c r="AW579" s="17">
        <v>577</v>
      </c>
      <c r="AX579" s="6">
        <v>0.83857999999999999</v>
      </c>
      <c r="AY579" s="6">
        <v>1.2306999999999999</v>
      </c>
      <c r="AZ579" s="6">
        <v>0.8075</v>
      </c>
      <c r="BA579" s="6">
        <v>255</v>
      </c>
      <c r="BN579" s="17">
        <v>733</v>
      </c>
      <c r="BO579" s="6">
        <v>32.23687193</v>
      </c>
      <c r="BP579" s="6">
        <v>32.705939610000001</v>
      </c>
      <c r="BQ579" s="19">
        <v>-0.46906767999999999</v>
      </c>
    </row>
    <row r="580" spans="1:69" x14ac:dyDescent="0.25">
      <c r="A580" s="31" t="s">
        <v>11</v>
      </c>
      <c r="B580" s="32">
        <v>3</v>
      </c>
      <c r="C580" s="32">
        <v>10</v>
      </c>
      <c r="D580" s="32">
        <v>8</v>
      </c>
      <c r="E580" s="11">
        <v>28</v>
      </c>
      <c r="F580" s="2">
        <v>60.2</v>
      </c>
      <c r="G580">
        <v>44.774512987012983</v>
      </c>
      <c r="H580" t="s">
        <v>12</v>
      </c>
      <c r="I580">
        <v>2</v>
      </c>
      <c r="AD580" s="17">
        <v>578</v>
      </c>
      <c r="AE580" s="6">
        <v>3.0647799999999998</v>
      </c>
      <c r="AF580" s="6">
        <v>2.7479</v>
      </c>
      <c r="AG580" s="6">
        <v>2.9510000000000001</v>
      </c>
      <c r="AH580" s="6">
        <v>255</v>
      </c>
      <c r="AJ580" s="17">
        <v>578</v>
      </c>
      <c r="AK580" s="6">
        <v>5.81149</v>
      </c>
      <c r="AL580" s="6">
        <v>2.7479</v>
      </c>
      <c r="AM580" s="6">
        <v>2.9510000000000001</v>
      </c>
      <c r="AN580" s="6">
        <v>255</v>
      </c>
      <c r="AQ580" s="17">
        <v>578</v>
      </c>
      <c r="AR580" s="6">
        <v>1.6015200000000001</v>
      </c>
      <c r="AS580" s="6">
        <v>1.4008</v>
      </c>
      <c r="AT580" s="6">
        <v>0.81320000000000003</v>
      </c>
      <c r="AU580" s="6">
        <v>255</v>
      </c>
      <c r="AW580" s="17">
        <v>578</v>
      </c>
      <c r="AX580" s="6">
        <v>0.84458999999999995</v>
      </c>
      <c r="AY580" s="6">
        <v>1.4008</v>
      </c>
      <c r="AZ580" s="6">
        <v>0.81320000000000003</v>
      </c>
      <c r="BA580" s="6">
        <v>255</v>
      </c>
      <c r="BN580" s="17">
        <v>734</v>
      </c>
      <c r="BO580" s="6">
        <v>26.775420239999999</v>
      </c>
      <c r="BP580" s="6">
        <v>32.713150849999998</v>
      </c>
      <c r="BQ580" s="19">
        <v>-5.93773061</v>
      </c>
    </row>
    <row r="581" spans="1:69" x14ac:dyDescent="0.25">
      <c r="A581" s="31" t="s">
        <v>11</v>
      </c>
      <c r="B581" s="32">
        <v>1</v>
      </c>
      <c r="C581" s="32">
        <v>16</v>
      </c>
      <c r="D581" s="32">
        <v>1</v>
      </c>
      <c r="E581" s="11">
        <v>46</v>
      </c>
      <c r="F581" s="2" t="s">
        <v>12</v>
      </c>
      <c r="G581">
        <v>14.001378719975827</v>
      </c>
      <c r="H581">
        <v>15.6</v>
      </c>
      <c r="I581">
        <v>3</v>
      </c>
      <c r="AD581" s="17">
        <v>579</v>
      </c>
      <c r="AE581" s="6">
        <v>3.036</v>
      </c>
      <c r="AF581" s="6">
        <v>3.9983</v>
      </c>
      <c r="AG581" s="6">
        <v>2.9232999999999998</v>
      </c>
      <c r="AH581" s="6">
        <v>255</v>
      </c>
      <c r="AJ581" s="17">
        <v>579</v>
      </c>
      <c r="AK581" s="6">
        <v>5.7569299999999997</v>
      </c>
      <c r="AL581" s="6">
        <v>3.9983</v>
      </c>
      <c r="AM581" s="6">
        <v>2.9232999999999998</v>
      </c>
      <c r="AN581" s="6">
        <v>255</v>
      </c>
      <c r="AQ581" s="17">
        <v>579</v>
      </c>
      <c r="AR581" s="6">
        <v>1.5934999999999999</v>
      </c>
      <c r="AS581" s="6">
        <v>0.98740000000000006</v>
      </c>
      <c r="AT581" s="6">
        <v>0.80920000000000003</v>
      </c>
      <c r="AU581" s="6">
        <v>255</v>
      </c>
      <c r="AW581" s="17">
        <v>579</v>
      </c>
      <c r="AX581" s="6">
        <v>0.84036</v>
      </c>
      <c r="AY581" s="6">
        <v>0.98740000000000006</v>
      </c>
      <c r="AZ581" s="6">
        <v>0.80920000000000003</v>
      </c>
      <c r="BA581" s="6">
        <v>255</v>
      </c>
      <c r="BN581" s="17">
        <v>735</v>
      </c>
      <c r="BO581" s="6">
        <v>44.774512989999998</v>
      </c>
      <c r="BP581" s="6">
        <v>38.367714710000001</v>
      </c>
      <c r="BQ581" s="6">
        <v>6.4067982800000003</v>
      </c>
    </row>
    <row r="582" spans="1:69" x14ac:dyDescent="0.25">
      <c r="A582" s="31" t="s">
        <v>11</v>
      </c>
      <c r="B582" s="32">
        <v>2</v>
      </c>
      <c r="C582" s="32">
        <v>7</v>
      </c>
      <c r="D582" s="32">
        <v>5</v>
      </c>
      <c r="E582" s="11">
        <v>46</v>
      </c>
      <c r="F582" s="2">
        <v>58.5</v>
      </c>
      <c r="G582">
        <v>20.323043915521286</v>
      </c>
      <c r="H582" t="s">
        <v>12</v>
      </c>
      <c r="I582">
        <v>3</v>
      </c>
      <c r="AD582" s="17">
        <v>580</v>
      </c>
      <c r="AE582" s="6">
        <v>3.0526800000000001</v>
      </c>
      <c r="AF582" s="6">
        <v>3.7031000000000001</v>
      </c>
      <c r="AG582" s="6">
        <v>2.9394</v>
      </c>
      <c r="AH582" s="6">
        <v>255</v>
      </c>
      <c r="AJ582" s="17">
        <v>580</v>
      </c>
      <c r="AK582" s="6">
        <v>5.7885499999999999</v>
      </c>
      <c r="AL582" s="6">
        <v>3.7031000000000001</v>
      </c>
      <c r="AM582" s="6">
        <v>2.9394</v>
      </c>
      <c r="AN582" s="6">
        <v>255</v>
      </c>
      <c r="AQ582" s="17">
        <v>580</v>
      </c>
      <c r="AR582" s="6">
        <v>1.59927</v>
      </c>
      <c r="AS582" s="19">
        <v>-0.23230000000000001</v>
      </c>
      <c r="AT582" s="6">
        <v>0.81210000000000004</v>
      </c>
      <c r="AU582" s="6">
        <v>255</v>
      </c>
      <c r="AW582" s="17">
        <v>580</v>
      </c>
      <c r="AX582" s="6">
        <v>0.84340000000000004</v>
      </c>
      <c r="AY582" s="19">
        <v>-0.23230000000000001</v>
      </c>
      <c r="AZ582" s="6">
        <v>0.81210000000000004</v>
      </c>
      <c r="BA582" s="6">
        <v>255</v>
      </c>
      <c r="BN582" s="17">
        <v>736</v>
      </c>
      <c r="BO582" s="6">
        <v>14.00137872</v>
      </c>
      <c r="BP582" s="6">
        <v>17.07756917</v>
      </c>
      <c r="BQ582" s="19">
        <v>-3.0761904499999999</v>
      </c>
    </row>
    <row r="583" spans="1:69" x14ac:dyDescent="0.25">
      <c r="A583" s="31" t="s">
        <v>11</v>
      </c>
      <c r="B583" s="32">
        <v>3</v>
      </c>
      <c r="C583" s="32">
        <v>11</v>
      </c>
      <c r="D583" s="32">
        <v>7</v>
      </c>
      <c r="E583" s="11">
        <v>46</v>
      </c>
      <c r="F583" s="2">
        <v>60.1</v>
      </c>
      <c r="G583">
        <v>22.577271214642259</v>
      </c>
      <c r="H583" t="s">
        <v>12</v>
      </c>
      <c r="I583">
        <v>3</v>
      </c>
      <c r="AD583" s="17">
        <v>581</v>
      </c>
      <c r="AE583" s="6">
        <v>3.0455700000000001</v>
      </c>
      <c r="AF583" s="6">
        <v>9.1411999999999995</v>
      </c>
      <c r="AG583" s="6">
        <v>2.9325000000000001</v>
      </c>
      <c r="AH583" s="6">
        <v>255</v>
      </c>
      <c r="AJ583" s="17">
        <v>581</v>
      </c>
      <c r="AK583" s="6">
        <v>5.77508</v>
      </c>
      <c r="AL583" s="6">
        <v>9.1411999999999995</v>
      </c>
      <c r="AM583" s="6">
        <v>2.9325000000000001</v>
      </c>
      <c r="AN583" s="6">
        <v>255</v>
      </c>
      <c r="AQ583" s="17">
        <v>581</v>
      </c>
      <c r="AR583" s="6">
        <v>1.58945</v>
      </c>
      <c r="AS583" s="6">
        <v>2.7048999999999999</v>
      </c>
      <c r="AT583" s="6">
        <v>0.80710000000000004</v>
      </c>
      <c r="AU583" s="6">
        <v>255</v>
      </c>
      <c r="AW583" s="17">
        <v>581</v>
      </c>
      <c r="AX583" s="6">
        <v>0.83821999999999997</v>
      </c>
      <c r="AY583" s="6">
        <v>2.7048999999999999</v>
      </c>
      <c r="AZ583" s="6">
        <v>0.80710000000000004</v>
      </c>
      <c r="BA583" s="6">
        <v>255</v>
      </c>
      <c r="BN583" s="17">
        <v>737</v>
      </c>
      <c r="BO583" s="6">
        <v>20.32304392</v>
      </c>
      <c r="BP583" s="6">
        <v>17.08478041</v>
      </c>
      <c r="BQ583" s="6">
        <v>3.2382635099999999</v>
      </c>
    </row>
    <row r="584" spans="1:69" x14ac:dyDescent="0.25">
      <c r="A584" s="31" t="s">
        <v>11</v>
      </c>
      <c r="B584" s="32">
        <v>1</v>
      </c>
      <c r="C584" s="32">
        <v>12</v>
      </c>
      <c r="D584" s="32">
        <v>3</v>
      </c>
      <c r="E584" s="11">
        <v>47</v>
      </c>
      <c r="F584" s="2">
        <v>59.1</v>
      </c>
      <c r="G584">
        <v>28.687401559824991</v>
      </c>
      <c r="H584">
        <v>15.9</v>
      </c>
      <c r="I584">
        <v>4</v>
      </c>
      <c r="AD584" s="17">
        <v>582</v>
      </c>
      <c r="AE584" s="6">
        <v>3.0380500000000001</v>
      </c>
      <c r="AF584" s="6">
        <v>5.9954999999999998</v>
      </c>
      <c r="AG584" s="6">
        <v>2.9253</v>
      </c>
      <c r="AH584" s="6">
        <v>255</v>
      </c>
      <c r="AJ584" s="17">
        <v>582</v>
      </c>
      <c r="AK584" s="6">
        <v>5.7608100000000002</v>
      </c>
      <c r="AL584" s="6">
        <v>5.9954999999999998</v>
      </c>
      <c r="AM584" s="6">
        <v>2.9253</v>
      </c>
      <c r="AN584" s="6">
        <v>255</v>
      </c>
      <c r="AQ584" s="17">
        <v>582</v>
      </c>
      <c r="AR584" s="6">
        <v>1.58412</v>
      </c>
      <c r="AS584" s="6">
        <v>2.5586000000000002</v>
      </c>
      <c r="AT584" s="6">
        <v>0.8044</v>
      </c>
      <c r="AU584" s="6">
        <v>255</v>
      </c>
      <c r="AW584" s="17">
        <v>582</v>
      </c>
      <c r="AX584" s="6">
        <v>0.83540999999999999</v>
      </c>
      <c r="AY584" s="6">
        <v>2.5586000000000002</v>
      </c>
      <c r="AZ584" s="6">
        <v>0.8044</v>
      </c>
      <c r="BA584" s="6">
        <v>255</v>
      </c>
      <c r="BN584" s="17">
        <v>738</v>
      </c>
      <c r="BO584" s="6">
        <v>22.577271209999999</v>
      </c>
      <c r="BP584" s="6">
        <v>22.73934427</v>
      </c>
      <c r="BQ584" s="19">
        <v>-0.16207305999999999</v>
      </c>
    </row>
    <row r="585" spans="1:69" x14ac:dyDescent="0.25">
      <c r="A585" s="31" t="s">
        <v>11</v>
      </c>
      <c r="B585" s="32">
        <v>2</v>
      </c>
      <c r="C585" s="32">
        <v>16</v>
      </c>
      <c r="D585" s="32">
        <v>6</v>
      </c>
      <c r="E585" s="11">
        <v>47</v>
      </c>
      <c r="F585" s="2" t="s">
        <v>12</v>
      </c>
      <c r="G585">
        <v>16.890405799922142</v>
      </c>
      <c r="H585" t="s">
        <v>12</v>
      </c>
      <c r="I585">
        <v>3</v>
      </c>
      <c r="AD585" s="17">
        <v>583</v>
      </c>
      <c r="AE585" s="6">
        <v>3.0514000000000001</v>
      </c>
      <c r="AF585" s="6">
        <v>4.2407000000000004</v>
      </c>
      <c r="AG585" s="6">
        <v>2.9382000000000001</v>
      </c>
      <c r="AH585" s="6">
        <v>255</v>
      </c>
      <c r="AJ585" s="17">
        <v>583</v>
      </c>
      <c r="AK585" s="6">
        <v>5.78613</v>
      </c>
      <c r="AL585" s="6">
        <v>4.2407000000000004</v>
      </c>
      <c r="AM585" s="6">
        <v>2.9382000000000001</v>
      </c>
      <c r="AN585" s="6">
        <v>255</v>
      </c>
      <c r="AQ585" s="17">
        <v>583</v>
      </c>
      <c r="AR585" s="6">
        <v>1.5906400000000001</v>
      </c>
      <c r="AS585" s="6">
        <v>2.1013000000000002</v>
      </c>
      <c r="AT585" s="6">
        <v>0.80769999999999997</v>
      </c>
      <c r="AU585" s="6">
        <v>255</v>
      </c>
      <c r="AW585" s="17">
        <v>583</v>
      </c>
      <c r="AX585" s="6">
        <v>0.83884999999999998</v>
      </c>
      <c r="AY585" s="6">
        <v>2.1013000000000002</v>
      </c>
      <c r="AZ585" s="6">
        <v>0.80769999999999997</v>
      </c>
      <c r="BA585" s="6">
        <v>255</v>
      </c>
      <c r="BN585" s="17">
        <v>739</v>
      </c>
      <c r="BO585" s="6">
        <v>28.687401560000001</v>
      </c>
      <c r="BP585" s="6">
        <v>26.390732549999999</v>
      </c>
      <c r="BQ585" s="6">
        <v>2.29666901</v>
      </c>
    </row>
    <row r="586" spans="1:69" x14ac:dyDescent="0.25">
      <c r="A586" s="31" t="s">
        <v>11</v>
      </c>
      <c r="B586" s="32">
        <v>3</v>
      </c>
      <c r="C586" s="32">
        <v>9</v>
      </c>
      <c r="D586" s="32">
        <v>8</v>
      </c>
      <c r="E586" s="11">
        <v>47</v>
      </c>
      <c r="F586" s="2">
        <v>60.4</v>
      </c>
      <c r="G586">
        <v>39.263376623376615</v>
      </c>
      <c r="H586" t="s">
        <v>12</v>
      </c>
      <c r="I586">
        <v>4</v>
      </c>
      <c r="AD586" s="17">
        <v>584</v>
      </c>
      <c r="AE586" s="6">
        <v>3.0631900000000001</v>
      </c>
      <c r="AF586" s="6">
        <v>7.9619999999999997</v>
      </c>
      <c r="AG586" s="6">
        <v>2.9495</v>
      </c>
      <c r="AH586" s="6">
        <v>255</v>
      </c>
      <c r="AJ586" s="17">
        <v>584</v>
      </c>
      <c r="AK586" s="6">
        <v>5.8084800000000003</v>
      </c>
      <c r="AL586" s="6">
        <v>7.9619999999999997</v>
      </c>
      <c r="AM586" s="6">
        <v>2.9495</v>
      </c>
      <c r="AN586" s="6">
        <v>255</v>
      </c>
      <c r="AQ586" s="17">
        <v>584</v>
      </c>
      <c r="AR586" s="6">
        <v>1.6005799999999999</v>
      </c>
      <c r="AS586" s="6">
        <v>1.4173</v>
      </c>
      <c r="AT586" s="6">
        <v>0.81279999999999997</v>
      </c>
      <c r="AU586" s="6">
        <v>255</v>
      </c>
      <c r="AW586" s="17">
        <v>584</v>
      </c>
      <c r="AX586" s="6">
        <v>0.84409000000000001</v>
      </c>
      <c r="AY586" s="6">
        <v>1.4173</v>
      </c>
      <c r="AZ586" s="6">
        <v>0.81279999999999997</v>
      </c>
      <c r="BA586" s="6">
        <v>255</v>
      </c>
      <c r="BN586" s="17">
        <v>740</v>
      </c>
      <c r="BO586" s="6">
        <v>16.8904058</v>
      </c>
      <c r="BP586" s="6">
        <v>26.397943789999999</v>
      </c>
      <c r="BQ586" s="19">
        <v>-9.5075379899999994</v>
      </c>
    </row>
    <row r="587" spans="1:69" x14ac:dyDescent="0.25">
      <c r="A587" s="31" t="s">
        <v>11</v>
      </c>
      <c r="B587" s="32">
        <v>1</v>
      </c>
      <c r="C587" s="32">
        <v>11</v>
      </c>
      <c r="D587" s="32">
        <v>2</v>
      </c>
      <c r="E587" s="11">
        <v>45</v>
      </c>
      <c r="F587" s="2">
        <v>57.4</v>
      </c>
      <c r="G587">
        <v>22.386192626407976</v>
      </c>
      <c r="H587">
        <v>14.5</v>
      </c>
      <c r="I587">
        <v>4</v>
      </c>
      <c r="AD587" s="17">
        <v>585</v>
      </c>
      <c r="AE587" s="6">
        <v>3.0519500000000002</v>
      </c>
      <c r="AF587" s="6">
        <v>16.466000000000001</v>
      </c>
      <c r="AG587" s="6">
        <v>2.9386999999999999</v>
      </c>
      <c r="AH587" s="6">
        <v>255</v>
      </c>
      <c r="AJ587" s="17">
        <v>585</v>
      </c>
      <c r="AK587" s="6">
        <v>5.7871600000000001</v>
      </c>
      <c r="AL587" s="6">
        <v>16.466000000000001</v>
      </c>
      <c r="AM587" s="6">
        <v>2.9386999999999999</v>
      </c>
      <c r="AN587" s="6">
        <v>255</v>
      </c>
      <c r="AQ587" s="17">
        <v>585</v>
      </c>
      <c r="AR587" s="6">
        <v>1.5976600000000001</v>
      </c>
      <c r="AS587" s="6">
        <v>4.3258999999999999</v>
      </c>
      <c r="AT587" s="6">
        <v>0.81130000000000002</v>
      </c>
      <c r="AU587" s="6">
        <v>255</v>
      </c>
      <c r="AW587" s="17">
        <v>585</v>
      </c>
      <c r="AX587" s="6">
        <v>0.84255000000000002</v>
      </c>
      <c r="AY587" s="6">
        <v>4.3258999999999999</v>
      </c>
      <c r="AZ587" s="6">
        <v>0.81130000000000002</v>
      </c>
      <c r="BA587" s="6">
        <v>255</v>
      </c>
      <c r="BN587" s="17">
        <v>741</v>
      </c>
      <c r="BO587" s="6">
        <v>39.263376620000003</v>
      </c>
      <c r="BP587" s="6">
        <v>32.052507650000003</v>
      </c>
      <c r="BQ587" s="6">
        <v>7.2108689699999999</v>
      </c>
    </row>
    <row r="588" spans="1:69" x14ac:dyDescent="0.25">
      <c r="A588" s="31" t="s">
        <v>11</v>
      </c>
      <c r="B588" s="32">
        <v>2</v>
      </c>
      <c r="C588" s="32">
        <v>4</v>
      </c>
      <c r="D588" s="32">
        <v>6</v>
      </c>
      <c r="E588" s="11">
        <v>45</v>
      </c>
      <c r="F588" s="2" t="s">
        <v>12</v>
      </c>
      <c r="G588" t="s">
        <v>12</v>
      </c>
      <c r="H588" t="s">
        <v>12</v>
      </c>
      <c r="I588">
        <v>5</v>
      </c>
      <c r="AD588" s="17">
        <v>586</v>
      </c>
      <c r="AE588" s="6">
        <v>3.0312800000000002</v>
      </c>
      <c r="AF588" s="19">
        <v>-0.40439999999999998</v>
      </c>
      <c r="AG588" s="6">
        <v>2.9188000000000001</v>
      </c>
      <c r="AH588" s="6">
        <v>255</v>
      </c>
      <c r="AJ588" s="17">
        <v>586</v>
      </c>
      <c r="AK588" s="6">
        <v>5.7479699999999996</v>
      </c>
      <c r="AL588" s="19">
        <v>-0.40439999999999998</v>
      </c>
      <c r="AM588" s="6">
        <v>2.9188000000000001</v>
      </c>
      <c r="AN588" s="6">
        <v>255</v>
      </c>
      <c r="AQ588" s="17">
        <v>586</v>
      </c>
      <c r="AR588" s="6">
        <v>1.59212</v>
      </c>
      <c r="AS588" s="6">
        <v>2.2669000000000001</v>
      </c>
      <c r="AT588" s="6">
        <v>0.8085</v>
      </c>
      <c r="AU588" s="6">
        <v>255</v>
      </c>
      <c r="AW588" s="17">
        <v>586</v>
      </c>
      <c r="AX588" s="6">
        <v>0.83962999999999999</v>
      </c>
      <c r="AY588" s="6">
        <v>2.2669000000000001</v>
      </c>
      <c r="AZ588" s="6">
        <v>0.8085</v>
      </c>
      <c r="BA588" s="6">
        <v>255</v>
      </c>
      <c r="BN588" s="17">
        <v>742</v>
      </c>
      <c r="BO588" s="6">
        <v>22.38619263</v>
      </c>
      <c r="BP588" s="6">
        <v>24.585758169999998</v>
      </c>
      <c r="BQ588" s="19">
        <v>-2.19956554</v>
      </c>
    </row>
    <row r="589" spans="1:69" x14ac:dyDescent="0.25">
      <c r="A589" s="31" t="s">
        <v>11</v>
      </c>
      <c r="B589" s="32">
        <v>3</v>
      </c>
      <c r="C589" s="32">
        <v>7</v>
      </c>
      <c r="D589" s="32">
        <v>9</v>
      </c>
      <c r="E589" s="11">
        <v>45</v>
      </c>
      <c r="F589" s="2">
        <v>60.2</v>
      </c>
      <c r="G589">
        <v>32.4470988209669</v>
      </c>
      <c r="H589" t="s">
        <v>12</v>
      </c>
      <c r="I589">
        <v>3</v>
      </c>
      <c r="AD589" s="17">
        <v>587</v>
      </c>
      <c r="AE589" s="6">
        <v>3.0639799999999999</v>
      </c>
      <c r="AF589" s="6">
        <v>1.0264</v>
      </c>
      <c r="AG589" s="6">
        <v>2.9502999999999999</v>
      </c>
      <c r="AH589" s="6">
        <v>255</v>
      </c>
      <c r="AJ589" s="17">
        <v>587</v>
      </c>
      <c r="AK589" s="6">
        <v>5.80999</v>
      </c>
      <c r="AL589" s="6">
        <v>1.0264</v>
      </c>
      <c r="AM589" s="6">
        <v>2.9502999999999999</v>
      </c>
      <c r="AN589" s="6">
        <v>255</v>
      </c>
      <c r="AQ589" s="17">
        <v>587</v>
      </c>
      <c r="AR589" s="6">
        <v>1.6077300000000001</v>
      </c>
      <c r="AS589" s="6">
        <v>0.64510000000000001</v>
      </c>
      <c r="AT589" s="6">
        <v>0.81640000000000001</v>
      </c>
      <c r="AU589" s="6">
        <v>255</v>
      </c>
      <c r="AW589" s="17">
        <v>587</v>
      </c>
      <c r="AX589" s="6">
        <v>0.84785999999999995</v>
      </c>
      <c r="AY589" s="6">
        <v>0.64510000000000001</v>
      </c>
      <c r="AZ589" s="6">
        <v>0.81640000000000001</v>
      </c>
      <c r="BA589" s="6">
        <v>255</v>
      </c>
      <c r="BN589" s="17">
        <v>743</v>
      </c>
      <c r="BO589" s="6" t="s">
        <v>12</v>
      </c>
      <c r="BP589" s="6">
        <v>24.592969409999998</v>
      </c>
      <c r="BQ589" s="6" t="s">
        <v>12</v>
      </c>
    </row>
    <row r="590" spans="1:69" x14ac:dyDescent="0.25">
      <c r="A590" s="31" t="s">
        <v>11</v>
      </c>
      <c r="B590" s="32">
        <v>1</v>
      </c>
      <c r="C590" s="32">
        <v>1</v>
      </c>
      <c r="D590" s="32">
        <v>1</v>
      </c>
      <c r="E590" s="11">
        <v>24</v>
      </c>
      <c r="F590" s="2">
        <v>59</v>
      </c>
      <c r="G590">
        <v>24.510962284102916</v>
      </c>
      <c r="H590">
        <v>15.7</v>
      </c>
      <c r="I590">
        <v>4</v>
      </c>
      <c r="AD590" s="17">
        <v>588</v>
      </c>
      <c r="AE590" s="6">
        <v>3.0420699999999998</v>
      </c>
      <c r="AF590" s="6">
        <v>2.2349999999999999</v>
      </c>
      <c r="AG590" s="6">
        <v>2.9291999999999998</v>
      </c>
      <c r="AH590" s="6">
        <v>255</v>
      </c>
      <c r="AJ590" s="17">
        <v>588</v>
      </c>
      <c r="AK590" s="6">
        <v>5.7684300000000004</v>
      </c>
      <c r="AL590" s="6">
        <v>2.2349999999999999</v>
      </c>
      <c r="AM590" s="6">
        <v>2.9291999999999998</v>
      </c>
      <c r="AN590" s="6">
        <v>255</v>
      </c>
      <c r="AQ590" s="17">
        <v>588</v>
      </c>
      <c r="AR590" s="6">
        <v>1.5948899999999999</v>
      </c>
      <c r="AS590" s="6">
        <v>2.1475</v>
      </c>
      <c r="AT590" s="6">
        <v>0.80989999999999995</v>
      </c>
      <c r="AU590" s="6">
        <v>255</v>
      </c>
      <c r="AW590" s="17">
        <v>588</v>
      </c>
      <c r="AX590" s="6">
        <v>0.84109</v>
      </c>
      <c r="AY590" s="6">
        <v>2.1475</v>
      </c>
      <c r="AZ590" s="6">
        <v>0.80989999999999995</v>
      </c>
      <c r="BA590" s="6">
        <v>255</v>
      </c>
      <c r="BN590" s="17">
        <v>744</v>
      </c>
      <c r="BO590" s="6">
        <v>32.447098820000001</v>
      </c>
      <c r="BP590" s="6">
        <v>30.247533279999999</v>
      </c>
      <c r="BQ590" s="6">
        <v>2.19956554</v>
      </c>
    </row>
    <row r="591" spans="1:69" x14ac:dyDescent="0.25">
      <c r="A591" s="31" t="s">
        <v>11</v>
      </c>
      <c r="B591" s="32">
        <v>2</v>
      </c>
      <c r="C591" s="32">
        <v>8</v>
      </c>
      <c r="D591" s="32">
        <v>4</v>
      </c>
      <c r="E591" s="11">
        <v>24</v>
      </c>
      <c r="F591" s="2" t="s">
        <v>12</v>
      </c>
      <c r="G591">
        <v>13.825856994202464</v>
      </c>
      <c r="H591" t="s">
        <v>12</v>
      </c>
      <c r="I591">
        <v>3</v>
      </c>
      <c r="AD591" s="17">
        <v>589</v>
      </c>
      <c r="AE591" s="6">
        <v>3.0488599999999999</v>
      </c>
      <c r="AF591" s="6">
        <v>6.3334000000000001</v>
      </c>
      <c r="AG591" s="6">
        <v>2.9357000000000002</v>
      </c>
      <c r="AH591" s="6">
        <v>255</v>
      </c>
      <c r="AJ591" s="17">
        <v>589</v>
      </c>
      <c r="AK591" s="6">
        <v>5.78132</v>
      </c>
      <c r="AL591" s="6">
        <v>6.3334000000000001</v>
      </c>
      <c r="AM591" s="6">
        <v>2.9357000000000002</v>
      </c>
      <c r="AN591" s="6">
        <v>255</v>
      </c>
      <c r="AQ591" s="17">
        <v>589</v>
      </c>
      <c r="AR591" s="6">
        <v>1.60656</v>
      </c>
      <c r="AS591" s="6">
        <v>2.5348000000000002</v>
      </c>
      <c r="AT591" s="6">
        <v>0.81579999999999997</v>
      </c>
      <c r="AU591" s="6">
        <v>255</v>
      </c>
      <c r="AW591" s="17">
        <v>589</v>
      </c>
      <c r="AX591" s="6">
        <v>0.84723999999999999</v>
      </c>
      <c r="AY591" s="6">
        <v>2.5348000000000002</v>
      </c>
      <c r="AZ591" s="6">
        <v>0.81579999999999997</v>
      </c>
      <c r="BA591" s="6">
        <v>255</v>
      </c>
      <c r="BN591" s="17">
        <v>745</v>
      </c>
      <c r="BO591" s="6">
        <v>24.510962280000001</v>
      </c>
      <c r="BP591" s="6">
        <v>14.780414009999999</v>
      </c>
      <c r="BQ591" s="6">
        <v>9.7305482699999999</v>
      </c>
    </row>
    <row r="592" spans="1:69" x14ac:dyDescent="0.25">
      <c r="A592" s="31" t="s">
        <v>11</v>
      </c>
      <c r="B592" s="32">
        <v>3</v>
      </c>
      <c r="C592" s="32">
        <v>4</v>
      </c>
      <c r="D592" s="32">
        <v>8</v>
      </c>
      <c r="E592" s="11">
        <v>24</v>
      </c>
      <c r="F592" s="2" t="s">
        <v>12</v>
      </c>
      <c r="G592">
        <v>11.673409090909088</v>
      </c>
      <c r="H592" t="s">
        <v>12</v>
      </c>
      <c r="I592">
        <v>3</v>
      </c>
      <c r="AD592" s="17">
        <v>590</v>
      </c>
      <c r="AE592" s="6">
        <v>3.0444399999999998</v>
      </c>
      <c r="AF592" s="6">
        <v>2.5773999999999999</v>
      </c>
      <c r="AG592" s="6">
        <v>2.9314</v>
      </c>
      <c r="AH592" s="6">
        <v>255</v>
      </c>
      <c r="AJ592" s="17">
        <v>590</v>
      </c>
      <c r="AK592" s="6">
        <v>5.7729200000000001</v>
      </c>
      <c r="AL592" s="6">
        <v>2.5773999999999999</v>
      </c>
      <c r="AM592" s="6">
        <v>2.9314</v>
      </c>
      <c r="AN592" s="6">
        <v>255</v>
      </c>
      <c r="AQ592" s="17">
        <v>590</v>
      </c>
      <c r="AR592" s="6">
        <v>1.59727</v>
      </c>
      <c r="AS592" s="6">
        <v>2.6097999999999999</v>
      </c>
      <c r="AT592" s="6">
        <v>0.81110000000000004</v>
      </c>
      <c r="AU592" s="6">
        <v>255</v>
      </c>
      <c r="AW592" s="17">
        <v>590</v>
      </c>
      <c r="AX592" s="6">
        <v>0.84233999999999998</v>
      </c>
      <c r="AY592" s="6">
        <v>2.6097999999999999</v>
      </c>
      <c r="AZ592" s="6">
        <v>0.81110000000000004</v>
      </c>
      <c r="BA592" s="6">
        <v>255</v>
      </c>
      <c r="BN592" s="17">
        <v>746</v>
      </c>
      <c r="BO592" s="6">
        <v>13.82585699</v>
      </c>
      <c r="BP592" s="6">
        <v>14.78762525</v>
      </c>
      <c r="BQ592" s="19">
        <v>-0.96176826000000004</v>
      </c>
    </row>
    <row r="593" spans="1:69" x14ac:dyDescent="0.25">
      <c r="A593" s="31" t="s">
        <v>11</v>
      </c>
      <c r="B593" s="32">
        <v>1</v>
      </c>
      <c r="C593" s="32">
        <v>15</v>
      </c>
      <c r="D593" s="32">
        <v>3</v>
      </c>
      <c r="E593" s="11">
        <v>33</v>
      </c>
      <c r="F593" s="2">
        <v>59.2</v>
      </c>
      <c r="G593">
        <v>21.029119745101767</v>
      </c>
      <c r="H593">
        <v>13.2</v>
      </c>
      <c r="I593">
        <v>2</v>
      </c>
      <c r="AD593" s="17">
        <v>591</v>
      </c>
      <c r="AE593" s="6">
        <v>3.0585499999999999</v>
      </c>
      <c r="AF593" s="19">
        <v>-0.94310000000000005</v>
      </c>
      <c r="AG593" s="6">
        <v>2.9449999999999998</v>
      </c>
      <c r="AH593" s="6">
        <v>255</v>
      </c>
      <c r="AJ593" s="17">
        <v>591</v>
      </c>
      <c r="AK593" s="6">
        <v>5.79969</v>
      </c>
      <c r="AL593" s="19">
        <v>-0.94310000000000005</v>
      </c>
      <c r="AM593" s="6">
        <v>2.9449999999999998</v>
      </c>
      <c r="AN593" s="6">
        <v>255</v>
      </c>
      <c r="AQ593" s="17">
        <v>591</v>
      </c>
      <c r="AR593" s="6">
        <v>1.6026199999999999</v>
      </c>
      <c r="AS593" s="6">
        <v>0.66500000000000004</v>
      </c>
      <c r="AT593" s="6">
        <v>0.81379999999999997</v>
      </c>
      <c r="AU593" s="6">
        <v>255</v>
      </c>
      <c r="AW593" s="17">
        <v>591</v>
      </c>
      <c r="AX593" s="6">
        <v>0.84516999999999998</v>
      </c>
      <c r="AY593" s="6">
        <v>0.66500000000000004</v>
      </c>
      <c r="AZ593" s="6">
        <v>0.81379999999999997</v>
      </c>
      <c r="BA593" s="6">
        <v>255</v>
      </c>
      <c r="BN593" s="17">
        <v>747</v>
      </c>
      <c r="BO593" s="6">
        <v>11.67340909</v>
      </c>
      <c r="BP593" s="6">
        <v>20.442189110000001</v>
      </c>
      <c r="BQ593" s="19">
        <v>-8.7687800199999995</v>
      </c>
    </row>
    <row r="594" spans="1:69" x14ac:dyDescent="0.25">
      <c r="A594" s="31" t="s">
        <v>11</v>
      </c>
      <c r="B594" s="32">
        <v>2</v>
      </c>
      <c r="C594" s="32">
        <v>10</v>
      </c>
      <c r="D594" s="32">
        <v>4</v>
      </c>
      <c r="E594" s="11">
        <v>33</v>
      </c>
      <c r="F594" s="2">
        <v>58.6</v>
      </c>
      <c r="G594">
        <v>25.110561914672211</v>
      </c>
      <c r="H594" t="s">
        <v>12</v>
      </c>
      <c r="I594">
        <v>3</v>
      </c>
      <c r="AD594" s="17">
        <v>592</v>
      </c>
      <c r="AE594" s="6">
        <v>3.0545900000000001</v>
      </c>
      <c r="AF594" s="19">
        <v>-0.61470000000000002</v>
      </c>
      <c r="AG594" s="6">
        <v>2.9411999999999998</v>
      </c>
      <c r="AH594" s="6">
        <v>255</v>
      </c>
      <c r="AJ594" s="17">
        <v>592</v>
      </c>
      <c r="AK594" s="6">
        <v>5.7921800000000001</v>
      </c>
      <c r="AL594" s="19">
        <v>-0.61470000000000002</v>
      </c>
      <c r="AM594" s="6">
        <v>2.9411999999999998</v>
      </c>
      <c r="AN594" s="6">
        <v>255</v>
      </c>
      <c r="AQ594" s="17">
        <v>592</v>
      </c>
      <c r="AR594" s="6">
        <v>1.6012999999999999</v>
      </c>
      <c r="AS594" s="6">
        <v>1.5073000000000001</v>
      </c>
      <c r="AT594" s="6">
        <v>0.81310000000000004</v>
      </c>
      <c r="AU594" s="6">
        <v>255</v>
      </c>
      <c r="AW594" s="17">
        <v>592</v>
      </c>
      <c r="AX594" s="6">
        <v>0.84447000000000005</v>
      </c>
      <c r="AY594" s="6">
        <v>1.5073000000000001</v>
      </c>
      <c r="AZ594" s="6">
        <v>0.81310000000000004</v>
      </c>
      <c r="BA594" s="6">
        <v>255</v>
      </c>
      <c r="BN594" s="17">
        <v>748</v>
      </c>
      <c r="BO594" s="6">
        <v>21.02911975</v>
      </c>
      <c r="BP594" s="6">
        <v>23.994907099999999</v>
      </c>
      <c r="BQ594" s="19">
        <v>-2.9657873499999998</v>
      </c>
    </row>
    <row r="595" spans="1:69" x14ac:dyDescent="0.25">
      <c r="A595" s="31" t="s">
        <v>11</v>
      </c>
      <c r="B595" s="32">
        <v>3</v>
      </c>
      <c r="C595" s="32">
        <v>18</v>
      </c>
      <c r="D595" s="32">
        <v>8</v>
      </c>
      <c r="E595" s="11">
        <v>33</v>
      </c>
      <c r="F595" s="2">
        <v>56.8</v>
      </c>
      <c r="G595">
        <v>31.514025974025976</v>
      </c>
      <c r="H595" t="s">
        <v>12</v>
      </c>
      <c r="I595">
        <v>4</v>
      </c>
      <c r="AD595" s="17">
        <v>593</v>
      </c>
      <c r="AE595" s="6">
        <v>3.0437099999999999</v>
      </c>
      <c r="AF595" s="6">
        <v>1.9033</v>
      </c>
      <c r="AG595" s="6">
        <v>2.9306999999999999</v>
      </c>
      <c r="AH595" s="6">
        <v>255</v>
      </c>
      <c r="AJ595" s="17">
        <v>593</v>
      </c>
      <c r="AK595" s="6">
        <v>5.7715500000000004</v>
      </c>
      <c r="AL595" s="6">
        <v>1.9033</v>
      </c>
      <c r="AM595" s="6">
        <v>2.9306999999999999</v>
      </c>
      <c r="AN595" s="6">
        <v>255</v>
      </c>
      <c r="AQ595" s="17">
        <v>593</v>
      </c>
      <c r="AR595" s="6">
        <v>1.5972599999999999</v>
      </c>
      <c r="AS595" s="19">
        <v>-0.1618</v>
      </c>
      <c r="AT595" s="6">
        <v>0.81110000000000004</v>
      </c>
      <c r="AU595" s="6">
        <v>255</v>
      </c>
      <c r="AW595" s="17">
        <v>593</v>
      </c>
      <c r="AX595" s="6">
        <v>0.84233999999999998</v>
      </c>
      <c r="AY595" s="19">
        <v>-0.1618</v>
      </c>
      <c r="AZ595" s="6">
        <v>0.81110000000000004</v>
      </c>
      <c r="BA595" s="6">
        <v>255</v>
      </c>
      <c r="BN595" s="17">
        <v>749</v>
      </c>
      <c r="BO595" s="6">
        <v>25.110561910000001</v>
      </c>
      <c r="BP595" s="6">
        <v>24.002118339999999</v>
      </c>
      <c r="BQ595" s="6">
        <v>1.1084435699999999</v>
      </c>
    </row>
    <row r="596" spans="1:69" x14ac:dyDescent="0.25">
      <c r="A596" s="31" t="s">
        <v>11</v>
      </c>
      <c r="B596" s="32">
        <v>1</v>
      </c>
      <c r="C596" s="32">
        <v>15</v>
      </c>
      <c r="D596" s="32">
        <v>2</v>
      </c>
      <c r="E596" s="11">
        <v>60</v>
      </c>
      <c r="F596" s="2">
        <v>60.3</v>
      </c>
      <c r="G596">
        <v>25.95034982384756</v>
      </c>
      <c r="H596">
        <v>15.3</v>
      </c>
      <c r="I596">
        <v>1</v>
      </c>
      <c r="AD596" s="17">
        <v>594</v>
      </c>
      <c r="AE596" s="6">
        <v>3.0555599999999998</v>
      </c>
      <c r="AF596" s="6">
        <v>3.5815999999999999</v>
      </c>
      <c r="AG596" s="6">
        <v>2.9422000000000001</v>
      </c>
      <c r="AH596" s="6">
        <v>255</v>
      </c>
      <c r="AJ596" s="17">
        <v>594</v>
      </c>
      <c r="AK596" s="6">
        <v>5.7940199999999997</v>
      </c>
      <c r="AL596" s="6">
        <v>3.5815999999999999</v>
      </c>
      <c r="AM596" s="6">
        <v>2.9422000000000001</v>
      </c>
      <c r="AN596" s="6">
        <v>255</v>
      </c>
      <c r="AQ596" s="17">
        <v>594</v>
      </c>
      <c r="AR596" s="6">
        <v>1.6085</v>
      </c>
      <c r="AS596" s="6">
        <v>0.21909999999999999</v>
      </c>
      <c r="AT596" s="6">
        <v>0.81679999999999997</v>
      </c>
      <c r="AU596" s="6">
        <v>255</v>
      </c>
      <c r="AW596" s="17">
        <v>594</v>
      </c>
      <c r="AX596" s="6">
        <v>0.84826999999999997</v>
      </c>
      <c r="AY596" s="6">
        <v>0.21909999999999999</v>
      </c>
      <c r="AZ596" s="6">
        <v>0.81679999999999997</v>
      </c>
      <c r="BA596" s="6">
        <v>255</v>
      </c>
      <c r="BN596" s="17">
        <v>750</v>
      </c>
      <c r="BO596" s="6">
        <v>31.514025969999999</v>
      </c>
      <c r="BP596" s="6">
        <v>29.656682199999999</v>
      </c>
      <c r="BQ596" s="6">
        <v>1.8573437699999999</v>
      </c>
    </row>
    <row r="597" spans="1:69" x14ac:dyDescent="0.25">
      <c r="A597" s="31" t="s">
        <v>11</v>
      </c>
      <c r="B597" s="32">
        <v>2</v>
      </c>
      <c r="C597" s="32">
        <v>16</v>
      </c>
      <c r="D597" s="32">
        <v>5</v>
      </c>
      <c r="E597" s="11">
        <v>60</v>
      </c>
      <c r="F597" s="2">
        <v>56.1</v>
      </c>
      <c r="G597">
        <v>19.45768880800728</v>
      </c>
      <c r="H597" t="s">
        <v>12</v>
      </c>
      <c r="I597">
        <v>1</v>
      </c>
      <c r="AD597" s="17">
        <v>595</v>
      </c>
      <c r="AE597" s="6">
        <v>3.0503999999999998</v>
      </c>
      <c r="AF597" s="6">
        <v>1.0993999999999999</v>
      </c>
      <c r="AG597" s="6">
        <v>2.9371999999999998</v>
      </c>
      <c r="AH597" s="6">
        <v>255</v>
      </c>
      <c r="AJ597" s="17">
        <v>595</v>
      </c>
      <c r="AK597" s="6">
        <v>5.7842399999999996</v>
      </c>
      <c r="AL597" s="6">
        <v>1.0993999999999999</v>
      </c>
      <c r="AM597" s="6">
        <v>2.9371999999999998</v>
      </c>
      <c r="AN597" s="6">
        <v>255</v>
      </c>
      <c r="AQ597" s="17">
        <v>595</v>
      </c>
      <c r="AR597" s="6">
        <v>1.6251500000000001</v>
      </c>
      <c r="AS597" s="6">
        <v>1.5974999999999999</v>
      </c>
      <c r="AT597" s="6">
        <v>0.82520000000000004</v>
      </c>
      <c r="AU597" s="6">
        <v>255</v>
      </c>
      <c r="AW597" s="17">
        <v>595</v>
      </c>
      <c r="AX597" s="6">
        <v>0.85704999999999998</v>
      </c>
      <c r="AY597" s="6">
        <v>1.5974999999999999</v>
      </c>
      <c r="AZ597" s="6">
        <v>0.82520000000000004</v>
      </c>
      <c r="BA597" s="6">
        <v>255</v>
      </c>
      <c r="BN597" s="17">
        <v>751</v>
      </c>
      <c r="BO597" s="6">
        <v>25.95034982</v>
      </c>
      <c r="BP597" s="6">
        <v>23.034839470000001</v>
      </c>
      <c r="BQ597" s="6">
        <v>2.9155103499999999</v>
      </c>
    </row>
    <row r="598" spans="1:69" x14ac:dyDescent="0.25">
      <c r="A598" s="31" t="s">
        <v>11</v>
      </c>
      <c r="B598" s="32">
        <v>3</v>
      </c>
      <c r="C598" s="32">
        <v>9</v>
      </c>
      <c r="D598" s="32">
        <v>7</v>
      </c>
      <c r="E598" s="11">
        <v>60</v>
      </c>
      <c r="F598" s="2">
        <v>59.5</v>
      </c>
      <c r="G598">
        <v>29.365466127882101</v>
      </c>
      <c r="H598" t="s">
        <v>12</v>
      </c>
      <c r="I598">
        <v>1</v>
      </c>
      <c r="AD598" s="17">
        <v>596</v>
      </c>
      <c r="AE598" s="6">
        <v>3.04162</v>
      </c>
      <c r="AF598" s="6">
        <v>3.0596999999999999</v>
      </c>
      <c r="AG598" s="6">
        <v>2.9287000000000001</v>
      </c>
      <c r="AH598" s="6">
        <v>255</v>
      </c>
      <c r="AJ598" s="17">
        <v>596</v>
      </c>
      <c r="AK598" s="6">
        <v>5.7675799999999997</v>
      </c>
      <c r="AL598" s="6">
        <v>3.0596999999999999</v>
      </c>
      <c r="AM598" s="6">
        <v>2.9287000000000001</v>
      </c>
      <c r="AN598" s="6">
        <v>255</v>
      </c>
      <c r="AQ598" s="17">
        <v>596</v>
      </c>
      <c r="AR598" s="6">
        <v>1.59724</v>
      </c>
      <c r="AS598" s="6">
        <v>1.5084</v>
      </c>
      <c r="AT598" s="6">
        <v>0.81110000000000004</v>
      </c>
      <c r="AU598" s="6">
        <v>255</v>
      </c>
      <c r="AW598" s="17">
        <v>596</v>
      </c>
      <c r="AX598" s="6">
        <v>0.84233000000000002</v>
      </c>
      <c r="AY598" s="6">
        <v>1.5084</v>
      </c>
      <c r="AZ598" s="6">
        <v>0.81110000000000004</v>
      </c>
      <c r="BA598" s="6">
        <v>255</v>
      </c>
      <c r="BN598" s="17">
        <v>752</v>
      </c>
      <c r="BO598" s="6">
        <v>19.457688810000001</v>
      </c>
      <c r="BP598" s="6">
        <v>23.042050710000002</v>
      </c>
      <c r="BQ598" s="19">
        <v>-3.5843619000000002</v>
      </c>
    </row>
    <row r="599" spans="1:69" x14ac:dyDescent="0.25">
      <c r="A599" s="31" t="s">
        <v>11</v>
      </c>
      <c r="B599" s="32">
        <v>1</v>
      </c>
      <c r="C599" s="32">
        <v>2</v>
      </c>
      <c r="D599" s="32">
        <v>3</v>
      </c>
      <c r="E599" s="11">
        <v>58</v>
      </c>
      <c r="F599" s="2">
        <v>58.7</v>
      </c>
      <c r="G599">
        <v>20.909771732927524</v>
      </c>
      <c r="H599">
        <v>15.5</v>
      </c>
      <c r="I599">
        <v>5</v>
      </c>
      <c r="AD599" s="17">
        <v>597</v>
      </c>
      <c r="AE599" s="6">
        <v>3.05844</v>
      </c>
      <c r="AF599" s="19">
        <v>-5.0064000000000002</v>
      </c>
      <c r="AG599" s="6">
        <v>2.9449000000000001</v>
      </c>
      <c r="AH599" s="6">
        <v>255</v>
      </c>
      <c r="AJ599" s="17">
        <v>597</v>
      </c>
      <c r="AK599" s="6">
        <v>5.7994700000000003</v>
      </c>
      <c r="AL599" s="19">
        <v>-5.0064000000000002</v>
      </c>
      <c r="AM599" s="6">
        <v>2.9449000000000001</v>
      </c>
      <c r="AN599" s="6">
        <v>255</v>
      </c>
      <c r="AQ599" s="17">
        <v>597</v>
      </c>
      <c r="AR599" s="6">
        <v>1.6063799999999999</v>
      </c>
      <c r="AS599" s="6">
        <v>1.0974999999999999</v>
      </c>
      <c r="AT599" s="6">
        <v>0.81569999999999998</v>
      </c>
      <c r="AU599" s="6">
        <v>255</v>
      </c>
      <c r="AW599" s="17">
        <v>597</v>
      </c>
      <c r="AX599" s="6">
        <v>0.84714999999999996</v>
      </c>
      <c r="AY599" s="6">
        <v>1.0974999999999999</v>
      </c>
      <c r="AZ599" s="6">
        <v>0.81569999999999998</v>
      </c>
      <c r="BA599" s="6">
        <v>255</v>
      </c>
      <c r="BN599" s="17">
        <v>753</v>
      </c>
      <c r="BO599" s="6">
        <v>29.365466130000001</v>
      </c>
      <c r="BP599" s="6">
        <v>28.696614579999999</v>
      </c>
      <c r="BQ599" s="6">
        <v>0.66885154999999996</v>
      </c>
    </row>
    <row r="600" spans="1:69" x14ac:dyDescent="0.25">
      <c r="A600" s="31" t="s">
        <v>11</v>
      </c>
      <c r="B600" s="32">
        <v>2</v>
      </c>
      <c r="C600" s="32">
        <v>1</v>
      </c>
      <c r="D600" s="32">
        <v>6</v>
      </c>
      <c r="E600" s="11">
        <v>58</v>
      </c>
      <c r="F600" s="2" t="s">
        <v>12</v>
      </c>
      <c r="G600" t="s">
        <v>12</v>
      </c>
      <c r="H600" t="s">
        <v>12</v>
      </c>
      <c r="I600">
        <v>4</v>
      </c>
      <c r="AD600" s="17">
        <v>598</v>
      </c>
      <c r="AE600" s="6">
        <v>3.0371299999999999</v>
      </c>
      <c r="AF600" s="6">
        <v>3.6360000000000003E-2</v>
      </c>
      <c r="AG600" s="6">
        <v>2.9243999999999999</v>
      </c>
      <c r="AH600" s="6">
        <v>255</v>
      </c>
      <c r="AJ600" s="17">
        <v>598</v>
      </c>
      <c r="AK600" s="6">
        <v>5.75908</v>
      </c>
      <c r="AL600" s="6">
        <v>3.6360000000000003E-2</v>
      </c>
      <c r="AM600" s="6">
        <v>2.9243999999999999</v>
      </c>
      <c r="AN600" s="6">
        <v>255</v>
      </c>
      <c r="AQ600" s="17">
        <v>598</v>
      </c>
      <c r="AR600" s="6">
        <v>1.5954999999999999</v>
      </c>
      <c r="AS600" s="6">
        <v>1.3698999999999999</v>
      </c>
      <c r="AT600" s="6">
        <v>0.81020000000000003</v>
      </c>
      <c r="AU600" s="6">
        <v>255</v>
      </c>
      <c r="AW600" s="17">
        <v>598</v>
      </c>
      <c r="AX600" s="6">
        <v>0.84140999999999999</v>
      </c>
      <c r="AY600" s="6">
        <v>1.3698999999999999</v>
      </c>
      <c r="AZ600" s="6">
        <v>0.81020000000000003</v>
      </c>
      <c r="BA600" s="6">
        <v>255</v>
      </c>
      <c r="BN600" s="17">
        <v>754</v>
      </c>
      <c r="BO600" s="6">
        <v>20.909771729999999</v>
      </c>
      <c r="BP600" s="6">
        <v>18.657403590000001</v>
      </c>
      <c r="BQ600" s="6">
        <v>2.2523681400000002</v>
      </c>
    </row>
    <row r="601" spans="1:69" x14ac:dyDescent="0.25">
      <c r="A601" s="31" t="s">
        <v>11</v>
      </c>
      <c r="B601" s="32">
        <v>3</v>
      </c>
      <c r="C601" s="32">
        <v>15</v>
      </c>
      <c r="D601" s="32">
        <v>7</v>
      </c>
      <c r="E601" s="11">
        <v>58</v>
      </c>
      <c r="F601" s="2">
        <v>59.7</v>
      </c>
      <c r="G601">
        <v>22.066810553838835</v>
      </c>
      <c r="H601" t="s">
        <v>12</v>
      </c>
      <c r="I601">
        <v>3</v>
      </c>
      <c r="AD601" s="17">
        <v>599</v>
      </c>
      <c r="AE601" s="6">
        <v>3.0548099999999998</v>
      </c>
      <c r="AF601" s="6">
        <v>2.5137</v>
      </c>
      <c r="AG601" s="6">
        <v>2.9413999999999998</v>
      </c>
      <c r="AH601" s="6">
        <v>255</v>
      </c>
      <c r="AJ601" s="17">
        <v>599</v>
      </c>
      <c r="AK601" s="6">
        <v>5.7925800000000001</v>
      </c>
      <c r="AL601" s="6">
        <v>2.5137</v>
      </c>
      <c r="AM601" s="6">
        <v>2.9413999999999998</v>
      </c>
      <c r="AN601" s="6">
        <v>255</v>
      </c>
      <c r="AQ601" s="17">
        <v>599</v>
      </c>
      <c r="AR601" s="6">
        <v>1.5981000000000001</v>
      </c>
      <c r="AS601" s="6">
        <v>1.8937999999999999</v>
      </c>
      <c r="AT601" s="6">
        <v>0.8115</v>
      </c>
      <c r="AU601" s="6">
        <v>255</v>
      </c>
      <c r="AW601" s="17">
        <v>599</v>
      </c>
      <c r="AX601" s="6">
        <v>0.84277999999999997</v>
      </c>
      <c r="AY601" s="6">
        <v>1.8937999999999999</v>
      </c>
      <c r="AZ601" s="6">
        <v>0.8115</v>
      </c>
      <c r="BA601" s="6">
        <v>255</v>
      </c>
      <c r="BN601" s="17">
        <v>755</v>
      </c>
      <c r="BO601" s="6" t="s">
        <v>12</v>
      </c>
      <c r="BP601" s="6">
        <v>18.664614830000001</v>
      </c>
      <c r="BQ601" s="6" t="s">
        <v>12</v>
      </c>
    </row>
    <row r="602" spans="1:69" x14ac:dyDescent="0.25">
      <c r="A602" s="31" t="s">
        <v>11</v>
      </c>
      <c r="B602" s="32">
        <v>1</v>
      </c>
      <c r="C602" s="32">
        <v>13</v>
      </c>
      <c r="D602" s="32">
        <v>2</v>
      </c>
      <c r="E602" s="11">
        <v>25</v>
      </c>
      <c r="F602" s="2">
        <v>58.9</v>
      </c>
      <c r="G602">
        <v>25.030597429663072</v>
      </c>
      <c r="H602">
        <v>16</v>
      </c>
      <c r="I602">
        <v>2</v>
      </c>
      <c r="AD602" s="17">
        <v>600</v>
      </c>
      <c r="AE602" s="6">
        <v>3.05491</v>
      </c>
      <c r="AF602" s="6">
        <v>0.59440000000000004</v>
      </c>
      <c r="AG602" s="6">
        <v>2.9415</v>
      </c>
      <c r="AH602" s="6">
        <v>255</v>
      </c>
      <c r="AJ602" s="17">
        <v>600</v>
      </c>
      <c r="AK602" s="6">
        <v>5.7927799999999996</v>
      </c>
      <c r="AL602" s="6">
        <v>0.59440000000000004</v>
      </c>
      <c r="AM602" s="6">
        <v>2.9415</v>
      </c>
      <c r="AN602" s="6">
        <v>255</v>
      </c>
      <c r="AQ602" s="17">
        <v>600</v>
      </c>
      <c r="AR602" s="6">
        <v>1.6030599999999999</v>
      </c>
      <c r="AS602" s="6">
        <v>0.71109999999999995</v>
      </c>
      <c r="AT602" s="6">
        <v>0.81399999999999995</v>
      </c>
      <c r="AU602" s="6">
        <v>255</v>
      </c>
      <c r="AW602" s="17">
        <v>600</v>
      </c>
      <c r="AX602" s="6">
        <v>0.84540000000000004</v>
      </c>
      <c r="AY602" s="6">
        <v>0.71109999999999995</v>
      </c>
      <c r="AZ602" s="6">
        <v>0.81399999999999995</v>
      </c>
      <c r="BA602" s="6">
        <v>255</v>
      </c>
      <c r="BN602" s="17">
        <v>756</v>
      </c>
      <c r="BO602" s="6">
        <v>22.06681055</v>
      </c>
      <c r="BP602" s="6">
        <v>24.319178690000001</v>
      </c>
      <c r="BQ602" s="19">
        <v>-2.2523681400000002</v>
      </c>
    </row>
    <row r="603" spans="1:69" x14ac:dyDescent="0.25">
      <c r="A603" s="31" t="s">
        <v>11</v>
      </c>
      <c r="B603" s="32">
        <v>2</v>
      </c>
      <c r="C603" s="32">
        <v>3</v>
      </c>
      <c r="D603" s="32">
        <v>6</v>
      </c>
      <c r="E603" s="11">
        <v>25</v>
      </c>
      <c r="F603" s="2" t="s">
        <v>12</v>
      </c>
      <c r="G603" t="s">
        <v>12</v>
      </c>
      <c r="H603" t="s">
        <v>12</v>
      </c>
      <c r="I603">
        <v>4</v>
      </c>
      <c r="AD603" s="17">
        <v>601</v>
      </c>
      <c r="AE603" s="6">
        <v>3.05301</v>
      </c>
      <c r="AF603" s="6">
        <v>1.9054</v>
      </c>
      <c r="AG603" s="6">
        <v>2.9397000000000002</v>
      </c>
      <c r="AH603" s="6">
        <v>255</v>
      </c>
      <c r="AJ603" s="17">
        <v>601</v>
      </c>
      <c r="AK603" s="6">
        <v>5.7891899999999996</v>
      </c>
      <c r="AL603" s="6">
        <v>1.9054</v>
      </c>
      <c r="AM603" s="6">
        <v>2.9397000000000002</v>
      </c>
      <c r="AN603" s="6">
        <v>255</v>
      </c>
      <c r="AQ603" s="17">
        <v>601</v>
      </c>
      <c r="AR603" s="6">
        <v>1.60103</v>
      </c>
      <c r="AS603" s="6">
        <v>0.52270000000000005</v>
      </c>
      <c r="AT603" s="6">
        <v>0.81299999999999994</v>
      </c>
      <c r="AU603" s="6">
        <v>255</v>
      </c>
      <c r="AW603" s="17">
        <v>601</v>
      </c>
      <c r="AX603" s="6">
        <v>0.84433000000000002</v>
      </c>
      <c r="AY603" s="6">
        <v>0.52270000000000005</v>
      </c>
      <c r="AZ603" s="6">
        <v>0.81299999999999994</v>
      </c>
      <c r="BA603" s="6">
        <v>255</v>
      </c>
      <c r="BN603" s="17">
        <v>757</v>
      </c>
      <c r="BO603" s="6">
        <v>25.03059743</v>
      </c>
      <c r="BP603" s="6">
        <v>23.163768139999998</v>
      </c>
      <c r="BQ603" s="6">
        <v>1.8668292900000001</v>
      </c>
    </row>
    <row r="604" spans="1:69" x14ac:dyDescent="0.25">
      <c r="A604" s="31" t="s">
        <v>11</v>
      </c>
      <c r="B604" s="32">
        <v>3</v>
      </c>
      <c r="C604" s="32">
        <v>8</v>
      </c>
      <c r="D604" s="32">
        <v>9</v>
      </c>
      <c r="E604" s="11">
        <v>25</v>
      </c>
      <c r="F604" s="2">
        <v>57.8</v>
      </c>
      <c r="G604">
        <v>26.958713954259196</v>
      </c>
      <c r="H604" t="s">
        <v>12</v>
      </c>
      <c r="I604">
        <v>2</v>
      </c>
      <c r="AD604" s="17">
        <v>602</v>
      </c>
      <c r="AE604" s="6">
        <v>3.04461</v>
      </c>
      <c r="AF604" s="6">
        <v>3.7991000000000001</v>
      </c>
      <c r="AG604" s="6">
        <v>2.9316</v>
      </c>
      <c r="AH604" s="6">
        <v>255</v>
      </c>
      <c r="AJ604" s="17">
        <v>602</v>
      </c>
      <c r="AK604" s="6">
        <v>5.7732400000000004</v>
      </c>
      <c r="AL604" s="6">
        <v>3.7991000000000001</v>
      </c>
      <c r="AM604" s="6">
        <v>2.9316</v>
      </c>
      <c r="AN604" s="6">
        <v>255</v>
      </c>
      <c r="AQ604" s="17">
        <v>602</v>
      </c>
      <c r="AR604" s="6">
        <v>1.5984799999999999</v>
      </c>
      <c r="AS604" s="6">
        <v>1.4522999999999999</v>
      </c>
      <c r="AT604" s="6">
        <v>0.81169999999999998</v>
      </c>
      <c r="AU604" s="6">
        <v>255</v>
      </c>
      <c r="AW604" s="17">
        <v>602</v>
      </c>
      <c r="AX604" s="6">
        <v>0.84297999999999995</v>
      </c>
      <c r="AY604" s="6">
        <v>1.4522999999999999</v>
      </c>
      <c r="AZ604" s="6">
        <v>0.81169999999999998</v>
      </c>
      <c r="BA604" s="6">
        <v>255</v>
      </c>
      <c r="BN604" s="17">
        <v>758</v>
      </c>
      <c r="BO604" s="6" t="s">
        <v>12</v>
      </c>
      <c r="BP604" s="6">
        <v>23.170979379999999</v>
      </c>
      <c r="BQ604" s="6" t="s">
        <v>12</v>
      </c>
    </row>
    <row r="605" spans="1:69" x14ac:dyDescent="0.25">
      <c r="A605" s="31" t="s">
        <v>11</v>
      </c>
      <c r="B605" s="32">
        <v>1</v>
      </c>
      <c r="C605" s="32">
        <v>2</v>
      </c>
      <c r="D605" s="32">
        <v>2</v>
      </c>
      <c r="E605" s="11">
        <v>34</v>
      </c>
      <c r="F605" s="2">
        <v>58.8</v>
      </c>
      <c r="G605">
        <v>25.619842207115564</v>
      </c>
      <c r="H605">
        <v>14.9</v>
      </c>
      <c r="I605">
        <v>4</v>
      </c>
      <c r="AD605" s="17">
        <v>603</v>
      </c>
      <c r="AE605" s="6">
        <v>3.0622500000000001</v>
      </c>
      <c r="AF605" s="19">
        <v>-2.3506999999999998</v>
      </c>
      <c r="AG605" s="6">
        <v>2.9485999999999999</v>
      </c>
      <c r="AH605" s="6">
        <v>255</v>
      </c>
      <c r="AJ605" s="17">
        <v>603</v>
      </c>
      <c r="AK605" s="6">
        <v>5.8067000000000002</v>
      </c>
      <c r="AL605" s="19">
        <v>-2.3506999999999998</v>
      </c>
      <c r="AM605" s="6">
        <v>2.9485999999999999</v>
      </c>
      <c r="AN605" s="6">
        <v>255</v>
      </c>
      <c r="AQ605" s="17">
        <v>603</v>
      </c>
      <c r="AR605" s="6">
        <v>1.6067899999999999</v>
      </c>
      <c r="AS605" s="19">
        <v>-0.91220000000000001</v>
      </c>
      <c r="AT605" s="6">
        <v>0.81589999999999996</v>
      </c>
      <c r="AU605" s="6">
        <v>255</v>
      </c>
      <c r="AW605" s="17">
        <v>603</v>
      </c>
      <c r="AX605" s="6">
        <v>0.84736</v>
      </c>
      <c r="AY605" s="19">
        <v>-0.91220000000000001</v>
      </c>
      <c r="AZ605" s="6">
        <v>0.81589999999999996</v>
      </c>
      <c r="BA605" s="6">
        <v>255</v>
      </c>
      <c r="BN605" s="17">
        <v>759</v>
      </c>
      <c r="BO605" s="6">
        <v>26.95871395</v>
      </c>
      <c r="BP605" s="6">
        <v>28.825543239999998</v>
      </c>
      <c r="BQ605" s="19">
        <v>-1.8668292900000001</v>
      </c>
    </row>
    <row r="606" spans="1:69" x14ac:dyDescent="0.25">
      <c r="A606" s="31" t="s">
        <v>11</v>
      </c>
      <c r="B606" s="32">
        <v>2</v>
      </c>
      <c r="C606" s="32">
        <v>3</v>
      </c>
      <c r="D606" s="32">
        <v>4</v>
      </c>
      <c r="E606" s="11">
        <v>34</v>
      </c>
      <c r="F606" s="2" t="s">
        <v>12</v>
      </c>
      <c r="G606">
        <v>17.234344432882409</v>
      </c>
      <c r="H606" t="s">
        <v>12</v>
      </c>
      <c r="I606">
        <v>4</v>
      </c>
      <c r="AD606" s="17">
        <v>604</v>
      </c>
      <c r="AE606" s="6">
        <v>3.05932</v>
      </c>
      <c r="AF606" s="6">
        <v>0.7742</v>
      </c>
      <c r="AG606" s="6">
        <v>2.9458000000000002</v>
      </c>
      <c r="AH606" s="6">
        <v>255</v>
      </c>
      <c r="AJ606" s="17">
        <v>604</v>
      </c>
      <c r="AK606" s="6">
        <v>5.8011400000000002</v>
      </c>
      <c r="AL606" s="6">
        <v>0.7742</v>
      </c>
      <c r="AM606" s="6">
        <v>2.9458000000000002</v>
      </c>
      <c r="AN606" s="6">
        <v>255</v>
      </c>
      <c r="AQ606" s="17">
        <v>604</v>
      </c>
      <c r="AR606" s="6">
        <v>1.59944</v>
      </c>
      <c r="AS606" s="6">
        <v>1.4610000000000001</v>
      </c>
      <c r="AT606" s="6">
        <v>0.81220000000000003</v>
      </c>
      <c r="AU606" s="6">
        <v>255</v>
      </c>
      <c r="AW606" s="17">
        <v>604</v>
      </c>
      <c r="AX606" s="6">
        <v>0.84348999999999996</v>
      </c>
      <c r="AY606" s="6">
        <v>1.4610000000000001</v>
      </c>
      <c r="AZ606" s="6">
        <v>0.81220000000000003</v>
      </c>
      <c r="BA606" s="6">
        <v>255</v>
      </c>
      <c r="BN606" s="17">
        <v>760</v>
      </c>
      <c r="BO606" s="6">
        <v>25.619842210000002</v>
      </c>
      <c r="BP606" s="6">
        <v>19.7092536</v>
      </c>
      <c r="BQ606" s="6">
        <v>5.9105886099999996</v>
      </c>
    </row>
    <row r="607" spans="1:69" x14ac:dyDescent="0.25">
      <c r="A607" s="31" t="s">
        <v>11</v>
      </c>
      <c r="B607" s="32">
        <v>3</v>
      </c>
      <c r="C607" s="32">
        <v>10</v>
      </c>
      <c r="D607" s="32">
        <v>7</v>
      </c>
      <c r="E607" s="11">
        <v>34</v>
      </c>
      <c r="F607" s="2">
        <v>57.6</v>
      </c>
      <c r="G607">
        <v>21.942560494414071</v>
      </c>
      <c r="H607" t="s">
        <v>12</v>
      </c>
      <c r="I607">
        <v>4</v>
      </c>
      <c r="AD607" s="17">
        <v>605</v>
      </c>
      <c r="AE607" s="6">
        <v>3.0472999999999999</v>
      </c>
      <c r="AF607" s="6">
        <v>3.0918999999999999</v>
      </c>
      <c r="AG607" s="6">
        <v>2.9342000000000001</v>
      </c>
      <c r="AH607" s="6">
        <v>255</v>
      </c>
      <c r="AJ607" s="17">
        <v>605</v>
      </c>
      <c r="AK607" s="6">
        <v>5.7783499999999997</v>
      </c>
      <c r="AL607" s="6">
        <v>3.0918999999999999</v>
      </c>
      <c r="AM607" s="6">
        <v>2.9342000000000001</v>
      </c>
      <c r="AN607" s="6">
        <v>255</v>
      </c>
      <c r="AQ607" s="17">
        <v>605</v>
      </c>
      <c r="AR607" s="6">
        <v>1.6046800000000001</v>
      </c>
      <c r="AS607" s="6">
        <v>1.1936</v>
      </c>
      <c r="AT607" s="6">
        <v>0.81479999999999997</v>
      </c>
      <c r="AU607" s="6">
        <v>255</v>
      </c>
      <c r="AW607" s="17">
        <v>605</v>
      </c>
      <c r="AX607" s="6">
        <v>0.84624999999999995</v>
      </c>
      <c r="AY607" s="6">
        <v>1.1936</v>
      </c>
      <c r="AZ607" s="6">
        <v>0.81479999999999997</v>
      </c>
      <c r="BA607" s="6">
        <v>255</v>
      </c>
      <c r="BN607" s="17">
        <v>761</v>
      </c>
      <c r="BO607" s="6">
        <v>17.23434443</v>
      </c>
      <c r="BP607" s="6">
        <v>19.71646484</v>
      </c>
      <c r="BQ607" s="19">
        <v>-2.4821204099999998</v>
      </c>
    </row>
    <row r="608" spans="1:69" x14ac:dyDescent="0.25">
      <c r="A608" s="31" t="s">
        <v>11</v>
      </c>
      <c r="B608" s="32">
        <v>1</v>
      </c>
      <c r="C608" s="32">
        <v>9</v>
      </c>
      <c r="D608" s="32">
        <v>3</v>
      </c>
      <c r="E608" s="11">
        <v>35</v>
      </c>
      <c r="F608" s="2" t="s">
        <v>12</v>
      </c>
      <c r="G608">
        <v>15.654786950732355</v>
      </c>
      <c r="H608">
        <v>13.1</v>
      </c>
      <c r="I608">
        <v>3</v>
      </c>
      <c r="AD608" s="17">
        <v>606</v>
      </c>
      <c r="AE608" s="6">
        <v>3.05206</v>
      </c>
      <c r="AF608" s="6">
        <v>2.9687000000000001</v>
      </c>
      <c r="AG608" s="6">
        <v>2.9388000000000001</v>
      </c>
      <c r="AH608" s="6">
        <v>255</v>
      </c>
      <c r="AJ608" s="17">
        <v>606</v>
      </c>
      <c r="AK608" s="6">
        <v>5.7873700000000001</v>
      </c>
      <c r="AL608" s="6">
        <v>2.9687000000000001</v>
      </c>
      <c r="AM608" s="6">
        <v>2.9388000000000001</v>
      </c>
      <c r="AN608" s="6">
        <v>255</v>
      </c>
      <c r="AQ608" s="17">
        <v>606</v>
      </c>
      <c r="AR608" s="6">
        <v>1.6026899999999999</v>
      </c>
      <c r="AS608" s="6">
        <v>1.4459</v>
      </c>
      <c r="AT608" s="6">
        <v>0.81379999999999997</v>
      </c>
      <c r="AU608" s="6">
        <v>255</v>
      </c>
      <c r="AW608" s="17">
        <v>606</v>
      </c>
      <c r="AX608" s="6">
        <v>0.84519999999999995</v>
      </c>
      <c r="AY608" s="6">
        <v>1.4459</v>
      </c>
      <c r="AZ608" s="6">
        <v>0.81379999999999997</v>
      </c>
      <c r="BA608" s="6">
        <v>255</v>
      </c>
      <c r="BN608" s="17">
        <v>762</v>
      </c>
      <c r="BO608" s="6">
        <v>21.942560490000002</v>
      </c>
      <c r="BP608" s="6">
        <v>25.3710287</v>
      </c>
      <c r="BQ608" s="19">
        <v>-3.4284682100000001</v>
      </c>
    </row>
    <row r="609" spans="1:69" x14ac:dyDescent="0.25">
      <c r="A609" s="31" t="s">
        <v>11</v>
      </c>
      <c r="B609" s="32">
        <v>2</v>
      </c>
      <c r="C609" s="32">
        <v>11</v>
      </c>
      <c r="D609" s="32">
        <v>5</v>
      </c>
      <c r="E609" s="11">
        <v>35</v>
      </c>
      <c r="F609" s="2">
        <v>59.4</v>
      </c>
      <c r="G609">
        <v>23.413232124898226</v>
      </c>
      <c r="H609" t="s">
        <v>12</v>
      </c>
      <c r="I609">
        <v>4</v>
      </c>
      <c r="AD609" s="17">
        <v>607</v>
      </c>
      <c r="AE609" s="6">
        <v>3.0596199999999998</v>
      </c>
      <c r="AF609" s="19">
        <v>-0.51790000000000003</v>
      </c>
      <c r="AG609" s="6">
        <v>2.9460999999999999</v>
      </c>
      <c r="AH609" s="6">
        <v>255</v>
      </c>
      <c r="AJ609" s="17">
        <v>607</v>
      </c>
      <c r="AK609" s="6">
        <v>5.8017099999999999</v>
      </c>
      <c r="AL609" s="19">
        <v>-0.51790000000000003</v>
      </c>
      <c r="AM609" s="6">
        <v>2.9460999999999999</v>
      </c>
      <c r="AN609" s="6">
        <v>255</v>
      </c>
      <c r="AQ609" s="17">
        <v>607</v>
      </c>
      <c r="AR609" s="6">
        <v>1.59995</v>
      </c>
      <c r="AS609" s="6">
        <v>6.5100000000000005E-2</v>
      </c>
      <c r="AT609" s="6">
        <v>0.81240000000000001</v>
      </c>
      <c r="AU609" s="6">
        <v>255</v>
      </c>
      <c r="AW609" s="17">
        <v>607</v>
      </c>
      <c r="AX609" s="6">
        <v>0.84375999999999995</v>
      </c>
      <c r="AY609" s="6">
        <v>6.5100000000000005E-2</v>
      </c>
      <c r="AZ609" s="6">
        <v>0.81240000000000001</v>
      </c>
      <c r="BA609" s="6">
        <v>255</v>
      </c>
      <c r="BN609" s="17">
        <v>763</v>
      </c>
      <c r="BO609" s="6">
        <v>15.65478695</v>
      </c>
      <c r="BP609" s="6">
        <v>18.04172865</v>
      </c>
      <c r="BQ609" s="19">
        <v>-2.3869416999999999</v>
      </c>
    </row>
    <row r="610" spans="1:69" x14ac:dyDescent="0.25">
      <c r="A610" s="31" t="s">
        <v>11</v>
      </c>
      <c r="B610" s="32">
        <v>3</v>
      </c>
      <c r="C610" s="32">
        <v>14</v>
      </c>
      <c r="D610" s="32">
        <v>9</v>
      </c>
      <c r="E610" s="11">
        <v>35</v>
      </c>
      <c r="F610" s="2">
        <v>57.7</v>
      </c>
      <c r="G610">
        <v>20.726153226952032</v>
      </c>
      <c r="H610" t="s">
        <v>12</v>
      </c>
      <c r="I610">
        <v>2</v>
      </c>
      <c r="AD610" s="17">
        <v>608</v>
      </c>
      <c r="AE610" s="6">
        <v>3.0393400000000002</v>
      </c>
      <c r="AF610" s="6">
        <v>0.66979999999999995</v>
      </c>
      <c r="AG610" s="6">
        <v>2.9264999999999999</v>
      </c>
      <c r="AH610" s="6">
        <v>255</v>
      </c>
      <c r="AJ610" s="17">
        <v>608</v>
      </c>
      <c r="AK610" s="6">
        <v>5.7632500000000002</v>
      </c>
      <c r="AL610" s="6">
        <v>0.66979999999999995</v>
      </c>
      <c r="AM610" s="6">
        <v>2.9264999999999999</v>
      </c>
      <c r="AN610" s="6">
        <v>255</v>
      </c>
      <c r="AQ610" s="17">
        <v>608</v>
      </c>
      <c r="AR610" s="6">
        <v>1.59229</v>
      </c>
      <c r="AS610" s="6">
        <v>0.42830000000000001</v>
      </c>
      <c r="AT610" s="6">
        <v>0.80859999999999999</v>
      </c>
      <c r="AU610" s="6">
        <v>255</v>
      </c>
      <c r="AW610" s="17">
        <v>608</v>
      </c>
      <c r="AX610" s="6">
        <v>0.83972000000000002</v>
      </c>
      <c r="AY610" s="6">
        <v>0.42830000000000001</v>
      </c>
      <c r="AZ610" s="6">
        <v>0.80859999999999999</v>
      </c>
      <c r="BA610" s="6">
        <v>255</v>
      </c>
      <c r="BN610" s="17">
        <v>764</v>
      </c>
      <c r="BO610" s="6">
        <v>23.41323212</v>
      </c>
      <c r="BP610" s="6">
        <v>18.04893989</v>
      </c>
      <c r="BQ610" s="6">
        <v>5.3642922300000002</v>
      </c>
    </row>
    <row r="611" spans="1:69" x14ac:dyDescent="0.25">
      <c r="A611" s="31" t="s">
        <v>11</v>
      </c>
      <c r="B611" s="32">
        <v>1</v>
      </c>
      <c r="C611" s="32">
        <v>18</v>
      </c>
      <c r="D611" s="32">
        <v>3</v>
      </c>
      <c r="E611" s="11">
        <v>57</v>
      </c>
      <c r="F611" s="2">
        <v>58.8</v>
      </c>
      <c r="G611">
        <v>22.199295225413728</v>
      </c>
      <c r="H611">
        <v>15.2</v>
      </c>
      <c r="I611">
        <v>5</v>
      </c>
      <c r="AD611" s="17">
        <v>609</v>
      </c>
      <c r="AE611" s="6">
        <v>3.0519500000000002</v>
      </c>
      <c r="AF611" s="6">
        <v>1.2427999999999999</v>
      </c>
      <c r="AG611" s="6">
        <v>2.9386999999999999</v>
      </c>
      <c r="AH611" s="6">
        <v>255</v>
      </c>
      <c r="AJ611" s="17">
        <v>609</v>
      </c>
      <c r="AK611" s="6">
        <v>5.7871600000000001</v>
      </c>
      <c r="AL611" s="6">
        <v>1.2427999999999999</v>
      </c>
      <c r="AM611" s="6">
        <v>2.9386999999999999</v>
      </c>
      <c r="AN611" s="6">
        <v>255</v>
      </c>
      <c r="AQ611" s="17">
        <v>609</v>
      </c>
      <c r="AR611" s="6">
        <v>1.6008199999999999</v>
      </c>
      <c r="AS611" s="6">
        <v>0.96379999999999999</v>
      </c>
      <c r="AT611" s="6">
        <v>0.81289999999999996</v>
      </c>
      <c r="AU611" s="6">
        <v>255</v>
      </c>
      <c r="AW611" s="17">
        <v>609</v>
      </c>
      <c r="AX611" s="6">
        <v>0.84421999999999997</v>
      </c>
      <c r="AY611" s="6">
        <v>0.96379999999999999</v>
      </c>
      <c r="AZ611" s="6">
        <v>0.81289999999999996</v>
      </c>
      <c r="BA611" s="6">
        <v>255</v>
      </c>
      <c r="BN611" s="17">
        <v>765</v>
      </c>
      <c r="BO611" s="6">
        <v>20.726153230000001</v>
      </c>
      <c r="BP611" s="6">
        <v>23.70350376</v>
      </c>
      <c r="BQ611" s="19">
        <v>-2.9773505299999998</v>
      </c>
    </row>
    <row r="612" spans="1:69" x14ac:dyDescent="0.25">
      <c r="A612" s="31" t="s">
        <v>11</v>
      </c>
      <c r="B612" s="32">
        <v>2</v>
      </c>
      <c r="C612" s="32">
        <v>4</v>
      </c>
      <c r="D612" s="32">
        <v>4</v>
      </c>
      <c r="E612" s="11">
        <v>57</v>
      </c>
      <c r="F612" s="2">
        <v>58.7</v>
      </c>
      <c r="G612">
        <v>22.620722461721417</v>
      </c>
      <c r="H612" t="s">
        <v>12</v>
      </c>
      <c r="I612">
        <v>3</v>
      </c>
      <c r="AD612" s="17">
        <v>610</v>
      </c>
      <c r="AE612" s="6">
        <v>3.0468000000000002</v>
      </c>
      <c r="AF612" s="6">
        <v>1.266</v>
      </c>
      <c r="AG612" s="6">
        <v>2.9337</v>
      </c>
      <c r="AH612" s="6">
        <v>255</v>
      </c>
      <c r="AJ612" s="17">
        <v>610</v>
      </c>
      <c r="AK612" s="6">
        <v>5.7774099999999997</v>
      </c>
      <c r="AL612" s="6">
        <v>1.266</v>
      </c>
      <c r="AM612" s="6">
        <v>2.9337</v>
      </c>
      <c r="AN612" s="6">
        <v>255</v>
      </c>
      <c r="AQ612" s="17">
        <v>610</v>
      </c>
      <c r="AR612" s="6">
        <v>1.59717</v>
      </c>
      <c r="AS612" s="6">
        <v>1.4278999999999999</v>
      </c>
      <c r="AT612" s="6">
        <v>0.81100000000000005</v>
      </c>
      <c r="AU612" s="6">
        <v>255</v>
      </c>
      <c r="AW612" s="17">
        <v>610</v>
      </c>
      <c r="AX612" s="6">
        <v>0.84228999999999998</v>
      </c>
      <c r="AY612" s="6">
        <v>1.4278999999999999</v>
      </c>
      <c r="AZ612" s="6">
        <v>0.81100000000000005</v>
      </c>
      <c r="BA612" s="6">
        <v>255</v>
      </c>
      <c r="BN612" s="17">
        <v>766</v>
      </c>
      <c r="BO612" s="6">
        <v>22.199295230000001</v>
      </c>
      <c r="BP612" s="6">
        <v>23.621560800000001</v>
      </c>
      <c r="BQ612" s="19">
        <v>-1.42226557</v>
      </c>
    </row>
    <row r="613" spans="1:69" x14ac:dyDescent="0.25">
      <c r="A613" s="31" t="s">
        <v>11</v>
      </c>
      <c r="B613" s="32">
        <v>3</v>
      </c>
      <c r="C613" s="32">
        <v>3</v>
      </c>
      <c r="D613" s="32">
        <v>7</v>
      </c>
      <c r="E613" s="11">
        <v>57</v>
      </c>
      <c r="F613" s="2">
        <v>59.4</v>
      </c>
      <c r="G613">
        <v>31.713651057760867</v>
      </c>
      <c r="H613" t="s">
        <v>12</v>
      </c>
      <c r="I613">
        <v>4</v>
      </c>
      <c r="AD613" s="17">
        <v>611</v>
      </c>
      <c r="AE613" s="6">
        <v>3.0594100000000002</v>
      </c>
      <c r="AF613" s="6">
        <v>0.28360000000000002</v>
      </c>
      <c r="AG613" s="6">
        <v>2.9459</v>
      </c>
      <c r="AH613" s="6">
        <v>255</v>
      </c>
      <c r="AJ613" s="17">
        <v>611</v>
      </c>
      <c r="AK613" s="6">
        <v>5.8013199999999996</v>
      </c>
      <c r="AL613" s="6">
        <v>0.28360000000000002</v>
      </c>
      <c r="AM613" s="6">
        <v>2.9459</v>
      </c>
      <c r="AN613" s="6">
        <v>255</v>
      </c>
      <c r="AQ613" s="17">
        <v>611</v>
      </c>
      <c r="AR613" s="6">
        <v>1.6008899999999999</v>
      </c>
      <c r="AS613" s="6">
        <v>0.3135</v>
      </c>
      <c r="AT613" s="6">
        <v>0.81289999999999996</v>
      </c>
      <c r="AU613" s="6">
        <v>255</v>
      </c>
      <c r="AW613" s="17">
        <v>611</v>
      </c>
      <c r="AX613" s="6">
        <v>0.84424999999999994</v>
      </c>
      <c r="AY613" s="6">
        <v>0.3135</v>
      </c>
      <c r="AZ613" s="6">
        <v>0.81289999999999996</v>
      </c>
      <c r="BA613" s="6">
        <v>255</v>
      </c>
      <c r="BN613" s="17">
        <v>767</v>
      </c>
      <c r="BO613" s="6">
        <v>22.62072246</v>
      </c>
      <c r="BP613" s="6">
        <v>23.628772040000001</v>
      </c>
      <c r="BQ613" s="19">
        <v>-1.00804958</v>
      </c>
    </row>
    <row r="614" spans="1:69" x14ac:dyDescent="0.25">
      <c r="A614" s="31" t="s">
        <v>11</v>
      </c>
      <c r="B614" s="32">
        <v>1</v>
      </c>
      <c r="C614" s="32">
        <v>11</v>
      </c>
      <c r="D614" s="32">
        <v>1</v>
      </c>
      <c r="E614" s="11">
        <v>49</v>
      </c>
      <c r="F614" s="2">
        <v>58.4</v>
      </c>
      <c r="G614">
        <v>29.270180774459931</v>
      </c>
      <c r="H614">
        <v>16.3</v>
      </c>
      <c r="I614">
        <v>1</v>
      </c>
      <c r="AD614" s="17">
        <v>612</v>
      </c>
      <c r="AE614" s="6">
        <v>3.0441799999999999</v>
      </c>
      <c r="AF614" s="6">
        <v>7.8733000000000004</v>
      </c>
      <c r="AG614" s="6">
        <v>2.9312</v>
      </c>
      <c r="AH614" s="6">
        <v>255</v>
      </c>
      <c r="AJ614" s="17">
        <v>612</v>
      </c>
      <c r="AK614" s="6">
        <v>5.7724399999999996</v>
      </c>
      <c r="AL614" s="6">
        <v>7.8733000000000004</v>
      </c>
      <c r="AM614" s="6">
        <v>2.9312</v>
      </c>
      <c r="AN614" s="6">
        <v>255</v>
      </c>
      <c r="AQ614" s="17">
        <v>612</v>
      </c>
      <c r="AR614" s="6">
        <v>1.6042700000000001</v>
      </c>
      <c r="AS614" s="6">
        <v>1.6890000000000001</v>
      </c>
      <c r="AT614" s="6">
        <v>0.81459999999999999</v>
      </c>
      <c r="AU614" s="6">
        <v>255</v>
      </c>
      <c r="AW614" s="17">
        <v>612</v>
      </c>
      <c r="AX614" s="6">
        <v>0.84602999999999995</v>
      </c>
      <c r="AY614" s="6">
        <v>1.6890000000000001</v>
      </c>
      <c r="AZ614" s="6">
        <v>0.81459999999999999</v>
      </c>
      <c r="BA614" s="6">
        <v>255</v>
      </c>
      <c r="BN614" s="17">
        <v>768</v>
      </c>
      <c r="BO614" s="6">
        <v>31.71365106</v>
      </c>
      <c r="BP614" s="6">
        <v>29.283335910000002</v>
      </c>
      <c r="BQ614" s="6">
        <v>2.4303151500000002</v>
      </c>
    </row>
    <row r="615" spans="1:69" x14ac:dyDescent="0.25">
      <c r="A615" s="31" t="s">
        <v>11</v>
      </c>
      <c r="B615" s="32">
        <v>2</v>
      </c>
      <c r="C615" s="32">
        <v>3</v>
      </c>
      <c r="D615" s="32">
        <v>5</v>
      </c>
      <c r="E615" s="11">
        <v>49</v>
      </c>
      <c r="F615" s="2">
        <v>58.3</v>
      </c>
      <c r="G615" t="s">
        <v>12</v>
      </c>
      <c r="H615" t="s">
        <v>12</v>
      </c>
      <c r="I615">
        <v>1</v>
      </c>
      <c r="AD615" s="17">
        <v>613</v>
      </c>
      <c r="AE615" s="6">
        <v>3.0308600000000001</v>
      </c>
      <c r="AF615" s="6">
        <v>1.8329</v>
      </c>
      <c r="AG615" s="6">
        <v>2.9184000000000001</v>
      </c>
      <c r="AH615" s="6">
        <v>255</v>
      </c>
      <c r="AJ615" s="17">
        <v>613</v>
      </c>
      <c r="AK615" s="6">
        <v>5.7471800000000002</v>
      </c>
      <c r="AL615" s="6">
        <v>1.8329</v>
      </c>
      <c r="AM615" s="6">
        <v>2.9184000000000001</v>
      </c>
      <c r="AN615" s="6">
        <v>255</v>
      </c>
      <c r="AQ615" s="17">
        <v>613</v>
      </c>
      <c r="AR615" s="6">
        <v>1.5933900000000001</v>
      </c>
      <c r="AS615" s="6">
        <v>0.3196</v>
      </c>
      <c r="AT615" s="6">
        <v>0.80910000000000004</v>
      </c>
      <c r="AU615" s="6">
        <v>255</v>
      </c>
      <c r="AW615" s="17">
        <v>613</v>
      </c>
      <c r="AX615" s="6">
        <v>0.84030000000000005</v>
      </c>
      <c r="AY615" s="6">
        <v>0.3196</v>
      </c>
      <c r="AZ615" s="6">
        <v>0.80910000000000004</v>
      </c>
      <c r="BA615" s="6">
        <v>255</v>
      </c>
      <c r="BN615" s="17">
        <v>769</v>
      </c>
      <c r="BO615" s="6">
        <v>29.27018077</v>
      </c>
      <c r="BP615" s="6">
        <v>31.8879366</v>
      </c>
      <c r="BQ615" s="19">
        <v>-2.6177558300000001</v>
      </c>
    </row>
    <row r="616" spans="1:69" x14ac:dyDescent="0.25">
      <c r="A616" s="31" t="s">
        <v>11</v>
      </c>
      <c r="B616" s="32">
        <v>3</v>
      </c>
      <c r="C616" s="32">
        <v>5</v>
      </c>
      <c r="D616" s="32">
        <v>8</v>
      </c>
      <c r="E616" s="11">
        <v>49</v>
      </c>
      <c r="F616" s="2">
        <v>60.1</v>
      </c>
      <c r="G616">
        <v>40.167467532467533</v>
      </c>
      <c r="H616" t="s">
        <v>12</v>
      </c>
      <c r="I616">
        <v>1</v>
      </c>
      <c r="AD616" s="17">
        <v>614</v>
      </c>
      <c r="AE616" s="6">
        <v>3.0591699999999999</v>
      </c>
      <c r="AF616" s="6">
        <v>10.5968</v>
      </c>
      <c r="AG616" s="6">
        <v>2.9456000000000002</v>
      </c>
      <c r="AH616" s="6">
        <v>255</v>
      </c>
      <c r="AJ616" s="17">
        <v>614</v>
      </c>
      <c r="AK616" s="6">
        <v>5.8008699999999997</v>
      </c>
      <c r="AL616" s="6">
        <v>10.5968</v>
      </c>
      <c r="AM616" s="6">
        <v>2.9456000000000002</v>
      </c>
      <c r="AN616" s="6">
        <v>255</v>
      </c>
      <c r="AQ616" s="17">
        <v>614</v>
      </c>
      <c r="AR616" s="6">
        <v>1.60825</v>
      </c>
      <c r="AS616" s="6">
        <v>2.8109999999999999</v>
      </c>
      <c r="AT616" s="6">
        <v>0.81669999999999998</v>
      </c>
      <c r="AU616" s="6">
        <v>255</v>
      </c>
      <c r="AW616" s="17">
        <v>614</v>
      </c>
      <c r="AX616" s="6">
        <v>0.84814000000000001</v>
      </c>
      <c r="AY616" s="6">
        <v>2.8109999999999999</v>
      </c>
      <c r="AZ616" s="6">
        <v>0.81669999999999998</v>
      </c>
      <c r="BA616" s="6">
        <v>255</v>
      </c>
      <c r="BN616" s="17">
        <v>770</v>
      </c>
      <c r="BO616" s="6" t="s">
        <v>12</v>
      </c>
      <c r="BP616" s="6">
        <v>31.89514784</v>
      </c>
      <c r="BQ616" s="6" t="s">
        <v>12</v>
      </c>
    </row>
    <row r="617" spans="1:69" x14ac:dyDescent="0.25">
      <c r="A617" s="31" t="s">
        <v>11</v>
      </c>
      <c r="B617" s="32">
        <v>1</v>
      </c>
      <c r="C617" s="32">
        <v>6</v>
      </c>
      <c r="D617" s="32">
        <v>3</v>
      </c>
      <c r="E617" s="11">
        <v>48</v>
      </c>
      <c r="F617" s="2">
        <v>58.7</v>
      </c>
      <c r="G617">
        <v>36.458628495339539</v>
      </c>
      <c r="H617">
        <v>16.2</v>
      </c>
      <c r="I617">
        <v>1</v>
      </c>
      <c r="AD617" s="17">
        <v>615</v>
      </c>
      <c r="AE617" s="6">
        <v>3.0351400000000002</v>
      </c>
      <c r="AF617" s="6">
        <v>5.1665000000000001</v>
      </c>
      <c r="AG617" s="6">
        <v>2.9224999999999999</v>
      </c>
      <c r="AH617" s="6">
        <v>255</v>
      </c>
      <c r="AJ617" s="17">
        <v>615</v>
      </c>
      <c r="AK617" s="6">
        <v>5.7553000000000001</v>
      </c>
      <c r="AL617" s="6">
        <v>5.1665000000000001</v>
      </c>
      <c r="AM617" s="6">
        <v>2.9224999999999999</v>
      </c>
      <c r="AN617" s="6">
        <v>255</v>
      </c>
      <c r="AQ617" s="17">
        <v>615</v>
      </c>
      <c r="AR617" s="6">
        <v>1.5950800000000001</v>
      </c>
      <c r="AS617" s="6">
        <v>1.4703999999999999</v>
      </c>
      <c r="AT617" s="6">
        <v>0.81</v>
      </c>
      <c r="AU617" s="6">
        <v>255</v>
      </c>
      <c r="AW617" s="17">
        <v>615</v>
      </c>
      <c r="AX617" s="6">
        <v>0.84118999999999999</v>
      </c>
      <c r="AY617" s="6">
        <v>1.4703999999999999</v>
      </c>
      <c r="AZ617" s="6">
        <v>0.81</v>
      </c>
      <c r="BA617" s="6">
        <v>255</v>
      </c>
      <c r="BN617" s="17">
        <v>771</v>
      </c>
      <c r="BO617" s="6">
        <v>40.167467530000003</v>
      </c>
      <c r="BP617" s="6">
        <v>37.549711700000003</v>
      </c>
      <c r="BQ617" s="6">
        <v>2.6177558300000001</v>
      </c>
    </row>
    <row r="618" spans="1:69" x14ac:dyDescent="0.25">
      <c r="A618" s="31" t="s">
        <v>11</v>
      </c>
      <c r="B618" s="32">
        <v>2</v>
      </c>
      <c r="C618" s="32">
        <v>15</v>
      </c>
      <c r="D618" s="32">
        <v>6</v>
      </c>
      <c r="E618" s="11">
        <v>48</v>
      </c>
      <c r="F618" s="2">
        <v>60.1</v>
      </c>
      <c r="G618">
        <v>40.982155994550411</v>
      </c>
      <c r="H618" t="s">
        <v>12</v>
      </c>
      <c r="I618">
        <v>1</v>
      </c>
      <c r="AD618" s="17">
        <v>616</v>
      </c>
      <c r="AE618" s="6">
        <v>3.0712000000000002</v>
      </c>
      <c r="AF618" s="6">
        <v>2.9062999999999999</v>
      </c>
      <c r="AG618" s="6">
        <v>2.9571999999999998</v>
      </c>
      <c r="AH618" s="6">
        <v>255</v>
      </c>
      <c r="AJ618" s="17">
        <v>616</v>
      </c>
      <c r="AK618" s="6">
        <v>5.8236800000000004</v>
      </c>
      <c r="AL618" s="6">
        <v>2.9062999999999999</v>
      </c>
      <c r="AM618" s="6">
        <v>2.9571999999999998</v>
      </c>
      <c r="AN618" s="6">
        <v>255</v>
      </c>
      <c r="AQ618" s="17">
        <v>616</v>
      </c>
      <c r="AR618" s="6">
        <v>1.6105499999999999</v>
      </c>
      <c r="AS618" s="6">
        <v>1.6405000000000001</v>
      </c>
      <c r="AT618" s="6">
        <v>0.81779999999999997</v>
      </c>
      <c r="AU618" s="6">
        <v>255</v>
      </c>
      <c r="AW618" s="17">
        <v>616</v>
      </c>
      <c r="AX618" s="6">
        <v>0.84935000000000005</v>
      </c>
      <c r="AY618" s="6">
        <v>1.6405000000000001</v>
      </c>
      <c r="AZ618" s="6">
        <v>0.81779999999999997</v>
      </c>
      <c r="BA618" s="6">
        <v>255</v>
      </c>
      <c r="BN618" s="17">
        <v>772</v>
      </c>
      <c r="BO618" s="6">
        <v>36.458628500000003</v>
      </c>
      <c r="BP618" s="6">
        <v>35.134049189999999</v>
      </c>
      <c r="BQ618" s="6">
        <v>1.3245793100000001</v>
      </c>
    </row>
    <row r="619" spans="1:69" x14ac:dyDescent="0.25">
      <c r="A619" s="31" t="s">
        <v>11</v>
      </c>
      <c r="B619" s="32">
        <v>3</v>
      </c>
      <c r="C619" s="32">
        <v>14</v>
      </c>
      <c r="D619" s="32">
        <v>7</v>
      </c>
      <c r="E619" s="11">
        <v>48</v>
      </c>
      <c r="F619" s="2">
        <v>58.5</v>
      </c>
      <c r="G619">
        <v>33.630349417637262</v>
      </c>
      <c r="H619" t="s">
        <v>12</v>
      </c>
      <c r="I619">
        <v>1</v>
      </c>
      <c r="AD619" s="17">
        <v>617</v>
      </c>
      <c r="AE619" s="6">
        <v>3.0480800000000001</v>
      </c>
      <c r="AF619" s="6">
        <v>4.1567999999999996</v>
      </c>
      <c r="AG619" s="6">
        <v>2.9350000000000001</v>
      </c>
      <c r="AH619" s="6">
        <v>255</v>
      </c>
      <c r="AJ619" s="17">
        <v>617</v>
      </c>
      <c r="AK619" s="6">
        <v>5.7798400000000001</v>
      </c>
      <c r="AL619" s="6">
        <v>4.1567999999999996</v>
      </c>
      <c r="AM619" s="6">
        <v>2.9350000000000001</v>
      </c>
      <c r="AN619" s="6">
        <v>255</v>
      </c>
      <c r="AQ619" s="17">
        <v>617</v>
      </c>
      <c r="AR619" s="6">
        <v>1.60612</v>
      </c>
      <c r="AS619" s="6">
        <v>1.2271000000000001</v>
      </c>
      <c r="AT619" s="6">
        <v>0.81559999999999999</v>
      </c>
      <c r="AU619" s="6">
        <v>255</v>
      </c>
      <c r="AW619" s="17">
        <v>617</v>
      </c>
      <c r="AX619" s="6">
        <v>0.84701000000000004</v>
      </c>
      <c r="AY619" s="6">
        <v>1.2271000000000001</v>
      </c>
      <c r="AZ619" s="6">
        <v>0.81559999999999999</v>
      </c>
      <c r="BA619" s="6">
        <v>255</v>
      </c>
      <c r="BN619" s="17">
        <v>773</v>
      </c>
      <c r="BO619" s="6">
        <v>40.982155990000003</v>
      </c>
      <c r="BP619" s="6">
        <v>35.141260430000003</v>
      </c>
      <c r="BQ619" s="6">
        <v>5.8408955599999999</v>
      </c>
    </row>
    <row r="620" spans="1:69" x14ac:dyDescent="0.25">
      <c r="A620" s="31" t="s">
        <v>11</v>
      </c>
      <c r="B620" s="32">
        <v>1</v>
      </c>
      <c r="C620" s="32">
        <v>5</v>
      </c>
      <c r="D620" s="32">
        <v>2</v>
      </c>
      <c r="E620" s="11">
        <v>26</v>
      </c>
      <c r="F620" s="2">
        <v>59.4</v>
      </c>
      <c r="G620">
        <v>34.906280950726931</v>
      </c>
      <c r="H620">
        <v>14.1</v>
      </c>
      <c r="I620">
        <v>4</v>
      </c>
      <c r="AD620" s="17">
        <v>618</v>
      </c>
      <c r="AE620" s="6">
        <v>3.0453999999999999</v>
      </c>
      <c r="AF620" s="6">
        <v>3.8614999999999999</v>
      </c>
      <c r="AG620" s="6">
        <v>2.9323999999999999</v>
      </c>
      <c r="AH620" s="6">
        <v>255</v>
      </c>
      <c r="AJ620" s="17">
        <v>618</v>
      </c>
      <c r="AK620" s="6">
        <v>5.7747400000000004</v>
      </c>
      <c r="AL620" s="6">
        <v>3.8614999999999999</v>
      </c>
      <c r="AM620" s="6">
        <v>2.9323999999999999</v>
      </c>
      <c r="AN620" s="6">
        <v>255</v>
      </c>
      <c r="AQ620" s="17">
        <v>618</v>
      </c>
      <c r="AR620" s="6">
        <v>1.6047899999999999</v>
      </c>
      <c r="AS620" s="6">
        <v>7.4359999999999999E-3</v>
      </c>
      <c r="AT620" s="6">
        <v>0.81489999999999996</v>
      </c>
      <c r="AU620" s="6">
        <v>255</v>
      </c>
      <c r="AW620" s="17">
        <v>618</v>
      </c>
      <c r="AX620" s="6">
        <v>0.84631000000000001</v>
      </c>
      <c r="AY620" s="6">
        <v>7.4359999999999999E-3</v>
      </c>
      <c r="AZ620" s="6">
        <v>0.81489999999999996</v>
      </c>
      <c r="BA620" s="6">
        <v>255</v>
      </c>
      <c r="BN620" s="17">
        <v>774</v>
      </c>
      <c r="BO620" s="6">
        <v>33.630349420000002</v>
      </c>
      <c r="BP620" s="6">
        <v>40.795824289999999</v>
      </c>
      <c r="BQ620" s="19">
        <v>-7.1654748699999997</v>
      </c>
    </row>
    <row r="621" spans="1:69" x14ac:dyDescent="0.25">
      <c r="A621" s="31" t="s">
        <v>11</v>
      </c>
      <c r="B621" s="32">
        <v>2</v>
      </c>
      <c r="C621" s="32">
        <v>12</v>
      </c>
      <c r="D621" s="32">
        <v>6</v>
      </c>
      <c r="E621" s="11">
        <v>26</v>
      </c>
      <c r="F621" s="2">
        <v>58.7</v>
      </c>
      <c r="G621">
        <v>29.339492020241334</v>
      </c>
      <c r="H621" t="s">
        <v>12</v>
      </c>
      <c r="I621">
        <v>3</v>
      </c>
      <c r="AD621" s="17">
        <v>619</v>
      </c>
      <c r="AE621" s="6">
        <v>3.0489799999999998</v>
      </c>
      <c r="AF621" s="6">
        <v>9.2996999999999996</v>
      </c>
      <c r="AG621" s="6">
        <v>2.9358</v>
      </c>
      <c r="AH621" s="6">
        <v>255</v>
      </c>
      <c r="AJ621" s="17">
        <v>619</v>
      </c>
      <c r="AK621" s="6">
        <v>5.7815300000000001</v>
      </c>
      <c r="AL621" s="6">
        <v>9.2996999999999996</v>
      </c>
      <c r="AM621" s="6">
        <v>2.9358</v>
      </c>
      <c r="AN621" s="6">
        <v>255</v>
      </c>
      <c r="AQ621" s="17">
        <v>619</v>
      </c>
      <c r="AR621" s="6">
        <v>1.5980300000000001</v>
      </c>
      <c r="AS621" s="6">
        <v>2.9445999999999999</v>
      </c>
      <c r="AT621" s="6">
        <v>0.8115</v>
      </c>
      <c r="AU621" s="6">
        <v>255</v>
      </c>
      <c r="AW621" s="17">
        <v>619</v>
      </c>
      <c r="AX621" s="6">
        <v>0.84275</v>
      </c>
      <c r="AY621" s="6">
        <v>2.9445999999999999</v>
      </c>
      <c r="AZ621" s="6">
        <v>0.8115</v>
      </c>
      <c r="BA621" s="6">
        <v>255</v>
      </c>
      <c r="BN621" s="17">
        <v>775</v>
      </c>
      <c r="BO621" s="6">
        <v>34.906280950000003</v>
      </c>
      <c r="BP621" s="6">
        <v>35.926622109999997</v>
      </c>
      <c r="BQ621" s="19">
        <v>-1.0203411600000001</v>
      </c>
    </row>
    <row r="622" spans="1:69" x14ac:dyDescent="0.25">
      <c r="A622" s="31" t="s">
        <v>11</v>
      </c>
      <c r="B622" s="32">
        <v>3</v>
      </c>
      <c r="C622" s="32">
        <v>6</v>
      </c>
      <c r="D622" s="32">
        <v>9</v>
      </c>
      <c r="E622" s="11">
        <v>26</v>
      </c>
      <c r="F622" s="2">
        <v>59.4</v>
      </c>
      <c r="G622">
        <v>49.203079691273246</v>
      </c>
      <c r="H622" t="s">
        <v>12</v>
      </c>
      <c r="I622">
        <v>3</v>
      </c>
      <c r="AD622" s="17">
        <v>620</v>
      </c>
      <c r="AE622" s="6">
        <v>3.04589</v>
      </c>
      <c r="AF622" s="6">
        <v>6.1539000000000001</v>
      </c>
      <c r="AG622" s="6">
        <v>2.9327999999999999</v>
      </c>
      <c r="AH622" s="6">
        <v>255</v>
      </c>
      <c r="AJ622" s="17">
        <v>620</v>
      </c>
      <c r="AK622" s="6">
        <v>5.77569</v>
      </c>
      <c r="AL622" s="6">
        <v>6.1539000000000001</v>
      </c>
      <c r="AM622" s="6">
        <v>2.9327999999999999</v>
      </c>
      <c r="AN622" s="6">
        <v>255</v>
      </c>
      <c r="AQ622" s="17">
        <v>620</v>
      </c>
      <c r="AR622" s="6">
        <v>1.59751</v>
      </c>
      <c r="AS622" s="6">
        <v>2.7984</v>
      </c>
      <c r="AT622" s="6">
        <v>0.81120000000000003</v>
      </c>
      <c r="AU622" s="6">
        <v>255</v>
      </c>
      <c r="AW622" s="17">
        <v>620</v>
      </c>
      <c r="AX622" s="6">
        <v>0.84247000000000005</v>
      </c>
      <c r="AY622" s="6">
        <v>2.7984</v>
      </c>
      <c r="AZ622" s="6">
        <v>0.81120000000000003</v>
      </c>
      <c r="BA622" s="6">
        <v>255</v>
      </c>
      <c r="BN622" s="17">
        <v>776</v>
      </c>
      <c r="BO622" s="6">
        <v>29.339492020000002</v>
      </c>
      <c r="BP622" s="6">
        <v>35.93383335</v>
      </c>
      <c r="BQ622" s="19">
        <v>-6.5943413299999998</v>
      </c>
    </row>
    <row r="623" spans="1:69" x14ac:dyDescent="0.25">
      <c r="A623" s="31" t="s">
        <v>11</v>
      </c>
      <c r="B623" s="32">
        <v>1</v>
      </c>
      <c r="C623" s="32">
        <v>7</v>
      </c>
      <c r="D623" s="32">
        <v>1</v>
      </c>
      <c r="E623" s="11">
        <v>36</v>
      </c>
      <c r="F623" s="2">
        <v>61.3</v>
      </c>
      <c r="G623">
        <v>35.90520972858652</v>
      </c>
      <c r="H623">
        <v>14.3</v>
      </c>
      <c r="I623">
        <v>1</v>
      </c>
      <c r="AD623" s="17">
        <v>621</v>
      </c>
      <c r="AE623" s="6">
        <v>3.0468299999999999</v>
      </c>
      <c r="AF623" s="6">
        <v>4.3992000000000004</v>
      </c>
      <c r="AG623" s="6">
        <v>2.9337</v>
      </c>
      <c r="AH623" s="6">
        <v>255</v>
      </c>
      <c r="AJ623" s="17">
        <v>621</v>
      </c>
      <c r="AK623" s="6">
        <v>5.7774599999999996</v>
      </c>
      <c r="AL623" s="6">
        <v>4.3992000000000004</v>
      </c>
      <c r="AM623" s="6">
        <v>2.9337</v>
      </c>
      <c r="AN623" s="6">
        <v>255</v>
      </c>
      <c r="AQ623" s="17">
        <v>621</v>
      </c>
      <c r="AR623" s="6">
        <v>1.5965499999999999</v>
      </c>
      <c r="AS623" s="6">
        <v>2.3410000000000002</v>
      </c>
      <c r="AT623" s="6">
        <v>0.81069999999999998</v>
      </c>
      <c r="AU623" s="6">
        <v>255</v>
      </c>
      <c r="AW623" s="17">
        <v>621</v>
      </c>
      <c r="AX623" s="6">
        <v>0.84197</v>
      </c>
      <c r="AY623" s="6">
        <v>2.3410000000000002</v>
      </c>
      <c r="AZ623" s="6">
        <v>0.81069999999999998</v>
      </c>
      <c r="BA623" s="6">
        <v>255</v>
      </c>
      <c r="BN623" s="17">
        <v>777</v>
      </c>
      <c r="BO623" s="6">
        <v>49.203079690000003</v>
      </c>
      <c r="BP623" s="6">
        <v>41.588397209999997</v>
      </c>
      <c r="BQ623" s="6">
        <v>7.6146824799999999</v>
      </c>
    </row>
    <row r="624" spans="1:69" x14ac:dyDescent="0.25">
      <c r="A624" s="31" t="s">
        <v>11</v>
      </c>
      <c r="B624" s="32">
        <v>2</v>
      </c>
      <c r="C624" s="32">
        <v>1</v>
      </c>
      <c r="D624" s="32">
        <v>4</v>
      </c>
      <c r="E624" s="11">
        <v>36</v>
      </c>
      <c r="F624" s="2">
        <v>56.9</v>
      </c>
      <c r="G624">
        <v>31.227114612754566</v>
      </c>
      <c r="H624" t="s">
        <v>12</v>
      </c>
      <c r="I624">
        <v>2</v>
      </c>
      <c r="AD624" s="17">
        <v>622</v>
      </c>
      <c r="AE624" s="6">
        <v>3.05775</v>
      </c>
      <c r="AF624" s="6">
        <v>8.1204999999999998</v>
      </c>
      <c r="AG624" s="6">
        <v>2.9443000000000001</v>
      </c>
      <c r="AH624" s="6">
        <v>255</v>
      </c>
      <c r="AJ624" s="17">
        <v>622</v>
      </c>
      <c r="AK624" s="6">
        <v>5.7981600000000002</v>
      </c>
      <c r="AL624" s="6">
        <v>8.1204999999999998</v>
      </c>
      <c r="AM624" s="6">
        <v>2.9443000000000001</v>
      </c>
      <c r="AN624" s="6">
        <v>255</v>
      </c>
      <c r="AQ624" s="17">
        <v>622</v>
      </c>
      <c r="AR624" s="6">
        <v>1.60493</v>
      </c>
      <c r="AS624" s="6">
        <v>1.6571</v>
      </c>
      <c r="AT624" s="6">
        <v>0.81499999999999995</v>
      </c>
      <c r="AU624" s="6">
        <v>255</v>
      </c>
      <c r="AW624" s="17">
        <v>622</v>
      </c>
      <c r="AX624" s="6">
        <v>0.84638000000000002</v>
      </c>
      <c r="AY624" s="6">
        <v>1.6571</v>
      </c>
      <c r="AZ624" s="6">
        <v>0.81499999999999995</v>
      </c>
      <c r="BA624" s="6">
        <v>255</v>
      </c>
      <c r="BN624" s="17">
        <v>778</v>
      </c>
      <c r="BO624" s="6">
        <v>35.905209730000003</v>
      </c>
      <c r="BP624" s="6">
        <v>36.477698160000003</v>
      </c>
      <c r="BQ624" s="19">
        <v>-0.57248843000000005</v>
      </c>
    </row>
    <row r="625" spans="1:69" x14ac:dyDescent="0.25">
      <c r="A625" s="31" t="s">
        <v>11</v>
      </c>
      <c r="B625" s="32">
        <v>3</v>
      </c>
      <c r="C625" s="32">
        <v>15</v>
      </c>
      <c r="D625" s="32">
        <v>8</v>
      </c>
      <c r="E625" s="11">
        <v>36</v>
      </c>
      <c r="F625" s="2">
        <v>60.3</v>
      </c>
      <c r="G625">
        <v>47.96975649350648</v>
      </c>
      <c r="H625" t="s">
        <v>12</v>
      </c>
      <c r="I625">
        <v>1</v>
      </c>
      <c r="AD625" s="17">
        <v>623</v>
      </c>
      <c r="AE625" s="6">
        <v>3.0378599999999998</v>
      </c>
      <c r="AF625" s="6">
        <v>16.624500000000001</v>
      </c>
      <c r="AG625" s="6">
        <v>2.9251</v>
      </c>
      <c r="AH625" s="6">
        <v>255</v>
      </c>
      <c r="AJ625" s="17">
        <v>623</v>
      </c>
      <c r="AK625" s="6">
        <v>5.7604499999999996</v>
      </c>
      <c r="AL625" s="6">
        <v>16.624500000000001</v>
      </c>
      <c r="AM625" s="6">
        <v>2.9251</v>
      </c>
      <c r="AN625" s="6">
        <v>255</v>
      </c>
      <c r="AQ625" s="17">
        <v>623</v>
      </c>
      <c r="AR625" s="6">
        <v>1.59996</v>
      </c>
      <c r="AS625" s="6">
        <v>4.5656999999999996</v>
      </c>
      <c r="AT625" s="6">
        <v>0.81240000000000001</v>
      </c>
      <c r="AU625" s="6">
        <v>255</v>
      </c>
      <c r="AW625" s="17">
        <v>623</v>
      </c>
      <c r="AX625" s="6">
        <v>0.84375999999999995</v>
      </c>
      <c r="AY625" s="6">
        <v>4.5656999999999996</v>
      </c>
      <c r="AZ625" s="6">
        <v>0.81240000000000001</v>
      </c>
      <c r="BA625" s="6">
        <v>255</v>
      </c>
      <c r="BN625" s="17">
        <v>779</v>
      </c>
      <c r="BO625" s="6">
        <v>31.227114610000001</v>
      </c>
      <c r="BP625" s="6">
        <v>36.484909399999999</v>
      </c>
      <c r="BQ625" s="19">
        <v>-5.2577947900000002</v>
      </c>
    </row>
    <row r="626" spans="1:69" x14ac:dyDescent="0.25">
      <c r="A626" t="s">
        <v>160</v>
      </c>
      <c r="B626" s="11">
        <v>1</v>
      </c>
      <c r="C626" s="36">
        <v>14</v>
      </c>
      <c r="D626" s="36">
        <v>1</v>
      </c>
      <c r="E626" s="32">
        <v>30</v>
      </c>
      <c r="F626" s="2">
        <v>61.3</v>
      </c>
      <c r="G626">
        <v>81.49012048192769</v>
      </c>
      <c r="H626">
        <v>11.4</v>
      </c>
      <c r="I626" t="s">
        <v>12</v>
      </c>
      <c r="AD626" s="17">
        <v>624</v>
      </c>
      <c r="AE626" s="6">
        <v>3.0659100000000001</v>
      </c>
      <c r="AF626" s="6">
        <v>1.4308000000000001</v>
      </c>
      <c r="AG626" s="6">
        <v>2.9521000000000002</v>
      </c>
      <c r="AH626" s="6">
        <v>255</v>
      </c>
      <c r="AJ626" s="17">
        <v>624</v>
      </c>
      <c r="AK626" s="6">
        <v>5.8136400000000004</v>
      </c>
      <c r="AL626" s="6">
        <v>1.4308000000000001</v>
      </c>
      <c r="AM626" s="6">
        <v>2.9521000000000002</v>
      </c>
      <c r="AN626" s="6">
        <v>255</v>
      </c>
      <c r="AQ626" s="17">
        <v>624</v>
      </c>
      <c r="AR626" s="6">
        <v>1.6003499999999999</v>
      </c>
      <c r="AS626" s="19">
        <v>-1.6217999999999999</v>
      </c>
      <c r="AT626" s="6">
        <v>0.81259999999999999</v>
      </c>
      <c r="AU626" s="6">
        <v>255</v>
      </c>
      <c r="AW626" s="17">
        <v>624</v>
      </c>
      <c r="AX626" s="6">
        <v>0.84397</v>
      </c>
      <c r="AY626" s="19">
        <v>-1.6217999999999999</v>
      </c>
      <c r="AZ626" s="6">
        <v>0.81259999999999999</v>
      </c>
      <c r="BA626" s="6">
        <v>255</v>
      </c>
      <c r="BN626" s="17">
        <v>780</v>
      </c>
      <c r="BO626" s="6">
        <v>47.969756490000002</v>
      </c>
      <c r="BP626" s="6">
        <v>42.139473270000003</v>
      </c>
      <c r="BQ626" s="6">
        <v>5.8302832200000001</v>
      </c>
    </row>
    <row r="627" spans="1:69" x14ac:dyDescent="0.25">
      <c r="A627" t="s">
        <v>160</v>
      </c>
      <c r="B627" s="11">
        <v>2</v>
      </c>
      <c r="C627" s="36">
        <v>19</v>
      </c>
      <c r="D627" s="36">
        <v>4</v>
      </c>
      <c r="E627" s="32">
        <v>30</v>
      </c>
      <c r="F627" s="2">
        <v>61.1</v>
      </c>
      <c r="G627">
        <v>82.735084853523745</v>
      </c>
      <c r="H627" t="s">
        <v>12</v>
      </c>
      <c r="I627" t="s">
        <v>12</v>
      </c>
      <c r="AD627" s="17">
        <v>625</v>
      </c>
      <c r="AE627" s="6">
        <v>3.0507300000000002</v>
      </c>
      <c r="AF627" s="6">
        <v>2.6394000000000002</v>
      </c>
      <c r="AG627" s="6">
        <v>2.9375</v>
      </c>
      <c r="AH627" s="6">
        <v>255</v>
      </c>
      <c r="AJ627" s="17">
        <v>625</v>
      </c>
      <c r="AK627" s="6">
        <v>5.7848600000000001</v>
      </c>
      <c r="AL627" s="6">
        <v>2.6394000000000002</v>
      </c>
      <c r="AM627" s="6">
        <v>2.9375</v>
      </c>
      <c r="AN627" s="6">
        <v>255</v>
      </c>
      <c r="AQ627" s="17">
        <v>625</v>
      </c>
      <c r="AR627" s="6">
        <v>1.59382</v>
      </c>
      <c r="AS627" s="19">
        <v>-0.11940000000000001</v>
      </c>
      <c r="AT627" s="6">
        <v>0.80930000000000002</v>
      </c>
      <c r="AU627" s="6">
        <v>255</v>
      </c>
      <c r="AW627" s="17">
        <v>625</v>
      </c>
      <c r="AX627" s="6">
        <v>0.84052000000000004</v>
      </c>
      <c r="AY627" s="19">
        <v>-0.11940000000000001</v>
      </c>
      <c r="AZ627" s="6">
        <v>0.80930000000000002</v>
      </c>
      <c r="BA627" s="6">
        <v>255</v>
      </c>
      <c r="BN627" s="17">
        <v>781</v>
      </c>
      <c r="BO627" s="6">
        <v>81.490120480000002</v>
      </c>
      <c r="BP627" s="6">
        <v>84.040015449999999</v>
      </c>
      <c r="BQ627" s="19">
        <v>-2.54989497</v>
      </c>
    </row>
    <row r="628" spans="1:69" x14ac:dyDescent="0.25">
      <c r="A628" t="s">
        <v>160</v>
      </c>
      <c r="B628" s="11">
        <v>3</v>
      </c>
      <c r="C628" s="36">
        <v>24</v>
      </c>
      <c r="D628" s="36">
        <v>6</v>
      </c>
      <c r="E628" s="32">
        <v>30</v>
      </c>
      <c r="F628" s="2">
        <v>61</v>
      </c>
      <c r="G628">
        <v>74.991267713519704</v>
      </c>
      <c r="H628" t="s">
        <v>12</v>
      </c>
      <c r="I628" t="s">
        <v>12</v>
      </c>
      <c r="AD628" s="17">
        <v>626</v>
      </c>
      <c r="AE628" s="6">
        <v>3.0419399999999999</v>
      </c>
      <c r="AF628" s="6">
        <v>6.7378999999999998</v>
      </c>
      <c r="AG628" s="6">
        <v>2.9289999999999998</v>
      </c>
      <c r="AH628" s="6">
        <v>255</v>
      </c>
      <c r="AJ628" s="17">
        <v>626</v>
      </c>
      <c r="AK628" s="6">
        <v>5.7681899999999997</v>
      </c>
      <c r="AL628" s="6">
        <v>6.7378999999999998</v>
      </c>
      <c r="AM628" s="6">
        <v>2.9289999999999998</v>
      </c>
      <c r="AN628" s="6">
        <v>255</v>
      </c>
      <c r="AQ628" s="17">
        <v>626</v>
      </c>
      <c r="AR628" s="6">
        <v>1.59674</v>
      </c>
      <c r="AS628" s="6">
        <v>0.26779999999999998</v>
      </c>
      <c r="AT628" s="6">
        <v>0.81079999999999997</v>
      </c>
      <c r="AU628" s="6">
        <v>255</v>
      </c>
      <c r="AW628" s="17">
        <v>626</v>
      </c>
      <c r="AX628" s="6">
        <v>0.84206000000000003</v>
      </c>
      <c r="AY628" s="6">
        <v>0.26779999999999998</v>
      </c>
      <c r="AZ628" s="6">
        <v>0.81079999999999997</v>
      </c>
      <c r="BA628" s="6">
        <v>255</v>
      </c>
      <c r="BN628" s="17">
        <v>782</v>
      </c>
      <c r="BO628" s="6">
        <v>82.735084850000007</v>
      </c>
      <c r="BP628" s="6">
        <v>78.983545660000004</v>
      </c>
      <c r="BQ628" s="6">
        <v>3.7515391899999999</v>
      </c>
    </row>
    <row r="629" spans="1:69" x14ac:dyDescent="0.25">
      <c r="A629" t="s">
        <v>160</v>
      </c>
      <c r="B629" s="11">
        <v>1</v>
      </c>
      <c r="C629" s="36">
        <v>18</v>
      </c>
      <c r="D629" s="36">
        <v>2</v>
      </c>
      <c r="E629" s="32">
        <v>39</v>
      </c>
      <c r="F629" s="2">
        <v>60.1</v>
      </c>
      <c r="G629">
        <v>83.753999999999991</v>
      </c>
      <c r="H629">
        <v>10.6</v>
      </c>
      <c r="I629" t="s">
        <v>12</v>
      </c>
      <c r="AD629" s="17">
        <v>627</v>
      </c>
      <c r="AE629" s="6">
        <v>3.0410400000000002</v>
      </c>
      <c r="AF629" s="6">
        <v>2.9819</v>
      </c>
      <c r="AG629" s="6">
        <v>2.9281999999999999</v>
      </c>
      <c r="AH629" s="6">
        <v>255</v>
      </c>
      <c r="AJ629" s="17">
        <v>627</v>
      </c>
      <c r="AK629" s="6">
        <v>5.7664799999999996</v>
      </c>
      <c r="AL629" s="6">
        <v>2.9819</v>
      </c>
      <c r="AM629" s="6">
        <v>2.9281999999999999</v>
      </c>
      <c r="AN629" s="6">
        <v>255</v>
      </c>
      <c r="AQ629" s="17">
        <v>627</v>
      </c>
      <c r="AR629" s="6">
        <v>1.58786</v>
      </c>
      <c r="AS629" s="6">
        <v>0.34289999999999998</v>
      </c>
      <c r="AT629" s="6">
        <v>0.80630000000000002</v>
      </c>
      <c r="AU629" s="6">
        <v>255</v>
      </c>
      <c r="AW629" s="17">
        <v>627</v>
      </c>
      <c r="AX629" s="6">
        <v>0.83738000000000001</v>
      </c>
      <c r="AY629" s="6">
        <v>0.34289999999999998</v>
      </c>
      <c r="AZ629" s="6">
        <v>0.80630000000000002</v>
      </c>
      <c r="BA629" s="6">
        <v>255</v>
      </c>
      <c r="BN629" s="17">
        <v>783</v>
      </c>
      <c r="BO629" s="6">
        <v>74.991267710000002</v>
      </c>
      <c r="BP629" s="6">
        <v>76.192911929999994</v>
      </c>
      <c r="BQ629" s="19">
        <v>-1.2016442199999999</v>
      </c>
    </row>
    <row r="630" spans="1:69" x14ac:dyDescent="0.25">
      <c r="A630" t="s">
        <v>160</v>
      </c>
      <c r="B630" s="11">
        <v>2</v>
      </c>
      <c r="C630" s="36">
        <v>7</v>
      </c>
      <c r="D630" s="36">
        <v>3</v>
      </c>
      <c r="E630" s="32">
        <v>39</v>
      </c>
      <c r="F630" s="2">
        <v>60.2</v>
      </c>
      <c r="G630">
        <v>79.233991416308996</v>
      </c>
      <c r="H630" t="s">
        <v>12</v>
      </c>
      <c r="I630" t="s">
        <v>12</v>
      </c>
      <c r="AD630" s="17">
        <v>628</v>
      </c>
      <c r="AE630" s="6">
        <v>3.0555300000000001</v>
      </c>
      <c r="AF630" s="19">
        <v>-0.53859999999999997</v>
      </c>
      <c r="AG630" s="6">
        <v>2.9420999999999999</v>
      </c>
      <c r="AH630" s="6">
        <v>255</v>
      </c>
      <c r="AJ630" s="17">
        <v>628</v>
      </c>
      <c r="AK630" s="6">
        <v>5.7939600000000002</v>
      </c>
      <c r="AL630" s="19">
        <v>-0.53859999999999997</v>
      </c>
      <c r="AM630" s="6">
        <v>2.9420999999999999</v>
      </c>
      <c r="AN630" s="6">
        <v>255</v>
      </c>
      <c r="AQ630" s="17">
        <v>628</v>
      </c>
      <c r="AR630" s="6">
        <v>1.59291</v>
      </c>
      <c r="AS630" s="19">
        <v>-1.6019000000000001</v>
      </c>
      <c r="AT630" s="6">
        <v>0.80889999999999995</v>
      </c>
      <c r="AU630" s="6">
        <v>255</v>
      </c>
      <c r="AW630" s="17">
        <v>628</v>
      </c>
      <c r="AX630" s="6">
        <v>0.84004999999999996</v>
      </c>
      <c r="AY630" s="19">
        <v>-1.6019000000000001</v>
      </c>
      <c r="AZ630" s="6">
        <v>0.80889999999999995</v>
      </c>
      <c r="BA630" s="6">
        <v>255</v>
      </c>
      <c r="BN630" s="17">
        <v>784</v>
      </c>
      <c r="BO630" s="6">
        <v>83.754000000000005</v>
      </c>
      <c r="BP630" s="6">
        <v>84.246850570000007</v>
      </c>
      <c r="BQ630" s="19">
        <v>-0.49285056999999999</v>
      </c>
    </row>
    <row r="631" spans="1:69" x14ac:dyDescent="0.25">
      <c r="A631" t="s">
        <v>160</v>
      </c>
      <c r="B631" s="11">
        <v>3</v>
      </c>
      <c r="C631" s="36">
        <v>26</v>
      </c>
      <c r="D631" s="36">
        <v>6</v>
      </c>
      <c r="E631" s="32">
        <v>39</v>
      </c>
      <c r="F631" s="2">
        <v>61.2</v>
      </c>
      <c r="G631">
        <v>76.848986978169279</v>
      </c>
      <c r="H631" t="s">
        <v>12</v>
      </c>
      <c r="I631" t="s">
        <v>12</v>
      </c>
      <c r="AD631" s="17">
        <v>629</v>
      </c>
      <c r="AE631" s="6">
        <v>3.0358100000000001</v>
      </c>
      <c r="AF631" s="19">
        <v>-0.21029999999999999</v>
      </c>
      <c r="AG631" s="6">
        <v>2.9230999999999998</v>
      </c>
      <c r="AH631" s="6">
        <v>255</v>
      </c>
      <c r="AJ631" s="17">
        <v>629</v>
      </c>
      <c r="AK631" s="6">
        <v>5.7565600000000003</v>
      </c>
      <c r="AL631" s="19">
        <v>-0.21029999999999999</v>
      </c>
      <c r="AM631" s="6">
        <v>2.9230999999999998</v>
      </c>
      <c r="AN631" s="6">
        <v>255</v>
      </c>
      <c r="AQ631" s="17">
        <v>629</v>
      </c>
      <c r="AR631" s="6">
        <v>1.5849899999999999</v>
      </c>
      <c r="AS631" s="19">
        <v>-0.75970000000000004</v>
      </c>
      <c r="AT631" s="6">
        <v>0.80479999999999996</v>
      </c>
      <c r="AU631" s="6">
        <v>255</v>
      </c>
      <c r="AW631" s="17">
        <v>629</v>
      </c>
      <c r="AX631" s="6">
        <v>0.83587</v>
      </c>
      <c r="AY631" s="19">
        <v>-0.75970000000000004</v>
      </c>
      <c r="AZ631" s="6">
        <v>0.80479999999999996</v>
      </c>
      <c r="BA631" s="6">
        <v>255</v>
      </c>
      <c r="BN631" s="17">
        <v>785</v>
      </c>
      <c r="BO631" s="6">
        <v>79.233991419999995</v>
      </c>
      <c r="BP631" s="6">
        <v>79.190380779999998</v>
      </c>
      <c r="BQ631" s="6">
        <v>4.3610639999999999E-2</v>
      </c>
    </row>
    <row r="632" spans="1:69" x14ac:dyDescent="0.25">
      <c r="A632" t="s">
        <v>160</v>
      </c>
      <c r="B632" s="11">
        <v>1</v>
      </c>
      <c r="C632" s="36">
        <v>12</v>
      </c>
      <c r="D632" s="36">
        <v>1</v>
      </c>
      <c r="E632" s="32">
        <v>38</v>
      </c>
      <c r="F632" s="2">
        <v>60.1</v>
      </c>
      <c r="G632">
        <v>83.459518072289143</v>
      </c>
      <c r="H632">
        <v>11.6</v>
      </c>
      <c r="I632" t="s">
        <v>12</v>
      </c>
      <c r="AD632" s="17">
        <v>630</v>
      </c>
      <c r="AE632" s="6">
        <v>3.0420099999999999</v>
      </c>
      <c r="AF632" s="6">
        <v>2.3077999999999999</v>
      </c>
      <c r="AG632" s="6">
        <v>2.9291</v>
      </c>
      <c r="AH632" s="6">
        <v>255</v>
      </c>
      <c r="AJ632" s="17">
        <v>630</v>
      </c>
      <c r="AK632" s="6">
        <v>5.7683299999999997</v>
      </c>
      <c r="AL632" s="6">
        <v>2.3077999999999999</v>
      </c>
      <c r="AM632" s="6">
        <v>2.9291</v>
      </c>
      <c r="AN632" s="6">
        <v>255</v>
      </c>
      <c r="AQ632" s="17">
        <v>630</v>
      </c>
      <c r="AR632" s="6">
        <v>1.58921</v>
      </c>
      <c r="AS632" s="19">
        <v>-2.4287000000000001</v>
      </c>
      <c r="AT632" s="6">
        <v>0.80700000000000005</v>
      </c>
      <c r="AU632" s="6">
        <v>255</v>
      </c>
      <c r="AW632" s="17">
        <v>630</v>
      </c>
      <c r="AX632" s="6">
        <v>0.83809</v>
      </c>
      <c r="AY632" s="19">
        <v>-2.4287000000000001</v>
      </c>
      <c r="AZ632" s="6">
        <v>0.80700000000000005</v>
      </c>
      <c r="BA632" s="6">
        <v>255</v>
      </c>
      <c r="BN632" s="17">
        <v>786</v>
      </c>
      <c r="BO632" s="6">
        <v>76.848986980000006</v>
      </c>
      <c r="BP632" s="6">
        <v>76.399747050000002</v>
      </c>
      <c r="BQ632" s="6">
        <v>0.44923993000000001</v>
      </c>
    </row>
    <row r="633" spans="1:69" x14ac:dyDescent="0.25">
      <c r="A633" t="s">
        <v>160</v>
      </c>
      <c r="B633" s="11">
        <v>2</v>
      </c>
      <c r="C633" s="36">
        <v>10</v>
      </c>
      <c r="D633" s="36">
        <v>4</v>
      </c>
      <c r="E633" s="32">
        <v>38</v>
      </c>
      <c r="F633" s="2">
        <v>59.5</v>
      </c>
      <c r="G633">
        <v>78.057822663471399</v>
      </c>
      <c r="H633" t="s">
        <v>12</v>
      </c>
      <c r="I633" t="s">
        <v>12</v>
      </c>
      <c r="AD633" s="17">
        <v>631</v>
      </c>
      <c r="AE633" s="6">
        <v>3.0507900000000001</v>
      </c>
      <c r="AF633" s="6">
        <v>3.9860000000000002</v>
      </c>
      <c r="AG633" s="6">
        <v>2.9376000000000002</v>
      </c>
      <c r="AH633" s="6">
        <v>255</v>
      </c>
      <c r="AJ633" s="17">
        <v>631</v>
      </c>
      <c r="AK633" s="6">
        <v>5.7849700000000004</v>
      </c>
      <c r="AL633" s="6">
        <v>3.9860000000000002</v>
      </c>
      <c r="AM633" s="6">
        <v>2.9376000000000002</v>
      </c>
      <c r="AN633" s="6">
        <v>255</v>
      </c>
      <c r="AQ633" s="17">
        <v>631</v>
      </c>
      <c r="AR633" s="6">
        <v>1.5990599999999999</v>
      </c>
      <c r="AS633" s="19">
        <v>-2.0478999999999998</v>
      </c>
      <c r="AT633" s="6">
        <v>0.81200000000000006</v>
      </c>
      <c r="AU633" s="6">
        <v>255</v>
      </c>
      <c r="AW633" s="17">
        <v>631</v>
      </c>
      <c r="AX633" s="6">
        <v>0.84328999999999998</v>
      </c>
      <c r="AY633" s="19">
        <v>-2.0478999999999998</v>
      </c>
      <c r="AZ633" s="6">
        <v>0.81200000000000006</v>
      </c>
      <c r="BA633" s="6">
        <v>255</v>
      </c>
      <c r="BN633" s="17">
        <v>787</v>
      </c>
      <c r="BO633" s="6">
        <v>83.459518070000001</v>
      </c>
      <c r="BP633" s="6">
        <v>83.709159049999997</v>
      </c>
      <c r="BQ633" s="19">
        <v>-0.24964098000000001</v>
      </c>
    </row>
    <row r="634" spans="1:69" x14ac:dyDescent="0.25">
      <c r="A634" t="s">
        <v>160</v>
      </c>
      <c r="B634" s="11">
        <v>3</v>
      </c>
      <c r="C634" s="36">
        <v>9</v>
      </c>
      <c r="D634" s="36">
        <v>6</v>
      </c>
      <c r="E634" s="32">
        <v>38</v>
      </c>
      <c r="F634" s="2">
        <v>59.5</v>
      </c>
      <c r="G634">
        <v>76.706563098429697</v>
      </c>
      <c r="H634" t="s">
        <v>12</v>
      </c>
      <c r="I634" t="s">
        <v>12</v>
      </c>
      <c r="AD634" s="17">
        <v>632</v>
      </c>
      <c r="AE634" s="6">
        <v>3.0462600000000002</v>
      </c>
      <c r="AF634" s="6">
        <v>1.5038</v>
      </c>
      <c r="AG634" s="6">
        <v>2.9331999999999998</v>
      </c>
      <c r="AH634" s="6">
        <v>255</v>
      </c>
      <c r="AJ634" s="17">
        <v>632</v>
      </c>
      <c r="AK634" s="6">
        <v>5.77637</v>
      </c>
      <c r="AL634" s="6">
        <v>1.5038</v>
      </c>
      <c r="AM634" s="6">
        <v>2.9331999999999998</v>
      </c>
      <c r="AN634" s="6">
        <v>255</v>
      </c>
      <c r="AQ634" s="17">
        <v>632</v>
      </c>
      <c r="AR634" s="6">
        <v>1.61496</v>
      </c>
      <c r="AS634" s="19">
        <v>-0.6694</v>
      </c>
      <c r="AT634" s="6">
        <v>0.82010000000000005</v>
      </c>
      <c r="AU634" s="6">
        <v>255</v>
      </c>
      <c r="AW634" s="17">
        <v>632</v>
      </c>
      <c r="AX634" s="6">
        <v>0.85167000000000004</v>
      </c>
      <c r="AY634" s="19">
        <v>-0.6694</v>
      </c>
      <c r="AZ634" s="6">
        <v>0.82010000000000005</v>
      </c>
      <c r="BA634" s="6">
        <v>255</v>
      </c>
      <c r="BN634" s="17">
        <v>788</v>
      </c>
      <c r="BO634" s="6">
        <v>78.057822659999999</v>
      </c>
      <c r="BP634" s="6">
        <v>78.652689249999995</v>
      </c>
      <c r="BQ634" s="19">
        <v>-0.59486658999999997</v>
      </c>
    </row>
    <row r="635" spans="1:69" x14ac:dyDescent="0.25">
      <c r="A635" t="s">
        <v>160</v>
      </c>
      <c r="B635" s="11">
        <v>1</v>
      </c>
      <c r="C635" s="36">
        <v>25</v>
      </c>
      <c r="D635" s="36">
        <v>2</v>
      </c>
      <c r="E635" s="32">
        <v>37</v>
      </c>
      <c r="F635" s="2">
        <v>60.5</v>
      </c>
      <c r="G635">
        <v>92.174033898305083</v>
      </c>
      <c r="H635">
        <v>9.1999999999999993</v>
      </c>
      <c r="I635" t="s">
        <v>12</v>
      </c>
      <c r="AD635" s="17">
        <v>633</v>
      </c>
      <c r="AE635" s="6">
        <v>3.0490499999999998</v>
      </c>
      <c r="AF635" s="6">
        <v>3.4641000000000002</v>
      </c>
      <c r="AG635" s="6">
        <v>2.9359000000000002</v>
      </c>
      <c r="AH635" s="6">
        <v>255</v>
      </c>
      <c r="AJ635" s="17">
        <v>633</v>
      </c>
      <c r="AK635" s="6">
        <v>5.7816700000000001</v>
      </c>
      <c r="AL635" s="6">
        <v>3.4641000000000002</v>
      </c>
      <c r="AM635" s="6">
        <v>2.9359000000000002</v>
      </c>
      <c r="AN635" s="6">
        <v>255</v>
      </c>
      <c r="AQ635" s="17">
        <v>633</v>
      </c>
      <c r="AR635" s="6">
        <v>1.59423</v>
      </c>
      <c r="AS635" s="19">
        <v>-0.75849999999999995</v>
      </c>
      <c r="AT635" s="6">
        <v>0.8095</v>
      </c>
      <c r="AU635" s="6">
        <v>255</v>
      </c>
      <c r="AW635" s="17">
        <v>633</v>
      </c>
      <c r="AX635" s="6">
        <v>0.84074000000000004</v>
      </c>
      <c r="AY635" s="19">
        <v>-0.75849999999999995</v>
      </c>
      <c r="AZ635" s="6">
        <v>0.8095</v>
      </c>
      <c r="BA635" s="6">
        <v>255</v>
      </c>
      <c r="BN635" s="17">
        <v>789</v>
      </c>
      <c r="BO635" s="6">
        <v>76.706563099999997</v>
      </c>
      <c r="BP635" s="6">
        <v>75.862055530000006</v>
      </c>
      <c r="BQ635" s="6">
        <v>0.84450756999999999</v>
      </c>
    </row>
    <row r="636" spans="1:69" x14ac:dyDescent="0.25">
      <c r="A636" t="s">
        <v>160</v>
      </c>
      <c r="B636" s="11">
        <v>2</v>
      </c>
      <c r="C636" s="36">
        <v>14</v>
      </c>
      <c r="D636" s="36">
        <v>3</v>
      </c>
      <c r="E636" s="32">
        <v>37</v>
      </c>
      <c r="F636" s="2">
        <v>60.8</v>
      </c>
      <c r="G636">
        <v>83.228636513700877</v>
      </c>
      <c r="H636" t="s">
        <v>12</v>
      </c>
      <c r="I636" t="s">
        <v>12</v>
      </c>
      <c r="AD636" s="17">
        <v>634</v>
      </c>
      <c r="AE636" s="6">
        <v>3.04548</v>
      </c>
      <c r="AF636" s="19">
        <v>-4.6020000000000003</v>
      </c>
      <c r="AG636" s="6">
        <v>2.9325000000000001</v>
      </c>
      <c r="AH636" s="6">
        <v>255</v>
      </c>
      <c r="AJ636" s="17">
        <v>634</v>
      </c>
      <c r="AK636" s="6">
        <v>5.7749100000000002</v>
      </c>
      <c r="AL636" s="19">
        <v>-4.6020000000000003</v>
      </c>
      <c r="AM636" s="6">
        <v>2.9325000000000001</v>
      </c>
      <c r="AN636" s="6">
        <v>255</v>
      </c>
      <c r="AQ636" s="17">
        <v>634</v>
      </c>
      <c r="AR636" s="6">
        <v>1.5924499999999999</v>
      </c>
      <c r="AS636" s="19">
        <v>-1.1694</v>
      </c>
      <c r="AT636" s="6">
        <v>0.80859999999999999</v>
      </c>
      <c r="AU636" s="6">
        <v>255</v>
      </c>
      <c r="AW636" s="17">
        <v>634</v>
      </c>
      <c r="AX636" s="6">
        <v>0.83979999999999999</v>
      </c>
      <c r="AY636" s="19">
        <v>-1.1694</v>
      </c>
      <c r="AZ636" s="6">
        <v>0.80859999999999999</v>
      </c>
      <c r="BA636" s="6">
        <v>255</v>
      </c>
      <c r="BN636" s="17">
        <v>790</v>
      </c>
      <c r="BO636" s="6">
        <v>92.174033899999998</v>
      </c>
      <c r="BP636" s="6">
        <v>92.132428149999996</v>
      </c>
      <c r="BQ636" s="6">
        <v>4.1605749999999997E-2</v>
      </c>
    </row>
    <row r="637" spans="1:69" x14ac:dyDescent="0.25">
      <c r="A637" t="s">
        <v>160</v>
      </c>
      <c r="B637" s="11">
        <v>3</v>
      </c>
      <c r="C637" s="36">
        <v>5</v>
      </c>
      <c r="D637" s="36">
        <v>5</v>
      </c>
      <c r="E637" s="32">
        <v>37</v>
      </c>
      <c r="F637" s="2">
        <v>60.1</v>
      </c>
      <c r="G637">
        <v>88.091040719605374</v>
      </c>
      <c r="H637" t="s">
        <v>12</v>
      </c>
      <c r="I637" t="s">
        <v>12</v>
      </c>
      <c r="AD637" s="17">
        <v>635</v>
      </c>
      <c r="AE637" s="6">
        <v>3.03851</v>
      </c>
      <c r="AF637" s="6">
        <v>0.44080000000000003</v>
      </c>
      <c r="AG637" s="6">
        <v>2.9257</v>
      </c>
      <c r="AH637" s="6">
        <v>255</v>
      </c>
      <c r="AJ637" s="17">
        <v>635</v>
      </c>
      <c r="AK637" s="6">
        <v>5.7616800000000001</v>
      </c>
      <c r="AL637" s="6">
        <v>0.44080000000000003</v>
      </c>
      <c r="AM637" s="6">
        <v>2.9257</v>
      </c>
      <c r="AN637" s="6">
        <v>255</v>
      </c>
      <c r="AQ637" s="17">
        <v>635</v>
      </c>
      <c r="AR637" s="6">
        <v>1.5895600000000001</v>
      </c>
      <c r="AS637" s="19">
        <v>-0.89710000000000001</v>
      </c>
      <c r="AT637" s="6">
        <v>0.80720000000000003</v>
      </c>
      <c r="AU637" s="6">
        <v>255</v>
      </c>
      <c r="AW637" s="17">
        <v>635</v>
      </c>
      <c r="AX637" s="6">
        <v>0.83828000000000003</v>
      </c>
      <c r="AY637" s="19">
        <v>-0.89710000000000001</v>
      </c>
      <c r="AZ637" s="6">
        <v>0.80720000000000003</v>
      </c>
      <c r="BA637" s="6">
        <v>255</v>
      </c>
      <c r="BN637" s="17">
        <v>791</v>
      </c>
      <c r="BO637" s="6">
        <v>83.228636510000001</v>
      </c>
      <c r="BP637" s="6">
        <v>87.075958349999993</v>
      </c>
      <c r="BQ637" s="19">
        <v>-3.8473218400000002</v>
      </c>
    </row>
    <row r="638" spans="1:69" x14ac:dyDescent="0.25">
      <c r="A638" t="s">
        <v>160</v>
      </c>
      <c r="B638" s="11">
        <v>1</v>
      </c>
      <c r="C638" s="36">
        <v>5</v>
      </c>
      <c r="D638" s="36">
        <v>1</v>
      </c>
      <c r="E638" s="32">
        <v>40</v>
      </c>
      <c r="F638" s="2">
        <v>59.5</v>
      </c>
      <c r="G638">
        <v>91.764754733218567</v>
      </c>
      <c r="H638">
        <v>10.5</v>
      </c>
      <c r="I638" t="s">
        <v>12</v>
      </c>
      <c r="AD638" s="17">
        <v>636</v>
      </c>
      <c r="AE638" s="6">
        <v>3.0355400000000001</v>
      </c>
      <c r="AF638" s="6">
        <v>2.9180999999999999</v>
      </c>
      <c r="AG638" s="6">
        <v>2.9228999999999998</v>
      </c>
      <c r="AH638" s="6">
        <v>255</v>
      </c>
      <c r="AJ638" s="17">
        <v>636</v>
      </c>
      <c r="AK638" s="6">
        <v>5.7560500000000001</v>
      </c>
      <c r="AL638" s="6">
        <v>2.9180999999999999</v>
      </c>
      <c r="AM638" s="6">
        <v>2.9228999999999998</v>
      </c>
      <c r="AN638" s="6">
        <v>255</v>
      </c>
      <c r="AQ638" s="17">
        <v>636</v>
      </c>
      <c r="AR638" s="6">
        <v>1.58473</v>
      </c>
      <c r="AS638" s="19">
        <v>-0.37319999999999998</v>
      </c>
      <c r="AT638" s="6">
        <v>0.80469999999999997</v>
      </c>
      <c r="AU638" s="6">
        <v>255</v>
      </c>
      <c r="AW638" s="17">
        <v>636</v>
      </c>
      <c r="AX638" s="6">
        <v>0.83572999999999997</v>
      </c>
      <c r="AY638" s="19">
        <v>-0.37319999999999998</v>
      </c>
      <c r="AZ638" s="6">
        <v>0.80469999999999997</v>
      </c>
      <c r="BA638" s="6">
        <v>255</v>
      </c>
      <c r="BN638" s="17">
        <v>792</v>
      </c>
      <c r="BO638" s="6">
        <v>88.091040719999995</v>
      </c>
      <c r="BP638" s="6">
        <v>84.285324630000005</v>
      </c>
      <c r="BQ638" s="6">
        <v>3.8057160900000002</v>
      </c>
    </row>
    <row r="639" spans="1:69" x14ac:dyDescent="0.25">
      <c r="A639" t="s">
        <v>160</v>
      </c>
      <c r="B639" s="11">
        <v>2</v>
      </c>
      <c r="C639" s="36">
        <v>1</v>
      </c>
      <c r="D639" s="36">
        <v>4</v>
      </c>
      <c r="E639" s="32">
        <v>40</v>
      </c>
      <c r="F639" s="2">
        <v>60.4</v>
      </c>
      <c r="G639">
        <v>84.693635741184522</v>
      </c>
      <c r="H639" t="s">
        <v>12</v>
      </c>
      <c r="I639" t="s">
        <v>12</v>
      </c>
      <c r="AD639" s="17">
        <v>637</v>
      </c>
      <c r="AE639" s="6">
        <v>3.04582</v>
      </c>
      <c r="AF639" s="6">
        <v>0.99880000000000002</v>
      </c>
      <c r="AG639" s="6">
        <v>2.9327999999999999</v>
      </c>
      <c r="AH639" s="6">
        <v>255</v>
      </c>
      <c r="AJ639" s="17">
        <v>637</v>
      </c>
      <c r="AK639" s="6">
        <v>5.77555</v>
      </c>
      <c r="AL639" s="6">
        <v>0.99880000000000002</v>
      </c>
      <c r="AM639" s="6">
        <v>2.9327999999999999</v>
      </c>
      <c r="AN639" s="6">
        <v>255</v>
      </c>
      <c r="AQ639" s="17">
        <v>637</v>
      </c>
      <c r="AR639" s="6">
        <v>1.5889200000000001</v>
      </c>
      <c r="AS639" s="19">
        <v>-1.5558000000000001</v>
      </c>
      <c r="AT639" s="6">
        <v>0.80679999999999996</v>
      </c>
      <c r="AU639" s="6">
        <v>255</v>
      </c>
      <c r="AW639" s="17">
        <v>637</v>
      </c>
      <c r="AX639" s="6">
        <v>0.83794000000000002</v>
      </c>
      <c r="AY639" s="19">
        <v>-1.5558000000000001</v>
      </c>
      <c r="AZ639" s="6">
        <v>0.80679999999999996</v>
      </c>
      <c r="BA639" s="6">
        <v>255</v>
      </c>
      <c r="BN639" s="17">
        <v>793</v>
      </c>
      <c r="BO639" s="6">
        <v>91.764754730000007</v>
      </c>
      <c r="BP639" s="6">
        <v>92.893359500000003</v>
      </c>
      <c r="BQ639" s="19">
        <v>-1.1286047699999999</v>
      </c>
    </row>
    <row r="640" spans="1:69" x14ac:dyDescent="0.25">
      <c r="A640" t="s">
        <v>160</v>
      </c>
      <c r="B640" s="11">
        <v>3</v>
      </c>
      <c r="C640" s="36">
        <v>19</v>
      </c>
      <c r="D640" s="36">
        <v>6</v>
      </c>
      <c r="E640" s="32">
        <v>40</v>
      </c>
      <c r="F640" s="2">
        <v>60.8</v>
      </c>
      <c r="G640">
        <v>89.318114707008789</v>
      </c>
      <c r="H640" t="s">
        <v>12</v>
      </c>
      <c r="I640" t="s">
        <v>12</v>
      </c>
      <c r="AD640" s="17">
        <v>638</v>
      </c>
      <c r="AE640" s="6">
        <v>3.0339100000000001</v>
      </c>
      <c r="AF640" s="6">
        <v>2.3098000000000001</v>
      </c>
      <c r="AG640" s="6">
        <v>2.9213</v>
      </c>
      <c r="AH640" s="6">
        <v>255</v>
      </c>
      <c r="AJ640" s="17">
        <v>638</v>
      </c>
      <c r="AK640" s="6">
        <v>5.7529700000000004</v>
      </c>
      <c r="AL640" s="6">
        <v>2.3098000000000001</v>
      </c>
      <c r="AM640" s="6">
        <v>2.9213</v>
      </c>
      <c r="AN640" s="6">
        <v>255</v>
      </c>
      <c r="AQ640" s="17">
        <v>638</v>
      </c>
      <c r="AR640" s="6">
        <v>1.5848899999999999</v>
      </c>
      <c r="AS640" s="19">
        <v>-1.7442</v>
      </c>
      <c r="AT640" s="6">
        <v>0.80479999999999996</v>
      </c>
      <c r="AU640" s="6">
        <v>255</v>
      </c>
      <c r="AW640" s="17">
        <v>638</v>
      </c>
      <c r="AX640" s="6">
        <v>0.83581000000000005</v>
      </c>
      <c r="AY640" s="19">
        <v>-1.7442</v>
      </c>
      <c r="AZ640" s="6">
        <v>0.80479999999999996</v>
      </c>
      <c r="BA640" s="6">
        <v>255</v>
      </c>
      <c r="BN640" s="17">
        <v>794</v>
      </c>
      <c r="BO640" s="6">
        <v>84.693635740000005</v>
      </c>
      <c r="BP640" s="6">
        <v>87.8368897</v>
      </c>
      <c r="BQ640" s="19">
        <v>-3.14325396</v>
      </c>
    </row>
    <row r="641" spans="1:69" x14ac:dyDescent="0.25">
      <c r="A641" t="s">
        <v>160</v>
      </c>
      <c r="B641" s="11">
        <v>1</v>
      </c>
      <c r="C641" s="36">
        <v>9</v>
      </c>
      <c r="D641" s="36">
        <v>2</v>
      </c>
      <c r="E641" s="32">
        <v>41</v>
      </c>
      <c r="F641" s="2">
        <v>59.9</v>
      </c>
      <c r="G641">
        <v>87.81266440677966</v>
      </c>
      <c r="H641">
        <v>10.5</v>
      </c>
      <c r="I641" t="s">
        <v>12</v>
      </c>
      <c r="AD641" s="17">
        <v>639</v>
      </c>
      <c r="AE641" s="6">
        <v>3.0435699999999999</v>
      </c>
      <c r="AF641" s="6">
        <v>4.2035</v>
      </c>
      <c r="AG641" s="6">
        <v>2.9306000000000001</v>
      </c>
      <c r="AH641" s="6">
        <v>255</v>
      </c>
      <c r="AJ641" s="17">
        <v>639</v>
      </c>
      <c r="AK641" s="6">
        <v>5.7712700000000003</v>
      </c>
      <c r="AL641" s="6">
        <v>4.2035</v>
      </c>
      <c r="AM641" s="6">
        <v>2.9306000000000001</v>
      </c>
      <c r="AN641" s="6">
        <v>255</v>
      </c>
      <c r="AQ641" s="17">
        <v>639</v>
      </c>
      <c r="AR641" s="6">
        <v>1.58815</v>
      </c>
      <c r="AS641" s="19">
        <v>-0.81459999999999999</v>
      </c>
      <c r="AT641" s="6">
        <v>0.80640000000000001</v>
      </c>
      <c r="AU641" s="6">
        <v>255</v>
      </c>
      <c r="AW641" s="17">
        <v>639</v>
      </c>
      <c r="AX641" s="6">
        <v>0.83753</v>
      </c>
      <c r="AY641" s="19">
        <v>-0.81459999999999999</v>
      </c>
      <c r="AZ641" s="6">
        <v>0.80640000000000001</v>
      </c>
      <c r="BA641" s="6">
        <v>255</v>
      </c>
      <c r="BN641" s="17">
        <v>795</v>
      </c>
      <c r="BO641" s="6">
        <v>89.318114710000003</v>
      </c>
      <c r="BP641" s="6">
        <v>85.046255979999998</v>
      </c>
      <c r="BQ641" s="6">
        <v>4.2718587299999999</v>
      </c>
    </row>
    <row r="642" spans="1:69" x14ac:dyDescent="0.25">
      <c r="A642" t="s">
        <v>160</v>
      </c>
      <c r="B642" s="11">
        <v>2</v>
      </c>
      <c r="C642" s="36">
        <v>26</v>
      </c>
      <c r="D642" s="36">
        <v>3</v>
      </c>
      <c r="E642" s="32">
        <v>41</v>
      </c>
      <c r="F642" s="2">
        <v>59.6</v>
      </c>
      <c r="G642">
        <v>67.897854077253214</v>
      </c>
      <c r="H642" t="s">
        <v>12</v>
      </c>
      <c r="I642" t="s">
        <v>12</v>
      </c>
      <c r="AD642" s="17">
        <v>640</v>
      </c>
      <c r="AE642" s="6">
        <v>3.0591300000000001</v>
      </c>
      <c r="AF642" s="19">
        <v>-1.9462999999999999</v>
      </c>
      <c r="AG642" s="6">
        <v>2.9456000000000002</v>
      </c>
      <c r="AH642" s="6">
        <v>255</v>
      </c>
      <c r="AJ642" s="17">
        <v>640</v>
      </c>
      <c r="AK642" s="6">
        <v>5.8007799999999996</v>
      </c>
      <c r="AL642" s="19">
        <v>-1.9462999999999999</v>
      </c>
      <c r="AM642" s="6">
        <v>2.9456000000000002</v>
      </c>
      <c r="AN642" s="6">
        <v>255</v>
      </c>
      <c r="AQ642" s="17">
        <v>640</v>
      </c>
      <c r="AR642" s="6">
        <v>1.59792</v>
      </c>
      <c r="AS642" s="19">
        <v>-3.1791</v>
      </c>
      <c r="AT642" s="6">
        <v>0.81140000000000001</v>
      </c>
      <c r="AU642" s="6">
        <v>255</v>
      </c>
      <c r="AW642" s="17">
        <v>640</v>
      </c>
      <c r="AX642" s="6">
        <v>0.84269000000000005</v>
      </c>
      <c r="AY642" s="19">
        <v>-3.1791</v>
      </c>
      <c r="AZ642" s="6">
        <v>0.81140000000000001</v>
      </c>
      <c r="BA642" s="6">
        <v>255</v>
      </c>
      <c r="BN642" s="17">
        <v>796</v>
      </c>
      <c r="BO642" s="6">
        <v>87.812664409999996</v>
      </c>
      <c r="BP642" s="6">
        <v>81.401389399999999</v>
      </c>
      <c r="BQ642" s="6">
        <v>6.4112750099999998</v>
      </c>
    </row>
    <row r="643" spans="1:69" x14ac:dyDescent="0.25">
      <c r="A643" t="s">
        <v>160</v>
      </c>
      <c r="B643" s="11">
        <v>3</v>
      </c>
      <c r="C643" s="36">
        <v>17</v>
      </c>
      <c r="D643" s="36">
        <v>5</v>
      </c>
      <c r="E643" s="32">
        <v>41</v>
      </c>
      <c r="F643" s="2">
        <v>60.2</v>
      </c>
      <c r="G643">
        <v>75.59007640971079</v>
      </c>
      <c r="H643" t="s">
        <v>12</v>
      </c>
      <c r="I643" t="s">
        <v>12</v>
      </c>
      <c r="AD643" s="17">
        <v>641</v>
      </c>
      <c r="AE643" s="6">
        <v>3.0487700000000002</v>
      </c>
      <c r="AF643" s="6">
        <v>1.1786000000000001</v>
      </c>
      <c r="AG643" s="6">
        <v>2.9356</v>
      </c>
      <c r="AH643" s="6">
        <v>255</v>
      </c>
      <c r="AJ643" s="17">
        <v>641</v>
      </c>
      <c r="AK643" s="6">
        <v>5.7811399999999997</v>
      </c>
      <c r="AL643" s="6">
        <v>1.1786000000000001</v>
      </c>
      <c r="AM643" s="6">
        <v>2.9356</v>
      </c>
      <c r="AN643" s="6">
        <v>255</v>
      </c>
      <c r="AQ643" s="17">
        <v>641</v>
      </c>
      <c r="AR643" s="6">
        <v>1.5860099999999999</v>
      </c>
      <c r="AS643" s="19">
        <v>-0.80600000000000005</v>
      </c>
      <c r="AT643" s="6">
        <v>0.8054</v>
      </c>
      <c r="AU643" s="6">
        <v>255</v>
      </c>
      <c r="AW643" s="17">
        <v>641</v>
      </c>
      <c r="AX643" s="6">
        <v>0.83640999999999999</v>
      </c>
      <c r="AY643" s="19">
        <v>-0.80600000000000005</v>
      </c>
      <c r="AZ643" s="6">
        <v>0.8054</v>
      </c>
      <c r="BA643" s="6">
        <v>255</v>
      </c>
      <c r="BN643" s="17">
        <v>797</v>
      </c>
      <c r="BO643" s="6">
        <v>67.897854080000002</v>
      </c>
      <c r="BP643" s="6">
        <v>76.344919610000005</v>
      </c>
      <c r="BQ643" s="19">
        <v>-8.4470655299999997</v>
      </c>
    </row>
    <row r="644" spans="1:69" x14ac:dyDescent="0.25">
      <c r="A644" t="s">
        <v>160</v>
      </c>
      <c r="B644" s="11">
        <v>1</v>
      </c>
      <c r="C644" s="36">
        <v>14</v>
      </c>
      <c r="D644" s="36">
        <v>2</v>
      </c>
      <c r="E644" s="32">
        <v>20</v>
      </c>
      <c r="F644" s="2">
        <v>60.3</v>
      </c>
      <c r="G644">
        <v>85.838033898305085</v>
      </c>
      <c r="H644">
        <v>9.8000000000000007</v>
      </c>
      <c r="I644" t="s">
        <v>12</v>
      </c>
      <c r="AD644" s="17">
        <v>642</v>
      </c>
      <c r="AE644" s="6">
        <v>3.05457</v>
      </c>
      <c r="AF644" s="6">
        <v>3.4963000000000002</v>
      </c>
      <c r="AG644" s="6">
        <v>2.9411999999999998</v>
      </c>
      <c r="AH644" s="6">
        <v>255</v>
      </c>
      <c r="AJ644" s="17">
        <v>642</v>
      </c>
      <c r="AK644" s="6">
        <v>5.7921399999999998</v>
      </c>
      <c r="AL644" s="6">
        <v>3.4963000000000002</v>
      </c>
      <c r="AM644" s="6">
        <v>2.9411999999999998</v>
      </c>
      <c r="AN644" s="6">
        <v>255</v>
      </c>
      <c r="AQ644" s="17">
        <v>642</v>
      </c>
      <c r="AR644" s="6">
        <v>1.6010599999999999</v>
      </c>
      <c r="AS644" s="19">
        <v>-1.0733999999999999</v>
      </c>
      <c r="AT644" s="6">
        <v>0.81299999999999994</v>
      </c>
      <c r="AU644" s="6">
        <v>255</v>
      </c>
      <c r="AW644" s="17">
        <v>642</v>
      </c>
      <c r="AX644" s="6">
        <v>0.84433999999999998</v>
      </c>
      <c r="AY644" s="19">
        <v>-1.0733999999999999</v>
      </c>
      <c r="AZ644" s="6">
        <v>0.81299999999999994</v>
      </c>
      <c r="BA644" s="6">
        <v>255</v>
      </c>
      <c r="BN644" s="17">
        <v>798</v>
      </c>
      <c r="BO644" s="6">
        <v>75.590076409999995</v>
      </c>
      <c r="BP644" s="6">
        <v>73.554285890000003</v>
      </c>
      <c r="BQ644" s="6">
        <v>2.0357905199999999</v>
      </c>
    </row>
    <row r="645" spans="1:69" x14ac:dyDescent="0.25">
      <c r="A645" t="s">
        <v>160</v>
      </c>
      <c r="B645" s="11">
        <v>2</v>
      </c>
      <c r="C645" s="36">
        <v>16</v>
      </c>
      <c r="D645" s="36">
        <v>4</v>
      </c>
      <c r="E645" s="32">
        <v>20</v>
      </c>
      <c r="F645" s="2">
        <v>59.8</v>
      </c>
      <c r="G645">
        <v>91.862238959260523</v>
      </c>
      <c r="H645" t="s">
        <v>12</v>
      </c>
      <c r="I645" t="s">
        <v>12</v>
      </c>
      <c r="AD645" s="17">
        <v>643</v>
      </c>
      <c r="AE645" s="6">
        <v>3.05369</v>
      </c>
      <c r="AF645" s="6">
        <v>3.3732000000000002</v>
      </c>
      <c r="AG645" s="6">
        <v>2.9403999999999999</v>
      </c>
      <c r="AH645" s="6">
        <v>255</v>
      </c>
      <c r="AJ645" s="17">
        <v>643</v>
      </c>
      <c r="AK645" s="6">
        <v>5.79047</v>
      </c>
      <c r="AL645" s="6">
        <v>3.3732000000000002</v>
      </c>
      <c r="AM645" s="6">
        <v>2.9403999999999999</v>
      </c>
      <c r="AN645" s="6">
        <v>255</v>
      </c>
      <c r="AQ645" s="17">
        <v>643</v>
      </c>
      <c r="AR645" s="6">
        <v>1.59823</v>
      </c>
      <c r="AS645" s="19">
        <v>-0.82099999999999995</v>
      </c>
      <c r="AT645" s="6">
        <v>0.81159999999999999</v>
      </c>
      <c r="AU645" s="6">
        <v>255</v>
      </c>
      <c r="AW645" s="17">
        <v>643</v>
      </c>
      <c r="AX645" s="6">
        <v>0.84284999999999999</v>
      </c>
      <c r="AY645" s="19">
        <v>-0.82099999999999995</v>
      </c>
      <c r="AZ645" s="6">
        <v>0.81159999999999999</v>
      </c>
      <c r="BA645" s="6">
        <v>255</v>
      </c>
      <c r="BN645" s="17">
        <v>799</v>
      </c>
      <c r="BO645" s="6">
        <v>85.838033899999999</v>
      </c>
      <c r="BP645" s="6">
        <v>93.620321059999995</v>
      </c>
      <c r="BQ645" s="19">
        <v>-7.7822871600000001</v>
      </c>
    </row>
    <row r="646" spans="1:69" x14ac:dyDescent="0.25">
      <c r="A646" t="s">
        <v>160</v>
      </c>
      <c r="B646" s="11">
        <v>3</v>
      </c>
      <c r="C646" s="36">
        <v>12</v>
      </c>
      <c r="D646" s="36">
        <v>6</v>
      </c>
      <c r="E646" s="32">
        <v>20</v>
      </c>
      <c r="F646" s="2">
        <v>60.1</v>
      </c>
      <c r="G646">
        <v>90.257117004978909</v>
      </c>
      <c r="H646" t="s">
        <v>12</v>
      </c>
      <c r="I646" t="s">
        <v>12</v>
      </c>
      <c r="AD646" s="17">
        <v>644</v>
      </c>
      <c r="AE646" s="6">
        <v>3.0417900000000002</v>
      </c>
      <c r="AF646" s="19">
        <v>-0.1135</v>
      </c>
      <c r="AG646" s="6">
        <v>2.9289000000000001</v>
      </c>
      <c r="AH646" s="6">
        <v>255</v>
      </c>
      <c r="AJ646" s="17">
        <v>644</v>
      </c>
      <c r="AK646" s="6">
        <v>5.7679</v>
      </c>
      <c r="AL646" s="19">
        <v>-0.1135</v>
      </c>
      <c r="AM646" s="6">
        <v>2.9289000000000001</v>
      </c>
      <c r="AN646" s="6">
        <v>255</v>
      </c>
      <c r="AQ646" s="17">
        <v>644</v>
      </c>
      <c r="AR646" s="6">
        <v>1.58412</v>
      </c>
      <c r="AS646" s="19">
        <v>-2.2018</v>
      </c>
      <c r="AT646" s="6">
        <v>0.8044</v>
      </c>
      <c r="AU646" s="6">
        <v>255</v>
      </c>
      <c r="AW646" s="17">
        <v>644</v>
      </c>
      <c r="AX646" s="6">
        <v>0.83540999999999999</v>
      </c>
      <c r="AY646" s="19">
        <v>-2.2018</v>
      </c>
      <c r="AZ646" s="6">
        <v>0.8044</v>
      </c>
      <c r="BA646" s="6">
        <v>255</v>
      </c>
      <c r="BN646" s="17">
        <v>800</v>
      </c>
      <c r="BO646" s="6">
        <v>91.862238959999999</v>
      </c>
      <c r="BP646" s="6">
        <v>88.563851260000007</v>
      </c>
      <c r="BQ646" s="6">
        <v>3.2983877000000001</v>
      </c>
    </row>
    <row r="647" spans="1:69" x14ac:dyDescent="0.25">
      <c r="A647" t="s">
        <v>160</v>
      </c>
      <c r="B647" s="11">
        <v>1</v>
      </c>
      <c r="C647" s="36">
        <v>15</v>
      </c>
      <c r="D647" s="36">
        <v>2</v>
      </c>
      <c r="E647" s="32">
        <v>32</v>
      </c>
      <c r="F647" s="2" t="s">
        <v>12</v>
      </c>
      <c r="G647" t="s">
        <v>12</v>
      </c>
      <c r="H647" t="s">
        <v>12</v>
      </c>
      <c r="I647" t="s">
        <v>12</v>
      </c>
      <c r="AD647" s="17">
        <v>645</v>
      </c>
      <c r="AE647" s="6">
        <v>3.0341499999999999</v>
      </c>
      <c r="AF647" s="6">
        <v>1.0742</v>
      </c>
      <c r="AG647" s="6">
        <v>2.9215</v>
      </c>
      <c r="AH647" s="6">
        <v>255</v>
      </c>
      <c r="AJ647" s="17">
        <v>645</v>
      </c>
      <c r="AK647" s="6">
        <v>5.7534299999999998</v>
      </c>
      <c r="AL647" s="6">
        <v>1.0742</v>
      </c>
      <c r="AM647" s="6">
        <v>2.9215</v>
      </c>
      <c r="AN647" s="6">
        <v>255</v>
      </c>
      <c r="AQ647" s="17">
        <v>645</v>
      </c>
      <c r="AR647" s="6">
        <v>1.5863700000000001</v>
      </c>
      <c r="AS647" s="19">
        <v>-1.8386</v>
      </c>
      <c r="AT647" s="6">
        <v>0.80549999999999999</v>
      </c>
      <c r="AU647" s="6">
        <v>255</v>
      </c>
      <c r="AW647" s="17">
        <v>645</v>
      </c>
      <c r="AX647" s="6">
        <v>0.83658999999999994</v>
      </c>
      <c r="AY647" s="19">
        <v>-1.8386</v>
      </c>
      <c r="AZ647" s="6">
        <v>0.80549999999999999</v>
      </c>
      <c r="BA647" s="6">
        <v>255</v>
      </c>
      <c r="BN647" s="17">
        <v>801</v>
      </c>
      <c r="BO647" s="6">
        <v>90.257116999999994</v>
      </c>
      <c r="BP647" s="6">
        <v>85.773217540000005</v>
      </c>
      <c r="BQ647" s="6">
        <v>4.4838994599999999</v>
      </c>
    </row>
    <row r="648" spans="1:69" x14ac:dyDescent="0.25">
      <c r="A648" t="s">
        <v>160</v>
      </c>
      <c r="B648" s="11">
        <v>2</v>
      </c>
      <c r="C648" s="36">
        <v>12</v>
      </c>
      <c r="D648" s="36">
        <v>4</v>
      </c>
      <c r="E648" s="32">
        <v>32</v>
      </c>
      <c r="F648" s="2">
        <v>62.3</v>
      </c>
      <c r="G648">
        <v>93.241179635154296</v>
      </c>
      <c r="H648" t="s">
        <v>12</v>
      </c>
      <c r="I648" t="s">
        <v>12</v>
      </c>
      <c r="AD648" s="17">
        <v>646</v>
      </c>
      <c r="AE648" s="6">
        <v>3.0437799999999999</v>
      </c>
      <c r="AF648" s="6">
        <v>1.6473</v>
      </c>
      <c r="AG648" s="6">
        <v>2.9308000000000001</v>
      </c>
      <c r="AH648" s="6">
        <v>255</v>
      </c>
      <c r="AJ648" s="17">
        <v>646</v>
      </c>
      <c r="AK648" s="6">
        <v>5.7716799999999999</v>
      </c>
      <c r="AL648" s="6">
        <v>1.6473</v>
      </c>
      <c r="AM648" s="6">
        <v>2.9308000000000001</v>
      </c>
      <c r="AN648" s="6">
        <v>255</v>
      </c>
      <c r="AQ648" s="17">
        <v>646</v>
      </c>
      <c r="AR648" s="6">
        <v>1.59057</v>
      </c>
      <c r="AS648" s="19">
        <v>-1.3031999999999999</v>
      </c>
      <c r="AT648" s="6">
        <v>0.80769999999999997</v>
      </c>
      <c r="AU648" s="6">
        <v>255</v>
      </c>
      <c r="AW648" s="17">
        <v>646</v>
      </c>
      <c r="AX648" s="6">
        <v>0.83880999999999994</v>
      </c>
      <c r="AY648" s="19">
        <v>-1.3031999999999999</v>
      </c>
      <c r="AZ648" s="6">
        <v>0.80769999999999997</v>
      </c>
      <c r="BA648" s="6">
        <v>255</v>
      </c>
      <c r="BN648" s="17">
        <v>802</v>
      </c>
      <c r="BO648" s="6" t="s">
        <v>12</v>
      </c>
      <c r="BP648" s="6">
        <v>92.185946450000003</v>
      </c>
      <c r="BQ648" s="6" t="s">
        <v>12</v>
      </c>
    </row>
    <row r="649" spans="1:69" x14ac:dyDescent="0.25">
      <c r="A649" t="s">
        <v>160</v>
      </c>
      <c r="B649" s="11">
        <v>3</v>
      </c>
      <c r="C649" s="36">
        <v>25</v>
      </c>
      <c r="D649" s="36">
        <v>5</v>
      </c>
      <c r="E649" s="32">
        <v>32</v>
      </c>
      <c r="F649" s="2">
        <v>63.4</v>
      </c>
      <c r="G649">
        <v>78.22713995550825</v>
      </c>
      <c r="H649">
        <v>9.8000000000000007</v>
      </c>
      <c r="I649" t="s">
        <v>12</v>
      </c>
      <c r="AD649" s="17">
        <v>647</v>
      </c>
      <c r="AE649" s="6">
        <v>3.0335899999999998</v>
      </c>
      <c r="AF649" s="6">
        <v>1.6705000000000001</v>
      </c>
      <c r="AG649" s="6">
        <v>2.9209999999999998</v>
      </c>
      <c r="AH649" s="6">
        <v>255</v>
      </c>
      <c r="AJ649" s="17">
        <v>647</v>
      </c>
      <c r="AK649" s="6">
        <v>5.7523499999999999</v>
      </c>
      <c r="AL649" s="6">
        <v>1.6705000000000001</v>
      </c>
      <c r="AM649" s="6">
        <v>2.9209999999999998</v>
      </c>
      <c r="AN649" s="6">
        <v>255</v>
      </c>
      <c r="AQ649" s="17">
        <v>647</v>
      </c>
      <c r="AR649" s="6">
        <v>1.5864499999999999</v>
      </c>
      <c r="AS649" s="19">
        <v>-0.83899999999999997</v>
      </c>
      <c r="AT649" s="6">
        <v>0.80559999999999998</v>
      </c>
      <c r="AU649" s="6">
        <v>255</v>
      </c>
      <c r="AW649" s="17">
        <v>647</v>
      </c>
      <c r="AX649" s="6">
        <v>0.83664000000000005</v>
      </c>
      <c r="AY649" s="19">
        <v>-0.83899999999999997</v>
      </c>
      <c r="AZ649" s="6">
        <v>0.80559999999999998</v>
      </c>
      <c r="BA649" s="6">
        <v>255</v>
      </c>
      <c r="BN649" s="17">
        <v>803</v>
      </c>
      <c r="BO649" s="6">
        <v>93.241179639999999</v>
      </c>
      <c r="BP649" s="6">
        <v>87.129476659999995</v>
      </c>
      <c r="BQ649" s="6">
        <v>6.1117029799999996</v>
      </c>
    </row>
    <row r="650" spans="1:69" x14ac:dyDescent="0.25">
      <c r="A650" t="s">
        <v>160</v>
      </c>
      <c r="B650" s="11">
        <v>1</v>
      </c>
      <c r="C650" s="36">
        <v>1</v>
      </c>
      <c r="D650" s="36">
        <v>2</v>
      </c>
      <c r="E650" s="32">
        <v>21</v>
      </c>
      <c r="F650" s="2">
        <v>58.7</v>
      </c>
      <c r="G650">
        <v>93.104490072639223</v>
      </c>
      <c r="H650">
        <v>8.6</v>
      </c>
      <c r="I650" t="s">
        <v>12</v>
      </c>
      <c r="AD650" s="17">
        <v>648</v>
      </c>
      <c r="AE650" s="6">
        <v>3.0271400000000002</v>
      </c>
      <c r="AF650" s="6">
        <v>0.68799999999999994</v>
      </c>
      <c r="AG650" s="6">
        <v>2.9148000000000001</v>
      </c>
      <c r="AH650" s="6">
        <v>255</v>
      </c>
      <c r="AJ650" s="17">
        <v>648</v>
      </c>
      <c r="AK650" s="6">
        <v>5.7401299999999997</v>
      </c>
      <c r="AL650" s="6">
        <v>0.68799999999999994</v>
      </c>
      <c r="AM650" s="6">
        <v>2.9148000000000001</v>
      </c>
      <c r="AN650" s="6">
        <v>255</v>
      </c>
      <c r="AQ650" s="17">
        <v>648</v>
      </c>
      <c r="AR650" s="6">
        <v>1.58412</v>
      </c>
      <c r="AS650" s="19">
        <v>-1.9534</v>
      </c>
      <c r="AT650" s="6">
        <v>0.8044</v>
      </c>
      <c r="AU650" s="6">
        <v>255</v>
      </c>
      <c r="AW650" s="17">
        <v>648</v>
      </c>
      <c r="AX650" s="6">
        <v>0.83540999999999999</v>
      </c>
      <c r="AY650" s="19">
        <v>-1.9534</v>
      </c>
      <c r="AZ650" s="6">
        <v>0.8044</v>
      </c>
      <c r="BA650" s="6">
        <v>255</v>
      </c>
      <c r="BN650" s="17">
        <v>804</v>
      </c>
      <c r="BO650" s="6">
        <v>78.227139960000002</v>
      </c>
      <c r="BP650" s="6">
        <v>84.338842940000006</v>
      </c>
      <c r="BQ650" s="19">
        <v>-6.1117029799999996</v>
      </c>
    </row>
    <row r="651" spans="1:69" x14ac:dyDescent="0.25">
      <c r="A651" t="s">
        <v>160</v>
      </c>
      <c r="B651" s="11">
        <v>2</v>
      </c>
      <c r="C651" s="36">
        <v>17</v>
      </c>
      <c r="D651" s="36">
        <v>3</v>
      </c>
      <c r="E651" s="32">
        <v>21</v>
      </c>
      <c r="F651" s="2">
        <v>59</v>
      </c>
      <c r="G651">
        <v>90.579233599018991</v>
      </c>
      <c r="H651" t="s">
        <v>12</v>
      </c>
      <c r="I651" t="s">
        <v>12</v>
      </c>
      <c r="AD651" s="17">
        <v>649</v>
      </c>
      <c r="AE651" s="6">
        <v>3.0359799999999999</v>
      </c>
      <c r="AF651" s="6">
        <v>8.2777999999999992</v>
      </c>
      <c r="AG651" s="6">
        <v>2.9232999999999998</v>
      </c>
      <c r="AH651" s="6">
        <v>255</v>
      </c>
      <c r="AJ651" s="17">
        <v>649</v>
      </c>
      <c r="AK651" s="6">
        <v>5.7568999999999999</v>
      </c>
      <c r="AL651" s="6">
        <v>8.2777999999999992</v>
      </c>
      <c r="AM651" s="6">
        <v>2.9232999999999998</v>
      </c>
      <c r="AN651" s="6">
        <v>255</v>
      </c>
      <c r="AQ651" s="17">
        <v>649</v>
      </c>
      <c r="AR651" s="6">
        <v>1.59148</v>
      </c>
      <c r="AS651" s="19">
        <v>-0.57789999999999997</v>
      </c>
      <c r="AT651" s="6">
        <v>0.80810000000000004</v>
      </c>
      <c r="AU651" s="6">
        <v>255</v>
      </c>
      <c r="AW651" s="17">
        <v>649</v>
      </c>
      <c r="AX651" s="6">
        <v>0.83928999999999998</v>
      </c>
      <c r="AY651" s="19">
        <v>-0.57789999999999997</v>
      </c>
      <c r="AZ651" s="6">
        <v>0.80810000000000004</v>
      </c>
      <c r="BA651" s="6">
        <v>255</v>
      </c>
      <c r="BN651" s="17">
        <v>805</v>
      </c>
      <c r="BO651" s="6">
        <v>93.104490069999997</v>
      </c>
      <c r="BP651" s="6">
        <v>93.108523539999993</v>
      </c>
      <c r="BQ651" s="19">
        <v>-4.0334699999999999E-3</v>
      </c>
    </row>
    <row r="652" spans="1:69" x14ac:dyDescent="0.25">
      <c r="A652" t="s">
        <v>160</v>
      </c>
      <c r="B652" s="11">
        <v>3</v>
      </c>
      <c r="C652" s="36">
        <v>22</v>
      </c>
      <c r="D652" s="36">
        <v>6</v>
      </c>
      <c r="E652" s="32">
        <v>21</v>
      </c>
      <c r="F652" s="2">
        <v>58.3</v>
      </c>
      <c r="G652">
        <v>82.738273649942542</v>
      </c>
      <c r="H652" t="s">
        <v>12</v>
      </c>
      <c r="I652" t="s">
        <v>12</v>
      </c>
      <c r="AD652" s="17">
        <v>650</v>
      </c>
      <c r="AE652" s="6">
        <v>3.0402</v>
      </c>
      <c r="AF652" s="6">
        <v>2.2374000000000001</v>
      </c>
      <c r="AG652" s="6">
        <v>2.9274</v>
      </c>
      <c r="AH652" s="6">
        <v>255</v>
      </c>
      <c r="AJ652" s="17">
        <v>650</v>
      </c>
      <c r="AK652" s="6">
        <v>5.7648900000000003</v>
      </c>
      <c r="AL652" s="6">
        <v>2.2374000000000001</v>
      </c>
      <c r="AM652" s="6">
        <v>2.9274</v>
      </c>
      <c r="AN652" s="6">
        <v>255</v>
      </c>
      <c r="AQ652" s="17">
        <v>650</v>
      </c>
      <c r="AR652" s="6">
        <v>1.58741</v>
      </c>
      <c r="AS652" s="19">
        <v>-1.9473</v>
      </c>
      <c r="AT652" s="6">
        <v>0.80610000000000004</v>
      </c>
      <c r="AU652" s="6">
        <v>255</v>
      </c>
      <c r="AW652" s="17">
        <v>650</v>
      </c>
      <c r="AX652" s="6">
        <v>0.83714</v>
      </c>
      <c r="AY652" s="19">
        <v>-1.9473</v>
      </c>
      <c r="AZ652" s="6">
        <v>0.80610000000000004</v>
      </c>
      <c r="BA652" s="6">
        <v>255</v>
      </c>
      <c r="BN652" s="17">
        <v>806</v>
      </c>
      <c r="BO652" s="6">
        <v>90.579233599999995</v>
      </c>
      <c r="BP652" s="6">
        <v>88.052053749999999</v>
      </c>
      <c r="BQ652" s="6">
        <v>2.52717985</v>
      </c>
    </row>
    <row r="653" spans="1:69" x14ac:dyDescent="0.25">
      <c r="A653" t="s">
        <v>160</v>
      </c>
      <c r="B653" s="11">
        <v>1</v>
      </c>
      <c r="C653" s="36">
        <v>22</v>
      </c>
      <c r="D653" s="36">
        <v>2</v>
      </c>
      <c r="E653" s="32">
        <v>29</v>
      </c>
      <c r="F653" s="2">
        <v>60.1</v>
      </c>
      <c r="G653">
        <v>91.588759322033894</v>
      </c>
      <c r="H653">
        <v>9.1</v>
      </c>
      <c r="I653" t="s">
        <v>12</v>
      </c>
      <c r="AD653" s="17">
        <v>651</v>
      </c>
      <c r="AE653" s="6">
        <v>3.0414099999999999</v>
      </c>
      <c r="AF653" s="6">
        <v>11.001300000000001</v>
      </c>
      <c r="AG653" s="6">
        <v>2.9285000000000001</v>
      </c>
      <c r="AH653" s="6">
        <v>255</v>
      </c>
      <c r="AJ653" s="17">
        <v>651</v>
      </c>
      <c r="AK653" s="6">
        <v>5.7671700000000001</v>
      </c>
      <c r="AL653" s="6">
        <v>11.001300000000001</v>
      </c>
      <c r="AM653" s="6">
        <v>2.9285000000000001</v>
      </c>
      <c r="AN653" s="6">
        <v>255</v>
      </c>
      <c r="AQ653" s="17">
        <v>651</v>
      </c>
      <c r="AR653" s="6">
        <v>1.59351</v>
      </c>
      <c r="AS653" s="6">
        <v>0.54410000000000003</v>
      </c>
      <c r="AT653" s="6">
        <v>0.80920000000000003</v>
      </c>
      <c r="AU653" s="6">
        <v>255</v>
      </c>
      <c r="AW653" s="17">
        <v>651</v>
      </c>
      <c r="AX653" s="6">
        <v>0.84036</v>
      </c>
      <c r="AY653" s="6">
        <v>0.54410000000000003</v>
      </c>
      <c r="AZ653" s="6">
        <v>0.80920000000000003</v>
      </c>
      <c r="BA653" s="6">
        <v>255</v>
      </c>
      <c r="BN653" s="17">
        <v>807</v>
      </c>
      <c r="BO653" s="6">
        <v>82.738273649999996</v>
      </c>
      <c r="BP653" s="6">
        <v>85.261420029999996</v>
      </c>
      <c r="BQ653" s="19">
        <v>-2.52314638</v>
      </c>
    </row>
    <row r="654" spans="1:69" x14ac:dyDescent="0.25">
      <c r="A654" t="s">
        <v>160</v>
      </c>
      <c r="B654" s="11">
        <v>2</v>
      </c>
      <c r="C654" s="36">
        <v>18</v>
      </c>
      <c r="D654" s="36">
        <v>3</v>
      </c>
      <c r="E654" s="32">
        <v>29</v>
      </c>
      <c r="F654" s="2">
        <v>59.6</v>
      </c>
      <c r="G654">
        <v>88.064289015705327</v>
      </c>
      <c r="H654" t="s">
        <v>12</v>
      </c>
      <c r="I654" t="s">
        <v>12</v>
      </c>
      <c r="AD654" s="17">
        <v>652</v>
      </c>
      <c r="AE654" s="6">
        <v>3.0388500000000001</v>
      </c>
      <c r="AF654" s="6">
        <v>5.5709999999999997</v>
      </c>
      <c r="AG654" s="6">
        <v>2.9260999999999999</v>
      </c>
      <c r="AH654" s="6">
        <v>255</v>
      </c>
      <c r="AJ654" s="17">
        <v>652</v>
      </c>
      <c r="AK654" s="6">
        <v>5.7623300000000004</v>
      </c>
      <c r="AL654" s="6">
        <v>5.5709999999999997</v>
      </c>
      <c r="AM654" s="6">
        <v>2.9260999999999999</v>
      </c>
      <c r="AN654" s="6">
        <v>255</v>
      </c>
      <c r="AQ654" s="17">
        <v>652</v>
      </c>
      <c r="AR654" s="6">
        <v>1.5891299999999999</v>
      </c>
      <c r="AS654" s="19">
        <v>-0.79649999999999999</v>
      </c>
      <c r="AT654" s="6">
        <v>0.80689999999999995</v>
      </c>
      <c r="AU654" s="6">
        <v>255</v>
      </c>
      <c r="AW654" s="17">
        <v>652</v>
      </c>
      <c r="AX654" s="6">
        <v>0.83804999999999996</v>
      </c>
      <c r="AY654" s="19">
        <v>-0.79649999999999999</v>
      </c>
      <c r="AZ654" s="6">
        <v>0.80689999999999995</v>
      </c>
      <c r="BA654" s="6">
        <v>255</v>
      </c>
      <c r="BN654" s="17">
        <v>808</v>
      </c>
      <c r="BO654" s="6">
        <v>91.588759319999994</v>
      </c>
      <c r="BP654" s="6">
        <v>91.601702939999996</v>
      </c>
      <c r="BQ654" s="19">
        <v>-1.2943619999999999E-2</v>
      </c>
    </row>
    <row r="655" spans="1:69" x14ac:dyDescent="0.25">
      <c r="A655" t="s">
        <v>160</v>
      </c>
      <c r="B655" s="11">
        <v>3</v>
      </c>
      <c r="C655" s="36">
        <v>4</v>
      </c>
      <c r="D655" s="36">
        <v>6</v>
      </c>
      <c r="E655" s="32">
        <v>29</v>
      </c>
      <c r="F655" s="2">
        <v>59.4</v>
      </c>
      <c r="G655">
        <v>82.248487169666774</v>
      </c>
      <c r="H655" t="s">
        <v>12</v>
      </c>
      <c r="I655" t="s">
        <v>12</v>
      </c>
      <c r="AD655" s="17">
        <v>653</v>
      </c>
      <c r="AE655" s="6">
        <v>3.06054</v>
      </c>
      <c r="AF655" s="6">
        <v>3.3107000000000002</v>
      </c>
      <c r="AG655" s="6">
        <v>2.9468999999999999</v>
      </c>
      <c r="AH655" s="6">
        <v>255</v>
      </c>
      <c r="AJ655" s="17">
        <v>653</v>
      </c>
      <c r="AK655" s="6">
        <v>5.8034600000000003</v>
      </c>
      <c r="AL655" s="6">
        <v>3.3107000000000002</v>
      </c>
      <c r="AM655" s="6">
        <v>2.9468999999999999</v>
      </c>
      <c r="AN655" s="6">
        <v>255</v>
      </c>
      <c r="AQ655" s="17">
        <v>653</v>
      </c>
      <c r="AR655" s="6">
        <v>1.5994999999999999</v>
      </c>
      <c r="AS655" s="19">
        <v>-0.62639999999999996</v>
      </c>
      <c r="AT655" s="6">
        <v>0.81220000000000003</v>
      </c>
      <c r="AU655" s="6">
        <v>255</v>
      </c>
      <c r="AW655" s="17">
        <v>653</v>
      </c>
      <c r="AX655" s="6">
        <v>0.84352000000000005</v>
      </c>
      <c r="AY655" s="19">
        <v>-0.62639999999999996</v>
      </c>
      <c r="AZ655" s="6">
        <v>0.81220000000000003</v>
      </c>
      <c r="BA655" s="6">
        <v>255</v>
      </c>
      <c r="BN655" s="17">
        <v>809</v>
      </c>
      <c r="BO655" s="6">
        <v>88.064289020000004</v>
      </c>
      <c r="BP655" s="6">
        <v>86.545233150000001</v>
      </c>
      <c r="BQ655" s="6">
        <v>1.5190558700000001</v>
      </c>
    </row>
    <row r="656" spans="1:69" x14ac:dyDescent="0.25">
      <c r="A656" t="s">
        <v>160</v>
      </c>
      <c r="B656" s="11">
        <v>1</v>
      </c>
      <c r="C656" s="36">
        <v>6</v>
      </c>
      <c r="D656" s="36">
        <v>1</v>
      </c>
      <c r="E656" s="32">
        <v>22</v>
      </c>
      <c r="F656" s="14">
        <v>60.8</v>
      </c>
      <c r="G656">
        <v>93.410021514629946</v>
      </c>
      <c r="H656">
        <v>11.5</v>
      </c>
      <c r="I656" t="s">
        <v>12</v>
      </c>
      <c r="AD656" s="17">
        <v>654</v>
      </c>
      <c r="AE656" s="6">
        <v>3.0407199999999999</v>
      </c>
      <c r="AF656" s="6">
        <v>4.5612000000000004</v>
      </c>
      <c r="AG656" s="6">
        <v>2.9279000000000002</v>
      </c>
      <c r="AH656" s="6">
        <v>255</v>
      </c>
      <c r="AJ656" s="17">
        <v>654</v>
      </c>
      <c r="AK656" s="6">
        <v>5.7658699999999996</v>
      </c>
      <c r="AL656" s="6">
        <v>4.5612000000000004</v>
      </c>
      <c r="AM656" s="6">
        <v>2.9279000000000002</v>
      </c>
      <c r="AN656" s="6">
        <v>255</v>
      </c>
      <c r="AQ656" s="17">
        <v>654</v>
      </c>
      <c r="AR656" s="6">
        <v>1.59581</v>
      </c>
      <c r="AS656" s="19">
        <v>-1.0398000000000001</v>
      </c>
      <c r="AT656" s="6">
        <v>0.81030000000000002</v>
      </c>
      <c r="AU656" s="6">
        <v>255</v>
      </c>
      <c r="AW656" s="17">
        <v>654</v>
      </c>
      <c r="AX656" s="6">
        <v>0.84157000000000004</v>
      </c>
      <c r="AY656" s="19">
        <v>-1.0398000000000001</v>
      </c>
      <c r="AZ656" s="6">
        <v>0.81030000000000002</v>
      </c>
      <c r="BA656" s="6">
        <v>255</v>
      </c>
      <c r="BN656" s="17">
        <v>810</v>
      </c>
      <c r="BO656" s="6">
        <v>82.248487170000004</v>
      </c>
      <c r="BP656" s="6">
        <v>83.754599420000005</v>
      </c>
      <c r="BQ656" s="19">
        <v>-1.5061122499999999</v>
      </c>
    </row>
    <row r="657" spans="1:69" x14ac:dyDescent="0.25">
      <c r="A657" t="s">
        <v>160</v>
      </c>
      <c r="B657" s="11">
        <v>2</v>
      </c>
      <c r="C657" s="36">
        <v>23</v>
      </c>
      <c r="D657" s="36">
        <v>4</v>
      </c>
      <c r="E657" s="32">
        <v>22</v>
      </c>
      <c r="F657" s="14">
        <v>60.7</v>
      </c>
      <c r="G657">
        <v>85.215435027143343</v>
      </c>
      <c r="H657" t="s">
        <v>12</v>
      </c>
      <c r="I657" t="s">
        <v>12</v>
      </c>
      <c r="AD657" s="17">
        <v>655</v>
      </c>
      <c r="AE657" s="6">
        <v>3.0234800000000002</v>
      </c>
      <c r="AF657" s="6">
        <v>4.2659000000000002</v>
      </c>
      <c r="AG657" s="6">
        <v>2.9113000000000002</v>
      </c>
      <c r="AH657" s="6">
        <v>255</v>
      </c>
      <c r="AJ657" s="17">
        <v>655</v>
      </c>
      <c r="AK657" s="6">
        <v>5.7331700000000003</v>
      </c>
      <c r="AL657" s="6">
        <v>4.2659000000000002</v>
      </c>
      <c r="AM657" s="6">
        <v>2.9113000000000002</v>
      </c>
      <c r="AN657" s="6">
        <v>255</v>
      </c>
      <c r="AQ657" s="17">
        <v>655</v>
      </c>
      <c r="AR657" s="6">
        <v>1.5888599999999999</v>
      </c>
      <c r="AS657" s="19">
        <v>-2.2595000000000001</v>
      </c>
      <c r="AT657" s="6">
        <v>0.80679999999999996</v>
      </c>
      <c r="AU657" s="6">
        <v>255</v>
      </c>
      <c r="AW657" s="17">
        <v>655</v>
      </c>
      <c r="AX657" s="6">
        <v>0.83791000000000004</v>
      </c>
      <c r="AY657" s="19">
        <v>-2.2595000000000001</v>
      </c>
      <c r="AZ657" s="6">
        <v>0.80679999999999996</v>
      </c>
      <c r="BA657" s="6">
        <v>255</v>
      </c>
      <c r="BN657" s="17">
        <v>811</v>
      </c>
      <c r="BO657" s="6">
        <v>93.410021510000007</v>
      </c>
      <c r="BP657" s="6">
        <v>90.094566819999997</v>
      </c>
      <c r="BQ657" s="6">
        <v>3.3154546900000001</v>
      </c>
    </row>
    <row r="658" spans="1:69" x14ac:dyDescent="0.25">
      <c r="A658" t="s">
        <v>160</v>
      </c>
      <c r="B658" s="11">
        <v>3</v>
      </c>
      <c r="C658" s="36">
        <v>18</v>
      </c>
      <c r="D658" s="36">
        <v>6</v>
      </c>
      <c r="E658" s="32">
        <v>22</v>
      </c>
      <c r="F658" s="14">
        <v>59.3</v>
      </c>
      <c r="G658">
        <v>78.754670624281857</v>
      </c>
      <c r="H658" t="s">
        <v>12</v>
      </c>
      <c r="I658" t="s">
        <v>12</v>
      </c>
      <c r="AD658" s="17">
        <v>656</v>
      </c>
      <c r="AE658" s="6">
        <v>3.0338599999999998</v>
      </c>
      <c r="AF658" s="6">
        <v>9.7041000000000004</v>
      </c>
      <c r="AG658" s="6">
        <v>2.9213</v>
      </c>
      <c r="AH658" s="6">
        <v>255</v>
      </c>
      <c r="AJ658" s="17">
        <v>656</v>
      </c>
      <c r="AK658" s="6">
        <v>5.7528600000000001</v>
      </c>
      <c r="AL658" s="6">
        <v>9.7041000000000004</v>
      </c>
      <c r="AM658" s="6">
        <v>2.9213</v>
      </c>
      <c r="AN658" s="6">
        <v>255</v>
      </c>
      <c r="AQ658" s="17">
        <v>656</v>
      </c>
      <c r="AR658" s="6">
        <v>1.5865499999999999</v>
      </c>
      <c r="AS658" s="6">
        <v>0.67769999999999997</v>
      </c>
      <c r="AT658" s="6">
        <v>0.80559999999999998</v>
      </c>
      <c r="AU658" s="6">
        <v>255</v>
      </c>
      <c r="AW658" s="17">
        <v>656</v>
      </c>
      <c r="AX658" s="6">
        <v>0.83669000000000004</v>
      </c>
      <c r="AY658" s="6">
        <v>0.67769999999999997</v>
      </c>
      <c r="AZ658" s="6">
        <v>0.80559999999999998</v>
      </c>
      <c r="BA658" s="6">
        <v>255</v>
      </c>
      <c r="BN658" s="17">
        <v>812</v>
      </c>
      <c r="BO658" s="6">
        <v>85.215435029999995</v>
      </c>
      <c r="BP658" s="6">
        <v>85.038097030000003</v>
      </c>
      <c r="BQ658" s="6">
        <v>0.177338</v>
      </c>
    </row>
    <row r="659" spans="1:69" x14ac:dyDescent="0.25">
      <c r="A659" t="s">
        <v>160</v>
      </c>
      <c r="B659" s="11">
        <v>1</v>
      </c>
      <c r="C659" s="36">
        <v>8</v>
      </c>
      <c r="D659" s="36">
        <v>1</v>
      </c>
      <c r="E659" s="32">
        <v>18</v>
      </c>
      <c r="F659" s="14">
        <v>58</v>
      </c>
      <c r="G659">
        <v>93.25538726333906</v>
      </c>
      <c r="H659">
        <v>10.1</v>
      </c>
      <c r="I659" t="s">
        <v>12</v>
      </c>
      <c r="AD659" s="17">
        <v>657</v>
      </c>
      <c r="AE659" s="6">
        <v>3.0568</v>
      </c>
      <c r="AF659" s="6">
        <v>6.5583</v>
      </c>
      <c r="AG659" s="6">
        <v>2.9434</v>
      </c>
      <c r="AH659" s="6">
        <v>255</v>
      </c>
      <c r="AJ659" s="17">
        <v>657</v>
      </c>
      <c r="AK659" s="6">
        <v>5.7963699999999996</v>
      </c>
      <c r="AL659" s="6">
        <v>6.5583</v>
      </c>
      <c r="AM659" s="6">
        <v>2.9434</v>
      </c>
      <c r="AN659" s="6">
        <v>255</v>
      </c>
      <c r="AQ659" s="17">
        <v>657</v>
      </c>
      <c r="AR659" s="6">
        <v>1.59171</v>
      </c>
      <c r="AS659" s="6">
        <v>0.53139999999999998</v>
      </c>
      <c r="AT659" s="6">
        <v>0.80830000000000002</v>
      </c>
      <c r="AU659" s="6">
        <v>255</v>
      </c>
      <c r="AW659" s="17">
        <v>657</v>
      </c>
      <c r="AX659" s="6">
        <v>0.83940999999999999</v>
      </c>
      <c r="AY659" s="6">
        <v>0.53139999999999998</v>
      </c>
      <c r="AZ659" s="6">
        <v>0.80830000000000002</v>
      </c>
      <c r="BA659" s="6">
        <v>255</v>
      </c>
      <c r="BN659" s="17">
        <v>813</v>
      </c>
      <c r="BO659" s="6">
        <v>78.754670619999999</v>
      </c>
      <c r="BP659" s="6">
        <v>82.247463310000001</v>
      </c>
      <c r="BQ659" s="19">
        <v>-3.4927926899999999</v>
      </c>
    </row>
    <row r="660" spans="1:69" x14ac:dyDescent="0.25">
      <c r="A660" t="s">
        <v>160</v>
      </c>
      <c r="B660" s="11">
        <v>2</v>
      </c>
      <c r="C660" s="36">
        <v>10</v>
      </c>
      <c r="D660" s="36">
        <v>3</v>
      </c>
      <c r="E660" s="32">
        <v>18</v>
      </c>
      <c r="F660" s="14">
        <v>57.9</v>
      </c>
      <c r="G660">
        <v>84.888893081167751</v>
      </c>
      <c r="H660" t="s">
        <v>12</v>
      </c>
      <c r="I660" t="s">
        <v>12</v>
      </c>
      <c r="AD660" s="17">
        <v>658</v>
      </c>
      <c r="AE660" s="6">
        <v>3.05382</v>
      </c>
      <c r="AF660" s="6">
        <v>4.8036000000000003</v>
      </c>
      <c r="AG660" s="6">
        <v>2.9405000000000001</v>
      </c>
      <c r="AH660" s="6">
        <v>255</v>
      </c>
      <c r="AJ660" s="17">
        <v>658</v>
      </c>
      <c r="AK660" s="6">
        <v>5.7907200000000003</v>
      </c>
      <c r="AL660" s="6">
        <v>4.8036000000000003</v>
      </c>
      <c r="AM660" s="6">
        <v>2.9405000000000001</v>
      </c>
      <c r="AN660" s="6">
        <v>255</v>
      </c>
      <c r="AQ660" s="17">
        <v>658</v>
      </c>
      <c r="AR660" s="6">
        <v>1.59158</v>
      </c>
      <c r="AS660" s="6">
        <v>7.4069999999999997E-2</v>
      </c>
      <c r="AT660" s="6">
        <v>0.80820000000000003</v>
      </c>
      <c r="AU660" s="6">
        <v>255</v>
      </c>
      <c r="AW660" s="17">
        <v>658</v>
      </c>
      <c r="AX660" s="6">
        <v>0.83933999999999997</v>
      </c>
      <c r="AY660" s="6">
        <v>7.4069999999999997E-2</v>
      </c>
      <c r="AZ660" s="6">
        <v>0.80820000000000003</v>
      </c>
      <c r="BA660" s="6">
        <v>255</v>
      </c>
      <c r="BN660" s="17">
        <v>814</v>
      </c>
      <c r="BO660" s="6">
        <v>93.255387260000006</v>
      </c>
      <c r="BP660" s="6">
        <v>92.053170159999993</v>
      </c>
      <c r="BQ660" s="6">
        <v>1.2022170999999999</v>
      </c>
    </row>
    <row r="661" spans="1:69" x14ac:dyDescent="0.25">
      <c r="A661" t="s">
        <v>160</v>
      </c>
      <c r="B661" s="11">
        <v>3</v>
      </c>
      <c r="C661" s="36">
        <v>2</v>
      </c>
      <c r="D661" s="36">
        <v>5</v>
      </c>
      <c r="E661" s="32">
        <v>18</v>
      </c>
      <c r="F661" s="14">
        <v>58.1</v>
      </c>
      <c r="G661">
        <v>85.111656833349443</v>
      </c>
      <c r="H661" t="s">
        <v>12</v>
      </c>
      <c r="I661" t="s">
        <v>12</v>
      </c>
      <c r="AD661" s="17">
        <v>659</v>
      </c>
      <c r="AE661" s="6">
        <v>3.0472100000000002</v>
      </c>
      <c r="AF661" s="6">
        <v>8.5249000000000006</v>
      </c>
      <c r="AG661" s="6">
        <v>2.9340999999999999</v>
      </c>
      <c r="AH661" s="6">
        <v>255</v>
      </c>
      <c r="AJ661" s="17">
        <v>659</v>
      </c>
      <c r="AK661" s="6">
        <v>5.7781900000000004</v>
      </c>
      <c r="AL661" s="6">
        <v>8.5249000000000006</v>
      </c>
      <c r="AM661" s="6">
        <v>2.9340999999999999</v>
      </c>
      <c r="AN661" s="6">
        <v>255</v>
      </c>
      <c r="AQ661" s="17">
        <v>659</v>
      </c>
      <c r="AR661" s="6">
        <v>1.59358</v>
      </c>
      <c r="AS661" s="19">
        <v>-0.60980000000000001</v>
      </c>
      <c r="AT661" s="6">
        <v>0.80920000000000003</v>
      </c>
      <c r="AU661" s="6">
        <v>255</v>
      </c>
      <c r="AW661" s="17">
        <v>659</v>
      </c>
      <c r="AX661" s="6">
        <v>0.84040000000000004</v>
      </c>
      <c r="AY661" s="19">
        <v>-0.60980000000000001</v>
      </c>
      <c r="AZ661" s="6">
        <v>0.80920000000000003</v>
      </c>
      <c r="BA661" s="6">
        <v>255</v>
      </c>
      <c r="BN661" s="17">
        <v>815</v>
      </c>
      <c r="BO661" s="6">
        <v>84.888893080000003</v>
      </c>
      <c r="BP661" s="6">
        <v>86.996700369999999</v>
      </c>
      <c r="BQ661" s="19">
        <v>-2.1078072900000002</v>
      </c>
    </row>
    <row r="662" spans="1:69" x14ac:dyDescent="0.25">
      <c r="A662" t="s">
        <v>160</v>
      </c>
      <c r="B662">
        <v>1</v>
      </c>
      <c r="C662" s="36">
        <v>26</v>
      </c>
      <c r="D662" s="36">
        <v>1</v>
      </c>
      <c r="E662" s="32">
        <v>14</v>
      </c>
      <c r="F662" s="13">
        <v>62.2</v>
      </c>
      <c r="G662">
        <v>89.173270223752141</v>
      </c>
      <c r="H662">
        <v>9</v>
      </c>
      <c r="I662" t="s">
        <v>12</v>
      </c>
      <c r="AD662" s="17">
        <v>660</v>
      </c>
      <c r="AE662" s="6">
        <v>3.0430799999999998</v>
      </c>
      <c r="AF662" s="6">
        <v>17.0289</v>
      </c>
      <c r="AG662" s="6">
        <v>2.9300999999999999</v>
      </c>
      <c r="AH662" s="6">
        <v>255</v>
      </c>
      <c r="AJ662" s="17">
        <v>660</v>
      </c>
      <c r="AK662" s="6">
        <v>5.7703499999999996</v>
      </c>
      <c r="AL662" s="6">
        <v>17.0289</v>
      </c>
      <c r="AM662" s="6">
        <v>2.9300999999999999</v>
      </c>
      <c r="AN662" s="6">
        <v>255</v>
      </c>
      <c r="AQ662" s="17">
        <v>660</v>
      </c>
      <c r="AR662" s="6">
        <v>1.5970200000000001</v>
      </c>
      <c r="AS662" s="6">
        <v>2.2987000000000002</v>
      </c>
      <c r="AT662" s="6">
        <v>0.81100000000000005</v>
      </c>
      <c r="AU662" s="6">
        <v>255</v>
      </c>
      <c r="AW662" s="17">
        <v>660</v>
      </c>
      <c r="AX662" s="6">
        <v>0.84221000000000001</v>
      </c>
      <c r="AY662" s="6">
        <v>2.2987000000000002</v>
      </c>
      <c r="AZ662" s="6">
        <v>0.81100000000000005</v>
      </c>
      <c r="BA662" s="6">
        <v>255</v>
      </c>
      <c r="BN662" s="17">
        <v>816</v>
      </c>
      <c r="BO662" s="6">
        <v>85.111656830000001</v>
      </c>
      <c r="BP662" s="6">
        <v>84.206066640000003</v>
      </c>
      <c r="BQ662" s="6">
        <v>0.90559018999999996</v>
      </c>
    </row>
    <row r="663" spans="1:69" x14ac:dyDescent="0.25">
      <c r="A663" t="s">
        <v>160</v>
      </c>
      <c r="B663">
        <v>2</v>
      </c>
      <c r="C663" s="36">
        <v>3</v>
      </c>
      <c r="D663" s="36">
        <v>3</v>
      </c>
      <c r="E663" s="32">
        <v>14</v>
      </c>
      <c r="F663" s="13">
        <v>61.5</v>
      </c>
      <c r="G663">
        <v>89.778427581002688</v>
      </c>
      <c r="H663" t="s">
        <v>12</v>
      </c>
      <c r="I663" t="s">
        <v>12</v>
      </c>
      <c r="AD663" s="17">
        <v>661</v>
      </c>
      <c r="AE663" s="6">
        <v>3.06616</v>
      </c>
      <c r="AF663" s="6">
        <v>1.2085999999999999</v>
      </c>
      <c r="AG663" s="6">
        <v>2.9523999999999999</v>
      </c>
      <c r="AH663" s="6">
        <v>255</v>
      </c>
      <c r="AJ663" s="17">
        <v>661</v>
      </c>
      <c r="AK663" s="6">
        <v>5.8141100000000003</v>
      </c>
      <c r="AL663" s="6">
        <v>1.2085999999999999</v>
      </c>
      <c r="AM663" s="6">
        <v>2.9523999999999999</v>
      </c>
      <c r="AN663" s="6">
        <v>255</v>
      </c>
      <c r="AQ663" s="17">
        <v>661</v>
      </c>
      <c r="AR663" s="6">
        <v>1.6016999999999999</v>
      </c>
      <c r="AS663" s="6">
        <v>1.5024</v>
      </c>
      <c r="AT663" s="6">
        <v>0.81330000000000002</v>
      </c>
      <c r="AU663" s="6">
        <v>255</v>
      </c>
      <c r="AW663" s="17">
        <v>661</v>
      </c>
      <c r="AX663" s="6">
        <v>0.84467999999999999</v>
      </c>
      <c r="AY663" s="6">
        <v>1.5024</v>
      </c>
      <c r="AZ663" s="6">
        <v>0.81330000000000002</v>
      </c>
      <c r="BA663" s="6">
        <v>255</v>
      </c>
      <c r="BN663" s="17">
        <v>817</v>
      </c>
      <c r="BO663" s="6">
        <v>89.173270220000006</v>
      </c>
      <c r="BP663" s="6">
        <v>91.159473449999993</v>
      </c>
      <c r="BQ663" s="19">
        <v>-1.9862032300000001</v>
      </c>
    </row>
    <row r="664" spans="1:69" x14ac:dyDescent="0.25">
      <c r="A664" t="s">
        <v>160</v>
      </c>
      <c r="B664">
        <v>3</v>
      </c>
      <c r="C664" s="36">
        <v>14</v>
      </c>
      <c r="D664" s="36">
        <v>5</v>
      </c>
      <c r="E664" s="32">
        <v>14</v>
      </c>
      <c r="F664" s="13">
        <v>58.8</v>
      </c>
      <c r="G664">
        <v>81.62314924073894</v>
      </c>
      <c r="H664" t="s">
        <v>12</v>
      </c>
      <c r="I664" t="s">
        <v>12</v>
      </c>
      <c r="AD664" s="17">
        <v>662</v>
      </c>
      <c r="AE664" s="6">
        <v>3.0613600000000001</v>
      </c>
      <c r="AF664" s="6">
        <v>5.3070000000000004</v>
      </c>
      <c r="AG664" s="6">
        <v>2.9477000000000002</v>
      </c>
      <c r="AH664" s="6">
        <v>255</v>
      </c>
      <c r="AJ664" s="17">
        <v>662</v>
      </c>
      <c r="AK664" s="6">
        <v>5.8050100000000002</v>
      </c>
      <c r="AL664" s="6">
        <v>5.3070000000000004</v>
      </c>
      <c r="AM664" s="6">
        <v>2.9477000000000002</v>
      </c>
      <c r="AN664" s="6">
        <v>255</v>
      </c>
      <c r="AQ664" s="17">
        <v>662</v>
      </c>
      <c r="AR664" s="6">
        <v>1.6026800000000001</v>
      </c>
      <c r="AS664" s="6">
        <v>1.8896999999999999</v>
      </c>
      <c r="AT664" s="6">
        <v>0.81379999999999997</v>
      </c>
      <c r="AU664" s="6">
        <v>255</v>
      </c>
      <c r="AW664" s="17">
        <v>662</v>
      </c>
      <c r="AX664" s="6">
        <v>0.84519999999999995</v>
      </c>
      <c r="AY664" s="6">
        <v>1.8896999999999999</v>
      </c>
      <c r="AZ664" s="6">
        <v>0.81379999999999997</v>
      </c>
      <c r="BA664" s="6">
        <v>255</v>
      </c>
      <c r="BN664" s="17">
        <v>818</v>
      </c>
      <c r="BO664" s="6">
        <v>89.778427579999999</v>
      </c>
      <c r="BP664" s="6">
        <v>86.103003659999999</v>
      </c>
      <c r="BQ664" s="6">
        <v>3.6754239200000001</v>
      </c>
    </row>
    <row r="665" spans="1:69" x14ac:dyDescent="0.25">
      <c r="A665" t="s">
        <v>160</v>
      </c>
      <c r="B665">
        <v>1</v>
      </c>
      <c r="C665" s="36">
        <v>9</v>
      </c>
      <c r="D665" s="36">
        <v>1</v>
      </c>
      <c r="E665" s="32">
        <v>15</v>
      </c>
      <c r="F665" s="13">
        <v>58.5</v>
      </c>
      <c r="G665">
        <v>106.11577882960412</v>
      </c>
      <c r="H665">
        <v>10</v>
      </c>
      <c r="I665" t="s">
        <v>12</v>
      </c>
      <c r="AD665" s="17">
        <v>663</v>
      </c>
      <c r="AE665" s="6">
        <v>3.05646</v>
      </c>
      <c r="AF665" s="6">
        <v>1.5509999999999999</v>
      </c>
      <c r="AG665" s="6">
        <v>2.9430000000000001</v>
      </c>
      <c r="AH665" s="6">
        <v>255</v>
      </c>
      <c r="AJ665" s="17">
        <v>663</v>
      </c>
      <c r="AK665" s="6">
        <v>5.7957299999999998</v>
      </c>
      <c r="AL665" s="6">
        <v>1.5509999999999999</v>
      </c>
      <c r="AM665" s="6">
        <v>2.9430000000000001</v>
      </c>
      <c r="AN665" s="6">
        <v>255</v>
      </c>
      <c r="AQ665" s="17">
        <v>663</v>
      </c>
      <c r="AR665" s="6">
        <v>1.59697</v>
      </c>
      <c r="AS665" s="6">
        <v>1.9646999999999999</v>
      </c>
      <c r="AT665" s="6">
        <v>0.81089999999999995</v>
      </c>
      <c r="AU665" s="6">
        <v>255</v>
      </c>
      <c r="AW665" s="17">
        <v>663</v>
      </c>
      <c r="AX665" s="6">
        <v>0.84218999999999999</v>
      </c>
      <c r="AY665" s="6">
        <v>1.9646999999999999</v>
      </c>
      <c r="AZ665" s="6">
        <v>0.81089999999999995</v>
      </c>
      <c r="BA665" s="6">
        <v>255</v>
      </c>
      <c r="BN665" s="17">
        <v>819</v>
      </c>
      <c r="BO665" s="6">
        <v>81.623149240000004</v>
      </c>
      <c r="BP665" s="6">
        <v>83.312369930000003</v>
      </c>
      <c r="BQ665" s="19">
        <v>-1.68922069</v>
      </c>
    </row>
    <row r="666" spans="1:69" x14ac:dyDescent="0.25">
      <c r="A666" t="s">
        <v>160</v>
      </c>
      <c r="B666">
        <v>2</v>
      </c>
      <c r="C666" s="36">
        <v>13</v>
      </c>
      <c r="D666" s="36">
        <v>3</v>
      </c>
      <c r="E666" s="32">
        <v>15</v>
      </c>
      <c r="F666" s="13">
        <v>58</v>
      </c>
      <c r="G666">
        <v>94.734264019242545</v>
      </c>
      <c r="H666" t="s">
        <v>12</v>
      </c>
      <c r="I666" t="s">
        <v>12</v>
      </c>
      <c r="AD666" s="17">
        <v>664</v>
      </c>
      <c r="AE666" s="6">
        <v>3.05707</v>
      </c>
      <c r="AF666" s="19">
        <v>-1.9695</v>
      </c>
      <c r="AG666" s="6">
        <v>2.9436</v>
      </c>
      <c r="AH666" s="6">
        <v>255</v>
      </c>
      <c r="AJ666" s="17">
        <v>664</v>
      </c>
      <c r="AK666" s="6">
        <v>5.7968799999999998</v>
      </c>
      <c r="AL666" s="19">
        <v>-1.9695</v>
      </c>
      <c r="AM666" s="6">
        <v>2.9436</v>
      </c>
      <c r="AN666" s="6">
        <v>255</v>
      </c>
      <c r="AQ666" s="17">
        <v>664</v>
      </c>
      <c r="AR666" s="6">
        <v>1.5952</v>
      </c>
      <c r="AS666" s="6">
        <v>1.9910000000000001E-2</v>
      </c>
      <c r="AT666" s="6">
        <v>0.81</v>
      </c>
      <c r="AU666" s="6">
        <v>255</v>
      </c>
      <c r="AW666" s="17">
        <v>664</v>
      </c>
      <c r="AX666" s="6">
        <v>0.84125000000000005</v>
      </c>
      <c r="AY666" s="6">
        <v>1.9910000000000001E-2</v>
      </c>
      <c r="AZ666" s="6">
        <v>0.81</v>
      </c>
      <c r="BA666" s="6">
        <v>255</v>
      </c>
      <c r="BN666" s="17">
        <v>820</v>
      </c>
      <c r="BO666" s="6">
        <v>106.1157788</v>
      </c>
      <c r="BP666" s="6">
        <v>100.43078271</v>
      </c>
      <c r="BQ666" s="6">
        <v>5.6849960900000003</v>
      </c>
    </row>
    <row r="667" spans="1:69" x14ac:dyDescent="0.25">
      <c r="A667" t="s">
        <v>160</v>
      </c>
      <c r="B667">
        <v>3</v>
      </c>
      <c r="C667" s="36">
        <v>19</v>
      </c>
      <c r="D667" s="36">
        <v>5</v>
      </c>
      <c r="E667" s="32">
        <v>15</v>
      </c>
      <c r="F667" s="13">
        <v>58.2</v>
      </c>
      <c r="G667">
        <v>87.53873198568526</v>
      </c>
      <c r="H667" t="s">
        <v>12</v>
      </c>
      <c r="I667" t="s">
        <v>12</v>
      </c>
      <c r="AD667" s="17">
        <v>665</v>
      </c>
      <c r="AE667" s="6">
        <v>3.0672199999999998</v>
      </c>
      <c r="AF667" s="19">
        <v>-1.6411</v>
      </c>
      <c r="AG667" s="6">
        <v>2.9533999999999998</v>
      </c>
      <c r="AH667" s="6">
        <v>255</v>
      </c>
      <c r="AJ667" s="17">
        <v>665</v>
      </c>
      <c r="AK667" s="6">
        <v>5.8161199999999997</v>
      </c>
      <c r="AL667" s="19">
        <v>-1.6411</v>
      </c>
      <c r="AM667" s="6">
        <v>2.9533999999999998</v>
      </c>
      <c r="AN667" s="6">
        <v>255</v>
      </c>
      <c r="AQ667" s="17">
        <v>665</v>
      </c>
      <c r="AR667" s="6">
        <v>1.6002099999999999</v>
      </c>
      <c r="AS667" s="6">
        <v>0.86219999999999997</v>
      </c>
      <c r="AT667" s="6">
        <v>0.81259999999999999</v>
      </c>
      <c r="AU667" s="6">
        <v>255</v>
      </c>
      <c r="AW667" s="17">
        <v>665</v>
      </c>
      <c r="AX667" s="6">
        <v>0.84389999999999998</v>
      </c>
      <c r="AY667" s="6">
        <v>0.86219999999999997</v>
      </c>
      <c r="AZ667" s="6">
        <v>0.81259999999999999</v>
      </c>
      <c r="BA667" s="6">
        <v>255</v>
      </c>
      <c r="BN667" s="17">
        <v>821</v>
      </c>
      <c r="BO667" s="6">
        <v>94.734264019999998</v>
      </c>
      <c r="BP667" s="6">
        <v>95.37431291</v>
      </c>
      <c r="BQ667" s="19">
        <v>-0.64004888999999998</v>
      </c>
    </row>
    <row r="668" spans="1:69" x14ac:dyDescent="0.25">
      <c r="A668" t="s">
        <v>160</v>
      </c>
      <c r="B668">
        <v>1</v>
      </c>
      <c r="C668" s="36">
        <v>5</v>
      </c>
      <c r="D668" s="36">
        <v>2</v>
      </c>
      <c r="E668" s="32">
        <v>16</v>
      </c>
      <c r="F668" s="13">
        <v>61.1</v>
      </c>
      <c r="G668">
        <v>86.373305084745766</v>
      </c>
      <c r="H668">
        <v>10.6</v>
      </c>
      <c r="I668" t="s">
        <v>12</v>
      </c>
      <c r="AD668" s="17">
        <v>666</v>
      </c>
      <c r="AE668" s="6">
        <v>3.06108</v>
      </c>
      <c r="AF668" s="6">
        <v>0.87690000000000001</v>
      </c>
      <c r="AG668" s="6">
        <v>2.9474999999999998</v>
      </c>
      <c r="AH668" s="6">
        <v>255</v>
      </c>
      <c r="AJ668" s="17">
        <v>666</v>
      </c>
      <c r="AK668" s="6">
        <v>5.8044799999999999</v>
      </c>
      <c r="AL668" s="6">
        <v>0.87690000000000001</v>
      </c>
      <c r="AM668" s="6">
        <v>2.9474999999999998</v>
      </c>
      <c r="AN668" s="6">
        <v>255</v>
      </c>
      <c r="AQ668" s="17">
        <v>666</v>
      </c>
      <c r="AR668" s="6">
        <v>1.5964799999999999</v>
      </c>
      <c r="AS668" s="19">
        <v>-0.80689999999999995</v>
      </c>
      <c r="AT668" s="6">
        <v>0.81069999999999998</v>
      </c>
      <c r="AU668" s="6">
        <v>255</v>
      </c>
      <c r="AW668" s="17">
        <v>666</v>
      </c>
      <c r="AX668" s="6">
        <v>0.84192999999999996</v>
      </c>
      <c r="AY668" s="19">
        <v>-0.80689999999999995</v>
      </c>
      <c r="AZ668" s="6">
        <v>0.81069999999999998</v>
      </c>
      <c r="BA668" s="6">
        <v>255</v>
      </c>
      <c r="BN668" s="17">
        <v>822</v>
      </c>
      <c r="BO668" s="6">
        <v>87.538731990000002</v>
      </c>
      <c r="BP668" s="6">
        <v>92.583679189999998</v>
      </c>
      <c r="BQ668" s="19">
        <v>-5.0449472000000002</v>
      </c>
    </row>
    <row r="669" spans="1:69" x14ac:dyDescent="0.25">
      <c r="A669" t="s">
        <v>160</v>
      </c>
      <c r="B669">
        <v>2</v>
      </c>
      <c r="C669" s="36">
        <v>15</v>
      </c>
      <c r="D669" s="36">
        <v>3</v>
      </c>
      <c r="E669" s="32">
        <v>16</v>
      </c>
      <c r="F669" s="13" t="s">
        <v>12</v>
      </c>
      <c r="G669" t="s">
        <v>12</v>
      </c>
      <c r="H669" t="s">
        <v>12</v>
      </c>
      <c r="I669" t="s">
        <v>12</v>
      </c>
      <c r="AD669" s="17">
        <v>667</v>
      </c>
      <c r="AE669" s="6">
        <v>3.07457</v>
      </c>
      <c r="AF669" s="6">
        <v>2.5552000000000001</v>
      </c>
      <c r="AG669" s="6">
        <v>2.9605000000000001</v>
      </c>
      <c r="AH669" s="6">
        <v>255</v>
      </c>
      <c r="AJ669" s="17">
        <v>667</v>
      </c>
      <c r="AK669" s="6">
        <v>5.83005</v>
      </c>
      <c r="AL669" s="6">
        <v>2.5552000000000001</v>
      </c>
      <c r="AM669" s="6">
        <v>2.9605000000000001</v>
      </c>
      <c r="AN669" s="6">
        <v>255</v>
      </c>
      <c r="AQ669" s="17">
        <v>667</v>
      </c>
      <c r="AR669" s="6">
        <v>1.6110100000000001</v>
      </c>
      <c r="AS669" s="19">
        <v>-0.42609999999999998</v>
      </c>
      <c r="AT669" s="6">
        <v>0.81810000000000005</v>
      </c>
      <c r="AU669" s="6">
        <v>255</v>
      </c>
      <c r="AW669" s="17">
        <v>667</v>
      </c>
      <c r="AX669" s="6">
        <v>0.84958999999999996</v>
      </c>
      <c r="AY669" s="19">
        <v>-0.42609999999999998</v>
      </c>
      <c r="AZ669" s="6">
        <v>0.81810000000000005</v>
      </c>
      <c r="BA669" s="6">
        <v>255</v>
      </c>
      <c r="BN669" s="17">
        <v>823</v>
      </c>
      <c r="BO669" s="6">
        <v>86.373305079999994</v>
      </c>
      <c r="BP669" s="6">
        <v>85.576074169999998</v>
      </c>
      <c r="BQ669" s="6">
        <v>0.79723091000000001</v>
      </c>
    </row>
    <row r="670" spans="1:69" x14ac:dyDescent="0.25">
      <c r="A670" t="s">
        <v>160</v>
      </c>
      <c r="B670">
        <v>3</v>
      </c>
      <c r="C670" s="36">
        <v>16</v>
      </c>
      <c r="D670" s="36">
        <v>6</v>
      </c>
      <c r="E670" s="32">
        <v>16</v>
      </c>
      <c r="F670" s="13">
        <v>57.5</v>
      </c>
      <c r="G670">
        <v>76.931739754883182</v>
      </c>
      <c r="H670" t="s">
        <v>12</v>
      </c>
      <c r="I670" t="s">
        <v>12</v>
      </c>
      <c r="AD670" s="17">
        <v>668</v>
      </c>
      <c r="AE670" s="6">
        <v>3.0680900000000002</v>
      </c>
      <c r="AF670" s="6">
        <v>7.3010000000000005E-2</v>
      </c>
      <c r="AG670" s="6">
        <v>2.9542000000000002</v>
      </c>
      <c r="AH670" s="6">
        <v>255</v>
      </c>
      <c r="AJ670" s="17">
        <v>668</v>
      </c>
      <c r="AK670" s="6">
        <v>5.81778</v>
      </c>
      <c r="AL670" s="6">
        <v>7.3010000000000005E-2</v>
      </c>
      <c r="AM670" s="6">
        <v>2.9542000000000002</v>
      </c>
      <c r="AN670" s="6">
        <v>255</v>
      </c>
      <c r="AQ670" s="17">
        <v>668</v>
      </c>
      <c r="AR670" s="6">
        <v>1.6257699999999999</v>
      </c>
      <c r="AS670" s="6">
        <v>0.95240000000000002</v>
      </c>
      <c r="AT670" s="6">
        <v>0.8256</v>
      </c>
      <c r="AU670" s="6">
        <v>255</v>
      </c>
      <c r="AW670" s="17">
        <v>668</v>
      </c>
      <c r="AX670" s="6">
        <v>0.85736999999999997</v>
      </c>
      <c r="AY670" s="6">
        <v>0.95240000000000002</v>
      </c>
      <c r="AZ670" s="6">
        <v>0.8256</v>
      </c>
      <c r="BA670" s="6">
        <v>255</v>
      </c>
      <c r="BN670" s="17">
        <v>824</v>
      </c>
      <c r="BO670" s="6" t="s">
        <v>12</v>
      </c>
      <c r="BP670" s="6">
        <v>80.519604380000004</v>
      </c>
      <c r="BQ670" s="6" t="s">
        <v>12</v>
      </c>
    </row>
    <row r="671" spans="1:69" x14ac:dyDescent="0.25">
      <c r="A671" t="s">
        <v>160</v>
      </c>
      <c r="B671">
        <v>1</v>
      </c>
      <c r="C671" s="36">
        <v>3</v>
      </c>
      <c r="D671" s="36">
        <v>2</v>
      </c>
      <c r="E671" s="32">
        <v>11</v>
      </c>
      <c r="F671" s="13">
        <v>60.5</v>
      </c>
      <c r="G671">
        <v>89.513882324455196</v>
      </c>
      <c r="H671">
        <v>9.9</v>
      </c>
      <c r="I671" t="s">
        <v>12</v>
      </c>
      <c r="AD671" s="17">
        <v>669</v>
      </c>
      <c r="AE671" s="6">
        <v>3.06304</v>
      </c>
      <c r="AF671" s="6">
        <v>2.0333000000000001</v>
      </c>
      <c r="AG671" s="6">
        <v>2.9493999999999998</v>
      </c>
      <c r="AH671" s="6">
        <v>255</v>
      </c>
      <c r="AJ671" s="17">
        <v>669</v>
      </c>
      <c r="AK671" s="6">
        <v>5.8082000000000003</v>
      </c>
      <c r="AL671" s="6">
        <v>2.0333000000000001</v>
      </c>
      <c r="AM671" s="6">
        <v>2.9493999999999998</v>
      </c>
      <c r="AN671" s="6">
        <v>255</v>
      </c>
      <c r="AQ671" s="17">
        <v>669</v>
      </c>
      <c r="AR671" s="6">
        <v>1.6009500000000001</v>
      </c>
      <c r="AS671" s="6">
        <v>0.86329999999999996</v>
      </c>
      <c r="AT671" s="6">
        <v>0.81289999999999996</v>
      </c>
      <c r="AU671" s="6">
        <v>255</v>
      </c>
      <c r="AW671" s="17">
        <v>669</v>
      </c>
      <c r="AX671" s="6">
        <v>0.84428000000000003</v>
      </c>
      <c r="AY671" s="6">
        <v>0.86329999999999996</v>
      </c>
      <c r="AZ671" s="6">
        <v>0.81289999999999996</v>
      </c>
      <c r="BA671" s="6">
        <v>255</v>
      </c>
      <c r="BN671" s="17">
        <v>825</v>
      </c>
      <c r="BO671" s="6">
        <v>76.931739750000006</v>
      </c>
      <c r="BP671" s="6">
        <v>77.728970660000002</v>
      </c>
      <c r="BQ671" s="19">
        <v>-0.79723091000000001</v>
      </c>
    </row>
    <row r="672" spans="1:69" x14ac:dyDescent="0.25">
      <c r="A672" t="s">
        <v>160</v>
      </c>
      <c r="B672">
        <v>2</v>
      </c>
      <c r="C672" s="36">
        <v>2</v>
      </c>
      <c r="D672" s="36">
        <v>3</v>
      </c>
      <c r="E672" s="32">
        <v>11</v>
      </c>
      <c r="F672" s="13">
        <v>60.7</v>
      </c>
      <c r="G672">
        <v>83.712033674479997</v>
      </c>
      <c r="H672" t="s">
        <v>12</v>
      </c>
      <c r="I672" t="s">
        <v>12</v>
      </c>
      <c r="AD672" s="17">
        <v>670</v>
      </c>
      <c r="AE672" s="6">
        <v>3.07829</v>
      </c>
      <c r="AF672" s="19">
        <v>-6.0327999999999999</v>
      </c>
      <c r="AG672" s="6">
        <v>2.964</v>
      </c>
      <c r="AH672" s="6">
        <v>255</v>
      </c>
      <c r="AJ672" s="17">
        <v>670</v>
      </c>
      <c r="AK672" s="6">
        <v>5.8371199999999996</v>
      </c>
      <c r="AL672" s="19">
        <v>-6.0327999999999999</v>
      </c>
      <c r="AM672" s="6">
        <v>2.964</v>
      </c>
      <c r="AN672" s="6">
        <v>255</v>
      </c>
      <c r="AQ672" s="17">
        <v>670</v>
      </c>
      <c r="AR672" s="6">
        <v>1.60812</v>
      </c>
      <c r="AS672" s="6">
        <v>0.45240000000000002</v>
      </c>
      <c r="AT672" s="6">
        <v>0.81659999999999999</v>
      </c>
      <c r="AU672" s="6">
        <v>255</v>
      </c>
      <c r="AW672" s="17">
        <v>670</v>
      </c>
      <c r="AX672" s="6">
        <v>0.84806999999999999</v>
      </c>
      <c r="AY672" s="6">
        <v>0.45240000000000002</v>
      </c>
      <c r="AZ672" s="6">
        <v>0.81659999999999999</v>
      </c>
      <c r="BA672" s="6">
        <v>255</v>
      </c>
      <c r="BN672" s="17">
        <v>826</v>
      </c>
      <c r="BO672" s="6">
        <v>89.513882319999993</v>
      </c>
      <c r="BP672" s="6">
        <v>89.737692550000006</v>
      </c>
      <c r="BQ672" s="19">
        <v>-0.22381023</v>
      </c>
    </row>
    <row r="673" spans="1:69" x14ac:dyDescent="0.25">
      <c r="A673" t="s">
        <v>160</v>
      </c>
      <c r="B673">
        <v>3</v>
      </c>
      <c r="C673" s="36">
        <v>21</v>
      </c>
      <c r="D673" s="36">
        <v>5</v>
      </c>
      <c r="E673" s="32">
        <v>11</v>
      </c>
      <c r="F673" s="13">
        <v>61.1</v>
      </c>
      <c r="G673">
        <v>83.08358835477317</v>
      </c>
      <c r="H673" t="s">
        <v>12</v>
      </c>
      <c r="I673" t="s">
        <v>12</v>
      </c>
      <c r="AD673" s="17">
        <v>671</v>
      </c>
      <c r="AE673" s="6">
        <v>3.0586199999999999</v>
      </c>
      <c r="AF673" s="19">
        <v>-0.99</v>
      </c>
      <c r="AG673" s="6">
        <v>2.9451000000000001</v>
      </c>
      <c r="AH673" s="6">
        <v>255</v>
      </c>
      <c r="AJ673" s="17">
        <v>671</v>
      </c>
      <c r="AK673" s="6">
        <v>5.7998099999999999</v>
      </c>
      <c r="AL673" s="19">
        <v>-0.99</v>
      </c>
      <c r="AM673" s="6">
        <v>2.9451000000000001</v>
      </c>
      <c r="AN673" s="6">
        <v>255</v>
      </c>
      <c r="AQ673" s="17">
        <v>671</v>
      </c>
      <c r="AR673" s="6">
        <v>1.59663</v>
      </c>
      <c r="AS673" s="6">
        <v>0.7248</v>
      </c>
      <c r="AT673" s="6">
        <v>0.81079999999999997</v>
      </c>
      <c r="AU673" s="6">
        <v>255</v>
      </c>
      <c r="AW673" s="17">
        <v>671</v>
      </c>
      <c r="AX673" s="6">
        <v>0.84201000000000004</v>
      </c>
      <c r="AY673" s="6">
        <v>0.7248</v>
      </c>
      <c r="AZ673" s="6">
        <v>0.81079999999999997</v>
      </c>
      <c r="BA673" s="6">
        <v>255</v>
      </c>
      <c r="BN673" s="17">
        <v>827</v>
      </c>
      <c r="BO673" s="6">
        <v>83.712033669999997</v>
      </c>
      <c r="BP673" s="6">
        <v>84.681222759999997</v>
      </c>
      <c r="BQ673" s="19">
        <v>-0.96918908999999998</v>
      </c>
    </row>
    <row r="674" spans="1:69" x14ac:dyDescent="0.25">
      <c r="A674" t="s">
        <v>160</v>
      </c>
      <c r="B674">
        <v>1</v>
      </c>
      <c r="C674" s="36">
        <v>4</v>
      </c>
      <c r="D674" s="36">
        <v>2</v>
      </c>
      <c r="E674" s="32">
        <v>1</v>
      </c>
      <c r="F674" s="13">
        <v>58.7</v>
      </c>
      <c r="G674">
        <v>97.245326876513317</v>
      </c>
      <c r="H674">
        <v>9.3000000000000007</v>
      </c>
      <c r="I674" t="s">
        <v>12</v>
      </c>
      <c r="AD674" s="17">
        <v>672</v>
      </c>
      <c r="AE674" s="6">
        <v>3.0478800000000001</v>
      </c>
      <c r="AF674" s="6">
        <v>1.4873000000000001</v>
      </c>
      <c r="AG674" s="6">
        <v>2.9348000000000001</v>
      </c>
      <c r="AH674" s="6">
        <v>255</v>
      </c>
      <c r="AJ674" s="17">
        <v>672</v>
      </c>
      <c r="AK674" s="6">
        <v>5.7794499999999998</v>
      </c>
      <c r="AL674" s="6">
        <v>1.4873000000000001</v>
      </c>
      <c r="AM674" s="6">
        <v>2.9348000000000001</v>
      </c>
      <c r="AN674" s="6">
        <v>255</v>
      </c>
      <c r="AQ674" s="17">
        <v>672</v>
      </c>
      <c r="AR674" s="6">
        <v>1.5926899999999999</v>
      </c>
      <c r="AS674" s="6">
        <v>1.2485999999999999</v>
      </c>
      <c r="AT674" s="6">
        <v>0.80879999999999996</v>
      </c>
      <c r="AU674" s="6">
        <v>255</v>
      </c>
      <c r="AW674" s="17">
        <v>672</v>
      </c>
      <c r="AX674" s="6">
        <v>0.83992999999999995</v>
      </c>
      <c r="AY674" s="6">
        <v>1.2485999999999999</v>
      </c>
      <c r="AZ674" s="6">
        <v>0.80879999999999996</v>
      </c>
      <c r="BA674" s="6">
        <v>255</v>
      </c>
      <c r="BN674" s="17">
        <v>828</v>
      </c>
      <c r="BO674" s="6">
        <v>83.083588349999999</v>
      </c>
      <c r="BP674" s="6">
        <v>81.890589030000001</v>
      </c>
      <c r="BQ674" s="6">
        <v>1.19299932</v>
      </c>
    </row>
    <row r="675" spans="1:69" x14ac:dyDescent="0.25">
      <c r="A675" t="s">
        <v>160</v>
      </c>
      <c r="B675">
        <v>2</v>
      </c>
      <c r="C675" s="36">
        <v>23</v>
      </c>
      <c r="D675" s="36">
        <v>3</v>
      </c>
      <c r="E675" s="32">
        <v>1</v>
      </c>
      <c r="F675" s="13">
        <v>59</v>
      </c>
      <c r="G675">
        <v>90.784396076026951</v>
      </c>
      <c r="H675" t="s">
        <v>12</v>
      </c>
      <c r="I675" t="s">
        <v>12</v>
      </c>
      <c r="AD675" s="17">
        <v>673</v>
      </c>
      <c r="AE675" s="6">
        <v>3.0693800000000002</v>
      </c>
      <c r="AF675" s="19">
        <v>-0.432</v>
      </c>
      <c r="AG675" s="6">
        <v>2.9554999999999998</v>
      </c>
      <c r="AH675" s="6">
        <v>255</v>
      </c>
      <c r="AJ675" s="17">
        <v>673</v>
      </c>
      <c r="AK675" s="6">
        <v>5.8202199999999999</v>
      </c>
      <c r="AL675" s="19">
        <v>-0.432</v>
      </c>
      <c r="AM675" s="6">
        <v>2.9554999999999998</v>
      </c>
      <c r="AN675" s="6">
        <v>255</v>
      </c>
      <c r="AQ675" s="17">
        <v>673</v>
      </c>
      <c r="AR675" s="6">
        <v>1.601</v>
      </c>
      <c r="AS675" s="6">
        <v>6.5979999999999997E-2</v>
      </c>
      <c r="AT675" s="6">
        <v>0.81299999999999994</v>
      </c>
      <c r="AU675" s="6">
        <v>255</v>
      </c>
      <c r="AW675" s="17">
        <v>673</v>
      </c>
      <c r="AX675" s="6">
        <v>0.84431</v>
      </c>
      <c r="AY675" s="6">
        <v>6.5979999999999997E-2</v>
      </c>
      <c r="AZ675" s="6">
        <v>0.81299999999999994</v>
      </c>
      <c r="BA675" s="6">
        <v>255</v>
      </c>
      <c r="BN675" s="17">
        <v>829</v>
      </c>
      <c r="BO675" s="6">
        <v>97.245326879999993</v>
      </c>
      <c r="BP675" s="6">
        <v>96.441891549999994</v>
      </c>
      <c r="BQ675" s="6">
        <v>0.80343533</v>
      </c>
    </row>
    <row r="676" spans="1:69" x14ac:dyDescent="0.25">
      <c r="A676" t="s">
        <v>160</v>
      </c>
      <c r="B676">
        <v>3</v>
      </c>
      <c r="C676" s="36">
        <v>3</v>
      </c>
      <c r="D676" s="36">
        <v>5</v>
      </c>
      <c r="E676" s="32">
        <v>1</v>
      </c>
      <c r="F676" s="13">
        <v>58.3</v>
      </c>
      <c r="G676">
        <v>88.392378373150208</v>
      </c>
      <c r="H676" t="s">
        <v>12</v>
      </c>
      <c r="I676" t="s">
        <v>12</v>
      </c>
      <c r="AD676" s="17">
        <v>674</v>
      </c>
      <c r="AE676" s="6">
        <v>3.0645500000000001</v>
      </c>
      <c r="AF676" s="6">
        <v>0.879</v>
      </c>
      <c r="AG676" s="6">
        <v>2.9508000000000001</v>
      </c>
      <c r="AH676" s="6">
        <v>255</v>
      </c>
      <c r="AJ676" s="17">
        <v>674</v>
      </c>
      <c r="AK676" s="6">
        <v>5.81107</v>
      </c>
      <c r="AL676" s="6">
        <v>0.879</v>
      </c>
      <c r="AM676" s="6">
        <v>2.9508000000000001</v>
      </c>
      <c r="AN676" s="6">
        <v>255</v>
      </c>
      <c r="AQ676" s="17">
        <v>674</v>
      </c>
      <c r="AR676" s="6">
        <v>1.59964</v>
      </c>
      <c r="AS676" s="19">
        <v>-0.12239999999999999</v>
      </c>
      <c r="AT676" s="6">
        <v>0.81230000000000002</v>
      </c>
      <c r="AU676" s="6">
        <v>255</v>
      </c>
      <c r="AW676" s="17">
        <v>674</v>
      </c>
      <c r="AX676" s="6">
        <v>0.84360000000000002</v>
      </c>
      <c r="AY676" s="19">
        <v>-0.12239999999999999</v>
      </c>
      <c r="AZ676" s="6">
        <v>0.81230000000000002</v>
      </c>
      <c r="BA676" s="6">
        <v>255</v>
      </c>
      <c r="BN676" s="17">
        <v>830</v>
      </c>
      <c r="BO676" s="6">
        <v>90.784396079999993</v>
      </c>
      <c r="BP676" s="6">
        <v>91.385421750000006</v>
      </c>
      <c r="BQ676" s="19">
        <v>-0.60102566999999996</v>
      </c>
    </row>
    <row r="677" spans="1:69" x14ac:dyDescent="0.25">
      <c r="A677" t="s">
        <v>160</v>
      </c>
      <c r="B677">
        <v>1</v>
      </c>
      <c r="C677" s="36">
        <v>22</v>
      </c>
      <c r="D677" s="36">
        <v>1</v>
      </c>
      <c r="E677" s="32">
        <v>17</v>
      </c>
      <c r="F677" s="13">
        <v>57.7</v>
      </c>
      <c r="G677">
        <v>94.823644578313235</v>
      </c>
      <c r="H677">
        <v>9.5</v>
      </c>
      <c r="I677" t="s">
        <v>12</v>
      </c>
      <c r="AD677" s="17">
        <v>675</v>
      </c>
      <c r="AE677" s="6">
        <v>3.0713699999999999</v>
      </c>
      <c r="AF677" s="6">
        <v>2.7726999999999999</v>
      </c>
      <c r="AG677" s="6">
        <v>2.9573999999999998</v>
      </c>
      <c r="AH677" s="6">
        <v>255</v>
      </c>
      <c r="AJ677" s="17">
        <v>675</v>
      </c>
      <c r="AK677" s="6">
        <v>5.8239999999999998</v>
      </c>
      <c r="AL677" s="6">
        <v>2.7726999999999999</v>
      </c>
      <c r="AM677" s="6">
        <v>2.9573999999999998</v>
      </c>
      <c r="AN677" s="6">
        <v>255</v>
      </c>
      <c r="AQ677" s="17">
        <v>675</v>
      </c>
      <c r="AR677" s="6">
        <v>1.60189</v>
      </c>
      <c r="AS677" s="6">
        <v>0.80720000000000003</v>
      </c>
      <c r="AT677" s="6">
        <v>0.81340000000000001</v>
      </c>
      <c r="AU677" s="6">
        <v>255</v>
      </c>
      <c r="AW677" s="17">
        <v>675</v>
      </c>
      <c r="AX677" s="6">
        <v>0.84477999999999998</v>
      </c>
      <c r="AY677" s="6">
        <v>0.80720000000000003</v>
      </c>
      <c r="AZ677" s="6">
        <v>0.81340000000000001</v>
      </c>
      <c r="BA677" s="6">
        <v>255</v>
      </c>
      <c r="BN677" s="17">
        <v>831</v>
      </c>
      <c r="BO677" s="6">
        <v>88.392378370000003</v>
      </c>
      <c r="BP677" s="6">
        <v>88.594788030000004</v>
      </c>
      <c r="BQ677" s="19">
        <v>-0.20240965999999999</v>
      </c>
    </row>
    <row r="678" spans="1:69" x14ac:dyDescent="0.25">
      <c r="A678" t="s">
        <v>160</v>
      </c>
      <c r="B678">
        <v>2</v>
      </c>
      <c r="C678" s="36">
        <v>18</v>
      </c>
      <c r="D678" s="36">
        <v>4</v>
      </c>
      <c r="E678" s="32">
        <v>17</v>
      </c>
      <c r="F678" s="13">
        <v>60.1</v>
      </c>
      <c r="G678">
        <v>90.820092923167195</v>
      </c>
      <c r="H678" t="s">
        <v>12</v>
      </c>
      <c r="I678" t="s">
        <v>12</v>
      </c>
      <c r="AD678" s="17">
        <v>676</v>
      </c>
      <c r="AE678" s="6">
        <v>3.0817000000000001</v>
      </c>
      <c r="AF678" s="19">
        <v>-3.3771</v>
      </c>
      <c r="AG678" s="6">
        <v>2.9672999999999998</v>
      </c>
      <c r="AH678" s="6">
        <v>255</v>
      </c>
      <c r="AJ678" s="17">
        <v>676</v>
      </c>
      <c r="AK678" s="6">
        <v>5.8435800000000002</v>
      </c>
      <c r="AL678" s="19">
        <v>-3.3771</v>
      </c>
      <c r="AM678" s="6">
        <v>2.9672999999999998</v>
      </c>
      <c r="AN678" s="6">
        <v>255</v>
      </c>
      <c r="AQ678" s="17">
        <v>676</v>
      </c>
      <c r="AR678" s="6">
        <v>1.60802</v>
      </c>
      <c r="AS678" s="19">
        <v>-1.5572999999999999</v>
      </c>
      <c r="AT678" s="6">
        <v>0.8165</v>
      </c>
      <c r="AU678" s="6">
        <v>255</v>
      </c>
      <c r="AW678" s="17">
        <v>676</v>
      </c>
      <c r="AX678" s="6">
        <v>0.84801000000000004</v>
      </c>
      <c r="AY678" s="19">
        <v>-1.5572999999999999</v>
      </c>
      <c r="AZ678" s="6">
        <v>0.8165</v>
      </c>
      <c r="BA678" s="6">
        <v>255</v>
      </c>
      <c r="BN678" s="17">
        <v>832</v>
      </c>
      <c r="BO678" s="6">
        <v>94.823644580000007</v>
      </c>
      <c r="BP678" s="6">
        <v>95.366582859999994</v>
      </c>
      <c r="BQ678" s="19">
        <v>-0.54293828</v>
      </c>
    </row>
    <row r="679" spans="1:69" x14ac:dyDescent="0.25">
      <c r="A679" t="s">
        <v>160</v>
      </c>
      <c r="B679">
        <v>3</v>
      </c>
      <c r="C679" s="36">
        <v>2</v>
      </c>
      <c r="D679" s="36">
        <v>6</v>
      </c>
      <c r="E679" s="32">
        <v>17</v>
      </c>
      <c r="F679" s="13">
        <v>59.8</v>
      </c>
      <c r="G679">
        <v>87.552437763309058</v>
      </c>
      <c r="H679" t="s">
        <v>12</v>
      </c>
      <c r="I679" t="s">
        <v>12</v>
      </c>
      <c r="AD679" s="17">
        <v>677</v>
      </c>
      <c r="AE679" s="6">
        <v>3.07518</v>
      </c>
      <c r="AF679" s="19">
        <v>-0.25219999999999998</v>
      </c>
      <c r="AG679" s="6">
        <v>2.9609999999999999</v>
      </c>
      <c r="AH679" s="6">
        <v>255</v>
      </c>
      <c r="AJ679" s="17">
        <v>677</v>
      </c>
      <c r="AK679" s="6">
        <v>5.8312200000000001</v>
      </c>
      <c r="AL679" s="19">
        <v>-0.25219999999999998</v>
      </c>
      <c r="AM679" s="6">
        <v>2.9609999999999999</v>
      </c>
      <c r="AN679" s="6">
        <v>255</v>
      </c>
      <c r="AQ679" s="17">
        <v>677</v>
      </c>
      <c r="AR679" s="6">
        <v>1.5985499999999999</v>
      </c>
      <c r="AS679" s="6">
        <v>0.81579999999999997</v>
      </c>
      <c r="AT679" s="6">
        <v>0.81169999999999998</v>
      </c>
      <c r="AU679" s="6">
        <v>255</v>
      </c>
      <c r="AW679" s="17">
        <v>677</v>
      </c>
      <c r="AX679" s="6">
        <v>0.84301999999999999</v>
      </c>
      <c r="AY679" s="6">
        <v>0.81579999999999997</v>
      </c>
      <c r="AZ679" s="6">
        <v>0.81169999999999998</v>
      </c>
      <c r="BA679" s="6">
        <v>255</v>
      </c>
      <c r="BN679" s="17">
        <v>833</v>
      </c>
      <c r="BO679" s="6">
        <v>90.820092919999993</v>
      </c>
      <c r="BP679" s="6">
        <v>90.310113060000006</v>
      </c>
      <c r="BQ679" s="6">
        <v>0.50997985999999995</v>
      </c>
    </row>
    <row r="680" spans="1:69" x14ac:dyDescent="0.25">
      <c r="A680" t="s">
        <v>160</v>
      </c>
      <c r="B680">
        <v>1</v>
      </c>
      <c r="C680" s="36">
        <v>25</v>
      </c>
      <c r="D680" s="36">
        <v>1</v>
      </c>
      <c r="E680" s="32">
        <v>12</v>
      </c>
      <c r="F680" s="13">
        <v>60.4</v>
      </c>
      <c r="G680">
        <v>82.852198795180726</v>
      </c>
      <c r="H680">
        <v>9.6</v>
      </c>
      <c r="I680" t="s">
        <v>12</v>
      </c>
      <c r="AD680" s="17">
        <v>678</v>
      </c>
      <c r="AE680" s="6">
        <v>3.07795</v>
      </c>
      <c r="AF680" s="6">
        <v>2.0655000000000001</v>
      </c>
      <c r="AG680" s="6">
        <v>2.9636999999999998</v>
      </c>
      <c r="AH680" s="6">
        <v>255</v>
      </c>
      <c r="AJ680" s="17">
        <v>678</v>
      </c>
      <c r="AK680" s="6">
        <v>5.8364799999999999</v>
      </c>
      <c r="AL680" s="6">
        <v>2.0655000000000001</v>
      </c>
      <c r="AM680" s="6">
        <v>2.9636999999999998</v>
      </c>
      <c r="AN680" s="6">
        <v>255</v>
      </c>
      <c r="AQ680" s="17">
        <v>678</v>
      </c>
      <c r="AR680" s="6">
        <v>1.6089899999999999</v>
      </c>
      <c r="AS680" s="6">
        <v>0.5484</v>
      </c>
      <c r="AT680" s="6">
        <v>0.81699999999999995</v>
      </c>
      <c r="AU680" s="6">
        <v>255</v>
      </c>
      <c r="AW680" s="17">
        <v>678</v>
      </c>
      <c r="AX680" s="6">
        <v>0.84853000000000001</v>
      </c>
      <c r="AY680" s="6">
        <v>0.5484</v>
      </c>
      <c r="AZ680" s="6">
        <v>0.81699999999999995</v>
      </c>
      <c r="BA680" s="6">
        <v>255</v>
      </c>
      <c r="BN680" s="17">
        <v>834</v>
      </c>
      <c r="BO680" s="6">
        <v>87.552437760000004</v>
      </c>
      <c r="BP680" s="6">
        <v>87.519479340000004</v>
      </c>
      <c r="BQ680" s="6">
        <v>3.2958420000000002E-2</v>
      </c>
    </row>
    <row r="681" spans="1:69" x14ac:dyDescent="0.25">
      <c r="A681" t="s">
        <v>160</v>
      </c>
      <c r="B681">
        <v>2</v>
      </c>
      <c r="C681" s="36">
        <v>21</v>
      </c>
      <c r="D681" s="36">
        <v>3</v>
      </c>
      <c r="E681" s="32">
        <v>12</v>
      </c>
      <c r="F681" s="13">
        <v>59.6</v>
      </c>
      <c r="G681">
        <v>82.933219355751532</v>
      </c>
      <c r="H681" t="s">
        <v>12</v>
      </c>
      <c r="I681" t="s">
        <v>12</v>
      </c>
      <c r="AD681" s="17">
        <v>679</v>
      </c>
      <c r="AE681" s="6">
        <v>3.0511599999999999</v>
      </c>
      <c r="AF681" s="6">
        <v>1.9422999999999999</v>
      </c>
      <c r="AG681" s="6">
        <v>2.9379</v>
      </c>
      <c r="AH681" s="6">
        <v>255</v>
      </c>
      <c r="AJ681" s="17">
        <v>679</v>
      </c>
      <c r="AK681" s="6">
        <v>5.7856699999999996</v>
      </c>
      <c r="AL681" s="6">
        <v>1.9422999999999999</v>
      </c>
      <c r="AM681" s="6">
        <v>2.9379</v>
      </c>
      <c r="AN681" s="6">
        <v>255</v>
      </c>
      <c r="AQ681" s="17">
        <v>679</v>
      </c>
      <c r="AR681" s="6">
        <v>1.60267</v>
      </c>
      <c r="AS681" s="6">
        <v>0.80079999999999996</v>
      </c>
      <c r="AT681" s="6">
        <v>0.81379999999999997</v>
      </c>
      <c r="AU681" s="6">
        <v>255</v>
      </c>
      <c r="AW681" s="17">
        <v>679</v>
      </c>
      <c r="AX681" s="6">
        <v>0.84519</v>
      </c>
      <c r="AY681" s="6">
        <v>0.80079999999999996</v>
      </c>
      <c r="AZ681" s="6">
        <v>0.81379999999999997</v>
      </c>
      <c r="BA681" s="6">
        <v>255</v>
      </c>
      <c r="BN681" s="17">
        <v>835</v>
      </c>
      <c r="BO681" s="6">
        <v>82.852198799999996</v>
      </c>
      <c r="BP681" s="6">
        <v>87.148462870000003</v>
      </c>
      <c r="BQ681" s="19">
        <v>-4.2962640700000003</v>
      </c>
    </row>
    <row r="682" spans="1:69" x14ac:dyDescent="0.25">
      <c r="A682" t="s">
        <v>160</v>
      </c>
      <c r="B682">
        <v>3</v>
      </c>
      <c r="C682" s="36">
        <v>1</v>
      </c>
      <c r="D682" s="36">
        <v>5</v>
      </c>
      <c r="E682" s="32">
        <v>12</v>
      </c>
      <c r="F682" s="13">
        <v>60.1</v>
      </c>
      <c r="G682">
        <v>82.756397137053852</v>
      </c>
      <c r="H682" t="s">
        <v>12</v>
      </c>
      <c r="I682" t="s">
        <v>12</v>
      </c>
      <c r="AD682" s="17">
        <v>680</v>
      </c>
      <c r="AE682" s="6">
        <v>3.07437</v>
      </c>
      <c r="AF682" s="19">
        <v>-1.5443</v>
      </c>
      <c r="AG682" s="6">
        <v>2.9603000000000002</v>
      </c>
      <c r="AH682" s="6">
        <v>255</v>
      </c>
      <c r="AJ682" s="17">
        <v>680</v>
      </c>
      <c r="AK682" s="6">
        <v>5.8296900000000003</v>
      </c>
      <c r="AL682" s="19">
        <v>-1.5443</v>
      </c>
      <c r="AM682" s="6">
        <v>2.9603000000000002</v>
      </c>
      <c r="AN682" s="6">
        <v>255</v>
      </c>
      <c r="AQ682" s="17">
        <v>680</v>
      </c>
      <c r="AR682" s="6">
        <v>1.5971</v>
      </c>
      <c r="AS682" s="19">
        <v>-0.57999999999999996</v>
      </c>
      <c r="AT682" s="6">
        <v>0.81100000000000005</v>
      </c>
      <c r="AU682" s="6">
        <v>255</v>
      </c>
      <c r="AW682" s="17">
        <v>680</v>
      </c>
      <c r="AX682" s="6">
        <v>0.84226000000000001</v>
      </c>
      <c r="AY682" s="19">
        <v>-0.57999999999999996</v>
      </c>
      <c r="AZ682" s="6">
        <v>0.81100000000000005</v>
      </c>
      <c r="BA682" s="6">
        <v>255</v>
      </c>
      <c r="BN682" s="17">
        <v>836</v>
      </c>
      <c r="BO682" s="6">
        <v>82.933219359999995</v>
      </c>
      <c r="BP682" s="6">
        <v>82.091993079999995</v>
      </c>
      <c r="BQ682" s="6">
        <v>0.84122627999999999</v>
      </c>
    </row>
    <row r="683" spans="1:69" x14ac:dyDescent="0.25">
      <c r="A683" t="s">
        <v>160</v>
      </c>
      <c r="B683">
        <v>1</v>
      </c>
      <c r="C683" s="36">
        <v>19</v>
      </c>
      <c r="D683" s="36">
        <v>1</v>
      </c>
      <c r="E683" s="32">
        <v>13</v>
      </c>
      <c r="F683" s="13">
        <v>60.8</v>
      </c>
      <c r="G683">
        <v>90.037271944922537</v>
      </c>
      <c r="H683">
        <v>10.5</v>
      </c>
      <c r="I683" t="s">
        <v>12</v>
      </c>
      <c r="AD683" s="17">
        <v>681</v>
      </c>
      <c r="AE683" s="6">
        <v>3.0630000000000002</v>
      </c>
      <c r="AF683" s="19">
        <v>-0.35659999999999997</v>
      </c>
      <c r="AG683" s="6">
        <v>2.9493</v>
      </c>
      <c r="AH683" s="6">
        <v>255</v>
      </c>
      <c r="AJ683" s="17">
        <v>681</v>
      </c>
      <c r="AK683" s="6">
        <v>5.8081100000000001</v>
      </c>
      <c r="AL683" s="19">
        <v>-0.35659999999999997</v>
      </c>
      <c r="AM683" s="6">
        <v>2.9493</v>
      </c>
      <c r="AN683" s="6">
        <v>255</v>
      </c>
      <c r="AQ683" s="17">
        <v>681</v>
      </c>
      <c r="AR683" s="6">
        <v>1.597</v>
      </c>
      <c r="AS683" s="19">
        <v>-0.21679999999999999</v>
      </c>
      <c r="AT683" s="6">
        <v>0.81089999999999995</v>
      </c>
      <c r="AU683" s="6">
        <v>255</v>
      </c>
      <c r="AW683" s="17">
        <v>681</v>
      </c>
      <c r="AX683" s="6">
        <v>0.84219999999999995</v>
      </c>
      <c r="AY683" s="19">
        <v>-0.21679999999999999</v>
      </c>
      <c r="AZ683" s="6">
        <v>0.81089999999999995</v>
      </c>
      <c r="BA683" s="6">
        <v>255</v>
      </c>
      <c r="BN683" s="17">
        <v>837</v>
      </c>
      <c r="BO683" s="6">
        <v>82.756397140000004</v>
      </c>
      <c r="BP683" s="6">
        <v>79.301359349999998</v>
      </c>
      <c r="BQ683" s="6">
        <v>3.45503779</v>
      </c>
    </row>
    <row r="684" spans="1:69" x14ac:dyDescent="0.25">
      <c r="A684" t="s">
        <v>160</v>
      </c>
      <c r="B684">
        <v>2</v>
      </c>
      <c r="C684" s="36">
        <v>7</v>
      </c>
      <c r="D684" s="36">
        <v>4</v>
      </c>
      <c r="E684" s="32">
        <v>13</v>
      </c>
      <c r="F684" s="13">
        <v>60.9</v>
      </c>
      <c r="G684">
        <v>88.01408421773364</v>
      </c>
      <c r="H684" t="s">
        <v>12</v>
      </c>
      <c r="I684" t="s">
        <v>12</v>
      </c>
      <c r="AD684" s="17">
        <v>682</v>
      </c>
      <c r="AE684" s="6">
        <v>3.06846</v>
      </c>
      <c r="AF684" s="6">
        <v>0.21640000000000001</v>
      </c>
      <c r="AG684" s="6">
        <v>2.9546000000000001</v>
      </c>
      <c r="AH684" s="6">
        <v>255</v>
      </c>
      <c r="AJ684" s="17">
        <v>682</v>
      </c>
      <c r="AK684" s="6">
        <v>5.8184699999999996</v>
      </c>
      <c r="AL684" s="6">
        <v>0.21640000000000001</v>
      </c>
      <c r="AM684" s="6">
        <v>2.9546000000000001</v>
      </c>
      <c r="AN684" s="6">
        <v>255</v>
      </c>
      <c r="AQ684" s="17">
        <v>682</v>
      </c>
      <c r="AR684" s="6">
        <v>1.60182</v>
      </c>
      <c r="AS684" s="6">
        <v>0.31869999999999998</v>
      </c>
      <c r="AT684" s="6">
        <v>0.81340000000000001</v>
      </c>
      <c r="AU684" s="6">
        <v>255</v>
      </c>
      <c r="AW684" s="17">
        <v>682</v>
      </c>
      <c r="AX684" s="6">
        <v>0.84475</v>
      </c>
      <c r="AY684" s="6">
        <v>0.31869999999999998</v>
      </c>
      <c r="AZ684" s="6">
        <v>0.81340000000000001</v>
      </c>
      <c r="BA684" s="6">
        <v>255</v>
      </c>
      <c r="BN684" s="17">
        <v>838</v>
      </c>
      <c r="BO684" s="6">
        <v>90.037271939999997</v>
      </c>
      <c r="BP684" s="6">
        <v>93.048581929999997</v>
      </c>
      <c r="BQ684" s="19">
        <v>-3.01130999</v>
      </c>
    </row>
    <row r="685" spans="1:69" x14ac:dyDescent="0.25">
      <c r="A685" t="s">
        <v>160</v>
      </c>
      <c r="B685">
        <v>3</v>
      </c>
      <c r="C685" s="36">
        <v>9</v>
      </c>
      <c r="D685" s="36">
        <v>5</v>
      </c>
      <c r="E685" s="32">
        <v>13</v>
      </c>
      <c r="F685" s="13">
        <v>61</v>
      </c>
      <c r="G685">
        <v>88.190816326530609</v>
      </c>
      <c r="H685" t="s">
        <v>12</v>
      </c>
      <c r="I685" t="s">
        <v>12</v>
      </c>
      <c r="AD685" s="17">
        <v>683</v>
      </c>
      <c r="AE685" s="6">
        <v>3.0680100000000001</v>
      </c>
      <c r="AF685" s="6">
        <v>0.23960000000000001</v>
      </c>
      <c r="AG685" s="6">
        <v>2.9540999999999999</v>
      </c>
      <c r="AH685" s="6">
        <v>255</v>
      </c>
      <c r="AJ685" s="17">
        <v>683</v>
      </c>
      <c r="AK685" s="6">
        <v>5.8176199999999998</v>
      </c>
      <c r="AL685" s="6">
        <v>0.23960000000000001</v>
      </c>
      <c r="AM685" s="6">
        <v>2.9540999999999999</v>
      </c>
      <c r="AN685" s="6">
        <v>255</v>
      </c>
      <c r="AQ685" s="17">
        <v>683</v>
      </c>
      <c r="AR685" s="6">
        <v>1.60111</v>
      </c>
      <c r="AS685" s="6">
        <v>0.78280000000000005</v>
      </c>
      <c r="AT685" s="6">
        <v>0.81299999999999994</v>
      </c>
      <c r="AU685" s="6">
        <v>255</v>
      </c>
      <c r="AW685" s="17">
        <v>683</v>
      </c>
      <c r="AX685" s="6">
        <v>0.84436999999999995</v>
      </c>
      <c r="AY685" s="6">
        <v>0.78280000000000005</v>
      </c>
      <c r="AZ685" s="6">
        <v>0.81299999999999994</v>
      </c>
      <c r="BA685" s="6">
        <v>255</v>
      </c>
      <c r="BN685" s="17">
        <v>839</v>
      </c>
      <c r="BO685" s="6">
        <v>88.014084220000001</v>
      </c>
      <c r="BP685" s="6">
        <v>87.992112140000003</v>
      </c>
      <c r="BQ685" s="6">
        <v>2.1972080000000001E-2</v>
      </c>
    </row>
    <row r="686" spans="1:69" x14ac:dyDescent="0.25">
      <c r="A686" t="s">
        <v>160</v>
      </c>
      <c r="B686">
        <v>1</v>
      </c>
      <c r="C686" s="36">
        <v>24</v>
      </c>
      <c r="D686" s="36">
        <v>1</v>
      </c>
      <c r="E686" s="32">
        <v>2</v>
      </c>
      <c r="F686" s="13">
        <v>61.4</v>
      </c>
      <c r="G686">
        <v>92.573235800344207</v>
      </c>
      <c r="H686">
        <v>9.4</v>
      </c>
      <c r="I686" t="s">
        <v>12</v>
      </c>
      <c r="AD686" s="17">
        <v>684</v>
      </c>
      <c r="AE686" s="6">
        <v>3.0566399999999998</v>
      </c>
      <c r="AF686" s="19">
        <v>-0.74280000000000002</v>
      </c>
      <c r="AG686" s="6">
        <v>2.9432</v>
      </c>
      <c r="AH686" s="6">
        <v>255</v>
      </c>
      <c r="AJ686" s="17">
        <v>684</v>
      </c>
      <c r="AK686" s="6">
        <v>5.7960599999999998</v>
      </c>
      <c r="AL686" s="19">
        <v>-0.74280000000000002</v>
      </c>
      <c r="AM686" s="6">
        <v>2.9432</v>
      </c>
      <c r="AN686" s="6">
        <v>255</v>
      </c>
      <c r="AQ686" s="17">
        <v>684</v>
      </c>
      <c r="AR686" s="6">
        <v>1.5947899999999999</v>
      </c>
      <c r="AS686" s="19">
        <v>-0.33160000000000001</v>
      </c>
      <c r="AT686" s="6">
        <v>0.80979999999999996</v>
      </c>
      <c r="AU686" s="6">
        <v>255</v>
      </c>
      <c r="AW686" s="17">
        <v>684</v>
      </c>
      <c r="AX686" s="6">
        <v>0.84103000000000006</v>
      </c>
      <c r="AY686" s="19">
        <v>-0.33160000000000001</v>
      </c>
      <c r="AZ686" s="6">
        <v>0.80979999999999996</v>
      </c>
      <c r="BA686" s="6">
        <v>255</v>
      </c>
      <c r="BN686" s="17">
        <v>840</v>
      </c>
      <c r="BO686" s="6">
        <v>88.190816330000004</v>
      </c>
      <c r="BP686" s="6">
        <v>85.201478420000001</v>
      </c>
      <c r="BQ686" s="6">
        <v>2.9893379100000002</v>
      </c>
    </row>
    <row r="687" spans="1:69" x14ac:dyDescent="0.25">
      <c r="A687" t="s">
        <v>160</v>
      </c>
      <c r="B687">
        <v>2</v>
      </c>
      <c r="C687" s="36">
        <v>14</v>
      </c>
      <c r="D687" s="36">
        <v>4</v>
      </c>
      <c r="E687" s="32">
        <v>2</v>
      </c>
      <c r="F687" s="13">
        <v>60.5</v>
      </c>
      <c r="G687">
        <v>92.568171369883117</v>
      </c>
      <c r="H687" t="s">
        <v>12</v>
      </c>
      <c r="I687" t="s">
        <v>12</v>
      </c>
      <c r="AD687" s="17">
        <v>685</v>
      </c>
      <c r="AE687" s="6">
        <v>3.0683400000000001</v>
      </c>
      <c r="AF687" s="6">
        <v>6.8468999999999998</v>
      </c>
      <c r="AG687" s="6">
        <v>2.9544999999999999</v>
      </c>
      <c r="AH687" s="6">
        <v>255</v>
      </c>
      <c r="AJ687" s="17">
        <v>685</v>
      </c>
      <c r="AK687" s="6">
        <v>5.8182400000000003</v>
      </c>
      <c r="AL687" s="6">
        <v>6.8468999999999998</v>
      </c>
      <c r="AM687" s="6">
        <v>2.9544999999999999</v>
      </c>
      <c r="AN687" s="6">
        <v>255</v>
      </c>
      <c r="AQ687" s="17">
        <v>685</v>
      </c>
      <c r="AR687" s="6">
        <v>1.6105400000000001</v>
      </c>
      <c r="AS687" s="6">
        <v>1.0439000000000001</v>
      </c>
      <c r="AT687" s="6">
        <v>0.81779999999999997</v>
      </c>
      <c r="AU687" s="6">
        <v>255</v>
      </c>
      <c r="AW687" s="17">
        <v>685</v>
      </c>
      <c r="AX687" s="6">
        <v>0.84933999999999998</v>
      </c>
      <c r="AY687" s="6">
        <v>1.0439000000000001</v>
      </c>
      <c r="AZ687" s="6">
        <v>0.81779999999999997</v>
      </c>
      <c r="BA687" s="6">
        <v>255</v>
      </c>
      <c r="BN687" s="17">
        <v>841</v>
      </c>
      <c r="BO687" s="6">
        <v>92.573235800000006</v>
      </c>
      <c r="BP687" s="6">
        <v>92.501459299999993</v>
      </c>
      <c r="BQ687" s="6">
        <v>7.1776499999999993E-2</v>
      </c>
    </row>
    <row r="688" spans="1:69" x14ac:dyDescent="0.25">
      <c r="A688" t="s">
        <v>160</v>
      </c>
      <c r="B688">
        <v>3</v>
      </c>
      <c r="C688" s="36">
        <v>12</v>
      </c>
      <c r="D688" s="36">
        <v>5</v>
      </c>
      <c r="E688" s="32">
        <v>2</v>
      </c>
      <c r="F688" s="13">
        <v>57.9</v>
      </c>
      <c r="G688">
        <v>79.459397427217326</v>
      </c>
      <c r="H688" t="s">
        <v>12</v>
      </c>
      <c r="I688" t="s">
        <v>12</v>
      </c>
      <c r="AD688" s="17">
        <v>686</v>
      </c>
      <c r="AE688" s="6">
        <v>3.0723400000000001</v>
      </c>
      <c r="AF688" s="6">
        <v>0.80649999999999999</v>
      </c>
      <c r="AG688" s="6">
        <v>2.9582999999999999</v>
      </c>
      <c r="AH688" s="6">
        <v>255</v>
      </c>
      <c r="AJ688" s="17">
        <v>686</v>
      </c>
      <c r="AK688" s="6">
        <v>5.8258200000000002</v>
      </c>
      <c r="AL688" s="6">
        <v>0.80649999999999999</v>
      </c>
      <c r="AM688" s="6">
        <v>2.9582999999999999</v>
      </c>
      <c r="AN688" s="6">
        <v>255</v>
      </c>
      <c r="AQ688" s="17">
        <v>686</v>
      </c>
      <c r="AR688" s="6">
        <v>1.60148</v>
      </c>
      <c r="AS688" s="19">
        <v>-0.32550000000000001</v>
      </c>
      <c r="AT688" s="6">
        <v>0.81320000000000003</v>
      </c>
      <c r="AU688" s="6">
        <v>255</v>
      </c>
      <c r="AW688" s="17">
        <v>686</v>
      </c>
      <c r="AX688" s="6">
        <v>0.84455999999999998</v>
      </c>
      <c r="AY688" s="19">
        <v>-0.32550000000000001</v>
      </c>
      <c r="AZ688" s="6">
        <v>0.81320000000000003</v>
      </c>
      <c r="BA688" s="6">
        <v>255</v>
      </c>
      <c r="BN688" s="17">
        <v>842</v>
      </c>
      <c r="BO688" s="6">
        <v>92.568171370000002</v>
      </c>
      <c r="BP688" s="6">
        <v>87.444989509999999</v>
      </c>
      <c r="BQ688" s="6">
        <v>5.1231818599999999</v>
      </c>
    </row>
    <row r="689" spans="1:69" x14ac:dyDescent="0.25">
      <c r="A689" t="s">
        <v>160</v>
      </c>
      <c r="B689">
        <v>1</v>
      </c>
      <c r="C689" s="36">
        <v>6</v>
      </c>
      <c r="D689" s="36">
        <v>2</v>
      </c>
      <c r="E689" s="32">
        <v>9</v>
      </c>
      <c r="F689" s="13">
        <v>59</v>
      </c>
      <c r="G689">
        <v>83.201421791767544</v>
      </c>
      <c r="H689">
        <v>10.5</v>
      </c>
      <c r="I689" t="s">
        <v>12</v>
      </c>
      <c r="AD689" s="17">
        <v>687</v>
      </c>
      <c r="AE689" s="6">
        <v>3.0783499999999999</v>
      </c>
      <c r="AF689" s="6">
        <v>9.5703999999999994</v>
      </c>
      <c r="AG689" s="6">
        <v>2.9641000000000002</v>
      </c>
      <c r="AH689" s="6">
        <v>255</v>
      </c>
      <c r="AJ689" s="17">
        <v>687</v>
      </c>
      <c r="AK689" s="6">
        <v>5.8372299999999999</v>
      </c>
      <c r="AL689" s="6">
        <v>9.5703999999999994</v>
      </c>
      <c r="AM689" s="6">
        <v>2.9641000000000002</v>
      </c>
      <c r="AN689" s="6">
        <v>255</v>
      </c>
      <c r="AQ689" s="17">
        <v>687</v>
      </c>
      <c r="AR689" s="6">
        <v>1.61052</v>
      </c>
      <c r="AS689" s="6">
        <v>2.1659000000000002</v>
      </c>
      <c r="AT689" s="6">
        <v>0.81779999999999997</v>
      </c>
      <c r="AU689" s="6">
        <v>255</v>
      </c>
      <c r="AW689" s="17">
        <v>687</v>
      </c>
      <c r="AX689" s="6">
        <v>0.84933000000000003</v>
      </c>
      <c r="AY689" s="6">
        <v>2.1659000000000002</v>
      </c>
      <c r="AZ689" s="6">
        <v>0.81779999999999997</v>
      </c>
      <c r="BA689" s="6">
        <v>255</v>
      </c>
      <c r="BN689" s="17">
        <v>843</v>
      </c>
      <c r="BO689" s="6">
        <v>79.459397429999996</v>
      </c>
      <c r="BP689" s="6">
        <v>84.654355789999997</v>
      </c>
      <c r="BQ689" s="19">
        <v>-5.1949583600000002</v>
      </c>
    </row>
    <row r="690" spans="1:69" x14ac:dyDescent="0.25">
      <c r="A690" t="s">
        <v>160</v>
      </c>
      <c r="B690">
        <v>2</v>
      </c>
      <c r="C690" s="36">
        <v>3</v>
      </c>
      <c r="D690" s="36">
        <v>4</v>
      </c>
      <c r="E690" s="32">
        <v>9</v>
      </c>
      <c r="F690" s="13">
        <v>59.4</v>
      </c>
      <c r="G690">
        <v>73.673827456350566</v>
      </c>
      <c r="H690" t="s">
        <v>12</v>
      </c>
      <c r="I690" t="s">
        <v>12</v>
      </c>
      <c r="AD690" s="17">
        <v>688</v>
      </c>
      <c r="AE690" s="6">
        <v>3.0634899999999998</v>
      </c>
      <c r="AF690" s="6">
        <v>4.1401000000000003</v>
      </c>
      <c r="AG690" s="6">
        <v>2.9498000000000002</v>
      </c>
      <c r="AH690" s="6">
        <v>255</v>
      </c>
      <c r="AJ690" s="17">
        <v>688</v>
      </c>
      <c r="AK690" s="6">
        <v>5.8090599999999997</v>
      </c>
      <c r="AL690" s="6">
        <v>4.1401000000000003</v>
      </c>
      <c r="AM690" s="6">
        <v>2.9498000000000002</v>
      </c>
      <c r="AN690" s="6">
        <v>255</v>
      </c>
      <c r="AQ690" s="17">
        <v>688</v>
      </c>
      <c r="AR690" s="6">
        <v>1.59724</v>
      </c>
      <c r="AS690" s="6">
        <v>0.82530000000000003</v>
      </c>
      <c r="AT690" s="6">
        <v>0.81110000000000004</v>
      </c>
      <c r="AU690" s="6">
        <v>255</v>
      </c>
      <c r="AW690" s="17">
        <v>688</v>
      </c>
      <c r="AX690" s="6">
        <v>0.84233000000000002</v>
      </c>
      <c r="AY690" s="6">
        <v>0.82530000000000003</v>
      </c>
      <c r="AZ690" s="6">
        <v>0.81110000000000004</v>
      </c>
      <c r="BA690" s="6">
        <v>255</v>
      </c>
      <c r="BN690" s="17">
        <v>844</v>
      </c>
      <c r="BO690" s="6">
        <v>83.201421789999998</v>
      </c>
      <c r="BP690" s="6">
        <v>82.508304699999997</v>
      </c>
      <c r="BQ690" s="6">
        <v>0.69311708999999999</v>
      </c>
    </row>
    <row r="691" spans="1:69" x14ac:dyDescent="0.25">
      <c r="A691" t="s">
        <v>160</v>
      </c>
      <c r="B691">
        <v>3</v>
      </c>
      <c r="C691" s="36">
        <v>5</v>
      </c>
      <c r="D691" s="36">
        <v>6</v>
      </c>
      <c r="E691" s="32">
        <v>9</v>
      </c>
      <c r="F691" s="13">
        <v>59.1</v>
      </c>
      <c r="G691">
        <v>77.746091535810038</v>
      </c>
      <c r="H691" t="s">
        <v>12</v>
      </c>
      <c r="I691" t="s">
        <v>12</v>
      </c>
      <c r="AD691" s="17">
        <v>689</v>
      </c>
      <c r="AE691" s="6">
        <v>3.0574699999999999</v>
      </c>
      <c r="AF691" s="6">
        <v>1.8798999999999999</v>
      </c>
      <c r="AG691" s="6">
        <v>2.944</v>
      </c>
      <c r="AH691" s="6">
        <v>255</v>
      </c>
      <c r="AJ691" s="17">
        <v>689</v>
      </c>
      <c r="AK691" s="6">
        <v>5.7976400000000003</v>
      </c>
      <c r="AL691" s="6">
        <v>1.8798999999999999</v>
      </c>
      <c r="AM691" s="6">
        <v>2.944</v>
      </c>
      <c r="AN691" s="6">
        <v>255</v>
      </c>
      <c r="AQ691" s="17">
        <v>689</v>
      </c>
      <c r="AR691" s="6">
        <v>1.6014600000000001</v>
      </c>
      <c r="AS691" s="6">
        <v>0.99539999999999995</v>
      </c>
      <c r="AT691" s="6">
        <v>0.81320000000000003</v>
      </c>
      <c r="AU691" s="6">
        <v>255</v>
      </c>
      <c r="AW691" s="17">
        <v>689</v>
      </c>
      <c r="AX691" s="6">
        <v>0.84455999999999998</v>
      </c>
      <c r="AY691" s="6">
        <v>0.99539999999999995</v>
      </c>
      <c r="AZ691" s="6">
        <v>0.81320000000000003</v>
      </c>
      <c r="BA691" s="6">
        <v>255</v>
      </c>
      <c r="BN691" s="17">
        <v>845</v>
      </c>
      <c r="BO691" s="6">
        <v>73.673827459999998</v>
      </c>
      <c r="BP691" s="6">
        <v>77.451834910000002</v>
      </c>
      <c r="BQ691" s="19">
        <v>-3.77800745</v>
      </c>
    </row>
    <row r="692" spans="1:69" x14ac:dyDescent="0.25">
      <c r="A692" t="s">
        <v>160</v>
      </c>
      <c r="B692">
        <v>1</v>
      </c>
      <c r="C692" s="36">
        <v>10</v>
      </c>
      <c r="D692" s="36">
        <v>2</v>
      </c>
      <c r="E692" s="32">
        <v>3</v>
      </c>
      <c r="F692" s="13">
        <v>61.4</v>
      </c>
      <c r="G692">
        <v>88.662290556900714</v>
      </c>
      <c r="H692">
        <v>10.7</v>
      </c>
      <c r="I692" t="s">
        <v>12</v>
      </c>
      <c r="AD692" s="17">
        <v>690</v>
      </c>
      <c r="AE692" s="6">
        <v>3.0605000000000002</v>
      </c>
      <c r="AF692" s="6">
        <v>3.1303999999999998</v>
      </c>
      <c r="AG692" s="6">
        <v>2.9468999999999999</v>
      </c>
      <c r="AH692" s="6">
        <v>255</v>
      </c>
      <c r="AJ692" s="17">
        <v>690</v>
      </c>
      <c r="AK692" s="6">
        <v>5.8033900000000003</v>
      </c>
      <c r="AL692" s="6">
        <v>3.1303999999999998</v>
      </c>
      <c r="AM692" s="6">
        <v>2.9468999999999999</v>
      </c>
      <c r="AN692" s="6">
        <v>255</v>
      </c>
      <c r="AQ692" s="17">
        <v>690</v>
      </c>
      <c r="AR692" s="6">
        <v>1.60476</v>
      </c>
      <c r="AS692" s="6">
        <v>0.58199999999999996</v>
      </c>
      <c r="AT692" s="6">
        <v>0.81489999999999996</v>
      </c>
      <c r="AU692" s="6">
        <v>255</v>
      </c>
      <c r="AW692" s="17">
        <v>690</v>
      </c>
      <c r="AX692" s="6">
        <v>0.84628999999999999</v>
      </c>
      <c r="AY692" s="6">
        <v>0.58199999999999996</v>
      </c>
      <c r="AZ692" s="6">
        <v>0.81489999999999996</v>
      </c>
      <c r="BA692" s="6">
        <v>255</v>
      </c>
      <c r="BN692" s="17">
        <v>846</v>
      </c>
      <c r="BO692" s="6">
        <v>77.746091539999995</v>
      </c>
      <c r="BP692" s="6">
        <v>74.661201180000006</v>
      </c>
      <c r="BQ692" s="6">
        <v>3.0848903600000002</v>
      </c>
    </row>
    <row r="693" spans="1:69" x14ac:dyDescent="0.25">
      <c r="A693" t="s">
        <v>160</v>
      </c>
      <c r="B693">
        <v>2</v>
      </c>
      <c r="C693" s="36">
        <v>4</v>
      </c>
      <c r="D693" s="36">
        <v>3</v>
      </c>
      <c r="E693" s="32">
        <v>3</v>
      </c>
      <c r="F693" s="13">
        <v>61</v>
      </c>
      <c r="G693">
        <v>80.443628260151854</v>
      </c>
      <c r="H693" t="s">
        <v>12</v>
      </c>
      <c r="I693" t="s">
        <v>12</v>
      </c>
      <c r="AD693" s="17">
        <v>691</v>
      </c>
      <c r="AE693" s="6">
        <v>3.0630000000000002</v>
      </c>
      <c r="AF693" s="6">
        <v>2.8351000000000002</v>
      </c>
      <c r="AG693" s="6">
        <v>2.9493</v>
      </c>
      <c r="AH693" s="6">
        <v>255</v>
      </c>
      <c r="AJ693" s="17">
        <v>691</v>
      </c>
      <c r="AK693" s="6">
        <v>5.8081199999999997</v>
      </c>
      <c r="AL693" s="6">
        <v>2.8351000000000002</v>
      </c>
      <c r="AM693" s="6">
        <v>2.9493</v>
      </c>
      <c r="AN693" s="6">
        <v>255</v>
      </c>
      <c r="AQ693" s="17">
        <v>691</v>
      </c>
      <c r="AR693" s="6">
        <v>1.60541</v>
      </c>
      <c r="AS693" s="19">
        <v>-0.63770000000000004</v>
      </c>
      <c r="AT693" s="6">
        <v>0.81520000000000004</v>
      </c>
      <c r="AU693" s="6">
        <v>255</v>
      </c>
      <c r="AW693" s="17">
        <v>691</v>
      </c>
      <c r="AX693" s="6">
        <v>0.84663999999999995</v>
      </c>
      <c r="AY693" s="19">
        <v>-0.63770000000000004</v>
      </c>
      <c r="AZ693" s="6">
        <v>0.81520000000000004</v>
      </c>
      <c r="BA693" s="6">
        <v>255</v>
      </c>
      <c r="BN693" s="17">
        <v>847</v>
      </c>
      <c r="BO693" s="6">
        <v>88.662290560000002</v>
      </c>
      <c r="BP693" s="6">
        <v>88.674852250000001</v>
      </c>
      <c r="BQ693" s="19">
        <v>-1.256169E-2</v>
      </c>
    </row>
    <row r="694" spans="1:69" x14ac:dyDescent="0.25">
      <c r="A694" t="s">
        <v>160</v>
      </c>
      <c r="B694">
        <v>3</v>
      </c>
      <c r="C694" s="36">
        <v>11</v>
      </c>
      <c r="D694" s="36">
        <v>6</v>
      </c>
      <c r="E694" s="32">
        <v>3</v>
      </c>
      <c r="F694" s="13">
        <v>60.7</v>
      </c>
      <c r="G694">
        <v>84.015064630409782</v>
      </c>
      <c r="H694" t="s">
        <v>12</v>
      </c>
      <c r="I694" t="s">
        <v>12</v>
      </c>
      <c r="AD694" s="17">
        <v>692</v>
      </c>
      <c r="AE694" s="6">
        <v>3.0662199999999999</v>
      </c>
      <c r="AF694" s="6">
        <v>8.2733000000000008</v>
      </c>
      <c r="AG694" s="6">
        <v>2.9523999999999999</v>
      </c>
      <c r="AH694" s="6">
        <v>255</v>
      </c>
      <c r="AJ694" s="17">
        <v>692</v>
      </c>
      <c r="AK694" s="6">
        <v>5.8142300000000002</v>
      </c>
      <c r="AL694" s="6">
        <v>8.2733000000000008</v>
      </c>
      <c r="AM694" s="6">
        <v>2.9523999999999999</v>
      </c>
      <c r="AN694" s="6">
        <v>255</v>
      </c>
      <c r="AQ694" s="17">
        <v>692</v>
      </c>
      <c r="AR694" s="6">
        <v>1.5990500000000001</v>
      </c>
      <c r="AS694" s="6">
        <v>2.2995000000000001</v>
      </c>
      <c r="AT694" s="6">
        <v>0.81200000000000006</v>
      </c>
      <c r="AU694" s="6">
        <v>255</v>
      </c>
      <c r="AW694" s="17">
        <v>692</v>
      </c>
      <c r="AX694" s="6">
        <v>0.84328000000000003</v>
      </c>
      <c r="AY694" s="6">
        <v>2.2995000000000001</v>
      </c>
      <c r="AZ694" s="6">
        <v>0.81200000000000006</v>
      </c>
      <c r="BA694" s="6">
        <v>255</v>
      </c>
      <c r="BN694" s="17">
        <v>848</v>
      </c>
      <c r="BO694" s="6">
        <v>80.443628259999997</v>
      </c>
      <c r="BP694" s="6">
        <v>83.618382460000007</v>
      </c>
      <c r="BQ694" s="19">
        <v>-3.1747542000000002</v>
      </c>
    </row>
    <row r="695" spans="1:69" x14ac:dyDescent="0.25">
      <c r="A695" t="s">
        <v>160</v>
      </c>
      <c r="B695">
        <v>1</v>
      </c>
      <c r="C695" s="36">
        <v>4</v>
      </c>
      <c r="D695" s="36">
        <v>1</v>
      </c>
      <c r="E695" s="32">
        <v>10</v>
      </c>
      <c r="F695" s="13">
        <v>57.6</v>
      </c>
      <c r="G695">
        <v>82.391135972461271</v>
      </c>
      <c r="H695">
        <v>11.4</v>
      </c>
      <c r="I695" t="s">
        <v>12</v>
      </c>
      <c r="AD695" s="17">
        <v>693</v>
      </c>
      <c r="AE695" s="6">
        <v>3.0665200000000001</v>
      </c>
      <c r="AF695" s="6">
        <v>5.1275000000000004</v>
      </c>
      <c r="AG695" s="6">
        <v>2.9527000000000001</v>
      </c>
      <c r="AH695" s="6">
        <v>255</v>
      </c>
      <c r="AJ695" s="17">
        <v>693</v>
      </c>
      <c r="AK695" s="6">
        <v>5.8148</v>
      </c>
      <c r="AL695" s="6">
        <v>5.1275000000000004</v>
      </c>
      <c r="AM695" s="6">
        <v>2.9527000000000001</v>
      </c>
      <c r="AN695" s="6">
        <v>255</v>
      </c>
      <c r="AQ695" s="17">
        <v>693</v>
      </c>
      <c r="AR695" s="6">
        <v>1.59731</v>
      </c>
      <c r="AS695" s="6">
        <v>2.1532</v>
      </c>
      <c r="AT695" s="6">
        <v>0.81110000000000004</v>
      </c>
      <c r="AU695" s="6">
        <v>255</v>
      </c>
      <c r="AW695" s="17">
        <v>693</v>
      </c>
      <c r="AX695" s="6">
        <v>0.84236999999999995</v>
      </c>
      <c r="AY695" s="6">
        <v>2.1532</v>
      </c>
      <c r="AZ695" s="6">
        <v>0.81110000000000004</v>
      </c>
      <c r="BA695" s="6">
        <v>255</v>
      </c>
      <c r="BN695" s="17">
        <v>849</v>
      </c>
      <c r="BO695" s="6">
        <v>84.015064629999998</v>
      </c>
      <c r="BP695" s="6">
        <v>80.827748740000004</v>
      </c>
      <c r="BQ695" s="6">
        <v>3.1873158899999998</v>
      </c>
    </row>
    <row r="696" spans="1:69" x14ac:dyDescent="0.25">
      <c r="A696" t="s">
        <v>160</v>
      </c>
      <c r="B696">
        <v>2</v>
      </c>
      <c r="C696" s="36">
        <v>6</v>
      </c>
      <c r="D696" s="36">
        <v>4</v>
      </c>
      <c r="E696" s="32">
        <v>10</v>
      </c>
      <c r="F696" s="13">
        <v>57.6</v>
      </c>
      <c r="G696">
        <v>73.578928449161225</v>
      </c>
      <c r="H696" t="s">
        <v>12</v>
      </c>
      <c r="I696" t="s">
        <v>12</v>
      </c>
      <c r="AD696" s="17">
        <v>694</v>
      </c>
      <c r="AE696" s="6">
        <v>3.0652599999999999</v>
      </c>
      <c r="AF696" s="6">
        <v>3.3727999999999998</v>
      </c>
      <c r="AG696" s="6">
        <v>2.9514999999999998</v>
      </c>
      <c r="AH696" s="6">
        <v>255</v>
      </c>
      <c r="AJ696" s="17">
        <v>694</v>
      </c>
      <c r="AK696" s="6">
        <v>5.8124000000000002</v>
      </c>
      <c r="AL696" s="6">
        <v>3.3727999999999998</v>
      </c>
      <c r="AM696" s="6">
        <v>2.9514999999999998</v>
      </c>
      <c r="AN696" s="6">
        <v>255</v>
      </c>
      <c r="AQ696" s="17">
        <v>694</v>
      </c>
      <c r="AR696" s="6">
        <v>1.59517</v>
      </c>
      <c r="AS696" s="6">
        <v>1.6959</v>
      </c>
      <c r="AT696" s="6">
        <v>0.81</v>
      </c>
      <c r="AU696" s="6">
        <v>255</v>
      </c>
      <c r="AW696" s="17">
        <v>694</v>
      </c>
      <c r="AX696" s="6">
        <v>0.84123999999999999</v>
      </c>
      <c r="AY696" s="6">
        <v>1.6959</v>
      </c>
      <c r="AZ696" s="6">
        <v>0.81</v>
      </c>
      <c r="BA696" s="6">
        <v>255</v>
      </c>
      <c r="BN696" s="17">
        <v>850</v>
      </c>
      <c r="BO696" s="6">
        <v>82.391135969999993</v>
      </c>
      <c r="BP696" s="6">
        <v>78.558250110000003</v>
      </c>
      <c r="BQ696" s="6">
        <v>3.8328858600000002</v>
      </c>
    </row>
    <row r="697" spans="1:69" x14ac:dyDescent="0.25">
      <c r="A697" t="s">
        <v>160</v>
      </c>
      <c r="B697">
        <v>3</v>
      </c>
      <c r="C697" s="36">
        <v>23</v>
      </c>
      <c r="D697" s="36">
        <v>6</v>
      </c>
      <c r="E697" s="32">
        <v>10</v>
      </c>
      <c r="F697" s="13">
        <v>56.9</v>
      </c>
      <c r="G697">
        <v>66.801112600536172</v>
      </c>
      <c r="H697" t="s">
        <v>12</v>
      </c>
      <c r="I697" t="s">
        <v>12</v>
      </c>
      <c r="AD697" s="17">
        <v>695</v>
      </c>
      <c r="AE697" s="6">
        <v>3.0774699999999999</v>
      </c>
      <c r="AF697" s="6">
        <v>7.0941000000000001</v>
      </c>
      <c r="AG697" s="6">
        <v>2.9632000000000001</v>
      </c>
      <c r="AH697" s="6">
        <v>255</v>
      </c>
      <c r="AJ697" s="17">
        <v>695</v>
      </c>
      <c r="AK697" s="6">
        <v>5.8355499999999996</v>
      </c>
      <c r="AL697" s="6">
        <v>7.0941000000000001</v>
      </c>
      <c r="AM697" s="6">
        <v>2.9632000000000001</v>
      </c>
      <c r="AN697" s="6">
        <v>255</v>
      </c>
      <c r="AQ697" s="17">
        <v>695</v>
      </c>
      <c r="AR697" s="6">
        <v>1.60771</v>
      </c>
      <c r="AS697" s="6">
        <v>1.012</v>
      </c>
      <c r="AT697" s="6">
        <v>0.81640000000000001</v>
      </c>
      <c r="AU697" s="6">
        <v>255</v>
      </c>
      <c r="AW697" s="17">
        <v>695</v>
      </c>
      <c r="AX697" s="6">
        <v>0.84784999999999999</v>
      </c>
      <c r="AY697" s="6">
        <v>1.012</v>
      </c>
      <c r="AZ697" s="6">
        <v>0.81640000000000001</v>
      </c>
      <c r="BA697" s="6">
        <v>255</v>
      </c>
      <c r="BN697" s="17">
        <v>851</v>
      </c>
      <c r="BO697" s="6">
        <v>73.578928450000006</v>
      </c>
      <c r="BP697" s="6">
        <v>73.501780319999995</v>
      </c>
      <c r="BQ697" s="6">
        <v>7.7148129999999995E-2</v>
      </c>
    </row>
    <row r="698" spans="1:69" x14ac:dyDescent="0.25">
      <c r="A698" t="s">
        <v>160</v>
      </c>
      <c r="B698">
        <v>1</v>
      </c>
      <c r="C698" s="36">
        <v>16</v>
      </c>
      <c r="D698" s="36">
        <v>1</v>
      </c>
      <c r="E698" s="32">
        <v>4</v>
      </c>
      <c r="F698" s="13">
        <v>60.1</v>
      </c>
      <c r="G698">
        <v>85.214595524956962</v>
      </c>
      <c r="H698">
        <v>11.1</v>
      </c>
      <c r="I698" t="s">
        <v>12</v>
      </c>
      <c r="AD698" s="17">
        <v>696</v>
      </c>
      <c r="AE698" s="6">
        <v>3.0453700000000001</v>
      </c>
      <c r="AF698" s="6">
        <v>15.598100000000001</v>
      </c>
      <c r="AG698" s="6">
        <v>2.9323000000000001</v>
      </c>
      <c r="AH698" s="6">
        <v>255</v>
      </c>
      <c r="AJ698" s="17">
        <v>696</v>
      </c>
      <c r="AK698" s="6">
        <v>5.77468</v>
      </c>
      <c r="AL698" s="6">
        <v>15.598100000000001</v>
      </c>
      <c r="AM698" s="6">
        <v>2.9323000000000001</v>
      </c>
      <c r="AN698" s="6">
        <v>255</v>
      </c>
      <c r="AQ698" s="17">
        <v>696</v>
      </c>
      <c r="AR698" s="6">
        <v>1.60012</v>
      </c>
      <c r="AS698" s="6">
        <v>3.9205999999999999</v>
      </c>
      <c r="AT698" s="6">
        <v>0.8125</v>
      </c>
      <c r="AU698" s="6">
        <v>255</v>
      </c>
      <c r="AW698" s="17">
        <v>696</v>
      </c>
      <c r="AX698" s="6">
        <v>0.84384999999999999</v>
      </c>
      <c r="AY698" s="6">
        <v>3.9205999999999999</v>
      </c>
      <c r="AZ698" s="6">
        <v>0.8125</v>
      </c>
      <c r="BA698" s="6">
        <v>255</v>
      </c>
      <c r="BN698" s="17">
        <v>852</v>
      </c>
      <c r="BO698" s="6">
        <v>66.801112599999996</v>
      </c>
      <c r="BP698" s="6">
        <v>70.711146589999998</v>
      </c>
      <c r="BQ698" s="19">
        <v>-3.9100339900000001</v>
      </c>
    </row>
    <row r="699" spans="1:69" x14ac:dyDescent="0.25">
      <c r="A699" t="s">
        <v>160</v>
      </c>
      <c r="B699">
        <v>2</v>
      </c>
      <c r="C699" s="36">
        <v>2</v>
      </c>
      <c r="D699" s="36">
        <v>4</v>
      </c>
      <c r="E699" s="32">
        <v>4</v>
      </c>
      <c r="F699" s="13">
        <v>58.3</v>
      </c>
      <c r="G699">
        <v>77.0748916711498</v>
      </c>
      <c r="H699" t="s">
        <v>12</v>
      </c>
      <c r="I699" t="s">
        <v>12</v>
      </c>
      <c r="AD699" s="17">
        <v>697</v>
      </c>
      <c r="AE699" s="6">
        <v>3.0453899999999998</v>
      </c>
      <c r="AF699" s="6">
        <v>4.0984999999999996</v>
      </c>
      <c r="AG699" s="6">
        <v>2.9323999999999999</v>
      </c>
      <c r="AH699" s="6">
        <v>255</v>
      </c>
      <c r="AJ699" s="17">
        <v>697</v>
      </c>
      <c r="AK699" s="6">
        <v>5.7747299999999999</v>
      </c>
      <c r="AL699" s="6">
        <v>4.0984999999999996</v>
      </c>
      <c r="AM699" s="6">
        <v>2.9323999999999999</v>
      </c>
      <c r="AN699" s="6">
        <v>255</v>
      </c>
      <c r="AQ699" s="17">
        <v>697</v>
      </c>
      <c r="AR699" s="6">
        <v>1.59785</v>
      </c>
      <c r="AS699" s="6">
        <v>0.38729999999999998</v>
      </c>
      <c r="AT699" s="6">
        <v>0.81140000000000001</v>
      </c>
      <c r="AU699" s="6">
        <v>255</v>
      </c>
      <c r="AW699" s="17">
        <v>697</v>
      </c>
      <c r="AX699" s="6">
        <v>0.84265000000000001</v>
      </c>
      <c r="AY699" s="6">
        <v>0.38729999999999998</v>
      </c>
      <c r="AZ699" s="6">
        <v>0.81140000000000001</v>
      </c>
      <c r="BA699" s="6">
        <v>255</v>
      </c>
      <c r="BN699" s="17">
        <v>853</v>
      </c>
      <c r="BO699" s="6">
        <v>85.214595520000003</v>
      </c>
      <c r="BP699" s="6">
        <v>82.139365909999995</v>
      </c>
      <c r="BQ699" s="6">
        <v>3.0752296100000001</v>
      </c>
    </row>
    <row r="700" spans="1:69" x14ac:dyDescent="0.25">
      <c r="A700" t="s">
        <v>160</v>
      </c>
      <c r="B700">
        <v>3</v>
      </c>
      <c r="C700" s="36">
        <v>26</v>
      </c>
      <c r="D700" s="36">
        <v>5</v>
      </c>
      <c r="E700" s="32">
        <v>4</v>
      </c>
      <c r="F700" s="13">
        <v>58.7</v>
      </c>
      <c r="G700">
        <v>71.225037237643889</v>
      </c>
      <c r="H700" t="s">
        <v>12</v>
      </c>
      <c r="I700" t="s">
        <v>12</v>
      </c>
      <c r="AD700" s="17">
        <v>698</v>
      </c>
      <c r="AE700" s="6">
        <v>3.0400299999999998</v>
      </c>
      <c r="AF700" s="6">
        <v>0.34239999999999998</v>
      </c>
      <c r="AG700" s="6">
        <v>2.9272</v>
      </c>
      <c r="AH700" s="6">
        <v>255</v>
      </c>
      <c r="AJ700" s="17">
        <v>698</v>
      </c>
      <c r="AK700" s="6">
        <v>5.76457</v>
      </c>
      <c r="AL700" s="6">
        <v>0.34239999999999998</v>
      </c>
      <c r="AM700" s="6">
        <v>2.9272</v>
      </c>
      <c r="AN700" s="6">
        <v>255</v>
      </c>
      <c r="AQ700" s="17">
        <v>698</v>
      </c>
      <c r="AR700" s="6">
        <v>1.58907</v>
      </c>
      <c r="AS700" s="6">
        <v>0.46229999999999999</v>
      </c>
      <c r="AT700" s="6">
        <v>0.80689999999999995</v>
      </c>
      <c r="AU700" s="6">
        <v>255</v>
      </c>
      <c r="AW700" s="17">
        <v>698</v>
      </c>
      <c r="AX700" s="6">
        <v>0.83801999999999999</v>
      </c>
      <c r="AY700" s="6">
        <v>0.46229999999999999</v>
      </c>
      <c r="AZ700" s="6">
        <v>0.80689999999999995</v>
      </c>
      <c r="BA700" s="6">
        <v>255</v>
      </c>
      <c r="BN700" s="17">
        <v>854</v>
      </c>
      <c r="BO700" s="6">
        <v>77.07489167</v>
      </c>
      <c r="BP700" s="6">
        <v>77.082896120000001</v>
      </c>
      <c r="BQ700" s="19">
        <v>-8.0044499999999998E-3</v>
      </c>
    </row>
    <row r="701" spans="1:69" x14ac:dyDescent="0.25">
      <c r="A701" t="s">
        <v>160</v>
      </c>
      <c r="B701">
        <v>1</v>
      </c>
      <c r="C701" s="36">
        <v>8</v>
      </c>
      <c r="D701" s="36">
        <v>2</v>
      </c>
      <c r="E701" s="32">
        <v>5</v>
      </c>
      <c r="F701" s="13">
        <v>60.4</v>
      </c>
      <c r="G701">
        <v>92.140762227602906</v>
      </c>
      <c r="H701">
        <v>9.9</v>
      </c>
      <c r="I701" t="s">
        <v>12</v>
      </c>
      <c r="AD701" s="17">
        <v>699</v>
      </c>
      <c r="AE701" s="6">
        <v>3.0362100000000001</v>
      </c>
      <c r="AF701" s="19">
        <v>-3.1779999999999999</v>
      </c>
      <c r="AG701" s="6">
        <v>2.9235000000000002</v>
      </c>
      <c r="AH701" s="6">
        <v>255</v>
      </c>
      <c r="AJ701" s="17">
        <v>699</v>
      </c>
      <c r="AK701" s="6">
        <v>5.7573299999999996</v>
      </c>
      <c r="AL701" s="19">
        <v>-3.1779999999999999</v>
      </c>
      <c r="AM701" s="6">
        <v>2.9235000000000002</v>
      </c>
      <c r="AN701" s="6">
        <v>255</v>
      </c>
      <c r="AQ701" s="17">
        <v>699</v>
      </c>
      <c r="AR701" s="6">
        <v>1.5854699999999999</v>
      </c>
      <c r="AS701" s="19">
        <v>-1.4824999999999999</v>
      </c>
      <c r="AT701" s="6">
        <v>0.80510000000000004</v>
      </c>
      <c r="AU701" s="6">
        <v>255</v>
      </c>
      <c r="AW701" s="17">
        <v>699</v>
      </c>
      <c r="AX701" s="6">
        <v>0.83611999999999997</v>
      </c>
      <c r="AY701" s="19">
        <v>-1.4824999999999999</v>
      </c>
      <c r="AZ701" s="6">
        <v>0.80510000000000004</v>
      </c>
      <c r="BA701" s="6">
        <v>255</v>
      </c>
      <c r="BN701" s="17">
        <v>855</v>
      </c>
      <c r="BO701" s="6">
        <v>71.225037240000006</v>
      </c>
      <c r="BP701" s="6">
        <v>74.292262399999998</v>
      </c>
      <c r="BQ701" s="19">
        <v>-3.06722516</v>
      </c>
    </row>
    <row r="702" spans="1:69" x14ac:dyDescent="0.25">
      <c r="A702" t="s">
        <v>160</v>
      </c>
      <c r="B702">
        <v>2</v>
      </c>
      <c r="C702" s="36">
        <v>13</v>
      </c>
      <c r="D702" s="36">
        <v>4</v>
      </c>
      <c r="E702" s="32">
        <v>5</v>
      </c>
      <c r="F702" s="13">
        <v>61</v>
      </c>
      <c r="G702">
        <v>90.250602044309673</v>
      </c>
      <c r="H702" t="s">
        <v>12</v>
      </c>
      <c r="I702" t="s">
        <v>12</v>
      </c>
      <c r="AD702" s="17">
        <v>700</v>
      </c>
      <c r="AE702" s="6">
        <v>3.0476000000000001</v>
      </c>
      <c r="AF702" s="19">
        <v>-2.8496999999999999</v>
      </c>
      <c r="AG702" s="6">
        <v>2.9344999999999999</v>
      </c>
      <c r="AH702" s="6">
        <v>255</v>
      </c>
      <c r="AJ702" s="17">
        <v>700</v>
      </c>
      <c r="AK702" s="6">
        <v>5.7789299999999999</v>
      </c>
      <c r="AL702" s="19">
        <v>-2.8496999999999999</v>
      </c>
      <c r="AM702" s="6">
        <v>2.9344999999999999</v>
      </c>
      <c r="AN702" s="6">
        <v>255</v>
      </c>
      <c r="AQ702" s="17">
        <v>700</v>
      </c>
      <c r="AR702" s="6">
        <v>1.59287</v>
      </c>
      <c r="AS702" s="19">
        <v>-0.64019999999999999</v>
      </c>
      <c r="AT702" s="6">
        <v>0.80879999999999996</v>
      </c>
      <c r="AU702" s="6">
        <v>255</v>
      </c>
      <c r="AW702" s="17">
        <v>700</v>
      </c>
      <c r="AX702" s="6">
        <v>0.84001999999999999</v>
      </c>
      <c r="AY702" s="19">
        <v>-0.64019999999999999</v>
      </c>
      <c r="AZ702" s="6">
        <v>0.80879999999999996</v>
      </c>
      <c r="BA702" s="6">
        <v>255</v>
      </c>
      <c r="BN702" s="17">
        <v>856</v>
      </c>
      <c r="BO702" s="6">
        <v>92.140762230000007</v>
      </c>
      <c r="BP702" s="6">
        <v>93.016523190000001</v>
      </c>
      <c r="BQ702" s="19">
        <v>-0.87576096000000003</v>
      </c>
    </row>
    <row r="703" spans="1:69" x14ac:dyDescent="0.25">
      <c r="A703" t="s">
        <v>160</v>
      </c>
      <c r="B703">
        <v>3</v>
      </c>
      <c r="C703" s="36">
        <v>7</v>
      </c>
      <c r="D703" s="36">
        <v>5</v>
      </c>
      <c r="E703" s="32">
        <v>5</v>
      </c>
      <c r="F703" s="13">
        <v>60.5</v>
      </c>
      <c r="G703">
        <v>83.75463197601313</v>
      </c>
      <c r="H703" t="s">
        <v>12</v>
      </c>
      <c r="I703" t="s">
        <v>12</v>
      </c>
      <c r="AD703" s="17">
        <v>701</v>
      </c>
      <c r="AE703" s="6">
        <v>3.03538</v>
      </c>
      <c r="AF703" s="19">
        <v>-0.33169999999999999</v>
      </c>
      <c r="AG703" s="6">
        <v>2.9226999999999999</v>
      </c>
      <c r="AH703" s="6">
        <v>255</v>
      </c>
      <c r="AJ703" s="17">
        <v>701</v>
      </c>
      <c r="AK703" s="6">
        <v>5.7557499999999999</v>
      </c>
      <c r="AL703" s="19">
        <v>-0.33169999999999999</v>
      </c>
      <c r="AM703" s="6">
        <v>2.9226999999999999</v>
      </c>
      <c r="AN703" s="6">
        <v>255</v>
      </c>
      <c r="AQ703" s="17">
        <v>701</v>
      </c>
      <c r="AR703" s="6">
        <v>1.5844</v>
      </c>
      <c r="AS703" s="19">
        <v>-2.3092999999999999</v>
      </c>
      <c r="AT703" s="6">
        <v>0.80449999999999999</v>
      </c>
      <c r="AU703" s="6">
        <v>255</v>
      </c>
      <c r="AW703" s="17">
        <v>701</v>
      </c>
      <c r="AX703" s="6">
        <v>0.83555999999999997</v>
      </c>
      <c r="AY703" s="19">
        <v>-2.3092999999999999</v>
      </c>
      <c r="AZ703" s="6">
        <v>0.80449999999999999</v>
      </c>
      <c r="BA703" s="6">
        <v>255</v>
      </c>
      <c r="BN703" s="17">
        <v>857</v>
      </c>
      <c r="BO703" s="6">
        <v>90.250602040000004</v>
      </c>
      <c r="BP703" s="6">
        <v>87.960053389999999</v>
      </c>
      <c r="BQ703" s="6">
        <v>2.2905486499999999</v>
      </c>
    </row>
    <row r="704" spans="1:69" x14ac:dyDescent="0.25">
      <c r="A704" t="s">
        <v>160</v>
      </c>
      <c r="B704">
        <v>1</v>
      </c>
      <c r="C704" s="36">
        <v>21</v>
      </c>
      <c r="D704" s="36">
        <v>1</v>
      </c>
      <c r="E704" s="32">
        <v>19</v>
      </c>
      <c r="F704" s="13">
        <v>58.3</v>
      </c>
      <c r="G704">
        <v>84.45813253012048</v>
      </c>
      <c r="H704">
        <v>9.9</v>
      </c>
      <c r="I704" t="s">
        <v>12</v>
      </c>
      <c r="AD704" s="17">
        <v>702</v>
      </c>
      <c r="AE704" s="6">
        <v>3.0465</v>
      </c>
      <c r="AF704" s="6">
        <v>1.3466</v>
      </c>
      <c r="AG704" s="6">
        <v>2.9333999999999998</v>
      </c>
      <c r="AH704" s="6">
        <v>255</v>
      </c>
      <c r="AJ704" s="17">
        <v>702</v>
      </c>
      <c r="AK704" s="6">
        <v>5.7768300000000004</v>
      </c>
      <c r="AL704" s="6">
        <v>1.3466</v>
      </c>
      <c r="AM704" s="6">
        <v>2.9333999999999998</v>
      </c>
      <c r="AN704" s="6">
        <v>255</v>
      </c>
      <c r="AQ704" s="17">
        <v>702</v>
      </c>
      <c r="AR704" s="6">
        <v>1.5989599999999999</v>
      </c>
      <c r="AS704" s="19">
        <v>-1.9285000000000001</v>
      </c>
      <c r="AT704" s="6">
        <v>0.81189999999999996</v>
      </c>
      <c r="AU704" s="6">
        <v>255</v>
      </c>
      <c r="AW704" s="17">
        <v>702</v>
      </c>
      <c r="AX704" s="6">
        <v>0.84323999999999999</v>
      </c>
      <c r="AY704" s="19">
        <v>-1.9285000000000001</v>
      </c>
      <c r="AZ704" s="6">
        <v>0.81189999999999996</v>
      </c>
      <c r="BA704" s="6">
        <v>255</v>
      </c>
      <c r="BN704" s="17">
        <v>858</v>
      </c>
      <c r="BO704" s="6">
        <v>83.754631979999999</v>
      </c>
      <c r="BP704" s="6">
        <v>85.169419669999996</v>
      </c>
      <c r="BQ704" s="19">
        <v>-1.41478769</v>
      </c>
    </row>
    <row r="705" spans="1:69" x14ac:dyDescent="0.25">
      <c r="A705" t="s">
        <v>160</v>
      </c>
      <c r="B705">
        <v>2</v>
      </c>
      <c r="C705" s="36">
        <v>8</v>
      </c>
      <c r="D705" s="36">
        <v>4</v>
      </c>
      <c r="E705" s="32">
        <v>19</v>
      </c>
      <c r="F705" s="13">
        <v>57.3</v>
      </c>
      <c r="G705">
        <v>82.171404117963519</v>
      </c>
      <c r="H705" t="s">
        <v>12</v>
      </c>
      <c r="I705" t="s">
        <v>12</v>
      </c>
      <c r="AD705" s="17">
        <v>703</v>
      </c>
      <c r="AE705" s="6">
        <v>3.0427900000000001</v>
      </c>
      <c r="AF705" s="19">
        <v>-1.1355999999999999</v>
      </c>
      <c r="AG705" s="6">
        <v>2.9298999999999999</v>
      </c>
      <c r="AH705" s="6">
        <v>255</v>
      </c>
      <c r="AJ705" s="17">
        <v>703</v>
      </c>
      <c r="AK705" s="6">
        <v>5.7697900000000004</v>
      </c>
      <c r="AL705" s="19">
        <v>-1.1355999999999999</v>
      </c>
      <c r="AM705" s="6">
        <v>2.9298999999999999</v>
      </c>
      <c r="AN705" s="6">
        <v>255</v>
      </c>
      <c r="AQ705" s="17">
        <v>703</v>
      </c>
      <c r="AR705" s="6">
        <v>1.61348</v>
      </c>
      <c r="AS705" s="19">
        <v>-0.55000000000000004</v>
      </c>
      <c r="AT705" s="6">
        <v>0.81930000000000003</v>
      </c>
      <c r="AU705" s="6">
        <v>255</v>
      </c>
      <c r="AW705" s="17">
        <v>703</v>
      </c>
      <c r="AX705" s="6">
        <v>0.85089000000000004</v>
      </c>
      <c r="AY705" s="19">
        <v>-0.55000000000000004</v>
      </c>
      <c r="AZ705" s="6">
        <v>0.81930000000000003</v>
      </c>
      <c r="BA705" s="6">
        <v>255</v>
      </c>
      <c r="BN705" s="17">
        <v>859</v>
      </c>
      <c r="BO705" s="6">
        <v>84.45813253</v>
      </c>
      <c r="BP705" s="6">
        <v>85.844437690000007</v>
      </c>
      <c r="BQ705" s="19">
        <v>-1.38630516</v>
      </c>
    </row>
    <row r="706" spans="1:69" x14ac:dyDescent="0.25">
      <c r="A706" t="s">
        <v>160</v>
      </c>
      <c r="B706">
        <v>3</v>
      </c>
      <c r="C706" s="36">
        <v>10</v>
      </c>
      <c r="D706" s="36">
        <v>5</v>
      </c>
      <c r="E706" s="32">
        <v>19</v>
      </c>
      <c r="F706" s="13">
        <v>58.5</v>
      </c>
      <c r="G706">
        <v>78.000203114421126</v>
      </c>
      <c r="H706" t="s">
        <v>12</v>
      </c>
      <c r="I706" t="s">
        <v>12</v>
      </c>
      <c r="AD706" s="17">
        <v>704</v>
      </c>
      <c r="AE706" s="6">
        <v>3.0591599999999999</v>
      </c>
      <c r="AF706" s="6">
        <v>0.82469999999999999</v>
      </c>
      <c r="AG706" s="6">
        <v>2.9456000000000002</v>
      </c>
      <c r="AH706" s="6">
        <v>255</v>
      </c>
      <c r="AJ706" s="17">
        <v>704</v>
      </c>
      <c r="AK706" s="6">
        <v>5.8008499999999996</v>
      </c>
      <c r="AL706" s="6">
        <v>0.82469999999999999</v>
      </c>
      <c r="AM706" s="6">
        <v>2.9456000000000002</v>
      </c>
      <c r="AN706" s="6">
        <v>255</v>
      </c>
      <c r="AQ706" s="17">
        <v>704</v>
      </c>
      <c r="AR706" s="6">
        <v>1.5973900000000001</v>
      </c>
      <c r="AS706" s="19">
        <v>-0.6391</v>
      </c>
      <c r="AT706" s="6">
        <v>0.81110000000000004</v>
      </c>
      <c r="AU706" s="6">
        <v>255</v>
      </c>
      <c r="AW706" s="17">
        <v>704</v>
      </c>
      <c r="AX706" s="6">
        <v>0.84240999999999999</v>
      </c>
      <c r="AY706" s="19">
        <v>-0.6391</v>
      </c>
      <c r="AZ706" s="6">
        <v>0.81110000000000004</v>
      </c>
      <c r="BA706" s="6">
        <v>255</v>
      </c>
      <c r="BN706" s="17">
        <v>860</v>
      </c>
      <c r="BO706" s="6">
        <v>82.171404120000005</v>
      </c>
      <c r="BP706" s="6">
        <v>80.787967899999998</v>
      </c>
      <c r="BQ706" s="6">
        <v>1.3834362200000001</v>
      </c>
    </row>
    <row r="707" spans="1:69" x14ac:dyDescent="0.25">
      <c r="A707" t="s">
        <v>160</v>
      </c>
      <c r="B707">
        <v>1</v>
      </c>
      <c r="C707" s="36">
        <v>15</v>
      </c>
      <c r="D707" s="36">
        <v>1</v>
      </c>
      <c r="E707" s="32">
        <v>6</v>
      </c>
      <c r="F707" s="13">
        <v>60.1</v>
      </c>
      <c r="G707">
        <v>74.346652323580017</v>
      </c>
      <c r="H707">
        <v>12.3</v>
      </c>
      <c r="I707" t="s">
        <v>12</v>
      </c>
      <c r="AD707" s="17">
        <v>705</v>
      </c>
      <c r="AE707" s="6">
        <v>3.0612599999999999</v>
      </c>
      <c r="AF707" s="19">
        <v>-7.2413999999999996</v>
      </c>
      <c r="AG707" s="6">
        <v>2.9476</v>
      </c>
      <c r="AH707" s="6">
        <v>255</v>
      </c>
      <c r="AJ707" s="17">
        <v>705</v>
      </c>
      <c r="AK707" s="6">
        <v>5.8048099999999998</v>
      </c>
      <c r="AL707" s="19">
        <v>-7.2413999999999996</v>
      </c>
      <c r="AM707" s="6">
        <v>2.9476</v>
      </c>
      <c r="AN707" s="6">
        <v>255</v>
      </c>
      <c r="AQ707" s="17">
        <v>705</v>
      </c>
      <c r="AR707" s="6">
        <v>1.6006899999999999</v>
      </c>
      <c r="AS707" s="19">
        <v>-1.05</v>
      </c>
      <c r="AT707" s="6">
        <v>0.81279999999999997</v>
      </c>
      <c r="AU707" s="6">
        <v>255</v>
      </c>
      <c r="AW707" s="17">
        <v>705</v>
      </c>
      <c r="AX707" s="6">
        <v>0.84414999999999996</v>
      </c>
      <c r="AY707" s="19">
        <v>-1.05</v>
      </c>
      <c r="AZ707" s="6">
        <v>0.81279999999999997</v>
      </c>
      <c r="BA707" s="6">
        <v>255</v>
      </c>
      <c r="BN707" s="17">
        <v>861</v>
      </c>
      <c r="BO707" s="6">
        <v>78.000203110000001</v>
      </c>
      <c r="BP707" s="6">
        <v>77.997334170000002</v>
      </c>
      <c r="BQ707" s="6">
        <v>2.8689399999999999E-3</v>
      </c>
    </row>
    <row r="708" spans="1:69" x14ac:dyDescent="0.25">
      <c r="A708" t="s">
        <v>160</v>
      </c>
      <c r="B708">
        <v>2</v>
      </c>
      <c r="C708" s="36">
        <v>9</v>
      </c>
      <c r="D708" s="36">
        <v>4</v>
      </c>
      <c r="E708" s="32">
        <v>6</v>
      </c>
      <c r="F708" s="13">
        <v>60.4</v>
      </c>
      <c r="G708">
        <v>70.49640534063677</v>
      </c>
      <c r="H708" t="s">
        <v>12</v>
      </c>
      <c r="I708" t="s">
        <v>12</v>
      </c>
      <c r="AD708" s="17">
        <v>706</v>
      </c>
      <c r="AE708" s="6">
        <v>3.0341200000000002</v>
      </c>
      <c r="AF708" s="19">
        <v>-2.1985999999999999</v>
      </c>
      <c r="AG708" s="6">
        <v>2.9215</v>
      </c>
      <c r="AH708" s="6">
        <v>255</v>
      </c>
      <c r="AJ708" s="17">
        <v>706</v>
      </c>
      <c r="AK708" s="6">
        <v>5.7533599999999998</v>
      </c>
      <c r="AL708" s="19">
        <v>-2.1985999999999999</v>
      </c>
      <c r="AM708" s="6">
        <v>2.9215</v>
      </c>
      <c r="AN708" s="6">
        <v>255</v>
      </c>
      <c r="AQ708" s="17">
        <v>706</v>
      </c>
      <c r="AR708" s="6">
        <v>1.5866199999999999</v>
      </c>
      <c r="AS708" s="19">
        <v>-0.77759999999999996</v>
      </c>
      <c r="AT708" s="6">
        <v>0.80569999999999997</v>
      </c>
      <c r="AU708" s="6">
        <v>255</v>
      </c>
      <c r="AW708" s="17">
        <v>706</v>
      </c>
      <c r="AX708" s="6">
        <v>0.83672999999999997</v>
      </c>
      <c r="AY708" s="19">
        <v>-0.77759999999999996</v>
      </c>
      <c r="AZ708" s="6">
        <v>0.80569999999999997</v>
      </c>
      <c r="BA708" s="6">
        <v>255</v>
      </c>
      <c r="BN708" s="17">
        <v>862</v>
      </c>
      <c r="BO708" s="6">
        <v>74.346652320000004</v>
      </c>
      <c r="BP708" s="6">
        <v>77.386304539999998</v>
      </c>
      <c r="BQ708" s="19">
        <v>-3.0396522199999998</v>
      </c>
    </row>
    <row r="709" spans="1:69" x14ac:dyDescent="0.25">
      <c r="A709" t="s">
        <v>160</v>
      </c>
      <c r="B709">
        <v>3</v>
      </c>
      <c r="C709" s="36">
        <v>7</v>
      </c>
      <c r="D709" s="36">
        <v>6</v>
      </c>
      <c r="E709" s="32">
        <v>6</v>
      </c>
      <c r="F709" s="13">
        <v>60.3</v>
      </c>
      <c r="G709">
        <v>74.412282650325537</v>
      </c>
      <c r="H709" t="s">
        <v>12</v>
      </c>
      <c r="I709" t="s">
        <v>12</v>
      </c>
      <c r="AD709" s="17">
        <v>707</v>
      </c>
      <c r="AE709" s="6">
        <v>3.0554600000000001</v>
      </c>
      <c r="AF709" s="6">
        <v>0.2787</v>
      </c>
      <c r="AG709" s="6">
        <v>2.9420999999999999</v>
      </c>
      <c r="AH709" s="6">
        <v>255</v>
      </c>
      <c r="AJ709" s="17">
        <v>707</v>
      </c>
      <c r="AK709" s="6">
        <v>5.7938200000000002</v>
      </c>
      <c r="AL709" s="6">
        <v>0.2787</v>
      </c>
      <c r="AM709" s="6">
        <v>2.9420999999999999</v>
      </c>
      <c r="AN709" s="6">
        <v>255</v>
      </c>
      <c r="AQ709" s="17">
        <v>707</v>
      </c>
      <c r="AR709" s="6">
        <v>1.5949599999999999</v>
      </c>
      <c r="AS709" s="19">
        <v>-0.25380000000000003</v>
      </c>
      <c r="AT709" s="6">
        <v>0.80989999999999995</v>
      </c>
      <c r="AU709" s="6">
        <v>255</v>
      </c>
      <c r="AW709" s="17">
        <v>707</v>
      </c>
      <c r="AX709" s="6">
        <v>0.84111999999999998</v>
      </c>
      <c r="AY709" s="19">
        <v>-0.25380000000000003</v>
      </c>
      <c r="AZ709" s="6">
        <v>0.80989999999999995</v>
      </c>
      <c r="BA709" s="6">
        <v>255</v>
      </c>
      <c r="BN709" s="17">
        <v>863</v>
      </c>
      <c r="BO709" s="6">
        <v>70.496405339999995</v>
      </c>
      <c r="BP709" s="6">
        <v>72.329834750000003</v>
      </c>
      <c r="BQ709" s="19">
        <v>-1.8334294099999999</v>
      </c>
    </row>
    <row r="710" spans="1:69" x14ac:dyDescent="0.25">
      <c r="A710" t="s">
        <v>160</v>
      </c>
      <c r="B710">
        <v>1</v>
      </c>
      <c r="C710" s="36">
        <v>3</v>
      </c>
      <c r="D710" s="36">
        <v>1</v>
      </c>
      <c r="E710" s="32">
        <v>8</v>
      </c>
      <c r="F710" s="13">
        <v>59.2</v>
      </c>
      <c r="G710">
        <v>99.62047762478484</v>
      </c>
      <c r="H710">
        <v>10.1</v>
      </c>
      <c r="I710" t="s">
        <v>12</v>
      </c>
      <c r="AD710" s="17">
        <v>708</v>
      </c>
      <c r="AE710" s="6">
        <v>3.0335299999999998</v>
      </c>
      <c r="AF710" s="19">
        <v>-1.6406000000000001</v>
      </c>
      <c r="AG710" s="6">
        <v>2.9209000000000001</v>
      </c>
      <c r="AH710" s="6">
        <v>255</v>
      </c>
      <c r="AJ710" s="17">
        <v>708</v>
      </c>
      <c r="AK710" s="6">
        <v>5.7522399999999996</v>
      </c>
      <c r="AL710" s="19">
        <v>-1.6406000000000001</v>
      </c>
      <c r="AM710" s="6">
        <v>2.9209000000000001</v>
      </c>
      <c r="AN710" s="6">
        <v>255</v>
      </c>
      <c r="AQ710" s="17">
        <v>708</v>
      </c>
      <c r="AR710" s="6">
        <v>1.5848800000000001</v>
      </c>
      <c r="AS710" s="19">
        <v>-1.4363999999999999</v>
      </c>
      <c r="AT710" s="6">
        <v>0.80479999999999996</v>
      </c>
      <c r="AU710" s="6">
        <v>255</v>
      </c>
      <c r="AW710" s="17">
        <v>708</v>
      </c>
      <c r="AX710" s="6">
        <v>0.83581000000000005</v>
      </c>
      <c r="AY710" s="19">
        <v>-1.4363999999999999</v>
      </c>
      <c r="AZ710" s="6">
        <v>0.80479999999999996</v>
      </c>
      <c r="BA710" s="6">
        <v>255</v>
      </c>
      <c r="BN710" s="17">
        <v>864</v>
      </c>
      <c r="BO710" s="6">
        <v>74.412282649999995</v>
      </c>
      <c r="BP710" s="6">
        <v>69.539201019999993</v>
      </c>
      <c r="BQ710" s="6">
        <v>4.8730816299999997</v>
      </c>
    </row>
    <row r="711" spans="1:69" x14ac:dyDescent="0.25">
      <c r="A711" t="s">
        <v>160</v>
      </c>
      <c r="B711">
        <v>2</v>
      </c>
      <c r="C711" s="36">
        <v>24</v>
      </c>
      <c r="D711" s="36">
        <v>3</v>
      </c>
      <c r="E711" s="32">
        <v>8</v>
      </c>
      <c r="F711" s="13">
        <v>60.4</v>
      </c>
      <c r="G711">
        <v>81.807627222562843</v>
      </c>
      <c r="H711" t="s">
        <v>12</v>
      </c>
      <c r="I711" t="s">
        <v>12</v>
      </c>
      <c r="AD711" s="17">
        <v>709</v>
      </c>
      <c r="AE711" s="6">
        <v>3.0390299999999999</v>
      </c>
      <c r="AF711" s="19">
        <v>-0.3296</v>
      </c>
      <c r="AG711" s="6">
        <v>2.9262000000000001</v>
      </c>
      <c r="AH711" s="6">
        <v>255</v>
      </c>
      <c r="AJ711" s="17">
        <v>709</v>
      </c>
      <c r="AK711" s="6">
        <v>5.7626799999999996</v>
      </c>
      <c r="AL711" s="19">
        <v>-0.3296</v>
      </c>
      <c r="AM711" s="6">
        <v>2.9262000000000001</v>
      </c>
      <c r="AN711" s="6">
        <v>255</v>
      </c>
      <c r="AQ711" s="17">
        <v>709</v>
      </c>
      <c r="AR711" s="6">
        <v>1.5890899999999999</v>
      </c>
      <c r="AS711" s="19">
        <v>-1.6248</v>
      </c>
      <c r="AT711" s="6">
        <v>0.80689999999999995</v>
      </c>
      <c r="AU711" s="6">
        <v>255</v>
      </c>
      <c r="AW711" s="17">
        <v>709</v>
      </c>
      <c r="AX711" s="6">
        <v>0.83803000000000005</v>
      </c>
      <c r="AY711" s="19">
        <v>-1.6248</v>
      </c>
      <c r="AZ711" s="6">
        <v>0.80689999999999995</v>
      </c>
      <c r="BA711" s="6">
        <v>255</v>
      </c>
      <c r="BN711" s="17">
        <v>865</v>
      </c>
      <c r="BO711" s="6">
        <v>99.620477620000003</v>
      </c>
      <c r="BP711" s="6">
        <v>92.039314739999995</v>
      </c>
      <c r="BQ711" s="6">
        <v>7.5811628799999999</v>
      </c>
    </row>
    <row r="712" spans="1:69" x14ac:dyDescent="0.25">
      <c r="A712" t="s">
        <v>160</v>
      </c>
      <c r="B712">
        <v>3</v>
      </c>
      <c r="C712" s="36">
        <v>20</v>
      </c>
      <c r="D712" s="36">
        <v>5</v>
      </c>
      <c r="E712" s="32">
        <v>8</v>
      </c>
      <c r="F712" s="13">
        <v>60.4</v>
      </c>
      <c r="G712">
        <v>81.786266079891661</v>
      </c>
      <c r="H712" t="s">
        <v>12</v>
      </c>
      <c r="I712" t="s">
        <v>12</v>
      </c>
      <c r="AD712" s="17">
        <v>710</v>
      </c>
      <c r="AE712" s="6">
        <v>3.0446599999999999</v>
      </c>
      <c r="AF712" s="6">
        <v>1.5641</v>
      </c>
      <c r="AG712" s="6">
        <v>2.9317000000000002</v>
      </c>
      <c r="AH712" s="6">
        <v>255</v>
      </c>
      <c r="AJ712" s="17">
        <v>710</v>
      </c>
      <c r="AK712" s="6">
        <v>5.7733400000000001</v>
      </c>
      <c r="AL712" s="6">
        <v>1.5641</v>
      </c>
      <c r="AM712" s="6">
        <v>2.9317000000000002</v>
      </c>
      <c r="AN712" s="6">
        <v>255</v>
      </c>
      <c r="AQ712" s="17">
        <v>710</v>
      </c>
      <c r="AR712" s="6">
        <v>1.5903400000000001</v>
      </c>
      <c r="AS712" s="19">
        <v>-0.69520000000000004</v>
      </c>
      <c r="AT712" s="6">
        <v>0.80759999999999998</v>
      </c>
      <c r="AU712" s="6">
        <v>255</v>
      </c>
      <c r="AW712" s="17">
        <v>710</v>
      </c>
      <c r="AX712" s="6">
        <v>0.83869000000000005</v>
      </c>
      <c r="AY712" s="19">
        <v>-0.69520000000000004</v>
      </c>
      <c r="AZ712" s="6">
        <v>0.80759999999999998</v>
      </c>
      <c r="BA712" s="6">
        <v>255</v>
      </c>
      <c r="BN712" s="17">
        <v>866</v>
      </c>
      <c r="BO712" s="6">
        <v>81.807627220000001</v>
      </c>
      <c r="BP712" s="6">
        <v>86.98284495</v>
      </c>
      <c r="BQ712" s="19">
        <v>-5.17521773</v>
      </c>
    </row>
    <row r="713" spans="1:69" x14ac:dyDescent="0.25">
      <c r="A713" t="s">
        <v>160</v>
      </c>
      <c r="B713">
        <v>1</v>
      </c>
      <c r="C713" s="36">
        <v>7</v>
      </c>
      <c r="D713" s="36">
        <v>2</v>
      </c>
      <c r="E713" s="32">
        <v>7</v>
      </c>
      <c r="F713" s="13">
        <v>58.7</v>
      </c>
      <c r="G713">
        <v>78.749346246973374</v>
      </c>
      <c r="H713">
        <v>10.3</v>
      </c>
      <c r="I713" t="s">
        <v>12</v>
      </c>
      <c r="AD713" s="17">
        <v>711</v>
      </c>
      <c r="AE713" s="6">
        <v>3.0518700000000001</v>
      </c>
      <c r="AF713" s="19">
        <v>-4.5857000000000001</v>
      </c>
      <c r="AG713" s="6">
        <v>2.9386000000000001</v>
      </c>
      <c r="AH713" s="6">
        <v>255</v>
      </c>
      <c r="AJ713" s="17">
        <v>711</v>
      </c>
      <c r="AK713" s="6">
        <v>5.7870100000000004</v>
      </c>
      <c r="AL713" s="19">
        <v>-4.5857000000000001</v>
      </c>
      <c r="AM713" s="6">
        <v>2.9386000000000001</v>
      </c>
      <c r="AN713" s="6">
        <v>255</v>
      </c>
      <c r="AQ713" s="17">
        <v>711</v>
      </c>
      <c r="AR713" s="6">
        <v>1.59779</v>
      </c>
      <c r="AS713" s="19">
        <v>-3.0596999999999999</v>
      </c>
      <c r="AT713" s="6">
        <v>0.81130000000000002</v>
      </c>
      <c r="AU713" s="6">
        <v>255</v>
      </c>
      <c r="AW713" s="17">
        <v>711</v>
      </c>
      <c r="AX713" s="6">
        <v>0.84262000000000004</v>
      </c>
      <c r="AY713" s="19">
        <v>-3.0596999999999999</v>
      </c>
      <c r="AZ713" s="6">
        <v>0.81130000000000002</v>
      </c>
      <c r="BA713" s="6">
        <v>255</v>
      </c>
      <c r="BN713" s="17">
        <v>867</v>
      </c>
      <c r="BO713" s="6">
        <v>81.786266080000004</v>
      </c>
      <c r="BP713" s="6">
        <v>84.192211229999998</v>
      </c>
      <c r="BQ713" s="19">
        <v>-2.40594515</v>
      </c>
    </row>
    <row r="714" spans="1:69" x14ac:dyDescent="0.25">
      <c r="A714" t="s">
        <v>160</v>
      </c>
      <c r="B714">
        <v>2</v>
      </c>
      <c r="C714" s="36">
        <v>24</v>
      </c>
      <c r="D714" s="36">
        <v>4</v>
      </c>
      <c r="E714" s="32">
        <v>7</v>
      </c>
      <c r="F714" s="13">
        <v>59.7</v>
      </c>
      <c r="G714">
        <v>74.341655010514984</v>
      </c>
      <c r="H714" t="s">
        <v>12</v>
      </c>
      <c r="I714" t="s">
        <v>12</v>
      </c>
      <c r="AD714" s="17">
        <v>712</v>
      </c>
      <c r="AE714" s="6">
        <v>3.0584600000000002</v>
      </c>
      <c r="AF714" s="19">
        <v>-1.4608000000000001</v>
      </c>
      <c r="AG714" s="6">
        <v>2.9449000000000001</v>
      </c>
      <c r="AH714" s="6">
        <v>255</v>
      </c>
      <c r="AJ714" s="17">
        <v>712</v>
      </c>
      <c r="AK714" s="6">
        <v>5.7995099999999997</v>
      </c>
      <c r="AL714" s="19">
        <v>-1.4608000000000001</v>
      </c>
      <c r="AM714" s="6">
        <v>2.9449000000000001</v>
      </c>
      <c r="AN714" s="6">
        <v>255</v>
      </c>
      <c r="AQ714" s="17">
        <v>712</v>
      </c>
      <c r="AR714" s="6">
        <v>1.59137</v>
      </c>
      <c r="AS714" s="19">
        <v>-0.68659999999999999</v>
      </c>
      <c r="AT714" s="6">
        <v>0.80810000000000004</v>
      </c>
      <c r="AU714" s="6">
        <v>255</v>
      </c>
      <c r="AW714" s="17">
        <v>712</v>
      </c>
      <c r="AX714" s="6">
        <v>0.83923000000000003</v>
      </c>
      <c r="AY714" s="19">
        <v>-0.68659999999999999</v>
      </c>
      <c r="AZ714" s="6">
        <v>0.80810000000000004</v>
      </c>
      <c r="BA714" s="6">
        <v>255</v>
      </c>
      <c r="BN714" s="17">
        <v>868</v>
      </c>
      <c r="BO714" s="6">
        <v>78.749346250000002</v>
      </c>
      <c r="BP714" s="6">
        <v>80.543250360000002</v>
      </c>
      <c r="BQ714" s="19">
        <v>-1.7939041099999999</v>
      </c>
    </row>
    <row r="715" spans="1:69" x14ac:dyDescent="0.25">
      <c r="A715" t="s">
        <v>160</v>
      </c>
      <c r="B715">
        <v>3</v>
      </c>
      <c r="C715" s="36">
        <v>11</v>
      </c>
      <c r="D715" s="36">
        <v>5</v>
      </c>
      <c r="E715" s="32">
        <v>7</v>
      </c>
      <c r="F715" s="13">
        <v>58.2</v>
      </c>
      <c r="G715">
        <v>75.635176516104067</v>
      </c>
      <c r="H715" t="s">
        <v>12</v>
      </c>
      <c r="I715" t="s">
        <v>12</v>
      </c>
      <c r="AD715" s="17">
        <v>713</v>
      </c>
      <c r="AE715" s="6">
        <v>3.0460699999999998</v>
      </c>
      <c r="AF715" s="6">
        <v>0.8569</v>
      </c>
      <c r="AG715" s="6">
        <v>2.9329999999999998</v>
      </c>
      <c r="AH715" s="6">
        <v>255</v>
      </c>
      <c r="AJ715" s="17">
        <v>713</v>
      </c>
      <c r="AK715" s="6">
        <v>5.7760199999999999</v>
      </c>
      <c r="AL715" s="6">
        <v>0.8569</v>
      </c>
      <c r="AM715" s="6">
        <v>2.9329999999999998</v>
      </c>
      <c r="AN715" s="6">
        <v>255</v>
      </c>
      <c r="AQ715" s="17">
        <v>713</v>
      </c>
      <c r="AR715" s="6">
        <v>1.5988899999999999</v>
      </c>
      <c r="AS715" s="19">
        <v>-0.95399999999999996</v>
      </c>
      <c r="AT715" s="6">
        <v>0.81189999999999996</v>
      </c>
      <c r="AU715" s="6">
        <v>255</v>
      </c>
      <c r="AW715" s="17">
        <v>713</v>
      </c>
      <c r="AX715" s="6">
        <v>0.84319999999999995</v>
      </c>
      <c r="AY715" s="19">
        <v>-0.95399999999999996</v>
      </c>
      <c r="AZ715" s="6">
        <v>0.81189999999999996</v>
      </c>
      <c r="BA715" s="6">
        <v>255</v>
      </c>
      <c r="BN715" s="17">
        <v>869</v>
      </c>
      <c r="BO715" s="6">
        <v>74.341655009999997</v>
      </c>
      <c r="BP715" s="6">
        <v>75.486780569999993</v>
      </c>
      <c r="BQ715" s="19">
        <v>-1.1451255600000001</v>
      </c>
    </row>
    <row r="716" spans="1:69" x14ac:dyDescent="0.25">
      <c r="A716" t="s">
        <v>160</v>
      </c>
      <c r="B716">
        <v>1</v>
      </c>
      <c r="C716" s="36">
        <v>21</v>
      </c>
      <c r="D716" s="36">
        <v>2</v>
      </c>
      <c r="E716" s="32">
        <v>42</v>
      </c>
      <c r="F716" s="13">
        <v>60.4</v>
      </c>
      <c r="G716">
        <v>88.548428571428573</v>
      </c>
      <c r="H716">
        <v>10</v>
      </c>
      <c r="I716" t="s">
        <v>12</v>
      </c>
      <c r="AD716" s="17">
        <v>714</v>
      </c>
      <c r="AE716" s="6">
        <v>3.0643099999999999</v>
      </c>
      <c r="AF716" s="6">
        <v>0.73380000000000001</v>
      </c>
      <c r="AG716" s="6">
        <v>2.9506000000000001</v>
      </c>
      <c r="AH716" s="6">
        <v>255</v>
      </c>
      <c r="AJ716" s="17">
        <v>714</v>
      </c>
      <c r="AK716" s="6">
        <v>5.8106099999999996</v>
      </c>
      <c r="AL716" s="6">
        <v>0.73380000000000001</v>
      </c>
      <c r="AM716" s="6">
        <v>2.9506000000000001</v>
      </c>
      <c r="AN716" s="6">
        <v>255</v>
      </c>
      <c r="AQ716" s="17">
        <v>714</v>
      </c>
      <c r="AR716" s="6">
        <v>1.6029100000000001</v>
      </c>
      <c r="AS716" s="19">
        <v>-0.7016</v>
      </c>
      <c r="AT716" s="6">
        <v>0.81389999999999996</v>
      </c>
      <c r="AU716" s="6">
        <v>255</v>
      </c>
      <c r="AW716" s="17">
        <v>714</v>
      </c>
      <c r="AX716" s="6">
        <v>0.84531999999999996</v>
      </c>
      <c r="AY716" s="19">
        <v>-0.7016</v>
      </c>
      <c r="AZ716" s="6">
        <v>0.81389999999999996</v>
      </c>
      <c r="BA716" s="6">
        <v>255</v>
      </c>
      <c r="BN716" s="17">
        <v>870</v>
      </c>
      <c r="BO716" s="6">
        <v>75.635176520000002</v>
      </c>
      <c r="BP716" s="6">
        <v>72.696146850000005</v>
      </c>
      <c r="BQ716" s="6">
        <v>2.93902967</v>
      </c>
    </row>
    <row r="717" spans="1:69" x14ac:dyDescent="0.25">
      <c r="A717" t="s">
        <v>160</v>
      </c>
      <c r="B717">
        <v>2</v>
      </c>
      <c r="C717" s="36">
        <v>20</v>
      </c>
      <c r="D717" s="36">
        <v>4</v>
      </c>
      <c r="E717" s="32">
        <v>42</v>
      </c>
      <c r="F717" s="13">
        <v>61.4</v>
      </c>
      <c r="G717">
        <v>87.254988995940721</v>
      </c>
      <c r="H717" t="s">
        <v>12</v>
      </c>
      <c r="I717" t="s">
        <v>12</v>
      </c>
      <c r="AD717" s="17">
        <v>715</v>
      </c>
      <c r="AE717" s="6">
        <v>3.0530900000000001</v>
      </c>
      <c r="AF717" s="19">
        <v>-2.7528999999999999</v>
      </c>
      <c r="AG717" s="6">
        <v>2.9398</v>
      </c>
      <c r="AH717" s="6">
        <v>255</v>
      </c>
      <c r="AJ717" s="17">
        <v>715</v>
      </c>
      <c r="AK717" s="6">
        <v>5.7893400000000002</v>
      </c>
      <c r="AL717" s="19">
        <v>-2.7528999999999999</v>
      </c>
      <c r="AM717" s="6">
        <v>2.9398</v>
      </c>
      <c r="AN717" s="6">
        <v>255</v>
      </c>
      <c r="AQ717" s="17">
        <v>715</v>
      </c>
      <c r="AR717" s="6">
        <v>1.59287</v>
      </c>
      <c r="AS717" s="19">
        <v>-2.0823999999999998</v>
      </c>
      <c r="AT717" s="6">
        <v>0.80879999999999996</v>
      </c>
      <c r="AU717" s="6">
        <v>255</v>
      </c>
      <c r="AW717" s="17">
        <v>715</v>
      </c>
      <c r="AX717" s="6">
        <v>0.84001999999999999</v>
      </c>
      <c r="AY717" s="19">
        <v>-2.0823999999999998</v>
      </c>
      <c r="AZ717" s="6">
        <v>0.80879999999999996</v>
      </c>
      <c r="BA717" s="6">
        <v>255</v>
      </c>
      <c r="BN717" s="17">
        <v>871</v>
      </c>
      <c r="BO717" s="6">
        <v>88.548428569999999</v>
      </c>
      <c r="BP717" s="6">
        <v>89.730095070000004</v>
      </c>
      <c r="BQ717" s="19">
        <v>-1.1816665</v>
      </c>
    </row>
    <row r="718" spans="1:69" x14ac:dyDescent="0.25">
      <c r="A718" t="s">
        <v>160</v>
      </c>
      <c r="B718">
        <v>3</v>
      </c>
      <c r="C718" s="36">
        <v>18</v>
      </c>
      <c r="D718" s="36">
        <v>5</v>
      </c>
      <c r="E718" s="32">
        <v>42</v>
      </c>
      <c r="F718" s="13">
        <v>60.8</v>
      </c>
      <c r="G718">
        <v>80.483294322468325</v>
      </c>
      <c r="H718" t="s">
        <v>12</v>
      </c>
      <c r="I718" t="s">
        <v>12</v>
      </c>
      <c r="AD718" s="17">
        <v>716</v>
      </c>
      <c r="AE718" s="6">
        <v>3.0368499999999998</v>
      </c>
      <c r="AF718" s="19">
        <v>-1.5651999999999999</v>
      </c>
      <c r="AG718" s="6">
        <v>2.9241000000000001</v>
      </c>
      <c r="AH718" s="6">
        <v>255</v>
      </c>
      <c r="AJ718" s="17">
        <v>716</v>
      </c>
      <c r="AK718" s="6">
        <v>5.75854</v>
      </c>
      <c r="AL718" s="19">
        <v>-1.5651999999999999</v>
      </c>
      <c r="AM718" s="6">
        <v>2.9241000000000001</v>
      </c>
      <c r="AN718" s="6">
        <v>255</v>
      </c>
      <c r="AQ718" s="17">
        <v>716</v>
      </c>
      <c r="AR718" s="6">
        <v>1.5873699999999999</v>
      </c>
      <c r="AS718" s="19">
        <v>-1.7192000000000001</v>
      </c>
      <c r="AT718" s="6">
        <v>0.80610000000000004</v>
      </c>
      <c r="AU718" s="6">
        <v>255</v>
      </c>
      <c r="AW718" s="17">
        <v>716</v>
      </c>
      <c r="AX718" s="6">
        <v>0.83711999999999998</v>
      </c>
      <c r="AY718" s="19">
        <v>-1.7192000000000001</v>
      </c>
      <c r="AZ718" s="6">
        <v>0.80610000000000004</v>
      </c>
      <c r="BA718" s="6">
        <v>255</v>
      </c>
      <c r="BN718" s="17">
        <v>872</v>
      </c>
      <c r="BO718" s="6">
        <v>87.254988999999995</v>
      </c>
      <c r="BP718" s="6">
        <v>84.673625270000002</v>
      </c>
      <c r="BQ718" s="6">
        <v>2.5813637300000001</v>
      </c>
    </row>
    <row r="719" spans="1:69" x14ac:dyDescent="0.25">
      <c r="A719" t="s">
        <v>160</v>
      </c>
      <c r="B719">
        <v>1</v>
      </c>
      <c r="C719" s="36">
        <v>23</v>
      </c>
      <c r="D719" s="36">
        <v>1</v>
      </c>
      <c r="E719" s="32">
        <v>44</v>
      </c>
      <c r="F719" s="13">
        <v>58.8</v>
      </c>
      <c r="G719">
        <v>82.513253012048182</v>
      </c>
      <c r="H719">
        <v>10.1</v>
      </c>
      <c r="I719" t="s">
        <v>12</v>
      </c>
      <c r="AD719" s="17">
        <v>717</v>
      </c>
      <c r="AE719" s="6">
        <v>3.0505399999999998</v>
      </c>
      <c r="AF719" s="19">
        <v>-0.99219999999999997</v>
      </c>
      <c r="AG719" s="6">
        <v>2.9373</v>
      </c>
      <c r="AH719" s="6">
        <v>255</v>
      </c>
      <c r="AJ719" s="17">
        <v>717</v>
      </c>
      <c r="AK719" s="6">
        <v>5.7844899999999999</v>
      </c>
      <c r="AL719" s="19">
        <v>-0.99219999999999997</v>
      </c>
      <c r="AM719" s="6">
        <v>2.9373</v>
      </c>
      <c r="AN719" s="6">
        <v>255</v>
      </c>
      <c r="AQ719" s="17">
        <v>717</v>
      </c>
      <c r="AR719" s="6">
        <v>1.59318</v>
      </c>
      <c r="AS719" s="19">
        <v>-1.1837</v>
      </c>
      <c r="AT719" s="6">
        <v>0.80900000000000005</v>
      </c>
      <c r="AU719" s="6">
        <v>255</v>
      </c>
      <c r="AW719" s="17">
        <v>717</v>
      </c>
      <c r="AX719" s="6">
        <v>0.84018999999999999</v>
      </c>
      <c r="AY719" s="19">
        <v>-1.1837</v>
      </c>
      <c r="AZ719" s="6">
        <v>0.80900000000000005</v>
      </c>
      <c r="BA719" s="6">
        <v>255</v>
      </c>
      <c r="BN719" s="17">
        <v>873</v>
      </c>
      <c r="BO719" s="6">
        <v>80.483294319999999</v>
      </c>
      <c r="BP719" s="6">
        <v>81.88299155</v>
      </c>
      <c r="BQ719" s="19">
        <v>-1.3996972299999999</v>
      </c>
    </row>
    <row r="720" spans="1:69" x14ac:dyDescent="0.25">
      <c r="A720" t="s">
        <v>160</v>
      </c>
      <c r="B720">
        <v>2</v>
      </c>
      <c r="C720" s="36">
        <v>25</v>
      </c>
      <c r="D720" s="36">
        <v>3</v>
      </c>
      <c r="E720" s="32">
        <v>44</v>
      </c>
      <c r="F720" s="13">
        <v>60.4</v>
      </c>
      <c r="G720">
        <v>72.892164316370327</v>
      </c>
      <c r="H720" t="s">
        <v>12</v>
      </c>
      <c r="I720" t="s">
        <v>12</v>
      </c>
      <c r="AD720" s="17">
        <v>718</v>
      </c>
      <c r="AE720" s="6">
        <v>3.03667</v>
      </c>
      <c r="AF720" s="19">
        <v>-0.96899999999999997</v>
      </c>
      <c r="AG720" s="6">
        <v>2.9239999999999999</v>
      </c>
      <c r="AH720" s="6">
        <v>255</v>
      </c>
      <c r="AJ720" s="17">
        <v>718</v>
      </c>
      <c r="AK720" s="6">
        <v>5.7581899999999999</v>
      </c>
      <c r="AL720" s="19">
        <v>-0.96899999999999997</v>
      </c>
      <c r="AM720" s="6">
        <v>2.9239999999999999</v>
      </c>
      <c r="AN720" s="6">
        <v>255</v>
      </c>
      <c r="AQ720" s="17">
        <v>718</v>
      </c>
      <c r="AR720" s="6">
        <v>1.58528</v>
      </c>
      <c r="AS720" s="19">
        <v>-0.71960000000000002</v>
      </c>
      <c r="AT720" s="6">
        <v>0.80500000000000005</v>
      </c>
      <c r="AU720" s="6">
        <v>255</v>
      </c>
      <c r="AW720" s="17">
        <v>718</v>
      </c>
      <c r="AX720" s="6">
        <v>0.83601999999999999</v>
      </c>
      <c r="AY720" s="19">
        <v>-0.71960000000000002</v>
      </c>
      <c r="AZ720" s="6">
        <v>0.80500000000000005</v>
      </c>
      <c r="BA720" s="6">
        <v>255</v>
      </c>
      <c r="BN720" s="17">
        <v>874</v>
      </c>
      <c r="BO720" s="6">
        <v>82.51325301</v>
      </c>
      <c r="BP720" s="6">
        <v>82.367239990000002</v>
      </c>
      <c r="BQ720" s="6">
        <v>0.14601301999999999</v>
      </c>
    </row>
    <row r="721" spans="1:69" x14ac:dyDescent="0.25">
      <c r="A721" t="s">
        <v>160</v>
      </c>
      <c r="B721">
        <v>3</v>
      </c>
      <c r="C721" s="36">
        <v>8</v>
      </c>
      <c r="D721" s="36">
        <v>6</v>
      </c>
      <c r="E721" s="32">
        <v>44</v>
      </c>
      <c r="F721" s="13">
        <v>60.1</v>
      </c>
      <c r="G721">
        <v>78.792729318268854</v>
      </c>
      <c r="H721" t="s">
        <v>12</v>
      </c>
      <c r="I721" t="s">
        <v>12</v>
      </c>
      <c r="AD721" s="17">
        <v>719</v>
      </c>
      <c r="AE721" s="6">
        <v>3.0511599999999999</v>
      </c>
      <c r="AF721" s="19">
        <v>-1.9514</v>
      </c>
      <c r="AG721" s="6">
        <v>2.9379</v>
      </c>
      <c r="AH721" s="6">
        <v>255</v>
      </c>
      <c r="AJ721" s="17">
        <v>719</v>
      </c>
      <c r="AK721" s="6">
        <v>5.7856699999999996</v>
      </c>
      <c r="AL721" s="19">
        <v>-1.9514</v>
      </c>
      <c r="AM721" s="6">
        <v>2.9379</v>
      </c>
      <c r="AN721" s="6">
        <v>255</v>
      </c>
      <c r="AQ721" s="17">
        <v>719</v>
      </c>
      <c r="AR721" s="6">
        <v>1.59232</v>
      </c>
      <c r="AS721" s="19">
        <v>-1.8340000000000001</v>
      </c>
      <c r="AT721" s="6">
        <v>0.80859999999999999</v>
      </c>
      <c r="AU721" s="6">
        <v>255</v>
      </c>
      <c r="AW721" s="17">
        <v>719</v>
      </c>
      <c r="AX721" s="6">
        <v>0.83974000000000004</v>
      </c>
      <c r="AY721" s="19">
        <v>-1.8340000000000001</v>
      </c>
      <c r="AZ721" s="6">
        <v>0.80859999999999999</v>
      </c>
      <c r="BA721" s="6">
        <v>255</v>
      </c>
      <c r="BN721" s="17">
        <v>875</v>
      </c>
      <c r="BO721" s="6">
        <v>72.892164320000006</v>
      </c>
      <c r="BP721" s="6">
        <v>77.31077019</v>
      </c>
      <c r="BQ721" s="19">
        <v>-4.4186058700000004</v>
      </c>
    </row>
    <row r="722" spans="1:69" x14ac:dyDescent="0.25">
      <c r="A722" t="s">
        <v>160</v>
      </c>
      <c r="B722">
        <v>1</v>
      </c>
      <c r="C722" s="36">
        <v>11</v>
      </c>
      <c r="D722" s="36">
        <v>2</v>
      </c>
      <c r="E722" s="32">
        <v>43</v>
      </c>
      <c r="F722" s="13">
        <v>58</v>
      </c>
      <c r="G722">
        <v>78.241737530266349</v>
      </c>
      <c r="H722">
        <v>10.9</v>
      </c>
      <c r="I722" t="s">
        <v>12</v>
      </c>
      <c r="AD722" s="17">
        <v>720</v>
      </c>
      <c r="AE722" s="6">
        <v>3.0512700000000001</v>
      </c>
      <c r="AF722" s="6">
        <v>5.6383999999999999</v>
      </c>
      <c r="AG722" s="6">
        <v>2.9380000000000002</v>
      </c>
      <c r="AH722" s="6">
        <v>255</v>
      </c>
      <c r="AJ722" s="17">
        <v>720</v>
      </c>
      <c r="AK722" s="6">
        <v>5.7858700000000001</v>
      </c>
      <c r="AL722" s="6">
        <v>5.6383999999999999</v>
      </c>
      <c r="AM722" s="6">
        <v>2.9380000000000002</v>
      </c>
      <c r="AN722" s="6">
        <v>255</v>
      </c>
      <c r="AQ722" s="17">
        <v>720</v>
      </c>
      <c r="AR722" s="6">
        <v>1.60219</v>
      </c>
      <c r="AS722" s="19">
        <v>-0.45850000000000002</v>
      </c>
      <c r="AT722" s="6">
        <v>0.81359999999999999</v>
      </c>
      <c r="AU722" s="6">
        <v>255</v>
      </c>
      <c r="AW722" s="17">
        <v>720</v>
      </c>
      <c r="AX722" s="6">
        <v>0.84494000000000002</v>
      </c>
      <c r="AY722" s="19">
        <v>-0.45850000000000002</v>
      </c>
      <c r="AZ722" s="6">
        <v>0.81359999999999999</v>
      </c>
      <c r="BA722" s="6">
        <v>255</v>
      </c>
      <c r="BN722" s="17">
        <v>876</v>
      </c>
      <c r="BO722" s="6">
        <v>78.792729320000007</v>
      </c>
      <c r="BP722" s="6">
        <v>74.520136469999997</v>
      </c>
      <c r="BQ722" s="6">
        <v>4.2725928499999997</v>
      </c>
    </row>
    <row r="723" spans="1:69" x14ac:dyDescent="0.25">
      <c r="A723" t="s">
        <v>160</v>
      </c>
      <c r="B723">
        <v>2</v>
      </c>
      <c r="C723" s="36">
        <v>1</v>
      </c>
      <c r="D723" s="36">
        <v>3</v>
      </c>
      <c r="E723" s="32">
        <v>43</v>
      </c>
      <c r="F723" s="13">
        <v>57.9</v>
      </c>
      <c r="G723">
        <v>69.028722350610749</v>
      </c>
      <c r="H723" t="s">
        <v>12</v>
      </c>
      <c r="I723" t="s">
        <v>12</v>
      </c>
      <c r="AD723" s="17">
        <v>721</v>
      </c>
      <c r="AE723" s="6">
        <v>3.04135</v>
      </c>
      <c r="AF723" s="19">
        <v>-0.40200000000000002</v>
      </c>
      <c r="AG723" s="6">
        <v>2.9285000000000001</v>
      </c>
      <c r="AH723" s="6">
        <v>255</v>
      </c>
      <c r="AJ723" s="17">
        <v>721</v>
      </c>
      <c r="AK723" s="6">
        <v>5.76708</v>
      </c>
      <c r="AL723" s="19">
        <v>-0.40200000000000002</v>
      </c>
      <c r="AM723" s="6">
        <v>2.9285000000000001</v>
      </c>
      <c r="AN723" s="6">
        <v>255</v>
      </c>
      <c r="AQ723" s="17">
        <v>721</v>
      </c>
      <c r="AR723" s="6">
        <v>1.587</v>
      </c>
      <c r="AS723" s="19">
        <v>-1.8279000000000001</v>
      </c>
      <c r="AT723" s="6">
        <v>0.80589999999999995</v>
      </c>
      <c r="AU723" s="6">
        <v>255</v>
      </c>
      <c r="AW723" s="17">
        <v>721</v>
      </c>
      <c r="AX723" s="6">
        <v>0.83692999999999995</v>
      </c>
      <c r="AY723" s="19">
        <v>-1.8279000000000001</v>
      </c>
      <c r="AZ723" s="6">
        <v>0.80589999999999995</v>
      </c>
      <c r="BA723" s="6">
        <v>255</v>
      </c>
      <c r="BN723" s="17">
        <v>877</v>
      </c>
      <c r="BO723" s="6">
        <v>78.241737529999995</v>
      </c>
      <c r="BP723" s="6">
        <v>76.391249610000003</v>
      </c>
      <c r="BQ723" s="6">
        <v>1.85048792</v>
      </c>
    </row>
    <row r="724" spans="1:69" x14ac:dyDescent="0.25">
      <c r="A724" t="s">
        <v>160</v>
      </c>
      <c r="B724">
        <v>3</v>
      </c>
      <c r="C724" s="36">
        <v>22</v>
      </c>
      <c r="D724" s="36">
        <v>5</v>
      </c>
      <c r="E724" s="32">
        <v>43</v>
      </c>
      <c r="F724" s="13">
        <v>58.2</v>
      </c>
      <c r="G724">
        <v>68.999715639810404</v>
      </c>
      <c r="H724" t="s">
        <v>12</v>
      </c>
      <c r="I724" t="s">
        <v>12</v>
      </c>
      <c r="AD724" s="17">
        <v>722</v>
      </c>
      <c r="AE724" s="6">
        <v>3.06758</v>
      </c>
      <c r="AF724" s="6">
        <v>8.3618000000000006</v>
      </c>
      <c r="AG724" s="6">
        <v>2.9537</v>
      </c>
      <c r="AH724" s="6">
        <v>255</v>
      </c>
      <c r="AJ724" s="17">
        <v>722</v>
      </c>
      <c r="AK724" s="6">
        <v>5.8168100000000003</v>
      </c>
      <c r="AL724" s="6">
        <v>8.3618000000000006</v>
      </c>
      <c r="AM724" s="6">
        <v>2.9537</v>
      </c>
      <c r="AN724" s="6">
        <v>255</v>
      </c>
      <c r="AQ724" s="17">
        <v>722</v>
      </c>
      <c r="AR724" s="6">
        <v>1.60503</v>
      </c>
      <c r="AS724" s="6">
        <v>0.66349999999999998</v>
      </c>
      <c r="AT724" s="6">
        <v>0.81499999999999995</v>
      </c>
      <c r="AU724" s="6">
        <v>255</v>
      </c>
      <c r="AW724" s="17">
        <v>722</v>
      </c>
      <c r="AX724" s="6">
        <v>0.84643999999999997</v>
      </c>
      <c r="AY724" s="6">
        <v>0.66349999999999998</v>
      </c>
      <c r="AZ724" s="6">
        <v>0.81499999999999995</v>
      </c>
      <c r="BA724" s="6">
        <v>255</v>
      </c>
      <c r="BN724" s="17">
        <v>878</v>
      </c>
      <c r="BO724" s="6">
        <v>69.028722349999995</v>
      </c>
      <c r="BP724" s="6">
        <v>71.334779819999994</v>
      </c>
      <c r="BQ724" s="19">
        <v>-2.3060574699999998</v>
      </c>
    </row>
    <row r="725" spans="1:69" x14ac:dyDescent="0.25">
      <c r="A725" t="s">
        <v>160</v>
      </c>
      <c r="B725">
        <v>1</v>
      </c>
      <c r="C725" s="36">
        <v>20</v>
      </c>
      <c r="D725" s="36">
        <v>1</v>
      </c>
      <c r="E725" s="32">
        <v>27</v>
      </c>
      <c r="F725" s="13">
        <v>59.5</v>
      </c>
      <c r="G725">
        <v>96.98222891566266</v>
      </c>
      <c r="H725">
        <v>9.6</v>
      </c>
      <c r="I725" t="s">
        <v>12</v>
      </c>
      <c r="AD725" s="17">
        <v>723</v>
      </c>
      <c r="AE725" s="6">
        <v>3.04975</v>
      </c>
      <c r="AF725" s="6">
        <v>2.9316</v>
      </c>
      <c r="AG725" s="6">
        <v>2.9365999999999999</v>
      </c>
      <c r="AH725" s="6">
        <v>255</v>
      </c>
      <c r="AJ725" s="17">
        <v>723</v>
      </c>
      <c r="AK725" s="6">
        <v>5.78301</v>
      </c>
      <c r="AL725" s="6">
        <v>2.9316</v>
      </c>
      <c r="AM725" s="6">
        <v>2.9365999999999999</v>
      </c>
      <c r="AN725" s="6">
        <v>255</v>
      </c>
      <c r="AQ725" s="17">
        <v>723</v>
      </c>
      <c r="AR725" s="6">
        <v>1.59318</v>
      </c>
      <c r="AS725" s="19">
        <v>-0.67710000000000004</v>
      </c>
      <c r="AT725" s="6">
        <v>0.80900000000000005</v>
      </c>
      <c r="AU725" s="6">
        <v>255</v>
      </c>
      <c r="AW725" s="17">
        <v>723</v>
      </c>
      <c r="AX725" s="6">
        <v>0.84018999999999999</v>
      </c>
      <c r="AY725" s="19">
        <v>-0.67710000000000004</v>
      </c>
      <c r="AZ725" s="6">
        <v>0.80900000000000005</v>
      </c>
      <c r="BA725" s="6">
        <v>255</v>
      </c>
      <c r="BN725" s="17">
        <v>879</v>
      </c>
      <c r="BO725" s="6">
        <v>68.999715640000005</v>
      </c>
      <c r="BP725" s="6">
        <v>68.544146089999998</v>
      </c>
      <c r="BQ725" s="6">
        <v>0.45556954999999999</v>
      </c>
    </row>
    <row r="726" spans="1:69" x14ac:dyDescent="0.25">
      <c r="A726" t="s">
        <v>160</v>
      </c>
      <c r="B726">
        <v>2</v>
      </c>
      <c r="C726" s="36">
        <v>21</v>
      </c>
      <c r="D726" s="36">
        <v>4</v>
      </c>
      <c r="E726" s="32">
        <v>27</v>
      </c>
      <c r="F726" s="13">
        <v>59</v>
      </c>
      <c r="G726">
        <v>89.77034528292657</v>
      </c>
      <c r="H726" t="s">
        <v>12</v>
      </c>
      <c r="I726" t="s">
        <v>12</v>
      </c>
      <c r="AD726" s="17">
        <v>724</v>
      </c>
      <c r="AE726" s="6">
        <v>3.06345</v>
      </c>
      <c r="AF726" s="6">
        <v>0.67130000000000001</v>
      </c>
      <c r="AG726" s="6">
        <v>2.9498000000000002</v>
      </c>
      <c r="AH726" s="6">
        <v>255</v>
      </c>
      <c r="AJ726" s="17">
        <v>724</v>
      </c>
      <c r="AK726" s="6">
        <v>5.80898</v>
      </c>
      <c r="AL726" s="6">
        <v>0.67130000000000001</v>
      </c>
      <c r="AM726" s="6">
        <v>2.9498000000000002</v>
      </c>
      <c r="AN726" s="6">
        <v>255</v>
      </c>
      <c r="AQ726" s="17">
        <v>724</v>
      </c>
      <c r="AR726" s="6">
        <v>1.6023000000000001</v>
      </c>
      <c r="AS726" s="19">
        <v>-0.50700000000000001</v>
      </c>
      <c r="AT726" s="6">
        <v>0.81359999999999999</v>
      </c>
      <c r="AU726" s="6">
        <v>255</v>
      </c>
      <c r="AW726" s="17">
        <v>724</v>
      </c>
      <c r="AX726" s="6">
        <v>0.84499999999999997</v>
      </c>
      <c r="AY726" s="19">
        <v>-0.50700000000000001</v>
      </c>
      <c r="AZ726" s="6">
        <v>0.81359999999999999</v>
      </c>
      <c r="BA726" s="6">
        <v>255</v>
      </c>
      <c r="BN726" s="17">
        <v>880</v>
      </c>
      <c r="BO726" s="6">
        <v>96.982228919999997</v>
      </c>
      <c r="BP726" s="6">
        <v>96.327535190000006</v>
      </c>
      <c r="BQ726" s="6">
        <v>0.65469372999999997</v>
      </c>
    </row>
    <row r="727" spans="1:69" x14ac:dyDescent="0.25">
      <c r="A727" t="s">
        <v>160</v>
      </c>
      <c r="B727">
        <v>3</v>
      </c>
      <c r="C727" s="36">
        <v>6</v>
      </c>
      <c r="D727" s="36">
        <v>5</v>
      </c>
      <c r="E727" s="32">
        <v>27</v>
      </c>
      <c r="F727" s="13">
        <v>58.6</v>
      </c>
      <c r="G727">
        <v>89.326458071380202</v>
      </c>
      <c r="H727" t="s">
        <v>12</v>
      </c>
      <c r="I727" t="s">
        <v>12</v>
      </c>
      <c r="AD727" s="17">
        <v>725</v>
      </c>
      <c r="AE727" s="6">
        <v>3.0452300000000001</v>
      </c>
      <c r="AF727" s="6">
        <v>1.9218</v>
      </c>
      <c r="AG727" s="6">
        <v>2.9321999999999999</v>
      </c>
      <c r="AH727" s="6">
        <v>255</v>
      </c>
      <c r="AJ727" s="17">
        <v>725</v>
      </c>
      <c r="AK727" s="6">
        <v>5.7744200000000001</v>
      </c>
      <c r="AL727" s="6">
        <v>1.9218</v>
      </c>
      <c r="AM727" s="6">
        <v>2.9321999999999999</v>
      </c>
      <c r="AN727" s="6">
        <v>255</v>
      </c>
      <c r="AQ727" s="17">
        <v>725</v>
      </c>
      <c r="AR727" s="6">
        <v>1.5966100000000001</v>
      </c>
      <c r="AS727" s="19">
        <v>-0.9204</v>
      </c>
      <c r="AT727" s="6">
        <v>0.81069999999999998</v>
      </c>
      <c r="AU727" s="6">
        <v>255</v>
      </c>
      <c r="AW727" s="17">
        <v>725</v>
      </c>
      <c r="AX727" s="6">
        <v>0.84199000000000002</v>
      </c>
      <c r="AY727" s="19">
        <v>-0.9204</v>
      </c>
      <c r="AZ727" s="6">
        <v>0.81069999999999998</v>
      </c>
      <c r="BA727" s="6">
        <v>255</v>
      </c>
      <c r="BN727" s="17">
        <v>881</v>
      </c>
      <c r="BO727" s="6">
        <v>89.770345280000001</v>
      </c>
      <c r="BP727" s="6">
        <v>91.271065399999998</v>
      </c>
      <c r="BQ727" s="19">
        <v>-1.50072012</v>
      </c>
    </row>
    <row r="728" spans="1:69" x14ac:dyDescent="0.25">
      <c r="A728" t="s">
        <v>160</v>
      </c>
      <c r="B728">
        <v>1</v>
      </c>
      <c r="C728" s="36">
        <v>12</v>
      </c>
      <c r="D728" s="36">
        <v>2</v>
      </c>
      <c r="E728" s="32">
        <v>31</v>
      </c>
      <c r="F728" s="13">
        <v>59.9</v>
      </c>
      <c r="G728">
        <v>86.486639709443097</v>
      </c>
      <c r="H728">
        <v>10.4</v>
      </c>
      <c r="I728" t="s">
        <v>12</v>
      </c>
      <c r="AD728" s="17">
        <v>726</v>
      </c>
      <c r="AE728" s="6">
        <v>3.0477699999999999</v>
      </c>
      <c r="AF728" s="6">
        <v>1.6265000000000001</v>
      </c>
      <c r="AG728" s="6">
        <v>2.9346999999999999</v>
      </c>
      <c r="AH728" s="6">
        <v>255</v>
      </c>
      <c r="AJ728" s="17">
        <v>726</v>
      </c>
      <c r="AK728" s="6">
        <v>5.7792500000000002</v>
      </c>
      <c r="AL728" s="6">
        <v>1.6265000000000001</v>
      </c>
      <c r="AM728" s="6">
        <v>2.9346999999999999</v>
      </c>
      <c r="AN728" s="6">
        <v>255</v>
      </c>
      <c r="AQ728" s="17">
        <v>726</v>
      </c>
      <c r="AR728" s="6">
        <v>1.6007400000000001</v>
      </c>
      <c r="AS728" s="19">
        <v>-2.1400999999999999</v>
      </c>
      <c r="AT728" s="6">
        <v>0.81279999999999997</v>
      </c>
      <c r="AU728" s="6">
        <v>255</v>
      </c>
      <c r="AW728" s="17">
        <v>726</v>
      </c>
      <c r="AX728" s="6">
        <v>0.84416999999999998</v>
      </c>
      <c r="AY728" s="19">
        <v>-2.1400999999999999</v>
      </c>
      <c r="AZ728" s="6">
        <v>0.81279999999999997</v>
      </c>
      <c r="BA728" s="6">
        <v>255</v>
      </c>
      <c r="BN728" s="17">
        <v>882</v>
      </c>
      <c r="BO728" s="6">
        <v>89.326458070000001</v>
      </c>
      <c r="BP728" s="6">
        <v>88.480431679999995</v>
      </c>
      <c r="BQ728" s="6">
        <v>0.84602639000000002</v>
      </c>
    </row>
    <row r="729" spans="1:69" x14ac:dyDescent="0.25">
      <c r="A729" t="s">
        <v>160</v>
      </c>
      <c r="B729">
        <v>2</v>
      </c>
      <c r="C729" s="36">
        <v>25</v>
      </c>
      <c r="D729" s="36">
        <v>4</v>
      </c>
      <c r="E729" s="32">
        <v>31</v>
      </c>
      <c r="F729" s="13">
        <v>60.3</v>
      </c>
      <c r="G729">
        <v>78.500846089890942</v>
      </c>
      <c r="H729" t="s">
        <v>12</v>
      </c>
      <c r="I729" t="s">
        <v>12</v>
      </c>
      <c r="AD729" s="17">
        <v>727</v>
      </c>
      <c r="AE729" s="6">
        <v>3.0478299999999998</v>
      </c>
      <c r="AF729" s="6">
        <v>7.0647000000000002</v>
      </c>
      <c r="AG729" s="6">
        <v>2.9346999999999999</v>
      </c>
      <c r="AH729" s="6">
        <v>255</v>
      </c>
      <c r="AJ729" s="17">
        <v>727</v>
      </c>
      <c r="AK729" s="6">
        <v>5.7793599999999996</v>
      </c>
      <c r="AL729" s="6">
        <v>7.0647000000000002</v>
      </c>
      <c r="AM729" s="6">
        <v>2.9346999999999999</v>
      </c>
      <c r="AN729" s="6">
        <v>255</v>
      </c>
      <c r="AQ729" s="17">
        <v>727</v>
      </c>
      <c r="AR729" s="6">
        <v>1.5936399999999999</v>
      </c>
      <c r="AS729" s="6">
        <v>0.79710000000000003</v>
      </c>
      <c r="AT729" s="6">
        <v>0.80920000000000003</v>
      </c>
      <c r="AU729" s="6">
        <v>255</v>
      </c>
      <c r="AW729" s="17">
        <v>727</v>
      </c>
      <c r="AX729" s="6">
        <v>0.84043000000000001</v>
      </c>
      <c r="AY729" s="6">
        <v>0.79710000000000003</v>
      </c>
      <c r="AZ729" s="6">
        <v>0.80920000000000003</v>
      </c>
      <c r="BA729" s="6">
        <v>255</v>
      </c>
      <c r="BN729" s="17">
        <v>883</v>
      </c>
      <c r="BO729" s="6">
        <v>86.486639710000006</v>
      </c>
      <c r="BP729" s="6">
        <v>83.831828680000001</v>
      </c>
      <c r="BQ729" s="6">
        <v>2.6548110299999998</v>
      </c>
    </row>
    <row r="730" spans="1:69" x14ac:dyDescent="0.25">
      <c r="A730" t="s">
        <v>160</v>
      </c>
      <c r="B730">
        <v>3</v>
      </c>
      <c r="C730" s="36">
        <v>24</v>
      </c>
      <c r="D730" s="36">
        <v>5</v>
      </c>
      <c r="E730" s="32">
        <v>31</v>
      </c>
      <c r="F730" s="13">
        <v>60.1</v>
      </c>
      <c r="G730">
        <v>73.604426927168959</v>
      </c>
      <c r="H730" t="s">
        <v>12</v>
      </c>
      <c r="I730" t="s">
        <v>12</v>
      </c>
      <c r="AD730" s="17">
        <v>728</v>
      </c>
      <c r="AE730" s="6">
        <v>3.0453999999999999</v>
      </c>
      <c r="AF730" s="6">
        <v>3.9188999999999998</v>
      </c>
      <c r="AG730" s="6">
        <v>2.9323999999999999</v>
      </c>
      <c r="AH730" s="6">
        <v>255</v>
      </c>
      <c r="AJ730" s="17">
        <v>728</v>
      </c>
      <c r="AK730" s="6">
        <v>5.7747400000000004</v>
      </c>
      <c r="AL730" s="6">
        <v>3.9188999999999998</v>
      </c>
      <c r="AM730" s="6">
        <v>2.9323999999999999</v>
      </c>
      <c r="AN730" s="6">
        <v>255</v>
      </c>
      <c r="AQ730" s="17">
        <v>728</v>
      </c>
      <c r="AR730" s="6">
        <v>1.58927</v>
      </c>
      <c r="AS730" s="6">
        <v>0.65080000000000005</v>
      </c>
      <c r="AT730" s="6">
        <v>0.80700000000000005</v>
      </c>
      <c r="AU730" s="6">
        <v>255</v>
      </c>
      <c r="AW730" s="17">
        <v>728</v>
      </c>
      <c r="AX730" s="6">
        <v>0.83813000000000004</v>
      </c>
      <c r="AY730" s="6">
        <v>0.65080000000000005</v>
      </c>
      <c r="AZ730" s="6">
        <v>0.80700000000000005</v>
      </c>
      <c r="BA730" s="6">
        <v>255</v>
      </c>
      <c r="BN730" s="17">
        <v>884</v>
      </c>
      <c r="BO730" s="6">
        <v>78.500846089999996</v>
      </c>
      <c r="BP730" s="6">
        <v>78.775358890000007</v>
      </c>
      <c r="BQ730" s="19">
        <v>-0.2745128</v>
      </c>
    </row>
    <row r="731" spans="1:69" x14ac:dyDescent="0.25">
      <c r="A731" t="s">
        <v>160</v>
      </c>
      <c r="B731">
        <v>1</v>
      </c>
      <c r="C731" s="36">
        <v>18</v>
      </c>
      <c r="D731" s="36">
        <v>1</v>
      </c>
      <c r="E731" s="32">
        <v>23</v>
      </c>
      <c r="F731" s="13">
        <v>61</v>
      </c>
      <c r="G731">
        <v>87.418192771084335</v>
      </c>
      <c r="H731">
        <v>11</v>
      </c>
      <c r="I731" t="s">
        <v>12</v>
      </c>
      <c r="AD731" s="17">
        <v>729</v>
      </c>
      <c r="AE731" s="6">
        <v>3.0486800000000001</v>
      </c>
      <c r="AF731" s="6">
        <v>2.1642000000000001</v>
      </c>
      <c r="AG731" s="6">
        <v>2.9355000000000002</v>
      </c>
      <c r="AH731" s="6">
        <v>255</v>
      </c>
      <c r="AJ731" s="17">
        <v>729</v>
      </c>
      <c r="AK731" s="6">
        <v>5.7809600000000003</v>
      </c>
      <c r="AL731" s="6">
        <v>2.1642000000000001</v>
      </c>
      <c r="AM731" s="6">
        <v>2.9355000000000002</v>
      </c>
      <c r="AN731" s="6">
        <v>255</v>
      </c>
      <c r="AQ731" s="17">
        <v>729</v>
      </c>
      <c r="AR731" s="6">
        <v>1.5930200000000001</v>
      </c>
      <c r="AS731" s="6">
        <v>0.19350000000000001</v>
      </c>
      <c r="AT731" s="6">
        <v>0.80889999999999995</v>
      </c>
      <c r="AU731" s="6">
        <v>255</v>
      </c>
      <c r="AW731" s="17">
        <v>729</v>
      </c>
      <c r="AX731" s="6">
        <v>0.84009999999999996</v>
      </c>
      <c r="AY731" s="6">
        <v>0.19350000000000001</v>
      </c>
      <c r="AZ731" s="6">
        <v>0.80889999999999995</v>
      </c>
      <c r="BA731" s="6">
        <v>255</v>
      </c>
      <c r="BN731" s="17">
        <v>885</v>
      </c>
      <c r="BO731" s="6">
        <v>73.604426930000002</v>
      </c>
      <c r="BP731" s="6">
        <v>75.984725159999996</v>
      </c>
      <c r="BQ731" s="19">
        <v>-2.3802982300000002</v>
      </c>
    </row>
    <row r="732" spans="1:69" x14ac:dyDescent="0.25">
      <c r="A732" t="s">
        <v>160</v>
      </c>
      <c r="B732">
        <v>2</v>
      </c>
      <c r="C732" s="36">
        <v>22</v>
      </c>
      <c r="D732" s="36">
        <v>4</v>
      </c>
      <c r="E732" s="32">
        <v>23</v>
      </c>
      <c r="F732" s="13">
        <v>60.6</v>
      </c>
      <c r="G732">
        <v>84.477062649777466</v>
      </c>
      <c r="H732" t="s">
        <v>12</v>
      </c>
      <c r="I732" t="s">
        <v>12</v>
      </c>
      <c r="AD732" s="17">
        <v>730</v>
      </c>
      <c r="AE732" s="6">
        <v>3.0505800000000001</v>
      </c>
      <c r="AF732" s="6">
        <v>5.8855000000000004</v>
      </c>
      <c r="AG732" s="6">
        <v>2.9373999999999998</v>
      </c>
      <c r="AH732" s="6">
        <v>255</v>
      </c>
      <c r="AJ732" s="17">
        <v>730</v>
      </c>
      <c r="AK732" s="6">
        <v>5.7845800000000001</v>
      </c>
      <c r="AL732" s="6">
        <v>5.8855000000000004</v>
      </c>
      <c r="AM732" s="6">
        <v>2.9373999999999998</v>
      </c>
      <c r="AN732" s="6">
        <v>255</v>
      </c>
      <c r="AQ732" s="17">
        <v>730</v>
      </c>
      <c r="AR732" s="6">
        <v>1.59639</v>
      </c>
      <c r="AS732" s="19">
        <v>-0.4904</v>
      </c>
      <c r="AT732" s="6">
        <v>0.81059999999999999</v>
      </c>
      <c r="AU732" s="6">
        <v>255</v>
      </c>
      <c r="AW732" s="17">
        <v>730</v>
      </c>
      <c r="AX732" s="6">
        <v>0.84187999999999996</v>
      </c>
      <c r="AY732" s="19">
        <v>-0.4904</v>
      </c>
      <c r="AZ732" s="6">
        <v>0.81059999999999999</v>
      </c>
      <c r="BA732" s="6">
        <v>255</v>
      </c>
      <c r="BN732" s="17">
        <v>886</v>
      </c>
      <c r="BO732" s="6">
        <v>87.418192770000005</v>
      </c>
      <c r="BP732" s="6">
        <v>88.885860179999995</v>
      </c>
      <c r="BQ732" s="19">
        <v>-1.46766741</v>
      </c>
    </row>
    <row r="733" spans="1:69" x14ac:dyDescent="0.25">
      <c r="A733" t="s">
        <v>160</v>
      </c>
      <c r="B733">
        <v>3</v>
      </c>
      <c r="C733" s="36">
        <v>4</v>
      </c>
      <c r="D733" s="36">
        <v>5</v>
      </c>
      <c r="E733" s="32">
        <v>23</v>
      </c>
      <c r="F733" s="13">
        <v>60.2</v>
      </c>
      <c r="G733">
        <v>81.858751813521607</v>
      </c>
      <c r="H733" t="s">
        <v>12</v>
      </c>
      <c r="I733" t="s">
        <v>12</v>
      </c>
      <c r="AD733" s="17">
        <v>731</v>
      </c>
      <c r="AE733" s="6">
        <v>3.0481500000000001</v>
      </c>
      <c r="AF733" s="6">
        <v>14.3895</v>
      </c>
      <c r="AG733" s="6">
        <v>2.9350000000000001</v>
      </c>
      <c r="AH733" s="6">
        <v>255</v>
      </c>
      <c r="AJ733" s="17">
        <v>731</v>
      </c>
      <c r="AK733" s="6">
        <v>5.7799699999999996</v>
      </c>
      <c r="AL733" s="6">
        <v>14.3895</v>
      </c>
      <c r="AM733" s="6">
        <v>2.9350000000000001</v>
      </c>
      <c r="AN733" s="6">
        <v>255</v>
      </c>
      <c r="AQ733" s="17">
        <v>731</v>
      </c>
      <c r="AR733" s="6">
        <v>1.60029</v>
      </c>
      <c r="AS733" s="6">
        <v>2.4182000000000001</v>
      </c>
      <c r="AT733" s="6">
        <v>0.81259999999999999</v>
      </c>
      <c r="AU733" s="6">
        <v>255</v>
      </c>
      <c r="AW733" s="17">
        <v>731</v>
      </c>
      <c r="AX733" s="6">
        <v>0.84394000000000002</v>
      </c>
      <c r="AY733" s="6">
        <v>2.4182000000000001</v>
      </c>
      <c r="AZ733" s="6">
        <v>0.81259999999999999</v>
      </c>
      <c r="BA733" s="6">
        <v>255</v>
      </c>
      <c r="BN733" s="17">
        <v>887</v>
      </c>
      <c r="BO733" s="6">
        <v>84.477062649999993</v>
      </c>
      <c r="BP733" s="6">
        <v>83.82939039</v>
      </c>
      <c r="BQ733" s="6">
        <v>0.64767226</v>
      </c>
    </row>
    <row r="734" spans="1:69" x14ac:dyDescent="0.25">
      <c r="A734" t="s">
        <v>160</v>
      </c>
      <c r="B734">
        <v>1</v>
      </c>
      <c r="C734" s="36">
        <v>2</v>
      </c>
      <c r="D734" s="36">
        <v>2</v>
      </c>
      <c r="E734" s="32">
        <v>28</v>
      </c>
      <c r="F734" s="13">
        <v>58.3</v>
      </c>
      <c r="G734">
        <v>95.417398547215484</v>
      </c>
      <c r="H734">
        <v>9</v>
      </c>
      <c r="I734" t="s">
        <v>12</v>
      </c>
      <c r="AD734" s="17">
        <v>732</v>
      </c>
      <c r="AE734" s="6">
        <v>3.04705</v>
      </c>
      <c r="AF734" s="19">
        <v>-3.7559999999999998</v>
      </c>
      <c r="AG734" s="6">
        <v>2.9340000000000002</v>
      </c>
      <c r="AH734" s="6">
        <v>255</v>
      </c>
      <c r="AJ734" s="17">
        <v>732</v>
      </c>
      <c r="AK734" s="6">
        <v>5.7778799999999997</v>
      </c>
      <c r="AL734" s="19">
        <v>-3.7559999999999998</v>
      </c>
      <c r="AM734" s="6">
        <v>2.9340000000000002</v>
      </c>
      <c r="AN734" s="6">
        <v>255</v>
      </c>
      <c r="AQ734" s="17">
        <v>732</v>
      </c>
      <c r="AR734" s="6">
        <v>1.60033</v>
      </c>
      <c r="AS734" s="6">
        <v>7.5060000000000002E-2</v>
      </c>
      <c r="AT734" s="6">
        <v>0.81259999999999999</v>
      </c>
      <c r="AU734" s="6">
        <v>255</v>
      </c>
      <c r="AW734" s="17">
        <v>732</v>
      </c>
      <c r="AX734" s="6">
        <v>0.84396000000000004</v>
      </c>
      <c r="AY734" s="6">
        <v>7.5060000000000002E-2</v>
      </c>
      <c r="AZ734" s="6">
        <v>0.81259999999999999</v>
      </c>
      <c r="BA734" s="6">
        <v>255</v>
      </c>
      <c r="BN734" s="17">
        <v>888</v>
      </c>
      <c r="BO734" s="6">
        <v>81.858751810000001</v>
      </c>
      <c r="BP734" s="6">
        <v>81.038756660000004</v>
      </c>
      <c r="BQ734" s="6">
        <v>0.81999515000000001</v>
      </c>
    </row>
    <row r="735" spans="1:69" x14ac:dyDescent="0.25">
      <c r="A735" t="s">
        <v>160</v>
      </c>
      <c r="B735">
        <v>2</v>
      </c>
      <c r="C735" s="36">
        <v>19</v>
      </c>
      <c r="D735" s="36">
        <v>3</v>
      </c>
      <c r="E735" s="32">
        <v>28</v>
      </c>
      <c r="F735" s="13">
        <v>58.7</v>
      </c>
      <c r="G735">
        <v>84.881422440220732</v>
      </c>
      <c r="H735" t="s">
        <v>12</v>
      </c>
      <c r="I735" t="s">
        <v>12</v>
      </c>
      <c r="AD735" s="17">
        <v>733</v>
      </c>
      <c r="AE735" s="6">
        <v>3.0421900000000002</v>
      </c>
      <c r="AF735" s="19">
        <v>-7.2765000000000004</v>
      </c>
      <c r="AG735" s="6">
        <v>2.9293</v>
      </c>
      <c r="AH735" s="6">
        <v>255</v>
      </c>
      <c r="AJ735" s="17">
        <v>733</v>
      </c>
      <c r="AK735" s="6">
        <v>5.7686599999999997</v>
      </c>
      <c r="AL735" s="19">
        <v>-7.2765000000000004</v>
      </c>
      <c r="AM735" s="6">
        <v>2.9293</v>
      </c>
      <c r="AN735" s="6">
        <v>255</v>
      </c>
      <c r="AQ735" s="17">
        <v>733</v>
      </c>
      <c r="AR735" s="6">
        <v>1.5986400000000001</v>
      </c>
      <c r="AS735" s="19">
        <v>-1.8696999999999999</v>
      </c>
      <c r="AT735" s="6">
        <v>0.81179999999999997</v>
      </c>
      <c r="AU735" s="6">
        <v>255</v>
      </c>
      <c r="AW735" s="17">
        <v>733</v>
      </c>
      <c r="AX735" s="6">
        <v>0.84306999999999999</v>
      </c>
      <c r="AY735" s="19">
        <v>-1.8696999999999999</v>
      </c>
      <c r="AZ735" s="6">
        <v>0.81179999999999997</v>
      </c>
      <c r="BA735" s="6">
        <v>255</v>
      </c>
      <c r="BN735" s="17">
        <v>889</v>
      </c>
      <c r="BO735" s="6">
        <v>95.417398550000001</v>
      </c>
      <c r="BP735" s="6">
        <v>91.69460076</v>
      </c>
      <c r="BQ735" s="6">
        <v>3.72279779</v>
      </c>
    </row>
    <row r="736" spans="1:69" x14ac:dyDescent="0.25">
      <c r="A736" t="s">
        <v>160</v>
      </c>
      <c r="B736">
        <v>3</v>
      </c>
      <c r="C736" s="36">
        <v>6</v>
      </c>
      <c r="D736" s="36">
        <v>6</v>
      </c>
      <c r="E736" s="32">
        <v>28</v>
      </c>
      <c r="F736" s="13">
        <v>56.6</v>
      </c>
      <c r="G736">
        <v>81.881407985446174</v>
      </c>
      <c r="H736" t="s">
        <v>12</v>
      </c>
      <c r="I736" t="s">
        <v>12</v>
      </c>
      <c r="AD736" s="17">
        <v>734</v>
      </c>
      <c r="AE736" s="6">
        <v>3.0442100000000001</v>
      </c>
      <c r="AF736" s="19">
        <v>-6.9481000000000002</v>
      </c>
      <c r="AG736" s="6">
        <v>2.9312</v>
      </c>
      <c r="AH736" s="6">
        <v>255</v>
      </c>
      <c r="AJ736" s="17">
        <v>734</v>
      </c>
      <c r="AK736" s="6">
        <v>5.7725</v>
      </c>
      <c r="AL736" s="19">
        <v>-6.9481000000000002</v>
      </c>
      <c r="AM736" s="6">
        <v>2.9312</v>
      </c>
      <c r="AN736" s="6">
        <v>255</v>
      </c>
      <c r="AQ736" s="17">
        <v>734</v>
      </c>
      <c r="AR736" s="6">
        <v>1.5960700000000001</v>
      </c>
      <c r="AS736" s="19">
        <v>-1.0275000000000001</v>
      </c>
      <c r="AT736" s="6">
        <v>0.8105</v>
      </c>
      <c r="AU736" s="6">
        <v>255</v>
      </c>
      <c r="AW736" s="17">
        <v>734</v>
      </c>
      <c r="AX736" s="6">
        <v>0.84170999999999996</v>
      </c>
      <c r="AY736" s="19">
        <v>-1.0275000000000001</v>
      </c>
      <c r="AZ736" s="6">
        <v>0.8105</v>
      </c>
      <c r="BA736" s="6">
        <v>255</v>
      </c>
      <c r="BN736" s="17">
        <v>890</v>
      </c>
      <c r="BO736" s="6">
        <v>84.881422439999994</v>
      </c>
      <c r="BP736" s="6">
        <v>86.638130970000006</v>
      </c>
      <c r="BQ736" s="19">
        <v>-1.75670853</v>
      </c>
    </row>
    <row r="737" spans="1:69" x14ac:dyDescent="0.25">
      <c r="A737" t="s">
        <v>160</v>
      </c>
      <c r="B737">
        <v>1</v>
      </c>
      <c r="C737" s="36">
        <v>17</v>
      </c>
      <c r="D737" s="36">
        <v>2</v>
      </c>
      <c r="E737" s="32">
        <v>46</v>
      </c>
      <c r="F737" s="13">
        <v>60</v>
      </c>
      <c r="G737">
        <v>85.756772397094437</v>
      </c>
      <c r="H737">
        <v>10.5</v>
      </c>
      <c r="I737" t="s">
        <v>12</v>
      </c>
      <c r="AD737" s="17">
        <v>735</v>
      </c>
      <c r="AE737" s="6">
        <v>3.0374300000000001</v>
      </c>
      <c r="AF737" s="19">
        <v>-4.4301000000000004</v>
      </c>
      <c r="AG737" s="6">
        <v>2.9247000000000001</v>
      </c>
      <c r="AH737" s="6">
        <v>255</v>
      </c>
      <c r="AJ737" s="17">
        <v>735</v>
      </c>
      <c r="AK737" s="6">
        <v>5.7596400000000001</v>
      </c>
      <c r="AL737" s="19">
        <v>-4.4301000000000004</v>
      </c>
      <c r="AM737" s="6">
        <v>2.9247000000000001</v>
      </c>
      <c r="AN737" s="6">
        <v>255</v>
      </c>
      <c r="AQ737" s="17">
        <v>735</v>
      </c>
      <c r="AR737" s="6">
        <v>1.5959300000000001</v>
      </c>
      <c r="AS737" s="19">
        <v>-2.6966000000000001</v>
      </c>
      <c r="AT737" s="6">
        <v>0.81040000000000001</v>
      </c>
      <c r="AU737" s="6">
        <v>255</v>
      </c>
      <c r="AW737" s="17">
        <v>735</v>
      </c>
      <c r="AX737" s="6">
        <v>0.84164000000000005</v>
      </c>
      <c r="AY737" s="19">
        <v>-2.6966000000000001</v>
      </c>
      <c r="AZ737" s="6">
        <v>0.81040000000000001</v>
      </c>
      <c r="BA737" s="6">
        <v>255</v>
      </c>
      <c r="BN737" s="17">
        <v>891</v>
      </c>
      <c r="BO737" s="6">
        <v>81.88140799</v>
      </c>
      <c r="BP737" s="6">
        <v>83.847497250000004</v>
      </c>
      <c r="BQ737" s="19">
        <v>-1.9660892599999999</v>
      </c>
    </row>
    <row r="738" spans="1:69" x14ac:dyDescent="0.25">
      <c r="A738" t="s">
        <v>160</v>
      </c>
      <c r="B738">
        <v>2</v>
      </c>
      <c r="C738" s="36">
        <v>11</v>
      </c>
      <c r="D738" s="36">
        <v>4</v>
      </c>
      <c r="E738" s="32">
        <v>46</v>
      </c>
      <c r="F738" s="13">
        <v>60.7</v>
      </c>
      <c r="G738">
        <v>83.624811463784411</v>
      </c>
      <c r="H738" t="s">
        <v>12</v>
      </c>
      <c r="I738" t="s">
        <v>12</v>
      </c>
      <c r="AD738" s="17">
        <v>736</v>
      </c>
      <c r="AE738" s="6">
        <v>3.0422799999999999</v>
      </c>
      <c r="AF738" s="19">
        <v>-2.7519</v>
      </c>
      <c r="AG738" s="6">
        <v>2.9293999999999998</v>
      </c>
      <c r="AH738" s="6">
        <v>255</v>
      </c>
      <c r="AJ738" s="17">
        <v>736</v>
      </c>
      <c r="AK738" s="6">
        <v>5.7688300000000003</v>
      </c>
      <c r="AL738" s="19">
        <v>-2.7519</v>
      </c>
      <c r="AM738" s="6">
        <v>2.9293999999999998</v>
      </c>
      <c r="AN738" s="6">
        <v>255</v>
      </c>
      <c r="AQ738" s="17">
        <v>736</v>
      </c>
      <c r="AR738" s="6">
        <v>1.6037300000000001</v>
      </c>
      <c r="AS738" s="19">
        <v>-2.3157000000000001</v>
      </c>
      <c r="AT738" s="6">
        <v>0.81440000000000001</v>
      </c>
      <c r="AU738" s="6">
        <v>255</v>
      </c>
      <c r="AW738" s="17">
        <v>736</v>
      </c>
      <c r="AX738" s="6">
        <v>0.84575</v>
      </c>
      <c r="AY738" s="19">
        <v>-2.3157000000000001</v>
      </c>
      <c r="AZ738" s="6">
        <v>0.81440000000000001</v>
      </c>
      <c r="BA738" s="6">
        <v>255</v>
      </c>
      <c r="BN738" s="17">
        <v>892</v>
      </c>
      <c r="BO738" s="6">
        <v>85.756772400000003</v>
      </c>
      <c r="BP738" s="6">
        <v>88.329789469999994</v>
      </c>
      <c r="BQ738" s="19">
        <v>-2.5730170700000001</v>
      </c>
    </row>
    <row r="739" spans="1:69" x14ac:dyDescent="0.25">
      <c r="A739" t="s">
        <v>160</v>
      </c>
      <c r="B739">
        <v>3</v>
      </c>
      <c r="C739" s="36">
        <v>8</v>
      </c>
      <c r="D739" s="36">
        <v>5</v>
      </c>
      <c r="E739" s="32">
        <v>46</v>
      </c>
      <c r="F739" s="13">
        <v>59.8</v>
      </c>
      <c r="G739">
        <v>82.704211238997956</v>
      </c>
      <c r="H739" t="s">
        <v>12</v>
      </c>
      <c r="I739" t="s">
        <v>12</v>
      </c>
      <c r="AD739" s="17">
        <v>737</v>
      </c>
      <c r="AE739" s="6">
        <v>3.0548799999999998</v>
      </c>
      <c r="AF739" s="19">
        <v>-5.234</v>
      </c>
      <c r="AG739" s="6">
        <v>2.9415</v>
      </c>
      <c r="AH739" s="6">
        <v>255</v>
      </c>
      <c r="AJ739" s="17">
        <v>737</v>
      </c>
      <c r="AK739" s="6">
        <v>5.7927200000000001</v>
      </c>
      <c r="AL739" s="19">
        <v>-5.234</v>
      </c>
      <c r="AM739" s="6">
        <v>2.9415</v>
      </c>
      <c r="AN739" s="6">
        <v>255</v>
      </c>
      <c r="AQ739" s="17">
        <v>737</v>
      </c>
      <c r="AR739" s="6">
        <v>1.6277299999999999</v>
      </c>
      <c r="AS739" s="19">
        <v>-0.93730000000000002</v>
      </c>
      <c r="AT739" s="6">
        <v>0.82650000000000001</v>
      </c>
      <c r="AU739" s="6">
        <v>255</v>
      </c>
      <c r="AW739" s="17">
        <v>737</v>
      </c>
      <c r="AX739" s="6">
        <v>0.85841000000000001</v>
      </c>
      <c r="AY739" s="19">
        <v>-0.93730000000000002</v>
      </c>
      <c r="AZ739" s="6">
        <v>0.82650000000000001</v>
      </c>
      <c r="BA739" s="6">
        <v>255</v>
      </c>
      <c r="BN739" s="17">
        <v>893</v>
      </c>
      <c r="BO739" s="6">
        <v>83.624811460000004</v>
      </c>
      <c r="BP739" s="6">
        <v>83.27331968</v>
      </c>
      <c r="BQ739" s="6">
        <v>0.35149177999999998</v>
      </c>
    </row>
    <row r="740" spans="1:69" x14ac:dyDescent="0.25">
      <c r="A740" t="s">
        <v>160</v>
      </c>
      <c r="B740">
        <v>1</v>
      </c>
      <c r="C740" s="36">
        <v>19</v>
      </c>
      <c r="D740" s="36">
        <v>2</v>
      </c>
      <c r="E740" s="32">
        <v>47</v>
      </c>
      <c r="F740" s="13">
        <v>61.5</v>
      </c>
      <c r="G740">
        <v>77.172489588377715</v>
      </c>
      <c r="H740">
        <v>12.2</v>
      </c>
      <c r="I740" t="s">
        <v>12</v>
      </c>
      <c r="AD740" s="17">
        <v>738</v>
      </c>
      <c r="AE740" s="6">
        <v>3.0628099999999998</v>
      </c>
      <c r="AF740" s="19">
        <v>-3.2736999999999998</v>
      </c>
      <c r="AG740" s="6">
        <v>2.9491000000000001</v>
      </c>
      <c r="AH740" s="6">
        <v>255</v>
      </c>
      <c r="AJ740" s="17">
        <v>738</v>
      </c>
      <c r="AK740" s="6">
        <v>5.80776</v>
      </c>
      <c r="AL740" s="19">
        <v>-3.2736999999999998</v>
      </c>
      <c r="AM740" s="6">
        <v>2.9491000000000001</v>
      </c>
      <c r="AN740" s="6">
        <v>255</v>
      </c>
      <c r="AQ740" s="17">
        <v>738</v>
      </c>
      <c r="AR740" s="6">
        <v>1.60609</v>
      </c>
      <c r="AS740" s="19">
        <v>-1.0264</v>
      </c>
      <c r="AT740" s="6">
        <v>0.81559999999999999</v>
      </c>
      <c r="AU740" s="6">
        <v>255</v>
      </c>
      <c r="AW740" s="17">
        <v>738</v>
      </c>
      <c r="AX740" s="6">
        <v>0.84699000000000002</v>
      </c>
      <c r="AY740" s="19">
        <v>-1.0264</v>
      </c>
      <c r="AZ740" s="6">
        <v>0.81559999999999999</v>
      </c>
      <c r="BA740" s="6">
        <v>255</v>
      </c>
      <c r="BN740" s="17">
        <v>894</v>
      </c>
      <c r="BO740" s="6">
        <v>82.704211240000006</v>
      </c>
      <c r="BP740" s="6">
        <v>80.482685950000004</v>
      </c>
      <c r="BQ740" s="6">
        <v>2.2215252900000002</v>
      </c>
    </row>
    <row r="741" spans="1:69" x14ac:dyDescent="0.25">
      <c r="A741" t="s">
        <v>160</v>
      </c>
      <c r="B741">
        <v>2</v>
      </c>
      <c r="C741" s="36">
        <v>9</v>
      </c>
      <c r="D741" s="36">
        <v>3</v>
      </c>
      <c r="E741" s="32">
        <v>47</v>
      </c>
      <c r="F741" s="13">
        <v>61.6</v>
      </c>
      <c r="G741">
        <v>74.812819412347295</v>
      </c>
      <c r="H741" t="s">
        <v>12</v>
      </c>
      <c r="I741" t="s">
        <v>12</v>
      </c>
      <c r="AD741" s="17">
        <v>739</v>
      </c>
      <c r="AE741" s="6">
        <v>3.0438299999999998</v>
      </c>
      <c r="AF741" s="19">
        <v>-11.3398</v>
      </c>
      <c r="AG741" s="6">
        <v>2.9308999999999998</v>
      </c>
      <c r="AH741" s="6">
        <v>255</v>
      </c>
      <c r="AJ741" s="17">
        <v>739</v>
      </c>
      <c r="AK741" s="6">
        <v>5.7717700000000001</v>
      </c>
      <c r="AL741" s="19">
        <v>-11.3398</v>
      </c>
      <c r="AM741" s="6">
        <v>2.9308999999999998</v>
      </c>
      <c r="AN741" s="6">
        <v>255</v>
      </c>
      <c r="AQ741" s="17">
        <v>739</v>
      </c>
      <c r="AR741" s="6">
        <v>1.6017699999999999</v>
      </c>
      <c r="AS741" s="19">
        <v>-1.4373</v>
      </c>
      <c r="AT741" s="6">
        <v>0.81340000000000001</v>
      </c>
      <c r="AU741" s="6">
        <v>255</v>
      </c>
      <c r="AW741" s="17">
        <v>739</v>
      </c>
      <c r="AX741" s="6">
        <v>0.84472000000000003</v>
      </c>
      <c r="AY741" s="19">
        <v>-1.4373</v>
      </c>
      <c r="AZ741" s="6">
        <v>0.81340000000000001</v>
      </c>
      <c r="BA741" s="6">
        <v>255</v>
      </c>
      <c r="BN741" s="17">
        <v>895</v>
      </c>
      <c r="BO741" s="6">
        <v>77.172489589999998</v>
      </c>
      <c r="BP741" s="6">
        <v>80.008330360000002</v>
      </c>
      <c r="BQ741" s="19">
        <v>-2.8358407699999999</v>
      </c>
    </row>
    <row r="742" spans="1:69" x14ac:dyDescent="0.25">
      <c r="A742" t="s">
        <v>160</v>
      </c>
      <c r="B742">
        <v>3</v>
      </c>
      <c r="C742" s="36">
        <v>13</v>
      </c>
      <c r="D742" s="36">
        <v>6</v>
      </c>
      <c r="E742" s="32">
        <v>47</v>
      </c>
      <c r="F742" s="13">
        <v>61.7</v>
      </c>
      <c r="G742">
        <v>75.136108770585963</v>
      </c>
      <c r="H742" t="s">
        <v>12</v>
      </c>
      <c r="I742" t="s">
        <v>12</v>
      </c>
      <c r="AD742" s="17">
        <v>740</v>
      </c>
      <c r="AE742" s="6">
        <v>3.0548600000000001</v>
      </c>
      <c r="AF742" s="19">
        <v>-6.2971000000000004</v>
      </c>
      <c r="AG742" s="6">
        <v>2.9415</v>
      </c>
      <c r="AH742" s="6">
        <v>255</v>
      </c>
      <c r="AJ742" s="17">
        <v>740</v>
      </c>
      <c r="AK742" s="6">
        <v>5.7926900000000003</v>
      </c>
      <c r="AL742" s="19">
        <v>-6.2971000000000004</v>
      </c>
      <c r="AM742" s="6">
        <v>2.9415</v>
      </c>
      <c r="AN742" s="6">
        <v>255</v>
      </c>
      <c r="AQ742" s="17">
        <v>740</v>
      </c>
      <c r="AR742" s="6">
        <v>1.60162</v>
      </c>
      <c r="AS742" s="19">
        <v>-1.1649</v>
      </c>
      <c r="AT742" s="6">
        <v>0.81330000000000002</v>
      </c>
      <c r="AU742" s="6">
        <v>255</v>
      </c>
      <c r="AW742" s="17">
        <v>740</v>
      </c>
      <c r="AX742" s="6">
        <v>0.84463999999999995</v>
      </c>
      <c r="AY742" s="19">
        <v>-1.1649</v>
      </c>
      <c r="AZ742" s="6">
        <v>0.81330000000000002</v>
      </c>
      <c r="BA742" s="6">
        <v>255</v>
      </c>
      <c r="BN742" s="17">
        <v>896</v>
      </c>
      <c r="BO742" s="6">
        <v>74.812819410000003</v>
      </c>
      <c r="BP742" s="6">
        <v>74.951860569999994</v>
      </c>
      <c r="BQ742" s="19">
        <v>-0.13904116</v>
      </c>
    </row>
    <row r="743" spans="1:69" x14ac:dyDescent="0.25">
      <c r="A743" t="s">
        <v>160</v>
      </c>
      <c r="B743">
        <v>1</v>
      </c>
      <c r="C743" s="36">
        <v>13</v>
      </c>
      <c r="D743" s="36">
        <v>1</v>
      </c>
      <c r="E743" s="32">
        <v>45</v>
      </c>
      <c r="F743" s="13">
        <v>57.3</v>
      </c>
      <c r="G743">
        <v>79.592667814113582</v>
      </c>
      <c r="H743">
        <v>11.3</v>
      </c>
      <c r="I743" t="s">
        <v>12</v>
      </c>
      <c r="AD743" s="17">
        <v>741</v>
      </c>
      <c r="AE743" s="6">
        <v>3.0463499999999999</v>
      </c>
      <c r="AF743" s="19">
        <v>-3.8197000000000001</v>
      </c>
      <c r="AG743" s="6">
        <v>2.9333</v>
      </c>
      <c r="AH743" s="6">
        <v>255</v>
      </c>
      <c r="AJ743" s="17">
        <v>741</v>
      </c>
      <c r="AK743" s="6">
        <v>5.7765500000000003</v>
      </c>
      <c r="AL743" s="19">
        <v>-3.8197000000000001</v>
      </c>
      <c r="AM743" s="6">
        <v>2.9333</v>
      </c>
      <c r="AN743" s="6">
        <v>255</v>
      </c>
      <c r="AQ743" s="17">
        <v>741</v>
      </c>
      <c r="AR743" s="6">
        <v>1.59355</v>
      </c>
      <c r="AS743" s="19">
        <v>-0.64100000000000001</v>
      </c>
      <c r="AT743" s="6">
        <v>0.80920000000000003</v>
      </c>
      <c r="AU743" s="6">
        <v>255</v>
      </c>
      <c r="AW743" s="17">
        <v>741</v>
      </c>
      <c r="AX743" s="6">
        <v>0.84038000000000002</v>
      </c>
      <c r="AY743" s="19">
        <v>-0.64100000000000001</v>
      </c>
      <c r="AZ743" s="6">
        <v>0.80920000000000003</v>
      </c>
      <c r="BA743" s="6">
        <v>255</v>
      </c>
      <c r="BN743" s="17">
        <v>897</v>
      </c>
      <c r="BO743" s="6">
        <v>75.136108770000007</v>
      </c>
      <c r="BP743" s="6">
        <v>72.161226839999998</v>
      </c>
      <c r="BQ743" s="6">
        <v>2.97488193</v>
      </c>
    </row>
    <row r="744" spans="1:69" x14ac:dyDescent="0.25">
      <c r="A744" t="s">
        <v>160</v>
      </c>
      <c r="B744">
        <v>2</v>
      </c>
      <c r="C744" s="36">
        <v>15</v>
      </c>
      <c r="D744" s="36">
        <v>4</v>
      </c>
      <c r="E744" s="32">
        <v>45</v>
      </c>
      <c r="F744" s="13">
        <v>56.2</v>
      </c>
      <c r="G744">
        <v>86.307354624150236</v>
      </c>
      <c r="H744" t="s">
        <v>12</v>
      </c>
      <c r="I744" t="s">
        <v>12</v>
      </c>
      <c r="AD744" s="17">
        <v>742</v>
      </c>
      <c r="AE744" s="6">
        <v>3.0547900000000001</v>
      </c>
      <c r="AF744" s="19">
        <v>-5.7389999999999999</v>
      </c>
      <c r="AG744" s="6">
        <v>2.9413999999999998</v>
      </c>
      <c r="AH744" s="6">
        <v>255</v>
      </c>
      <c r="AJ744" s="17">
        <v>742</v>
      </c>
      <c r="AK744" s="6">
        <v>5.7925500000000003</v>
      </c>
      <c r="AL744" s="19">
        <v>-5.7389999999999999</v>
      </c>
      <c r="AM744" s="6">
        <v>2.9413999999999998</v>
      </c>
      <c r="AN744" s="6">
        <v>255</v>
      </c>
      <c r="AQ744" s="17">
        <v>742</v>
      </c>
      <c r="AR744" s="6">
        <v>1.60097</v>
      </c>
      <c r="AS744" s="19">
        <v>-1.8237000000000001</v>
      </c>
      <c r="AT744" s="6">
        <v>0.81299999999999994</v>
      </c>
      <c r="AU744" s="6">
        <v>255</v>
      </c>
      <c r="AW744" s="17">
        <v>742</v>
      </c>
      <c r="AX744" s="6">
        <v>0.84430000000000005</v>
      </c>
      <c r="AY744" s="19">
        <v>-1.8237000000000001</v>
      </c>
      <c r="AZ744" s="6">
        <v>0.81299999999999994</v>
      </c>
      <c r="BA744" s="6">
        <v>255</v>
      </c>
      <c r="BN744" s="17">
        <v>898</v>
      </c>
      <c r="BO744" s="6">
        <v>79.592667809999995</v>
      </c>
      <c r="BP744" s="6">
        <v>88.356856370000003</v>
      </c>
      <c r="BQ744" s="19">
        <v>-8.7641885599999991</v>
      </c>
    </row>
    <row r="745" spans="1:69" x14ac:dyDescent="0.25">
      <c r="A745" t="s">
        <v>160</v>
      </c>
      <c r="B745">
        <v>3</v>
      </c>
      <c r="C745" s="36">
        <v>17</v>
      </c>
      <c r="D745" s="36">
        <v>6</v>
      </c>
      <c r="E745" s="32">
        <v>45</v>
      </c>
      <c r="F745" s="13">
        <v>60.6</v>
      </c>
      <c r="G745">
        <v>86.266973381846014</v>
      </c>
      <c r="H745" t="s">
        <v>12</v>
      </c>
      <c r="I745" t="s">
        <v>12</v>
      </c>
      <c r="AD745" s="17">
        <v>743</v>
      </c>
      <c r="AE745" s="6">
        <v>3.0487000000000002</v>
      </c>
      <c r="AF745" s="19">
        <v>-4.4279999999999999</v>
      </c>
      <c r="AG745" s="6">
        <v>2.9355000000000002</v>
      </c>
      <c r="AH745" s="6">
        <v>255</v>
      </c>
      <c r="AJ745" s="17">
        <v>743</v>
      </c>
      <c r="AK745" s="6">
        <v>5.7810100000000002</v>
      </c>
      <c r="AL745" s="19">
        <v>-4.4279999999999999</v>
      </c>
      <c r="AM745" s="6">
        <v>2.9355000000000002</v>
      </c>
      <c r="AN745" s="6">
        <v>255</v>
      </c>
      <c r="AQ745" s="17">
        <v>743</v>
      </c>
      <c r="AR745" s="6">
        <v>1.59948</v>
      </c>
      <c r="AS745" s="19">
        <v>-2.012</v>
      </c>
      <c r="AT745" s="6">
        <v>0.81220000000000003</v>
      </c>
      <c r="AU745" s="6">
        <v>255</v>
      </c>
      <c r="AW745" s="17">
        <v>743</v>
      </c>
      <c r="AX745" s="6">
        <v>0.84350999999999998</v>
      </c>
      <c r="AY745" s="19">
        <v>-2.012</v>
      </c>
      <c r="AZ745" s="6">
        <v>0.81220000000000003</v>
      </c>
      <c r="BA745" s="6">
        <v>255</v>
      </c>
      <c r="BN745" s="17">
        <v>899</v>
      </c>
      <c r="BO745" s="6">
        <v>86.307354619999998</v>
      </c>
      <c r="BP745" s="6">
        <v>83.300386579999994</v>
      </c>
      <c r="BQ745" s="6">
        <v>3.0069680399999998</v>
      </c>
    </row>
    <row r="746" spans="1:69" x14ac:dyDescent="0.25">
      <c r="A746" t="s">
        <v>160</v>
      </c>
      <c r="B746">
        <v>1</v>
      </c>
      <c r="C746" s="36">
        <v>13</v>
      </c>
      <c r="D746" s="36">
        <v>2</v>
      </c>
      <c r="E746" s="32">
        <v>24</v>
      </c>
      <c r="F746" s="13">
        <v>58.4</v>
      </c>
      <c r="G746">
        <v>90.888280387409196</v>
      </c>
      <c r="H746">
        <v>9.6999999999999993</v>
      </c>
      <c r="I746" t="s">
        <v>12</v>
      </c>
      <c r="AD746" s="17">
        <v>744</v>
      </c>
      <c r="AE746" s="6">
        <v>3.04433</v>
      </c>
      <c r="AF746" s="19">
        <v>-2.5344000000000002</v>
      </c>
      <c r="AG746" s="6">
        <v>2.9312999999999998</v>
      </c>
      <c r="AH746" s="6">
        <v>255</v>
      </c>
      <c r="AJ746" s="17">
        <v>744</v>
      </c>
      <c r="AK746" s="6">
        <v>5.77271</v>
      </c>
      <c r="AL746" s="19">
        <v>-2.5344000000000002</v>
      </c>
      <c r="AM746" s="6">
        <v>2.9312999999999998</v>
      </c>
      <c r="AN746" s="6">
        <v>255</v>
      </c>
      <c r="AQ746" s="17">
        <v>744</v>
      </c>
      <c r="AR746" s="6">
        <v>1.59995</v>
      </c>
      <c r="AS746" s="19">
        <v>-1.0825</v>
      </c>
      <c r="AT746" s="6">
        <v>0.81240000000000001</v>
      </c>
      <c r="AU746" s="6">
        <v>255</v>
      </c>
      <c r="AW746" s="17">
        <v>744</v>
      </c>
      <c r="AX746" s="6">
        <v>0.84375999999999995</v>
      </c>
      <c r="AY746" s="19">
        <v>-1.0825</v>
      </c>
      <c r="AZ746" s="6">
        <v>0.81240000000000001</v>
      </c>
      <c r="BA746" s="6">
        <v>255</v>
      </c>
      <c r="BN746" s="17">
        <v>900</v>
      </c>
      <c r="BO746" s="6">
        <v>86.266973379999996</v>
      </c>
      <c r="BP746" s="6">
        <v>80.509752860000006</v>
      </c>
      <c r="BQ746" s="6">
        <v>5.7572205199999997</v>
      </c>
    </row>
    <row r="747" spans="1:69" x14ac:dyDescent="0.25">
      <c r="A747" t="s">
        <v>160</v>
      </c>
      <c r="B747">
        <v>2</v>
      </c>
      <c r="C747" s="36">
        <v>22</v>
      </c>
      <c r="D747" s="36">
        <v>3</v>
      </c>
      <c r="E747" s="32">
        <v>24</v>
      </c>
      <c r="F747" s="13">
        <v>57.7</v>
      </c>
      <c r="G747">
        <v>86.992345422817522</v>
      </c>
      <c r="H747" t="s">
        <v>12</v>
      </c>
      <c r="I747" t="s">
        <v>12</v>
      </c>
      <c r="AD747" s="17">
        <v>745</v>
      </c>
      <c r="AE747" s="6">
        <v>3.0657999999999999</v>
      </c>
      <c r="AF747" s="19">
        <v>-8.6842000000000006</v>
      </c>
      <c r="AG747" s="6">
        <v>2.952</v>
      </c>
      <c r="AH747" s="6">
        <v>255</v>
      </c>
      <c r="AJ747" s="17">
        <v>745</v>
      </c>
      <c r="AK747" s="6">
        <v>5.8134300000000003</v>
      </c>
      <c r="AL747" s="19">
        <v>-8.6842000000000006</v>
      </c>
      <c r="AM747" s="6">
        <v>2.952</v>
      </c>
      <c r="AN747" s="6">
        <v>255</v>
      </c>
      <c r="AQ747" s="17">
        <v>745</v>
      </c>
      <c r="AR747" s="6">
        <v>1.6100099999999999</v>
      </c>
      <c r="AS747" s="19">
        <v>-3.4470000000000001</v>
      </c>
      <c r="AT747" s="6">
        <v>0.8175</v>
      </c>
      <c r="AU747" s="6">
        <v>255</v>
      </c>
      <c r="AW747" s="17">
        <v>745</v>
      </c>
      <c r="AX747" s="6">
        <v>0.84906000000000004</v>
      </c>
      <c r="AY747" s="19">
        <v>-3.4470000000000001</v>
      </c>
      <c r="AZ747" s="6">
        <v>0.8175</v>
      </c>
      <c r="BA747" s="6">
        <v>255</v>
      </c>
      <c r="BN747" s="17">
        <v>901</v>
      </c>
      <c r="BO747" s="6">
        <v>90.888280390000006</v>
      </c>
      <c r="BP747" s="6">
        <v>92.986165959999994</v>
      </c>
      <c r="BQ747" s="19">
        <v>-2.0978855699999999</v>
      </c>
    </row>
    <row r="748" spans="1:69" x14ac:dyDescent="0.25">
      <c r="A748" t="s">
        <v>160</v>
      </c>
      <c r="B748">
        <v>3</v>
      </c>
      <c r="C748" s="36">
        <v>15</v>
      </c>
      <c r="D748" s="36">
        <v>5</v>
      </c>
      <c r="E748" s="32">
        <v>24</v>
      </c>
      <c r="F748" s="13">
        <v>58.2</v>
      </c>
      <c r="G748">
        <v>88.174298771641347</v>
      </c>
      <c r="H748" t="s">
        <v>12</v>
      </c>
      <c r="I748" t="s">
        <v>12</v>
      </c>
      <c r="AD748" s="17">
        <v>746</v>
      </c>
      <c r="AE748" s="6">
        <v>3.0451899999999998</v>
      </c>
      <c r="AF748" s="19">
        <v>-5.5591999999999997</v>
      </c>
      <c r="AG748" s="6">
        <v>2.9321999999999999</v>
      </c>
      <c r="AH748" s="6">
        <v>255</v>
      </c>
      <c r="AJ748" s="17">
        <v>746</v>
      </c>
      <c r="AK748" s="6">
        <v>5.7743500000000001</v>
      </c>
      <c r="AL748" s="19">
        <v>-5.5591999999999997</v>
      </c>
      <c r="AM748" s="6">
        <v>2.9321999999999999</v>
      </c>
      <c r="AN748" s="6">
        <v>255</v>
      </c>
      <c r="AQ748" s="17">
        <v>746</v>
      </c>
      <c r="AR748" s="6">
        <v>1.5957699999999999</v>
      </c>
      <c r="AS748" s="19">
        <v>-1.0738000000000001</v>
      </c>
      <c r="AT748" s="6">
        <v>0.81030000000000002</v>
      </c>
      <c r="AU748" s="6">
        <v>255</v>
      </c>
      <c r="AW748" s="17">
        <v>746</v>
      </c>
      <c r="AX748" s="6">
        <v>0.84155000000000002</v>
      </c>
      <c r="AY748" s="19">
        <v>-1.0738000000000001</v>
      </c>
      <c r="AZ748" s="6">
        <v>0.81030000000000002</v>
      </c>
      <c r="BA748" s="6">
        <v>255</v>
      </c>
      <c r="BN748" s="17">
        <v>902</v>
      </c>
      <c r="BO748" s="6">
        <v>86.992345420000007</v>
      </c>
      <c r="BP748" s="6">
        <v>87.92969617</v>
      </c>
      <c r="BQ748" s="19">
        <v>-0.93735075000000001</v>
      </c>
    </row>
    <row r="749" spans="1:69" x14ac:dyDescent="0.25">
      <c r="A749" t="s">
        <v>160</v>
      </c>
      <c r="B749">
        <v>1</v>
      </c>
      <c r="C749" s="36">
        <v>20</v>
      </c>
      <c r="D749" s="36">
        <v>2</v>
      </c>
      <c r="E749" s="32">
        <v>33</v>
      </c>
      <c r="F749" s="13">
        <v>60.1</v>
      </c>
      <c r="G749">
        <v>92.372944794188868</v>
      </c>
      <c r="H749">
        <v>9.6</v>
      </c>
      <c r="I749" t="s">
        <v>12</v>
      </c>
      <c r="AD749" s="17">
        <v>747</v>
      </c>
      <c r="AE749" s="6">
        <v>3.0348899999999999</v>
      </c>
      <c r="AF749" s="19">
        <v>-3.2414999999999998</v>
      </c>
      <c r="AG749" s="6">
        <v>2.9222999999999999</v>
      </c>
      <c r="AH749" s="6">
        <v>255</v>
      </c>
      <c r="AJ749" s="17">
        <v>747</v>
      </c>
      <c r="AK749" s="6">
        <v>5.7548300000000001</v>
      </c>
      <c r="AL749" s="19">
        <v>-3.2414999999999998</v>
      </c>
      <c r="AM749" s="6">
        <v>2.9222999999999999</v>
      </c>
      <c r="AN749" s="6">
        <v>255</v>
      </c>
      <c r="AQ749" s="17">
        <v>747</v>
      </c>
      <c r="AR749" s="6">
        <v>1.59971</v>
      </c>
      <c r="AS749" s="19">
        <v>-1.3411999999999999</v>
      </c>
      <c r="AT749" s="6">
        <v>0.81230000000000002</v>
      </c>
      <c r="AU749" s="6">
        <v>255</v>
      </c>
      <c r="AW749" s="17">
        <v>747</v>
      </c>
      <c r="AX749" s="6">
        <v>0.84362999999999999</v>
      </c>
      <c r="AY749" s="19">
        <v>-1.3411999999999999</v>
      </c>
      <c r="AZ749" s="6">
        <v>0.81230000000000002</v>
      </c>
      <c r="BA749" s="6">
        <v>255</v>
      </c>
      <c r="BN749" s="17">
        <v>903</v>
      </c>
      <c r="BO749" s="6">
        <v>88.174298769999993</v>
      </c>
      <c r="BP749" s="6">
        <v>85.139062449999997</v>
      </c>
      <c r="BQ749" s="6">
        <v>3.0352363200000001</v>
      </c>
    </row>
    <row r="750" spans="1:69" x14ac:dyDescent="0.25">
      <c r="A750" t="s">
        <v>160</v>
      </c>
      <c r="B750">
        <v>2</v>
      </c>
      <c r="C750" s="36">
        <v>11</v>
      </c>
      <c r="D750" s="36">
        <v>3</v>
      </c>
      <c r="E750" s="32">
        <v>33</v>
      </c>
      <c r="F750" s="13">
        <v>60.4</v>
      </c>
      <c r="G750">
        <v>90.189312833089645</v>
      </c>
      <c r="H750" t="s">
        <v>12</v>
      </c>
      <c r="I750" t="s">
        <v>12</v>
      </c>
      <c r="AD750" s="17">
        <v>748</v>
      </c>
      <c r="AE750" s="6">
        <v>3.05809</v>
      </c>
      <c r="AF750" s="19">
        <v>-3.3647</v>
      </c>
      <c r="AG750" s="6">
        <v>2.9445999999999999</v>
      </c>
      <c r="AH750" s="6">
        <v>255</v>
      </c>
      <c r="AJ750" s="17">
        <v>748</v>
      </c>
      <c r="AK750" s="6">
        <v>5.7988099999999996</v>
      </c>
      <c r="AL750" s="19">
        <v>-3.3647</v>
      </c>
      <c r="AM750" s="6">
        <v>2.9445999999999999</v>
      </c>
      <c r="AN750" s="6">
        <v>255</v>
      </c>
      <c r="AQ750" s="17">
        <v>748</v>
      </c>
      <c r="AR750" s="6">
        <v>1.60806</v>
      </c>
      <c r="AS750" s="19">
        <v>-1.0888</v>
      </c>
      <c r="AT750" s="6">
        <v>0.81659999999999999</v>
      </c>
      <c r="AU750" s="6">
        <v>255</v>
      </c>
      <c r="AW750" s="17">
        <v>748</v>
      </c>
      <c r="AX750" s="6">
        <v>0.84802999999999995</v>
      </c>
      <c r="AY750" s="19">
        <v>-1.0888</v>
      </c>
      <c r="AZ750" s="6">
        <v>0.81659999999999999</v>
      </c>
      <c r="BA750" s="6">
        <v>255</v>
      </c>
      <c r="BN750" s="17">
        <v>904</v>
      </c>
      <c r="BO750" s="6">
        <v>92.372944790000005</v>
      </c>
      <c r="BP750" s="6">
        <v>93.326182290000006</v>
      </c>
      <c r="BQ750" s="19">
        <v>-0.95323749999999996</v>
      </c>
    </row>
    <row r="751" spans="1:69" x14ac:dyDescent="0.25">
      <c r="A751" t="s">
        <v>160</v>
      </c>
      <c r="B751">
        <v>3</v>
      </c>
      <c r="C751" s="36">
        <v>13</v>
      </c>
      <c r="D751" s="36">
        <v>5</v>
      </c>
      <c r="E751" s="32">
        <v>33</v>
      </c>
      <c r="F751" s="13">
        <v>59.7</v>
      </c>
      <c r="G751">
        <v>84.512715929973879</v>
      </c>
      <c r="H751" t="s">
        <v>12</v>
      </c>
      <c r="I751" t="s">
        <v>12</v>
      </c>
      <c r="AD751" s="17">
        <v>749</v>
      </c>
      <c r="AE751" s="6">
        <v>3.05328</v>
      </c>
      <c r="AF751" s="19">
        <v>-6.8513000000000002</v>
      </c>
      <c r="AG751" s="6">
        <v>2.94</v>
      </c>
      <c r="AH751" s="6">
        <v>255</v>
      </c>
      <c r="AJ751" s="17">
        <v>749</v>
      </c>
      <c r="AK751" s="6">
        <v>5.7896799999999997</v>
      </c>
      <c r="AL751" s="19">
        <v>-6.8513000000000002</v>
      </c>
      <c r="AM751" s="6">
        <v>2.94</v>
      </c>
      <c r="AN751" s="6">
        <v>255</v>
      </c>
      <c r="AQ751" s="17">
        <v>749</v>
      </c>
      <c r="AR751" s="6">
        <v>1.59955</v>
      </c>
      <c r="AS751" s="19">
        <v>-2.4697</v>
      </c>
      <c r="AT751" s="6">
        <v>0.81220000000000003</v>
      </c>
      <c r="AU751" s="6">
        <v>255</v>
      </c>
      <c r="AW751" s="17">
        <v>749</v>
      </c>
      <c r="AX751" s="6">
        <v>0.84353999999999996</v>
      </c>
      <c r="AY751" s="19">
        <v>-2.4697</v>
      </c>
      <c r="AZ751" s="6">
        <v>0.81220000000000003</v>
      </c>
      <c r="BA751" s="6">
        <v>255</v>
      </c>
      <c r="BN751" s="17">
        <v>905</v>
      </c>
      <c r="BO751" s="6">
        <v>90.189312830000006</v>
      </c>
      <c r="BP751" s="6">
        <v>88.269712490000003</v>
      </c>
      <c r="BQ751" s="6">
        <v>1.9196003399999999</v>
      </c>
    </row>
    <row r="752" spans="1:69" x14ac:dyDescent="0.25">
      <c r="A752" t="s">
        <v>160</v>
      </c>
      <c r="B752">
        <v>1</v>
      </c>
      <c r="C752" s="36">
        <v>11</v>
      </c>
      <c r="D752" s="36">
        <v>1</v>
      </c>
      <c r="E752" s="32">
        <v>60</v>
      </c>
      <c r="F752" s="13" t="s">
        <v>12</v>
      </c>
      <c r="G752">
        <v>71.438468158347675</v>
      </c>
      <c r="H752">
        <v>11.9</v>
      </c>
      <c r="I752" t="s">
        <v>12</v>
      </c>
      <c r="AD752" s="17">
        <v>750</v>
      </c>
      <c r="AE752" s="6">
        <v>3.0278100000000001</v>
      </c>
      <c r="AF752" s="19">
        <v>-5.6635999999999997</v>
      </c>
      <c r="AG752" s="6">
        <v>2.9154</v>
      </c>
      <c r="AH752" s="6">
        <v>255</v>
      </c>
      <c r="AJ752" s="17">
        <v>750</v>
      </c>
      <c r="AK752" s="6">
        <v>5.74139</v>
      </c>
      <c r="AL752" s="19">
        <v>-5.6635999999999997</v>
      </c>
      <c r="AM752" s="6">
        <v>2.9154</v>
      </c>
      <c r="AN752" s="6">
        <v>255</v>
      </c>
      <c r="AQ752" s="17">
        <v>750</v>
      </c>
      <c r="AR752" s="6">
        <v>1.5903</v>
      </c>
      <c r="AS752" s="19">
        <v>-2.1065</v>
      </c>
      <c r="AT752" s="6">
        <v>0.8075</v>
      </c>
      <c r="AU752" s="6">
        <v>255</v>
      </c>
      <c r="AW752" s="17">
        <v>750</v>
      </c>
      <c r="AX752" s="6">
        <v>0.83867000000000003</v>
      </c>
      <c r="AY752" s="19">
        <v>-2.1065</v>
      </c>
      <c r="AZ752" s="6">
        <v>0.8075</v>
      </c>
      <c r="BA752" s="6">
        <v>255</v>
      </c>
      <c r="BN752" s="17">
        <v>906</v>
      </c>
      <c r="BO752" s="6">
        <v>84.512715929999999</v>
      </c>
      <c r="BP752" s="6">
        <v>85.479078770000001</v>
      </c>
      <c r="BQ752" s="19">
        <v>-0.96636283999999995</v>
      </c>
    </row>
    <row r="753" spans="1:69" x14ac:dyDescent="0.25">
      <c r="A753" t="s">
        <v>160</v>
      </c>
      <c r="B753">
        <v>2</v>
      </c>
      <c r="C753" s="36">
        <v>16</v>
      </c>
      <c r="D753" s="36">
        <v>3</v>
      </c>
      <c r="E753" s="32">
        <v>60</v>
      </c>
      <c r="F753" s="13">
        <v>55.6</v>
      </c>
      <c r="G753">
        <v>63.057719190680558</v>
      </c>
      <c r="H753" t="s">
        <v>12</v>
      </c>
      <c r="I753" t="s">
        <v>12</v>
      </c>
      <c r="AD753" s="17">
        <v>751</v>
      </c>
      <c r="AE753" s="6">
        <v>3.0423800000000001</v>
      </c>
      <c r="AF753" s="19">
        <v>-5.0906000000000002</v>
      </c>
      <c r="AG753" s="6">
        <v>2.9295</v>
      </c>
      <c r="AH753" s="6">
        <v>255</v>
      </c>
      <c r="AJ753" s="17">
        <v>751</v>
      </c>
      <c r="AK753" s="6">
        <v>5.7690299999999999</v>
      </c>
      <c r="AL753" s="19">
        <v>-5.0906000000000002</v>
      </c>
      <c r="AM753" s="6">
        <v>2.9295</v>
      </c>
      <c r="AN753" s="6">
        <v>255</v>
      </c>
      <c r="AQ753" s="17">
        <v>751</v>
      </c>
      <c r="AR753" s="6">
        <v>1.59615</v>
      </c>
      <c r="AS753" s="19">
        <v>-1.571</v>
      </c>
      <c r="AT753" s="6">
        <v>0.8105</v>
      </c>
      <c r="AU753" s="6">
        <v>255</v>
      </c>
      <c r="AW753" s="17">
        <v>751</v>
      </c>
      <c r="AX753" s="6">
        <v>0.84175999999999995</v>
      </c>
      <c r="AY753" s="19">
        <v>-1.571</v>
      </c>
      <c r="AZ753" s="6">
        <v>0.8105</v>
      </c>
      <c r="BA753" s="6">
        <v>255</v>
      </c>
      <c r="BN753" s="17">
        <v>907</v>
      </c>
      <c r="BO753" s="6">
        <v>71.438468159999999</v>
      </c>
      <c r="BP753" s="6">
        <v>68.749789000000007</v>
      </c>
      <c r="BQ753" s="6">
        <v>2.68867916</v>
      </c>
    </row>
    <row r="754" spans="1:69" x14ac:dyDescent="0.25">
      <c r="A754" t="s">
        <v>160</v>
      </c>
      <c r="B754">
        <v>3</v>
      </c>
      <c r="C754" s="36">
        <v>23</v>
      </c>
      <c r="D754" s="36">
        <v>5</v>
      </c>
      <c r="E754" s="32">
        <v>60</v>
      </c>
      <c r="F754" s="13">
        <v>54</v>
      </c>
      <c r="G754">
        <v>58.849606344907613</v>
      </c>
      <c r="H754" t="s">
        <v>12</v>
      </c>
      <c r="I754" t="s">
        <v>12</v>
      </c>
      <c r="AD754" s="17">
        <v>752</v>
      </c>
      <c r="AE754" s="6">
        <v>3.0472999999999999</v>
      </c>
      <c r="AF754" s="19">
        <v>-5.0674000000000001</v>
      </c>
      <c r="AG754" s="6">
        <v>2.9342000000000001</v>
      </c>
      <c r="AH754" s="6">
        <v>255</v>
      </c>
      <c r="AJ754" s="17">
        <v>752</v>
      </c>
      <c r="AK754" s="6">
        <v>5.7783600000000002</v>
      </c>
      <c r="AL754" s="19">
        <v>-5.0674000000000001</v>
      </c>
      <c r="AM754" s="6">
        <v>2.9342000000000001</v>
      </c>
      <c r="AN754" s="6">
        <v>255</v>
      </c>
      <c r="AQ754" s="17">
        <v>752</v>
      </c>
      <c r="AR754" s="6">
        <v>1.60043</v>
      </c>
      <c r="AS754" s="19">
        <v>-1.1068</v>
      </c>
      <c r="AT754" s="6">
        <v>0.81269999999999998</v>
      </c>
      <c r="AU754" s="6">
        <v>255</v>
      </c>
      <c r="AW754" s="17">
        <v>752</v>
      </c>
      <c r="AX754" s="6">
        <v>0.84401000000000004</v>
      </c>
      <c r="AY754" s="19">
        <v>-1.1068</v>
      </c>
      <c r="AZ754" s="6">
        <v>0.81269999999999998</v>
      </c>
      <c r="BA754" s="6">
        <v>255</v>
      </c>
      <c r="BN754" s="17">
        <v>908</v>
      </c>
      <c r="BO754" s="6">
        <v>63.05771919</v>
      </c>
      <c r="BP754" s="6">
        <v>63.693319209999999</v>
      </c>
      <c r="BQ754" s="19">
        <v>-0.63560002000000004</v>
      </c>
    </row>
    <row r="755" spans="1:69" x14ac:dyDescent="0.25">
      <c r="A755" t="s">
        <v>160</v>
      </c>
      <c r="B755">
        <v>1</v>
      </c>
      <c r="C755" s="36">
        <v>23</v>
      </c>
      <c r="D755" s="36">
        <v>2</v>
      </c>
      <c r="E755" s="32">
        <v>58</v>
      </c>
      <c r="F755" s="13">
        <v>60.3</v>
      </c>
      <c r="G755">
        <v>84.145972881355931</v>
      </c>
      <c r="H755">
        <v>10.5</v>
      </c>
      <c r="I755" t="s">
        <v>12</v>
      </c>
      <c r="AD755" s="17">
        <v>753</v>
      </c>
      <c r="AE755" s="6">
        <v>3.0600299999999998</v>
      </c>
      <c r="AF755" s="19">
        <v>-6.0498000000000003</v>
      </c>
      <c r="AG755" s="6">
        <v>2.9464999999999999</v>
      </c>
      <c r="AH755" s="6">
        <v>255</v>
      </c>
      <c r="AJ755" s="17">
        <v>753</v>
      </c>
      <c r="AK755" s="6">
        <v>5.8025000000000002</v>
      </c>
      <c r="AL755" s="19">
        <v>-6.0498000000000003</v>
      </c>
      <c r="AM755" s="6">
        <v>2.9464999999999999</v>
      </c>
      <c r="AN755" s="6">
        <v>255</v>
      </c>
      <c r="AQ755" s="17">
        <v>753</v>
      </c>
      <c r="AR755" s="6">
        <v>1.6044099999999999</v>
      </c>
      <c r="AS755" s="19">
        <v>-2.2212999999999998</v>
      </c>
      <c r="AT755" s="6">
        <v>0.81469999999999998</v>
      </c>
      <c r="AU755" s="6">
        <v>255</v>
      </c>
      <c r="AW755" s="17">
        <v>753</v>
      </c>
      <c r="AX755" s="6">
        <v>0.84611000000000003</v>
      </c>
      <c r="AY755" s="19">
        <v>-2.2212999999999998</v>
      </c>
      <c r="AZ755" s="6">
        <v>0.81469999999999998</v>
      </c>
      <c r="BA755" s="6">
        <v>255</v>
      </c>
      <c r="BN755" s="17">
        <v>909</v>
      </c>
      <c r="BO755" s="6">
        <v>58.849606340000001</v>
      </c>
      <c r="BP755" s="6">
        <v>60.902685480000002</v>
      </c>
      <c r="BQ755" s="19">
        <v>-2.0530791399999999</v>
      </c>
    </row>
    <row r="756" spans="1:69" x14ac:dyDescent="0.25">
      <c r="A756" t="s">
        <v>160</v>
      </c>
      <c r="B756">
        <v>2</v>
      </c>
      <c r="C756" s="36">
        <v>8</v>
      </c>
      <c r="D756" s="36">
        <v>3</v>
      </c>
      <c r="E756" s="32">
        <v>58</v>
      </c>
      <c r="F756" s="13">
        <v>59.5</v>
      </c>
      <c r="G756">
        <v>82.55058246474556</v>
      </c>
      <c r="H756" t="s">
        <v>12</v>
      </c>
      <c r="I756" t="s">
        <v>12</v>
      </c>
      <c r="AD756" s="17">
        <v>754</v>
      </c>
      <c r="AE756" s="6">
        <v>3.0446499999999999</v>
      </c>
      <c r="AF756" s="6">
        <v>1.5399</v>
      </c>
      <c r="AG756" s="6">
        <v>2.9316</v>
      </c>
      <c r="AH756" s="6">
        <v>255</v>
      </c>
      <c r="AJ756" s="17">
        <v>754</v>
      </c>
      <c r="AK756" s="6">
        <v>5.77332</v>
      </c>
      <c r="AL756" s="6">
        <v>1.5399</v>
      </c>
      <c r="AM756" s="6">
        <v>2.9316</v>
      </c>
      <c r="AN756" s="6">
        <v>255</v>
      </c>
      <c r="AQ756" s="17">
        <v>754</v>
      </c>
      <c r="AR756" s="6">
        <v>1.6071899999999999</v>
      </c>
      <c r="AS756" s="19">
        <v>-0.8458</v>
      </c>
      <c r="AT756" s="6">
        <v>0.81610000000000005</v>
      </c>
      <c r="AU756" s="6">
        <v>255</v>
      </c>
      <c r="AW756" s="17">
        <v>754</v>
      </c>
      <c r="AX756" s="6">
        <v>0.84758</v>
      </c>
      <c r="AY756" s="19">
        <v>-0.8458</v>
      </c>
      <c r="AZ756" s="6">
        <v>0.81610000000000005</v>
      </c>
      <c r="BA756" s="6">
        <v>255</v>
      </c>
      <c r="BN756" s="17">
        <v>910</v>
      </c>
      <c r="BO756" s="6">
        <v>84.145972880000002</v>
      </c>
      <c r="BP756" s="6">
        <v>86.782374050000001</v>
      </c>
      <c r="BQ756" s="19">
        <v>-2.6364011700000001</v>
      </c>
    </row>
    <row r="757" spans="1:69" x14ac:dyDescent="0.25">
      <c r="A757" t="s">
        <v>160</v>
      </c>
      <c r="B757">
        <v>3</v>
      </c>
      <c r="C757" s="36">
        <v>14</v>
      </c>
      <c r="D757" s="36">
        <v>6</v>
      </c>
      <c r="E757" s="32">
        <v>58</v>
      </c>
      <c r="F757" s="13">
        <v>60.1</v>
      </c>
      <c r="G757">
        <v>80.74699348908463</v>
      </c>
      <c r="H757" t="s">
        <v>12</v>
      </c>
      <c r="I757" t="s">
        <v>12</v>
      </c>
      <c r="AD757" s="17">
        <v>755</v>
      </c>
      <c r="AE757" s="6">
        <v>3.04732</v>
      </c>
      <c r="AF757" s="19">
        <v>-4.5004999999999997</v>
      </c>
      <c r="AG757" s="6">
        <v>2.9342000000000001</v>
      </c>
      <c r="AH757" s="6">
        <v>255</v>
      </c>
      <c r="AJ757" s="17">
        <v>755</v>
      </c>
      <c r="AK757" s="6">
        <v>5.7783800000000003</v>
      </c>
      <c r="AL757" s="19">
        <v>-4.5004999999999997</v>
      </c>
      <c r="AM757" s="6">
        <v>2.9342000000000001</v>
      </c>
      <c r="AN757" s="6">
        <v>255</v>
      </c>
      <c r="AQ757" s="17">
        <v>755</v>
      </c>
      <c r="AR757" s="6">
        <v>1.59826</v>
      </c>
      <c r="AS757" s="19">
        <v>-2.2151999999999998</v>
      </c>
      <c r="AT757" s="6">
        <v>0.81159999999999999</v>
      </c>
      <c r="AU757" s="6">
        <v>255</v>
      </c>
      <c r="AW757" s="17">
        <v>755</v>
      </c>
      <c r="AX757" s="6">
        <v>0.84287000000000001</v>
      </c>
      <c r="AY757" s="19">
        <v>-2.2151999999999998</v>
      </c>
      <c r="AZ757" s="6">
        <v>0.81159999999999999</v>
      </c>
      <c r="BA757" s="6">
        <v>255</v>
      </c>
      <c r="BN757" s="17">
        <v>911</v>
      </c>
      <c r="BO757" s="6">
        <v>82.550582460000001</v>
      </c>
      <c r="BP757" s="6">
        <v>81.725904249999999</v>
      </c>
      <c r="BQ757" s="6">
        <v>0.82467820999999997</v>
      </c>
    </row>
    <row r="758" spans="1:69" x14ac:dyDescent="0.25">
      <c r="A758" t="s">
        <v>160</v>
      </c>
      <c r="B758">
        <v>1</v>
      </c>
      <c r="C758" s="36">
        <v>1</v>
      </c>
      <c r="D758" s="36">
        <v>1</v>
      </c>
      <c r="E758" s="32">
        <v>25</v>
      </c>
      <c r="F758" s="13">
        <v>60</v>
      </c>
      <c r="G758">
        <v>93.013567125645437</v>
      </c>
      <c r="H758">
        <v>9.8000000000000007</v>
      </c>
      <c r="I758" t="s">
        <v>12</v>
      </c>
      <c r="AD758" s="17">
        <v>756</v>
      </c>
      <c r="AE758" s="6">
        <v>3.0645500000000001</v>
      </c>
      <c r="AF758" s="6">
        <v>4.2633999999999999</v>
      </c>
      <c r="AG758" s="6">
        <v>2.9508000000000001</v>
      </c>
      <c r="AH758" s="6">
        <v>255</v>
      </c>
      <c r="AJ758" s="17">
        <v>756</v>
      </c>
      <c r="AK758" s="6">
        <v>5.81107</v>
      </c>
      <c r="AL758" s="6">
        <v>4.2633999999999999</v>
      </c>
      <c r="AM758" s="6">
        <v>2.9508000000000001</v>
      </c>
      <c r="AN758" s="6">
        <v>255</v>
      </c>
      <c r="AQ758" s="17">
        <v>756</v>
      </c>
      <c r="AR758" s="6">
        <v>1.61104</v>
      </c>
      <c r="AS758" s="6">
        <v>0.2762</v>
      </c>
      <c r="AT758" s="6">
        <v>0.81810000000000005</v>
      </c>
      <c r="AU758" s="6">
        <v>255</v>
      </c>
      <c r="AW758" s="17">
        <v>756</v>
      </c>
      <c r="AX758" s="6">
        <v>0.84960999999999998</v>
      </c>
      <c r="AY758" s="6">
        <v>0.2762</v>
      </c>
      <c r="AZ758" s="6">
        <v>0.81810000000000005</v>
      </c>
      <c r="BA758" s="6">
        <v>255</v>
      </c>
      <c r="BN758" s="17">
        <v>912</v>
      </c>
      <c r="BO758" s="6">
        <v>80.746993489999994</v>
      </c>
      <c r="BP758" s="6">
        <v>78.935270529999997</v>
      </c>
      <c r="BQ758" s="6">
        <v>1.81172296</v>
      </c>
    </row>
    <row r="759" spans="1:69" x14ac:dyDescent="0.25">
      <c r="A759" t="s">
        <v>160</v>
      </c>
      <c r="B759">
        <v>2</v>
      </c>
      <c r="C759" s="36">
        <v>4</v>
      </c>
      <c r="D759" s="36">
        <v>4</v>
      </c>
      <c r="E759" s="32">
        <v>25</v>
      </c>
      <c r="F759" s="13">
        <v>59.1</v>
      </c>
      <c r="G759">
        <v>82.091514647625573</v>
      </c>
      <c r="H759" t="s">
        <v>12</v>
      </c>
      <c r="I759" t="s">
        <v>12</v>
      </c>
      <c r="AD759" s="17">
        <v>757</v>
      </c>
      <c r="AE759" s="6">
        <v>3.0409999999999999</v>
      </c>
      <c r="AF759" s="19">
        <v>-1.1669</v>
      </c>
      <c r="AG759" s="6">
        <v>2.9281000000000001</v>
      </c>
      <c r="AH759" s="6">
        <v>255</v>
      </c>
      <c r="AJ759" s="17">
        <v>757</v>
      </c>
      <c r="AK759" s="6">
        <v>5.7664099999999996</v>
      </c>
      <c r="AL759" s="19">
        <v>-1.1669</v>
      </c>
      <c r="AM759" s="6">
        <v>2.9281000000000001</v>
      </c>
      <c r="AN759" s="6">
        <v>255</v>
      </c>
      <c r="AQ759" s="17">
        <v>757</v>
      </c>
      <c r="AR759" s="6">
        <v>1.5949599999999999</v>
      </c>
      <c r="AS759" s="19">
        <v>-1.0644</v>
      </c>
      <c r="AT759" s="6">
        <v>0.80989999999999995</v>
      </c>
      <c r="AU759" s="6">
        <v>255</v>
      </c>
      <c r="AW759" s="17">
        <v>757</v>
      </c>
      <c r="AX759" s="6">
        <v>0.84111999999999998</v>
      </c>
      <c r="AY759" s="19">
        <v>-1.0644</v>
      </c>
      <c r="AZ759" s="6">
        <v>0.80989999999999995</v>
      </c>
      <c r="BA759" s="6">
        <v>255</v>
      </c>
      <c r="BN759" s="17">
        <v>913</v>
      </c>
      <c r="BO759" s="6">
        <v>93.013567129999998</v>
      </c>
      <c r="BP759" s="6">
        <v>87.367445590000003</v>
      </c>
      <c r="BQ759" s="6">
        <v>5.6461215400000002</v>
      </c>
    </row>
    <row r="760" spans="1:69" x14ac:dyDescent="0.25">
      <c r="A760" t="s">
        <v>160</v>
      </c>
      <c r="B760">
        <v>3</v>
      </c>
      <c r="C760" s="36">
        <v>16</v>
      </c>
      <c r="D760" s="36">
        <v>5</v>
      </c>
      <c r="E760" s="32">
        <v>25</v>
      </c>
      <c r="F760" s="13">
        <v>56.1</v>
      </c>
      <c r="G760">
        <v>74.093681690685742</v>
      </c>
      <c r="H760" t="s">
        <v>12</v>
      </c>
      <c r="I760" t="s">
        <v>12</v>
      </c>
      <c r="AD760" s="17">
        <v>758</v>
      </c>
      <c r="AE760" s="6">
        <v>3.0579800000000001</v>
      </c>
      <c r="AF760" s="19">
        <v>-3.4270999999999998</v>
      </c>
      <c r="AG760" s="6">
        <v>2.9445000000000001</v>
      </c>
      <c r="AH760" s="6">
        <v>255</v>
      </c>
      <c r="AJ760" s="17">
        <v>758</v>
      </c>
      <c r="AK760" s="6">
        <v>5.7986000000000004</v>
      </c>
      <c r="AL760" s="19">
        <v>-3.4270999999999998</v>
      </c>
      <c r="AM760" s="6">
        <v>2.9445000000000001</v>
      </c>
      <c r="AN760" s="6">
        <v>255</v>
      </c>
      <c r="AQ760" s="17">
        <v>758</v>
      </c>
      <c r="AR760" s="6">
        <v>1.6038300000000001</v>
      </c>
      <c r="AS760" s="19">
        <v>-0.89419999999999999</v>
      </c>
      <c r="AT760" s="6">
        <v>0.81440000000000001</v>
      </c>
      <c r="AU760" s="6">
        <v>255</v>
      </c>
      <c r="AW760" s="17">
        <v>758</v>
      </c>
      <c r="AX760" s="6">
        <v>0.8458</v>
      </c>
      <c r="AY760" s="19">
        <v>-0.89419999999999999</v>
      </c>
      <c r="AZ760" s="6">
        <v>0.81440000000000001</v>
      </c>
      <c r="BA760" s="6">
        <v>255</v>
      </c>
      <c r="BN760" s="17">
        <v>914</v>
      </c>
      <c r="BO760" s="6">
        <v>82.091514649999993</v>
      </c>
      <c r="BP760" s="6">
        <v>82.310975799999994</v>
      </c>
      <c r="BQ760" s="19">
        <v>-0.21946114999999999</v>
      </c>
    </row>
    <row r="761" spans="1:69" x14ac:dyDescent="0.25">
      <c r="A761" t="s">
        <v>160</v>
      </c>
      <c r="B761">
        <v>1</v>
      </c>
      <c r="C761" s="36">
        <v>2</v>
      </c>
      <c r="D761" s="36">
        <v>1</v>
      </c>
      <c r="E761" s="32">
        <v>34</v>
      </c>
      <c r="F761" s="13">
        <v>60.8</v>
      </c>
      <c r="G761">
        <v>98.020223752151452</v>
      </c>
      <c r="H761">
        <v>9.6999999999999993</v>
      </c>
      <c r="I761" t="s">
        <v>12</v>
      </c>
      <c r="AD761" s="17">
        <v>759</v>
      </c>
      <c r="AE761" s="6">
        <v>3.0420099999999999</v>
      </c>
      <c r="AF761" s="19">
        <v>-2.1766999999999999</v>
      </c>
      <c r="AG761" s="6">
        <v>2.9291</v>
      </c>
      <c r="AH761" s="6">
        <v>255</v>
      </c>
      <c r="AJ761" s="17">
        <v>759</v>
      </c>
      <c r="AK761" s="6">
        <v>5.7683200000000001</v>
      </c>
      <c r="AL761" s="19">
        <v>-2.1766999999999999</v>
      </c>
      <c r="AM761" s="6">
        <v>2.9291</v>
      </c>
      <c r="AN761" s="6">
        <v>255</v>
      </c>
      <c r="AQ761" s="17">
        <v>759</v>
      </c>
      <c r="AR761" s="6">
        <v>1.60212</v>
      </c>
      <c r="AS761" s="19">
        <v>-1.3076000000000001</v>
      </c>
      <c r="AT761" s="6">
        <v>0.8135</v>
      </c>
      <c r="AU761" s="6">
        <v>255</v>
      </c>
      <c r="AW761" s="17">
        <v>759</v>
      </c>
      <c r="AX761" s="6">
        <v>0.84489999999999998</v>
      </c>
      <c r="AY761" s="19">
        <v>-1.3076000000000001</v>
      </c>
      <c r="AZ761" s="6">
        <v>0.8135</v>
      </c>
      <c r="BA761" s="6">
        <v>255</v>
      </c>
      <c r="BN761" s="17">
        <v>915</v>
      </c>
      <c r="BO761" s="6">
        <v>74.093681689999997</v>
      </c>
      <c r="BP761" s="6">
        <v>79.520342080000006</v>
      </c>
      <c r="BQ761" s="19">
        <v>-5.4266603900000003</v>
      </c>
    </row>
    <row r="762" spans="1:69" x14ac:dyDescent="0.25">
      <c r="A762" t="s">
        <v>160</v>
      </c>
      <c r="B762">
        <v>2</v>
      </c>
      <c r="C762" s="36">
        <v>6</v>
      </c>
      <c r="D762" s="36">
        <v>3</v>
      </c>
      <c r="E762" s="32">
        <v>34</v>
      </c>
      <c r="F762" s="13">
        <v>60</v>
      </c>
      <c r="G762">
        <v>92.415377069282641</v>
      </c>
      <c r="H762" t="s">
        <v>12</v>
      </c>
      <c r="I762" t="s">
        <v>12</v>
      </c>
      <c r="AD762" s="17">
        <v>760</v>
      </c>
      <c r="AE762" s="6">
        <v>3.0373399999999999</v>
      </c>
      <c r="AF762" s="19">
        <v>-2.4719000000000002</v>
      </c>
      <c r="AG762" s="6">
        <v>2.9245999999999999</v>
      </c>
      <c r="AH762" s="6">
        <v>255</v>
      </c>
      <c r="AJ762" s="17">
        <v>760</v>
      </c>
      <c r="AK762" s="6">
        <v>5.7594599999999998</v>
      </c>
      <c r="AL762" s="19">
        <v>-2.4719000000000002</v>
      </c>
      <c r="AM762" s="6">
        <v>2.9245999999999999</v>
      </c>
      <c r="AN762" s="6">
        <v>255</v>
      </c>
      <c r="AQ762" s="17">
        <v>760</v>
      </c>
      <c r="AR762" s="6">
        <v>1.60188</v>
      </c>
      <c r="AS762" s="19">
        <v>-2.5272999999999999</v>
      </c>
      <c r="AT762" s="6">
        <v>0.81340000000000001</v>
      </c>
      <c r="AU762" s="6">
        <v>255</v>
      </c>
      <c r="AW762" s="17">
        <v>760</v>
      </c>
      <c r="AX762" s="6">
        <v>0.84477000000000002</v>
      </c>
      <c r="AY762" s="19">
        <v>-2.5272999999999999</v>
      </c>
      <c r="AZ762" s="6">
        <v>0.81340000000000001</v>
      </c>
      <c r="BA762" s="6">
        <v>255</v>
      </c>
      <c r="BN762" s="17">
        <v>916</v>
      </c>
      <c r="BO762" s="6">
        <v>98.02022375</v>
      </c>
      <c r="BP762" s="6">
        <v>97.14779729</v>
      </c>
      <c r="BQ762" s="6">
        <v>0.87242646000000001</v>
      </c>
    </row>
    <row r="763" spans="1:69" x14ac:dyDescent="0.25">
      <c r="A763" t="s">
        <v>160</v>
      </c>
      <c r="B763">
        <v>3</v>
      </c>
      <c r="C763" s="36">
        <v>10</v>
      </c>
      <c r="D763" s="36">
        <v>6</v>
      </c>
      <c r="E763" s="32">
        <v>34</v>
      </c>
      <c r="F763" s="13">
        <v>60</v>
      </c>
      <c r="G763">
        <v>88.104217732669468</v>
      </c>
      <c r="H763" t="s">
        <v>12</v>
      </c>
      <c r="I763" t="s">
        <v>12</v>
      </c>
      <c r="AD763" s="17">
        <v>761</v>
      </c>
      <c r="AE763" s="6">
        <v>3.0344899999999999</v>
      </c>
      <c r="AF763" s="6">
        <v>2.9662000000000002</v>
      </c>
      <c r="AG763" s="6">
        <v>2.9218999999999999</v>
      </c>
      <c r="AH763" s="6">
        <v>255</v>
      </c>
      <c r="AJ763" s="17">
        <v>761</v>
      </c>
      <c r="AK763" s="6">
        <v>5.75406</v>
      </c>
      <c r="AL763" s="6">
        <v>2.9662000000000002</v>
      </c>
      <c r="AM763" s="6">
        <v>2.9218999999999999</v>
      </c>
      <c r="AN763" s="6">
        <v>255</v>
      </c>
      <c r="AQ763" s="17">
        <v>761</v>
      </c>
      <c r="AR763" s="6">
        <v>1.59527</v>
      </c>
      <c r="AS763" s="6">
        <v>0.40989999999999999</v>
      </c>
      <c r="AT763" s="6">
        <v>0.81010000000000004</v>
      </c>
      <c r="AU763" s="6">
        <v>255</v>
      </c>
      <c r="AW763" s="17">
        <v>761</v>
      </c>
      <c r="AX763" s="6">
        <v>0.84128999999999998</v>
      </c>
      <c r="AY763" s="6">
        <v>0.40989999999999999</v>
      </c>
      <c r="AZ763" s="6">
        <v>0.81010000000000004</v>
      </c>
      <c r="BA763" s="6">
        <v>255</v>
      </c>
      <c r="BN763" s="17">
        <v>917</v>
      </c>
      <c r="BO763" s="6">
        <v>92.415377070000005</v>
      </c>
      <c r="BP763" s="6">
        <v>92.091327489999998</v>
      </c>
      <c r="BQ763" s="6">
        <v>0.32404958</v>
      </c>
    </row>
    <row r="764" spans="1:69" x14ac:dyDescent="0.25">
      <c r="A764" t="s">
        <v>160</v>
      </c>
      <c r="B764">
        <v>1</v>
      </c>
      <c r="C764" s="36">
        <v>16</v>
      </c>
      <c r="D764" s="36">
        <v>2</v>
      </c>
      <c r="E764" s="32">
        <v>35</v>
      </c>
      <c r="F764" s="13">
        <v>60.5</v>
      </c>
      <c r="G764">
        <v>92.16923970944309</v>
      </c>
      <c r="H764">
        <v>9.8000000000000007</v>
      </c>
      <c r="I764" t="s">
        <v>12</v>
      </c>
      <c r="AD764" s="17">
        <v>762</v>
      </c>
      <c r="AE764" s="6">
        <v>3.0600299999999998</v>
      </c>
      <c r="AF764" s="19">
        <v>-0.17949999999999999</v>
      </c>
      <c r="AG764" s="6">
        <v>2.9464999999999999</v>
      </c>
      <c r="AH764" s="6">
        <v>255</v>
      </c>
      <c r="AJ764" s="17">
        <v>762</v>
      </c>
      <c r="AK764" s="6">
        <v>5.8024899999999997</v>
      </c>
      <c r="AL764" s="19">
        <v>-0.17949999999999999</v>
      </c>
      <c r="AM764" s="6">
        <v>2.9464999999999999</v>
      </c>
      <c r="AN764" s="6">
        <v>255</v>
      </c>
      <c r="AQ764" s="17">
        <v>762</v>
      </c>
      <c r="AR764" s="6">
        <v>1.59985</v>
      </c>
      <c r="AS764" s="6">
        <v>0.2636</v>
      </c>
      <c r="AT764" s="6">
        <v>0.81240000000000001</v>
      </c>
      <c r="AU764" s="6">
        <v>255</v>
      </c>
      <c r="AW764" s="17">
        <v>762</v>
      </c>
      <c r="AX764" s="6">
        <v>0.84370000000000001</v>
      </c>
      <c r="AY764" s="6">
        <v>0.2636</v>
      </c>
      <c r="AZ764" s="6">
        <v>0.81240000000000001</v>
      </c>
      <c r="BA764" s="6">
        <v>255</v>
      </c>
      <c r="BN764" s="17">
        <v>918</v>
      </c>
      <c r="BO764" s="6">
        <v>88.104217730000002</v>
      </c>
      <c r="BP764" s="6">
        <v>89.300693769999995</v>
      </c>
      <c r="BQ764" s="19">
        <v>-1.1964760400000001</v>
      </c>
    </row>
    <row r="765" spans="1:69" x14ac:dyDescent="0.25">
      <c r="A765" t="s">
        <v>160</v>
      </c>
      <c r="B765">
        <v>2</v>
      </c>
      <c r="C765" s="36">
        <v>20</v>
      </c>
      <c r="D765" s="36">
        <v>3</v>
      </c>
      <c r="E765" s="32">
        <v>35</v>
      </c>
      <c r="F765" s="13">
        <v>60.6</v>
      </c>
      <c r="G765">
        <v>90.142341178135169</v>
      </c>
      <c r="H765" t="s">
        <v>12</v>
      </c>
      <c r="I765" t="s">
        <v>12</v>
      </c>
      <c r="AD765" s="17">
        <v>763</v>
      </c>
      <c r="AE765" s="6">
        <v>3.0585900000000001</v>
      </c>
      <c r="AF765" s="19">
        <v>-1.9341999999999999</v>
      </c>
      <c r="AG765" s="6">
        <v>2.9451000000000001</v>
      </c>
      <c r="AH765" s="6">
        <v>255</v>
      </c>
      <c r="AJ765" s="17">
        <v>763</v>
      </c>
      <c r="AK765" s="6">
        <v>5.7997500000000004</v>
      </c>
      <c r="AL765" s="19">
        <v>-1.9341999999999999</v>
      </c>
      <c r="AM765" s="6">
        <v>2.9451000000000001</v>
      </c>
      <c r="AN765" s="6">
        <v>255</v>
      </c>
      <c r="AQ765" s="17">
        <v>763</v>
      </c>
      <c r="AR765" s="6">
        <v>1.60219</v>
      </c>
      <c r="AS765" s="19">
        <v>-0.1938</v>
      </c>
      <c r="AT765" s="6">
        <v>0.81359999999999999</v>
      </c>
      <c r="AU765" s="6">
        <v>255</v>
      </c>
      <c r="AW765" s="17">
        <v>763</v>
      </c>
      <c r="AX765" s="6">
        <v>0.84494000000000002</v>
      </c>
      <c r="AY765" s="19">
        <v>-0.1938</v>
      </c>
      <c r="AZ765" s="6">
        <v>0.81359999999999999</v>
      </c>
      <c r="BA765" s="6">
        <v>255</v>
      </c>
      <c r="BN765" s="17">
        <v>919</v>
      </c>
      <c r="BO765" s="6">
        <v>92.169239709999999</v>
      </c>
      <c r="BP765" s="6">
        <v>94.428068120000006</v>
      </c>
      <c r="BQ765" s="19">
        <v>-2.25882841</v>
      </c>
    </row>
    <row r="766" spans="1:69" x14ac:dyDescent="0.25">
      <c r="A766" t="s">
        <v>160</v>
      </c>
      <c r="B766">
        <v>3</v>
      </c>
      <c r="C766" s="36">
        <v>15</v>
      </c>
      <c r="D766" s="36">
        <v>6</v>
      </c>
      <c r="E766" s="32">
        <v>35</v>
      </c>
      <c r="F766" s="13">
        <v>61.2</v>
      </c>
      <c r="G766">
        <v>88.069050172347758</v>
      </c>
      <c r="H766" t="s">
        <v>12</v>
      </c>
      <c r="I766" t="s">
        <v>12</v>
      </c>
      <c r="AD766" s="17">
        <v>764</v>
      </c>
      <c r="AE766" s="6">
        <v>3.0563400000000001</v>
      </c>
      <c r="AF766" s="6">
        <v>1.7869999999999999</v>
      </c>
      <c r="AG766" s="6">
        <v>2.9428999999999998</v>
      </c>
      <c r="AH766" s="6">
        <v>255</v>
      </c>
      <c r="AJ766" s="17">
        <v>764</v>
      </c>
      <c r="AK766" s="6">
        <v>5.79549</v>
      </c>
      <c r="AL766" s="6">
        <v>1.7869999999999999</v>
      </c>
      <c r="AM766" s="6">
        <v>2.9428999999999998</v>
      </c>
      <c r="AN766" s="6">
        <v>255</v>
      </c>
      <c r="AQ766" s="17">
        <v>764</v>
      </c>
      <c r="AR766" s="6">
        <v>1.6061799999999999</v>
      </c>
      <c r="AS766" s="19">
        <v>-0.87770000000000004</v>
      </c>
      <c r="AT766" s="6">
        <v>0.81559999999999999</v>
      </c>
      <c r="AU766" s="6">
        <v>255</v>
      </c>
      <c r="AW766" s="17">
        <v>764</v>
      </c>
      <c r="AX766" s="6">
        <v>0.84704000000000002</v>
      </c>
      <c r="AY766" s="19">
        <v>-0.87770000000000004</v>
      </c>
      <c r="AZ766" s="6">
        <v>0.81559999999999999</v>
      </c>
      <c r="BA766" s="6">
        <v>255</v>
      </c>
      <c r="BN766" s="17">
        <v>920</v>
      </c>
      <c r="BO766" s="6">
        <v>90.142341180000003</v>
      </c>
      <c r="BP766" s="6">
        <v>89.371598329999998</v>
      </c>
      <c r="BQ766" s="6">
        <v>0.77074284999999998</v>
      </c>
    </row>
    <row r="767" spans="1:69" x14ac:dyDescent="0.25">
      <c r="A767" t="s">
        <v>160</v>
      </c>
      <c r="B767">
        <v>1</v>
      </c>
      <c r="C767" s="36">
        <v>17</v>
      </c>
      <c r="D767" s="36">
        <v>1</v>
      </c>
      <c r="E767" s="32">
        <v>57</v>
      </c>
      <c r="F767" s="13">
        <v>58.1</v>
      </c>
      <c r="G767">
        <v>83.263941480206526</v>
      </c>
      <c r="H767">
        <v>10.9</v>
      </c>
      <c r="I767" t="s">
        <v>12</v>
      </c>
      <c r="AD767" s="17">
        <v>765</v>
      </c>
      <c r="AE767" s="6">
        <v>3.04949</v>
      </c>
      <c r="AF767" s="6">
        <v>10.291</v>
      </c>
      <c r="AG767" s="6">
        <v>2.9363000000000001</v>
      </c>
      <c r="AH767" s="6">
        <v>255</v>
      </c>
      <c r="AJ767" s="17">
        <v>765</v>
      </c>
      <c r="AK767" s="6">
        <v>5.7825100000000003</v>
      </c>
      <c r="AL767" s="6">
        <v>10.291</v>
      </c>
      <c r="AM767" s="6">
        <v>2.9363000000000001</v>
      </c>
      <c r="AN767" s="6">
        <v>255</v>
      </c>
      <c r="AQ767" s="17">
        <v>765</v>
      </c>
      <c r="AR767" s="6">
        <v>1.6060399999999999</v>
      </c>
      <c r="AS767" s="6">
        <v>2.0308999999999999</v>
      </c>
      <c r="AT767" s="6">
        <v>0.8155</v>
      </c>
      <c r="AU767" s="6">
        <v>255</v>
      </c>
      <c r="AW767" s="17">
        <v>765</v>
      </c>
      <c r="AX767" s="6">
        <v>0.84697</v>
      </c>
      <c r="AY767" s="6">
        <v>2.0308999999999999</v>
      </c>
      <c r="AZ767" s="6">
        <v>0.8155</v>
      </c>
      <c r="BA767" s="6">
        <v>255</v>
      </c>
      <c r="BN767" s="17">
        <v>921</v>
      </c>
      <c r="BO767" s="6">
        <v>88.069050169999997</v>
      </c>
      <c r="BP767" s="6">
        <v>86.580964609999995</v>
      </c>
      <c r="BQ767" s="6">
        <v>1.48808556</v>
      </c>
    </row>
    <row r="768" spans="1:69" x14ac:dyDescent="0.25">
      <c r="A768" t="s">
        <v>160</v>
      </c>
      <c r="B768">
        <v>2</v>
      </c>
      <c r="C768" s="36">
        <v>5</v>
      </c>
      <c r="D768" s="36">
        <v>3</v>
      </c>
      <c r="E768" s="32">
        <v>57</v>
      </c>
      <c r="F768" s="13">
        <v>59.7</v>
      </c>
      <c r="G768">
        <v>83.228636513700877</v>
      </c>
      <c r="H768" t="s">
        <v>12</v>
      </c>
      <c r="I768" t="s">
        <v>12</v>
      </c>
      <c r="AD768" s="17">
        <v>766</v>
      </c>
      <c r="AE768" s="6">
        <v>3.0377900000000002</v>
      </c>
      <c r="AF768" s="19">
        <v>-3.5205000000000002</v>
      </c>
      <c r="AG768" s="6">
        <v>2.9249999999999998</v>
      </c>
      <c r="AH768" s="6">
        <v>255</v>
      </c>
      <c r="AJ768" s="17">
        <v>766</v>
      </c>
      <c r="AK768" s="6">
        <v>5.7603099999999996</v>
      </c>
      <c r="AL768" s="19">
        <v>-3.5205000000000002</v>
      </c>
      <c r="AM768" s="6">
        <v>2.9249999999999998</v>
      </c>
      <c r="AN768" s="6">
        <v>255</v>
      </c>
      <c r="AQ768" s="17">
        <v>766</v>
      </c>
      <c r="AR768" s="6">
        <v>1.58711</v>
      </c>
      <c r="AS768" s="19">
        <v>-1.9448000000000001</v>
      </c>
      <c r="AT768" s="6">
        <v>0.80589999999999995</v>
      </c>
      <c r="AU768" s="6">
        <v>255</v>
      </c>
      <c r="AW768" s="17">
        <v>766</v>
      </c>
      <c r="AX768" s="6">
        <v>0.83699000000000001</v>
      </c>
      <c r="AY768" s="19">
        <v>-1.9448000000000001</v>
      </c>
      <c r="AZ768" s="6">
        <v>0.80589999999999995</v>
      </c>
      <c r="BA768" s="6">
        <v>255</v>
      </c>
      <c r="BN768" s="17">
        <v>922</v>
      </c>
      <c r="BO768" s="6">
        <v>83.26394148</v>
      </c>
      <c r="BP768" s="6">
        <v>85.768996689999994</v>
      </c>
      <c r="BQ768" s="19">
        <v>-2.5050552100000001</v>
      </c>
    </row>
    <row r="769" spans="1:69" x14ac:dyDescent="0.25">
      <c r="A769" t="s">
        <v>160</v>
      </c>
      <c r="B769">
        <v>3</v>
      </c>
      <c r="C769" s="36">
        <v>21</v>
      </c>
      <c r="D769" s="36">
        <v>6</v>
      </c>
      <c r="E769" s="32">
        <v>57</v>
      </c>
      <c r="F769" s="13">
        <v>60.1</v>
      </c>
      <c r="G769">
        <v>77.910838759096123</v>
      </c>
      <c r="H769" t="s">
        <v>12</v>
      </c>
      <c r="I769" t="s">
        <v>12</v>
      </c>
      <c r="AD769" s="17">
        <v>767</v>
      </c>
      <c r="AE769" s="6">
        <v>3.0500099999999999</v>
      </c>
      <c r="AF769" s="19">
        <v>-3.1920999999999999</v>
      </c>
      <c r="AG769" s="6">
        <v>2.9367999999999999</v>
      </c>
      <c r="AH769" s="6">
        <v>255</v>
      </c>
      <c r="AJ769" s="17">
        <v>767</v>
      </c>
      <c r="AK769" s="6">
        <v>5.7835000000000001</v>
      </c>
      <c r="AL769" s="19">
        <v>-3.1920999999999999</v>
      </c>
      <c r="AM769" s="6">
        <v>2.9367999999999999</v>
      </c>
      <c r="AN769" s="6">
        <v>255</v>
      </c>
      <c r="AQ769" s="17">
        <v>767</v>
      </c>
      <c r="AR769" s="6">
        <v>1.59232</v>
      </c>
      <c r="AS769" s="19">
        <v>-1.1026</v>
      </c>
      <c r="AT769" s="6">
        <v>0.80859999999999999</v>
      </c>
      <c r="AU769" s="6">
        <v>255</v>
      </c>
      <c r="AW769" s="17">
        <v>767</v>
      </c>
      <c r="AX769" s="6">
        <v>0.83972999999999998</v>
      </c>
      <c r="AY769" s="19">
        <v>-1.1026</v>
      </c>
      <c r="AZ769" s="6">
        <v>0.80859999999999999</v>
      </c>
      <c r="BA769" s="6">
        <v>255</v>
      </c>
      <c r="BN769" s="17">
        <v>923</v>
      </c>
      <c r="BO769" s="6">
        <v>83.228636510000001</v>
      </c>
      <c r="BP769" s="6">
        <v>80.712526890000007</v>
      </c>
      <c r="BQ769" s="6">
        <v>2.5161096199999999</v>
      </c>
    </row>
    <row r="770" spans="1:69" x14ac:dyDescent="0.25">
      <c r="A770" t="s">
        <v>160</v>
      </c>
      <c r="B770">
        <v>1</v>
      </c>
      <c r="C770" s="36">
        <v>24</v>
      </c>
      <c r="D770" s="36">
        <v>2</v>
      </c>
      <c r="E770" s="32">
        <v>49</v>
      </c>
      <c r="F770" s="13">
        <v>58.3</v>
      </c>
      <c r="G770">
        <v>73.02939951573849</v>
      </c>
      <c r="H770">
        <v>11.4</v>
      </c>
      <c r="I770" t="s">
        <v>12</v>
      </c>
      <c r="AD770" s="17">
        <v>768</v>
      </c>
      <c r="AE770" s="6">
        <v>3.0373399999999999</v>
      </c>
      <c r="AF770" s="19">
        <v>-0.67410000000000003</v>
      </c>
      <c r="AG770" s="6">
        <v>2.9245999999999999</v>
      </c>
      <c r="AH770" s="6">
        <v>255</v>
      </c>
      <c r="AJ770" s="17">
        <v>768</v>
      </c>
      <c r="AK770" s="6">
        <v>5.7594700000000003</v>
      </c>
      <c r="AL770" s="19">
        <v>-0.67410000000000003</v>
      </c>
      <c r="AM770" s="6">
        <v>2.9245999999999999</v>
      </c>
      <c r="AN770" s="6">
        <v>255</v>
      </c>
      <c r="AQ770" s="17">
        <v>768</v>
      </c>
      <c r="AR770" s="6">
        <v>1.5861400000000001</v>
      </c>
      <c r="AS770" s="19">
        <v>-2.7715999999999998</v>
      </c>
      <c r="AT770" s="6">
        <v>0.8054</v>
      </c>
      <c r="AU770" s="6">
        <v>255</v>
      </c>
      <c r="AW770" s="17">
        <v>768</v>
      </c>
      <c r="AX770" s="6">
        <v>0.83648</v>
      </c>
      <c r="AY770" s="19">
        <v>-2.7715999999999998</v>
      </c>
      <c r="AZ770" s="6">
        <v>0.8054</v>
      </c>
      <c r="BA770" s="6">
        <v>255</v>
      </c>
      <c r="BN770" s="17">
        <v>924</v>
      </c>
      <c r="BO770" s="6">
        <v>77.910838760000004</v>
      </c>
      <c r="BP770" s="6">
        <v>77.921893170000004</v>
      </c>
      <c r="BQ770" s="19">
        <v>-1.1054410000000001E-2</v>
      </c>
    </row>
    <row r="771" spans="1:69" x14ac:dyDescent="0.25">
      <c r="A771" t="s">
        <v>160</v>
      </c>
      <c r="B771">
        <v>2</v>
      </c>
      <c r="C771" s="36">
        <v>26</v>
      </c>
      <c r="D771" s="36">
        <v>4</v>
      </c>
      <c r="E771" s="32">
        <v>49</v>
      </c>
      <c r="F771" s="13">
        <v>59.1</v>
      </c>
      <c r="G771">
        <v>67.325761725436493</v>
      </c>
      <c r="H771" t="s">
        <v>12</v>
      </c>
      <c r="I771" t="s">
        <v>12</v>
      </c>
      <c r="AD771" s="17">
        <v>769</v>
      </c>
      <c r="AE771" s="6">
        <v>3.0524900000000001</v>
      </c>
      <c r="AF771" s="6">
        <v>1.0041</v>
      </c>
      <c r="AG771" s="6">
        <v>2.9392</v>
      </c>
      <c r="AH771" s="6">
        <v>255</v>
      </c>
      <c r="AJ771" s="17">
        <v>769</v>
      </c>
      <c r="AK771" s="6">
        <v>5.7881900000000002</v>
      </c>
      <c r="AL771" s="6">
        <v>1.0041</v>
      </c>
      <c r="AM771" s="6">
        <v>2.9392</v>
      </c>
      <c r="AN771" s="6">
        <v>255</v>
      </c>
      <c r="AQ771" s="17">
        <v>769</v>
      </c>
      <c r="AR771" s="6">
        <v>1.6027100000000001</v>
      </c>
      <c r="AS771" s="19">
        <v>-2.3908</v>
      </c>
      <c r="AT771" s="6">
        <v>0.81379999999999997</v>
      </c>
      <c r="AU771" s="6">
        <v>255</v>
      </c>
      <c r="AW771" s="17">
        <v>769</v>
      </c>
      <c r="AX771" s="6">
        <v>0.84521000000000002</v>
      </c>
      <c r="AY771" s="19">
        <v>-2.3908</v>
      </c>
      <c r="AZ771" s="6">
        <v>0.81379999999999997</v>
      </c>
      <c r="BA771" s="6">
        <v>255</v>
      </c>
      <c r="BN771" s="17">
        <v>925</v>
      </c>
      <c r="BO771" s="6">
        <v>73.029399519999998</v>
      </c>
      <c r="BP771" s="6">
        <v>73.565551630000002</v>
      </c>
      <c r="BQ771" s="19">
        <v>-0.53615210999999996</v>
      </c>
    </row>
    <row r="772" spans="1:69" x14ac:dyDescent="0.25">
      <c r="A772" t="s">
        <v>160</v>
      </c>
      <c r="B772">
        <v>3</v>
      </c>
      <c r="C772" s="36">
        <v>25</v>
      </c>
      <c r="D772" s="36">
        <v>6</v>
      </c>
      <c r="E772" s="32">
        <v>49</v>
      </c>
      <c r="F772" s="13">
        <v>56.6</v>
      </c>
      <c r="G772">
        <v>67.437920337035592</v>
      </c>
      <c r="H772" t="s">
        <v>12</v>
      </c>
      <c r="I772" t="s">
        <v>12</v>
      </c>
      <c r="AD772" s="17">
        <v>770</v>
      </c>
      <c r="AE772" s="6">
        <v>3.0352199999999998</v>
      </c>
      <c r="AF772" s="19">
        <v>-1.478</v>
      </c>
      <c r="AG772" s="6">
        <v>2.9226000000000001</v>
      </c>
      <c r="AH772" s="6">
        <v>255</v>
      </c>
      <c r="AJ772" s="17">
        <v>770</v>
      </c>
      <c r="AK772" s="6">
        <v>5.7554400000000001</v>
      </c>
      <c r="AL772" s="19">
        <v>-1.478</v>
      </c>
      <c r="AM772" s="6">
        <v>2.9226000000000001</v>
      </c>
      <c r="AN772" s="6">
        <v>255</v>
      </c>
      <c r="AQ772" s="17">
        <v>770</v>
      </c>
      <c r="AR772" s="6">
        <v>1.61511</v>
      </c>
      <c r="AS772" s="19">
        <v>-1.0123</v>
      </c>
      <c r="AT772" s="6">
        <v>0.82010000000000005</v>
      </c>
      <c r="AU772" s="6">
        <v>255</v>
      </c>
      <c r="AW772" s="17">
        <v>770</v>
      </c>
      <c r="AX772" s="6">
        <v>0.85175000000000001</v>
      </c>
      <c r="AY772" s="19">
        <v>-1.0123</v>
      </c>
      <c r="AZ772" s="6">
        <v>0.82010000000000005</v>
      </c>
      <c r="BA772" s="6">
        <v>255</v>
      </c>
      <c r="BN772" s="17">
        <v>926</v>
      </c>
      <c r="BO772" s="6">
        <v>67.325761729999996</v>
      </c>
      <c r="BP772" s="6">
        <v>68.509081839999993</v>
      </c>
      <c r="BQ772" s="19">
        <v>-1.1833201099999999</v>
      </c>
    </row>
    <row r="773" spans="1:69" x14ac:dyDescent="0.25">
      <c r="A773" t="s">
        <v>160</v>
      </c>
      <c r="B773">
        <v>1</v>
      </c>
      <c r="C773" s="36">
        <v>10</v>
      </c>
      <c r="D773" s="36">
        <v>1</v>
      </c>
      <c r="E773" s="32">
        <v>48</v>
      </c>
      <c r="F773" s="13">
        <v>60.4</v>
      </c>
      <c r="G773">
        <v>77.302074010327019</v>
      </c>
      <c r="H773">
        <v>11.5</v>
      </c>
      <c r="I773" t="s">
        <v>12</v>
      </c>
      <c r="AD773" s="17">
        <v>771</v>
      </c>
      <c r="AE773" s="6">
        <v>3.0579100000000001</v>
      </c>
      <c r="AF773" s="6">
        <v>0.48230000000000001</v>
      </c>
      <c r="AG773" s="6">
        <v>2.9443999999999999</v>
      </c>
      <c r="AH773" s="6">
        <v>255</v>
      </c>
      <c r="AJ773" s="17">
        <v>771</v>
      </c>
      <c r="AK773" s="6">
        <v>5.79847</v>
      </c>
      <c r="AL773" s="6">
        <v>0.48230000000000001</v>
      </c>
      <c r="AM773" s="6">
        <v>2.9443999999999999</v>
      </c>
      <c r="AN773" s="6">
        <v>255</v>
      </c>
      <c r="AQ773" s="17">
        <v>771</v>
      </c>
      <c r="AR773" s="6">
        <v>1.5986800000000001</v>
      </c>
      <c r="AS773" s="19">
        <v>-1.1013999999999999</v>
      </c>
      <c r="AT773" s="6">
        <v>0.81179999999999997</v>
      </c>
      <c r="AU773" s="6">
        <v>255</v>
      </c>
      <c r="AW773" s="17">
        <v>771</v>
      </c>
      <c r="AX773" s="6">
        <v>0.84309000000000001</v>
      </c>
      <c r="AY773" s="19">
        <v>-1.1013999999999999</v>
      </c>
      <c r="AZ773" s="6">
        <v>0.81179999999999997</v>
      </c>
      <c r="BA773" s="6">
        <v>255</v>
      </c>
      <c r="BN773" s="17">
        <v>927</v>
      </c>
      <c r="BO773" s="6">
        <v>67.437920340000005</v>
      </c>
      <c r="BP773" s="6">
        <v>65.718448120000005</v>
      </c>
      <c r="BQ773" s="6">
        <v>1.7194722200000001</v>
      </c>
    </row>
    <row r="774" spans="1:69" x14ac:dyDescent="0.25">
      <c r="A774" t="s">
        <v>160</v>
      </c>
      <c r="B774">
        <v>2</v>
      </c>
      <c r="C774" s="36">
        <v>17</v>
      </c>
      <c r="D774" s="36">
        <v>4</v>
      </c>
      <c r="E774" s="32">
        <v>48</v>
      </c>
      <c r="F774" s="13">
        <v>60.1</v>
      </c>
      <c r="G774">
        <v>72.124262238959261</v>
      </c>
      <c r="H774" t="s">
        <v>12</v>
      </c>
      <c r="I774" t="s">
        <v>12</v>
      </c>
      <c r="AD774" s="17">
        <v>772</v>
      </c>
      <c r="AE774" s="6">
        <v>3.04827</v>
      </c>
      <c r="AF774" s="19">
        <v>-7.5838000000000001</v>
      </c>
      <c r="AG774" s="6">
        <v>2.9350999999999998</v>
      </c>
      <c r="AH774" s="6">
        <v>255</v>
      </c>
      <c r="AJ774" s="17">
        <v>772</v>
      </c>
      <c r="AK774" s="6">
        <v>5.7801799999999997</v>
      </c>
      <c r="AL774" s="19">
        <v>-7.5838000000000001</v>
      </c>
      <c r="AM774" s="6">
        <v>2.9350999999999998</v>
      </c>
      <c r="AN774" s="6">
        <v>255</v>
      </c>
      <c r="AQ774" s="17">
        <v>772</v>
      </c>
      <c r="AR774" s="6">
        <v>1.5945400000000001</v>
      </c>
      <c r="AS774" s="19">
        <v>-1.5123</v>
      </c>
      <c r="AT774" s="6">
        <v>0.80969999999999998</v>
      </c>
      <c r="AU774" s="6">
        <v>255</v>
      </c>
      <c r="AW774" s="17">
        <v>772</v>
      </c>
      <c r="AX774" s="6">
        <v>0.84089999999999998</v>
      </c>
      <c r="AY774" s="19">
        <v>-1.5123</v>
      </c>
      <c r="AZ774" s="6">
        <v>0.80969999999999998</v>
      </c>
      <c r="BA774" s="6">
        <v>255</v>
      </c>
      <c r="BN774" s="17">
        <v>928</v>
      </c>
      <c r="BO774" s="6">
        <v>77.302074009999998</v>
      </c>
      <c r="BP774" s="6">
        <v>74.43347043</v>
      </c>
      <c r="BQ774" s="6">
        <v>2.8686035799999998</v>
      </c>
    </row>
    <row r="775" spans="1:69" x14ac:dyDescent="0.25">
      <c r="A775" t="s">
        <v>160</v>
      </c>
      <c r="B775">
        <v>3</v>
      </c>
      <c r="C775" s="36">
        <v>20</v>
      </c>
      <c r="D775" s="36">
        <v>6</v>
      </c>
      <c r="E775" s="32">
        <v>48</v>
      </c>
      <c r="F775" s="13">
        <v>57.1</v>
      </c>
      <c r="G775">
        <v>60.970501723477589</v>
      </c>
      <c r="H775" t="s">
        <v>12</v>
      </c>
      <c r="I775" t="s">
        <v>12</v>
      </c>
      <c r="AD775" s="17">
        <v>773</v>
      </c>
      <c r="AE775" s="6">
        <v>3.0313500000000002</v>
      </c>
      <c r="AF775" s="19">
        <v>-2.5411000000000001</v>
      </c>
      <c r="AG775" s="6">
        <v>2.9188000000000001</v>
      </c>
      <c r="AH775" s="6">
        <v>255</v>
      </c>
      <c r="AJ775" s="17">
        <v>773</v>
      </c>
      <c r="AK775" s="6">
        <v>5.7481</v>
      </c>
      <c r="AL775" s="19">
        <v>-2.5411000000000001</v>
      </c>
      <c r="AM775" s="6">
        <v>2.9188000000000001</v>
      </c>
      <c r="AN775" s="6">
        <v>255</v>
      </c>
      <c r="AQ775" s="17">
        <v>773</v>
      </c>
      <c r="AR775" s="6">
        <v>1.58571</v>
      </c>
      <c r="AS775" s="19">
        <v>-1.24</v>
      </c>
      <c r="AT775" s="6">
        <v>0.80520000000000003</v>
      </c>
      <c r="AU775" s="6">
        <v>255</v>
      </c>
      <c r="AW775" s="17">
        <v>773</v>
      </c>
      <c r="AX775" s="6">
        <v>0.83625000000000005</v>
      </c>
      <c r="AY775" s="19">
        <v>-1.24</v>
      </c>
      <c r="AZ775" s="6">
        <v>0.80520000000000003</v>
      </c>
      <c r="BA775" s="6">
        <v>255</v>
      </c>
      <c r="BN775" s="17">
        <v>929</v>
      </c>
      <c r="BO775" s="6">
        <v>72.124262239999993</v>
      </c>
      <c r="BP775" s="6">
        <v>69.377000629999998</v>
      </c>
      <c r="BQ775" s="6">
        <v>2.7472616099999998</v>
      </c>
    </row>
    <row r="776" spans="1:69" x14ac:dyDescent="0.25">
      <c r="A776" t="s">
        <v>160</v>
      </c>
      <c r="B776">
        <v>1</v>
      </c>
      <c r="C776" s="36">
        <v>7</v>
      </c>
      <c r="D776" s="36">
        <v>1</v>
      </c>
      <c r="E776" s="32">
        <v>26</v>
      </c>
      <c r="F776" s="13">
        <v>57.6</v>
      </c>
      <c r="G776">
        <v>101.91149741824439</v>
      </c>
      <c r="H776">
        <v>10.3</v>
      </c>
      <c r="I776" t="s">
        <v>12</v>
      </c>
      <c r="AD776" s="17">
        <v>774</v>
      </c>
      <c r="AE776" s="6">
        <v>3.0493100000000002</v>
      </c>
      <c r="AF776" s="19">
        <v>-6.3710000000000003E-2</v>
      </c>
      <c r="AG776" s="6">
        <v>2.9361000000000002</v>
      </c>
      <c r="AH776" s="6">
        <v>255</v>
      </c>
      <c r="AJ776" s="17">
        <v>774</v>
      </c>
      <c r="AK776" s="6">
        <v>5.7821600000000002</v>
      </c>
      <c r="AL776" s="19">
        <v>-6.3710000000000003E-2</v>
      </c>
      <c r="AM776" s="6">
        <v>2.9361000000000002</v>
      </c>
      <c r="AN776" s="6">
        <v>255</v>
      </c>
      <c r="AQ776" s="17">
        <v>774</v>
      </c>
      <c r="AR776" s="6">
        <v>1.5925100000000001</v>
      </c>
      <c r="AS776" s="19">
        <v>-0.71609999999999996</v>
      </c>
      <c r="AT776" s="6">
        <v>0.80869999999999997</v>
      </c>
      <c r="AU776" s="6">
        <v>255</v>
      </c>
      <c r="AW776" s="17">
        <v>774</v>
      </c>
      <c r="AX776" s="6">
        <v>0.83982999999999997</v>
      </c>
      <c r="AY776" s="19">
        <v>-0.71609999999999996</v>
      </c>
      <c r="AZ776" s="6">
        <v>0.80869999999999997</v>
      </c>
      <c r="BA776" s="6">
        <v>255</v>
      </c>
      <c r="BN776" s="17">
        <v>930</v>
      </c>
      <c r="BO776" s="6">
        <v>60.970501720000001</v>
      </c>
      <c r="BP776" s="6">
        <v>66.586366909999995</v>
      </c>
      <c r="BQ776" s="19">
        <v>-5.6158651900000001</v>
      </c>
    </row>
    <row r="777" spans="1:69" x14ac:dyDescent="0.25">
      <c r="A777" t="s">
        <v>160</v>
      </c>
      <c r="B777">
        <v>2</v>
      </c>
      <c r="C777" s="36">
        <v>12</v>
      </c>
      <c r="D777" s="36">
        <v>3</v>
      </c>
      <c r="E777" s="32">
        <v>26</v>
      </c>
      <c r="F777" s="13">
        <v>60.6</v>
      </c>
      <c r="G777">
        <v>93.10659812290713</v>
      </c>
      <c r="H777" t="s">
        <v>12</v>
      </c>
      <c r="I777" t="s">
        <v>12</v>
      </c>
      <c r="AD777" s="17">
        <v>775</v>
      </c>
      <c r="AE777" s="6">
        <v>3.0503800000000001</v>
      </c>
      <c r="AF777" s="19">
        <v>-1.9830000000000001</v>
      </c>
      <c r="AG777" s="6">
        <v>2.9371999999999998</v>
      </c>
      <c r="AH777" s="6">
        <v>255</v>
      </c>
      <c r="AJ777" s="17">
        <v>775</v>
      </c>
      <c r="AK777" s="6">
        <v>5.7842000000000002</v>
      </c>
      <c r="AL777" s="19">
        <v>-1.9830000000000001</v>
      </c>
      <c r="AM777" s="6">
        <v>2.9371999999999998</v>
      </c>
      <c r="AN777" s="6">
        <v>255</v>
      </c>
      <c r="AQ777" s="17">
        <v>775</v>
      </c>
      <c r="AR777" s="6">
        <v>1.59256</v>
      </c>
      <c r="AS777" s="19">
        <v>-1.8987000000000001</v>
      </c>
      <c r="AT777" s="6">
        <v>0.80869999999999997</v>
      </c>
      <c r="AU777" s="6">
        <v>255</v>
      </c>
      <c r="AW777" s="17">
        <v>775</v>
      </c>
      <c r="AX777" s="6">
        <v>0.83986000000000005</v>
      </c>
      <c r="AY777" s="19">
        <v>-1.8987000000000001</v>
      </c>
      <c r="AZ777" s="6">
        <v>0.80869999999999997</v>
      </c>
      <c r="BA777" s="6">
        <v>255</v>
      </c>
      <c r="BN777" s="17">
        <v>931</v>
      </c>
      <c r="BO777" s="6">
        <v>101.9114974</v>
      </c>
      <c r="BP777" s="6">
        <v>97.827545619999995</v>
      </c>
      <c r="BQ777" s="6">
        <v>4.0839517799999996</v>
      </c>
    </row>
    <row r="778" spans="1:69" x14ac:dyDescent="0.25">
      <c r="A778" t="s">
        <v>160</v>
      </c>
      <c r="B778">
        <v>3</v>
      </c>
      <c r="C778" s="36">
        <v>3</v>
      </c>
      <c r="D778" s="36">
        <v>6</v>
      </c>
      <c r="E778" s="32">
        <v>26</v>
      </c>
      <c r="F778" s="13">
        <v>59.2</v>
      </c>
      <c r="G778">
        <v>85.56096801991572</v>
      </c>
      <c r="H778" t="s">
        <v>12</v>
      </c>
      <c r="I778" t="s">
        <v>12</v>
      </c>
      <c r="AD778" s="17">
        <v>776</v>
      </c>
      <c r="AE778" s="6">
        <v>3.0239799999999999</v>
      </c>
      <c r="AF778" s="19">
        <v>-0.67200000000000004</v>
      </c>
      <c r="AG778" s="6">
        <v>2.9117000000000002</v>
      </c>
      <c r="AH778" s="6">
        <v>255</v>
      </c>
      <c r="AJ778" s="17">
        <v>776</v>
      </c>
      <c r="AK778" s="6">
        <v>5.7341300000000004</v>
      </c>
      <c r="AL778" s="19">
        <v>-0.67200000000000004</v>
      </c>
      <c r="AM778" s="6">
        <v>2.9117000000000002</v>
      </c>
      <c r="AN778" s="6">
        <v>255</v>
      </c>
      <c r="AQ778" s="17">
        <v>776</v>
      </c>
      <c r="AR778" s="6">
        <v>1.5799099999999999</v>
      </c>
      <c r="AS778" s="19">
        <v>-2.0871</v>
      </c>
      <c r="AT778" s="6">
        <v>0.80230000000000001</v>
      </c>
      <c r="AU778" s="6">
        <v>255</v>
      </c>
      <c r="AW778" s="17">
        <v>776</v>
      </c>
      <c r="AX778" s="6">
        <v>0.83318999999999999</v>
      </c>
      <c r="AY778" s="19">
        <v>-2.0871</v>
      </c>
      <c r="AZ778" s="6">
        <v>0.80230000000000001</v>
      </c>
      <c r="BA778" s="6">
        <v>255</v>
      </c>
      <c r="BN778" s="17">
        <v>932</v>
      </c>
      <c r="BO778" s="6">
        <v>93.106598120000001</v>
      </c>
      <c r="BP778" s="6">
        <v>92.771075819999993</v>
      </c>
      <c r="BQ778" s="6">
        <v>0.3355223</v>
      </c>
    </row>
    <row r="779" spans="1:69" x14ac:dyDescent="0.25">
      <c r="A779" t="s">
        <v>160</v>
      </c>
      <c r="B779">
        <v>1</v>
      </c>
      <c r="C779" s="36">
        <v>26</v>
      </c>
      <c r="D779" s="36">
        <v>2</v>
      </c>
      <c r="E779" s="32">
        <v>36</v>
      </c>
      <c r="F779" s="13">
        <v>62.8</v>
      </c>
      <c r="G779">
        <v>84.644999999999996</v>
      </c>
      <c r="H779">
        <v>9.6999999999999993</v>
      </c>
      <c r="I779" t="s">
        <v>12</v>
      </c>
      <c r="AD779" s="17">
        <v>777</v>
      </c>
      <c r="AE779" s="6">
        <v>3.0406200000000001</v>
      </c>
      <c r="AF779" s="6">
        <v>1.2216</v>
      </c>
      <c r="AG779" s="6">
        <v>2.9278</v>
      </c>
      <c r="AH779" s="6">
        <v>255</v>
      </c>
      <c r="AJ779" s="17">
        <v>777</v>
      </c>
      <c r="AK779" s="6">
        <v>5.7656900000000002</v>
      </c>
      <c r="AL779" s="6">
        <v>1.2216</v>
      </c>
      <c r="AM779" s="6">
        <v>2.9278</v>
      </c>
      <c r="AN779" s="6">
        <v>255</v>
      </c>
      <c r="AQ779" s="17">
        <v>777</v>
      </c>
      <c r="AR779" s="6">
        <v>1.5888800000000001</v>
      </c>
      <c r="AS779" s="19">
        <v>-1.1575</v>
      </c>
      <c r="AT779" s="6">
        <v>0.80679999999999996</v>
      </c>
      <c r="AU779" s="6">
        <v>255</v>
      </c>
      <c r="AW779" s="17">
        <v>777</v>
      </c>
      <c r="AX779" s="6">
        <v>0.83792</v>
      </c>
      <c r="AY779" s="19">
        <v>-1.1575</v>
      </c>
      <c r="AZ779" s="6">
        <v>0.80679999999999996</v>
      </c>
      <c r="BA779" s="6">
        <v>255</v>
      </c>
      <c r="BN779" s="17">
        <v>933</v>
      </c>
      <c r="BO779" s="6">
        <v>85.560968020000004</v>
      </c>
      <c r="BP779" s="6">
        <v>89.980442100000005</v>
      </c>
      <c r="BQ779" s="19">
        <v>-4.4194740799999996</v>
      </c>
    </row>
    <row r="780" spans="1:69" x14ac:dyDescent="0.25">
      <c r="A780" t="s">
        <v>160</v>
      </c>
      <c r="B780">
        <v>2</v>
      </c>
      <c r="C780" s="36">
        <v>5</v>
      </c>
      <c r="D780" s="36">
        <v>4</v>
      </c>
      <c r="E780" s="32">
        <v>36</v>
      </c>
      <c r="F780" s="13">
        <v>61.1</v>
      </c>
      <c r="G780">
        <v>82.547901403628885</v>
      </c>
      <c r="H780" t="s">
        <v>12</v>
      </c>
      <c r="I780" t="s">
        <v>12</v>
      </c>
      <c r="AD780" s="17">
        <v>778</v>
      </c>
      <c r="AE780" s="6">
        <v>3.0473599999999998</v>
      </c>
      <c r="AF780" s="19">
        <v>-4.9280999999999997</v>
      </c>
      <c r="AG780" s="6">
        <v>2.9342999999999999</v>
      </c>
      <c r="AH780" s="6">
        <v>255</v>
      </c>
      <c r="AJ780" s="17">
        <v>778</v>
      </c>
      <c r="AK780" s="6">
        <v>5.7784700000000004</v>
      </c>
      <c r="AL780" s="19">
        <v>-4.9280999999999997</v>
      </c>
      <c r="AM780" s="6">
        <v>2.9342999999999999</v>
      </c>
      <c r="AN780" s="6">
        <v>255</v>
      </c>
      <c r="AQ780" s="17">
        <v>778</v>
      </c>
      <c r="AR780" s="6">
        <v>1.5959300000000001</v>
      </c>
      <c r="AS780" s="19">
        <v>-3.5219999999999998</v>
      </c>
      <c r="AT780" s="6">
        <v>0.81040000000000001</v>
      </c>
      <c r="AU780" s="6">
        <v>255</v>
      </c>
      <c r="AW780" s="17">
        <v>778</v>
      </c>
      <c r="AX780" s="6">
        <v>0.84164000000000005</v>
      </c>
      <c r="AY780" s="19">
        <v>-3.5219999999999998</v>
      </c>
      <c r="AZ780" s="6">
        <v>0.81040000000000001</v>
      </c>
      <c r="BA780" s="6">
        <v>255</v>
      </c>
      <c r="BN780" s="17">
        <v>934</v>
      </c>
      <c r="BO780" s="6">
        <v>84.644999999999996</v>
      </c>
      <c r="BP780" s="6">
        <v>86.145067080000004</v>
      </c>
      <c r="BQ780" s="19">
        <v>-1.50006708</v>
      </c>
    </row>
    <row r="781" spans="1:69" x14ac:dyDescent="0.25">
      <c r="A781" t="s">
        <v>160</v>
      </c>
      <c r="B781">
        <v>3</v>
      </c>
      <c r="C781" s="36">
        <v>1</v>
      </c>
      <c r="D781" s="36">
        <v>6</v>
      </c>
      <c r="E781" s="32">
        <v>36</v>
      </c>
      <c r="F781" s="13">
        <v>62.3</v>
      </c>
      <c r="G781">
        <v>78.338726541554934</v>
      </c>
      <c r="H781" t="s">
        <v>12</v>
      </c>
      <c r="I781" t="s">
        <v>12</v>
      </c>
      <c r="AD781" s="17">
        <v>779</v>
      </c>
      <c r="AE781" s="6">
        <v>3.0497700000000001</v>
      </c>
      <c r="AF781" s="19">
        <v>-1.8031999999999999</v>
      </c>
      <c r="AG781" s="6">
        <v>2.9365999999999999</v>
      </c>
      <c r="AH781" s="6">
        <v>255</v>
      </c>
      <c r="AJ781" s="17">
        <v>779</v>
      </c>
      <c r="AK781" s="6">
        <v>5.7830399999999997</v>
      </c>
      <c r="AL781" s="19">
        <v>-1.8031999999999999</v>
      </c>
      <c r="AM781" s="6">
        <v>2.9365999999999999</v>
      </c>
      <c r="AN781" s="6">
        <v>255</v>
      </c>
      <c r="AQ781" s="17">
        <v>779</v>
      </c>
      <c r="AR781" s="6">
        <v>1.5882799999999999</v>
      </c>
      <c r="AS781" s="19">
        <v>-1.1489</v>
      </c>
      <c r="AT781" s="6">
        <v>0.80649999999999999</v>
      </c>
      <c r="AU781" s="6">
        <v>255</v>
      </c>
      <c r="AW781" s="17">
        <v>779</v>
      </c>
      <c r="AX781" s="6">
        <v>0.83760000000000001</v>
      </c>
      <c r="AY781" s="19">
        <v>-1.1489</v>
      </c>
      <c r="AZ781" s="6">
        <v>0.80649999999999999</v>
      </c>
      <c r="BA781" s="6">
        <v>255</v>
      </c>
      <c r="BN781" s="17">
        <v>935</v>
      </c>
      <c r="BO781" s="6">
        <v>82.547901400000001</v>
      </c>
      <c r="BP781" s="6">
        <v>81.088597289999996</v>
      </c>
      <c r="BQ781" s="6">
        <v>1.4593041099999999</v>
      </c>
    </row>
    <row r="782" spans="1:69" x14ac:dyDescent="0.25">
      <c r="A782" s="62" t="s">
        <v>161</v>
      </c>
      <c r="B782" s="60">
        <v>1</v>
      </c>
      <c r="C782" s="60">
        <v>1</v>
      </c>
      <c r="D782" s="60">
        <v>1</v>
      </c>
      <c r="E782" s="60">
        <v>46</v>
      </c>
      <c r="F782" t="s">
        <v>12</v>
      </c>
      <c r="G782" t="s">
        <v>12</v>
      </c>
      <c r="H782" t="s">
        <v>12</v>
      </c>
      <c r="I782" s="60">
        <v>4</v>
      </c>
      <c r="AD782" s="17">
        <v>780</v>
      </c>
      <c r="AE782" s="6">
        <v>3.05267</v>
      </c>
      <c r="AF782" s="6">
        <v>0.51449999999999996</v>
      </c>
      <c r="AG782" s="6">
        <v>2.9394</v>
      </c>
      <c r="AH782" s="6">
        <v>255</v>
      </c>
      <c r="AJ782" s="17">
        <v>780</v>
      </c>
      <c r="AK782" s="6">
        <v>5.7885299999999997</v>
      </c>
      <c r="AL782" s="6">
        <v>0.51449999999999996</v>
      </c>
      <c r="AM782" s="6">
        <v>2.9394</v>
      </c>
      <c r="AN782" s="6">
        <v>255</v>
      </c>
      <c r="AQ782" s="17">
        <v>780</v>
      </c>
      <c r="AR782" s="6">
        <v>1.6004</v>
      </c>
      <c r="AS782" s="19">
        <v>-1.4162999999999999</v>
      </c>
      <c r="AT782" s="6">
        <v>0.81269999999999998</v>
      </c>
      <c r="AU782" s="6">
        <v>255</v>
      </c>
      <c r="AW782" s="17">
        <v>780</v>
      </c>
      <c r="AX782" s="6">
        <v>0.84399000000000002</v>
      </c>
      <c r="AY782" s="19">
        <v>-1.4162999999999999</v>
      </c>
      <c r="AZ782" s="6">
        <v>0.81269999999999998</v>
      </c>
      <c r="BA782" s="6">
        <v>255</v>
      </c>
      <c r="BN782" s="17">
        <v>936</v>
      </c>
      <c r="BO782" s="6">
        <v>78.338726539999996</v>
      </c>
      <c r="BP782" s="6">
        <v>78.297963569999993</v>
      </c>
      <c r="BQ782" s="6">
        <v>4.0762970000000003E-2</v>
      </c>
    </row>
    <row r="783" spans="1:69" x14ac:dyDescent="0.25">
      <c r="A783" s="62" t="s">
        <v>161</v>
      </c>
      <c r="B783" s="60">
        <v>1</v>
      </c>
      <c r="C783" s="60">
        <v>2</v>
      </c>
      <c r="D783" s="60">
        <v>1</v>
      </c>
      <c r="E783" s="60">
        <v>11</v>
      </c>
      <c r="F783" t="s">
        <v>12</v>
      </c>
      <c r="G783" t="s">
        <v>12</v>
      </c>
      <c r="H783" t="s">
        <v>12</v>
      </c>
      <c r="I783" s="60">
        <v>6</v>
      </c>
      <c r="AD783" s="17">
        <v>781</v>
      </c>
      <c r="AE783" s="6">
        <v>3.0487199999999999</v>
      </c>
      <c r="AF783" s="6">
        <v>0.39129999999999998</v>
      </c>
      <c r="AG783" s="6">
        <v>2.9356</v>
      </c>
      <c r="AH783" s="6">
        <v>255</v>
      </c>
      <c r="AJ783" s="17">
        <v>781</v>
      </c>
      <c r="AK783" s="6">
        <v>5.78104</v>
      </c>
      <c r="AL783" s="6">
        <v>0.39129999999999998</v>
      </c>
      <c r="AM783" s="6">
        <v>2.9356</v>
      </c>
      <c r="AN783" s="6">
        <v>255</v>
      </c>
      <c r="AQ783" s="17">
        <v>781</v>
      </c>
      <c r="AR783" s="6">
        <v>1.5994999999999999</v>
      </c>
      <c r="AS783" s="19">
        <v>-1.1638999999999999</v>
      </c>
      <c r="AT783" s="6">
        <v>0.81220000000000003</v>
      </c>
      <c r="AU783" s="6">
        <v>255</v>
      </c>
      <c r="AW783" s="17">
        <v>781</v>
      </c>
      <c r="AX783" s="6">
        <v>0.84352000000000005</v>
      </c>
      <c r="AY783" s="19">
        <v>-1.1638999999999999</v>
      </c>
      <c r="AZ783" s="6">
        <v>0.81220000000000003</v>
      </c>
      <c r="BA783" s="6">
        <v>255</v>
      </c>
    </row>
    <row r="784" spans="1:69" x14ac:dyDescent="0.25">
      <c r="A784" s="62" t="s">
        <v>161</v>
      </c>
      <c r="B784" s="60">
        <v>1</v>
      </c>
      <c r="C784" s="60">
        <v>3</v>
      </c>
      <c r="D784" s="60">
        <v>1</v>
      </c>
      <c r="E784" s="60">
        <v>30</v>
      </c>
      <c r="F784" t="s">
        <v>12</v>
      </c>
      <c r="G784" t="s">
        <v>12</v>
      </c>
      <c r="H784" t="s">
        <v>12</v>
      </c>
      <c r="I784" s="60">
        <v>2</v>
      </c>
      <c r="AD784" s="17">
        <v>782</v>
      </c>
      <c r="AE784" s="6">
        <v>3.04908</v>
      </c>
      <c r="AF784" s="19">
        <v>-3.0952999999999999</v>
      </c>
      <c r="AG784" s="6">
        <v>2.9359000000000002</v>
      </c>
      <c r="AH784" s="6">
        <v>255</v>
      </c>
      <c r="AJ784" s="17">
        <v>782</v>
      </c>
      <c r="AK784" s="6">
        <v>5.7817299999999996</v>
      </c>
      <c r="AL784" s="19">
        <v>-3.0952999999999999</v>
      </c>
      <c r="AM784" s="6">
        <v>2.9359000000000002</v>
      </c>
      <c r="AN784" s="6">
        <v>255</v>
      </c>
      <c r="AQ784" s="17">
        <v>782</v>
      </c>
      <c r="AR784" s="6">
        <v>1.5857000000000001</v>
      </c>
      <c r="AS784" s="19">
        <v>-2.5447000000000002</v>
      </c>
      <c r="AT784" s="6">
        <v>0.80520000000000003</v>
      </c>
      <c r="AU784" s="6">
        <v>255</v>
      </c>
      <c r="AW784" s="17">
        <v>782</v>
      </c>
      <c r="AX784" s="6">
        <v>0.83623999999999998</v>
      </c>
      <c r="AY784" s="19">
        <v>-2.5447000000000002</v>
      </c>
      <c r="AZ784" s="6">
        <v>0.80520000000000003</v>
      </c>
      <c r="BA784" s="6">
        <v>255</v>
      </c>
    </row>
    <row r="785" spans="1:53" x14ac:dyDescent="0.25">
      <c r="A785" s="62" t="s">
        <v>161</v>
      </c>
      <c r="B785" s="60">
        <v>1</v>
      </c>
      <c r="C785" s="60">
        <v>4</v>
      </c>
      <c r="D785" s="60">
        <v>1</v>
      </c>
      <c r="E785" s="60">
        <v>32</v>
      </c>
      <c r="F785" t="s">
        <v>12</v>
      </c>
      <c r="G785" t="s">
        <v>12</v>
      </c>
      <c r="H785" t="s">
        <v>12</v>
      </c>
      <c r="I785" s="60">
        <v>5</v>
      </c>
      <c r="AD785" s="17">
        <v>783</v>
      </c>
      <c r="AE785" s="6">
        <v>3.0453399999999999</v>
      </c>
      <c r="AF785" s="19">
        <v>-1.9076</v>
      </c>
      <c r="AG785" s="6">
        <v>2.9323000000000001</v>
      </c>
      <c r="AH785" s="6">
        <v>255</v>
      </c>
      <c r="AJ785" s="17">
        <v>783</v>
      </c>
      <c r="AK785" s="6">
        <v>5.7746399999999998</v>
      </c>
      <c r="AL785" s="19">
        <v>-1.9076</v>
      </c>
      <c r="AM785" s="6">
        <v>2.9323000000000001</v>
      </c>
      <c r="AN785" s="6">
        <v>255</v>
      </c>
      <c r="AQ785" s="17">
        <v>783</v>
      </c>
      <c r="AR785" s="6">
        <v>1.5906899999999999</v>
      </c>
      <c r="AS785" s="19">
        <v>-2.1815000000000002</v>
      </c>
      <c r="AT785" s="6">
        <v>0.80769999999999997</v>
      </c>
      <c r="AU785" s="6">
        <v>255</v>
      </c>
      <c r="AW785" s="17">
        <v>783</v>
      </c>
      <c r="AX785" s="6">
        <v>0.83887</v>
      </c>
      <c r="AY785" s="19">
        <v>-2.1815000000000002</v>
      </c>
      <c r="AZ785" s="6">
        <v>0.80769999999999997</v>
      </c>
      <c r="BA785" s="6">
        <v>255</v>
      </c>
    </row>
    <row r="786" spans="1:53" x14ac:dyDescent="0.25">
      <c r="A786" s="62" t="s">
        <v>161</v>
      </c>
      <c r="B786" s="60">
        <v>1</v>
      </c>
      <c r="C786" s="60">
        <v>5</v>
      </c>
      <c r="D786" s="60">
        <v>1</v>
      </c>
      <c r="E786" s="60">
        <v>7</v>
      </c>
      <c r="F786" t="s">
        <v>12</v>
      </c>
      <c r="G786" t="s">
        <v>12</v>
      </c>
      <c r="H786" t="s">
        <v>12</v>
      </c>
      <c r="I786" s="60">
        <v>2</v>
      </c>
      <c r="AD786" s="17">
        <v>784</v>
      </c>
      <c r="AE786" s="6">
        <v>3.02935</v>
      </c>
      <c r="AF786" s="19">
        <v>-1.3346</v>
      </c>
      <c r="AG786" s="6">
        <v>2.9169</v>
      </c>
      <c r="AH786" s="6">
        <v>255</v>
      </c>
      <c r="AJ786" s="17">
        <v>784</v>
      </c>
      <c r="AK786" s="6">
        <v>5.7443099999999996</v>
      </c>
      <c r="AL786" s="19">
        <v>-1.3346</v>
      </c>
      <c r="AM786" s="6">
        <v>2.9169</v>
      </c>
      <c r="AN786" s="6">
        <v>255</v>
      </c>
      <c r="AQ786" s="17">
        <v>784</v>
      </c>
      <c r="AR786" s="6">
        <v>1.5855600000000001</v>
      </c>
      <c r="AS786" s="19">
        <v>-1.6460999999999999</v>
      </c>
      <c r="AT786" s="6">
        <v>0.80510000000000004</v>
      </c>
      <c r="AU786" s="6">
        <v>255</v>
      </c>
      <c r="AW786" s="17">
        <v>784</v>
      </c>
      <c r="AX786" s="6">
        <v>0.83616999999999997</v>
      </c>
      <c r="AY786" s="19">
        <v>-1.6460999999999999</v>
      </c>
      <c r="AZ786" s="6">
        <v>0.80510000000000004</v>
      </c>
      <c r="BA786" s="6">
        <v>255</v>
      </c>
    </row>
    <row r="787" spans="1:53" x14ac:dyDescent="0.25">
      <c r="A787" s="62" t="s">
        <v>161</v>
      </c>
      <c r="B787" s="60">
        <v>1</v>
      </c>
      <c r="C787" s="60">
        <v>6</v>
      </c>
      <c r="D787" s="60">
        <v>1</v>
      </c>
      <c r="E787" s="60">
        <v>42</v>
      </c>
      <c r="F787" t="s">
        <v>12</v>
      </c>
      <c r="G787" t="s">
        <v>12</v>
      </c>
      <c r="H787" t="s">
        <v>12</v>
      </c>
      <c r="I787" s="60">
        <v>6</v>
      </c>
      <c r="AD787" s="17">
        <v>785</v>
      </c>
      <c r="AE787" s="6">
        <v>3.0401600000000002</v>
      </c>
      <c r="AF787" s="19">
        <v>-1.3113999999999999</v>
      </c>
      <c r="AG787" s="6">
        <v>2.9272999999999998</v>
      </c>
      <c r="AH787" s="6">
        <v>255</v>
      </c>
      <c r="AJ787" s="17">
        <v>785</v>
      </c>
      <c r="AK787" s="6">
        <v>5.7648099999999998</v>
      </c>
      <c r="AL787" s="19">
        <v>-1.3113999999999999</v>
      </c>
      <c r="AM787" s="6">
        <v>2.9272999999999998</v>
      </c>
      <c r="AN787" s="6">
        <v>255</v>
      </c>
      <c r="AQ787" s="17">
        <v>785</v>
      </c>
      <c r="AR787" s="6">
        <v>1.5886199999999999</v>
      </c>
      <c r="AS787" s="19">
        <v>-1.1819</v>
      </c>
      <c r="AT787" s="6">
        <v>0.80669999999999997</v>
      </c>
      <c r="AU787" s="6">
        <v>255</v>
      </c>
      <c r="AW787" s="17">
        <v>785</v>
      </c>
      <c r="AX787" s="6">
        <v>0.83777999999999997</v>
      </c>
      <c r="AY787" s="19">
        <v>-1.1819</v>
      </c>
      <c r="AZ787" s="6">
        <v>0.80669999999999997</v>
      </c>
      <c r="BA787" s="6">
        <v>255</v>
      </c>
    </row>
    <row r="788" spans="1:53" x14ac:dyDescent="0.25">
      <c r="A788" s="62" t="s">
        <v>161</v>
      </c>
      <c r="B788" s="60">
        <v>1</v>
      </c>
      <c r="C788" s="60">
        <v>7</v>
      </c>
      <c r="D788" s="60">
        <v>1</v>
      </c>
      <c r="E788" s="60">
        <v>47</v>
      </c>
      <c r="F788" t="s">
        <v>12</v>
      </c>
      <c r="G788" t="s">
        <v>12</v>
      </c>
      <c r="H788" t="s">
        <v>12</v>
      </c>
      <c r="I788" s="60">
        <v>5</v>
      </c>
      <c r="AD788" s="17">
        <v>786</v>
      </c>
      <c r="AE788" s="6">
        <v>3.0440999999999998</v>
      </c>
      <c r="AF788" s="19">
        <v>-2.2938000000000001</v>
      </c>
      <c r="AG788" s="6">
        <v>2.9310999999999998</v>
      </c>
      <c r="AH788" s="6">
        <v>255</v>
      </c>
      <c r="AJ788" s="17">
        <v>786</v>
      </c>
      <c r="AK788" s="6">
        <v>5.7722899999999999</v>
      </c>
      <c r="AL788" s="19">
        <v>-2.2938000000000001</v>
      </c>
      <c r="AM788" s="6">
        <v>2.9310999999999998</v>
      </c>
      <c r="AN788" s="6">
        <v>255</v>
      </c>
      <c r="AQ788" s="17">
        <v>786</v>
      </c>
      <c r="AR788" s="6">
        <v>1.5888199999999999</v>
      </c>
      <c r="AS788" s="19">
        <v>-2.2963</v>
      </c>
      <c r="AT788" s="6">
        <v>0.80679999999999996</v>
      </c>
      <c r="AU788" s="6">
        <v>255</v>
      </c>
      <c r="AW788" s="17">
        <v>786</v>
      </c>
      <c r="AX788" s="6">
        <v>0.83789000000000002</v>
      </c>
      <c r="AY788" s="19">
        <v>-2.2963</v>
      </c>
      <c r="AZ788" s="6">
        <v>0.80679999999999996</v>
      </c>
      <c r="BA788" s="6">
        <v>255</v>
      </c>
    </row>
    <row r="789" spans="1:53" x14ac:dyDescent="0.25">
      <c r="A789" s="62" t="s">
        <v>161</v>
      </c>
      <c r="B789" s="60">
        <v>1</v>
      </c>
      <c r="C789" s="60">
        <v>8</v>
      </c>
      <c r="D789" s="60">
        <v>1</v>
      </c>
      <c r="E789" s="60">
        <v>12</v>
      </c>
      <c r="F789" t="s">
        <v>12</v>
      </c>
      <c r="G789" t="s">
        <v>12</v>
      </c>
      <c r="H789" t="s">
        <v>12</v>
      </c>
      <c r="I789" s="60">
        <v>2</v>
      </c>
      <c r="AD789" s="17">
        <v>787</v>
      </c>
      <c r="AE789" s="6">
        <v>3.0432100000000002</v>
      </c>
      <c r="AF789" s="6">
        <v>5.2958999999999996</v>
      </c>
      <c r="AG789" s="6">
        <v>2.9302999999999999</v>
      </c>
      <c r="AH789" s="6">
        <v>255</v>
      </c>
      <c r="AJ789" s="17">
        <v>787</v>
      </c>
      <c r="AK789" s="6">
        <v>5.7706</v>
      </c>
      <c r="AL789" s="6">
        <v>5.2958999999999996</v>
      </c>
      <c r="AM789" s="6">
        <v>2.9302999999999999</v>
      </c>
      <c r="AN789" s="6">
        <v>255</v>
      </c>
      <c r="AQ789" s="17">
        <v>787</v>
      </c>
      <c r="AR789" s="6">
        <v>1.5957699999999999</v>
      </c>
      <c r="AS789" s="19">
        <v>-0.92079999999999995</v>
      </c>
      <c r="AT789" s="6">
        <v>0.81030000000000002</v>
      </c>
      <c r="AU789" s="6">
        <v>255</v>
      </c>
      <c r="AW789" s="17">
        <v>787</v>
      </c>
      <c r="AX789" s="6">
        <v>0.84155000000000002</v>
      </c>
      <c r="AY789" s="19">
        <v>-0.92079999999999995</v>
      </c>
      <c r="AZ789" s="6">
        <v>0.81030000000000002</v>
      </c>
      <c r="BA789" s="6">
        <v>255</v>
      </c>
    </row>
    <row r="790" spans="1:53" x14ac:dyDescent="0.25">
      <c r="A790" s="62" t="s">
        <v>161</v>
      </c>
      <c r="B790" s="60">
        <v>1</v>
      </c>
      <c r="C790" s="60">
        <v>9</v>
      </c>
      <c r="D790" s="60">
        <v>1</v>
      </c>
      <c r="E790" s="60">
        <v>41</v>
      </c>
      <c r="F790" t="s">
        <v>12</v>
      </c>
      <c r="G790" t="s">
        <v>12</v>
      </c>
      <c r="H790" t="s">
        <v>12</v>
      </c>
      <c r="I790" s="60">
        <v>6</v>
      </c>
      <c r="AD790" s="17">
        <v>788</v>
      </c>
      <c r="AE790" s="6">
        <v>3.0204499999999999</v>
      </c>
      <c r="AF790" s="19">
        <v>-0.74450000000000005</v>
      </c>
      <c r="AG790" s="6">
        <v>2.9083999999999999</v>
      </c>
      <c r="AH790" s="6">
        <v>255</v>
      </c>
      <c r="AJ790" s="17">
        <v>788</v>
      </c>
      <c r="AK790" s="6">
        <v>5.7274500000000002</v>
      </c>
      <c r="AL790" s="19">
        <v>-0.74450000000000005</v>
      </c>
      <c r="AM790" s="6">
        <v>2.9083999999999999</v>
      </c>
      <c r="AN790" s="6">
        <v>255</v>
      </c>
      <c r="AQ790" s="17">
        <v>788</v>
      </c>
      <c r="AR790" s="6">
        <v>1.5788</v>
      </c>
      <c r="AS790" s="19">
        <v>-2.2902</v>
      </c>
      <c r="AT790" s="6">
        <v>0.80169999999999997</v>
      </c>
      <c r="AU790" s="6">
        <v>255</v>
      </c>
      <c r="AW790" s="17">
        <v>788</v>
      </c>
      <c r="AX790" s="6">
        <v>0.83260000000000001</v>
      </c>
      <c r="AY790" s="19">
        <v>-2.2902</v>
      </c>
      <c r="AZ790" s="6">
        <v>0.80169999999999997</v>
      </c>
      <c r="BA790" s="6">
        <v>255</v>
      </c>
    </row>
    <row r="791" spans="1:53" x14ac:dyDescent="0.25">
      <c r="A791" s="62" t="s">
        <v>161</v>
      </c>
      <c r="B791" s="60">
        <v>1</v>
      </c>
      <c r="C791" s="60">
        <v>10</v>
      </c>
      <c r="D791" s="60">
        <v>1</v>
      </c>
      <c r="E791" s="60">
        <v>20</v>
      </c>
      <c r="F791" t="s">
        <v>12</v>
      </c>
      <c r="G791" t="s">
        <v>12</v>
      </c>
      <c r="H791" t="s">
        <v>12</v>
      </c>
      <c r="I791" s="60">
        <v>5</v>
      </c>
      <c r="AD791" s="17">
        <v>789</v>
      </c>
      <c r="AE791" s="6">
        <v>3.0724100000000001</v>
      </c>
      <c r="AF791" s="6">
        <v>8.0193999999999992</v>
      </c>
      <c r="AG791" s="6">
        <v>2.9584000000000001</v>
      </c>
      <c r="AH791" s="6">
        <v>255</v>
      </c>
      <c r="AJ791" s="17">
        <v>789</v>
      </c>
      <c r="AK791" s="6">
        <v>5.8259699999999999</v>
      </c>
      <c r="AL791" s="6">
        <v>8.0193999999999992</v>
      </c>
      <c r="AM791" s="6">
        <v>2.9584000000000001</v>
      </c>
      <c r="AN791" s="6">
        <v>255</v>
      </c>
      <c r="AQ791" s="17">
        <v>789</v>
      </c>
      <c r="AR791" s="6">
        <v>1.6066</v>
      </c>
      <c r="AS791" s="6">
        <v>0.20119999999999999</v>
      </c>
      <c r="AT791" s="6">
        <v>0.81579999999999997</v>
      </c>
      <c r="AU791" s="6">
        <v>255</v>
      </c>
      <c r="AW791" s="17">
        <v>789</v>
      </c>
      <c r="AX791" s="6">
        <v>0.84726000000000001</v>
      </c>
      <c r="AY791" s="6">
        <v>0.20119999999999999</v>
      </c>
      <c r="AZ791" s="6">
        <v>0.81579999999999997</v>
      </c>
      <c r="BA791" s="6">
        <v>255</v>
      </c>
    </row>
    <row r="792" spans="1:53" x14ac:dyDescent="0.25">
      <c r="A792" s="62" t="s">
        <v>161</v>
      </c>
      <c r="B792" s="60">
        <v>1</v>
      </c>
      <c r="C792" s="60">
        <v>11</v>
      </c>
      <c r="D792" s="60">
        <v>1</v>
      </c>
      <c r="E792" s="60">
        <v>21</v>
      </c>
      <c r="F792" t="s">
        <v>12</v>
      </c>
      <c r="G792" t="s">
        <v>12</v>
      </c>
      <c r="H792" t="s">
        <v>12</v>
      </c>
      <c r="I792" s="60">
        <v>4</v>
      </c>
      <c r="AD792" s="17">
        <v>790</v>
      </c>
      <c r="AE792" s="6">
        <v>3.0446800000000001</v>
      </c>
      <c r="AF792" s="6">
        <v>2.5891000000000002</v>
      </c>
      <c r="AG792" s="6">
        <v>2.9317000000000002</v>
      </c>
      <c r="AH792" s="6">
        <v>255</v>
      </c>
      <c r="AJ792" s="17">
        <v>790</v>
      </c>
      <c r="AK792" s="6">
        <v>5.7733800000000004</v>
      </c>
      <c r="AL792" s="6">
        <v>2.5891000000000002</v>
      </c>
      <c r="AM792" s="6">
        <v>2.9317000000000002</v>
      </c>
      <c r="AN792" s="6">
        <v>255</v>
      </c>
      <c r="AQ792" s="17">
        <v>790</v>
      </c>
      <c r="AR792" s="6">
        <v>1.5887899999999999</v>
      </c>
      <c r="AS792" s="19">
        <v>-1.1394</v>
      </c>
      <c r="AT792" s="6">
        <v>0.80679999999999996</v>
      </c>
      <c r="AU792" s="6">
        <v>255</v>
      </c>
      <c r="AW792" s="17">
        <v>790</v>
      </c>
      <c r="AX792" s="6">
        <v>0.83787</v>
      </c>
      <c r="AY792" s="19">
        <v>-1.1394</v>
      </c>
      <c r="AZ792" s="6">
        <v>0.80679999999999996</v>
      </c>
      <c r="BA792" s="6">
        <v>255</v>
      </c>
    </row>
    <row r="793" spans="1:53" x14ac:dyDescent="0.25">
      <c r="A793" s="62" t="s">
        <v>161</v>
      </c>
      <c r="B793" s="60">
        <v>1</v>
      </c>
      <c r="C793" s="60">
        <v>12</v>
      </c>
      <c r="D793" s="60">
        <v>1</v>
      </c>
      <c r="E793" s="60">
        <v>35</v>
      </c>
      <c r="F793" t="s">
        <v>12</v>
      </c>
      <c r="G793" t="s">
        <v>12</v>
      </c>
      <c r="H793" t="s">
        <v>12</v>
      </c>
      <c r="I793" s="60">
        <v>3</v>
      </c>
      <c r="AD793" s="17">
        <v>791</v>
      </c>
      <c r="AE793" s="6">
        <v>3.05124</v>
      </c>
      <c r="AF793" s="6">
        <v>0.32890000000000003</v>
      </c>
      <c r="AG793" s="6">
        <v>2.9380000000000002</v>
      </c>
      <c r="AH793" s="6">
        <v>255</v>
      </c>
      <c r="AJ793" s="17">
        <v>791</v>
      </c>
      <c r="AK793" s="6">
        <v>5.7858299999999998</v>
      </c>
      <c r="AL793" s="6">
        <v>0.32890000000000003</v>
      </c>
      <c r="AM793" s="6">
        <v>2.9380000000000002</v>
      </c>
      <c r="AN793" s="6">
        <v>255</v>
      </c>
      <c r="AQ793" s="17">
        <v>791</v>
      </c>
      <c r="AR793" s="6">
        <v>1.59676</v>
      </c>
      <c r="AS793" s="19">
        <v>-0.96930000000000005</v>
      </c>
      <c r="AT793" s="6">
        <v>0.81079999999999997</v>
      </c>
      <c r="AU793" s="6">
        <v>255</v>
      </c>
      <c r="AW793" s="17">
        <v>791</v>
      </c>
      <c r="AX793" s="6">
        <v>0.84208000000000005</v>
      </c>
      <c r="AY793" s="19">
        <v>-0.96930000000000005</v>
      </c>
      <c r="AZ793" s="6">
        <v>0.81079999999999997</v>
      </c>
      <c r="BA793" s="6">
        <v>255</v>
      </c>
    </row>
    <row r="794" spans="1:53" x14ac:dyDescent="0.25">
      <c r="A794" s="62" t="s">
        <v>161</v>
      </c>
      <c r="B794" s="60">
        <v>1</v>
      </c>
      <c r="C794" s="60">
        <v>13</v>
      </c>
      <c r="D794" s="60">
        <v>1</v>
      </c>
      <c r="E794" s="60">
        <v>4</v>
      </c>
      <c r="F794" t="s">
        <v>12</v>
      </c>
      <c r="G794" t="s">
        <v>12</v>
      </c>
      <c r="H794" t="s">
        <v>12</v>
      </c>
      <c r="I794" s="60">
        <v>1</v>
      </c>
      <c r="AD794" s="17">
        <v>792</v>
      </c>
      <c r="AE794" s="6">
        <v>3.02264</v>
      </c>
      <c r="AF794" s="6">
        <v>1.5792999999999999</v>
      </c>
      <c r="AG794" s="6">
        <v>2.9104999999999999</v>
      </c>
      <c r="AH794" s="6">
        <v>255</v>
      </c>
      <c r="AJ794" s="17">
        <v>792</v>
      </c>
      <c r="AK794" s="6">
        <v>5.7315899999999997</v>
      </c>
      <c r="AL794" s="6">
        <v>1.5792999999999999</v>
      </c>
      <c r="AM794" s="6">
        <v>2.9104999999999999</v>
      </c>
      <c r="AN794" s="6">
        <v>255</v>
      </c>
      <c r="AQ794" s="17">
        <v>792</v>
      </c>
      <c r="AR794" s="6">
        <v>1.58954</v>
      </c>
      <c r="AS794" s="19">
        <v>-1.3827</v>
      </c>
      <c r="AT794" s="6">
        <v>0.80720000000000003</v>
      </c>
      <c r="AU794" s="6">
        <v>255</v>
      </c>
      <c r="AW794" s="17">
        <v>792</v>
      </c>
      <c r="AX794" s="6">
        <v>0.83826999999999996</v>
      </c>
      <c r="AY794" s="19">
        <v>-1.3827</v>
      </c>
      <c r="AZ794" s="6">
        <v>0.80720000000000003</v>
      </c>
      <c r="BA794" s="6">
        <v>255</v>
      </c>
    </row>
    <row r="795" spans="1:53" x14ac:dyDescent="0.25">
      <c r="A795" s="62" t="s">
        <v>161</v>
      </c>
      <c r="B795" s="60">
        <v>1</v>
      </c>
      <c r="C795" s="60">
        <v>14</v>
      </c>
      <c r="D795" s="60">
        <v>1</v>
      </c>
      <c r="E795" s="60">
        <v>24</v>
      </c>
      <c r="F795" t="s">
        <v>12</v>
      </c>
      <c r="G795" t="s">
        <v>12</v>
      </c>
      <c r="H795" t="s">
        <v>12</v>
      </c>
      <c r="I795" s="60">
        <v>3</v>
      </c>
      <c r="AD795" s="17">
        <v>793</v>
      </c>
      <c r="AE795" s="6">
        <v>3.03837</v>
      </c>
      <c r="AF795" s="6">
        <v>1.2841</v>
      </c>
      <c r="AG795" s="6">
        <v>2.9256000000000002</v>
      </c>
      <c r="AH795" s="6">
        <v>255</v>
      </c>
      <c r="AJ795" s="17">
        <v>793</v>
      </c>
      <c r="AK795" s="6">
        <v>5.7614200000000002</v>
      </c>
      <c r="AL795" s="6">
        <v>1.2841</v>
      </c>
      <c r="AM795" s="6">
        <v>2.9256000000000002</v>
      </c>
      <c r="AN795" s="6">
        <v>255</v>
      </c>
      <c r="AQ795" s="17">
        <v>793</v>
      </c>
      <c r="AR795" s="6">
        <v>1.5955699999999999</v>
      </c>
      <c r="AS795" s="19">
        <v>-2.6023999999999998</v>
      </c>
      <c r="AT795" s="6">
        <v>0.81020000000000003</v>
      </c>
      <c r="AU795" s="6">
        <v>255</v>
      </c>
      <c r="AW795" s="17">
        <v>793</v>
      </c>
      <c r="AX795" s="6">
        <v>0.84145000000000003</v>
      </c>
      <c r="AY795" s="19">
        <v>-2.6023999999999998</v>
      </c>
      <c r="AZ795" s="6">
        <v>0.81020000000000003</v>
      </c>
      <c r="BA795" s="6">
        <v>255</v>
      </c>
    </row>
    <row r="796" spans="1:53" x14ac:dyDescent="0.25">
      <c r="A796" s="62" t="s">
        <v>161</v>
      </c>
      <c r="B796" s="60">
        <v>1</v>
      </c>
      <c r="C796" s="60">
        <v>15</v>
      </c>
      <c r="D796" s="60">
        <v>1</v>
      </c>
      <c r="E796" s="60">
        <v>37</v>
      </c>
      <c r="F796" t="s">
        <v>12</v>
      </c>
      <c r="G796" t="s">
        <v>12</v>
      </c>
      <c r="H796" t="s">
        <v>12</v>
      </c>
      <c r="I796" s="60">
        <v>4</v>
      </c>
      <c r="AD796" s="17">
        <v>794</v>
      </c>
      <c r="AE796" s="6">
        <v>3.0503900000000002</v>
      </c>
      <c r="AF796" s="6">
        <v>6.7222</v>
      </c>
      <c r="AG796" s="6">
        <v>2.9371999999999998</v>
      </c>
      <c r="AH796" s="6">
        <v>255</v>
      </c>
      <c r="AJ796" s="17">
        <v>794</v>
      </c>
      <c r="AK796" s="6">
        <v>5.7842099999999999</v>
      </c>
      <c r="AL796" s="6">
        <v>6.7222</v>
      </c>
      <c r="AM796" s="6">
        <v>2.9371999999999998</v>
      </c>
      <c r="AN796" s="6">
        <v>255</v>
      </c>
      <c r="AQ796" s="17">
        <v>794</v>
      </c>
      <c r="AR796" s="6">
        <v>1.59388</v>
      </c>
      <c r="AS796" s="6">
        <v>0.33479999999999999</v>
      </c>
      <c r="AT796" s="6">
        <v>0.80940000000000001</v>
      </c>
      <c r="AU796" s="6">
        <v>255</v>
      </c>
      <c r="AW796" s="17">
        <v>794</v>
      </c>
      <c r="AX796" s="6">
        <v>0.84055000000000002</v>
      </c>
      <c r="AY796" s="6">
        <v>0.33479999999999999</v>
      </c>
      <c r="AZ796" s="6">
        <v>0.80940000000000001</v>
      </c>
      <c r="BA796" s="6">
        <v>255</v>
      </c>
    </row>
    <row r="797" spans="1:53" x14ac:dyDescent="0.25">
      <c r="A797" s="62" t="s">
        <v>161</v>
      </c>
      <c r="B797" s="60">
        <v>1</v>
      </c>
      <c r="C797" s="60">
        <v>16</v>
      </c>
      <c r="D797" s="60">
        <v>1</v>
      </c>
      <c r="E797" s="60">
        <v>49</v>
      </c>
      <c r="F797" t="s">
        <v>12</v>
      </c>
      <c r="G797" t="s">
        <v>12</v>
      </c>
      <c r="H797" t="s">
        <v>12</v>
      </c>
      <c r="I797" s="60">
        <v>2</v>
      </c>
      <c r="AD797" s="17">
        <v>795</v>
      </c>
      <c r="AE797" s="6">
        <v>3.0513599999999999</v>
      </c>
      <c r="AF797" s="6">
        <v>3.5764999999999998</v>
      </c>
      <c r="AG797" s="6">
        <v>2.9380999999999999</v>
      </c>
      <c r="AH797" s="6">
        <v>255</v>
      </c>
      <c r="AJ797" s="17">
        <v>795</v>
      </c>
      <c r="AK797" s="6">
        <v>5.7860399999999998</v>
      </c>
      <c r="AL797" s="6">
        <v>3.5764999999999998</v>
      </c>
      <c r="AM797" s="6">
        <v>2.9380999999999999</v>
      </c>
      <c r="AN797" s="6">
        <v>255</v>
      </c>
      <c r="AQ797" s="17">
        <v>795</v>
      </c>
      <c r="AR797" s="6">
        <v>1.5872299999999999</v>
      </c>
      <c r="AS797" s="6">
        <v>0.1885</v>
      </c>
      <c r="AT797" s="6">
        <v>0.80600000000000005</v>
      </c>
      <c r="AU797" s="6">
        <v>255</v>
      </c>
      <c r="AW797" s="17">
        <v>795</v>
      </c>
      <c r="AX797" s="6">
        <v>0.83704999999999996</v>
      </c>
      <c r="AY797" s="6">
        <v>0.1885</v>
      </c>
      <c r="AZ797" s="6">
        <v>0.80600000000000005</v>
      </c>
      <c r="BA797" s="6">
        <v>255</v>
      </c>
    </row>
    <row r="798" spans="1:53" x14ac:dyDescent="0.25">
      <c r="A798" s="62" t="s">
        <v>161</v>
      </c>
      <c r="B798" s="60">
        <v>1</v>
      </c>
      <c r="C798" s="60">
        <v>17</v>
      </c>
      <c r="D798" s="60">
        <v>1</v>
      </c>
      <c r="E798" s="60">
        <v>1</v>
      </c>
      <c r="F798" t="s">
        <v>12</v>
      </c>
      <c r="G798" t="s">
        <v>12</v>
      </c>
      <c r="H798" t="s">
        <v>12</v>
      </c>
      <c r="I798" s="60">
        <v>4</v>
      </c>
      <c r="AD798" s="17">
        <v>796</v>
      </c>
      <c r="AE798" s="6">
        <v>3.0478399999999999</v>
      </c>
      <c r="AF798" s="6">
        <v>1.8218000000000001</v>
      </c>
      <c r="AG798" s="6">
        <v>2.9346999999999999</v>
      </c>
      <c r="AH798" s="6">
        <v>255</v>
      </c>
      <c r="AJ798" s="17">
        <v>796</v>
      </c>
      <c r="AK798" s="6">
        <v>5.7793700000000001</v>
      </c>
      <c r="AL798" s="6">
        <v>1.8218000000000001</v>
      </c>
      <c r="AM798" s="6">
        <v>2.9346999999999999</v>
      </c>
      <c r="AN798" s="6">
        <v>255</v>
      </c>
      <c r="AQ798" s="17">
        <v>796</v>
      </c>
      <c r="AR798" s="6">
        <v>1.58965</v>
      </c>
      <c r="AS798" s="19">
        <v>-0.26879999999999998</v>
      </c>
      <c r="AT798" s="6">
        <v>0.80720000000000003</v>
      </c>
      <c r="AU798" s="6">
        <v>255</v>
      </c>
      <c r="AW798" s="17">
        <v>796</v>
      </c>
      <c r="AX798" s="6">
        <v>0.83833000000000002</v>
      </c>
      <c r="AY798" s="19">
        <v>-0.26879999999999998</v>
      </c>
      <c r="AZ798" s="6">
        <v>0.80720000000000003</v>
      </c>
      <c r="BA798" s="6">
        <v>255</v>
      </c>
    </row>
    <row r="799" spans="1:53" x14ac:dyDescent="0.25">
      <c r="A799" s="62" t="s">
        <v>161</v>
      </c>
      <c r="B799" s="60">
        <v>1</v>
      </c>
      <c r="C799" s="60">
        <v>18</v>
      </c>
      <c r="D799" s="60">
        <v>1</v>
      </c>
      <c r="E799" s="60">
        <v>25</v>
      </c>
      <c r="F799" t="s">
        <v>12</v>
      </c>
      <c r="G799" t="s">
        <v>12</v>
      </c>
      <c r="H799" t="s">
        <v>12</v>
      </c>
      <c r="I799" s="60">
        <v>5</v>
      </c>
      <c r="AD799" s="17">
        <v>797</v>
      </c>
      <c r="AE799" s="6">
        <v>3.0466199999999999</v>
      </c>
      <c r="AF799" s="6">
        <v>5.5430999999999999</v>
      </c>
      <c r="AG799" s="6">
        <v>2.9335</v>
      </c>
      <c r="AH799" s="6">
        <v>255</v>
      </c>
      <c r="AJ799" s="17">
        <v>797</v>
      </c>
      <c r="AK799" s="6">
        <v>5.7770599999999996</v>
      </c>
      <c r="AL799" s="6">
        <v>5.5430999999999999</v>
      </c>
      <c r="AM799" s="6">
        <v>2.9335</v>
      </c>
      <c r="AN799" s="6">
        <v>255</v>
      </c>
      <c r="AQ799" s="17">
        <v>797</v>
      </c>
      <c r="AR799" s="6">
        <v>1.5939399999999999</v>
      </c>
      <c r="AS799" s="19">
        <v>-0.95269999999999999</v>
      </c>
      <c r="AT799" s="6">
        <v>0.80940000000000001</v>
      </c>
      <c r="AU799" s="6">
        <v>255</v>
      </c>
      <c r="AW799" s="17">
        <v>797</v>
      </c>
      <c r="AX799" s="6">
        <v>0.84058999999999995</v>
      </c>
      <c r="AY799" s="19">
        <v>-0.95269999999999999</v>
      </c>
      <c r="AZ799" s="6">
        <v>0.80940000000000001</v>
      </c>
      <c r="BA799" s="6">
        <v>255</v>
      </c>
    </row>
    <row r="800" spans="1:53" x14ac:dyDescent="0.25">
      <c r="A800" s="62" t="s">
        <v>161</v>
      </c>
      <c r="B800" s="60">
        <v>1</v>
      </c>
      <c r="C800" s="60">
        <v>19</v>
      </c>
      <c r="D800" s="60">
        <v>1</v>
      </c>
      <c r="E800" s="60">
        <v>57</v>
      </c>
      <c r="F800" t="s">
        <v>12</v>
      </c>
      <c r="G800" t="s">
        <v>12</v>
      </c>
      <c r="H800" t="s">
        <v>12</v>
      </c>
      <c r="I800" s="60">
        <v>5</v>
      </c>
      <c r="AD800" s="17">
        <v>798</v>
      </c>
      <c r="AE800" s="6">
        <v>3.0487299999999999</v>
      </c>
      <c r="AF800" s="6">
        <v>14.047000000000001</v>
      </c>
      <c r="AG800" s="6">
        <v>2.9356</v>
      </c>
      <c r="AH800" s="6">
        <v>255</v>
      </c>
      <c r="AJ800" s="17">
        <v>798</v>
      </c>
      <c r="AK800" s="6">
        <v>5.7810699999999997</v>
      </c>
      <c r="AL800" s="6">
        <v>14.047000000000001</v>
      </c>
      <c r="AM800" s="6">
        <v>2.9356</v>
      </c>
      <c r="AN800" s="6">
        <v>255</v>
      </c>
      <c r="AQ800" s="17">
        <v>798</v>
      </c>
      <c r="AR800" s="6">
        <v>1.5993299999999999</v>
      </c>
      <c r="AS800" s="6">
        <v>1.9558</v>
      </c>
      <c r="AT800" s="6">
        <v>0.81210000000000004</v>
      </c>
      <c r="AU800" s="6">
        <v>255</v>
      </c>
      <c r="AW800" s="17">
        <v>798</v>
      </c>
      <c r="AX800" s="6">
        <v>0.84343000000000001</v>
      </c>
      <c r="AY800" s="6">
        <v>1.9558</v>
      </c>
      <c r="AZ800" s="6">
        <v>0.81210000000000004</v>
      </c>
      <c r="BA800" s="6">
        <v>255</v>
      </c>
    </row>
    <row r="801" spans="1:53" x14ac:dyDescent="0.25">
      <c r="A801" s="62" t="s">
        <v>161</v>
      </c>
      <c r="B801" s="60">
        <v>1</v>
      </c>
      <c r="C801" s="60">
        <v>20</v>
      </c>
      <c r="D801" s="60">
        <v>1</v>
      </c>
      <c r="E801" s="60">
        <v>29</v>
      </c>
      <c r="F801" t="s">
        <v>12</v>
      </c>
      <c r="G801" t="s">
        <v>12</v>
      </c>
      <c r="H801" t="s">
        <v>12</v>
      </c>
      <c r="I801" s="60">
        <v>5</v>
      </c>
      <c r="AD801" s="17">
        <v>799</v>
      </c>
      <c r="AE801" s="6">
        <v>3.04975</v>
      </c>
      <c r="AF801" s="6">
        <v>0.32840000000000003</v>
      </c>
      <c r="AG801" s="6">
        <v>2.9365999999999999</v>
      </c>
      <c r="AH801" s="6">
        <v>255</v>
      </c>
      <c r="AJ801" s="17">
        <v>799</v>
      </c>
      <c r="AK801" s="6">
        <v>5.7830000000000004</v>
      </c>
      <c r="AL801" s="6">
        <v>0.32840000000000003</v>
      </c>
      <c r="AM801" s="6">
        <v>2.9365999999999999</v>
      </c>
      <c r="AN801" s="6">
        <v>255</v>
      </c>
      <c r="AQ801" s="17">
        <v>799</v>
      </c>
      <c r="AR801" s="6">
        <v>1.59351</v>
      </c>
      <c r="AS801" s="6">
        <v>0.84230000000000005</v>
      </c>
      <c r="AT801" s="6">
        <v>0.80920000000000003</v>
      </c>
      <c r="AU801" s="6">
        <v>255</v>
      </c>
      <c r="AW801" s="17">
        <v>799</v>
      </c>
      <c r="AX801" s="6">
        <v>0.84036</v>
      </c>
      <c r="AY801" s="6">
        <v>0.84230000000000005</v>
      </c>
      <c r="AZ801" s="6">
        <v>0.80920000000000003</v>
      </c>
      <c r="BA801" s="6">
        <v>255</v>
      </c>
    </row>
    <row r="802" spans="1:53" x14ac:dyDescent="0.25">
      <c r="A802" s="62" t="s">
        <v>161</v>
      </c>
      <c r="B802" s="60">
        <v>1</v>
      </c>
      <c r="C802" s="60">
        <v>21</v>
      </c>
      <c r="D802" s="60">
        <v>1</v>
      </c>
      <c r="E802" s="60">
        <v>13</v>
      </c>
      <c r="F802" t="s">
        <v>12</v>
      </c>
      <c r="G802" t="s">
        <v>12</v>
      </c>
      <c r="H802" t="s">
        <v>12</v>
      </c>
      <c r="I802" s="60">
        <v>2</v>
      </c>
      <c r="AD802" s="17">
        <v>800</v>
      </c>
      <c r="AE802" s="6">
        <v>3.0345300000000002</v>
      </c>
      <c r="AF802" s="6">
        <v>2.8464</v>
      </c>
      <c r="AG802" s="6">
        <v>2.9218999999999999</v>
      </c>
      <c r="AH802" s="6">
        <v>255</v>
      </c>
      <c r="AJ802" s="17">
        <v>800</v>
      </c>
      <c r="AK802" s="6">
        <v>5.7541399999999996</v>
      </c>
      <c r="AL802" s="6">
        <v>2.8464</v>
      </c>
      <c r="AM802" s="6">
        <v>2.9218999999999999</v>
      </c>
      <c r="AN802" s="6">
        <v>255</v>
      </c>
      <c r="AQ802" s="17">
        <v>800</v>
      </c>
      <c r="AR802" s="6">
        <v>1.58632</v>
      </c>
      <c r="AS802" s="19">
        <v>-0.82679999999999998</v>
      </c>
      <c r="AT802" s="6">
        <v>0.80549999999999999</v>
      </c>
      <c r="AU802" s="6">
        <v>255</v>
      </c>
      <c r="AW802" s="17">
        <v>800</v>
      </c>
      <c r="AX802" s="6">
        <v>0.83657000000000004</v>
      </c>
      <c r="AY802" s="19">
        <v>-0.82679999999999998</v>
      </c>
      <c r="AZ802" s="6">
        <v>0.80549999999999999</v>
      </c>
      <c r="BA802" s="6">
        <v>255</v>
      </c>
    </row>
    <row r="803" spans="1:53" x14ac:dyDescent="0.25">
      <c r="A803" s="62" t="s">
        <v>161</v>
      </c>
      <c r="B803" s="60">
        <v>1</v>
      </c>
      <c r="C803" s="60">
        <v>22</v>
      </c>
      <c r="D803" s="60">
        <v>1</v>
      </c>
      <c r="E803" s="60">
        <v>34</v>
      </c>
      <c r="F803" t="s">
        <v>12</v>
      </c>
      <c r="G803" t="s">
        <v>12</v>
      </c>
      <c r="H803" t="s">
        <v>12</v>
      </c>
      <c r="I803" s="60">
        <v>5</v>
      </c>
      <c r="AD803" s="17">
        <v>801</v>
      </c>
      <c r="AE803" s="6">
        <v>3.04834</v>
      </c>
      <c r="AF803" s="6">
        <v>4.5246000000000004</v>
      </c>
      <c r="AG803" s="6">
        <v>2.9352</v>
      </c>
      <c r="AH803" s="6">
        <v>255</v>
      </c>
      <c r="AJ803" s="17">
        <v>801</v>
      </c>
      <c r="AK803" s="6">
        <v>5.7803199999999997</v>
      </c>
      <c r="AL803" s="6">
        <v>4.5246000000000004</v>
      </c>
      <c r="AM803" s="6">
        <v>2.9352</v>
      </c>
      <c r="AN803" s="6">
        <v>255</v>
      </c>
      <c r="AQ803" s="17">
        <v>801</v>
      </c>
      <c r="AR803" s="6">
        <v>1.59996</v>
      </c>
      <c r="AS803" s="19">
        <v>-0.44600000000000001</v>
      </c>
      <c r="AT803" s="6">
        <v>0.81240000000000001</v>
      </c>
      <c r="AU803" s="6">
        <v>255</v>
      </c>
      <c r="AW803" s="17">
        <v>801</v>
      </c>
      <c r="AX803" s="6">
        <v>0.84375999999999995</v>
      </c>
      <c r="AY803" s="19">
        <v>-0.44600000000000001</v>
      </c>
      <c r="AZ803" s="6">
        <v>0.81240000000000001</v>
      </c>
      <c r="BA803" s="6">
        <v>255</v>
      </c>
    </row>
    <row r="804" spans="1:53" x14ac:dyDescent="0.25">
      <c r="A804" s="62" t="s">
        <v>161</v>
      </c>
      <c r="B804" s="60">
        <v>1</v>
      </c>
      <c r="C804" s="60">
        <v>23</v>
      </c>
      <c r="D804" s="60">
        <v>1</v>
      </c>
      <c r="E804" s="60">
        <v>22</v>
      </c>
      <c r="F804" t="s">
        <v>12</v>
      </c>
      <c r="G804" t="s">
        <v>12</v>
      </c>
      <c r="H804" t="s">
        <v>12</v>
      </c>
      <c r="I804" s="60">
        <v>5</v>
      </c>
      <c r="AD804" s="17">
        <v>802</v>
      </c>
      <c r="AE804" s="6">
        <v>3.0459000000000001</v>
      </c>
      <c r="AF804" s="6">
        <v>2.0425</v>
      </c>
      <c r="AG804" s="6">
        <v>2.9329000000000001</v>
      </c>
      <c r="AH804" s="6">
        <v>255</v>
      </c>
      <c r="AJ804" s="17">
        <v>802</v>
      </c>
      <c r="AK804" s="6">
        <v>5.7756999999999996</v>
      </c>
      <c r="AL804" s="6">
        <v>2.0425</v>
      </c>
      <c r="AM804" s="6">
        <v>2.9329000000000001</v>
      </c>
      <c r="AN804" s="6">
        <v>255</v>
      </c>
      <c r="AQ804" s="17">
        <v>802</v>
      </c>
      <c r="AR804" s="6">
        <v>1.61419</v>
      </c>
      <c r="AS804" s="6">
        <v>0.9325</v>
      </c>
      <c r="AT804" s="6">
        <v>0.81969999999999998</v>
      </c>
      <c r="AU804" s="6">
        <v>255</v>
      </c>
      <c r="AW804" s="17">
        <v>802</v>
      </c>
      <c r="AX804" s="6">
        <v>0.85126999999999997</v>
      </c>
      <c r="AY804" s="6">
        <v>0.9325</v>
      </c>
      <c r="AZ804" s="6">
        <v>0.81969999999999998</v>
      </c>
      <c r="BA804" s="6">
        <v>255</v>
      </c>
    </row>
    <row r="805" spans="1:53" x14ac:dyDescent="0.25">
      <c r="A805" s="62" t="s">
        <v>161</v>
      </c>
      <c r="B805" s="60">
        <v>1</v>
      </c>
      <c r="C805" s="60">
        <v>24</v>
      </c>
      <c r="D805" s="60">
        <v>1</v>
      </c>
      <c r="E805" s="60">
        <v>5</v>
      </c>
      <c r="F805" t="s">
        <v>12</v>
      </c>
      <c r="G805" t="s">
        <v>12</v>
      </c>
      <c r="H805" t="s">
        <v>12</v>
      </c>
      <c r="I805" s="60">
        <v>2</v>
      </c>
      <c r="AD805" s="17">
        <v>803</v>
      </c>
      <c r="AE805" s="6">
        <v>3.0580099999999999</v>
      </c>
      <c r="AF805" s="6">
        <v>4.0026999999999999</v>
      </c>
      <c r="AG805" s="6">
        <v>2.9445000000000001</v>
      </c>
      <c r="AH805" s="6">
        <v>255</v>
      </c>
      <c r="AJ805" s="17">
        <v>803</v>
      </c>
      <c r="AK805" s="6">
        <v>5.7986599999999999</v>
      </c>
      <c r="AL805" s="6">
        <v>4.0026999999999999</v>
      </c>
      <c r="AM805" s="6">
        <v>2.9445000000000001</v>
      </c>
      <c r="AN805" s="6">
        <v>255</v>
      </c>
      <c r="AQ805" s="17">
        <v>803</v>
      </c>
      <c r="AR805" s="6">
        <v>1.5957399999999999</v>
      </c>
      <c r="AS805" s="6">
        <v>0.84340000000000004</v>
      </c>
      <c r="AT805" s="6">
        <v>0.81030000000000002</v>
      </c>
      <c r="AU805" s="6">
        <v>255</v>
      </c>
      <c r="AW805" s="17">
        <v>803</v>
      </c>
      <c r="AX805" s="6">
        <v>0.84153999999999995</v>
      </c>
      <c r="AY805" s="6">
        <v>0.84340000000000004</v>
      </c>
      <c r="AZ805" s="6">
        <v>0.81030000000000002</v>
      </c>
      <c r="BA805" s="6">
        <v>255</v>
      </c>
    </row>
    <row r="806" spans="1:53" x14ac:dyDescent="0.25">
      <c r="A806" s="62" t="s">
        <v>161</v>
      </c>
      <c r="B806" s="60">
        <v>1</v>
      </c>
      <c r="C806" s="60">
        <v>25</v>
      </c>
      <c r="D806" s="60">
        <v>1</v>
      </c>
      <c r="E806" s="60">
        <v>38</v>
      </c>
      <c r="F806" t="s">
        <v>12</v>
      </c>
      <c r="G806" t="s">
        <v>12</v>
      </c>
      <c r="H806" t="s">
        <v>12</v>
      </c>
      <c r="I806" s="60">
        <v>1</v>
      </c>
      <c r="AD806" s="17">
        <v>804</v>
      </c>
      <c r="AE806" s="6">
        <v>3.0409999999999999</v>
      </c>
      <c r="AF806" s="19">
        <v>-4.0633999999999997</v>
      </c>
      <c r="AG806" s="6">
        <v>2.9281000000000001</v>
      </c>
      <c r="AH806" s="6">
        <v>255</v>
      </c>
      <c r="AJ806" s="17">
        <v>804</v>
      </c>
      <c r="AK806" s="6">
        <v>5.7664</v>
      </c>
      <c r="AL806" s="19">
        <v>-4.0633999999999997</v>
      </c>
      <c r="AM806" s="6">
        <v>2.9281000000000001</v>
      </c>
      <c r="AN806" s="6">
        <v>255</v>
      </c>
      <c r="AQ806" s="17">
        <v>804</v>
      </c>
      <c r="AR806" s="6">
        <v>1.5931599999999999</v>
      </c>
      <c r="AS806" s="6">
        <v>0.4325</v>
      </c>
      <c r="AT806" s="6">
        <v>0.80900000000000005</v>
      </c>
      <c r="AU806" s="6">
        <v>255</v>
      </c>
      <c r="AW806" s="17">
        <v>804</v>
      </c>
      <c r="AX806" s="6">
        <v>0.84018000000000004</v>
      </c>
      <c r="AY806" s="6">
        <v>0.4325</v>
      </c>
      <c r="AZ806" s="6">
        <v>0.80900000000000005</v>
      </c>
      <c r="BA806" s="6">
        <v>255</v>
      </c>
    </row>
    <row r="807" spans="1:53" x14ac:dyDescent="0.25">
      <c r="A807" s="62" t="s">
        <v>161</v>
      </c>
      <c r="B807" s="60">
        <v>1</v>
      </c>
      <c r="C807" s="60">
        <v>26</v>
      </c>
      <c r="D807" s="60">
        <v>1</v>
      </c>
      <c r="E807" s="60">
        <v>15</v>
      </c>
      <c r="F807" t="s">
        <v>12</v>
      </c>
      <c r="G807" t="s">
        <v>12</v>
      </c>
      <c r="H807" t="s">
        <v>12</v>
      </c>
      <c r="I807" s="60">
        <v>5</v>
      </c>
      <c r="AD807" s="17">
        <v>805</v>
      </c>
      <c r="AE807" s="6">
        <v>3.0481600000000002</v>
      </c>
      <c r="AF807" s="6">
        <v>0.97940000000000005</v>
      </c>
      <c r="AG807" s="6">
        <v>2.9350000000000001</v>
      </c>
      <c r="AH807" s="6">
        <v>255</v>
      </c>
      <c r="AJ807" s="17">
        <v>805</v>
      </c>
      <c r="AK807" s="6">
        <v>5.7799899999999997</v>
      </c>
      <c r="AL807" s="6">
        <v>0.97940000000000005</v>
      </c>
      <c r="AM807" s="6">
        <v>2.9350000000000001</v>
      </c>
      <c r="AN807" s="6">
        <v>255</v>
      </c>
      <c r="AQ807" s="17">
        <v>805</v>
      </c>
      <c r="AR807" s="6">
        <v>1.59</v>
      </c>
      <c r="AS807" s="6">
        <v>0.70489999999999997</v>
      </c>
      <c r="AT807" s="6">
        <v>0.80740000000000001</v>
      </c>
      <c r="AU807" s="6">
        <v>255</v>
      </c>
      <c r="AW807" s="17">
        <v>805</v>
      </c>
      <c r="AX807" s="6">
        <v>0.83850999999999998</v>
      </c>
      <c r="AY807" s="6">
        <v>0.70489999999999997</v>
      </c>
      <c r="AZ807" s="6">
        <v>0.80740000000000001</v>
      </c>
      <c r="BA807" s="6">
        <v>255</v>
      </c>
    </row>
    <row r="808" spans="1:53" x14ac:dyDescent="0.25">
      <c r="A808" s="62" t="s">
        <v>161</v>
      </c>
      <c r="B808" s="60">
        <v>1</v>
      </c>
      <c r="C808" s="60">
        <v>26</v>
      </c>
      <c r="D808" s="60">
        <v>2</v>
      </c>
      <c r="E808" s="60">
        <v>26</v>
      </c>
      <c r="F808" t="s">
        <v>12</v>
      </c>
      <c r="G808" t="s">
        <v>12</v>
      </c>
      <c r="H808" t="s">
        <v>12</v>
      </c>
      <c r="I808" s="60">
        <v>5</v>
      </c>
      <c r="AD808" s="17">
        <v>806</v>
      </c>
      <c r="AE808" s="6">
        <v>3.0653199999999998</v>
      </c>
      <c r="AF808" s="6">
        <v>3.4567999999999999</v>
      </c>
      <c r="AG808" s="6">
        <v>2.9516</v>
      </c>
      <c r="AH808" s="6">
        <v>255</v>
      </c>
      <c r="AJ808" s="17">
        <v>806</v>
      </c>
      <c r="AK808" s="6">
        <v>5.8125299999999998</v>
      </c>
      <c r="AL808" s="6">
        <v>3.4567999999999999</v>
      </c>
      <c r="AM808" s="6">
        <v>2.9516</v>
      </c>
      <c r="AN808" s="6">
        <v>255</v>
      </c>
      <c r="AQ808" s="17">
        <v>806</v>
      </c>
      <c r="AR808" s="6">
        <v>1.5970899999999999</v>
      </c>
      <c r="AS808" s="6">
        <v>1.2286999999999999</v>
      </c>
      <c r="AT808" s="6">
        <v>0.81100000000000005</v>
      </c>
      <c r="AU808" s="6">
        <v>255</v>
      </c>
      <c r="AW808" s="17">
        <v>806</v>
      </c>
      <c r="AX808" s="6">
        <v>0.84225000000000005</v>
      </c>
      <c r="AY808" s="6">
        <v>1.2286999999999999</v>
      </c>
      <c r="AZ808" s="6">
        <v>0.81100000000000005</v>
      </c>
      <c r="BA808" s="6">
        <v>255</v>
      </c>
    </row>
    <row r="809" spans="1:53" x14ac:dyDescent="0.25">
      <c r="A809" s="62" t="s">
        <v>161</v>
      </c>
      <c r="B809" s="60">
        <v>1</v>
      </c>
      <c r="C809" s="60">
        <v>25</v>
      </c>
      <c r="D809" s="60">
        <v>2</v>
      </c>
      <c r="E809" s="60">
        <v>17</v>
      </c>
      <c r="F809" t="s">
        <v>12</v>
      </c>
      <c r="G809" t="s">
        <v>12</v>
      </c>
      <c r="H809" t="s">
        <v>12</v>
      </c>
      <c r="I809" s="60">
        <v>5</v>
      </c>
      <c r="AD809" s="17">
        <v>807</v>
      </c>
      <c r="AE809" s="6">
        <v>3.0453399999999999</v>
      </c>
      <c r="AF809" s="6">
        <v>1.5375000000000001</v>
      </c>
      <c r="AG809" s="6">
        <v>2.9323000000000001</v>
      </c>
      <c r="AH809" s="6">
        <v>255</v>
      </c>
      <c r="AJ809" s="17">
        <v>807</v>
      </c>
      <c r="AK809" s="6">
        <v>5.7746399999999998</v>
      </c>
      <c r="AL809" s="6">
        <v>1.5375000000000001</v>
      </c>
      <c r="AM809" s="6">
        <v>2.9323000000000001</v>
      </c>
      <c r="AN809" s="6">
        <v>255</v>
      </c>
      <c r="AQ809" s="17">
        <v>807</v>
      </c>
      <c r="AR809" s="6">
        <v>1.59036</v>
      </c>
      <c r="AS809" s="6">
        <v>4.607E-2</v>
      </c>
      <c r="AT809" s="6">
        <v>0.80759999999999998</v>
      </c>
      <c r="AU809" s="6">
        <v>255</v>
      </c>
      <c r="AW809" s="17">
        <v>807</v>
      </c>
      <c r="AX809" s="6">
        <v>0.8387</v>
      </c>
      <c r="AY809" s="6">
        <v>4.607E-2</v>
      </c>
      <c r="AZ809" s="6">
        <v>0.80759999999999998</v>
      </c>
      <c r="BA809" s="6">
        <v>255</v>
      </c>
    </row>
    <row r="810" spans="1:53" x14ac:dyDescent="0.25">
      <c r="A810" s="62" t="s">
        <v>161</v>
      </c>
      <c r="B810" s="60">
        <v>1</v>
      </c>
      <c r="C810" s="60">
        <v>24</v>
      </c>
      <c r="D810" s="60">
        <v>2</v>
      </c>
      <c r="E810" s="60">
        <v>45</v>
      </c>
      <c r="F810" t="s">
        <v>12</v>
      </c>
      <c r="G810" t="s">
        <v>12</v>
      </c>
      <c r="H810" t="s">
        <v>12</v>
      </c>
      <c r="I810" s="60">
        <v>5</v>
      </c>
      <c r="AD810" s="17">
        <v>808</v>
      </c>
      <c r="AE810" s="6">
        <v>3.03084</v>
      </c>
      <c r="AF810" s="6">
        <v>2.8485</v>
      </c>
      <c r="AG810" s="6">
        <v>2.9184000000000001</v>
      </c>
      <c r="AH810" s="6">
        <v>255</v>
      </c>
      <c r="AJ810" s="17">
        <v>808</v>
      </c>
      <c r="AK810" s="6">
        <v>5.7471399999999999</v>
      </c>
      <c r="AL810" s="6">
        <v>2.8485</v>
      </c>
      <c r="AM810" s="6">
        <v>2.9184000000000001</v>
      </c>
      <c r="AN810" s="6">
        <v>255</v>
      </c>
      <c r="AQ810" s="17">
        <v>808</v>
      </c>
      <c r="AR810" s="6">
        <v>1.5831299999999999</v>
      </c>
      <c r="AS810" s="19">
        <v>-0.14230000000000001</v>
      </c>
      <c r="AT810" s="6">
        <v>0.80389999999999995</v>
      </c>
      <c r="AU810" s="6">
        <v>255</v>
      </c>
      <c r="AW810" s="17">
        <v>808</v>
      </c>
      <c r="AX810" s="6">
        <v>0.83489000000000002</v>
      </c>
      <c r="AY810" s="19">
        <v>-0.14230000000000001</v>
      </c>
      <c r="AZ810" s="6">
        <v>0.80389999999999995</v>
      </c>
      <c r="BA810" s="6">
        <v>255</v>
      </c>
    </row>
    <row r="811" spans="1:53" x14ac:dyDescent="0.25">
      <c r="A811" s="62" t="s">
        <v>161</v>
      </c>
      <c r="B811" s="60">
        <v>1</v>
      </c>
      <c r="C811" s="60">
        <v>23</v>
      </c>
      <c r="D811" s="60">
        <v>2</v>
      </c>
      <c r="E811" s="60">
        <v>2</v>
      </c>
      <c r="F811" t="s">
        <v>12</v>
      </c>
      <c r="G811" t="s">
        <v>12</v>
      </c>
      <c r="H811" t="s">
        <v>12</v>
      </c>
      <c r="I811" s="60">
        <v>5</v>
      </c>
      <c r="AD811" s="17">
        <v>809</v>
      </c>
      <c r="AE811" s="6">
        <v>3.0489600000000001</v>
      </c>
      <c r="AF811" s="6">
        <v>4.7420999999999998</v>
      </c>
      <c r="AG811" s="6">
        <v>2.9358</v>
      </c>
      <c r="AH811" s="6">
        <v>255</v>
      </c>
      <c r="AJ811" s="17">
        <v>809</v>
      </c>
      <c r="AK811" s="6">
        <v>5.7815000000000003</v>
      </c>
      <c r="AL811" s="6">
        <v>4.7420999999999998</v>
      </c>
      <c r="AM811" s="6">
        <v>2.9358</v>
      </c>
      <c r="AN811" s="6">
        <v>255</v>
      </c>
      <c r="AQ811" s="17">
        <v>809</v>
      </c>
      <c r="AR811" s="6">
        <v>1.59152</v>
      </c>
      <c r="AS811" s="6">
        <v>0.7873</v>
      </c>
      <c r="AT811" s="6">
        <v>0.80820000000000003</v>
      </c>
      <c r="AU811" s="6">
        <v>255</v>
      </c>
      <c r="AW811" s="17">
        <v>809</v>
      </c>
      <c r="AX811" s="6">
        <v>0.83931</v>
      </c>
      <c r="AY811" s="6">
        <v>0.7873</v>
      </c>
      <c r="AZ811" s="6">
        <v>0.80820000000000003</v>
      </c>
      <c r="BA811" s="6">
        <v>255</v>
      </c>
    </row>
    <row r="812" spans="1:53" x14ac:dyDescent="0.25">
      <c r="A812" s="62" t="s">
        <v>161</v>
      </c>
      <c r="B812" s="60">
        <v>1</v>
      </c>
      <c r="C812" s="60">
        <v>22</v>
      </c>
      <c r="D812" s="60">
        <v>2</v>
      </c>
      <c r="E812" s="60">
        <v>6</v>
      </c>
      <c r="F812" t="s">
        <v>12</v>
      </c>
      <c r="G812" t="s">
        <v>12</v>
      </c>
      <c r="H812" t="s">
        <v>12</v>
      </c>
      <c r="I812" s="60">
        <v>1</v>
      </c>
      <c r="AD812" s="17">
        <v>810</v>
      </c>
      <c r="AE812" s="6">
        <v>3.04914</v>
      </c>
      <c r="AF812" s="19">
        <v>-1.4077</v>
      </c>
      <c r="AG812" s="6">
        <v>2.9359999999999999</v>
      </c>
      <c r="AH812" s="6">
        <v>255</v>
      </c>
      <c r="AJ812" s="17">
        <v>810</v>
      </c>
      <c r="AK812" s="6">
        <v>5.7818399999999999</v>
      </c>
      <c r="AL812" s="19">
        <v>-1.4077</v>
      </c>
      <c r="AM812" s="6">
        <v>2.9359999999999999</v>
      </c>
      <c r="AN812" s="6">
        <v>255</v>
      </c>
      <c r="AQ812" s="17">
        <v>810</v>
      </c>
      <c r="AR812" s="6">
        <v>1.5930200000000001</v>
      </c>
      <c r="AS812" s="19">
        <v>-1.5771999999999999</v>
      </c>
      <c r="AT812" s="6">
        <v>0.80889999999999995</v>
      </c>
      <c r="AU812" s="6">
        <v>255</v>
      </c>
      <c r="AW812" s="17">
        <v>810</v>
      </c>
      <c r="AX812" s="6">
        <v>0.84009999999999996</v>
      </c>
      <c r="AY812" s="19">
        <v>-1.5771999999999999</v>
      </c>
      <c r="AZ812" s="6">
        <v>0.80889999999999995</v>
      </c>
      <c r="BA812" s="6">
        <v>255</v>
      </c>
    </row>
    <row r="813" spans="1:53" x14ac:dyDescent="0.25">
      <c r="A813" s="62" t="s">
        <v>161</v>
      </c>
      <c r="B813" s="60">
        <v>1</v>
      </c>
      <c r="C813" s="60">
        <v>21</v>
      </c>
      <c r="D813" s="60">
        <v>2</v>
      </c>
      <c r="E813" s="60">
        <v>19</v>
      </c>
      <c r="F813" t="s">
        <v>12</v>
      </c>
      <c r="G813" t="s">
        <v>12</v>
      </c>
      <c r="H813" t="s">
        <v>12</v>
      </c>
      <c r="I813" s="60">
        <v>4</v>
      </c>
      <c r="AD813" s="17">
        <v>811</v>
      </c>
      <c r="AE813" s="6">
        <v>3.0504899999999999</v>
      </c>
      <c r="AF813" s="6">
        <v>1.7173</v>
      </c>
      <c r="AG813" s="6">
        <v>2.9373</v>
      </c>
      <c r="AH813" s="6">
        <v>255</v>
      </c>
      <c r="AJ813" s="17">
        <v>811</v>
      </c>
      <c r="AK813" s="6">
        <v>5.7843999999999998</v>
      </c>
      <c r="AL813" s="6">
        <v>1.7173</v>
      </c>
      <c r="AM813" s="6">
        <v>2.9373</v>
      </c>
      <c r="AN813" s="6">
        <v>255</v>
      </c>
      <c r="AQ813" s="17">
        <v>811</v>
      </c>
      <c r="AR813" s="6">
        <v>1.5870899999999999</v>
      </c>
      <c r="AS813" s="6">
        <v>0.79590000000000005</v>
      </c>
      <c r="AT813" s="6">
        <v>0.80589999999999995</v>
      </c>
      <c r="AU813" s="6">
        <v>255</v>
      </c>
      <c r="AW813" s="17">
        <v>811</v>
      </c>
      <c r="AX813" s="6">
        <v>0.83697999999999995</v>
      </c>
      <c r="AY813" s="6">
        <v>0.79590000000000005</v>
      </c>
      <c r="AZ813" s="6">
        <v>0.80589999999999995</v>
      </c>
      <c r="BA813" s="6">
        <v>255</v>
      </c>
    </row>
    <row r="814" spans="1:53" x14ac:dyDescent="0.25">
      <c r="A814" s="62" t="s">
        <v>161</v>
      </c>
      <c r="B814" s="60">
        <v>1</v>
      </c>
      <c r="C814" s="60">
        <v>20</v>
      </c>
      <c r="D814" s="60">
        <v>2</v>
      </c>
      <c r="E814" s="60">
        <v>48</v>
      </c>
      <c r="F814" t="s">
        <v>12</v>
      </c>
      <c r="G814" t="s">
        <v>12</v>
      </c>
      <c r="H814" t="s">
        <v>12</v>
      </c>
      <c r="I814" s="60">
        <v>1</v>
      </c>
      <c r="AD814" s="17">
        <v>812</v>
      </c>
      <c r="AE814" s="6">
        <v>3.0531799999999998</v>
      </c>
      <c r="AF814" s="6">
        <v>4.0349000000000004</v>
      </c>
      <c r="AG814" s="6">
        <v>2.9399000000000002</v>
      </c>
      <c r="AH814" s="6">
        <v>255</v>
      </c>
      <c r="AJ814" s="17">
        <v>812</v>
      </c>
      <c r="AK814" s="6">
        <v>5.7895000000000003</v>
      </c>
      <c r="AL814" s="6">
        <v>4.0349000000000004</v>
      </c>
      <c r="AM814" s="6">
        <v>2.9399000000000002</v>
      </c>
      <c r="AN814" s="6">
        <v>255</v>
      </c>
      <c r="AQ814" s="17">
        <v>812</v>
      </c>
      <c r="AR814" s="6">
        <v>1.59903</v>
      </c>
      <c r="AS814" s="6">
        <v>0.52849999999999997</v>
      </c>
      <c r="AT814" s="6">
        <v>0.81200000000000006</v>
      </c>
      <c r="AU814" s="6">
        <v>255</v>
      </c>
      <c r="AW814" s="17">
        <v>812</v>
      </c>
      <c r="AX814" s="6">
        <v>0.84326999999999996</v>
      </c>
      <c r="AY814" s="6">
        <v>0.52849999999999997</v>
      </c>
      <c r="AZ814" s="6">
        <v>0.81200000000000006</v>
      </c>
      <c r="BA814" s="6">
        <v>255</v>
      </c>
    </row>
    <row r="815" spans="1:53" x14ac:dyDescent="0.25">
      <c r="A815" s="62" t="s">
        <v>161</v>
      </c>
      <c r="B815" s="60">
        <v>1</v>
      </c>
      <c r="C815" s="60">
        <v>19</v>
      </c>
      <c r="D815" s="60">
        <v>2</v>
      </c>
      <c r="E815" s="60">
        <v>58</v>
      </c>
      <c r="F815" t="s">
        <v>12</v>
      </c>
      <c r="G815" t="s">
        <v>12</v>
      </c>
      <c r="H815" t="s">
        <v>12</v>
      </c>
      <c r="I815" s="60">
        <v>6</v>
      </c>
      <c r="AD815" s="17">
        <v>813</v>
      </c>
      <c r="AE815" s="6">
        <v>3.05321</v>
      </c>
      <c r="AF815" s="6">
        <v>3.9117999999999999</v>
      </c>
      <c r="AG815" s="6">
        <v>2.9399000000000002</v>
      </c>
      <c r="AH815" s="6">
        <v>255</v>
      </c>
      <c r="AJ815" s="17">
        <v>813</v>
      </c>
      <c r="AK815" s="6">
        <v>5.7895500000000002</v>
      </c>
      <c r="AL815" s="6">
        <v>3.9117999999999999</v>
      </c>
      <c r="AM815" s="6">
        <v>2.9399000000000002</v>
      </c>
      <c r="AN815" s="6">
        <v>255</v>
      </c>
      <c r="AQ815" s="17">
        <v>813</v>
      </c>
      <c r="AR815" s="6">
        <v>1.5988599999999999</v>
      </c>
      <c r="AS815" s="6">
        <v>0.78090000000000004</v>
      </c>
      <c r="AT815" s="6">
        <v>0.81189999999999996</v>
      </c>
      <c r="AU815" s="6">
        <v>255</v>
      </c>
      <c r="AW815" s="17">
        <v>813</v>
      </c>
      <c r="AX815" s="6">
        <v>0.84318000000000004</v>
      </c>
      <c r="AY815" s="6">
        <v>0.78090000000000004</v>
      </c>
      <c r="AZ815" s="6">
        <v>0.81189999999999996</v>
      </c>
      <c r="BA815" s="6">
        <v>255</v>
      </c>
    </row>
    <row r="816" spans="1:53" x14ac:dyDescent="0.25">
      <c r="A816" s="62" t="s">
        <v>161</v>
      </c>
      <c r="B816" s="60">
        <v>1</v>
      </c>
      <c r="C816" s="60">
        <v>18</v>
      </c>
      <c r="D816" s="60">
        <v>2</v>
      </c>
      <c r="E816" s="60">
        <v>31</v>
      </c>
      <c r="F816" t="s">
        <v>12</v>
      </c>
      <c r="G816" t="s">
        <v>12</v>
      </c>
      <c r="H816" t="s">
        <v>12</v>
      </c>
      <c r="I816" s="60">
        <v>2</v>
      </c>
      <c r="AD816" s="17">
        <v>814</v>
      </c>
      <c r="AE816" s="6">
        <v>3.0663100000000001</v>
      </c>
      <c r="AF816" s="6">
        <v>0.42520000000000002</v>
      </c>
      <c r="AG816" s="6">
        <v>2.9525000000000001</v>
      </c>
      <c r="AH816" s="6">
        <v>255</v>
      </c>
      <c r="AJ816" s="17">
        <v>814</v>
      </c>
      <c r="AK816" s="6">
        <v>5.8144</v>
      </c>
      <c r="AL816" s="6">
        <v>0.42520000000000002</v>
      </c>
      <c r="AM816" s="6">
        <v>2.9525000000000001</v>
      </c>
      <c r="AN816" s="6">
        <v>255</v>
      </c>
      <c r="AQ816" s="17">
        <v>814</v>
      </c>
      <c r="AR816" s="6">
        <v>1.5934900000000001</v>
      </c>
      <c r="AS816" s="19">
        <v>-0.59989999999999999</v>
      </c>
      <c r="AT816" s="6">
        <v>0.80920000000000003</v>
      </c>
      <c r="AU816" s="6">
        <v>255</v>
      </c>
      <c r="AW816" s="17">
        <v>814</v>
      </c>
      <c r="AX816" s="6">
        <v>0.84035000000000004</v>
      </c>
      <c r="AY816" s="19">
        <v>-0.59989999999999999</v>
      </c>
      <c r="AZ816" s="6">
        <v>0.80920000000000003</v>
      </c>
      <c r="BA816" s="6">
        <v>255</v>
      </c>
    </row>
    <row r="817" spans="1:53" x14ac:dyDescent="0.25">
      <c r="A817" s="62" t="s">
        <v>161</v>
      </c>
      <c r="B817" s="60">
        <v>1</v>
      </c>
      <c r="C817" s="60">
        <v>17</v>
      </c>
      <c r="D817" s="60">
        <v>2</v>
      </c>
      <c r="E817" s="60">
        <v>40</v>
      </c>
      <c r="F817" t="s">
        <v>12</v>
      </c>
      <c r="G817" t="s">
        <v>12</v>
      </c>
      <c r="H817" t="s">
        <v>12</v>
      </c>
      <c r="I817" s="60">
        <v>5</v>
      </c>
      <c r="AD817" s="17">
        <v>815</v>
      </c>
      <c r="AE817" s="6">
        <v>3.0461999999999998</v>
      </c>
      <c r="AF817" s="6">
        <v>1.6128</v>
      </c>
      <c r="AG817" s="6">
        <v>2.9331</v>
      </c>
      <c r="AH817" s="6">
        <v>255</v>
      </c>
      <c r="AJ817" s="17">
        <v>815</v>
      </c>
      <c r="AK817" s="6">
        <v>5.7762599999999997</v>
      </c>
      <c r="AL817" s="6">
        <v>1.6128</v>
      </c>
      <c r="AM817" s="6">
        <v>2.9331</v>
      </c>
      <c r="AN817" s="6">
        <v>255</v>
      </c>
      <c r="AQ817" s="17">
        <v>815</v>
      </c>
      <c r="AR817" s="6">
        <v>1.5871999999999999</v>
      </c>
      <c r="AS817" s="19">
        <v>-0.23669999999999999</v>
      </c>
      <c r="AT817" s="6">
        <v>0.80600000000000005</v>
      </c>
      <c r="AU817" s="6">
        <v>255</v>
      </c>
      <c r="AW817" s="17">
        <v>815</v>
      </c>
      <c r="AX817" s="6">
        <v>0.83704000000000001</v>
      </c>
      <c r="AY817" s="19">
        <v>-0.23669999999999999</v>
      </c>
      <c r="AZ817" s="6">
        <v>0.80600000000000005</v>
      </c>
      <c r="BA817" s="6">
        <v>255</v>
      </c>
    </row>
    <row r="818" spans="1:53" x14ac:dyDescent="0.25">
      <c r="A818" s="62" t="s">
        <v>161</v>
      </c>
      <c r="B818" s="60">
        <v>1</v>
      </c>
      <c r="C818" s="60">
        <v>16</v>
      </c>
      <c r="D818" s="60">
        <v>2</v>
      </c>
      <c r="E818" s="60">
        <v>8</v>
      </c>
      <c r="F818" t="s">
        <v>12</v>
      </c>
      <c r="G818" t="s">
        <v>12</v>
      </c>
      <c r="H818" t="s">
        <v>12</v>
      </c>
      <c r="I818" s="60">
        <v>1</v>
      </c>
      <c r="AD818" s="17">
        <v>816</v>
      </c>
      <c r="AE818" s="6">
        <v>3.0518000000000001</v>
      </c>
      <c r="AF818" s="6">
        <v>2.1859000000000002</v>
      </c>
      <c r="AG818" s="6">
        <v>2.9384999999999999</v>
      </c>
      <c r="AH818" s="6">
        <v>255</v>
      </c>
      <c r="AJ818" s="17">
        <v>816</v>
      </c>
      <c r="AK818" s="6">
        <v>5.78688</v>
      </c>
      <c r="AL818" s="6">
        <v>2.1859000000000002</v>
      </c>
      <c r="AM818" s="6">
        <v>2.9384999999999999</v>
      </c>
      <c r="AN818" s="6">
        <v>255</v>
      </c>
      <c r="AQ818" s="17">
        <v>816</v>
      </c>
      <c r="AR818" s="6">
        <v>1.59345</v>
      </c>
      <c r="AS818" s="6">
        <v>0.29880000000000001</v>
      </c>
      <c r="AT818" s="6">
        <v>0.80910000000000004</v>
      </c>
      <c r="AU818" s="6">
        <v>255</v>
      </c>
      <c r="AW818" s="17">
        <v>816</v>
      </c>
      <c r="AX818" s="6">
        <v>0.84033000000000002</v>
      </c>
      <c r="AY818" s="6">
        <v>0.29880000000000001</v>
      </c>
      <c r="AZ818" s="6">
        <v>0.80910000000000004</v>
      </c>
      <c r="BA818" s="6">
        <v>255</v>
      </c>
    </row>
    <row r="819" spans="1:53" x14ac:dyDescent="0.25">
      <c r="A819" s="62" t="s">
        <v>161</v>
      </c>
      <c r="B819" s="60">
        <v>1</v>
      </c>
      <c r="C819" s="60">
        <v>15</v>
      </c>
      <c r="D819" s="60">
        <v>2</v>
      </c>
      <c r="E819" s="60">
        <v>18</v>
      </c>
      <c r="F819" t="s">
        <v>12</v>
      </c>
      <c r="G819" t="s">
        <v>12</v>
      </c>
      <c r="H819" t="s">
        <v>12</v>
      </c>
      <c r="I819" s="60">
        <v>4</v>
      </c>
      <c r="AD819" s="17">
        <v>817</v>
      </c>
      <c r="AE819" s="6">
        <v>3.0293199999999998</v>
      </c>
      <c r="AF819" s="6">
        <v>2.2090999999999998</v>
      </c>
      <c r="AG819" s="6">
        <v>2.9169</v>
      </c>
      <c r="AH819" s="6">
        <v>255</v>
      </c>
      <c r="AJ819" s="17">
        <v>817</v>
      </c>
      <c r="AK819" s="6">
        <v>5.7442599999999997</v>
      </c>
      <c r="AL819" s="6">
        <v>2.2090999999999998</v>
      </c>
      <c r="AM819" s="6">
        <v>2.9169</v>
      </c>
      <c r="AN819" s="6">
        <v>255</v>
      </c>
      <c r="AQ819" s="17">
        <v>817</v>
      </c>
      <c r="AR819" s="6">
        <v>1.5844</v>
      </c>
      <c r="AS819" s="6">
        <v>0.76290000000000002</v>
      </c>
      <c r="AT819" s="6">
        <v>0.80449999999999999</v>
      </c>
      <c r="AU819" s="6">
        <v>255</v>
      </c>
      <c r="AW819" s="17">
        <v>817</v>
      </c>
      <c r="AX819" s="6">
        <v>0.83555999999999997</v>
      </c>
      <c r="AY819" s="6">
        <v>0.76290000000000002</v>
      </c>
      <c r="AZ819" s="6">
        <v>0.80449999999999999</v>
      </c>
      <c r="BA819" s="6">
        <v>255</v>
      </c>
    </row>
    <row r="820" spans="1:53" x14ac:dyDescent="0.25">
      <c r="A820" s="62" t="s">
        <v>161</v>
      </c>
      <c r="B820" s="60">
        <v>1</v>
      </c>
      <c r="C820" s="60">
        <v>14</v>
      </c>
      <c r="D820" s="60">
        <v>2</v>
      </c>
      <c r="E820" s="60">
        <v>28</v>
      </c>
      <c r="F820" t="s">
        <v>12</v>
      </c>
      <c r="G820" t="s">
        <v>12</v>
      </c>
      <c r="H820" t="s">
        <v>12</v>
      </c>
      <c r="I820" s="60">
        <v>4</v>
      </c>
      <c r="AD820" s="17">
        <v>818</v>
      </c>
      <c r="AE820" s="6">
        <v>3.0624600000000002</v>
      </c>
      <c r="AF820" s="6">
        <v>1.2266999999999999</v>
      </c>
      <c r="AG820" s="6">
        <v>2.9487999999999999</v>
      </c>
      <c r="AH820" s="6">
        <v>255</v>
      </c>
      <c r="AJ820" s="17">
        <v>818</v>
      </c>
      <c r="AK820" s="6">
        <v>5.8070899999999996</v>
      </c>
      <c r="AL820" s="6">
        <v>1.2266999999999999</v>
      </c>
      <c r="AM820" s="6">
        <v>2.9487999999999999</v>
      </c>
      <c r="AN820" s="6">
        <v>255</v>
      </c>
      <c r="AQ820" s="17">
        <v>818</v>
      </c>
      <c r="AR820" s="6">
        <v>1.59524</v>
      </c>
      <c r="AS820" s="19">
        <v>-0.35149999999999998</v>
      </c>
      <c r="AT820" s="6">
        <v>0.81</v>
      </c>
      <c r="AU820" s="6">
        <v>255</v>
      </c>
      <c r="AW820" s="17">
        <v>818</v>
      </c>
      <c r="AX820" s="6">
        <v>0.84126999999999996</v>
      </c>
      <c r="AY820" s="19">
        <v>-0.35149999999999998</v>
      </c>
      <c r="AZ820" s="6">
        <v>0.81</v>
      </c>
      <c r="BA820" s="6">
        <v>255</v>
      </c>
    </row>
    <row r="821" spans="1:53" x14ac:dyDescent="0.25">
      <c r="A821" s="62" t="s">
        <v>161</v>
      </c>
      <c r="B821" s="60">
        <v>1</v>
      </c>
      <c r="C821" s="60">
        <v>13</v>
      </c>
      <c r="D821" s="60">
        <v>2</v>
      </c>
      <c r="E821" s="60">
        <v>43</v>
      </c>
      <c r="F821" t="s">
        <v>12</v>
      </c>
      <c r="G821" t="s">
        <v>12</v>
      </c>
      <c r="H821" t="s">
        <v>12</v>
      </c>
      <c r="I821" s="60">
        <v>4</v>
      </c>
      <c r="AD821" s="17">
        <v>819</v>
      </c>
      <c r="AE821" s="6">
        <v>3.04087</v>
      </c>
      <c r="AF821" s="6">
        <v>8.8163999999999998</v>
      </c>
      <c r="AG821" s="6">
        <v>2.9279999999999999</v>
      </c>
      <c r="AH821" s="6">
        <v>255</v>
      </c>
      <c r="AJ821" s="17">
        <v>819</v>
      </c>
      <c r="AK821" s="6">
        <v>5.7661600000000002</v>
      </c>
      <c r="AL821" s="6">
        <v>8.8163999999999998</v>
      </c>
      <c r="AM821" s="6">
        <v>2.9279999999999999</v>
      </c>
      <c r="AN821" s="6">
        <v>255</v>
      </c>
      <c r="AQ821" s="17">
        <v>819</v>
      </c>
      <c r="AR821" s="6">
        <v>1.5948199999999999</v>
      </c>
      <c r="AS821" s="6">
        <v>1.024</v>
      </c>
      <c r="AT821" s="6">
        <v>0.80979999999999996</v>
      </c>
      <c r="AU821" s="6">
        <v>255</v>
      </c>
      <c r="AW821" s="17">
        <v>819</v>
      </c>
      <c r="AX821" s="6">
        <v>0.84104999999999996</v>
      </c>
      <c r="AY821" s="6">
        <v>1.024</v>
      </c>
      <c r="AZ821" s="6">
        <v>0.80979999999999996</v>
      </c>
      <c r="BA821" s="6">
        <v>255</v>
      </c>
    </row>
    <row r="822" spans="1:53" x14ac:dyDescent="0.25">
      <c r="A822" s="62" t="s">
        <v>161</v>
      </c>
      <c r="B822" s="60">
        <v>1</v>
      </c>
      <c r="C822" s="60">
        <v>12</v>
      </c>
      <c r="D822" s="60">
        <v>2</v>
      </c>
      <c r="E822" s="60">
        <v>36</v>
      </c>
      <c r="F822" t="s">
        <v>12</v>
      </c>
      <c r="G822" t="s">
        <v>12</v>
      </c>
      <c r="H822" t="s">
        <v>12</v>
      </c>
      <c r="I822" s="60">
        <v>2</v>
      </c>
      <c r="AD822" s="17">
        <v>820</v>
      </c>
      <c r="AE822" s="6">
        <v>3.0384099999999998</v>
      </c>
      <c r="AF822" s="6">
        <v>2.7759999999999998</v>
      </c>
      <c r="AG822" s="6">
        <v>2.9256000000000002</v>
      </c>
      <c r="AH822" s="6">
        <v>255</v>
      </c>
      <c r="AJ822" s="17">
        <v>820</v>
      </c>
      <c r="AK822" s="6">
        <v>5.7614900000000002</v>
      </c>
      <c r="AL822" s="6">
        <v>2.7759999999999998</v>
      </c>
      <c r="AM822" s="6">
        <v>2.9256000000000002</v>
      </c>
      <c r="AN822" s="6">
        <v>255</v>
      </c>
      <c r="AQ822" s="17">
        <v>820</v>
      </c>
      <c r="AR822" s="6">
        <v>1.5866199999999999</v>
      </c>
      <c r="AS822" s="19">
        <v>-0.34539999999999998</v>
      </c>
      <c r="AT822" s="6">
        <v>0.80569999999999997</v>
      </c>
      <c r="AU822" s="6">
        <v>255</v>
      </c>
      <c r="AW822" s="17">
        <v>820</v>
      </c>
      <c r="AX822" s="6">
        <v>0.83672999999999997</v>
      </c>
      <c r="AY822" s="19">
        <v>-0.34539999999999998</v>
      </c>
      <c r="AZ822" s="6">
        <v>0.80569999999999997</v>
      </c>
      <c r="BA822" s="6">
        <v>255</v>
      </c>
    </row>
    <row r="823" spans="1:53" x14ac:dyDescent="0.25">
      <c r="A823" s="62" t="s">
        <v>161</v>
      </c>
      <c r="B823" s="60">
        <v>1</v>
      </c>
      <c r="C823" s="60">
        <v>11</v>
      </c>
      <c r="D823" s="60">
        <v>2</v>
      </c>
      <c r="E823" s="60">
        <v>23</v>
      </c>
      <c r="F823" t="s">
        <v>12</v>
      </c>
      <c r="G823" t="s">
        <v>12</v>
      </c>
      <c r="H823" t="s">
        <v>12</v>
      </c>
      <c r="I823" s="60">
        <v>3</v>
      </c>
      <c r="AD823" s="17">
        <v>821</v>
      </c>
      <c r="AE823" s="6">
        <v>3.0417000000000001</v>
      </c>
      <c r="AF823" s="6">
        <v>11.539899999999999</v>
      </c>
      <c r="AG823" s="6">
        <v>2.9287999999999998</v>
      </c>
      <c r="AH823" s="6">
        <v>255</v>
      </c>
      <c r="AJ823" s="17">
        <v>821</v>
      </c>
      <c r="AK823" s="6">
        <v>5.7677199999999997</v>
      </c>
      <c r="AL823" s="6">
        <v>11.539899999999999</v>
      </c>
      <c r="AM823" s="6">
        <v>2.9287999999999998</v>
      </c>
      <c r="AN823" s="6">
        <v>255</v>
      </c>
      <c r="AQ823" s="17">
        <v>821</v>
      </c>
      <c r="AR823" s="6">
        <v>1.5953999999999999</v>
      </c>
      <c r="AS823" s="6">
        <v>2.1459999999999999</v>
      </c>
      <c r="AT823" s="6">
        <v>0.81010000000000004</v>
      </c>
      <c r="AU823" s="6">
        <v>255</v>
      </c>
      <c r="AW823" s="17">
        <v>821</v>
      </c>
      <c r="AX823" s="6">
        <v>0.84136</v>
      </c>
      <c r="AY823" s="6">
        <v>2.1459999999999999</v>
      </c>
      <c r="AZ823" s="6">
        <v>0.81010000000000004</v>
      </c>
      <c r="BA823" s="6">
        <v>255</v>
      </c>
    </row>
    <row r="824" spans="1:53" x14ac:dyDescent="0.25">
      <c r="A824" s="62" t="s">
        <v>161</v>
      </c>
      <c r="B824" s="60">
        <v>1</v>
      </c>
      <c r="C824" s="60">
        <v>10</v>
      </c>
      <c r="D824" s="60">
        <v>2</v>
      </c>
      <c r="E824" s="60">
        <v>44</v>
      </c>
      <c r="F824" t="s">
        <v>12</v>
      </c>
      <c r="G824" t="s">
        <v>12</v>
      </c>
      <c r="H824" t="s">
        <v>12</v>
      </c>
      <c r="I824" s="60">
        <v>6</v>
      </c>
      <c r="AD824" s="17">
        <v>822</v>
      </c>
      <c r="AE824" s="6">
        <v>3.0440900000000002</v>
      </c>
      <c r="AF824" s="6">
        <v>6.1096000000000004</v>
      </c>
      <c r="AG824" s="6">
        <v>2.9310999999999998</v>
      </c>
      <c r="AH824" s="6">
        <v>255</v>
      </c>
      <c r="AJ824" s="17">
        <v>822</v>
      </c>
      <c r="AK824" s="6">
        <v>5.7722600000000002</v>
      </c>
      <c r="AL824" s="6">
        <v>6.1096000000000004</v>
      </c>
      <c r="AM824" s="6">
        <v>2.9310999999999998</v>
      </c>
      <c r="AN824" s="6">
        <v>255</v>
      </c>
      <c r="AQ824" s="17">
        <v>822</v>
      </c>
      <c r="AR824" s="6">
        <v>1.5897699999999999</v>
      </c>
      <c r="AS824" s="6">
        <v>0.8054</v>
      </c>
      <c r="AT824" s="6">
        <v>0.80730000000000002</v>
      </c>
      <c r="AU824" s="6">
        <v>255</v>
      </c>
      <c r="AW824" s="17">
        <v>822</v>
      </c>
      <c r="AX824" s="6">
        <v>0.83838999999999997</v>
      </c>
      <c r="AY824" s="6">
        <v>0.8054</v>
      </c>
      <c r="AZ824" s="6">
        <v>0.80730000000000002</v>
      </c>
      <c r="BA824" s="6">
        <v>255</v>
      </c>
    </row>
    <row r="825" spans="1:53" x14ac:dyDescent="0.25">
      <c r="A825" s="62" t="s">
        <v>161</v>
      </c>
      <c r="B825" s="60">
        <v>1</v>
      </c>
      <c r="C825" s="60">
        <v>9</v>
      </c>
      <c r="D825" s="60">
        <v>2</v>
      </c>
      <c r="E825" s="60">
        <v>16</v>
      </c>
      <c r="F825" t="s">
        <v>12</v>
      </c>
      <c r="G825" t="s">
        <v>12</v>
      </c>
      <c r="H825" t="s">
        <v>12</v>
      </c>
      <c r="I825" s="60">
        <v>5</v>
      </c>
      <c r="AD825" s="17">
        <v>823</v>
      </c>
      <c r="AE825" s="6">
        <v>3.0366499999999998</v>
      </c>
      <c r="AF825" s="6">
        <v>3.8494000000000002</v>
      </c>
      <c r="AG825" s="6">
        <v>2.9239000000000002</v>
      </c>
      <c r="AH825" s="6">
        <v>255</v>
      </c>
      <c r="AJ825" s="17">
        <v>823</v>
      </c>
      <c r="AK825" s="6">
        <v>5.7581499999999997</v>
      </c>
      <c r="AL825" s="6">
        <v>3.8494000000000002</v>
      </c>
      <c r="AM825" s="6">
        <v>2.9239000000000002</v>
      </c>
      <c r="AN825" s="6">
        <v>255</v>
      </c>
      <c r="AQ825" s="17">
        <v>823</v>
      </c>
      <c r="AR825" s="6">
        <v>1.59232</v>
      </c>
      <c r="AS825" s="6">
        <v>0.97550000000000003</v>
      </c>
      <c r="AT825" s="6">
        <v>0.80859999999999999</v>
      </c>
      <c r="AU825" s="6">
        <v>255</v>
      </c>
      <c r="AW825" s="17">
        <v>823</v>
      </c>
      <c r="AX825" s="6">
        <v>0.83972999999999998</v>
      </c>
      <c r="AY825" s="6">
        <v>0.97550000000000003</v>
      </c>
      <c r="AZ825" s="6">
        <v>0.80859999999999999</v>
      </c>
      <c r="BA825" s="6">
        <v>255</v>
      </c>
    </row>
    <row r="826" spans="1:53" x14ac:dyDescent="0.25">
      <c r="A826" s="62" t="s">
        <v>161</v>
      </c>
      <c r="B826" s="60">
        <v>1</v>
      </c>
      <c r="C826" s="60">
        <v>8</v>
      </c>
      <c r="D826" s="60">
        <v>2</v>
      </c>
      <c r="E826" s="60">
        <v>39</v>
      </c>
      <c r="F826" t="s">
        <v>12</v>
      </c>
      <c r="G826" t="s">
        <v>12</v>
      </c>
      <c r="H826" t="s">
        <v>12</v>
      </c>
      <c r="I826" s="60">
        <v>7</v>
      </c>
      <c r="AD826" s="17">
        <v>824</v>
      </c>
      <c r="AE826" s="6">
        <v>3.0429599999999999</v>
      </c>
      <c r="AF826" s="6">
        <v>5.0998000000000001</v>
      </c>
      <c r="AG826" s="6">
        <v>2.93</v>
      </c>
      <c r="AH826" s="6">
        <v>255</v>
      </c>
      <c r="AJ826" s="17">
        <v>824</v>
      </c>
      <c r="AK826" s="6">
        <v>5.7701200000000004</v>
      </c>
      <c r="AL826" s="6">
        <v>5.0998000000000001</v>
      </c>
      <c r="AM826" s="6">
        <v>2.93</v>
      </c>
      <c r="AN826" s="6">
        <v>255</v>
      </c>
      <c r="AQ826" s="17">
        <v>824</v>
      </c>
      <c r="AR826" s="6">
        <v>1.59518</v>
      </c>
      <c r="AS826" s="6">
        <v>0.56210000000000004</v>
      </c>
      <c r="AT826" s="6">
        <v>0.81</v>
      </c>
      <c r="AU826" s="6">
        <v>255</v>
      </c>
      <c r="AW826" s="17">
        <v>824</v>
      </c>
      <c r="AX826" s="6">
        <v>0.84123999999999999</v>
      </c>
      <c r="AY826" s="6">
        <v>0.56210000000000004</v>
      </c>
      <c r="AZ826" s="6">
        <v>0.81</v>
      </c>
      <c r="BA826" s="6">
        <v>255</v>
      </c>
    </row>
    <row r="827" spans="1:53" x14ac:dyDescent="0.25">
      <c r="A827" s="62" t="s">
        <v>161</v>
      </c>
      <c r="B827" s="60">
        <v>1</v>
      </c>
      <c r="C827" s="60">
        <v>7</v>
      </c>
      <c r="D827" s="60">
        <v>2</v>
      </c>
      <c r="E827" s="60">
        <v>14</v>
      </c>
      <c r="F827" t="s">
        <v>12</v>
      </c>
      <c r="G827" t="s">
        <v>12</v>
      </c>
      <c r="H827" t="s">
        <v>12</v>
      </c>
      <c r="I827" s="60">
        <v>4</v>
      </c>
      <c r="AD827" s="17">
        <v>825</v>
      </c>
      <c r="AE827" s="6">
        <v>3.04067</v>
      </c>
      <c r="AF827" s="6">
        <v>4.8045999999999998</v>
      </c>
      <c r="AG827" s="6">
        <v>2.9278</v>
      </c>
      <c r="AH827" s="6">
        <v>255</v>
      </c>
      <c r="AJ827" s="17">
        <v>825</v>
      </c>
      <c r="AK827" s="6">
        <v>5.7657800000000003</v>
      </c>
      <c r="AL827" s="6">
        <v>4.8045999999999998</v>
      </c>
      <c r="AM827" s="6">
        <v>2.9278</v>
      </c>
      <c r="AN827" s="6">
        <v>255</v>
      </c>
      <c r="AQ827" s="17">
        <v>825</v>
      </c>
      <c r="AR827" s="6">
        <v>1.5959700000000001</v>
      </c>
      <c r="AS827" s="19">
        <v>-0.65759999999999996</v>
      </c>
      <c r="AT827" s="6">
        <v>0.81040000000000001</v>
      </c>
      <c r="AU827" s="6">
        <v>255</v>
      </c>
      <c r="AW827" s="17">
        <v>825</v>
      </c>
      <c r="AX827" s="6">
        <v>0.84165999999999996</v>
      </c>
      <c r="AY827" s="19">
        <v>-0.65759999999999996</v>
      </c>
      <c r="AZ827" s="6">
        <v>0.81040000000000001</v>
      </c>
      <c r="BA827" s="6">
        <v>255</v>
      </c>
    </row>
    <row r="828" spans="1:53" x14ac:dyDescent="0.25">
      <c r="A828" s="62" t="s">
        <v>161</v>
      </c>
      <c r="B828" s="60">
        <v>1</v>
      </c>
      <c r="C828" s="60">
        <v>6</v>
      </c>
      <c r="D828" s="60">
        <v>2</v>
      </c>
      <c r="E828" s="60">
        <v>9</v>
      </c>
      <c r="F828" t="s">
        <v>12</v>
      </c>
      <c r="G828" t="s">
        <v>12</v>
      </c>
      <c r="H828" t="s">
        <v>12</v>
      </c>
      <c r="I828" s="60">
        <v>4</v>
      </c>
      <c r="AD828" s="17">
        <v>826</v>
      </c>
      <c r="AE828" s="6">
        <v>3.04027</v>
      </c>
      <c r="AF828" s="6">
        <v>10.242699999999999</v>
      </c>
      <c r="AG828" s="6">
        <v>2.9274</v>
      </c>
      <c r="AH828" s="6">
        <v>255</v>
      </c>
      <c r="AJ828" s="17">
        <v>826</v>
      </c>
      <c r="AK828" s="6">
        <v>5.7650199999999998</v>
      </c>
      <c r="AL828" s="6">
        <v>10.242699999999999</v>
      </c>
      <c r="AM828" s="6">
        <v>2.9274</v>
      </c>
      <c r="AN828" s="6">
        <v>255</v>
      </c>
      <c r="AQ828" s="17">
        <v>826</v>
      </c>
      <c r="AR828" s="6">
        <v>1.5909</v>
      </c>
      <c r="AS828" s="6">
        <v>2.2795999999999998</v>
      </c>
      <c r="AT828" s="6">
        <v>0.80779999999999996</v>
      </c>
      <c r="AU828" s="6">
        <v>255</v>
      </c>
      <c r="AW828" s="17">
        <v>826</v>
      </c>
      <c r="AX828" s="6">
        <v>0.83899000000000001</v>
      </c>
      <c r="AY828" s="6">
        <v>2.2795999999999998</v>
      </c>
      <c r="AZ828" s="6">
        <v>0.80779999999999996</v>
      </c>
      <c r="BA828" s="6">
        <v>255</v>
      </c>
    </row>
    <row r="829" spans="1:53" x14ac:dyDescent="0.25">
      <c r="A829" s="62" t="s">
        <v>161</v>
      </c>
      <c r="B829" s="60">
        <v>1</v>
      </c>
      <c r="C829" s="60">
        <v>5</v>
      </c>
      <c r="D829" s="60">
        <v>2</v>
      </c>
      <c r="E829" s="60">
        <v>33</v>
      </c>
      <c r="F829" t="s">
        <v>12</v>
      </c>
      <c r="G829" t="s">
        <v>12</v>
      </c>
      <c r="H829" t="s">
        <v>12</v>
      </c>
      <c r="I829" s="60">
        <v>3</v>
      </c>
      <c r="AD829" s="17">
        <v>827</v>
      </c>
      <c r="AE829" s="6">
        <v>3.0439500000000002</v>
      </c>
      <c r="AF829" s="6">
        <v>7.0968999999999998</v>
      </c>
      <c r="AG829" s="6">
        <v>2.931</v>
      </c>
      <c r="AH829" s="6">
        <v>255</v>
      </c>
      <c r="AJ829" s="17">
        <v>827</v>
      </c>
      <c r="AK829" s="6">
        <v>5.7719899999999997</v>
      </c>
      <c r="AL829" s="6">
        <v>7.0968999999999998</v>
      </c>
      <c r="AM829" s="6">
        <v>2.931</v>
      </c>
      <c r="AN829" s="6">
        <v>255</v>
      </c>
      <c r="AQ829" s="17">
        <v>827</v>
      </c>
      <c r="AR829" s="6">
        <v>1.5856699999999999</v>
      </c>
      <c r="AS829" s="6">
        <v>2.1333000000000002</v>
      </c>
      <c r="AT829" s="6">
        <v>0.80520000000000003</v>
      </c>
      <c r="AU829" s="6">
        <v>255</v>
      </c>
      <c r="AW829" s="17">
        <v>827</v>
      </c>
      <c r="AX829" s="6">
        <v>0.83623000000000003</v>
      </c>
      <c r="AY829" s="6">
        <v>2.1333000000000002</v>
      </c>
      <c r="AZ829" s="6">
        <v>0.80520000000000003</v>
      </c>
      <c r="BA829" s="6">
        <v>255</v>
      </c>
    </row>
    <row r="830" spans="1:53" x14ac:dyDescent="0.25">
      <c r="A830" s="62" t="s">
        <v>161</v>
      </c>
      <c r="B830" s="60">
        <v>1</v>
      </c>
      <c r="C830" s="60">
        <v>4</v>
      </c>
      <c r="D830" s="60">
        <v>2</v>
      </c>
      <c r="E830" s="60">
        <v>60</v>
      </c>
      <c r="F830" t="s">
        <v>12</v>
      </c>
      <c r="G830" t="s">
        <v>12</v>
      </c>
      <c r="H830" t="s">
        <v>12</v>
      </c>
      <c r="I830" s="60">
        <v>2</v>
      </c>
      <c r="AD830" s="17">
        <v>828</v>
      </c>
      <c r="AE830" s="6">
        <v>3.0520100000000001</v>
      </c>
      <c r="AF830" s="6">
        <v>5.3422000000000001</v>
      </c>
      <c r="AG830" s="6">
        <v>2.9386999999999999</v>
      </c>
      <c r="AH830" s="6">
        <v>255</v>
      </c>
      <c r="AJ830" s="17">
        <v>828</v>
      </c>
      <c r="AK830" s="6">
        <v>5.78728</v>
      </c>
      <c r="AL830" s="6">
        <v>5.3422000000000001</v>
      </c>
      <c r="AM830" s="6">
        <v>2.9386999999999999</v>
      </c>
      <c r="AN830" s="6">
        <v>255</v>
      </c>
      <c r="AQ830" s="17">
        <v>828</v>
      </c>
      <c r="AR830" s="6">
        <v>1.5930800000000001</v>
      </c>
      <c r="AS830" s="6">
        <v>1.6759999999999999</v>
      </c>
      <c r="AT830" s="6">
        <v>0.80900000000000005</v>
      </c>
      <c r="AU830" s="6">
        <v>255</v>
      </c>
      <c r="AW830" s="17">
        <v>828</v>
      </c>
      <c r="AX830" s="6">
        <v>0.84013000000000004</v>
      </c>
      <c r="AY830" s="6">
        <v>1.6759999999999999</v>
      </c>
      <c r="AZ830" s="6">
        <v>0.80900000000000005</v>
      </c>
      <c r="BA830" s="6">
        <v>255</v>
      </c>
    </row>
    <row r="831" spans="1:53" x14ac:dyDescent="0.25">
      <c r="A831" s="62" t="s">
        <v>161</v>
      </c>
      <c r="B831" s="60">
        <v>1</v>
      </c>
      <c r="C831" s="60">
        <v>3</v>
      </c>
      <c r="D831" s="60">
        <v>2</v>
      </c>
      <c r="E831" s="60">
        <v>3</v>
      </c>
      <c r="F831" t="s">
        <v>12</v>
      </c>
      <c r="G831" t="s">
        <v>12</v>
      </c>
      <c r="H831" t="s">
        <v>12</v>
      </c>
      <c r="I831" t="s">
        <v>12</v>
      </c>
      <c r="AD831" s="17">
        <v>829</v>
      </c>
      <c r="AE831" s="6">
        <v>3.0438999999999998</v>
      </c>
      <c r="AF831" s="6">
        <v>9.0634999999999994</v>
      </c>
      <c r="AG831" s="6">
        <v>2.9308999999999998</v>
      </c>
      <c r="AH831" s="6">
        <v>255</v>
      </c>
      <c r="AJ831" s="17">
        <v>829</v>
      </c>
      <c r="AK831" s="6">
        <v>5.7718999999999996</v>
      </c>
      <c r="AL831" s="6">
        <v>9.0634999999999994</v>
      </c>
      <c r="AM831" s="6">
        <v>2.9308999999999998</v>
      </c>
      <c r="AN831" s="6">
        <v>255</v>
      </c>
      <c r="AQ831" s="17">
        <v>829</v>
      </c>
      <c r="AR831" s="6">
        <v>1.5917399999999999</v>
      </c>
      <c r="AS831" s="6">
        <v>0.99209999999999998</v>
      </c>
      <c r="AT831" s="6">
        <v>0.80830000000000002</v>
      </c>
      <c r="AU831" s="6">
        <v>255</v>
      </c>
      <c r="AW831" s="17">
        <v>829</v>
      </c>
      <c r="AX831" s="6">
        <v>0.83943000000000001</v>
      </c>
      <c r="AY831" s="6">
        <v>0.99209999999999998</v>
      </c>
      <c r="AZ831" s="6">
        <v>0.80830000000000002</v>
      </c>
      <c r="BA831" s="6">
        <v>255</v>
      </c>
    </row>
    <row r="832" spans="1:53" x14ac:dyDescent="0.25">
      <c r="A832" s="62" t="s">
        <v>161</v>
      </c>
      <c r="B832" s="60">
        <v>1</v>
      </c>
      <c r="C832" s="60">
        <v>2</v>
      </c>
      <c r="D832" s="60">
        <v>2</v>
      </c>
      <c r="E832" s="60">
        <v>10</v>
      </c>
      <c r="F832" t="s">
        <v>12</v>
      </c>
      <c r="G832" t="s">
        <v>12</v>
      </c>
      <c r="H832" t="s">
        <v>12</v>
      </c>
      <c r="I832" s="60">
        <v>4</v>
      </c>
      <c r="AD832" s="17">
        <v>830</v>
      </c>
      <c r="AE832" s="6">
        <v>3.0495399999999999</v>
      </c>
      <c r="AF832" s="6">
        <v>17.567499999999999</v>
      </c>
      <c r="AG832" s="6">
        <v>2.9363999999999999</v>
      </c>
      <c r="AH832" s="6">
        <v>255</v>
      </c>
      <c r="AJ832" s="17">
        <v>830</v>
      </c>
      <c r="AK832" s="6">
        <v>5.7826000000000004</v>
      </c>
      <c r="AL832" s="6">
        <v>17.567499999999999</v>
      </c>
      <c r="AM832" s="6">
        <v>2.9363999999999999</v>
      </c>
      <c r="AN832" s="6">
        <v>255</v>
      </c>
      <c r="AQ832" s="17">
        <v>830</v>
      </c>
      <c r="AR832" s="6">
        <v>1.59714</v>
      </c>
      <c r="AS832" s="6">
        <v>3.9007000000000001</v>
      </c>
      <c r="AT832" s="6">
        <v>0.81100000000000005</v>
      </c>
      <c r="AU832" s="6">
        <v>255</v>
      </c>
      <c r="AW832" s="17">
        <v>830</v>
      </c>
      <c r="AX832" s="6">
        <v>0.84226999999999996</v>
      </c>
      <c r="AY832" s="6">
        <v>3.9007000000000001</v>
      </c>
      <c r="AZ832" s="6">
        <v>0.81100000000000005</v>
      </c>
      <c r="BA832" s="6">
        <v>255</v>
      </c>
    </row>
    <row r="833" spans="1:53" x14ac:dyDescent="0.25">
      <c r="A833" s="62" t="s">
        <v>161</v>
      </c>
      <c r="B833" s="60">
        <v>1</v>
      </c>
      <c r="C833" s="60">
        <v>1</v>
      </c>
      <c r="D833" s="60">
        <v>2</v>
      </c>
      <c r="E833" s="60">
        <v>27</v>
      </c>
      <c r="F833" t="s">
        <v>12</v>
      </c>
      <c r="G833" t="s">
        <v>12</v>
      </c>
      <c r="H833" t="s">
        <v>12</v>
      </c>
      <c r="I833" s="60">
        <v>6</v>
      </c>
      <c r="AD833" s="17">
        <v>831</v>
      </c>
      <c r="AE833" s="6">
        <v>3.0441500000000001</v>
      </c>
      <c r="AF833" s="6">
        <v>2.5179999999999998</v>
      </c>
      <c r="AG833" s="6">
        <v>2.9312</v>
      </c>
      <c r="AH833" s="6">
        <v>255</v>
      </c>
      <c r="AJ833" s="17">
        <v>831</v>
      </c>
      <c r="AK833" s="6">
        <v>5.7723699999999996</v>
      </c>
      <c r="AL833" s="6">
        <v>2.5179999999999998</v>
      </c>
      <c r="AM833" s="6">
        <v>2.9312</v>
      </c>
      <c r="AN833" s="6">
        <v>255</v>
      </c>
      <c r="AQ833" s="17">
        <v>831</v>
      </c>
      <c r="AR833" s="6">
        <v>1.5900799999999999</v>
      </c>
      <c r="AS833" s="19">
        <v>-1.6691</v>
      </c>
      <c r="AT833" s="6">
        <v>0.80740000000000001</v>
      </c>
      <c r="AU833" s="6">
        <v>255</v>
      </c>
      <c r="AW833" s="17">
        <v>831</v>
      </c>
      <c r="AX833" s="6">
        <v>0.83855000000000002</v>
      </c>
      <c r="AY833" s="19">
        <v>-1.6691</v>
      </c>
      <c r="AZ833" s="6">
        <v>0.80740000000000001</v>
      </c>
      <c r="BA833" s="6">
        <v>255</v>
      </c>
    </row>
    <row r="834" spans="1:53" x14ac:dyDescent="0.25">
      <c r="A834" s="62" t="s">
        <v>161</v>
      </c>
      <c r="B834" s="60">
        <v>2</v>
      </c>
      <c r="C834" s="60">
        <v>1</v>
      </c>
      <c r="D834" s="60">
        <v>3</v>
      </c>
      <c r="E834" s="60">
        <v>17</v>
      </c>
      <c r="F834" t="s">
        <v>12</v>
      </c>
      <c r="G834" t="s">
        <v>12</v>
      </c>
      <c r="H834" t="s">
        <v>12</v>
      </c>
      <c r="I834" s="60">
        <v>6</v>
      </c>
      <c r="AD834" s="17">
        <v>832</v>
      </c>
      <c r="AE834" s="6">
        <v>3.0463499999999999</v>
      </c>
      <c r="AF834" s="6">
        <v>4.1962999999999999</v>
      </c>
      <c r="AG834" s="6">
        <v>2.9333</v>
      </c>
      <c r="AH834" s="6">
        <v>255</v>
      </c>
      <c r="AJ834" s="17">
        <v>832</v>
      </c>
      <c r="AK834" s="6">
        <v>5.7765500000000003</v>
      </c>
      <c r="AL834" s="6">
        <v>4.1962999999999999</v>
      </c>
      <c r="AM834" s="6">
        <v>2.9333</v>
      </c>
      <c r="AN834" s="6">
        <v>255</v>
      </c>
      <c r="AQ834" s="17">
        <v>832</v>
      </c>
      <c r="AR834" s="6">
        <v>1.5986199999999999</v>
      </c>
      <c r="AS834" s="19">
        <v>-1.2882</v>
      </c>
      <c r="AT834" s="6">
        <v>0.81179999999999997</v>
      </c>
      <c r="AU834" s="6">
        <v>255</v>
      </c>
      <c r="AW834" s="17">
        <v>832</v>
      </c>
      <c r="AX834" s="6">
        <v>0.84304999999999997</v>
      </c>
      <c r="AY834" s="19">
        <v>-1.2882</v>
      </c>
      <c r="AZ834" s="6">
        <v>0.81179999999999997</v>
      </c>
      <c r="BA834" s="6">
        <v>255</v>
      </c>
    </row>
    <row r="835" spans="1:53" x14ac:dyDescent="0.25">
      <c r="A835" s="62" t="s">
        <v>161</v>
      </c>
      <c r="B835" s="60">
        <v>2</v>
      </c>
      <c r="C835" s="60">
        <v>2</v>
      </c>
      <c r="D835" s="60">
        <v>3</v>
      </c>
      <c r="E835" s="60">
        <v>15</v>
      </c>
      <c r="F835" t="s">
        <v>12</v>
      </c>
      <c r="G835" t="s">
        <v>12</v>
      </c>
      <c r="H835" t="s">
        <v>12</v>
      </c>
      <c r="I835" s="60">
        <v>5</v>
      </c>
      <c r="AD835" s="17">
        <v>833</v>
      </c>
      <c r="AE835" s="6">
        <v>3.0337299999999998</v>
      </c>
      <c r="AF835" s="6">
        <v>1.7141</v>
      </c>
      <c r="AG835" s="6">
        <v>2.9211</v>
      </c>
      <c r="AH835" s="6">
        <v>255</v>
      </c>
      <c r="AJ835" s="17">
        <v>833</v>
      </c>
      <c r="AK835" s="6">
        <v>5.7526299999999999</v>
      </c>
      <c r="AL835" s="6">
        <v>1.7141</v>
      </c>
      <c r="AM835" s="6">
        <v>2.9211</v>
      </c>
      <c r="AN835" s="6">
        <v>255</v>
      </c>
      <c r="AQ835" s="17">
        <v>833</v>
      </c>
      <c r="AR835" s="6">
        <v>1.6113</v>
      </c>
      <c r="AS835" s="6">
        <v>9.0240000000000001E-2</v>
      </c>
      <c r="AT835" s="6">
        <v>0.81820000000000004</v>
      </c>
      <c r="AU835" s="6">
        <v>255</v>
      </c>
      <c r="AW835" s="17">
        <v>833</v>
      </c>
      <c r="AX835" s="6">
        <v>0.84974000000000005</v>
      </c>
      <c r="AY835" s="6">
        <v>9.0240000000000001E-2</v>
      </c>
      <c r="AZ835" s="6">
        <v>0.81820000000000004</v>
      </c>
      <c r="BA835" s="6">
        <v>255</v>
      </c>
    </row>
    <row r="836" spans="1:53" x14ac:dyDescent="0.25">
      <c r="A836" s="62" t="s">
        <v>161</v>
      </c>
      <c r="B836" s="60">
        <v>2</v>
      </c>
      <c r="C836" s="60">
        <v>3</v>
      </c>
      <c r="D836" s="60">
        <v>3</v>
      </c>
      <c r="E836" s="60">
        <v>16</v>
      </c>
      <c r="F836" t="s">
        <v>12</v>
      </c>
      <c r="G836" t="s">
        <v>12</v>
      </c>
      <c r="H836" t="s">
        <v>12</v>
      </c>
      <c r="I836" s="60">
        <v>4</v>
      </c>
      <c r="AD836" s="17">
        <v>834</v>
      </c>
      <c r="AE836" s="6">
        <v>3.0520999999999998</v>
      </c>
      <c r="AF836" s="6">
        <v>3.6743999999999999</v>
      </c>
      <c r="AG836" s="6">
        <v>2.9388000000000001</v>
      </c>
      <c r="AH836" s="6">
        <v>255</v>
      </c>
      <c r="AJ836" s="17">
        <v>834</v>
      </c>
      <c r="AK836" s="6">
        <v>5.7874400000000001</v>
      </c>
      <c r="AL836" s="6">
        <v>3.6743999999999999</v>
      </c>
      <c r="AM836" s="6">
        <v>2.9388000000000001</v>
      </c>
      <c r="AN836" s="6">
        <v>255</v>
      </c>
      <c r="AQ836" s="17">
        <v>834</v>
      </c>
      <c r="AR836" s="6">
        <v>1.5934299999999999</v>
      </c>
      <c r="AS836" s="6">
        <v>1.1249999999999999E-3</v>
      </c>
      <c r="AT836" s="6">
        <v>0.80910000000000004</v>
      </c>
      <c r="AU836" s="6">
        <v>255</v>
      </c>
      <c r="AW836" s="17">
        <v>834</v>
      </c>
      <c r="AX836" s="6">
        <v>0.84031999999999996</v>
      </c>
      <c r="AY836" s="6">
        <v>1.1249999999999999E-3</v>
      </c>
      <c r="AZ836" s="6">
        <v>0.80910000000000004</v>
      </c>
      <c r="BA836" s="6">
        <v>255</v>
      </c>
    </row>
    <row r="837" spans="1:53" x14ac:dyDescent="0.25">
      <c r="A837" s="62" t="s">
        <v>161</v>
      </c>
      <c r="B837" s="60">
        <v>2</v>
      </c>
      <c r="C837" s="60">
        <v>4</v>
      </c>
      <c r="D837" s="60">
        <v>3</v>
      </c>
      <c r="E837" s="60">
        <v>39</v>
      </c>
      <c r="F837" t="s">
        <v>12</v>
      </c>
      <c r="G837" t="s">
        <v>12</v>
      </c>
      <c r="H837" t="s">
        <v>12</v>
      </c>
      <c r="I837" s="60">
        <v>6</v>
      </c>
      <c r="AD837" s="17">
        <v>835</v>
      </c>
      <c r="AE837" s="6">
        <v>3.0567000000000002</v>
      </c>
      <c r="AF837" s="19">
        <v>-4.3917000000000002</v>
      </c>
      <c r="AG837" s="6">
        <v>2.9432999999999998</v>
      </c>
      <c r="AH837" s="6">
        <v>255</v>
      </c>
      <c r="AJ837" s="17">
        <v>835</v>
      </c>
      <c r="AK837" s="6">
        <v>5.79617</v>
      </c>
      <c r="AL837" s="19">
        <v>-4.3917000000000002</v>
      </c>
      <c r="AM837" s="6">
        <v>2.9432999999999998</v>
      </c>
      <c r="AN837" s="6">
        <v>255</v>
      </c>
      <c r="AQ837" s="17">
        <v>835</v>
      </c>
      <c r="AR837" s="6">
        <v>1.5972500000000001</v>
      </c>
      <c r="AS837" s="19">
        <v>-0.4098</v>
      </c>
      <c r="AT837" s="6">
        <v>0.81110000000000004</v>
      </c>
      <c r="AU837" s="6">
        <v>255</v>
      </c>
      <c r="AW837" s="17">
        <v>835</v>
      </c>
      <c r="AX837" s="6">
        <v>0.84233000000000002</v>
      </c>
      <c r="AY837" s="19">
        <v>-0.4098</v>
      </c>
      <c r="AZ837" s="6">
        <v>0.81110000000000004</v>
      </c>
      <c r="BA837" s="6">
        <v>255</v>
      </c>
    </row>
    <row r="838" spans="1:53" x14ac:dyDescent="0.25">
      <c r="A838" s="62" t="s">
        <v>161</v>
      </c>
      <c r="B838" s="60">
        <v>2</v>
      </c>
      <c r="C838" s="60">
        <v>5</v>
      </c>
      <c r="D838" s="60">
        <v>3</v>
      </c>
      <c r="E838" s="60">
        <v>3</v>
      </c>
      <c r="F838" t="s">
        <v>12</v>
      </c>
      <c r="G838" t="s">
        <v>12</v>
      </c>
      <c r="H838" t="s">
        <v>12</v>
      </c>
      <c r="I838" s="60">
        <v>1</v>
      </c>
      <c r="AD838" s="17">
        <v>836</v>
      </c>
      <c r="AE838" s="6">
        <v>3.0562499999999999</v>
      </c>
      <c r="AF838" s="6">
        <v>0.65100000000000002</v>
      </c>
      <c r="AG838" s="6">
        <v>2.9428000000000001</v>
      </c>
      <c r="AH838" s="6">
        <v>255</v>
      </c>
      <c r="AJ838" s="17">
        <v>836</v>
      </c>
      <c r="AK838" s="6">
        <v>5.7953200000000002</v>
      </c>
      <c r="AL838" s="6">
        <v>0.65100000000000002</v>
      </c>
      <c r="AM838" s="6">
        <v>2.9428000000000001</v>
      </c>
      <c r="AN838" s="6">
        <v>255</v>
      </c>
      <c r="AQ838" s="17">
        <v>836</v>
      </c>
      <c r="AR838" s="6">
        <v>1.59223</v>
      </c>
      <c r="AS838" s="19">
        <v>-0.13739999999999999</v>
      </c>
      <c r="AT838" s="6">
        <v>0.8085</v>
      </c>
      <c r="AU838" s="6">
        <v>255</v>
      </c>
      <c r="AW838" s="17">
        <v>836</v>
      </c>
      <c r="AX838" s="6">
        <v>0.83969000000000005</v>
      </c>
      <c r="AY838" s="19">
        <v>-0.13739999999999999</v>
      </c>
      <c r="AZ838" s="6">
        <v>0.8085</v>
      </c>
      <c r="BA838" s="6">
        <v>255</v>
      </c>
    </row>
    <row r="839" spans="1:53" x14ac:dyDescent="0.25">
      <c r="A839" s="62" t="s">
        <v>161</v>
      </c>
      <c r="B839" s="60">
        <v>2</v>
      </c>
      <c r="C839" s="60">
        <v>6</v>
      </c>
      <c r="D839" s="60">
        <v>3</v>
      </c>
      <c r="E839" s="60">
        <v>24</v>
      </c>
      <c r="F839" t="s">
        <v>12</v>
      </c>
      <c r="G839" t="s">
        <v>12</v>
      </c>
      <c r="H839" t="s">
        <v>12</v>
      </c>
      <c r="I839" s="60">
        <v>4</v>
      </c>
      <c r="AD839" s="17">
        <v>837</v>
      </c>
      <c r="AE839" s="6">
        <v>3.0362200000000001</v>
      </c>
      <c r="AF839" s="6">
        <v>3.1284000000000001</v>
      </c>
      <c r="AG839" s="6">
        <v>2.9235000000000002</v>
      </c>
      <c r="AH839" s="6">
        <v>255</v>
      </c>
      <c r="AJ839" s="17">
        <v>837</v>
      </c>
      <c r="AK839" s="6">
        <v>5.7573400000000001</v>
      </c>
      <c r="AL839" s="6">
        <v>3.1284000000000001</v>
      </c>
      <c r="AM839" s="6">
        <v>2.9235000000000002</v>
      </c>
      <c r="AN839" s="6">
        <v>255</v>
      </c>
      <c r="AQ839" s="17">
        <v>837</v>
      </c>
      <c r="AR839" s="6">
        <v>1.58813</v>
      </c>
      <c r="AS839" s="6">
        <v>0.38650000000000001</v>
      </c>
      <c r="AT839" s="6">
        <v>0.80640000000000001</v>
      </c>
      <c r="AU839" s="6">
        <v>255</v>
      </c>
      <c r="AW839" s="17">
        <v>837</v>
      </c>
      <c r="AX839" s="6">
        <v>0.83752000000000004</v>
      </c>
      <c r="AY839" s="6">
        <v>0.38650000000000001</v>
      </c>
      <c r="AZ839" s="6">
        <v>0.80640000000000001</v>
      </c>
      <c r="BA839" s="6">
        <v>255</v>
      </c>
    </row>
    <row r="840" spans="1:53" x14ac:dyDescent="0.25">
      <c r="A840" s="62" t="s">
        <v>161</v>
      </c>
      <c r="B840" s="60">
        <v>2</v>
      </c>
      <c r="C840" s="60">
        <v>7</v>
      </c>
      <c r="D840" s="60">
        <v>3</v>
      </c>
      <c r="E840" s="60">
        <v>34</v>
      </c>
      <c r="F840" t="s">
        <v>12</v>
      </c>
      <c r="G840" t="s">
        <v>12</v>
      </c>
      <c r="H840" t="s">
        <v>12</v>
      </c>
      <c r="I840" s="60">
        <v>4</v>
      </c>
      <c r="AD840" s="17">
        <v>838</v>
      </c>
      <c r="AE840" s="6">
        <v>3.0386000000000002</v>
      </c>
      <c r="AF840" s="6">
        <v>1.2091000000000001</v>
      </c>
      <c r="AG840" s="6">
        <v>2.9258000000000002</v>
      </c>
      <c r="AH840" s="6">
        <v>255</v>
      </c>
      <c r="AJ840" s="17">
        <v>838</v>
      </c>
      <c r="AK840" s="6">
        <v>5.7618600000000004</v>
      </c>
      <c r="AL840" s="6">
        <v>1.2091000000000001</v>
      </c>
      <c r="AM840" s="6">
        <v>2.9258000000000002</v>
      </c>
      <c r="AN840" s="6">
        <v>255</v>
      </c>
      <c r="AQ840" s="17">
        <v>838</v>
      </c>
      <c r="AR840" s="6">
        <v>1.58951</v>
      </c>
      <c r="AS840" s="19">
        <v>-0.79620000000000002</v>
      </c>
      <c r="AT840" s="6">
        <v>0.80710000000000004</v>
      </c>
      <c r="AU840" s="6">
        <v>255</v>
      </c>
      <c r="AW840" s="17">
        <v>838</v>
      </c>
      <c r="AX840" s="6">
        <v>0.83825000000000005</v>
      </c>
      <c r="AY840" s="19">
        <v>-0.79620000000000002</v>
      </c>
      <c r="AZ840" s="6">
        <v>0.80710000000000004</v>
      </c>
      <c r="BA840" s="6">
        <v>255</v>
      </c>
    </row>
    <row r="841" spans="1:53" x14ac:dyDescent="0.25">
      <c r="A841" s="62" t="s">
        <v>161</v>
      </c>
      <c r="B841" s="60">
        <v>2</v>
      </c>
      <c r="C841" s="60">
        <v>8</v>
      </c>
      <c r="D841" s="60">
        <v>3</v>
      </c>
      <c r="E841" s="60">
        <v>4</v>
      </c>
      <c r="F841" t="s">
        <v>12</v>
      </c>
      <c r="G841" t="s">
        <v>12</v>
      </c>
      <c r="H841" t="s">
        <v>12</v>
      </c>
      <c r="I841" s="60">
        <v>1</v>
      </c>
      <c r="AD841" s="17">
        <v>839</v>
      </c>
      <c r="AE841" s="6">
        <v>3.03349</v>
      </c>
      <c r="AF841" s="6">
        <v>2.5200999999999998</v>
      </c>
      <c r="AG841" s="6">
        <v>2.9209000000000001</v>
      </c>
      <c r="AH841" s="6">
        <v>255</v>
      </c>
      <c r="AJ841" s="17">
        <v>839</v>
      </c>
      <c r="AK841" s="6">
        <v>5.7521699999999996</v>
      </c>
      <c r="AL841" s="6">
        <v>2.5200999999999998</v>
      </c>
      <c r="AM841" s="6">
        <v>2.9209000000000001</v>
      </c>
      <c r="AN841" s="6">
        <v>255</v>
      </c>
      <c r="AQ841" s="17">
        <v>839</v>
      </c>
      <c r="AR841" s="6">
        <v>1.5871299999999999</v>
      </c>
      <c r="AS841" s="19">
        <v>-0.98460000000000003</v>
      </c>
      <c r="AT841" s="6">
        <v>0.80589999999999995</v>
      </c>
      <c r="AU841" s="6">
        <v>255</v>
      </c>
      <c r="AW841" s="17">
        <v>839</v>
      </c>
      <c r="AX841" s="6">
        <v>0.83699999999999997</v>
      </c>
      <c r="AY841" s="19">
        <v>-0.98460000000000003</v>
      </c>
      <c r="AZ841" s="6">
        <v>0.80589999999999995</v>
      </c>
      <c r="BA841" s="6">
        <v>255</v>
      </c>
    </row>
    <row r="842" spans="1:53" x14ac:dyDescent="0.25">
      <c r="A842" s="62" t="s">
        <v>161</v>
      </c>
      <c r="B842" s="60">
        <v>2</v>
      </c>
      <c r="C842" s="60">
        <v>9</v>
      </c>
      <c r="D842" s="60">
        <v>3</v>
      </c>
      <c r="E842" s="60">
        <v>25</v>
      </c>
      <c r="F842" t="s">
        <v>12</v>
      </c>
      <c r="G842" t="s">
        <v>12</v>
      </c>
      <c r="H842" t="s">
        <v>12</v>
      </c>
      <c r="I842" s="60">
        <v>4</v>
      </c>
      <c r="AD842" s="17">
        <v>840</v>
      </c>
      <c r="AE842" s="6">
        <v>3.0455700000000001</v>
      </c>
      <c r="AF842" s="6">
        <v>4.4137000000000004</v>
      </c>
      <c r="AG842" s="6">
        <v>2.9325000000000001</v>
      </c>
      <c r="AH842" s="6">
        <v>255</v>
      </c>
      <c r="AJ842" s="17">
        <v>840</v>
      </c>
      <c r="AK842" s="6">
        <v>5.7750700000000004</v>
      </c>
      <c r="AL842" s="6">
        <v>4.4137000000000004</v>
      </c>
      <c r="AM842" s="6">
        <v>2.9325000000000001</v>
      </c>
      <c r="AN842" s="6">
        <v>255</v>
      </c>
      <c r="AQ842" s="17">
        <v>840</v>
      </c>
      <c r="AR842" s="6">
        <v>1.5890899999999999</v>
      </c>
      <c r="AS842" s="19">
        <v>-5.4989999999999997E-2</v>
      </c>
      <c r="AT842" s="6">
        <v>0.80689999999999995</v>
      </c>
      <c r="AU842" s="6">
        <v>255</v>
      </c>
      <c r="AW842" s="17">
        <v>840</v>
      </c>
      <c r="AX842" s="6">
        <v>0.83803000000000005</v>
      </c>
      <c r="AY842" s="19">
        <v>-5.4989999999999997E-2</v>
      </c>
      <c r="AZ842" s="6">
        <v>0.80689999999999995</v>
      </c>
      <c r="BA842" s="6">
        <v>255</v>
      </c>
    </row>
    <row r="843" spans="1:53" x14ac:dyDescent="0.25">
      <c r="A843" s="62" t="s">
        <v>161</v>
      </c>
      <c r="B843" s="60">
        <v>2</v>
      </c>
      <c r="C843" s="60">
        <v>10</v>
      </c>
      <c r="D843" s="60">
        <v>3</v>
      </c>
      <c r="E843" s="60">
        <v>18</v>
      </c>
      <c r="F843" t="s">
        <v>12</v>
      </c>
      <c r="G843" t="s">
        <v>12</v>
      </c>
      <c r="H843" t="s">
        <v>12</v>
      </c>
      <c r="I843" s="60">
        <v>4</v>
      </c>
      <c r="AD843" s="17">
        <v>841</v>
      </c>
      <c r="AE843" s="6">
        <v>3.06047</v>
      </c>
      <c r="AF843" s="19">
        <v>-1.736</v>
      </c>
      <c r="AG843" s="6">
        <v>2.9468999999999999</v>
      </c>
      <c r="AH843" s="6">
        <v>255</v>
      </c>
      <c r="AJ843" s="17">
        <v>841</v>
      </c>
      <c r="AK843" s="6">
        <v>5.8033299999999999</v>
      </c>
      <c r="AL843" s="19">
        <v>-1.736</v>
      </c>
      <c r="AM843" s="6">
        <v>2.9468999999999999</v>
      </c>
      <c r="AN843" s="6">
        <v>255</v>
      </c>
      <c r="AQ843" s="17">
        <v>841</v>
      </c>
      <c r="AR843" s="6">
        <v>1.597</v>
      </c>
      <c r="AS843" s="19">
        <v>-2.4195000000000002</v>
      </c>
      <c r="AT843" s="6">
        <v>0.81089999999999995</v>
      </c>
      <c r="AU843" s="6">
        <v>255</v>
      </c>
      <c r="AW843" s="17">
        <v>841</v>
      </c>
      <c r="AX843" s="6">
        <v>0.84219999999999995</v>
      </c>
      <c r="AY843" s="19">
        <v>-2.4195000000000002</v>
      </c>
      <c r="AZ843" s="6">
        <v>0.81089999999999995</v>
      </c>
      <c r="BA843" s="6">
        <v>255</v>
      </c>
    </row>
    <row r="844" spans="1:53" x14ac:dyDescent="0.25">
      <c r="A844" s="62" t="s">
        <v>161</v>
      </c>
      <c r="B844" s="60">
        <v>2</v>
      </c>
      <c r="C844" s="60">
        <v>11</v>
      </c>
      <c r="D844" s="60">
        <v>3</v>
      </c>
      <c r="E844" s="60">
        <v>49</v>
      </c>
      <c r="F844" t="s">
        <v>12</v>
      </c>
      <c r="G844" t="s">
        <v>12</v>
      </c>
      <c r="H844" t="s">
        <v>12</v>
      </c>
      <c r="I844" s="60">
        <v>1</v>
      </c>
      <c r="AD844" s="17">
        <v>842</v>
      </c>
      <c r="AE844" s="6">
        <v>3.0613100000000002</v>
      </c>
      <c r="AF844" s="6">
        <v>1.3889</v>
      </c>
      <c r="AG844" s="6">
        <v>2.9477000000000002</v>
      </c>
      <c r="AH844" s="6">
        <v>255</v>
      </c>
      <c r="AJ844" s="17">
        <v>842</v>
      </c>
      <c r="AK844" s="6">
        <v>5.8049200000000001</v>
      </c>
      <c r="AL844" s="6">
        <v>1.3889</v>
      </c>
      <c r="AM844" s="6">
        <v>2.9477000000000002</v>
      </c>
      <c r="AN844" s="6">
        <v>255</v>
      </c>
      <c r="AQ844" s="17">
        <v>842</v>
      </c>
      <c r="AR844" s="6">
        <v>1.5911299999999999</v>
      </c>
      <c r="AS844" s="19">
        <v>-4.6330000000000003E-2</v>
      </c>
      <c r="AT844" s="6">
        <v>0.80800000000000005</v>
      </c>
      <c r="AU844" s="6">
        <v>255</v>
      </c>
      <c r="AW844" s="17">
        <v>842</v>
      </c>
      <c r="AX844" s="6">
        <v>0.83911000000000002</v>
      </c>
      <c r="AY844" s="19">
        <v>-4.6330000000000003E-2</v>
      </c>
      <c r="AZ844" s="6">
        <v>0.80800000000000005</v>
      </c>
      <c r="BA844" s="6">
        <v>255</v>
      </c>
    </row>
    <row r="845" spans="1:53" x14ac:dyDescent="0.25">
      <c r="A845" s="62" t="s">
        <v>161</v>
      </c>
      <c r="B845" s="60">
        <v>2</v>
      </c>
      <c r="C845" s="60">
        <v>12</v>
      </c>
      <c r="D845" s="60">
        <v>3</v>
      </c>
      <c r="E845" s="60">
        <v>38</v>
      </c>
      <c r="F845" t="s">
        <v>12</v>
      </c>
      <c r="G845" t="s">
        <v>12</v>
      </c>
      <c r="H845" t="s">
        <v>12</v>
      </c>
      <c r="I845" s="60">
        <v>2</v>
      </c>
      <c r="AD845" s="17">
        <v>843</v>
      </c>
      <c r="AE845" s="6">
        <v>3.0529999999999999</v>
      </c>
      <c r="AF845" s="6">
        <v>3.7065999999999999</v>
      </c>
      <c r="AG845" s="6">
        <v>2.9397000000000002</v>
      </c>
      <c r="AH845" s="6">
        <v>255</v>
      </c>
      <c r="AJ845" s="17">
        <v>843</v>
      </c>
      <c r="AK845" s="6">
        <v>5.7891500000000002</v>
      </c>
      <c r="AL845" s="6">
        <v>3.7065999999999999</v>
      </c>
      <c r="AM845" s="6">
        <v>2.9397000000000002</v>
      </c>
      <c r="AN845" s="6">
        <v>255</v>
      </c>
      <c r="AQ845" s="17">
        <v>843</v>
      </c>
      <c r="AR845" s="6">
        <v>1.60178</v>
      </c>
      <c r="AS845" s="19">
        <v>-0.31369999999999998</v>
      </c>
      <c r="AT845" s="6">
        <v>0.81340000000000001</v>
      </c>
      <c r="AU845" s="6">
        <v>255</v>
      </c>
      <c r="AW845" s="17">
        <v>843</v>
      </c>
      <c r="AX845" s="6">
        <v>0.84472000000000003</v>
      </c>
      <c r="AY845" s="19">
        <v>-0.31369999999999998</v>
      </c>
      <c r="AZ845" s="6">
        <v>0.81340000000000001</v>
      </c>
      <c r="BA845" s="6">
        <v>255</v>
      </c>
    </row>
    <row r="846" spans="1:53" x14ac:dyDescent="0.25">
      <c r="A846" s="62" t="s">
        <v>161</v>
      </c>
      <c r="B846" s="60">
        <v>2</v>
      </c>
      <c r="C846" s="60">
        <v>13</v>
      </c>
      <c r="D846" s="60">
        <v>3</v>
      </c>
      <c r="E846" s="60">
        <v>11</v>
      </c>
      <c r="F846" t="s">
        <v>12</v>
      </c>
      <c r="G846" t="s">
        <v>12</v>
      </c>
      <c r="H846" t="s">
        <v>12</v>
      </c>
      <c r="I846" s="60">
        <v>4</v>
      </c>
      <c r="AD846" s="17">
        <v>844</v>
      </c>
      <c r="AE846" s="6">
        <v>3.0654499999999998</v>
      </c>
      <c r="AF846" s="6">
        <v>3.5834000000000001</v>
      </c>
      <c r="AG846" s="6">
        <v>2.9517000000000002</v>
      </c>
      <c r="AH846" s="6">
        <v>255</v>
      </c>
      <c r="AJ846" s="17">
        <v>844</v>
      </c>
      <c r="AK846" s="6">
        <v>5.8127700000000004</v>
      </c>
      <c r="AL846" s="6">
        <v>3.5834000000000001</v>
      </c>
      <c r="AM846" s="6">
        <v>2.9517000000000002</v>
      </c>
      <c r="AN846" s="6">
        <v>255</v>
      </c>
      <c r="AQ846" s="17">
        <v>844</v>
      </c>
      <c r="AR846" s="6">
        <v>1.6026</v>
      </c>
      <c r="AS846" s="19">
        <v>-6.1339999999999999E-2</v>
      </c>
      <c r="AT846" s="6">
        <v>0.81379999999999997</v>
      </c>
      <c r="AU846" s="6">
        <v>255</v>
      </c>
      <c r="AW846" s="17">
        <v>844</v>
      </c>
      <c r="AX846" s="6">
        <v>0.84514999999999996</v>
      </c>
      <c r="AY846" s="19">
        <v>-6.1339999999999999E-2</v>
      </c>
      <c r="AZ846" s="6">
        <v>0.81379999999999997</v>
      </c>
      <c r="BA846" s="6">
        <v>255</v>
      </c>
    </row>
    <row r="847" spans="1:53" x14ac:dyDescent="0.25">
      <c r="A847" s="62" t="s">
        <v>161</v>
      </c>
      <c r="B847" s="60">
        <v>2</v>
      </c>
      <c r="C847" s="60">
        <v>14</v>
      </c>
      <c r="D847" s="60">
        <v>3</v>
      </c>
      <c r="E847" s="60">
        <v>13</v>
      </c>
      <c r="F847" t="s">
        <v>12</v>
      </c>
      <c r="G847" t="s">
        <v>12</v>
      </c>
      <c r="H847" t="s">
        <v>12</v>
      </c>
      <c r="I847" s="60">
        <v>1</v>
      </c>
      <c r="AD847" s="17">
        <v>845</v>
      </c>
      <c r="AE847" s="6">
        <v>3.05505</v>
      </c>
      <c r="AF847" s="6">
        <v>9.6780000000000005E-2</v>
      </c>
      <c r="AG847" s="6">
        <v>2.9417</v>
      </c>
      <c r="AH847" s="6">
        <v>255</v>
      </c>
      <c r="AJ847" s="17">
        <v>845</v>
      </c>
      <c r="AK847" s="6">
        <v>5.7930400000000004</v>
      </c>
      <c r="AL847" s="6">
        <v>9.6780000000000005E-2</v>
      </c>
      <c r="AM847" s="6">
        <v>2.9417</v>
      </c>
      <c r="AN847" s="6">
        <v>255</v>
      </c>
      <c r="AQ847" s="17">
        <v>845</v>
      </c>
      <c r="AR847" s="6">
        <v>1.5911</v>
      </c>
      <c r="AS847" s="19">
        <v>-1.4421999999999999</v>
      </c>
      <c r="AT847" s="6">
        <v>0.80789999999999995</v>
      </c>
      <c r="AU847" s="6">
        <v>255</v>
      </c>
      <c r="AW847" s="17">
        <v>845</v>
      </c>
      <c r="AX847" s="6">
        <v>0.83909</v>
      </c>
      <c r="AY847" s="19">
        <v>-1.4421999999999999</v>
      </c>
      <c r="AZ847" s="6">
        <v>0.80789999999999995</v>
      </c>
      <c r="BA847" s="6">
        <v>255</v>
      </c>
    </row>
    <row r="848" spans="1:53" x14ac:dyDescent="0.25">
      <c r="A848" s="62" t="s">
        <v>161</v>
      </c>
      <c r="B848" s="60">
        <v>2</v>
      </c>
      <c r="C848" s="60">
        <v>15</v>
      </c>
      <c r="D848" s="60">
        <v>3</v>
      </c>
      <c r="E848" s="60">
        <v>19</v>
      </c>
      <c r="F848" t="s">
        <v>12</v>
      </c>
      <c r="G848" t="s">
        <v>12</v>
      </c>
      <c r="H848" t="s">
        <v>12</v>
      </c>
      <c r="I848" s="60">
        <v>3</v>
      </c>
      <c r="AD848" s="17">
        <v>846</v>
      </c>
      <c r="AE848" s="6">
        <v>3.0488200000000001</v>
      </c>
      <c r="AF848" s="6">
        <v>1.2845</v>
      </c>
      <c r="AG848" s="6">
        <v>2.9357000000000002</v>
      </c>
      <c r="AH848" s="6">
        <v>255</v>
      </c>
      <c r="AJ848" s="17">
        <v>846</v>
      </c>
      <c r="AK848" s="6">
        <v>5.7812299999999999</v>
      </c>
      <c r="AL848" s="6">
        <v>1.2845</v>
      </c>
      <c r="AM848" s="6">
        <v>2.9357000000000002</v>
      </c>
      <c r="AN848" s="6">
        <v>255</v>
      </c>
      <c r="AQ848" s="17">
        <v>846</v>
      </c>
      <c r="AR848" s="6">
        <v>1.59094</v>
      </c>
      <c r="AS848" s="19">
        <v>-1.079</v>
      </c>
      <c r="AT848" s="6">
        <v>0.80789999999999995</v>
      </c>
      <c r="AU848" s="6">
        <v>255</v>
      </c>
      <c r="AW848" s="17">
        <v>846</v>
      </c>
      <c r="AX848" s="6">
        <v>0.83899999999999997</v>
      </c>
      <c r="AY848" s="19">
        <v>-1.079</v>
      </c>
      <c r="AZ848" s="6">
        <v>0.80789999999999995</v>
      </c>
      <c r="BA848" s="6">
        <v>255</v>
      </c>
    </row>
    <row r="849" spans="1:53" x14ac:dyDescent="0.25">
      <c r="A849" s="62" t="s">
        <v>161</v>
      </c>
      <c r="B849" s="60">
        <v>2</v>
      </c>
      <c r="C849" s="60">
        <v>16</v>
      </c>
      <c r="D849" s="60">
        <v>3</v>
      </c>
      <c r="E849" s="60">
        <v>37</v>
      </c>
      <c r="F849" t="s">
        <v>12</v>
      </c>
      <c r="G849" t="s">
        <v>12</v>
      </c>
      <c r="H849" t="s">
        <v>12</v>
      </c>
      <c r="I849" s="60">
        <v>4</v>
      </c>
      <c r="AD849" s="17">
        <v>847</v>
      </c>
      <c r="AE849" s="6">
        <v>3.0302899999999999</v>
      </c>
      <c r="AF849" s="6">
        <v>1.8574999999999999</v>
      </c>
      <c r="AG849" s="6">
        <v>2.9178000000000002</v>
      </c>
      <c r="AH849" s="6">
        <v>255</v>
      </c>
      <c r="AJ849" s="17">
        <v>847</v>
      </c>
      <c r="AK849" s="6">
        <v>5.7460899999999997</v>
      </c>
      <c r="AL849" s="6">
        <v>1.8574999999999999</v>
      </c>
      <c r="AM849" s="6">
        <v>2.9178000000000002</v>
      </c>
      <c r="AN849" s="6">
        <v>255</v>
      </c>
      <c r="AQ849" s="17">
        <v>847</v>
      </c>
      <c r="AR849" s="6">
        <v>1.5823499999999999</v>
      </c>
      <c r="AS849" s="19">
        <v>-0.54349999999999998</v>
      </c>
      <c r="AT849" s="6">
        <v>0.80349999999999999</v>
      </c>
      <c r="AU849" s="6">
        <v>255</v>
      </c>
      <c r="AW849" s="17">
        <v>847</v>
      </c>
      <c r="AX849" s="6">
        <v>0.83447000000000005</v>
      </c>
      <c r="AY849" s="19">
        <v>-0.54349999999999998</v>
      </c>
      <c r="AZ849" s="6">
        <v>0.80349999999999999</v>
      </c>
      <c r="BA849" s="6">
        <v>255</v>
      </c>
    </row>
    <row r="850" spans="1:53" x14ac:dyDescent="0.25">
      <c r="A850" s="62" t="s">
        <v>161</v>
      </c>
      <c r="B850" s="60">
        <v>2</v>
      </c>
      <c r="C850" s="60">
        <v>17</v>
      </c>
      <c r="D850" s="60">
        <v>3</v>
      </c>
      <c r="E850" s="60">
        <v>14</v>
      </c>
      <c r="F850" t="s">
        <v>12</v>
      </c>
      <c r="G850" t="s">
        <v>12</v>
      </c>
      <c r="H850" t="s">
        <v>12</v>
      </c>
      <c r="I850" s="60">
        <v>5</v>
      </c>
      <c r="AD850" s="17">
        <v>848</v>
      </c>
      <c r="AE850" s="6">
        <v>3.0365899999999999</v>
      </c>
      <c r="AF850" s="6">
        <v>1.8807</v>
      </c>
      <c r="AG850" s="6">
        <v>2.9239000000000002</v>
      </c>
      <c r="AH850" s="6">
        <v>255</v>
      </c>
      <c r="AJ850" s="17">
        <v>848</v>
      </c>
      <c r="AK850" s="6">
        <v>5.7580499999999999</v>
      </c>
      <c r="AL850" s="6">
        <v>1.8807</v>
      </c>
      <c r="AM850" s="6">
        <v>2.9239000000000002</v>
      </c>
      <c r="AN850" s="6">
        <v>255</v>
      </c>
      <c r="AQ850" s="17">
        <v>848</v>
      </c>
      <c r="AR850" s="6">
        <v>1.58551</v>
      </c>
      <c r="AS850" s="19">
        <v>-7.9329999999999998E-2</v>
      </c>
      <c r="AT850" s="6">
        <v>0.80510000000000004</v>
      </c>
      <c r="AU850" s="6">
        <v>255</v>
      </c>
      <c r="AW850" s="17">
        <v>848</v>
      </c>
      <c r="AX850" s="6">
        <v>0.83613999999999999</v>
      </c>
      <c r="AY850" s="19">
        <v>-7.9329999999999998E-2</v>
      </c>
      <c r="AZ850" s="6">
        <v>0.80510000000000004</v>
      </c>
      <c r="BA850" s="6">
        <v>255</v>
      </c>
    </row>
    <row r="851" spans="1:53" x14ac:dyDescent="0.25">
      <c r="A851" s="62" t="s">
        <v>161</v>
      </c>
      <c r="B851" s="60">
        <v>2</v>
      </c>
      <c r="C851" s="60">
        <v>18</v>
      </c>
      <c r="D851" s="60">
        <v>3</v>
      </c>
      <c r="E851" s="60">
        <v>35</v>
      </c>
      <c r="F851" t="s">
        <v>12</v>
      </c>
      <c r="G851" t="s">
        <v>12</v>
      </c>
      <c r="H851" t="s">
        <v>12</v>
      </c>
      <c r="I851" s="60">
        <v>5</v>
      </c>
      <c r="AD851" s="17">
        <v>849</v>
      </c>
      <c r="AE851" s="6">
        <v>3.0488200000000001</v>
      </c>
      <c r="AF851" s="6">
        <v>0.89829999999999999</v>
      </c>
      <c r="AG851" s="6">
        <v>2.9357000000000002</v>
      </c>
      <c r="AH851" s="6">
        <v>255</v>
      </c>
      <c r="AJ851" s="17">
        <v>849</v>
      </c>
      <c r="AK851" s="6">
        <v>5.7812400000000004</v>
      </c>
      <c r="AL851" s="6">
        <v>0.89829999999999999</v>
      </c>
      <c r="AM851" s="6">
        <v>2.9357000000000002</v>
      </c>
      <c r="AN851" s="6">
        <v>255</v>
      </c>
      <c r="AQ851" s="17">
        <v>849</v>
      </c>
      <c r="AR851" s="6">
        <v>1.59108</v>
      </c>
      <c r="AS851" s="19">
        <v>-1.1938</v>
      </c>
      <c r="AT851" s="6">
        <v>0.80789999999999995</v>
      </c>
      <c r="AU851" s="6">
        <v>255</v>
      </c>
      <c r="AW851" s="17">
        <v>849</v>
      </c>
      <c r="AX851" s="6">
        <v>0.83908000000000005</v>
      </c>
      <c r="AY851" s="19">
        <v>-1.1938</v>
      </c>
      <c r="AZ851" s="6">
        <v>0.80789999999999995</v>
      </c>
      <c r="BA851" s="6">
        <v>255</v>
      </c>
    </row>
    <row r="852" spans="1:53" x14ac:dyDescent="0.25">
      <c r="A852" s="62" t="s">
        <v>161</v>
      </c>
      <c r="B852" s="60">
        <v>2</v>
      </c>
      <c r="C852" s="60">
        <v>19</v>
      </c>
      <c r="D852" s="60">
        <v>3</v>
      </c>
      <c r="E852" s="60">
        <v>42</v>
      </c>
      <c r="F852" t="s">
        <v>12</v>
      </c>
      <c r="G852" t="s">
        <v>12</v>
      </c>
      <c r="H852" t="s">
        <v>12</v>
      </c>
      <c r="I852" s="60">
        <v>5</v>
      </c>
      <c r="AD852" s="17">
        <v>850</v>
      </c>
      <c r="AE852" s="6">
        <v>3.0473499999999998</v>
      </c>
      <c r="AF852" s="6">
        <v>8.4879999999999995</v>
      </c>
      <c r="AG852" s="6">
        <v>2.9342999999999999</v>
      </c>
      <c r="AH852" s="6">
        <v>255</v>
      </c>
      <c r="AJ852" s="17">
        <v>850</v>
      </c>
      <c r="AK852" s="6">
        <v>5.7784500000000003</v>
      </c>
      <c r="AL852" s="6">
        <v>8.4879999999999995</v>
      </c>
      <c r="AM852" s="6">
        <v>2.9342999999999999</v>
      </c>
      <c r="AN852" s="6">
        <v>255</v>
      </c>
      <c r="AQ852" s="17">
        <v>850</v>
      </c>
      <c r="AR852" s="6">
        <v>1.59796</v>
      </c>
      <c r="AS852" s="6">
        <v>0.1817</v>
      </c>
      <c r="AT852" s="6">
        <v>0.81140000000000001</v>
      </c>
      <c r="AU852" s="6">
        <v>255</v>
      </c>
      <c r="AW852" s="17">
        <v>850</v>
      </c>
      <c r="AX852" s="6">
        <v>0.84270999999999996</v>
      </c>
      <c r="AY852" s="6">
        <v>0.1817</v>
      </c>
      <c r="AZ852" s="6">
        <v>0.81140000000000001</v>
      </c>
      <c r="BA852" s="6">
        <v>255</v>
      </c>
    </row>
    <row r="853" spans="1:53" x14ac:dyDescent="0.25">
      <c r="A853" s="62" t="s">
        <v>161</v>
      </c>
      <c r="B853" s="60">
        <v>2</v>
      </c>
      <c r="C853" s="60">
        <v>20</v>
      </c>
      <c r="D853" s="60">
        <v>3</v>
      </c>
      <c r="E853" s="60">
        <v>41</v>
      </c>
      <c r="F853" t="s">
        <v>12</v>
      </c>
      <c r="G853" t="s">
        <v>12</v>
      </c>
      <c r="H853" t="s">
        <v>12</v>
      </c>
      <c r="I853" s="60">
        <v>6</v>
      </c>
      <c r="AD853" s="17">
        <v>851</v>
      </c>
      <c r="AE853" s="6">
        <v>3.0584799999999999</v>
      </c>
      <c r="AF853" s="6">
        <v>2.4476</v>
      </c>
      <c r="AG853" s="6">
        <v>2.9449999999999998</v>
      </c>
      <c r="AH853" s="6">
        <v>255</v>
      </c>
      <c r="AJ853" s="17">
        <v>851</v>
      </c>
      <c r="AK853" s="6">
        <v>5.79955</v>
      </c>
      <c r="AL853" s="6">
        <v>2.4476</v>
      </c>
      <c r="AM853" s="6">
        <v>2.9449999999999998</v>
      </c>
      <c r="AN853" s="6">
        <v>255</v>
      </c>
      <c r="AQ853" s="17">
        <v>851</v>
      </c>
      <c r="AR853" s="6">
        <v>1.5945800000000001</v>
      </c>
      <c r="AS853" s="19">
        <v>-1.1877</v>
      </c>
      <c r="AT853" s="6">
        <v>0.80969999999999998</v>
      </c>
      <c r="AU853" s="6">
        <v>255</v>
      </c>
      <c r="AW853" s="17">
        <v>851</v>
      </c>
      <c r="AX853" s="6">
        <v>0.84092999999999996</v>
      </c>
      <c r="AY853" s="19">
        <v>-1.1877</v>
      </c>
      <c r="AZ853" s="6">
        <v>0.80969999999999998</v>
      </c>
      <c r="BA853" s="6">
        <v>255</v>
      </c>
    </row>
    <row r="854" spans="1:53" x14ac:dyDescent="0.25">
      <c r="A854" s="62" t="s">
        <v>161</v>
      </c>
      <c r="B854" s="60">
        <v>2</v>
      </c>
      <c r="C854" s="60">
        <v>21</v>
      </c>
      <c r="D854" s="60">
        <v>3</v>
      </c>
      <c r="E854" s="60">
        <v>23</v>
      </c>
      <c r="F854" t="s">
        <v>12</v>
      </c>
      <c r="G854" t="s">
        <v>12</v>
      </c>
      <c r="H854" t="s">
        <v>12</v>
      </c>
      <c r="I854" s="60">
        <v>4</v>
      </c>
      <c r="AD854" s="17">
        <v>852</v>
      </c>
      <c r="AE854" s="6">
        <v>3.0345200000000001</v>
      </c>
      <c r="AF854" s="6">
        <v>11.211499999999999</v>
      </c>
      <c r="AG854" s="6">
        <v>2.9218999999999999</v>
      </c>
      <c r="AH854" s="6">
        <v>255</v>
      </c>
      <c r="AJ854" s="17">
        <v>852</v>
      </c>
      <c r="AK854" s="6">
        <v>5.75413</v>
      </c>
      <c r="AL854" s="6">
        <v>11.211499999999999</v>
      </c>
      <c r="AM854" s="6">
        <v>2.9218999999999999</v>
      </c>
      <c r="AN854" s="6">
        <v>255</v>
      </c>
      <c r="AQ854" s="17">
        <v>852</v>
      </c>
      <c r="AR854" s="6">
        <v>1.5877399999999999</v>
      </c>
      <c r="AS854" s="6">
        <v>1.3037000000000001</v>
      </c>
      <c r="AT854" s="6">
        <v>0.80620000000000003</v>
      </c>
      <c r="AU854" s="6">
        <v>255</v>
      </c>
      <c r="AW854" s="17">
        <v>852</v>
      </c>
      <c r="AX854" s="6">
        <v>0.83731999999999995</v>
      </c>
      <c r="AY854" s="6">
        <v>1.3037000000000001</v>
      </c>
      <c r="AZ854" s="6">
        <v>0.80620000000000003</v>
      </c>
      <c r="BA854" s="6">
        <v>255</v>
      </c>
    </row>
    <row r="855" spans="1:53" x14ac:dyDescent="0.25">
      <c r="A855" s="62" t="s">
        <v>161</v>
      </c>
      <c r="B855" s="60">
        <v>2</v>
      </c>
      <c r="C855" s="60">
        <v>22</v>
      </c>
      <c r="D855" s="60">
        <v>3</v>
      </c>
      <c r="E855" s="60">
        <v>30</v>
      </c>
      <c r="F855" t="s">
        <v>12</v>
      </c>
      <c r="G855" t="s">
        <v>12</v>
      </c>
      <c r="H855" t="s">
        <v>12</v>
      </c>
      <c r="I855" s="60">
        <v>2</v>
      </c>
      <c r="AD855" s="17">
        <v>853</v>
      </c>
      <c r="AE855" s="6">
        <v>3.0474299999999999</v>
      </c>
      <c r="AF855" s="6">
        <v>5.7812000000000001</v>
      </c>
      <c r="AG855" s="6">
        <v>2.9342999999999999</v>
      </c>
      <c r="AH855" s="6">
        <v>255</v>
      </c>
      <c r="AJ855" s="17">
        <v>853</v>
      </c>
      <c r="AK855" s="6">
        <v>5.7786</v>
      </c>
      <c r="AL855" s="6">
        <v>5.7812000000000001</v>
      </c>
      <c r="AM855" s="6">
        <v>2.9342999999999999</v>
      </c>
      <c r="AN855" s="6">
        <v>255</v>
      </c>
      <c r="AQ855" s="17">
        <v>853</v>
      </c>
      <c r="AR855" s="6">
        <v>1.59138</v>
      </c>
      <c r="AS855" s="19">
        <v>-3.687E-2</v>
      </c>
      <c r="AT855" s="6">
        <v>0.80810000000000004</v>
      </c>
      <c r="AU855" s="6">
        <v>255</v>
      </c>
      <c r="AW855" s="17">
        <v>853</v>
      </c>
      <c r="AX855" s="6">
        <v>0.83923999999999999</v>
      </c>
      <c r="AY855" s="19">
        <v>-3.687E-2</v>
      </c>
      <c r="AZ855" s="6">
        <v>0.80810000000000004</v>
      </c>
      <c r="BA855" s="6">
        <v>255</v>
      </c>
    </row>
    <row r="856" spans="1:53" x14ac:dyDescent="0.25">
      <c r="A856" s="62" t="s">
        <v>161</v>
      </c>
      <c r="B856" s="60">
        <v>2</v>
      </c>
      <c r="C856" s="60">
        <v>23</v>
      </c>
      <c r="D856" s="60">
        <v>3</v>
      </c>
      <c r="E856" s="60">
        <v>8</v>
      </c>
      <c r="F856" t="s">
        <v>12</v>
      </c>
      <c r="G856" t="s">
        <v>12</v>
      </c>
      <c r="H856" t="s">
        <v>12</v>
      </c>
      <c r="I856" s="60">
        <v>2</v>
      </c>
      <c r="AD856" s="17">
        <v>854</v>
      </c>
      <c r="AE856" s="6">
        <v>3.05044</v>
      </c>
      <c r="AF856" s="6">
        <v>3.5209999999999999</v>
      </c>
      <c r="AG856" s="6">
        <v>2.9371999999999998</v>
      </c>
      <c r="AH856" s="6">
        <v>255</v>
      </c>
      <c r="AJ856" s="17">
        <v>854</v>
      </c>
      <c r="AK856" s="6">
        <v>5.7843099999999996</v>
      </c>
      <c r="AL856" s="6">
        <v>3.5209999999999999</v>
      </c>
      <c r="AM856" s="6">
        <v>2.9371999999999998</v>
      </c>
      <c r="AN856" s="6">
        <v>255</v>
      </c>
      <c r="AQ856" s="17">
        <v>854</v>
      </c>
      <c r="AR856" s="6">
        <v>1.5942700000000001</v>
      </c>
      <c r="AS856" s="6">
        <v>0.1333</v>
      </c>
      <c r="AT856" s="6">
        <v>0.80959999999999999</v>
      </c>
      <c r="AU856" s="6">
        <v>255</v>
      </c>
      <c r="AW856" s="17">
        <v>854</v>
      </c>
      <c r="AX856" s="6">
        <v>0.84075999999999995</v>
      </c>
      <c r="AY856" s="6">
        <v>0.1333</v>
      </c>
      <c r="AZ856" s="6">
        <v>0.80959999999999999</v>
      </c>
      <c r="BA856" s="6">
        <v>255</v>
      </c>
    </row>
    <row r="857" spans="1:53" x14ac:dyDescent="0.25">
      <c r="A857" s="62" t="s">
        <v>161</v>
      </c>
      <c r="B857" s="60">
        <v>2</v>
      </c>
      <c r="C857" s="60">
        <v>24</v>
      </c>
      <c r="D857" s="60">
        <v>3</v>
      </c>
      <c r="E857" s="60">
        <v>6</v>
      </c>
      <c r="F857" t="s">
        <v>12</v>
      </c>
      <c r="G857" t="s">
        <v>12</v>
      </c>
      <c r="H857" t="s">
        <v>12</v>
      </c>
      <c r="I857" s="60">
        <v>1</v>
      </c>
      <c r="AD857" s="17">
        <v>855</v>
      </c>
      <c r="AE857" s="6">
        <v>3.0330699999999999</v>
      </c>
      <c r="AF857" s="6">
        <v>4.7713999999999999</v>
      </c>
      <c r="AG857" s="6">
        <v>2.9205000000000001</v>
      </c>
      <c r="AH857" s="6">
        <v>255</v>
      </c>
      <c r="AJ857" s="17">
        <v>855</v>
      </c>
      <c r="AK857" s="6">
        <v>5.7513800000000002</v>
      </c>
      <c r="AL857" s="6">
        <v>4.7713999999999999</v>
      </c>
      <c r="AM857" s="6">
        <v>2.9205000000000001</v>
      </c>
      <c r="AN857" s="6">
        <v>255</v>
      </c>
      <c r="AQ857" s="17">
        <v>855</v>
      </c>
      <c r="AR857" s="6">
        <v>1.59063</v>
      </c>
      <c r="AS857" s="19">
        <v>-0.2802</v>
      </c>
      <c r="AT857" s="6">
        <v>0.80769999999999997</v>
      </c>
      <c r="AU857" s="6">
        <v>255</v>
      </c>
      <c r="AW857" s="17">
        <v>855</v>
      </c>
      <c r="AX857" s="6">
        <v>0.83884999999999998</v>
      </c>
      <c r="AY857" s="19">
        <v>-0.2802</v>
      </c>
      <c r="AZ857" s="6">
        <v>0.80769999999999997</v>
      </c>
      <c r="BA857" s="6">
        <v>255</v>
      </c>
    </row>
    <row r="858" spans="1:53" x14ac:dyDescent="0.25">
      <c r="A858" s="62" t="s">
        <v>161</v>
      </c>
      <c r="B858" s="60">
        <v>2</v>
      </c>
      <c r="C858" s="60">
        <v>25</v>
      </c>
      <c r="D858" s="60">
        <v>3</v>
      </c>
      <c r="E858" s="60">
        <v>21</v>
      </c>
      <c r="F858" t="s">
        <v>12</v>
      </c>
      <c r="G858" t="s">
        <v>12</v>
      </c>
      <c r="H858" t="s">
        <v>12</v>
      </c>
      <c r="I858" s="60">
        <v>4</v>
      </c>
      <c r="AD858" s="17">
        <v>856</v>
      </c>
      <c r="AE858" s="6">
        <v>3.0440999999999998</v>
      </c>
      <c r="AF858" s="6">
        <v>4.4762000000000004</v>
      </c>
      <c r="AG858" s="6">
        <v>2.9310999999999998</v>
      </c>
      <c r="AH858" s="6">
        <v>255</v>
      </c>
      <c r="AJ858" s="17">
        <v>856</v>
      </c>
      <c r="AK858" s="6">
        <v>5.7722899999999999</v>
      </c>
      <c r="AL858" s="6">
        <v>4.4762000000000004</v>
      </c>
      <c r="AM858" s="6">
        <v>2.9310999999999998</v>
      </c>
      <c r="AN858" s="6">
        <v>255</v>
      </c>
      <c r="AQ858" s="17">
        <v>856</v>
      </c>
      <c r="AR858" s="6">
        <v>1.59642</v>
      </c>
      <c r="AS858" s="19">
        <v>-1.4998</v>
      </c>
      <c r="AT858" s="6">
        <v>0.81069999999999998</v>
      </c>
      <c r="AU858" s="6">
        <v>255</v>
      </c>
      <c r="AW858" s="17">
        <v>856</v>
      </c>
      <c r="AX858" s="6">
        <v>0.84189999999999998</v>
      </c>
      <c r="AY858" s="19">
        <v>-1.4998</v>
      </c>
      <c r="AZ858" s="6">
        <v>0.81069999999999998</v>
      </c>
      <c r="BA858" s="6">
        <v>255</v>
      </c>
    </row>
    <row r="859" spans="1:53" x14ac:dyDescent="0.25">
      <c r="A859" s="62" t="s">
        <v>161</v>
      </c>
      <c r="B859" s="60">
        <v>2</v>
      </c>
      <c r="C859" s="60">
        <v>26</v>
      </c>
      <c r="D859" s="60">
        <v>3</v>
      </c>
      <c r="E859" s="60">
        <v>20</v>
      </c>
      <c r="F859" t="s">
        <v>12</v>
      </c>
      <c r="G859" t="s">
        <v>12</v>
      </c>
      <c r="H859" t="s">
        <v>12</v>
      </c>
      <c r="I859" s="60">
        <v>6</v>
      </c>
      <c r="AD859" s="17">
        <v>857</v>
      </c>
      <c r="AE859" s="6">
        <v>3.0460400000000001</v>
      </c>
      <c r="AF859" s="6">
        <v>9.9144000000000005</v>
      </c>
      <c r="AG859" s="6">
        <v>2.9329999999999998</v>
      </c>
      <c r="AH859" s="6">
        <v>255</v>
      </c>
      <c r="AJ859" s="17">
        <v>857</v>
      </c>
      <c r="AK859" s="6">
        <v>5.7759600000000004</v>
      </c>
      <c r="AL859" s="6">
        <v>9.9144000000000005</v>
      </c>
      <c r="AM859" s="6">
        <v>2.9329999999999998</v>
      </c>
      <c r="AN859" s="6">
        <v>255</v>
      </c>
      <c r="AQ859" s="17">
        <v>857</v>
      </c>
      <c r="AR859" s="6">
        <v>1.5907</v>
      </c>
      <c r="AS859" s="6">
        <v>1.4374</v>
      </c>
      <c r="AT859" s="6">
        <v>0.80769999999999997</v>
      </c>
      <c r="AU859" s="6">
        <v>255</v>
      </c>
      <c r="AW859" s="17">
        <v>857</v>
      </c>
      <c r="AX859" s="6">
        <v>0.83887999999999996</v>
      </c>
      <c r="AY859" s="6">
        <v>1.4374</v>
      </c>
      <c r="AZ859" s="6">
        <v>0.80769999999999997</v>
      </c>
      <c r="BA859" s="6">
        <v>255</v>
      </c>
    </row>
    <row r="860" spans="1:53" x14ac:dyDescent="0.25">
      <c r="A860" s="62" t="s">
        <v>161</v>
      </c>
      <c r="B860" s="60">
        <v>2</v>
      </c>
      <c r="C860" s="60">
        <v>26</v>
      </c>
      <c r="D860" s="60">
        <v>4</v>
      </c>
      <c r="E860" s="60">
        <v>36</v>
      </c>
      <c r="F860" t="s">
        <v>12</v>
      </c>
      <c r="G860" t="s">
        <v>12</v>
      </c>
      <c r="H860" t="s">
        <v>12</v>
      </c>
      <c r="I860" s="60">
        <v>2</v>
      </c>
      <c r="AD860" s="17">
        <v>858</v>
      </c>
      <c r="AE860" s="6">
        <v>3.0463300000000002</v>
      </c>
      <c r="AF860" s="6">
        <v>6.7686000000000002</v>
      </c>
      <c r="AG860" s="6">
        <v>2.9333</v>
      </c>
      <c r="AH860" s="6">
        <v>255</v>
      </c>
      <c r="AJ860" s="17">
        <v>858</v>
      </c>
      <c r="AK860" s="6">
        <v>5.7765000000000004</v>
      </c>
      <c r="AL860" s="6">
        <v>6.7686000000000002</v>
      </c>
      <c r="AM860" s="6">
        <v>2.9333</v>
      </c>
      <c r="AN860" s="6">
        <v>255</v>
      </c>
      <c r="AQ860" s="17">
        <v>858</v>
      </c>
      <c r="AR860" s="6">
        <v>1.58657</v>
      </c>
      <c r="AS860" s="6">
        <v>1.2910999999999999</v>
      </c>
      <c r="AT860" s="6">
        <v>0.80559999999999998</v>
      </c>
      <c r="AU860" s="6">
        <v>255</v>
      </c>
      <c r="AW860" s="17">
        <v>858</v>
      </c>
      <c r="AX860" s="6">
        <v>0.8367</v>
      </c>
      <c r="AY860" s="6">
        <v>1.2910999999999999</v>
      </c>
      <c r="AZ860" s="6">
        <v>0.80559999999999998</v>
      </c>
      <c r="BA860" s="6">
        <v>255</v>
      </c>
    </row>
    <row r="861" spans="1:53" x14ac:dyDescent="0.25">
      <c r="A861" s="62" t="s">
        <v>161</v>
      </c>
      <c r="B861" s="60">
        <v>2</v>
      </c>
      <c r="C861" s="60">
        <v>25</v>
      </c>
      <c r="D861" s="60">
        <v>4</v>
      </c>
      <c r="E861" s="60">
        <v>46</v>
      </c>
      <c r="F861" t="s">
        <v>12</v>
      </c>
      <c r="G861" t="s">
        <v>12</v>
      </c>
      <c r="H861" t="s">
        <v>12</v>
      </c>
      <c r="I861" s="60">
        <v>4</v>
      </c>
      <c r="AD861" s="17">
        <v>859</v>
      </c>
      <c r="AE861" s="6">
        <v>3.03085</v>
      </c>
      <c r="AF861" s="6">
        <v>5.0138999999999996</v>
      </c>
      <c r="AG861" s="6">
        <v>2.9184000000000001</v>
      </c>
      <c r="AH861" s="6">
        <v>255</v>
      </c>
      <c r="AJ861" s="17">
        <v>859</v>
      </c>
      <c r="AK861" s="6">
        <v>5.74716</v>
      </c>
      <c r="AL861" s="6">
        <v>5.0138999999999996</v>
      </c>
      <c r="AM861" s="6">
        <v>2.9184000000000001</v>
      </c>
      <c r="AN861" s="6">
        <v>255</v>
      </c>
      <c r="AQ861" s="17">
        <v>859</v>
      </c>
      <c r="AR861" s="6">
        <v>1.5847899999999999</v>
      </c>
      <c r="AS861" s="6">
        <v>0.8337</v>
      </c>
      <c r="AT861" s="6">
        <v>0.80469999999999997</v>
      </c>
      <c r="AU861" s="6">
        <v>255</v>
      </c>
      <c r="AW861" s="17">
        <v>859</v>
      </c>
      <c r="AX861" s="6">
        <v>0.83575999999999995</v>
      </c>
      <c r="AY861" s="6">
        <v>0.8337</v>
      </c>
      <c r="AZ861" s="6">
        <v>0.80469999999999997</v>
      </c>
      <c r="BA861" s="6">
        <v>255</v>
      </c>
    </row>
    <row r="862" spans="1:53" x14ac:dyDescent="0.25">
      <c r="A862" s="62" t="s">
        <v>161</v>
      </c>
      <c r="B862" s="60">
        <v>2</v>
      </c>
      <c r="C862" s="60">
        <v>24</v>
      </c>
      <c r="D862" s="60">
        <v>4</v>
      </c>
      <c r="E862" s="60">
        <v>12</v>
      </c>
      <c r="F862" t="s">
        <v>12</v>
      </c>
      <c r="G862" t="s">
        <v>12</v>
      </c>
      <c r="H862" t="s">
        <v>12</v>
      </c>
      <c r="I862" s="60">
        <v>2</v>
      </c>
      <c r="AD862" s="17">
        <v>860</v>
      </c>
      <c r="AE862" s="6">
        <v>3.0564900000000002</v>
      </c>
      <c r="AF862" s="6">
        <v>8.7352000000000007</v>
      </c>
      <c r="AG862" s="6">
        <v>2.9430000000000001</v>
      </c>
      <c r="AH862" s="6">
        <v>255</v>
      </c>
      <c r="AJ862" s="17">
        <v>860</v>
      </c>
      <c r="AK862" s="6">
        <v>5.7957799999999997</v>
      </c>
      <c r="AL862" s="6">
        <v>8.7352000000000007</v>
      </c>
      <c r="AM862" s="6">
        <v>2.9430000000000001</v>
      </c>
      <c r="AN862" s="6">
        <v>255</v>
      </c>
      <c r="AQ862" s="17">
        <v>860</v>
      </c>
      <c r="AR862" s="6">
        <v>1.5951200000000001</v>
      </c>
      <c r="AS862" s="6">
        <v>0.14979999999999999</v>
      </c>
      <c r="AT862" s="6">
        <v>0.81</v>
      </c>
      <c r="AU862" s="6">
        <v>255</v>
      </c>
      <c r="AW862" s="17">
        <v>860</v>
      </c>
      <c r="AX862" s="6">
        <v>0.84121000000000001</v>
      </c>
      <c r="AY862" s="6">
        <v>0.14979999999999999</v>
      </c>
      <c r="AZ862" s="6">
        <v>0.81</v>
      </c>
      <c r="BA862" s="6">
        <v>255</v>
      </c>
    </row>
    <row r="863" spans="1:53" x14ac:dyDescent="0.25">
      <c r="A863" s="62" t="s">
        <v>161</v>
      </c>
      <c r="B863" s="60">
        <v>2</v>
      </c>
      <c r="C863" s="60">
        <v>23</v>
      </c>
      <c r="D863" s="60">
        <v>4</v>
      </c>
      <c r="E863" s="60">
        <v>7</v>
      </c>
      <c r="F863" t="s">
        <v>12</v>
      </c>
      <c r="G863" t="s">
        <v>12</v>
      </c>
      <c r="H863" t="s">
        <v>12</v>
      </c>
      <c r="I863" s="60">
        <v>2</v>
      </c>
      <c r="AD863" s="17">
        <v>861</v>
      </c>
      <c r="AE863" s="6">
        <v>3.0473300000000001</v>
      </c>
      <c r="AF863" s="6">
        <v>17.239100000000001</v>
      </c>
      <c r="AG863" s="6">
        <v>2.9342000000000001</v>
      </c>
      <c r="AH863" s="6">
        <v>255</v>
      </c>
      <c r="AJ863" s="17">
        <v>861</v>
      </c>
      <c r="AK863" s="6">
        <v>5.77841</v>
      </c>
      <c r="AL863" s="6">
        <v>17.239100000000001</v>
      </c>
      <c r="AM863" s="6">
        <v>2.9342000000000001</v>
      </c>
      <c r="AN863" s="6">
        <v>255</v>
      </c>
      <c r="AQ863" s="17">
        <v>861</v>
      </c>
      <c r="AR863" s="6">
        <v>1.5989100000000001</v>
      </c>
      <c r="AS863" s="6">
        <v>3.0583999999999998</v>
      </c>
      <c r="AT863" s="6">
        <v>0.81189999999999996</v>
      </c>
      <c r="AU863" s="6">
        <v>255</v>
      </c>
      <c r="AW863" s="17">
        <v>861</v>
      </c>
      <c r="AX863" s="6">
        <v>0.84321000000000002</v>
      </c>
      <c r="AY863" s="6">
        <v>3.0583999999999998</v>
      </c>
      <c r="AZ863" s="6">
        <v>0.81189999999999996</v>
      </c>
      <c r="BA863" s="6">
        <v>255</v>
      </c>
    </row>
    <row r="864" spans="1:53" x14ac:dyDescent="0.25">
      <c r="A864" s="62" t="s">
        <v>161</v>
      </c>
      <c r="B864" s="60">
        <v>2</v>
      </c>
      <c r="C864" s="60">
        <v>22</v>
      </c>
      <c r="D864" s="60">
        <v>4</v>
      </c>
      <c r="E864" s="60">
        <v>10</v>
      </c>
      <c r="F864" t="s">
        <v>12</v>
      </c>
      <c r="G864" t="s">
        <v>12</v>
      </c>
      <c r="H864" t="s">
        <v>12</v>
      </c>
      <c r="I864" s="60">
        <v>3</v>
      </c>
      <c r="AD864" s="17">
        <v>862</v>
      </c>
      <c r="AE864" s="6">
        <v>3.0546899999999999</v>
      </c>
      <c r="AF864" s="6">
        <v>1.6781999999999999</v>
      </c>
      <c r="AG864" s="6">
        <v>2.9413</v>
      </c>
      <c r="AH864" s="6">
        <v>255</v>
      </c>
      <c r="AJ864" s="17">
        <v>862</v>
      </c>
      <c r="AK864" s="6">
        <v>5.79237</v>
      </c>
      <c r="AL864" s="6">
        <v>1.6781999999999999</v>
      </c>
      <c r="AM864" s="6">
        <v>2.9413</v>
      </c>
      <c r="AN864" s="6">
        <v>255</v>
      </c>
      <c r="AQ864" s="17">
        <v>862</v>
      </c>
      <c r="AR864" s="6">
        <v>1.6022000000000001</v>
      </c>
      <c r="AS864" s="6">
        <v>0.38080000000000003</v>
      </c>
      <c r="AT864" s="6">
        <v>0.81359999999999999</v>
      </c>
      <c r="AU864" s="6">
        <v>255</v>
      </c>
      <c r="AW864" s="17">
        <v>862</v>
      </c>
      <c r="AX864" s="6">
        <v>0.84494000000000002</v>
      </c>
      <c r="AY864" s="6">
        <v>0.38080000000000003</v>
      </c>
      <c r="AZ864" s="6">
        <v>0.81359999999999999</v>
      </c>
      <c r="BA864" s="6">
        <v>255</v>
      </c>
    </row>
    <row r="865" spans="1:53" x14ac:dyDescent="0.25">
      <c r="A865" s="62" t="s">
        <v>161</v>
      </c>
      <c r="B865" s="60">
        <v>2</v>
      </c>
      <c r="C865" s="60">
        <v>21</v>
      </c>
      <c r="D865" s="60">
        <v>4</v>
      </c>
      <c r="E865" s="60">
        <v>44</v>
      </c>
      <c r="F865" t="s">
        <v>12</v>
      </c>
      <c r="G865" t="s">
        <v>12</v>
      </c>
      <c r="H865" t="s">
        <v>12</v>
      </c>
      <c r="I865" s="60">
        <v>5</v>
      </c>
      <c r="AD865" s="17">
        <v>863</v>
      </c>
      <c r="AE865" s="6">
        <v>3.0407000000000002</v>
      </c>
      <c r="AF865" s="19">
        <v>-0.80389999999999995</v>
      </c>
      <c r="AG865" s="6">
        <v>2.9278</v>
      </c>
      <c r="AH865" s="6">
        <v>255</v>
      </c>
      <c r="AJ865" s="17">
        <v>863</v>
      </c>
      <c r="AK865" s="6">
        <v>5.7658399999999999</v>
      </c>
      <c r="AL865" s="19">
        <v>-0.80389999999999995</v>
      </c>
      <c r="AM865" s="6">
        <v>2.9278</v>
      </c>
      <c r="AN865" s="6">
        <v>255</v>
      </c>
      <c r="AQ865" s="17">
        <v>863</v>
      </c>
      <c r="AR865" s="6">
        <v>1.6115900000000001</v>
      </c>
      <c r="AS865" s="6">
        <v>1.7593000000000001</v>
      </c>
      <c r="AT865" s="6">
        <v>0.81840000000000002</v>
      </c>
      <c r="AU865" s="6">
        <v>255</v>
      </c>
      <c r="AW865" s="17">
        <v>863</v>
      </c>
      <c r="AX865" s="6">
        <v>0.84989999999999999</v>
      </c>
      <c r="AY865" s="6">
        <v>1.7593000000000001</v>
      </c>
      <c r="AZ865" s="6">
        <v>0.81840000000000002</v>
      </c>
      <c r="BA865" s="6">
        <v>255</v>
      </c>
    </row>
    <row r="866" spans="1:53" x14ac:dyDescent="0.25">
      <c r="A866" s="62" t="s">
        <v>161</v>
      </c>
      <c r="B866" s="60">
        <v>2</v>
      </c>
      <c r="C866" s="60">
        <v>20</v>
      </c>
      <c r="D866" s="60">
        <v>4</v>
      </c>
      <c r="E866" s="60">
        <v>5</v>
      </c>
      <c r="F866" t="s">
        <v>12</v>
      </c>
      <c r="G866" t="s">
        <v>12</v>
      </c>
      <c r="H866" t="s">
        <v>12</v>
      </c>
      <c r="I866" s="60">
        <v>2</v>
      </c>
      <c r="AD866" s="17">
        <v>864</v>
      </c>
      <c r="AE866" s="6">
        <v>3.05396</v>
      </c>
      <c r="AF866" s="6">
        <v>1.1564000000000001</v>
      </c>
      <c r="AG866" s="6">
        <v>2.9405999999999999</v>
      </c>
      <c r="AH866" s="6">
        <v>255</v>
      </c>
      <c r="AJ866" s="17">
        <v>864</v>
      </c>
      <c r="AK866" s="6">
        <v>5.7909800000000002</v>
      </c>
      <c r="AL866" s="6">
        <v>1.1564000000000001</v>
      </c>
      <c r="AM866" s="6">
        <v>2.9405999999999999</v>
      </c>
      <c r="AN866" s="6">
        <v>255</v>
      </c>
      <c r="AQ866" s="17">
        <v>864</v>
      </c>
      <c r="AR866" s="6">
        <v>1.59565</v>
      </c>
      <c r="AS866" s="6">
        <v>1.6701999999999999</v>
      </c>
      <c r="AT866" s="6">
        <v>0.81030000000000002</v>
      </c>
      <c r="AU866" s="6">
        <v>255</v>
      </c>
      <c r="AW866" s="17">
        <v>864</v>
      </c>
      <c r="AX866" s="6">
        <v>0.84148999999999996</v>
      </c>
      <c r="AY866" s="6">
        <v>1.6701999999999999</v>
      </c>
      <c r="AZ866" s="6">
        <v>0.81030000000000002</v>
      </c>
      <c r="BA866" s="6">
        <v>255</v>
      </c>
    </row>
    <row r="867" spans="1:53" x14ac:dyDescent="0.25">
      <c r="A867" s="62" t="s">
        <v>161</v>
      </c>
      <c r="B867" s="60">
        <v>2</v>
      </c>
      <c r="C867" s="60">
        <v>19</v>
      </c>
      <c r="D867" s="60">
        <v>4</v>
      </c>
      <c r="E867" s="60">
        <v>26</v>
      </c>
      <c r="F867" t="s">
        <v>12</v>
      </c>
      <c r="G867" t="s">
        <v>12</v>
      </c>
      <c r="H867" t="s">
        <v>12</v>
      </c>
      <c r="I867" s="60">
        <v>4</v>
      </c>
      <c r="AD867" s="17">
        <v>865</v>
      </c>
      <c r="AE867" s="6">
        <v>3.0421900000000002</v>
      </c>
      <c r="AF867" s="19">
        <v>-6.9097</v>
      </c>
      <c r="AG867" s="6">
        <v>2.9293</v>
      </c>
      <c r="AH867" s="6">
        <v>255</v>
      </c>
      <c r="AJ867" s="17">
        <v>865</v>
      </c>
      <c r="AK867" s="6">
        <v>5.7686599999999997</v>
      </c>
      <c r="AL867" s="19">
        <v>-6.9097</v>
      </c>
      <c r="AM867" s="6">
        <v>2.9293</v>
      </c>
      <c r="AN867" s="6">
        <v>255</v>
      </c>
      <c r="AQ867" s="17">
        <v>865</v>
      </c>
      <c r="AR867" s="6">
        <v>1.5936600000000001</v>
      </c>
      <c r="AS867" s="6">
        <v>1.2593000000000001</v>
      </c>
      <c r="AT867" s="6">
        <v>0.80920000000000003</v>
      </c>
      <c r="AU867" s="6">
        <v>255</v>
      </c>
      <c r="AW867" s="17">
        <v>865</v>
      </c>
      <c r="AX867" s="6">
        <v>0.84043999999999996</v>
      </c>
      <c r="AY867" s="6">
        <v>1.2593000000000001</v>
      </c>
      <c r="AZ867" s="6">
        <v>0.80920000000000003</v>
      </c>
      <c r="BA867" s="6">
        <v>255</v>
      </c>
    </row>
    <row r="868" spans="1:53" x14ac:dyDescent="0.25">
      <c r="A868" s="62" t="s">
        <v>161</v>
      </c>
      <c r="B868" s="60">
        <v>2</v>
      </c>
      <c r="C868" s="60">
        <v>18</v>
      </c>
      <c r="D868" s="60">
        <v>4</v>
      </c>
      <c r="E868" s="60">
        <v>33</v>
      </c>
      <c r="F868" t="s">
        <v>12</v>
      </c>
      <c r="G868" t="s">
        <v>12</v>
      </c>
      <c r="H868" t="s">
        <v>12</v>
      </c>
      <c r="I868" s="60">
        <v>4</v>
      </c>
      <c r="AD868" s="17">
        <v>866</v>
      </c>
      <c r="AE868" s="6">
        <v>3.0364100000000001</v>
      </c>
      <c r="AF868" s="19">
        <v>-1.867</v>
      </c>
      <c r="AG868" s="6">
        <v>2.9237000000000002</v>
      </c>
      <c r="AH868" s="6">
        <v>255</v>
      </c>
      <c r="AJ868" s="17">
        <v>866</v>
      </c>
      <c r="AK868" s="6">
        <v>5.7576999999999998</v>
      </c>
      <c r="AL868" s="19">
        <v>-1.867</v>
      </c>
      <c r="AM868" s="6">
        <v>2.9237000000000002</v>
      </c>
      <c r="AN868" s="6">
        <v>255</v>
      </c>
      <c r="AQ868" s="17">
        <v>866</v>
      </c>
      <c r="AR868" s="6">
        <v>1.58572</v>
      </c>
      <c r="AS868" s="6">
        <v>1.5317000000000001</v>
      </c>
      <c r="AT868" s="6">
        <v>0.80520000000000003</v>
      </c>
      <c r="AU868" s="6">
        <v>255</v>
      </c>
      <c r="AW868" s="17">
        <v>866</v>
      </c>
      <c r="AX868" s="6">
        <v>0.83625000000000005</v>
      </c>
      <c r="AY868" s="6">
        <v>1.5317000000000001</v>
      </c>
      <c r="AZ868" s="6">
        <v>0.80520000000000003</v>
      </c>
      <c r="BA868" s="6">
        <v>255</v>
      </c>
    </row>
    <row r="869" spans="1:53" x14ac:dyDescent="0.25">
      <c r="A869" s="62" t="s">
        <v>161</v>
      </c>
      <c r="B869" s="60">
        <v>2</v>
      </c>
      <c r="C869" s="60">
        <v>17</v>
      </c>
      <c r="D869" s="60">
        <v>4</v>
      </c>
      <c r="E869" s="60">
        <v>43</v>
      </c>
      <c r="F869" t="s">
        <v>12</v>
      </c>
      <c r="G869" t="s">
        <v>12</v>
      </c>
      <c r="H869" t="s">
        <v>12</v>
      </c>
      <c r="I869" s="60">
        <v>3</v>
      </c>
      <c r="AD869" s="17">
        <v>867</v>
      </c>
      <c r="AE869" s="6">
        <v>3.0590099999999998</v>
      </c>
      <c r="AF869" s="6">
        <v>0.61040000000000005</v>
      </c>
      <c r="AG869" s="6">
        <v>2.9455</v>
      </c>
      <c r="AH869" s="6">
        <v>255</v>
      </c>
      <c r="AJ869" s="17">
        <v>867</v>
      </c>
      <c r="AK869" s="6">
        <v>5.8005599999999999</v>
      </c>
      <c r="AL869" s="6">
        <v>0.61040000000000005</v>
      </c>
      <c r="AM869" s="6">
        <v>2.9455</v>
      </c>
      <c r="AN869" s="6">
        <v>255</v>
      </c>
      <c r="AQ869" s="17">
        <v>867</v>
      </c>
      <c r="AR869" s="6">
        <v>1.5941000000000001</v>
      </c>
      <c r="AS869" s="6">
        <v>2.0554999999999999</v>
      </c>
      <c r="AT869" s="6">
        <v>0.8095</v>
      </c>
      <c r="AU869" s="6">
        <v>255</v>
      </c>
      <c r="AW869" s="17">
        <v>867</v>
      </c>
      <c r="AX869" s="6">
        <v>0.84067000000000003</v>
      </c>
      <c r="AY869" s="6">
        <v>2.0554999999999999</v>
      </c>
      <c r="AZ869" s="6">
        <v>0.8095</v>
      </c>
      <c r="BA869" s="6">
        <v>255</v>
      </c>
    </row>
    <row r="870" spans="1:53" x14ac:dyDescent="0.25">
      <c r="A870" s="62" t="s">
        <v>161</v>
      </c>
      <c r="B870" s="60">
        <v>2</v>
      </c>
      <c r="C870" s="60">
        <v>16</v>
      </c>
      <c r="D870" s="60">
        <v>4</v>
      </c>
      <c r="E870" s="60">
        <v>29</v>
      </c>
      <c r="F870" t="s">
        <v>12</v>
      </c>
      <c r="G870" t="s">
        <v>12</v>
      </c>
      <c r="H870" t="s">
        <v>12</v>
      </c>
      <c r="I870" s="60">
        <v>3</v>
      </c>
      <c r="AD870" s="17">
        <v>868</v>
      </c>
      <c r="AE870" s="6">
        <v>3.0474800000000002</v>
      </c>
      <c r="AF870" s="19">
        <v>-1.3089</v>
      </c>
      <c r="AG870" s="6">
        <v>2.9344000000000001</v>
      </c>
      <c r="AH870" s="6">
        <v>255</v>
      </c>
      <c r="AJ870" s="17">
        <v>868</v>
      </c>
      <c r="AK870" s="6">
        <v>5.7786900000000001</v>
      </c>
      <c r="AL870" s="19">
        <v>-1.3089</v>
      </c>
      <c r="AM870" s="6">
        <v>2.9344000000000001</v>
      </c>
      <c r="AN870" s="6">
        <v>255</v>
      </c>
      <c r="AQ870" s="17">
        <v>868</v>
      </c>
      <c r="AR870" s="6">
        <v>1.59012</v>
      </c>
      <c r="AS870" s="6">
        <v>0.87290000000000001</v>
      </c>
      <c r="AT870" s="6">
        <v>0.8075</v>
      </c>
      <c r="AU870" s="6">
        <v>255</v>
      </c>
      <c r="AW870" s="17">
        <v>868</v>
      </c>
      <c r="AX870" s="6">
        <v>0.83857999999999999</v>
      </c>
      <c r="AY870" s="6">
        <v>0.87290000000000001</v>
      </c>
      <c r="AZ870" s="6">
        <v>0.8075</v>
      </c>
      <c r="BA870" s="6">
        <v>255</v>
      </c>
    </row>
    <row r="871" spans="1:53" x14ac:dyDescent="0.25">
      <c r="A871" s="62" t="s">
        <v>161</v>
      </c>
      <c r="B871" s="60">
        <v>2</v>
      </c>
      <c r="C871" s="60">
        <v>15</v>
      </c>
      <c r="D871" s="60">
        <v>4</v>
      </c>
      <c r="E871" s="60">
        <v>1</v>
      </c>
      <c r="F871" t="s">
        <v>12</v>
      </c>
      <c r="G871" t="s">
        <v>12</v>
      </c>
      <c r="H871" t="s">
        <v>12</v>
      </c>
      <c r="I871" s="60">
        <v>3</v>
      </c>
      <c r="AD871" s="17">
        <v>869</v>
      </c>
      <c r="AE871" s="6">
        <v>3.0419200000000002</v>
      </c>
      <c r="AF871" s="6">
        <v>2.0769999999999999E-3</v>
      </c>
      <c r="AG871" s="6">
        <v>2.9289999999999998</v>
      </c>
      <c r="AH871" s="6">
        <v>255</v>
      </c>
      <c r="AJ871" s="17">
        <v>869</v>
      </c>
      <c r="AK871" s="6">
        <v>5.7681500000000003</v>
      </c>
      <c r="AL871" s="6">
        <v>2.0769999999999999E-3</v>
      </c>
      <c r="AM871" s="6">
        <v>2.9289999999999998</v>
      </c>
      <c r="AN871" s="6">
        <v>255</v>
      </c>
      <c r="AQ871" s="17">
        <v>869</v>
      </c>
      <c r="AR871" s="6">
        <v>1.5887800000000001</v>
      </c>
      <c r="AS871" s="6">
        <v>0.6845</v>
      </c>
      <c r="AT871" s="6">
        <v>0.80679999999999996</v>
      </c>
      <c r="AU871" s="6">
        <v>255</v>
      </c>
      <c r="AW871" s="17">
        <v>869</v>
      </c>
      <c r="AX871" s="6">
        <v>0.83787</v>
      </c>
      <c r="AY871" s="6">
        <v>0.6845</v>
      </c>
      <c r="AZ871" s="6">
        <v>0.80679999999999996</v>
      </c>
      <c r="BA871" s="6">
        <v>255</v>
      </c>
    </row>
    <row r="872" spans="1:53" x14ac:dyDescent="0.25">
      <c r="A872" s="62" t="s">
        <v>161</v>
      </c>
      <c r="B872" s="60">
        <v>2</v>
      </c>
      <c r="C872" s="60">
        <v>14</v>
      </c>
      <c r="D872" s="60">
        <v>4</v>
      </c>
      <c r="E872" s="60">
        <v>47</v>
      </c>
      <c r="F872" t="s">
        <v>12</v>
      </c>
      <c r="G872" t="s">
        <v>12</v>
      </c>
      <c r="H872" t="s">
        <v>12</v>
      </c>
      <c r="I872" s="60">
        <v>3</v>
      </c>
      <c r="AD872" s="17">
        <v>870</v>
      </c>
      <c r="AE872" s="6">
        <v>3.0299900000000002</v>
      </c>
      <c r="AF872" s="6">
        <v>1.8956999999999999</v>
      </c>
      <c r="AG872" s="6">
        <v>2.9175</v>
      </c>
      <c r="AH872" s="6">
        <v>255</v>
      </c>
      <c r="AJ872" s="17">
        <v>870</v>
      </c>
      <c r="AK872" s="6">
        <v>5.7455299999999996</v>
      </c>
      <c r="AL872" s="6">
        <v>1.8956999999999999</v>
      </c>
      <c r="AM872" s="6">
        <v>2.9175</v>
      </c>
      <c r="AN872" s="6">
        <v>255</v>
      </c>
      <c r="AQ872" s="17">
        <v>870</v>
      </c>
      <c r="AR872" s="6">
        <v>1.5849200000000001</v>
      </c>
      <c r="AS872" s="6">
        <v>1.6141000000000001</v>
      </c>
      <c r="AT872" s="6">
        <v>0.80479999999999996</v>
      </c>
      <c r="AU872" s="6">
        <v>255</v>
      </c>
      <c r="AW872" s="17">
        <v>870</v>
      </c>
      <c r="AX872" s="6">
        <v>0.83582999999999996</v>
      </c>
      <c r="AY872" s="6">
        <v>1.6141000000000001</v>
      </c>
      <c r="AZ872" s="6">
        <v>0.80479999999999996</v>
      </c>
      <c r="BA872" s="6">
        <v>255</v>
      </c>
    </row>
    <row r="873" spans="1:53" x14ac:dyDescent="0.25">
      <c r="A873" s="62" t="s">
        <v>161</v>
      </c>
      <c r="B873" s="60">
        <v>2</v>
      </c>
      <c r="C873" s="60">
        <v>13</v>
      </c>
      <c r="D873" s="60">
        <v>4</v>
      </c>
      <c r="E873" s="60">
        <v>22</v>
      </c>
      <c r="F873" t="s">
        <v>12</v>
      </c>
      <c r="G873" t="s">
        <v>12</v>
      </c>
      <c r="H873" t="s">
        <v>12</v>
      </c>
      <c r="I873" s="60">
        <v>4</v>
      </c>
      <c r="AD873" s="17">
        <v>871</v>
      </c>
      <c r="AE873" s="6">
        <v>3.05789</v>
      </c>
      <c r="AF873" s="19">
        <v>-4.2541000000000002</v>
      </c>
      <c r="AG873" s="6">
        <v>2.9443999999999999</v>
      </c>
      <c r="AH873" s="6">
        <v>255</v>
      </c>
      <c r="AJ873" s="17">
        <v>871</v>
      </c>
      <c r="AK873" s="6">
        <v>5.7984400000000003</v>
      </c>
      <c r="AL873" s="19">
        <v>-4.2541000000000002</v>
      </c>
      <c r="AM873" s="6">
        <v>2.9443999999999999</v>
      </c>
      <c r="AN873" s="6">
        <v>255</v>
      </c>
      <c r="AQ873" s="17">
        <v>871</v>
      </c>
      <c r="AR873" s="6">
        <v>1.5978600000000001</v>
      </c>
      <c r="AS873" s="19">
        <v>-0.75039999999999996</v>
      </c>
      <c r="AT873" s="6">
        <v>0.81140000000000001</v>
      </c>
      <c r="AU873" s="6">
        <v>255</v>
      </c>
      <c r="AW873" s="17">
        <v>871</v>
      </c>
      <c r="AX873" s="6">
        <v>0.84265000000000001</v>
      </c>
      <c r="AY873" s="19">
        <v>-0.75039999999999996</v>
      </c>
      <c r="AZ873" s="6">
        <v>0.81140000000000001</v>
      </c>
      <c r="BA873" s="6">
        <v>255</v>
      </c>
    </row>
    <row r="874" spans="1:53" x14ac:dyDescent="0.25">
      <c r="A874" s="62" t="s">
        <v>161</v>
      </c>
      <c r="B874" s="60">
        <v>2</v>
      </c>
      <c r="C874" s="60">
        <v>12</v>
      </c>
      <c r="D874" s="60">
        <v>4</v>
      </c>
      <c r="E874" s="60">
        <v>28</v>
      </c>
      <c r="F874" t="s">
        <v>12</v>
      </c>
      <c r="G874" t="s">
        <v>12</v>
      </c>
      <c r="H874" t="s">
        <v>12</v>
      </c>
      <c r="I874" s="60">
        <v>3</v>
      </c>
      <c r="AD874" s="17">
        <v>872</v>
      </c>
      <c r="AE874" s="6">
        <v>3.05111</v>
      </c>
      <c r="AF874" s="19">
        <v>-1.1291</v>
      </c>
      <c r="AG874" s="6">
        <v>2.9379</v>
      </c>
      <c r="AH874" s="6">
        <v>255</v>
      </c>
      <c r="AJ874" s="17">
        <v>872</v>
      </c>
      <c r="AK874" s="6">
        <v>5.7855699999999999</v>
      </c>
      <c r="AL874" s="19">
        <v>-1.1291</v>
      </c>
      <c r="AM874" s="6">
        <v>2.9379</v>
      </c>
      <c r="AN874" s="6">
        <v>255</v>
      </c>
      <c r="AQ874" s="17">
        <v>872</v>
      </c>
      <c r="AR874" s="6">
        <v>1.5886100000000001</v>
      </c>
      <c r="AS874" s="6">
        <v>1.6227</v>
      </c>
      <c r="AT874" s="6">
        <v>0.80669999999999997</v>
      </c>
      <c r="AU874" s="6">
        <v>255</v>
      </c>
      <c r="AW874" s="17">
        <v>872</v>
      </c>
      <c r="AX874" s="6">
        <v>0.83777999999999997</v>
      </c>
      <c r="AY874" s="6">
        <v>1.6227</v>
      </c>
      <c r="AZ874" s="6">
        <v>0.80669999999999997</v>
      </c>
      <c r="BA874" s="6">
        <v>255</v>
      </c>
    </row>
    <row r="875" spans="1:53" x14ac:dyDescent="0.25">
      <c r="A875" s="62" t="s">
        <v>161</v>
      </c>
      <c r="B875" s="60">
        <v>2</v>
      </c>
      <c r="C875" s="60">
        <v>11</v>
      </c>
      <c r="D875" s="60">
        <v>4</v>
      </c>
      <c r="E875" s="60">
        <v>9</v>
      </c>
      <c r="F875" t="s">
        <v>12</v>
      </c>
      <c r="G875" t="s">
        <v>12</v>
      </c>
      <c r="H875" t="s">
        <v>12</v>
      </c>
      <c r="I875" s="60">
        <v>3</v>
      </c>
      <c r="AD875" s="17">
        <v>873</v>
      </c>
      <c r="AE875" s="6">
        <v>3.0538400000000001</v>
      </c>
      <c r="AF875" s="6">
        <v>1.1886000000000001</v>
      </c>
      <c r="AG875" s="6">
        <v>2.9405000000000001</v>
      </c>
      <c r="AH875" s="6">
        <v>255</v>
      </c>
      <c r="AJ875" s="17">
        <v>873</v>
      </c>
      <c r="AK875" s="6">
        <v>5.7907599999999997</v>
      </c>
      <c r="AL875" s="6">
        <v>1.1886000000000001</v>
      </c>
      <c r="AM875" s="6">
        <v>2.9405000000000001</v>
      </c>
      <c r="AN875" s="6">
        <v>255</v>
      </c>
      <c r="AQ875" s="17">
        <v>873</v>
      </c>
      <c r="AR875" s="6">
        <v>1.59937</v>
      </c>
      <c r="AS875" s="6">
        <v>1.3552999999999999</v>
      </c>
      <c r="AT875" s="6">
        <v>0.81210000000000004</v>
      </c>
      <c r="AU875" s="6">
        <v>255</v>
      </c>
      <c r="AW875" s="17">
        <v>873</v>
      </c>
      <c r="AX875" s="6">
        <v>0.84345000000000003</v>
      </c>
      <c r="AY875" s="6">
        <v>1.3552999999999999</v>
      </c>
      <c r="AZ875" s="6">
        <v>0.81210000000000004</v>
      </c>
      <c r="BA875" s="6">
        <v>255</v>
      </c>
    </row>
    <row r="876" spans="1:53" x14ac:dyDescent="0.25">
      <c r="A876" s="62" t="s">
        <v>161</v>
      </c>
      <c r="B876" s="60">
        <v>2</v>
      </c>
      <c r="C876" s="60">
        <v>10</v>
      </c>
      <c r="D876" s="60">
        <v>4</v>
      </c>
      <c r="E876" s="60">
        <v>27</v>
      </c>
      <c r="F876" t="s">
        <v>12</v>
      </c>
      <c r="G876" t="s">
        <v>12</v>
      </c>
      <c r="H876" t="s">
        <v>12</v>
      </c>
      <c r="I876" s="60">
        <v>2</v>
      </c>
      <c r="AD876" s="17">
        <v>874</v>
      </c>
      <c r="AE876" s="6">
        <v>3.0523899999999999</v>
      </c>
      <c r="AF876" s="6">
        <v>1.0653999999999999</v>
      </c>
      <c r="AG876" s="6">
        <v>2.9390999999999998</v>
      </c>
      <c r="AH876" s="6">
        <v>255</v>
      </c>
      <c r="AJ876" s="17">
        <v>874</v>
      </c>
      <c r="AK876" s="6">
        <v>5.7880000000000003</v>
      </c>
      <c r="AL876" s="6">
        <v>1.0653999999999999</v>
      </c>
      <c r="AM876" s="6">
        <v>2.9390999999999998</v>
      </c>
      <c r="AN876" s="6">
        <v>255</v>
      </c>
      <c r="AQ876" s="17">
        <v>874</v>
      </c>
      <c r="AR876" s="6">
        <v>1.5966800000000001</v>
      </c>
      <c r="AS876" s="6">
        <v>1.6076999999999999</v>
      </c>
      <c r="AT876" s="6">
        <v>0.81079999999999997</v>
      </c>
      <c r="AU876" s="6">
        <v>255</v>
      </c>
      <c r="AW876" s="17">
        <v>874</v>
      </c>
      <c r="AX876" s="6">
        <v>0.84202999999999995</v>
      </c>
      <c r="AY876" s="6">
        <v>1.6076999999999999</v>
      </c>
      <c r="AZ876" s="6">
        <v>0.81079999999999997</v>
      </c>
      <c r="BA876" s="6">
        <v>255</v>
      </c>
    </row>
    <row r="877" spans="1:53" x14ac:dyDescent="0.25">
      <c r="A877" s="62" t="s">
        <v>161</v>
      </c>
      <c r="B877" s="60">
        <v>2</v>
      </c>
      <c r="C877" s="60">
        <v>9</v>
      </c>
      <c r="D877" s="60">
        <v>4</v>
      </c>
      <c r="E877" s="60">
        <v>2</v>
      </c>
      <c r="F877" t="s">
        <v>12</v>
      </c>
      <c r="G877" t="s">
        <v>12</v>
      </c>
      <c r="H877" t="s">
        <v>12</v>
      </c>
      <c r="I877" s="60">
        <v>4</v>
      </c>
      <c r="AD877" s="17">
        <v>875</v>
      </c>
      <c r="AE877" s="6">
        <v>3.0590299999999999</v>
      </c>
      <c r="AF877" s="19">
        <v>-2.4211999999999998</v>
      </c>
      <c r="AG877" s="6">
        <v>2.9455</v>
      </c>
      <c r="AH877" s="6">
        <v>255</v>
      </c>
      <c r="AJ877" s="17">
        <v>875</v>
      </c>
      <c r="AK877" s="6">
        <v>5.8005899999999997</v>
      </c>
      <c r="AL877" s="19">
        <v>-2.4211999999999998</v>
      </c>
      <c r="AM877" s="6">
        <v>2.9455</v>
      </c>
      <c r="AN877" s="6">
        <v>255</v>
      </c>
      <c r="AQ877" s="17">
        <v>875</v>
      </c>
      <c r="AR877" s="6">
        <v>1.5916999999999999</v>
      </c>
      <c r="AS877" s="6">
        <v>0.22689999999999999</v>
      </c>
      <c r="AT877" s="6">
        <v>0.80830000000000002</v>
      </c>
      <c r="AU877" s="6">
        <v>255</v>
      </c>
      <c r="AW877" s="17">
        <v>875</v>
      </c>
      <c r="AX877" s="6">
        <v>0.83940999999999999</v>
      </c>
      <c r="AY877" s="6">
        <v>0.22689999999999999</v>
      </c>
      <c r="AZ877" s="6">
        <v>0.80830000000000002</v>
      </c>
      <c r="BA877" s="6">
        <v>255</v>
      </c>
    </row>
    <row r="878" spans="1:53" x14ac:dyDescent="0.25">
      <c r="A878" s="62" t="s">
        <v>161</v>
      </c>
      <c r="B878" s="60">
        <v>2</v>
      </c>
      <c r="C878" s="60">
        <v>8</v>
      </c>
      <c r="D878" s="60">
        <v>4</v>
      </c>
      <c r="E878" s="60">
        <v>60</v>
      </c>
      <c r="F878" t="s">
        <v>12</v>
      </c>
      <c r="G878" t="s">
        <v>12</v>
      </c>
      <c r="H878" t="s">
        <v>12</v>
      </c>
      <c r="I878" s="60">
        <v>2</v>
      </c>
      <c r="AD878" s="17">
        <v>876</v>
      </c>
      <c r="AE878" s="6">
        <v>3.0391900000000001</v>
      </c>
      <c r="AF878" s="19">
        <v>-1.2335</v>
      </c>
      <c r="AG878" s="6">
        <v>2.9264000000000001</v>
      </c>
      <c r="AH878" s="6">
        <v>255</v>
      </c>
      <c r="AJ878" s="17">
        <v>876</v>
      </c>
      <c r="AK878" s="6">
        <v>5.7629799999999998</v>
      </c>
      <c r="AL878" s="19">
        <v>-1.2335</v>
      </c>
      <c r="AM878" s="6">
        <v>2.9264000000000001</v>
      </c>
      <c r="AN878" s="6">
        <v>255</v>
      </c>
      <c r="AQ878" s="17">
        <v>876</v>
      </c>
      <c r="AR878" s="6">
        <v>1.58789</v>
      </c>
      <c r="AS878" s="6">
        <v>0.59009999999999996</v>
      </c>
      <c r="AT878" s="6">
        <v>0.80630000000000002</v>
      </c>
      <c r="AU878" s="6">
        <v>255</v>
      </c>
      <c r="AW878" s="17">
        <v>876</v>
      </c>
      <c r="AX878" s="6">
        <v>0.83738999999999997</v>
      </c>
      <c r="AY878" s="6">
        <v>0.59009999999999996</v>
      </c>
      <c r="AZ878" s="6">
        <v>0.80630000000000002</v>
      </c>
      <c r="BA878" s="6">
        <v>255</v>
      </c>
    </row>
    <row r="879" spans="1:53" x14ac:dyDescent="0.25">
      <c r="A879" s="62" t="s">
        <v>161</v>
      </c>
      <c r="B879" s="60">
        <v>2</v>
      </c>
      <c r="C879" s="60">
        <v>7</v>
      </c>
      <c r="D879" s="60">
        <v>4</v>
      </c>
      <c r="E879" s="60">
        <v>32</v>
      </c>
      <c r="F879" t="s">
        <v>12</v>
      </c>
      <c r="G879" t="s">
        <v>12</v>
      </c>
      <c r="H879" t="s">
        <v>12</v>
      </c>
      <c r="I879" s="60">
        <v>5</v>
      </c>
      <c r="AD879" s="17">
        <v>877</v>
      </c>
      <c r="AE879" s="6">
        <v>3.0257999999999998</v>
      </c>
      <c r="AF879" s="19">
        <v>-0.66049999999999998</v>
      </c>
      <c r="AG879" s="6">
        <v>2.9135</v>
      </c>
      <c r="AH879" s="6">
        <v>255</v>
      </c>
      <c r="AJ879" s="17">
        <v>877</v>
      </c>
      <c r="AK879" s="6">
        <v>5.73759</v>
      </c>
      <c r="AL879" s="19">
        <v>-0.66049999999999998</v>
      </c>
      <c r="AM879" s="6">
        <v>2.9135</v>
      </c>
      <c r="AN879" s="6">
        <v>255</v>
      </c>
      <c r="AQ879" s="17">
        <v>877</v>
      </c>
      <c r="AR879" s="6">
        <v>1.5845899999999999</v>
      </c>
      <c r="AS879" s="6">
        <v>1.1255999999999999</v>
      </c>
      <c r="AT879" s="6">
        <v>0.80459999999999998</v>
      </c>
      <c r="AU879" s="6">
        <v>255</v>
      </c>
      <c r="AW879" s="17">
        <v>877</v>
      </c>
      <c r="AX879" s="6">
        <v>0.83565999999999996</v>
      </c>
      <c r="AY879" s="6">
        <v>1.1255999999999999</v>
      </c>
      <c r="AZ879" s="6">
        <v>0.80459999999999998</v>
      </c>
      <c r="BA879" s="6">
        <v>255</v>
      </c>
    </row>
    <row r="880" spans="1:53" x14ac:dyDescent="0.25">
      <c r="A880" s="62" t="s">
        <v>161</v>
      </c>
      <c r="B880" s="60">
        <v>2</v>
      </c>
      <c r="C880" s="60">
        <v>6</v>
      </c>
      <c r="D880" s="60">
        <v>4</v>
      </c>
      <c r="E880" s="60">
        <v>58</v>
      </c>
      <c r="F880" t="s">
        <v>12</v>
      </c>
      <c r="G880" t="s">
        <v>12</v>
      </c>
      <c r="H880" t="s">
        <v>12</v>
      </c>
      <c r="I880" s="60">
        <v>6</v>
      </c>
      <c r="AD880" s="17">
        <v>878</v>
      </c>
      <c r="AE880" s="6">
        <v>3.0375399999999999</v>
      </c>
      <c r="AF880" s="19">
        <v>-0.63729999999999998</v>
      </c>
      <c r="AG880" s="6">
        <v>2.9247999999999998</v>
      </c>
      <c r="AH880" s="6">
        <v>255</v>
      </c>
      <c r="AJ880" s="17">
        <v>878</v>
      </c>
      <c r="AK880" s="6">
        <v>5.7598500000000001</v>
      </c>
      <c r="AL880" s="19">
        <v>-0.63729999999999998</v>
      </c>
      <c r="AM880" s="6">
        <v>2.9247999999999998</v>
      </c>
      <c r="AN880" s="6">
        <v>255</v>
      </c>
      <c r="AQ880" s="17">
        <v>878</v>
      </c>
      <c r="AR880" s="6">
        <v>1.5878399999999999</v>
      </c>
      <c r="AS880" s="6">
        <v>1.5896999999999999</v>
      </c>
      <c r="AT880" s="6">
        <v>0.80630000000000002</v>
      </c>
      <c r="AU880" s="6">
        <v>255</v>
      </c>
      <c r="AW880" s="17">
        <v>878</v>
      </c>
      <c r="AX880" s="6">
        <v>0.83736999999999995</v>
      </c>
      <c r="AY880" s="6">
        <v>1.5896999999999999</v>
      </c>
      <c r="AZ880" s="6">
        <v>0.80630000000000002</v>
      </c>
      <c r="BA880" s="6">
        <v>255</v>
      </c>
    </row>
    <row r="881" spans="1:53" x14ac:dyDescent="0.25">
      <c r="A881" s="62" t="s">
        <v>161</v>
      </c>
      <c r="B881" s="60">
        <v>2</v>
      </c>
      <c r="C881" s="60">
        <v>5</v>
      </c>
      <c r="D881" s="60">
        <v>4</v>
      </c>
      <c r="E881" s="60">
        <v>31</v>
      </c>
      <c r="F881" t="s">
        <v>12</v>
      </c>
      <c r="G881" t="s">
        <v>12</v>
      </c>
      <c r="H881" t="s">
        <v>12</v>
      </c>
      <c r="I881" s="60">
        <v>2</v>
      </c>
      <c r="AD881" s="17">
        <v>879</v>
      </c>
      <c r="AE881" s="6">
        <v>3.0375000000000001</v>
      </c>
      <c r="AF881" s="19">
        <v>-1.6196999999999999</v>
      </c>
      <c r="AG881" s="6">
        <v>2.9247999999999998</v>
      </c>
      <c r="AH881" s="6">
        <v>255</v>
      </c>
      <c r="AJ881" s="17">
        <v>879</v>
      </c>
      <c r="AK881" s="6">
        <v>5.7597699999999996</v>
      </c>
      <c r="AL881" s="19">
        <v>-1.6196999999999999</v>
      </c>
      <c r="AM881" s="6">
        <v>2.9247999999999998</v>
      </c>
      <c r="AN881" s="6">
        <v>255</v>
      </c>
      <c r="AQ881" s="17">
        <v>879</v>
      </c>
      <c r="AR881" s="6">
        <v>1.5852200000000001</v>
      </c>
      <c r="AS881" s="6">
        <v>0.4753</v>
      </c>
      <c r="AT881" s="6">
        <v>0.80500000000000005</v>
      </c>
      <c r="AU881" s="6">
        <v>255</v>
      </c>
      <c r="AW881" s="17">
        <v>879</v>
      </c>
      <c r="AX881" s="6">
        <v>0.83599000000000001</v>
      </c>
      <c r="AY881" s="6">
        <v>0.4753</v>
      </c>
      <c r="AZ881" s="6">
        <v>0.80500000000000005</v>
      </c>
      <c r="BA881" s="6">
        <v>255</v>
      </c>
    </row>
    <row r="882" spans="1:53" x14ac:dyDescent="0.25">
      <c r="A882" s="62" t="s">
        <v>161</v>
      </c>
      <c r="B882" s="60">
        <v>2</v>
      </c>
      <c r="C882" s="60">
        <v>4</v>
      </c>
      <c r="D882" s="60">
        <v>4</v>
      </c>
      <c r="E882" s="60">
        <v>40</v>
      </c>
      <c r="F882" t="s">
        <v>12</v>
      </c>
      <c r="G882" t="s">
        <v>12</v>
      </c>
      <c r="H882" t="s">
        <v>12</v>
      </c>
      <c r="I882" s="60">
        <v>3</v>
      </c>
      <c r="AD882" s="17">
        <v>880</v>
      </c>
      <c r="AE882" s="6">
        <v>3.05538</v>
      </c>
      <c r="AF882" s="6">
        <v>5.97</v>
      </c>
      <c r="AG882" s="6">
        <v>2.9420000000000002</v>
      </c>
      <c r="AH882" s="6">
        <v>255</v>
      </c>
      <c r="AJ882" s="17">
        <v>880</v>
      </c>
      <c r="AK882" s="6">
        <v>5.7936800000000002</v>
      </c>
      <c r="AL882" s="6">
        <v>5.97</v>
      </c>
      <c r="AM882" s="6">
        <v>2.9420000000000002</v>
      </c>
      <c r="AN882" s="6">
        <v>255</v>
      </c>
      <c r="AQ882" s="17">
        <v>880</v>
      </c>
      <c r="AR882" s="6">
        <v>1.6018399999999999</v>
      </c>
      <c r="AS882" s="6">
        <v>1.8508</v>
      </c>
      <c r="AT882" s="6">
        <v>0.81340000000000001</v>
      </c>
      <c r="AU882" s="6">
        <v>255</v>
      </c>
      <c r="AW882" s="17">
        <v>880</v>
      </c>
      <c r="AX882" s="6">
        <v>0.84475</v>
      </c>
      <c r="AY882" s="6">
        <v>1.8508</v>
      </c>
      <c r="AZ882" s="6">
        <v>0.81340000000000001</v>
      </c>
      <c r="BA882" s="6">
        <v>255</v>
      </c>
    </row>
    <row r="883" spans="1:53" x14ac:dyDescent="0.25">
      <c r="A883" s="62" t="s">
        <v>161</v>
      </c>
      <c r="B883" s="60">
        <v>2</v>
      </c>
      <c r="C883" s="60">
        <v>3</v>
      </c>
      <c r="D883" s="60">
        <v>4</v>
      </c>
      <c r="E883" s="60">
        <v>45</v>
      </c>
      <c r="F883" t="s">
        <v>12</v>
      </c>
      <c r="G883" t="s">
        <v>12</v>
      </c>
      <c r="H883" t="s">
        <v>12</v>
      </c>
      <c r="I883" s="60">
        <v>4</v>
      </c>
      <c r="AD883" s="17">
        <v>881</v>
      </c>
      <c r="AE883" s="6">
        <v>3.0402</v>
      </c>
      <c r="AF883" s="19">
        <v>-7.0379999999999998E-2</v>
      </c>
      <c r="AG883" s="6">
        <v>2.9274</v>
      </c>
      <c r="AH883" s="6">
        <v>255</v>
      </c>
      <c r="AJ883" s="17">
        <v>881</v>
      </c>
      <c r="AK883" s="6">
        <v>5.7648900000000003</v>
      </c>
      <c r="AL883" s="19">
        <v>-7.0379999999999998E-2</v>
      </c>
      <c r="AM883" s="6">
        <v>2.9274</v>
      </c>
      <c r="AN883" s="6">
        <v>255</v>
      </c>
      <c r="AQ883" s="17">
        <v>881</v>
      </c>
      <c r="AR883" s="6">
        <v>1.5855999999999999</v>
      </c>
      <c r="AS883" s="6">
        <v>0.48139999999999999</v>
      </c>
      <c r="AT883" s="6">
        <v>0.80520000000000003</v>
      </c>
      <c r="AU883" s="6">
        <v>255</v>
      </c>
      <c r="AW883" s="17">
        <v>881</v>
      </c>
      <c r="AX883" s="6">
        <v>0.83618999999999999</v>
      </c>
      <c r="AY883" s="6">
        <v>0.48139999999999999</v>
      </c>
      <c r="AZ883" s="6">
        <v>0.80520000000000003</v>
      </c>
      <c r="BA883" s="6">
        <v>255</v>
      </c>
    </row>
    <row r="884" spans="1:53" x14ac:dyDescent="0.25">
      <c r="A884" s="62" t="s">
        <v>161</v>
      </c>
      <c r="B884" s="60">
        <v>2</v>
      </c>
      <c r="C884" s="60">
        <v>2</v>
      </c>
      <c r="D884" s="60">
        <v>4</v>
      </c>
      <c r="E884" s="60">
        <v>48</v>
      </c>
      <c r="F884" t="s">
        <v>12</v>
      </c>
      <c r="G884" t="s">
        <v>12</v>
      </c>
      <c r="H884" t="s">
        <v>12</v>
      </c>
      <c r="I884" s="60">
        <v>1</v>
      </c>
      <c r="AD884" s="17">
        <v>882</v>
      </c>
      <c r="AE884" s="6">
        <v>3.05036</v>
      </c>
      <c r="AF884" s="6">
        <v>8.6935000000000002</v>
      </c>
      <c r="AG884" s="6">
        <v>2.9371</v>
      </c>
      <c r="AH884" s="6">
        <v>255</v>
      </c>
      <c r="AJ884" s="17">
        <v>882</v>
      </c>
      <c r="AK884" s="6">
        <v>5.7841500000000003</v>
      </c>
      <c r="AL884" s="6">
        <v>8.6935000000000002</v>
      </c>
      <c r="AM884" s="6">
        <v>2.9371</v>
      </c>
      <c r="AN884" s="6">
        <v>255</v>
      </c>
      <c r="AQ884" s="17">
        <v>882</v>
      </c>
      <c r="AR884" s="6">
        <v>1.5986499999999999</v>
      </c>
      <c r="AS884" s="6">
        <v>2.9727999999999999</v>
      </c>
      <c r="AT884" s="6">
        <v>0.81179999999999997</v>
      </c>
      <c r="AU884" s="6">
        <v>255</v>
      </c>
      <c r="AW884" s="17">
        <v>882</v>
      </c>
      <c r="AX884" s="6">
        <v>0.84306999999999999</v>
      </c>
      <c r="AY884" s="6">
        <v>2.9727999999999999</v>
      </c>
      <c r="AZ884" s="6">
        <v>0.81179999999999997</v>
      </c>
      <c r="BA884" s="6">
        <v>255</v>
      </c>
    </row>
    <row r="885" spans="1:53" x14ac:dyDescent="0.25">
      <c r="A885" s="62" t="s">
        <v>161</v>
      </c>
      <c r="B885" s="60">
        <v>2</v>
      </c>
      <c r="C885" s="60">
        <v>1</v>
      </c>
      <c r="D885" s="60">
        <v>4</v>
      </c>
      <c r="E885" s="60">
        <v>57</v>
      </c>
      <c r="F885" t="s">
        <v>12</v>
      </c>
      <c r="G885" t="s">
        <v>12</v>
      </c>
      <c r="H885" t="s">
        <v>12</v>
      </c>
      <c r="I885" s="60">
        <v>4</v>
      </c>
      <c r="AD885" s="17">
        <v>883</v>
      </c>
      <c r="AE885" s="6">
        <v>3.0335700000000001</v>
      </c>
      <c r="AF885" s="6">
        <v>3.2631999999999999</v>
      </c>
      <c r="AG885" s="6">
        <v>2.9209999999999998</v>
      </c>
      <c r="AH885" s="6">
        <v>255</v>
      </c>
      <c r="AJ885" s="17">
        <v>883</v>
      </c>
      <c r="AK885" s="6">
        <v>5.7523200000000001</v>
      </c>
      <c r="AL885" s="6">
        <v>3.2631999999999999</v>
      </c>
      <c r="AM885" s="6">
        <v>2.9209999999999998</v>
      </c>
      <c r="AN885" s="6">
        <v>255</v>
      </c>
      <c r="AQ885" s="17">
        <v>883</v>
      </c>
      <c r="AR885" s="6">
        <v>1.5870299999999999</v>
      </c>
      <c r="AS885" s="6">
        <v>1.6322000000000001</v>
      </c>
      <c r="AT885" s="6">
        <v>0.80589999999999995</v>
      </c>
      <c r="AU885" s="6">
        <v>255</v>
      </c>
      <c r="AW885" s="17">
        <v>883</v>
      </c>
      <c r="AX885" s="6">
        <v>0.83694000000000002</v>
      </c>
      <c r="AY885" s="6">
        <v>1.6322000000000001</v>
      </c>
      <c r="AZ885" s="6">
        <v>0.80589999999999995</v>
      </c>
      <c r="BA885" s="6">
        <v>255</v>
      </c>
    </row>
    <row r="886" spans="1:53" x14ac:dyDescent="0.25">
      <c r="A886" s="62" t="s">
        <v>161</v>
      </c>
      <c r="B886" s="60">
        <v>3</v>
      </c>
      <c r="C886" s="60">
        <v>1</v>
      </c>
      <c r="D886" s="60">
        <v>5</v>
      </c>
      <c r="E886" s="60">
        <v>23</v>
      </c>
      <c r="F886" t="s">
        <v>12</v>
      </c>
      <c r="G886" t="s">
        <v>12</v>
      </c>
      <c r="H886" t="s">
        <v>12</v>
      </c>
      <c r="I886" s="60">
        <v>5</v>
      </c>
      <c r="AD886" s="17">
        <v>884</v>
      </c>
      <c r="AE886" s="6">
        <v>3.0466700000000002</v>
      </c>
      <c r="AF886" s="6">
        <v>1.0029999999999999</v>
      </c>
      <c r="AG886" s="6">
        <v>2.9336000000000002</v>
      </c>
      <c r="AH886" s="6">
        <v>255</v>
      </c>
      <c r="AJ886" s="17">
        <v>884</v>
      </c>
      <c r="AK886" s="6">
        <v>5.7771699999999999</v>
      </c>
      <c r="AL886" s="6">
        <v>1.0029999999999999</v>
      </c>
      <c r="AM886" s="6">
        <v>2.9336000000000002</v>
      </c>
      <c r="AN886" s="6">
        <v>255</v>
      </c>
      <c r="AQ886" s="17">
        <v>884</v>
      </c>
      <c r="AR886" s="6">
        <v>1.5943799999999999</v>
      </c>
      <c r="AS886" s="6">
        <v>1.8023</v>
      </c>
      <c r="AT886" s="6">
        <v>0.80959999999999999</v>
      </c>
      <c r="AU886" s="6">
        <v>255</v>
      </c>
      <c r="AW886" s="17">
        <v>884</v>
      </c>
      <c r="AX886" s="6">
        <v>0.84082000000000001</v>
      </c>
      <c r="AY886" s="6">
        <v>1.8023</v>
      </c>
      <c r="AZ886" s="6">
        <v>0.80959999999999999</v>
      </c>
      <c r="BA886" s="6">
        <v>255</v>
      </c>
    </row>
    <row r="887" spans="1:53" x14ac:dyDescent="0.25">
      <c r="A887" s="62" t="s">
        <v>161</v>
      </c>
      <c r="B887" s="60">
        <v>3</v>
      </c>
      <c r="C887" s="60">
        <v>2</v>
      </c>
      <c r="D887" s="60">
        <v>5</v>
      </c>
      <c r="E887" s="60">
        <v>17</v>
      </c>
      <c r="F887" t="s">
        <v>12</v>
      </c>
      <c r="G887" t="s">
        <v>12</v>
      </c>
      <c r="H887" t="s">
        <v>12</v>
      </c>
      <c r="I887" s="60">
        <v>6</v>
      </c>
      <c r="AD887" s="17">
        <v>885</v>
      </c>
      <c r="AE887" s="6">
        <v>3.04128</v>
      </c>
      <c r="AF887" s="6">
        <v>2.2534000000000001</v>
      </c>
      <c r="AG887" s="6">
        <v>2.9283999999999999</v>
      </c>
      <c r="AH887" s="6">
        <v>255</v>
      </c>
      <c r="AJ887" s="17">
        <v>885</v>
      </c>
      <c r="AK887" s="6">
        <v>5.7669300000000003</v>
      </c>
      <c r="AL887" s="6">
        <v>2.2534000000000001</v>
      </c>
      <c r="AM887" s="6">
        <v>2.9283999999999999</v>
      </c>
      <c r="AN887" s="6">
        <v>255</v>
      </c>
      <c r="AQ887" s="17">
        <v>885</v>
      </c>
      <c r="AR887" s="6">
        <v>1.59493</v>
      </c>
      <c r="AS887" s="6">
        <v>1.3889</v>
      </c>
      <c r="AT887" s="6">
        <v>0.80989999999999995</v>
      </c>
      <c r="AU887" s="6">
        <v>255</v>
      </c>
      <c r="AW887" s="17">
        <v>885</v>
      </c>
      <c r="AX887" s="6">
        <v>0.84111000000000002</v>
      </c>
      <c r="AY887" s="6">
        <v>1.3889</v>
      </c>
      <c r="AZ887" s="6">
        <v>0.80989999999999995</v>
      </c>
      <c r="BA887" s="6">
        <v>255</v>
      </c>
    </row>
    <row r="888" spans="1:53" x14ac:dyDescent="0.25">
      <c r="A888" s="62" t="s">
        <v>161</v>
      </c>
      <c r="B888" s="60">
        <v>3</v>
      </c>
      <c r="C888" s="60">
        <v>3</v>
      </c>
      <c r="D888" s="60">
        <v>5</v>
      </c>
      <c r="E888" s="60">
        <v>20</v>
      </c>
      <c r="F888" t="s">
        <v>12</v>
      </c>
      <c r="G888" t="s">
        <v>12</v>
      </c>
      <c r="H888" t="s">
        <v>12</v>
      </c>
      <c r="I888" s="60">
        <v>5</v>
      </c>
      <c r="AD888" s="17">
        <v>886</v>
      </c>
      <c r="AE888" s="6">
        <v>3.04684</v>
      </c>
      <c r="AF888" s="6">
        <v>1.9581999999999999</v>
      </c>
      <c r="AG888" s="6">
        <v>2.9338000000000002</v>
      </c>
      <c r="AH888" s="6">
        <v>255</v>
      </c>
      <c r="AJ888" s="17">
        <v>886</v>
      </c>
      <c r="AK888" s="6">
        <v>5.7774799999999997</v>
      </c>
      <c r="AL888" s="6">
        <v>1.9581999999999999</v>
      </c>
      <c r="AM888" s="6">
        <v>2.9338000000000002</v>
      </c>
      <c r="AN888" s="6">
        <v>255</v>
      </c>
      <c r="AQ888" s="17">
        <v>886</v>
      </c>
      <c r="AR888" s="6">
        <v>1.5984700000000001</v>
      </c>
      <c r="AS888" s="6">
        <v>0.16919999999999999</v>
      </c>
      <c r="AT888" s="6">
        <v>0.81169999999999998</v>
      </c>
      <c r="AU888" s="6">
        <v>255</v>
      </c>
      <c r="AW888" s="17">
        <v>886</v>
      </c>
      <c r="AX888" s="6">
        <v>0.84297999999999995</v>
      </c>
      <c r="AY888" s="6">
        <v>0.16919999999999999</v>
      </c>
      <c r="AZ888" s="6">
        <v>0.81169999999999998</v>
      </c>
      <c r="BA888" s="6">
        <v>255</v>
      </c>
    </row>
    <row r="889" spans="1:53" x14ac:dyDescent="0.25">
      <c r="A889" s="62" t="s">
        <v>161</v>
      </c>
      <c r="B889" s="60">
        <v>3</v>
      </c>
      <c r="C889" s="60">
        <v>4</v>
      </c>
      <c r="D889" s="60">
        <v>5</v>
      </c>
      <c r="E889" s="60">
        <v>3</v>
      </c>
      <c r="F889" t="s">
        <v>12</v>
      </c>
      <c r="G889" t="s">
        <v>12</v>
      </c>
      <c r="H889" t="s">
        <v>12</v>
      </c>
      <c r="I889" s="60">
        <v>2</v>
      </c>
      <c r="AD889" s="17">
        <v>887</v>
      </c>
      <c r="AE889" s="6">
        <v>3.0480700000000001</v>
      </c>
      <c r="AF889" s="6">
        <v>7.3963000000000001</v>
      </c>
      <c r="AG889" s="6">
        <v>2.9348999999999998</v>
      </c>
      <c r="AH889" s="6">
        <v>255</v>
      </c>
      <c r="AJ889" s="17">
        <v>887</v>
      </c>
      <c r="AK889" s="6">
        <v>5.7797999999999998</v>
      </c>
      <c r="AL889" s="6">
        <v>7.3963000000000001</v>
      </c>
      <c r="AM889" s="6">
        <v>2.9348999999999998</v>
      </c>
      <c r="AN889" s="6">
        <v>255</v>
      </c>
      <c r="AQ889" s="17">
        <v>887</v>
      </c>
      <c r="AR889" s="6">
        <v>1.5907800000000001</v>
      </c>
      <c r="AS889" s="6">
        <v>3.1063999999999998</v>
      </c>
      <c r="AT889" s="6">
        <v>0.80779999999999996</v>
      </c>
      <c r="AU889" s="6">
        <v>255</v>
      </c>
      <c r="AW889" s="17">
        <v>887</v>
      </c>
      <c r="AX889" s="6">
        <v>0.83892</v>
      </c>
      <c r="AY889" s="6">
        <v>3.1063999999999998</v>
      </c>
      <c r="AZ889" s="6">
        <v>0.80779999999999996</v>
      </c>
      <c r="BA889" s="6">
        <v>255</v>
      </c>
    </row>
    <row r="890" spans="1:53" x14ac:dyDescent="0.25">
      <c r="A890" s="62" t="s">
        <v>161</v>
      </c>
      <c r="B890" s="60">
        <v>3</v>
      </c>
      <c r="C890" s="60">
        <v>5</v>
      </c>
      <c r="D890" s="60">
        <v>5</v>
      </c>
      <c r="E890" s="60">
        <v>21</v>
      </c>
      <c r="F890" t="s">
        <v>12</v>
      </c>
      <c r="G890" t="s">
        <v>12</v>
      </c>
      <c r="H890" t="s">
        <v>12</v>
      </c>
      <c r="I890" s="60">
        <v>3</v>
      </c>
      <c r="AD890" s="17">
        <v>888</v>
      </c>
      <c r="AE890" s="6">
        <v>3.04338</v>
      </c>
      <c r="AF890" s="6">
        <v>4.2506000000000004</v>
      </c>
      <c r="AG890" s="6">
        <v>2.9304000000000001</v>
      </c>
      <c r="AH890" s="6">
        <v>255</v>
      </c>
      <c r="AJ890" s="17">
        <v>888</v>
      </c>
      <c r="AK890" s="6">
        <v>5.7709099999999998</v>
      </c>
      <c r="AL890" s="6">
        <v>4.2506000000000004</v>
      </c>
      <c r="AM890" s="6">
        <v>2.9304000000000001</v>
      </c>
      <c r="AN890" s="6">
        <v>255</v>
      </c>
      <c r="AQ890" s="17">
        <v>888</v>
      </c>
      <c r="AR890" s="6">
        <v>1.5865800000000001</v>
      </c>
      <c r="AS890" s="6">
        <v>2.9601000000000002</v>
      </c>
      <c r="AT890" s="6">
        <v>0.80569999999999997</v>
      </c>
      <c r="AU890" s="6">
        <v>255</v>
      </c>
      <c r="AW890" s="17">
        <v>888</v>
      </c>
      <c r="AX890" s="6">
        <v>0.83670999999999995</v>
      </c>
      <c r="AY890" s="6">
        <v>2.9601000000000002</v>
      </c>
      <c r="AZ890" s="6">
        <v>0.80569999999999997</v>
      </c>
      <c r="BA890" s="6">
        <v>255</v>
      </c>
    </row>
    <row r="891" spans="1:53" x14ac:dyDescent="0.25">
      <c r="A891" s="62" t="s">
        <v>161</v>
      </c>
      <c r="B891" s="60">
        <v>3</v>
      </c>
      <c r="C891" s="60">
        <v>6</v>
      </c>
      <c r="D891" s="60">
        <v>5</v>
      </c>
      <c r="E891" s="60">
        <v>30</v>
      </c>
      <c r="F891" t="s">
        <v>12</v>
      </c>
      <c r="G891" t="s">
        <v>12</v>
      </c>
      <c r="H891" t="s">
        <v>12</v>
      </c>
      <c r="I891" s="60">
        <v>2</v>
      </c>
      <c r="AD891" s="17">
        <v>889</v>
      </c>
      <c r="AE891" s="6">
        <v>3.0388500000000001</v>
      </c>
      <c r="AF891" s="6">
        <v>2.4958999999999998</v>
      </c>
      <c r="AG891" s="6">
        <v>2.9260999999999999</v>
      </c>
      <c r="AH891" s="6">
        <v>255</v>
      </c>
      <c r="AJ891" s="17">
        <v>889</v>
      </c>
      <c r="AK891" s="6">
        <v>5.7623300000000004</v>
      </c>
      <c r="AL891" s="6">
        <v>2.4958999999999998</v>
      </c>
      <c r="AM891" s="6">
        <v>2.9260999999999999</v>
      </c>
      <c r="AN891" s="6">
        <v>255</v>
      </c>
      <c r="AQ891" s="17">
        <v>889</v>
      </c>
      <c r="AR891" s="6">
        <v>1.5876600000000001</v>
      </c>
      <c r="AS891" s="6">
        <v>2.5028000000000001</v>
      </c>
      <c r="AT891" s="6">
        <v>0.80620000000000003</v>
      </c>
      <c r="AU891" s="6">
        <v>255</v>
      </c>
      <c r="AW891" s="17">
        <v>889</v>
      </c>
      <c r="AX891" s="6">
        <v>0.83728000000000002</v>
      </c>
      <c r="AY891" s="6">
        <v>2.5028000000000001</v>
      </c>
      <c r="AZ891" s="6">
        <v>0.80620000000000003</v>
      </c>
      <c r="BA891" s="6">
        <v>255</v>
      </c>
    </row>
    <row r="892" spans="1:53" x14ac:dyDescent="0.25">
      <c r="A892" s="62" t="s">
        <v>161</v>
      </c>
      <c r="B892" s="60">
        <v>3</v>
      </c>
      <c r="C892" s="60">
        <v>7</v>
      </c>
      <c r="D892" s="60">
        <v>5</v>
      </c>
      <c r="E892" s="60">
        <v>28</v>
      </c>
      <c r="F892" t="s">
        <v>12</v>
      </c>
      <c r="G892" t="s">
        <v>12</v>
      </c>
      <c r="H892" t="s">
        <v>12</v>
      </c>
      <c r="I892" s="60">
        <v>5</v>
      </c>
      <c r="AD892" s="17">
        <v>890</v>
      </c>
      <c r="AE892" s="6">
        <v>3.0540699999999998</v>
      </c>
      <c r="AF892" s="6">
        <v>6.2172000000000001</v>
      </c>
      <c r="AG892" s="6">
        <v>2.9407000000000001</v>
      </c>
      <c r="AH892" s="6">
        <v>255</v>
      </c>
      <c r="AJ892" s="17">
        <v>890</v>
      </c>
      <c r="AK892" s="6">
        <v>5.7911799999999998</v>
      </c>
      <c r="AL892" s="6">
        <v>6.2172000000000001</v>
      </c>
      <c r="AM892" s="6">
        <v>2.9407000000000001</v>
      </c>
      <c r="AN892" s="6">
        <v>255</v>
      </c>
      <c r="AQ892" s="17">
        <v>890</v>
      </c>
      <c r="AR892" s="6">
        <v>1.59575</v>
      </c>
      <c r="AS892" s="6">
        <v>1.8189</v>
      </c>
      <c r="AT892" s="6">
        <v>0.81030000000000002</v>
      </c>
      <c r="AU892" s="6">
        <v>255</v>
      </c>
      <c r="AW892" s="17">
        <v>890</v>
      </c>
      <c r="AX892" s="6">
        <v>0.84153999999999995</v>
      </c>
      <c r="AY892" s="6">
        <v>1.8189</v>
      </c>
      <c r="AZ892" s="6">
        <v>0.81030000000000002</v>
      </c>
      <c r="BA892" s="6">
        <v>255</v>
      </c>
    </row>
    <row r="893" spans="1:53" x14ac:dyDescent="0.25">
      <c r="A893" s="62" t="s">
        <v>161</v>
      </c>
      <c r="B893" s="60">
        <v>3</v>
      </c>
      <c r="C893" s="60">
        <v>8</v>
      </c>
      <c r="D893" s="60">
        <v>5</v>
      </c>
      <c r="E893" s="60">
        <v>15</v>
      </c>
      <c r="F893" t="s">
        <v>12</v>
      </c>
      <c r="G893" t="s">
        <v>12</v>
      </c>
      <c r="H893" t="s">
        <v>12</v>
      </c>
      <c r="I893" s="60">
        <v>4</v>
      </c>
      <c r="AD893" s="17">
        <v>891</v>
      </c>
      <c r="AE893" s="6">
        <v>3.0454300000000001</v>
      </c>
      <c r="AF893" s="6">
        <v>14.7211</v>
      </c>
      <c r="AG893" s="6">
        <v>2.9323999999999999</v>
      </c>
      <c r="AH893" s="6">
        <v>255</v>
      </c>
      <c r="AJ893" s="17">
        <v>891</v>
      </c>
      <c r="AK893" s="6">
        <v>5.7748100000000004</v>
      </c>
      <c r="AL893" s="6">
        <v>14.7211</v>
      </c>
      <c r="AM893" s="6">
        <v>2.9323999999999999</v>
      </c>
      <c r="AN893" s="6">
        <v>255</v>
      </c>
      <c r="AQ893" s="17">
        <v>891</v>
      </c>
      <c r="AR893" s="6">
        <v>1.5959099999999999</v>
      </c>
      <c r="AS893" s="6">
        <v>4.7275</v>
      </c>
      <c r="AT893" s="6">
        <v>0.81040000000000001</v>
      </c>
      <c r="AU893" s="6">
        <v>255</v>
      </c>
      <c r="AW893" s="17">
        <v>891</v>
      </c>
      <c r="AX893" s="6">
        <v>0.84162999999999999</v>
      </c>
      <c r="AY893" s="6">
        <v>4.7275</v>
      </c>
      <c r="AZ893" s="6">
        <v>0.81040000000000001</v>
      </c>
      <c r="BA893" s="6">
        <v>255</v>
      </c>
    </row>
    <row r="894" spans="1:53" x14ac:dyDescent="0.25">
      <c r="A894" s="62" t="s">
        <v>161</v>
      </c>
      <c r="B894" s="60">
        <v>3</v>
      </c>
      <c r="C894" s="60">
        <v>9</v>
      </c>
      <c r="D894" s="60">
        <v>5</v>
      </c>
      <c r="E894" s="60">
        <v>45</v>
      </c>
      <c r="F894" t="s">
        <v>12</v>
      </c>
      <c r="G894" t="s">
        <v>12</v>
      </c>
      <c r="H894" t="s">
        <v>12</v>
      </c>
      <c r="I894" s="60">
        <v>5</v>
      </c>
      <c r="AD894" s="17">
        <v>892</v>
      </c>
      <c r="AE894" s="6">
        <v>3.04996</v>
      </c>
      <c r="AF894" s="19">
        <v>-2.4822000000000002</v>
      </c>
      <c r="AG894" s="6">
        <v>2.9367999999999999</v>
      </c>
      <c r="AH894" s="6">
        <v>255</v>
      </c>
      <c r="AJ894" s="17">
        <v>892</v>
      </c>
      <c r="AK894" s="6">
        <v>5.7834000000000003</v>
      </c>
      <c r="AL894" s="19">
        <v>-2.4822000000000002</v>
      </c>
      <c r="AM894" s="6">
        <v>2.9367999999999999</v>
      </c>
      <c r="AN894" s="6">
        <v>255</v>
      </c>
      <c r="AQ894" s="17">
        <v>892</v>
      </c>
      <c r="AR894" s="6">
        <v>1.62476</v>
      </c>
      <c r="AS894" s="6">
        <v>1.3785000000000001</v>
      </c>
      <c r="AT894" s="6">
        <v>0.82499999999999996</v>
      </c>
      <c r="AU894" s="6">
        <v>255</v>
      </c>
      <c r="AW894" s="17">
        <v>892</v>
      </c>
      <c r="AX894" s="6">
        <v>0.85684000000000005</v>
      </c>
      <c r="AY894" s="6">
        <v>1.3785000000000001</v>
      </c>
      <c r="AZ894" s="6">
        <v>0.82499999999999996</v>
      </c>
      <c r="BA894" s="6">
        <v>255</v>
      </c>
    </row>
    <row r="895" spans="1:53" x14ac:dyDescent="0.25">
      <c r="A895" s="62" t="s">
        <v>161</v>
      </c>
      <c r="B895" s="60">
        <v>3</v>
      </c>
      <c r="C895" s="60">
        <v>10</v>
      </c>
      <c r="D895" s="60">
        <v>5</v>
      </c>
      <c r="E895" s="60">
        <v>11</v>
      </c>
      <c r="F895" t="s">
        <v>12</v>
      </c>
      <c r="G895" t="s">
        <v>12</v>
      </c>
      <c r="H895" t="s">
        <v>12</v>
      </c>
      <c r="I895" s="60">
        <v>6</v>
      </c>
      <c r="AD895" s="17">
        <v>893</v>
      </c>
      <c r="AE895" s="6">
        <v>3.0565600000000002</v>
      </c>
      <c r="AF895" s="19">
        <v>-0.52190000000000003</v>
      </c>
      <c r="AG895" s="6">
        <v>2.9430999999999998</v>
      </c>
      <c r="AH895" s="6">
        <v>255</v>
      </c>
      <c r="AJ895" s="17">
        <v>893</v>
      </c>
      <c r="AK895" s="6">
        <v>5.7959100000000001</v>
      </c>
      <c r="AL895" s="19">
        <v>-0.52190000000000003</v>
      </c>
      <c r="AM895" s="6">
        <v>2.9430999999999998</v>
      </c>
      <c r="AN895" s="6">
        <v>255</v>
      </c>
      <c r="AQ895" s="17">
        <v>893</v>
      </c>
      <c r="AR895" s="6">
        <v>1.60494</v>
      </c>
      <c r="AS895" s="6">
        <v>1.2892999999999999</v>
      </c>
      <c r="AT895" s="6">
        <v>0.81499999999999995</v>
      </c>
      <c r="AU895" s="6">
        <v>255</v>
      </c>
      <c r="AW895" s="17">
        <v>893</v>
      </c>
      <c r="AX895" s="6">
        <v>0.84638999999999998</v>
      </c>
      <c r="AY895" s="6">
        <v>1.2892999999999999</v>
      </c>
      <c r="AZ895" s="6">
        <v>0.81499999999999995</v>
      </c>
      <c r="BA895" s="6">
        <v>255</v>
      </c>
    </row>
    <row r="896" spans="1:53" x14ac:dyDescent="0.25">
      <c r="A896" s="62" t="s">
        <v>161</v>
      </c>
      <c r="B896" s="60">
        <v>3</v>
      </c>
      <c r="C896" s="60">
        <v>11</v>
      </c>
      <c r="D896" s="60">
        <v>5</v>
      </c>
      <c r="E896" s="60">
        <v>37</v>
      </c>
      <c r="F896" t="s">
        <v>12</v>
      </c>
      <c r="G896" t="s">
        <v>12</v>
      </c>
      <c r="H896" t="s">
        <v>12</v>
      </c>
      <c r="I896" s="60">
        <v>5</v>
      </c>
      <c r="AD896" s="17">
        <v>894</v>
      </c>
      <c r="AE896" s="6">
        <v>3.0598999999999998</v>
      </c>
      <c r="AF896" s="19">
        <v>-8.5879999999999992</v>
      </c>
      <c r="AG896" s="6">
        <v>2.9462999999999999</v>
      </c>
      <c r="AH896" s="6">
        <v>255</v>
      </c>
      <c r="AJ896" s="17">
        <v>894</v>
      </c>
      <c r="AK896" s="6">
        <v>5.8022499999999999</v>
      </c>
      <c r="AL896" s="19">
        <v>-8.5879999999999992</v>
      </c>
      <c r="AM896" s="6">
        <v>2.9462999999999999</v>
      </c>
      <c r="AN896" s="6">
        <v>255</v>
      </c>
      <c r="AQ896" s="17">
        <v>894</v>
      </c>
      <c r="AR896" s="6">
        <v>1.6064499999999999</v>
      </c>
      <c r="AS896" s="6">
        <v>0.87839999999999996</v>
      </c>
      <c r="AT896" s="6">
        <v>0.81569999999999998</v>
      </c>
      <c r="AU896" s="6">
        <v>255</v>
      </c>
      <c r="AW896" s="17">
        <v>894</v>
      </c>
      <c r="AX896" s="6">
        <v>0.84719</v>
      </c>
      <c r="AY896" s="6">
        <v>0.87839999999999996</v>
      </c>
      <c r="AZ896" s="6">
        <v>0.81569999999999998</v>
      </c>
      <c r="BA896" s="6">
        <v>255</v>
      </c>
    </row>
    <row r="897" spans="1:53" x14ac:dyDescent="0.25">
      <c r="A897" s="62" t="s">
        <v>161</v>
      </c>
      <c r="B897" s="60">
        <v>3</v>
      </c>
      <c r="C897" s="60">
        <v>12</v>
      </c>
      <c r="D897" s="60">
        <v>5</v>
      </c>
      <c r="E897" s="60">
        <v>58</v>
      </c>
      <c r="F897" t="s">
        <v>12</v>
      </c>
      <c r="G897" t="s">
        <v>12</v>
      </c>
      <c r="H897" t="s">
        <v>12</v>
      </c>
      <c r="I897" s="60">
        <v>6</v>
      </c>
      <c r="AD897" s="17">
        <v>895</v>
      </c>
      <c r="AE897" s="6">
        <v>3.0447899999999999</v>
      </c>
      <c r="AF897" s="19">
        <v>-3.5451999999999999</v>
      </c>
      <c r="AG897" s="6">
        <v>2.9318</v>
      </c>
      <c r="AH897" s="6">
        <v>255</v>
      </c>
      <c r="AJ897" s="17">
        <v>895</v>
      </c>
      <c r="AK897" s="6">
        <v>5.7735900000000004</v>
      </c>
      <c r="AL897" s="19">
        <v>-3.5451999999999999</v>
      </c>
      <c r="AM897" s="6">
        <v>2.9318</v>
      </c>
      <c r="AN897" s="6">
        <v>255</v>
      </c>
      <c r="AQ897" s="17">
        <v>895</v>
      </c>
      <c r="AR897" s="6">
        <v>1.5981099999999999</v>
      </c>
      <c r="AS897" s="6">
        <v>1.1508</v>
      </c>
      <c r="AT897" s="6">
        <v>0.8115</v>
      </c>
      <c r="AU897" s="6">
        <v>255</v>
      </c>
      <c r="AW897" s="17">
        <v>895</v>
      </c>
      <c r="AX897" s="6">
        <v>0.84279000000000004</v>
      </c>
      <c r="AY897" s="6">
        <v>1.1508</v>
      </c>
      <c r="AZ897" s="6">
        <v>0.8115</v>
      </c>
      <c r="BA897" s="6">
        <v>255</v>
      </c>
    </row>
    <row r="898" spans="1:53" x14ac:dyDescent="0.25">
      <c r="A898" s="62" t="s">
        <v>161</v>
      </c>
      <c r="B898" s="60">
        <v>3</v>
      </c>
      <c r="C898" s="60">
        <v>13</v>
      </c>
      <c r="D898" s="60">
        <v>5</v>
      </c>
      <c r="E898" s="60">
        <v>13</v>
      </c>
      <c r="F898" t="s">
        <v>12</v>
      </c>
      <c r="G898" t="s">
        <v>12</v>
      </c>
      <c r="H898" t="s">
        <v>12</v>
      </c>
      <c r="I898" s="60">
        <v>3</v>
      </c>
      <c r="AD898" s="17">
        <v>896</v>
      </c>
      <c r="AE898" s="6">
        <v>3.0473699999999999</v>
      </c>
      <c r="AF898" s="19">
        <v>-1.0679000000000001</v>
      </c>
      <c r="AG898" s="6">
        <v>2.9342999999999999</v>
      </c>
      <c r="AH898" s="6">
        <v>255</v>
      </c>
      <c r="AJ898" s="17">
        <v>896</v>
      </c>
      <c r="AK898" s="6">
        <v>5.7784800000000001</v>
      </c>
      <c r="AL898" s="19">
        <v>-1.0679000000000001</v>
      </c>
      <c r="AM898" s="6">
        <v>2.9342999999999999</v>
      </c>
      <c r="AN898" s="6">
        <v>255</v>
      </c>
      <c r="AQ898" s="17">
        <v>896</v>
      </c>
      <c r="AR898" s="6">
        <v>1.5984700000000001</v>
      </c>
      <c r="AS898" s="6">
        <v>1.6747000000000001</v>
      </c>
      <c r="AT898" s="6">
        <v>0.81169999999999998</v>
      </c>
      <c r="AU898" s="6">
        <v>255</v>
      </c>
      <c r="AW898" s="17">
        <v>896</v>
      </c>
      <c r="AX898" s="6">
        <v>0.84297999999999995</v>
      </c>
      <c r="AY898" s="6">
        <v>1.6747000000000001</v>
      </c>
      <c r="AZ898" s="6">
        <v>0.81169999999999998</v>
      </c>
      <c r="BA898" s="6">
        <v>255</v>
      </c>
    </row>
    <row r="899" spans="1:53" x14ac:dyDescent="0.25">
      <c r="A899" s="62" t="s">
        <v>161</v>
      </c>
      <c r="B899" s="60">
        <v>3</v>
      </c>
      <c r="C899" s="60">
        <v>14</v>
      </c>
      <c r="D899" s="60">
        <v>5</v>
      </c>
      <c r="E899" s="60">
        <v>1</v>
      </c>
      <c r="F899" t="s">
        <v>12</v>
      </c>
      <c r="G899" t="s">
        <v>12</v>
      </c>
      <c r="H899" t="s">
        <v>12</v>
      </c>
      <c r="I899" s="60">
        <v>4</v>
      </c>
      <c r="AD899" s="17">
        <v>897</v>
      </c>
      <c r="AE899" s="6">
        <v>3.04948</v>
      </c>
      <c r="AF899" s="19">
        <v>-2.9872000000000001</v>
      </c>
      <c r="AG899" s="6">
        <v>2.9363000000000001</v>
      </c>
      <c r="AH899" s="6">
        <v>255</v>
      </c>
      <c r="AJ899" s="17">
        <v>897</v>
      </c>
      <c r="AK899" s="6">
        <v>5.7824900000000001</v>
      </c>
      <c r="AL899" s="19">
        <v>-2.9872000000000001</v>
      </c>
      <c r="AM899" s="6">
        <v>2.9363000000000001</v>
      </c>
      <c r="AN899" s="6">
        <v>255</v>
      </c>
      <c r="AQ899" s="17">
        <v>897</v>
      </c>
      <c r="AR899" s="6">
        <v>1.5987199999999999</v>
      </c>
      <c r="AS899" s="6">
        <v>0.49199999999999999</v>
      </c>
      <c r="AT899" s="6">
        <v>0.81179999999999997</v>
      </c>
      <c r="AU899" s="6">
        <v>255</v>
      </c>
      <c r="AW899" s="17">
        <v>897</v>
      </c>
      <c r="AX899" s="6">
        <v>0.84311000000000003</v>
      </c>
      <c r="AY899" s="6">
        <v>0.49199999999999999</v>
      </c>
      <c r="AZ899" s="6">
        <v>0.81179999999999997</v>
      </c>
      <c r="BA899" s="6">
        <v>255</v>
      </c>
    </row>
    <row r="900" spans="1:53" x14ac:dyDescent="0.25">
      <c r="A900" s="62" t="s">
        <v>161</v>
      </c>
      <c r="B900" s="60">
        <v>3</v>
      </c>
      <c r="C900" s="60">
        <v>15</v>
      </c>
      <c r="D900" s="60">
        <v>5</v>
      </c>
      <c r="E900" s="60">
        <v>48</v>
      </c>
      <c r="F900" t="s">
        <v>12</v>
      </c>
      <c r="G900" t="s">
        <v>12</v>
      </c>
      <c r="H900" t="s">
        <v>12</v>
      </c>
      <c r="I900" s="60">
        <v>2</v>
      </c>
      <c r="AD900" s="17">
        <v>898</v>
      </c>
      <c r="AE900" s="6">
        <v>3.0552000000000001</v>
      </c>
      <c r="AF900" s="19">
        <v>-1.6761999999999999</v>
      </c>
      <c r="AG900" s="6">
        <v>2.9418000000000002</v>
      </c>
      <c r="AH900" s="6">
        <v>255</v>
      </c>
      <c r="AJ900" s="17">
        <v>898</v>
      </c>
      <c r="AK900" s="6">
        <v>5.7933399999999997</v>
      </c>
      <c r="AL900" s="19">
        <v>-1.6761999999999999</v>
      </c>
      <c r="AM900" s="6">
        <v>2.9418000000000002</v>
      </c>
      <c r="AN900" s="6">
        <v>255</v>
      </c>
      <c r="AQ900" s="17">
        <v>898</v>
      </c>
      <c r="AR900" s="6">
        <v>1.60334</v>
      </c>
      <c r="AS900" s="6">
        <v>0.30370000000000003</v>
      </c>
      <c r="AT900" s="6">
        <v>0.81420000000000003</v>
      </c>
      <c r="AU900" s="6">
        <v>255</v>
      </c>
      <c r="AW900" s="17">
        <v>898</v>
      </c>
      <c r="AX900" s="6">
        <v>0.84555000000000002</v>
      </c>
      <c r="AY900" s="6">
        <v>0.30370000000000003</v>
      </c>
      <c r="AZ900" s="6">
        <v>0.81420000000000003</v>
      </c>
      <c r="BA900" s="6">
        <v>255</v>
      </c>
    </row>
    <row r="901" spans="1:53" x14ac:dyDescent="0.25">
      <c r="A901" s="62" t="s">
        <v>161</v>
      </c>
      <c r="B901" s="60">
        <v>3</v>
      </c>
      <c r="C901" s="60">
        <v>16</v>
      </c>
      <c r="D901" s="60">
        <v>5</v>
      </c>
      <c r="E901" s="60">
        <v>4</v>
      </c>
      <c r="F901" t="s">
        <v>12</v>
      </c>
      <c r="G901" t="s">
        <v>12</v>
      </c>
      <c r="H901" t="s">
        <v>12</v>
      </c>
      <c r="I901" s="60">
        <v>2</v>
      </c>
      <c r="AD901" s="17">
        <v>899</v>
      </c>
      <c r="AE901" s="6">
        <v>3.0474600000000001</v>
      </c>
      <c r="AF901" s="6">
        <v>0.2175</v>
      </c>
      <c r="AG901" s="6">
        <v>2.9344000000000001</v>
      </c>
      <c r="AH901" s="6">
        <v>255</v>
      </c>
      <c r="AJ901" s="17">
        <v>899</v>
      </c>
      <c r="AK901" s="6">
        <v>5.7786600000000004</v>
      </c>
      <c r="AL901" s="6">
        <v>0.2175</v>
      </c>
      <c r="AM901" s="6">
        <v>2.9344000000000001</v>
      </c>
      <c r="AN901" s="6">
        <v>255</v>
      </c>
      <c r="AQ901" s="17">
        <v>899</v>
      </c>
      <c r="AR901" s="6">
        <v>1.59978</v>
      </c>
      <c r="AS901" s="6">
        <v>1.2332000000000001</v>
      </c>
      <c r="AT901" s="6">
        <v>0.81240000000000001</v>
      </c>
      <c r="AU901" s="6">
        <v>255</v>
      </c>
      <c r="AW901" s="17">
        <v>899</v>
      </c>
      <c r="AX901" s="6">
        <v>0.84367000000000003</v>
      </c>
      <c r="AY901" s="6">
        <v>1.2332000000000001</v>
      </c>
      <c r="AZ901" s="6">
        <v>0.81240000000000001</v>
      </c>
      <c r="BA901" s="6">
        <v>255</v>
      </c>
    </row>
    <row r="902" spans="1:53" x14ac:dyDescent="0.25">
      <c r="A902" s="62" t="s">
        <v>161</v>
      </c>
      <c r="B902" s="60">
        <v>3</v>
      </c>
      <c r="C902" s="60">
        <v>17</v>
      </c>
      <c r="D902" s="60">
        <v>5</v>
      </c>
      <c r="E902" s="60">
        <v>18</v>
      </c>
      <c r="F902" t="s">
        <v>12</v>
      </c>
      <c r="G902" t="s">
        <v>12</v>
      </c>
      <c r="H902" t="s">
        <v>12</v>
      </c>
      <c r="I902" s="60">
        <v>6</v>
      </c>
      <c r="AD902" s="17">
        <v>900</v>
      </c>
      <c r="AE902" s="6">
        <v>3.0701800000000001</v>
      </c>
      <c r="AF902" s="19">
        <v>-5.9322999999999997</v>
      </c>
      <c r="AG902" s="6">
        <v>2.9561999999999999</v>
      </c>
      <c r="AH902" s="6">
        <v>255</v>
      </c>
      <c r="AJ902" s="17">
        <v>900</v>
      </c>
      <c r="AK902" s="6">
        <v>5.8217400000000001</v>
      </c>
      <c r="AL902" s="19">
        <v>-5.9322999999999997</v>
      </c>
      <c r="AM902" s="6">
        <v>2.9561999999999999</v>
      </c>
      <c r="AN902" s="6">
        <v>255</v>
      </c>
      <c r="AQ902" s="17">
        <v>900</v>
      </c>
      <c r="AR902" s="6">
        <v>1.61073</v>
      </c>
      <c r="AS902" s="19">
        <v>-1.1312</v>
      </c>
      <c r="AT902" s="6">
        <v>0.81789999999999996</v>
      </c>
      <c r="AU902" s="6">
        <v>255</v>
      </c>
      <c r="AW902" s="17">
        <v>900</v>
      </c>
      <c r="AX902" s="6">
        <v>0.84943999999999997</v>
      </c>
      <c r="AY902" s="19">
        <v>-1.1312</v>
      </c>
      <c r="AZ902" s="6">
        <v>0.81789999999999996</v>
      </c>
      <c r="BA902" s="6">
        <v>255</v>
      </c>
    </row>
    <row r="903" spans="1:53" x14ac:dyDescent="0.25">
      <c r="A903" s="62" t="s">
        <v>161</v>
      </c>
      <c r="B903" s="60">
        <v>3</v>
      </c>
      <c r="C903" s="60">
        <v>18</v>
      </c>
      <c r="D903" s="60">
        <v>5</v>
      </c>
      <c r="E903" s="60">
        <v>6</v>
      </c>
      <c r="F903" t="s">
        <v>12</v>
      </c>
      <c r="G903" t="s">
        <v>12</v>
      </c>
      <c r="H903" t="s">
        <v>12</v>
      </c>
      <c r="I903" s="60">
        <v>1</v>
      </c>
      <c r="AD903" s="17">
        <v>901</v>
      </c>
      <c r="AE903" s="6">
        <v>3.0456400000000001</v>
      </c>
      <c r="AF903" s="19">
        <v>-2.8073999999999999</v>
      </c>
      <c r="AG903" s="6">
        <v>2.9325999999999999</v>
      </c>
      <c r="AH903" s="6">
        <v>255</v>
      </c>
      <c r="AJ903" s="17">
        <v>901</v>
      </c>
      <c r="AK903" s="6">
        <v>5.7751999999999999</v>
      </c>
      <c r="AL903" s="19">
        <v>-2.8073999999999999</v>
      </c>
      <c r="AM903" s="6">
        <v>2.9325999999999999</v>
      </c>
      <c r="AN903" s="6">
        <v>255</v>
      </c>
      <c r="AQ903" s="17">
        <v>901</v>
      </c>
      <c r="AR903" s="6">
        <v>1.5949</v>
      </c>
      <c r="AS903" s="6">
        <v>1.2419</v>
      </c>
      <c r="AT903" s="6">
        <v>0.80989999999999995</v>
      </c>
      <c r="AU903" s="6">
        <v>255</v>
      </c>
      <c r="AW903" s="17">
        <v>901</v>
      </c>
      <c r="AX903" s="6">
        <v>0.84109999999999996</v>
      </c>
      <c r="AY903" s="6">
        <v>1.2419</v>
      </c>
      <c r="AZ903" s="6">
        <v>0.80989999999999995</v>
      </c>
      <c r="BA903" s="6">
        <v>255</v>
      </c>
    </row>
    <row r="904" spans="1:53" x14ac:dyDescent="0.25">
      <c r="A904" s="62" t="s">
        <v>161</v>
      </c>
      <c r="B904" s="60">
        <v>3</v>
      </c>
      <c r="C904" s="60">
        <v>19</v>
      </c>
      <c r="D904" s="60">
        <v>5</v>
      </c>
      <c r="E904" s="60">
        <v>35</v>
      </c>
      <c r="F904" t="s">
        <v>12</v>
      </c>
      <c r="G904" t="s">
        <v>12</v>
      </c>
      <c r="H904" t="s">
        <v>12</v>
      </c>
      <c r="I904" s="60">
        <v>3</v>
      </c>
      <c r="AD904" s="17">
        <v>902</v>
      </c>
      <c r="AE904" s="6">
        <v>3.04325</v>
      </c>
      <c r="AF904" s="19">
        <v>-0.48970000000000002</v>
      </c>
      <c r="AG904" s="6">
        <v>2.9302999999999999</v>
      </c>
      <c r="AH904" s="6">
        <v>255</v>
      </c>
      <c r="AJ904" s="17">
        <v>902</v>
      </c>
      <c r="AK904" s="6">
        <v>5.77067</v>
      </c>
      <c r="AL904" s="19">
        <v>-0.48970000000000002</v>
      </c>
      <c r="AM904" s="6">
        <v>2.9302999999999999</v>
      </c>
      <c r="AN904" s="6">
        <v>255</v>
      </c>
      <c r="AQ904" s="17">
        <v>902</v>
      </c>
      <c r="AR904" s="6">
        <v>1.60727</v>
      </c>
      <c r="AS904" s="6">
        <v>0.97450000000000003</v>
      </c>
      <c r="AT904" s="6">
        <v>0.81620000000000004</v>
      </c>
      <c r="AU904" s="6">
        <v>255</v>
      </c>
      <c r="AW904" s="17">
        <v>902</v>
      </c>
      <c r="AX904" s="6">
        <v>0.84762000000000004</v>
      </c>
      <c r="AY904" s="6">
        <v>0.97450000000000003</v>
      </c>
      <c r="AZ904" s="6">
        <v>0.81620000000000004</v>
      </c>
      <c r="BA904" s="6">
        <v>255</v>
      </c>
    </row>
    <row r="905" spans="1:53" x14ac:dyDescent="0.25">
      <c r="A905" s="62" t="s">
        <v>161</v>
      </c>
      <c r="B905" s="60">
        <v>3</v>
      </c>
      <c r="C905" s="60">
        <v>20</v>
      </c>
      <c r="D905" s="60">
        <v>5</v>
      </c>
      <c r="E905" s="60">
        <v>14</v>
      </c>
      <c r="F905" t="s">
        <v>12</v>
      </c>
      <c r="G905" t="s">
        <v>12</v>
      </c>
      <c r="H905" t="s">
        <v>12</v>
      </c>
      <c r="I905" s="60">
        <v>6</v>
      </c>
      <c r="AD905" s="17">
        <v>903</v>
      </c>
      <c r="AE905" s="6">
        <v>3.0624099999999999</v>
      </c>
      <c r="AF905" s="19">
        <v>-0.61280000000000001</v>
      </c>
      <c r="AG905" s="6">
        <v>2.9487000000000001</v>
      </c>
      <c r="AH905" s="6">
        <v>255</v>
      </c>
      <c r="AJ905" s="17">
        <v>903</v>
      </c>
      <c r="AK905" s="6">
        <v>5.8070000000000004</v>
      </c>
      <c r="AL905" s="19">
        <v>-0.61280000000000001</v>
      </c>
      <c r="AM905" s="6">
        <v>2.9487000000000001</v>
      </c>
      <c r="AN905" s="6">
        <v>255</v>
      </c>
      <c r="AQ905" s="17">
        <v>903</v>
      </c>
      <c r="AR905" s="6">
        <v>1.6108199999999999</v>
      </c>
      <c r="AS905" s="6">
        <v>1.2269000000000001</v>
      </c>
      <c r="AT905" s="6">
        <v>0.81799999999999995</v>
      </c>
      <c r="AU905" s="6">
        <v>255</v>
      </c>
      <c r="AW905" s="17">
        <v>903</v>
      </c>
      <c r="AX905" s="6">
        <v>0.84948999999999997</v>
      </c>
      <c r="AY905" s="6">
        <v>1.2269000000000001</v>
      </c>
      <c r="AZ905" s="6">
        <v>0.81799999999999995</v>
      </c>
      <c r="BA905" s="6">
        <v>255</v>
      </c>
    </row>
    <row r="906" spans="1:53" x14ac:dyDescent="0.25">
      <c r="A906" s="62" t="s">
        <v>161</v>
      </c>
      <c r="B906" s="60">
        <v>3</v>
      </c>
      <c r="C906" s="60">
        <v>21</v>
      </c>
      <c r="D906" s="60">
        <v>5</v>
      </c>
      <c r="E906" s="60">
        <v>26</v>
      </c>
      <c r="F906" t="s">
        <v>12</v>
      </c>
      <c r="G906" t="s">
        <v>12</v>
      </c>
      <c r="H906" t="s">
        <v>12</v>
      </c>
      <c r="I906" s="60">
        <v>7</v>
      </c>
      <c r="AD906" s="17">
        <v>904</v>
      </c>
      <c r="AE906" s="6">
        <v>3.0565099999999998</v>
      </c>
      <c r="AF906" s="19">
        <v>-4.0994999999999999</v>
      </c>
      <c r="AG906" s="6">
        <v>2.9430999999999998</v>
      </c>
      <c r="AH906" s="6">
        <v>255</v>
      </c>
      <c r="AJ906" s="17">
        <v>904</v>
      </c>
      <c r="AK906" s="6">
        <v>5.79582</v>
      </c>
      <c r="AL906" s="19">
        <v>-4.0994999999999999</v>
      </c>
      <c r="AM906" s="6">
        <v>2.9430999999999998</v>
      </c>
      <c r="AN906" s="6">
        <v>255</v>
      </c>
      <c r="AQ906" s="17">
        <v>904</v>
      </c>
      <c r="AR906" s="6">
        <v>1.60351</v>
      </c>
      <c r="AS906" s="19">
        <v>-0.154</v>
      </c>
      <c r="AT906" s="6">
        <v>0.81420000000000003</v>
      </c>
      <c r="AU906" s="6">
        <v>255</v>
      </c>
      <c r="AW906" s="17">
        <v>904</v>
      </c>
      <c r="AX906" s="6">
        <v>0.84562999999999999</v>
      </c>
      <c r="AY906" s="19">
        <v>-0.154</v>
      </c>
      <c r="AZ906" s="6">
        <v>0.81420000000000003</v>
      </c>
      <c r="BA906" s="6">
        <v>255</v>
      </c>
    </row>
    <row r="907" spans="1:53" x14ac:dyDescent="0.25">
      <c r="A907" s="62" t="s">
        <v>161</v>
      </c>
      <c r="B907" s="60">
        <v>3</v>
      </c>
      <c r="C907" s="60">
        <v>22</v>
      </c>
      <c r="D907" s="60">
        <v>5</v>
      </c>
      <c r="E907" s="60">
        <v>2</v>
      </c>
      <c r="F907" t="s">
        <v>12</v>
      </c>
      <c r="G907" t="s">
        <v>12</v>
      </c>
      <c r="H907" t="s">
        <v>12</v>
      </c>
      <c r="I907" s="60">
        <v>5</v>
      </c>
      <c r="AD907" s="17">
        <v>905</v>
      </c>
      <c r="AE907" s="6">
        <v>3.0522300000000002</v>
      </c>
      <c r="AF907" s="19">
        <v>-2.9117999999999999</v>
      </c>
      <c r="AG907" s="6">
        <v>2.9388999999999998</v>
      </c>
      <c r="AH907" s="6">
        <v>255</v>
      </c>
      <c r="AJ907" s="17">
        <v>905</v>
      </c>
      <c r="AK907" s="6">
        <v>5.7877000000000001</v>
      </c>
      <c r="AL907" s="19">
        <v>-2.9117999999999999</v>
      </c>
      <c r="AM907" s="6">
        <v>2.9388999999999998</v>
      </c>
      <c r="AN907" s="6">
        <v>255</v>
      </c>
      <c r="AQ907" s="17">
        <v>905</v>
      </c>
      <c r="AR907" s="6">
        <v>1.6001399999999999</v>
      </c>
      <c r="AS907" s="6">
        <v>0.2092</v>
      </c>
      <c r="AT907" s="6">
        <v>0.8125</v>
      </c>
      <c r="AU907" s="6">
        <v>255</v>
      </c>
      <c r="AW907" s="17">
        <v>905</v>
      </c>
      <c r="AX907" s="6">
        <v>0.84386000000000005</v>
      </c>
      <c r="AY907" s="6">
        <v>0.2092</v>
      </c>
      <c r="AZ907" s="6">
        <v>0.8125</v>
      </c>
      <c r="BA907" s="6">
        <v>255</v>
      </c>
    </row>
    <row r="908" spans="1:53" x14ac:dyDescent="0.25">
      <c r="A908" s="62" t="s">
        <v>161</v>
      </c>
      <c r="B908" s="60">
        <v>3</v>
      </c>
      <c r="C908" s="60">
        <v>23</v>
      </c>
      <c r="D908" s="60">
        <v>5</v>
      </c>
      <c r="E908" s="60">
        <v>10</v>
      </c>
      <c r="F908" t="s">
        <v>12</v>
      </c>
      <c r="G908" t="s">
        <v>12</v>
      </c>
      <c r="H908" t="s">
        <v>12</v>
      </c>
      <c r="I908" s="60">
        <v>4</v>
      </c>
      <c r="AD908" s="17">
        <v>906</v>
      </c>
      <c r="AE908" s="6">
        <v>3.0454300000000001</v>
      </c>
      <c r="AF908" s="19">
        <v>-2.3386999999999998</v>
      </c>
      <c r="AG908" s="6">
        <v>2.9323999999999999</v>
      </c>
      <c r="AH908" s="6">
        <v>255</v>
      </c>
      <c r="AJ908" s="17">
        <v>906</v>
      </c>
      <c r="AK908" s="6">
        <v>5.7747999999999999</v>
      </c>
      <c r="AL908" s="19">
        <v>-2.3386999999999998</v>
      </c>
      <c r="AM908" s="6">
        <v>2.9323999999999999</v>
      </c>
      <c r="AN908" s="6">
        <v>255</v>
      </c>
      <c r="AQ908" s="17">
        <v>906</v>
      </c>
      <c r="AR908" s="6">
        <v>1.597</v>
      </c>
      <c r="AS908" s="6">
        <v>0.74470000000000003</v>
      </c>
      <c r="AT908" s="6">
        <v>0.81089999999999995</v>
      </c>
      <c r="AU908" s="6">
        <v>255</v>
      </c>
      <c r="AW908" s="17">
        <v>906</v>
      </c>
      <c r="AX908" s="6">
        <v>0.84219999999999995</v>
      </c>
      <c r="AY908" s="6">
        <v>0.74470000000000003</v>
      </c>
      <c r="AZ908" s="6">
        <v>0.81089999999999995</v>
      </c>
      <c r="BA908" s="6">
        <v>255</v>
      </c>
    </row>
    <row r="909" spans="1:53" x14ac:dyDescent="0.25">
      <c r="A909" s="62" t="s">
        <v>161</v>
      </c>
      <c r="B909" s="60">
        <v>3</v>
      </c>
      <c r="C909" s="60">
        <v>24</v>
      </c>
      <c r="D909" s="60">
        <v>5</v>
      </c>
      <c r="E909" s="60">
        <v>22</v>
      </c>
      <c r="F909" t="s">
        <v>12</v>
      </c>
      <c r="G909" t="s">
        <v>12</v>
      </c>
      <c r="H909" t="s">
        <v>12</v>
      </c>
      <c r="I909" s="60">
        <v>5</v>
      </c>
      <c r="AD909" s="17">
        <v>907</v>
      </c>
      <c r="AE909" s="6">
        <v>3.048</v>
      </c>
      <c r="AF909" s="19">
        <v>-2.3155000000000001</v>
      </c>
      <c r="AG909" s="6">
        <v>2.9348999999999998</v>
      </c>
      <c r="AH909" s="6">
        <v>255</v>
      </c>
      <c r="AJ909" s="17">
        <v>907</v>
      </c>
      <c r="AK909" s="6">
        <v>5.7796799999999999</v>
      </c>
      <c r="AL909" s="19">
        <v>-2.3155000000000001</v>
      </c>
      <c r="AM909" s="6">
        <v>2.9348999999999998</v>
      </c>
      <c r="AN909" s="6">
        <v>255</v>
      </c>
      <c r="AQ909" s="17">
        <v>907</v>
      </c>
      <c r="AR909" s="6">
        <v>1.59775</v>
      </c>
      <c r="AS909" s="6">
        <v>1.2089000000000001</v>
      </c>
      <c r="AT909" s="6">
        <v>0.81130000000000002</v>
      </c>
      <c r="AU909" s="6">
        <v>255</v>
      </c>
      <c r="AW909" s="17">
        <v>907</v>
      </c>
      <c r="AX909" s="6">
        <v>0.84260000000000002</v>
      </c>
      <c r="AY909" s="6">
        <v>1.2089000000000001</v>
      </c>
      <c r="AZ909" s="6">
        <v>0.81130000000000002</v>
      </c>
      <c r="BA909" s="6">
        <v>255</v>
      </c>
    </row>
    <row r="910" spans="1:53" x14ac:dyDescent="0.25">
      <c r="A910" s="62" t="s">
        <v>161</v>
      </c>
      <c r="B910" s="60">
        <v>3</v>
      </c>
      <c r="C910" s="60">
        <v>25</v>
      </c>
      <c r="D910" s="60">
        <v>5</v>
      </c>
      <c r="E910" s="60">
        <v>29</v>
      </c>
      <c r="F910" t="s">
        <v>12</v>
      </c>
      <c r="G910" t="s">
        <v>12</v>
      </c>
      <c r="H910" t="s">
        <v>12</v>
      </c>
      <c r="I910" s="60">
        <v>5</v>
      </c>
      <c r="AD910" s="17">
        <v>908</v>
      </c>
      <c r="AE910" s="6">
        <v>3.06603</v>
      </c>
      <c r="AF910" s="19">
        <v>-3.298</v>
      </c>
      <c r="AG910" s="6">
        <v>2.9521999999999999</v>
      </c>
      <c r="AH910" s="6">
        <v>255</v>
      </c>
      <c r="AJ910" s="17">
        <v>908</v>
      </c>
      <c r="AK910" s="6">
        <v>5.8138699999999996</v>
      </c>
      <c r="AL910" s="19">
        <v>-3.298</v>
      </c>
      <c r="AM910" s="6">
        <v>2.9521999999999999</v>
      </c>
      <c r="AN910" s="6">
        <v>255</v>
      </c>
      <c r="AQ910" s="17">
        <v>908</v>
      </c>
      <c r="AR910" s="6">
        <v>1.60212</v>
      </c>
      <c r="AS910" s="6">
        <v>9.4439999999999996E-2</v>
      </c>
      <c r="AT910" s="6">
        <v>0.8135</v>
      </c>
      <c r="AU910" s="6">
        <v>255</v>
      </c>
      <c r="AW910" s="17">
        <v>908</v>
      </c>
      <c r="AX910" s="6">
        <v>0.84489999999999998</v>
      </c>
      <c r="AY910" s="6">
        <v>9.4439999999999996E-2</v>
      </c>
      <c r="AZ910" s="6">
        <v>0.8135</v>
      </c>
      <c r="BA910" s="6">
        <v>255</v>
      </c>
    </row>
    <row r="911" spans="1:53" x14ac:dyDescent="0.25">
      <c r="A911" s="62" t="s">
        <v>161</v>
      </c>
      <c r="B911" s="60">
        <v>3</v>
      </c>
      <c r="C911" s="60">
        <v>26</v>
      </c>
      <c r="D911" s="60">
        <v>5</v>
      </c>
      <c r="E911" s="60">
        <v>57</v>
      </c>
      <c r="F911" t="s">
        <v>12</v>
      </c>
      <c r="G911" t="s">
        <v>12</v>
      </c>
      <c r="H911" t="s">
        <v>12</v>
      </c>
      <c r="I911" s="60">
        <v>6</v>
      </c>
      <c r="AD911" s="17">
        <v>909</v>
      </c>
      <c r="AE911" s="6">
        <v>3.0451000000000001</v>
      </c>
      <c r="AF911" s="6">
        <v>4.2918000000000003</v>
      </c>
      <c r="AG911" s="6">
        <v>2.9321000000000002</v>
      </c>
      <c r="AH911" s="6">
        <v>255</v>
      </c>
      <c r="AJ911" s="17">
        <v>909</v>
      </c>
      <c r="AK911" s="6">
        <v>5.7741800000000003</v>
      </c>
      <c r="AL911" s="6">
        <v>4.2918000000000003</v>
      </c>
      <c r="AM911" s="6">
        <v>2.9321000000000002</v>
      </c>
      <c r="AN911" s="6">
        <v>255</v>
      </c>
      <c r="AQ911" s="17">
        <v>909</v>
      </c>
      <c r="AR911" s="6">
        <v>1.6083099999999999</v>
      </c>
      <c r="AS911" s="6">
        <v>1.4699</v>
      </c>
      <c r="AT911" s="6">
        <v>0.81669999999999998</v>
      </c>
      <c r="AU911" s="6">
        <v>255</v>
      </c>
      <c r="AW911" s="17">
        <v>909</v>
      </c>
      <c r="AX911" s="6">
        <v>0.84816999999999998</v>
      </c>
      <c r="AY911" s="6">
        <v>1.4699</v>
      </c>
      <c r="AZ911" s="6">
        <v>0.81669999999999998</v>
      </c>
      <c r="BA911" s="6">
        <v>255</v>
      </c>
    </row>
    <row r="912" spans="1:53" x14ac:dyDescent="0.25">
      <c r="A912" s="62" t="s">
        <v>161</v>
      </c>
      <c r="B912" s="60">
        <v>3</v>
      </c>
      <c r="C912" s="60">
        <v>26</v>
      </c>
      <c r="D912" s="60">
        <v>6</v>
      </c>
      <c r="E912" s="60">
        <v>41</v>
      </c>
      <c r="F912" t="s">
        <v>12</v>
      </c>
      <c r="G912" t="s">
        <v>12</v>
      </c>
      <c r="H912" t="s">
        <v>12</v>
      </c>
      <c r="I912" s="60">
        <v>5</v>
      </c>
      <c r="AD912" s="17">
        <v>910</v>
      </c>
      <c r="AE912" s="6">
        <v>3.0340500000000001</v>
      </c>
      <c r="AF912" s="19">
        <v>-1.7485999999999999</v>
      </c>
      <c r="AG912" s="6">
        <v>2.9214000000000002</v>
      </c>
      <c r="AH912" s="6">
        <v>255</v>
      </c>
      <c r="AJ912" s="17">
        <v>910</v>
      </c>
      <c r="AK912" s="6">
        <v>5.7532199999999998</v>
      </c>
      <c r="AL912" s="19">
        <v>-1.7485999999999999</v>
      </c>
      <c r="AM912" s="6">
        <v>2.9214000000000002</v>
      </c>
      <c r="AN912" s="6">
        <v>255</v>
      </c>
      <c r="AQ912" s="17">
        <v>910</v>
      </c>
      <c r="AR912" s="6">
        <v>1.5951299999999999</v>
      </c>
      <c r="AS912" s="6">
        <v>0.10059999999999999</v>
      </c>
      <c r="AT912" s="6">
        <v>0.81</v>
      </c>
      <c r="AU912" s="6">
        <v>255</v>
      </c>
      <c r="AW912" s="17">
        <v>910</v>
      </c>
      <c r="AX912" s="6">
        <v>0.84121000000000001</v>
      </c>
      <c r="AY912" s="6">
        <v>0.10059999999999999</v>
      </c>
      <c r="AZ912" s="6">
        <v>0.81</v>
      </c>
      <c r="BA912" s="6">
        <v>255</v>
      </c>
    </row>
    <row r="913" spans="1:53" x14ac:dyDescent="0.25">
      <c r="A913" s="62" t="s">
        <v>161</v>
      </c>
      <c r="B913" s="60">
        <v>3</v>
      </c>
      <c r="C913" s="60">
        <v>25</v>
      </c>
      <c r="D913" s="60">
        <v>6</v>
      </c>
      <c r="E913" s="60">
        <v>33</v>
      </c>
      <c r="F913" t="s">
        <v>12</v>
      </c>
      <c r="G913" t="s">
        <v>12</v>
      </c>
      <c r="H913" t="s">
        <v>12</v>
      </c>
      <c r="I913" s="60">
        <v>2</v>
      </c>
      <c r="AD913" s="17">
        <v>911</v>
      </c>
      <c r="AE913" s="6">
        <v>3.0521699999999998</v>
      </c>
      <c r="AF913" s="6">
        <v>7.0152999999999999</v>
      </c>
      <c r="AG913" s="6">
        <v>2.9388999999999998</v>
      </c>
      <c r="AH913" s="6">
        <v>255</v>
      </c>
      <c r="AJ913" s="17">
        <v>911</v>
      </c>
      <c r="AK913" s="6">
        <v>5.7875899999999998</v>
      </c>
      <c r="AL913" s="6">
        <v>7.0152999999999999</v>
      </c>
      <c r="AM913" s="6">
        <v>2.9388999999999998</v>
      </c>
      <c r="AN913" s="6">
        <v>255</v>
      </c>
      <c r="AQ913" s="17">
        <v>911</v>
      </c>
      <c r="AR913" s="6">
        <v>1.6040700000000001</v>
      </c>
      <c r="AS913" s="6">
        <v>2.5920000000000001</v>
      </c>
      <c r="AT913" s="6">
        <v>0.8145</v>
      </c>
      <c r="AU913" s="6">
        <v>255</v>
      </c>
      <c r="AW913" s="17">
        <v>911</v>
      </c>
      <c r="AX913" s="6">
        <v>0.84592999999999996</v>
      </c>
      <c r="AY913" s="6">
        <v>2.5920000000000001</v>
      </c>
      <c r="AZ913" s="6">
        <v>0.8145</v>
      </c>
      <c r="BA913" s="6">
        <v>255</v>
      </c>
    </row>
    <row r="914" spans="1:53" x14ac:dyDescent="0.25">
      <c r="A914" s="62" t="s">
        <v>161</v>
      </c>
      <c r="B914" s="60">
        <v>3</v>
      </c>
      <c r="C914" s="60">
        <v>24</v>
      </c>
      <c r="D914" s="60">
        <v>6</v>
      </c>
      <c r="E914" s="60">
        <v>43</v>
      </c>
      <c r="F914" t="s">
        <v>12</v>
      </c>
      <c r="G914" t="s">
        <v>12</v>
      </c>
      <c r="H914" t="s">
        <v>12</v>
      </c>
      <c r="I914" s="60">
        <v>4</v>
      </c>
      <c r="AD914" s="17">
        <v>912</v>
      </c>
      <c r="AE914" s="6">
        <v>3.06427</v>
      </c>
      <c r="AF914" s="6">
        <v>1.585</v>
      </c>
      <c r="AG914" s="6">
        <v>2.9504999999999999</v>
      </c>
      <c r="AH914" s="6">
        <v>255</v>
      </c>
      <c r="AJ914" s="17">
        <v>912</v>
      </c>
      <c r="AK914" s="6">
        <v>5.81053</v>
      </c>
      <c r="AL914" s="6">
        <v>1.585</v>
      </c>
      <c r="AM914" s="6">
        <v>2.9504999999999999</v>
      </c>
      <c r="AN914" s="6">
        <v>255</v>
      </c>
      <c r="AQ914" s="17">
        <v>912</v>
      </c>
      <c r="AR914" s="6">
        <v>1.6038699999999999</v>
      </c>
      <c r="AS914" s="6">
        <v>1.2514000000000001</v>
      </c>
      <c r="AT914" s="6">
        <v>0.81440000000000001</v>
      </c>
      <c r="AU914" s="6">
        <v>255</v>
      </c>
      <c r="AW914" s="17">
        <v>912</v>
      </c>
      <c r="AX914" s="6">
        <v>0.84582000000000002</v>
      </c>
      <c r="AY914" s="6">
        <v>1.2514000000000001</v>
      </c>
      <c r="AZ914" s="6">
        <v>0.81440000000000001</v>
      </c>
      <c r="BA914" s="6">
        <v>255</v>
      </c>
    </row>
    <row r="915" spans="1:53" x14ac:dyDescent="0.25">
      <c r="A915" s="62" t="s">
        <v>161</v>
      </c>
      <c r="B915" s="60">
        <v>3</v>
      </c>
      <c r="C915" s="60">
        <v>23</v>
      </c>
      <c r="D915" s="60">
        <v>6</v>
      </c>
      <c r="E915" s="60">
        <v>5</v>
      </c>
      <c r="F915" t="s">
        <v>12</v>
      </c>
      <c r="G915" t="s">
        <v>12</v>
      </c>
      <c r="H915" t="s">
        <v>12</v>
      </c>
      <c r="I915" s="60">
        <v>2</v>
      </c>
      <c r="AD915" s="17">
        <v>913</v>
      </c>
      <c r="AE915" s="6">
        <v>3.0679599999999998</v>
      </c>
      <c r="AF915" s="19">
        <v>-0.67530000000000001</v>
      </c>
      <c r="AG915" s="6">
        <v>2.9540999999999999</v>
      </c>
      <c r="AH915" s="6">
        <v>255</v>
      </c>
      <c r="AJ915" s="17">
        <v>913</v>
      </c>
      <c r="AK915" s="6">
        <v>5.8175299999999996</v>
      </c>
      <c r="AL915" s="19">
        <v>-0.67530000000000001</v>
      </c>
      <c r="AM915" s="6">
        <v>2.9540999999999999</v>
      </c>
      <c r="AN915" s="6">
        <v>255</v>
      </c>
      <c r="AQ915" s="17">
        <v>913</v>
      </c>
      <c r="AR915" s="6">
        <v>1.6095699999999999</v>
      </c>
      <c r="AS915" s="6">
        <v>1.4215</v>
      </c>
      <c r="AT915" s="6">
        <v>0.81730000000000003</v>
      </c>
      <c r="AU915" s="6">
        <v>255</v>
      </c>
      <c r="AW915" s="17">
        <v>913</v>
      </c>
      <c r="AX915" s="6">
        <v>0.84882999999999997</v>
      </c>
      <c r="AY915" s="6">
        <v>1.4215</v>
      </c>
      <c r="AZ915" s="6">
        <v>0.81730000000000003</v>
      </c>
      <c r="BA915" s="6">
        <v>255</v>
      </c>
    </row>
    <row r="916" spans="1:53" x14ac:dyDescent="0.25">
      <c r="A916" s="62" t="s">
        <v>161</v>
      </c>
      <c r="B916" s="60">
        <v>3</v>
      </c>
      <c r="C916" s="60">
        <v>22</v>
      </c>
      <c r="D916" s="60">
        <v>6</v>
      </c>
      <c r="E916" s="60">
        <v>40</v>
      </c>
      <c r="F916" t="s">
        <v>12</v>
      </c>
      <c r="G916" t="s">
        <v>12</v>
      </c>
      <c r="H916" t="s">
        <v>12</v>
      </c>
      <c r="I916" s="60">
        <v>3</v>
      </c>
      <c r="AD916" s="17">
        <v>914</v>
      </c>
      <c r="AE916" s="6">
        <v>3.0486300000000002</v>
      </c>
      <c r="AF916" s="6">
        <v>0.57520000000000004</v>
      </c>
      <c r="AG916" s="6">
        <v>2.9355000000000002</v>
      </c>
      <c r="AH916" s="6">
        <v>255</v>
      </c>
      <c r="AJ916" s="17">
        <v>914</v>
      </c>
      <c r="AK916" s="6">
        <v>5.7808799999999998</v>
      </c>
      <c r="AL916" s="6">
        <v>0.57520000000000004</v>
      </c>
      <c r="AM916" s="6">
        <v>2.9355000000000002</v>
      </c>
      <c r="AN916" s="6">
        <v>255</v>
      </c>
      <c r="AQ916" s="17">
        <v>914</v>
      </c>
      <c r="AR916" s="6">
        <v>1.60669</v>
      </c>
      <c r="AS916" s="6">
        <v>1.0081</v>
      </c>
      <c r="AT916" s="6">
        <v>0.81589999999999996</v>
      </c>
      <c r="AU916" s="6">
        <v>255</v>
      </c>
      <c r="AW916" s="17">
        <v>914</v>
      </c>
      <c r="AX916" s="6">
        <v>0.84731000000000001</v>
      </c>
      <c r="AY916" s="6">
        <v>1.0081</v>
      </c>
      <c r="AZ916" s="6">
        <v>0.81589999999999996</v>
      </c>
      <c r="BA916" s="6">
        <v>255</v>
      </c>
    </row>
    <row r="917" spans="1:53" x14ac:dyDescent="0.25">
      <c r="A917" s="62" t="s">
        <v>161</v>
      </c>
      <c r="B917" s="60">
        <v>3</v>
      </c>
      <c r="C917" s="60">
        <v>21</v>
      </c>
      <c r="D917" s="60">
        <v>6</v>
      </c>
      <c r="E917" s="60">
        <v>32</v>
      </c>
      <c r="F917" t="s">
        <v>12</v>
      </c>
      <c r="G917" t="s">
        <v>12</v>
      </c>
      <c r="H917" t="s">
        <v>12</v>
      </c>
      <c r="I917" s="60">
        <v>5</v>
      </c>
      <c r="AD917" s="17">
        <v>915</v>
      </c>
      <c r="AE917" s="6">
        <v>3.0487899999999999</v>
      </c>
      <c r="AF917" s="6">
        <v>0.27989999999999998</v>
      </c>
      <c r="AG917" s="6">
        <v>2.9356</v>
      </c>
      <c r="AH917" s="6">
        <v>255</v>
      </c>
      <c r="AJ917" s="17">
        <v>915</v>
      </c>
      <c r="AK917" s="6">
        <v>5.78118</v>
      </c>
      <c r="AL917" s="6">
        <v>0.27989999999999998</v>
      </c>
      <c r="AM917" s="6">
        <v>2.9356</v>
      </c>
      <c r="AN917" s="6">
        <v>255</v>
      </c>
      <c r="AQ917" s="17">
        <v>915</v>
      </c>
      <c r="AR917" s="6">
        <v>1.60911</v>
      </c>
      <c r="AS917" s="19">
        <v>-0.21160000000000001</v>
      </c>
      <c r="AT917" s="6">
        <v>0.81710000000000005</v>
      </c>
      <c r="AU917" s="6">
        <v>255</v>
      </c>
      <c r="AW917" s="17">
        <v>915</v>
      </c>
      <c r="AX917" s="6">
        <v>0.84858999999999996</v>
      </c>
      <c r="AY917" s="19">
        <v>-0.21160000000000001</v>
      </c>
      <c r="AZ917" s="6">
        <v>0.81710000000000005</v>
      </c>
      <c r="BA917" s="6">
        <v>255</v>
      </c>
    </row>
    <row r="918" spans="1:53" x14ac:dyDescent="0.25">
      <c r="A918" s="62" t="s">
        <v>161</v>
      </c>
      <c r="B918" s="60">
        <v>3</v>
      </c>
      <c r="C918" s="60">
        <v>20</v>
      </c>
      <c r="D918" s="60">
        <v>6</v>
      </c>
      <c r="E918" s="60">
        <v>9</v>
      </c>
      <c r="F918" t="s">
        <v>12</v>
      </c>
      <c r="G918" t="s">
        <v>12</v>
      </c>
      <c r="H918" t="s">
        <v>12</v>
      </c>
      <c r="I918" s="60">
        <v>2</v>
      </c>
      <c r="AD918" s="17">
        <v>916</v>
      </c>
      <c r="AE918" s="6">
        <v>3.0400200000000002</v>
      </c>
      <c r="AF918" s="6">
        <v>5.7180999999999997</v>
      </c>
      <c r="AG918" s="6">
        <v>2.9272</v>
      </c>
      <c r="AH918" s="6">
        <v>255</v>
      </c>
      <c r="AJ918" s="17">
        <v>916</v>
      </c>
      <c r="AK918" s="6">
        <v>5.7645400000000002</v>
      </c>
      <c r="AL918" s="6">
        <v>5.7180999999999997</v>
      </c>
      <c r="AM918" s="6">
        <v>2.9272</v>
      </c>
      <c r="AN918" s="6">
        <v>255</v>
      </c>
      <c r="AQ918" s="17">
        <v>916</v>
      </c>
      <c r="AR918" s="6">
        <v>1.5970200000000001</v>
      </c>
      <c r="AS918" s="6">
        <v>2.7256</v>
      </c>
      <c r="AT918" s="6">
        <v>0.81100000000000005</v>
      </c>
      <c r="AU918" s="6">
        <v>255</v>
      </c>
      <c r="AW918" s="17">
        <v>916</v>
      </c>
      <c r="AX918" s="6">
        <v>0.84221000000000001</v>
      </c>
      <c r="AY918" s="6">
        <v>2.7256</v>
      </c>
      <c r="AZ918" s="6">
        <v>0.81100000000000005</v>
      </c>
      <c r="BA918" s="6">
        <v>255</v>
      </c>
    </row>
    <row r="919" spans="1:53" x14ac:dyDescent="0.25">
      <c r="A919" s="62" t="s">
        <v>161</v>
      </c>
      <c r="B919" s="60">
        <v>3</v>
      </c>
      <c r="C919" s="60">
        <v>19</v>
      </c>
      <c r="D919" s="60">
        <v>6</v>
      </c>
      <c r="E919" s="60">
        <v>38</v>
      </c>
      <c r="F919" t="s">
        <v>12</v>
      </c>
      <c r="G919" t="s">
        <v>12</v>
      </c>
      <c r="H919" t="s">
        <v>12</v>
      </c>
      <c r="I919" s="60">
        <v>1</v>
      </c>
      <c r="AD919" s="17">
        <v>917</v>
      </c>
      <c r="AE919" s="6">
        <v>3.0543100000000001</v>
      </c>
      <c r="AF919" s="6">
        <v>2.5722999999999998</v>
      </c>
      <c r="AG919" s="6">
        <v>2.9409000000000001</v>
      </c>
      <c r="AH919" s="6">
        <v>255</v>
      </c>
      <c r="AJ919" s="17">
        <v>917</v>
      </c>
      <c r="AK919" s="6">
        <v>5.7916400000000001</v>
      </c>
      <c r="AL919" s="6">
        <v>2.5722999999999998</v>
      </c>
      <c r="AM919" s="6">
        <v>2.9409000000000001</v>
      </c>
      <c r="AN919" s="6">
        <v>255</v>
      </c>
      <c r="AQ919" s="17">
        <v>917</v>
      </c>
      <c r="AR919" s="6">
        <v>1.5971299999999999</v>
      </c>
      <c r="AS919" s="6">
        <v>2.5792999999999999</v>
      </c>
      <c r="AT919" s="6">
        <v>0.81100000000000005</v>
      </c>
      <c r="AU919" s="6">
        <v>255</v>
      </c>
      <c r="AW919" s="17">
        <v>917</v>
      </c>
      <c r="AX919" s="6">
        <v>0.84226999999999996</v>
      </c>
      <c r="AY919" s="6">
        <v>2.5792999999999999</v>
      </c>
      <c r="AZ919" s="6">
        <v>0.81100000000000005</v>
      </c>
      <c r="BA919" s="6">
        <v>255</v>
      </c>
    </row>
    <row r="920" spans="1:53" x14ac:dyDescent="0.25">
      <c r="A920" s="62" t="s">
        <v>161</v>
      </c>
      <c r="B920" s="60">
        <v>3</v>
      </c>
      <c r="C920" s="60">
        <v>18</v>
      </c>
      <c r="D920" s="60">
        <v>6</v>
      </c>
      <c r="E920" s="60">
        <v>60</v>
      </c>
      <c r="F920" t="s">
        <v>12</v>
      </c>
      <c r="G920" t="s">
        <v>12</v>
      </c>
      <c r="H920" t="s">
        <v>12</v>
      </c>
      <c r="I920" s="60">
        <v>1</v>
      </c>
      <c r="AD920" s="17">
        <v>918</v>
      </c>
      <c r="AE920" s="6">
        <v>3.04026</v>
      </c>
      <c r="AF920" s="6">
        <v>0.81759999999999999</v>
      </c>
      <c r="AG920" s="6">
        <v>2.9274</v>
      </c>
      <c r="AH920" s="6">
        <v>255</v>
      </c>
      <c r="AJ920" s="17">
        <v>918</v>
      </c>
      <c r="AK920" s="6">
        <v>5.7649900000000001</v>
      </c>
      <c r="AL920" s="6">
        <v>0.81759999999999999</v>
      </c>
      <c r="AM920" s="6">
        <v>2.9274</v>
      </c>
      <c r="AN920" s="6">
        <v>255</v>
      </c>
      <c r="AQ920" s="17">
        <v>918</v>
      </c>
      <c r="AR920" s="6">
        <v>1.5954600000000001</v>
      </c>
      <c r="AS920" s="6">
        <v>2.1219000000000001</v>
      </c>
      <c r="AT920" s="6">
        <v>0.81020000000000003</v>
      </c>
      <c r="AU920" s="6">
        <v>255</v>
      </c>
      <c r="AW920" s="17">
        <v>918</v>
      </c>
      <c r="AX920" s="6">
        <v>0.84138999999999997</v>
      </c>
      <c r="AY920" s="6">
        <v>2.1219000000000001</v>
      </c>
      <c r="AZ920" s="6">
        <v>0.81020000000000003</v>
      </c>
      <c r="BA920" s="6">
        <v>255</v>
      </c>
    </row>
    <row r="921" spans="1:53" x14ac:dyDescent="0.25">
      <c r="A921" s="62" t="s">
        <v>161</v>
      </c>
      <c r="B921" s="60">
        <v>3</v>
      </c>
      <c r="C921" s="60">
        <v>17</v>
      </c>
      <c r="D921" s="60">
        <v>6</v>
      </c>
      <c r="E921" s="60">
        <v>19</v>
      </c>
      <c r="F921" t="s">
        <v>12</v>
      </c>
      <c r="G921" t="s">
        <v>12</v>
      </c>
      <c r="H921" t="s">
        <v>12</v>
      </c>
      <c r="I921" s="60">
        <v>2</v>
      </c>
      <c r="AD921" s="17">
        <v>919</v>
      </c>
      <c r="AE921" s="6">
        <v>3.0597799999999999</v>
      </c>
      <c r="AF921" s="6">
        <v>4.5388999999999999</v>
      </c>
      <c r="AG921" s="6">
        <v>2.9462000000000002</v>
      </c>
      <c r="AH921" s="6">
        <v>255</v>
      </c>
      <c r="AJ921" s="17">
        <v>919</v>
      </c>
      <c r="AK921" s="6">
        <v>5.8020199999999997</v>
      </c>
      <c r="AL921" s="6">
        <v>4.5388999999999999</v>
      </c>
      <c r="AM921" s="6">
        <v>2.9462000000000002</v>
      </c>
      <c r="AN921" s="6">
        <v>255</v>
      </c>
      <c r="AQ921" s="17">
        <v>919</v>
      </c>
      <c r="AR921" s="6">
        <v>1.6087899999999999</v>
      </c>
      <c r="AS921" s="6">
        <v>1.4379999999999999</v>
      </c>
      <c r="AT921" s="6">
        <v>0.81689999999999996</v>
      </c>
      <c r="AU921" s="6">
        <v>255</v>
      </c>
      <c r="AW921" s="17">
        <v>919</v>
      </c>
      <c r="AX921" s="6">
        <v>0.84841999999999995</v>
      </c>
      <c r="AY921" s="6">
        <v>1.4379999999999999</v>
      </c>
      <c r="AZ921" s="6">
        <v>0.81689999999999996</v>
      </c>
      <c r="BA921" s="6">
        <v>255</v>
      </c>
    </row>
    <row r="922" spans="1:53" x14ac:dyDescent="0.25">
      <c r="A922" s="62" t="s">
        <v>161</v>
      </c>
      <c r="B922" s="60">
        <v>3</v>
      </c>
      <c r="C922" s="60">
        <v>16</v>
      </c>
      <c r="D922" s="60">
        <v>6</v>
      </c>
      <c r="E922" s="60">
        <v>27</v>
      </c>
      <c r="F922" t="s">
        <v>12</v>
      </c>
      <c r="G922" t="s">
        <v>12</v>
      </c>
      <c r="H922" t="s">
        <v>12</v>
      </c>
      <c r="I922" s="60">
        <v>5</v>
      </c>
      <c r="AD922" s="17">
        <v>920</v>
      </c>
      <c r="AE922" s="6">
        <v>3.0304000000000002</v>
      </c>
      <c r="AF922" s="6">
        <v>13.042899999999999</v>
      </c>
      <c r="AG922" s="6">
        <v>2.9178999999999999</v>
      </c>
      <c r="AH922" s="6">
        <v>255</v>
      </c>
      <c r="AJ922" s="17">
        <v>920</v>
      </c>
      <c r="AK922" s="6">
        <v>5.7463100000000003</v>
      </c>
      <c r="AL922" s="6">
        <v>13.042899999999999</v>
      </c>
      <c r="AM922" s="6">
        <v>2.9178999999999999</v>
      </c>
      <c r="AN922" s="6">
        <v>255</v>
      </c>
      <c r="AQ922" s="17">
        <v>920</v>
      </c>
      <c r="AR922" s="6">
        <v>1.5982099999999999</v>
      </c>
      <c r="AS922" s="6">
        <v>4.3465999999999996</v>
      </c>
      <c r="AT922" s="6">
        <v>0.81159999999999999</v>
      </c>
      <c r="AU922" s="6">
        <v>255</v>
      </c>
      <c r="AW922" s="17">
        <v>920</v>
      </c>
      <c r="AX922" s="6">
        <v>0.84284000000000003</v>
      </c>
      <c r="AY922" s="6">
        <v>4.3465999999999996</v>
      </c>
      <c r="AZ922" s="6">
        <v>0.81159999999999999</v>
      </c>
      <c r="BA922" s="6">
        <v>255</v>
      </c>
    </row>
    <row r="923" spans="1:53" x14ac:dyDescent="0.25">
      <c r="A923" s="62" t="s">
        <v>161</v>
      </c>
      <c r="B923" s="60">
        <v>3</v>
      </c>
      <c r="C923" s="60">
        <v>15</v>
      </c>
      <c r="D923" s="60">
        <v>6</v>
      </c>
      <c r="E923" s="60">
        <v>49</v>
      </c>
      <c r="F923" t="s">
        <v>12</v>
      </c>
      <c r="G923" t="s">
        <v>12</v>
      </c>
      <c r="H923" t="s">
        <v>12</v>
      </c>
      <c r="I923" s="60">
        <v>2</v>
      </c>
      <c r="AD923" s="17">
        <v>921</v>
      </c>
      <c r="AE923" s="6">
        <v>3.0495399999999999</v>
      </c>
      <c r="AF923" s="6">
        <v>1.9602999999999999</v>
      </c>
      <c r="AG923" s="6">
        <v>2.9363999999999999</v>
      </c>
      <c r="AH923" s="6">
        <v>255</v>
      </c>
      <c r="AJ923" s="17">
        <v>921</v>
      </c>
      <c r="AK923" s="6">
        <v>5.7826000000000004</v>
      </c>
      <c r="AL923" s="6">
        <v>1.9602999999999999</v>
      </c>
      <c r="AM923" s="6">
        <v>2.9363999999999999</v>
      </c>
      <c r="AN923" s="6">
        <v>255</v>
      </c>
      <c r="AQ923" s="17">
        <v>921</v>
      </c>
      <c r="AR923" s="6">
        <v>1.61995</v>
      </c>
      <c r="AS923" s="19">
        <v>-8.9120000000000005E-2</v>
      </c>
      <c r="AT923" s="6">
        <v>0.8226</v>
      </c>
      <c r="AU923" s="6">
        <v>255</v>
      </c>
      <c r="AW923" s="17">
        <v>921</v>
      </c>
      <c r="AX923" s="6">
        <v>0.85429999999999995</v>
      </c>
      <c r="AY923" s="19">
        <v>-8.9120000000000005E-2</v>
      </c>
      <c r="AZ923" s="6">
        <v>0.8226</v>
      </c>
      <c r="BA923" s="6">
        <v>255</v>
      </c>
    </row>
    <row r="924" spans="1:53" x14ac:dyDescent="0.25">
      <c r="A924" s="62" t="s">
        <v>161</v>
      </c>
      <c r="B924" s="60">
        <v>3</v>
      </c>
      <c r="C924" s="60">
        <v>14</v>
      </c>
      <c r="D924" s="60">
        <v>6</v>
      </c>
      <c r="E924" s="60">
        <v>42</v>
      </c>
      <c r="F924" t="s">
        <v>12</v>
      </c>
      <c r="G924" t="s">
        <v>12</v>
      </c>
      <c r="H924" t="s">
        <v>12</v>
      </c>
      <c r="I924" s="60">
        <v>5</v>
      </c>
      <c r="AD924" s="17">
        <v>922</v>
      </c>
      <c r="AE924" s="6">
        <v>3.0638000000000001</v>
      </c>
      <c r="AF924" s="19">
        <v>-6.1058000000000003</v>
      </c>
      <c r="AG924" s="6">
        <v>2.9500999999999999</v>
      </c>
      <c r="AH924" s="6">
        <v>255</v>
      </c>
      <c r="AJ924" s="17">
        <v>922</v>
      </c>
      <c r="AK924" s="6">
        <v>5.8096399999999999</v>
      </c>
      <c r="AL924" s="19">
        <v>-6.1058000000000003</v>
      </c>
      <c r="AM924" s="6">
        <v>2.9500999999999999</v>
      </c>
      <c r="AN924" s="6">
        <v>255</v>
      </c>
      <c r="AQ924" s="17">
        <v>922</v>
      </c>
      <c r="AR924" s="6">
        <v>1.62523</v>
      </c>
      <c r="AS924" s="19">
        <v>-0.5</v>
      </c>
      <c r="AT924" s="6">
        <v>0.82530000000000003</v>
      </c>
      <c r="AU924" s="6">
        <v>255</v>
      </c>
      <c r="AW924" s="17">
        <v>922</v>
      </c>
      <c r="AX924" s="6">
        <v>0.85709000000000002</v>
      </c>
      <c r="AY924" s="19">
        <v>-0.5</v>
      </c>
      <c r="AZ924" s="6">
        <v>0.82530000000000003</v>
      </c>
      <c r="BA924" s="6">
        <v>255</v>
      </c>
    </row>
    <row r="925" spans="1:53" x14ac:dyDescent="0.25">
      <c r="A925" s="62" t="s">
        <v>161</v>
      </c>
      <c r="B925" s="60">
        <v>3</v>
      </c>
      <c r="C925" s="60">
        <v>13</v>
      </c>
      <c r="D925" s="60">
        <v>6</v>
      </c>
      <c r="E925" s="60">
        <v>47</v>
      </c>
      <c r="F925" t="s">
        <v>12</v>
      </c>
      <c r="G925" t="s">
        <v>12</v>
      </c>
      <c r="H925" t="s">
        <v>12</v>
      </c>
      <c r="I925" s="60">
        <v>6</v>
      </c>
      <c r="AD925" s="17">
        <v>923</v>
      </c>
      <c r="AE925" s="6">
        <v>3.0513699999999999</v>
      </c>
      <c r="AF925" s="19">
        <v>-1.0630999999999999</v>
      </c>
      <c r="AG925" s="6">
        <v>2.9380999999999999</v>
      </c>
      <c r="AH925" s="6">
        <v>255</v>
      </c>
      <c r="AJ925" s="17">
        <v>923</v>
      </c>
      <c r="AK925" s="6">
        <v>5.7860800000000001</v>
      </c>
      <c r="AL925" s="19">
        <v>-1.0630999999999999</v>
      </c>
      <c r="AM925" s="6">
        <v>2.9380999999999999</v>
      </c>
      <c r="AN925" s="6">
        <v>255</v>
      </c>
      <c r="AQ925" s="17">
        <v>923</v>
      </c>
      <c r="AR925" s="6">
        <v>1.6153599999999999</v>
      </c>
      <c r="AS925" s="19">
        <v>-0.2276</v>
      </c>
      <c r="AT925" s="6">
        <v>0.82030000000000003</v>
      </c>
      <c r="AU925" s="6">
        <v>255</v>
      </c>
      <c r="AW925" s="17">
        <v>923</v>
      </c>
      <c r="AX925" s="6">
        <v>0.85189000000000004</v>
      </c>
      <c r="AY925" s="19">
        <v>-0.2276</v>
      </c>
      <c r="AZ925" s="6">
        <v>0.82030000000000003</v>
      </c>
      <c r="BA925" s="6">
        <v>255</v>
      </c>
    </row>
    <row r="926" spans="1:53" x14ac:dyDescent="0.25">
      <c r="A926" s="62" t="s">
        <v>161</v>
      </c>
      <c r="B926" s="60">
        <v>3</v>
      </c>
      <c r="C926" s="60">
        <v>12</v>
      </c>
      <c r="D926" s="60">
        <v>6</v>
      </c>
      <c r="E926" s="60">
        <v>12</v>
      </c>
      <c r="F926" t="s">
        <v>12</v>
      </c>
      <c r="G926" t="s">
        <v>12</v>
      </c>
      <c r="H926" t="s">
        <v>12</v>
      </c>
      <c r="I926" s="60">
        <v>2</v>
      </c>
      <c r="AD926" s="17">
        <v>924</v>
      </c>
      <c r="AE926" s="6">
        <v>3.06162</v>
      </c>
      <c r="AF926" s="6">
        <v>1.4142999999999999</v>
      </c>
      <c r="AG926" s="6">
        <v>2.948</v>
      </c>
      <c r="AH926" s="6">
        <v>255</v>
      </c>
      <c r="AJ926" s="17">
        <v>924</v>
      </c>
      <c r="AK926" s="6">
        <v>5.8055099999999999</v>
      </c>
      <c r="AL926" s="6">
        <v>1.4142999999999999</v>
      </c>
      <c r="AM926" s="6">
        <v>2.948</v>
      </c>
      <c r="AN926" s="6">
        <v>255</v>
      </c>
      <c r="AQ926" s="17">
        <v>924</v>
      </c>
      <c r="AR926" s="6">
        <v>1.6208800000000001</v>
      </c>
      <c r="AS926" s="6">
        <v>0.29620000000000002</v>
      </c>
      <c r="AT926" s="6">
        <v>0.82310000000000005</v>
      </c>
      <c r="AU926" s="6">
        <v>255</v>
      </c>
      <c r="AW926" s="17">
        <v>924</v>
      </c>
      <c r="AX926" s="6">
        <v>0.8548</v>
      </c>
      <c r="AY926" s="6">
        <v>0.29620000000000002</v>
      </c>
      <c r="AZ926" s="6">
        <v>0.82310000000000005</v>
      </c>
      <c r="BA926" s="6">
        <v>255</v>
      </c>
    </row>
    <row r="927" spans="1:53" x14ac:dyDescent="0.25">
      <c r="A927" s="62" t="s">
        <v>161</v>
      </c>
      <c r="B927" s="60">
        <v>3</v>
      </c>
      <c r="C927" s="60">
        <v>11</v>
      </c>
      <c r="D927" s="60">
        <v>6</v>
      </c>
      <c r="E927" s="60">
        <v>39</v>
      </c>
      <c r="F927" t="s">
        <v>12</v>
      </c>
      <c r="G927" t="s">
        <v>12</v>
      </c>
      <c r="H927" t="s">
        <v>12</v>
      </c>
      <c r="I927" s="60">
        <v>7</v>
      </c>
      <c r="AD927" s="17">
        <v>925</v>
      </c>
      <c r="AE927" s="6">
        <v>3.0398999999999998</v>
      </c>
      <c r="AF927" s="19">
        <v>-0.505</v>
      </c>
      <c r="AG927" s="6">
        <v>2.9270999999999998</v>
      </c>
      <c r="AH927" s="6">
        <v>255</v>
      </c>
      <c r="AJ927" s="17">
        <v>925</v>
      </c>
      <c r="AK927" s="6">
        <v>5.76431</v>
      </c>
      <c r="AL927" s="19">
        <v>-0.505</v>
      </c>
      <c r="AM927" s="6">
        <v>2.9270999999999998</v>
      </c>
      <c r="AN927" s="6">
        <v>255</v>
      </c>
      <c r="AQ927" s="17">
        <v>925</v>
      </c>
      <c r="AR927" s="6">
        <v>1.6154900000000001</v>
      </c>
      <c r="AS927" s="19">
        <v>-0.88639999999999997</v>
      </c>
      <c r="AT927" s="6">
        <v>0.82030000000000003</v>
      </c>
      <c r="AU927" s="6">
        <v>255</v>
      </c>
      <c r="AW927" s="17">
        <v>925</v>
      </c>
      <c r="AX927" s="6">
        <v>0.85194999999999999</v>
      </c>
      <c r="AY927" s="19">
        <v>-0.88639999999999997</v>
      </c>
      <c r="AZ927" s="6">
        <v>0.82030000000000003</v>
      </c>
      <c r="BA927" s="6">
        <v>255</v>
      </c>
    </row>
    <row r="928" spans="1:53" x14ac:dyDescent="0.25">
      <c r="A928" s="62" t="s">
        <v>161</v>
      </c>
      <c r="B928" s="60">
        <v>3</v>
      </c>
      <c r="C928" s="60">
        <v>10</v>
      </c>
      <c r="D928" s="60">
        <v>6</v>
      </c>
      <c r="E928" s="60">
        <v>7</v>
      </c>
      <c r="F928" t="s">
        <v>12</v>
      </c>
      <c r="G928" t="s">
        <v>12</v>
      </c>
      <c r="H928" t="s">
        <v>12</v>
      </c>
      <c r="I928" s="60">
        <v>1</v>
      </c>
      <c r="AD928" s="17">
        <v>926</v>
      </c>
      <c r="AE928" s="6">
        <v>3.0461399999999998</v>
      </c>
      <c r="AF928" s="6">
        <v>0.80600000000000005</v>
      </c>
      <c r="AG928" s="6">
        <v>2.9331</v>
      </c>
      <c r="AH928" s="6">
        <v>255</v>
      </c>
      <c r="AJ928" s="17">
        <v>926</v>
      </c>
      <c r="AK928" s="6">
        <v>5.7761500000000003</v>
      </c>
      <c r="AL928" s="6">
        <v>0.80600000000000005</v>
      </c>
      <c r="AM928" s="6">
        <v>2.9331</v>
      </c>
      <c r="AN928" s="6">
        <v>255</v>
      </c>
      <c r="AQ928" s="17">
        <v>926</v>
      </c>
      <c r="AR928" s="6">
        <v>1.6158600000000001</v>
      </c>
      <c r="AS928" s="19">
        <v>-1.0748</v>
      </c>
      <c r="AT928" s="6">
        <v>0.82050000000000001</v>
      </c>
      <c r="AU928" s="6">
        <v>255</v>
      </c>
      <c r="AW928" s="17">
        <v>926</v>
      </c>
      <c r="AX928" s="6">
        <v>0.85214999999999996</v>
      </c>
      <c r="AY928" s="19">
        <v>-1.0748</v>
      </c>
      <c r="AZ928" s="6">
        <v>0.82050000000000001</v>
      </c>
      <c r="BA928" s="6">
        <v>255</v>
      </c>
    </row>
    <row r="929" spans="1:53" x14ac:dyDescent="0.25">
      <c r="A929" s="62" t="s">
        <v>161</v>
      </c>
      <c r="B929" s="60">
        <v>3</v>
      </c>
      <c r="C929" s="60">
        <v>9</v>
      </c>
      <c r="D929" s="60">
        <v>6</v>
      </c>
      <c r="E929" s="60">
        <v>46</v>
      </c>
      <c r="F929" t="s">
        <v>12</v>
      </c>
      <c r="G929" t="s">
        <v>12</v>
      </c>
      <c r="H929" t="s">
        <v>12</v>
      </c>
      <c r="I929" s="60">
        <v>3</v>
      </c>
      <c r="AD929" s="17">
        <v>927</v>
      </c>
      <c r="AE929" s="6">
        <v>3.0403600000000002</v>
      </c>
      <c r="AF929" s="6">
        <v>2.6996000000000002</v>
      </c>
      <c r="AG929" s="6">
        <v>2.9275000000000002</v>
      </c>
      <c r="AH929" s="6">
        <v>255</v>
      </c>
      <c r="AJ929" s="17">
        <v>927</v>
      </c>
      <c r="AK929" s="6">
        <v>5.7651899999999996</v>
      </c>
      <c r="AL929" s="6">
        <v>2.6996000000000002</v>
      </c>
      <c r="AM929" s="6">
        <v>2.9275000000000002</v>
      </c>
      <c r="AN929" s="6">
        <v>255</v>
      </c>
      <c r="AQ929" s="17">
        <v>927</v>
      </c>
      <c r="AR929" s="6">
        <v>1.6140600000000001</v>
      </c>
      <c r="AS929" s="19">
        <v>-0.1452</v>
      </c>
      <c r="AT929" s="6">
        <v>0.8196</v>
      </c>
      <c r="AU929" s="6">
        <v>255</v>
      </c>
      <c r="AW929" s="17">
        <v>927</v>
      </c>
      <c r="AX929" s="6">
        <v>0.85119999999999996</v>
      </c>
      <c r="AY929" s="19">
        <v>-0.1452</v>
      </c>
      <c r="AZ929" s="6">
        <v>0.8196</v>
      </c>
      <c r="BA929" s="6">
        <v>255</v>
      </c>
    </row>
    <row r="930" spans="1:53" x14ac:dyDescent="0.25">
      <c r="A930" s="62" t="s">
        <v>161</v>
      </c>
      <c r="B930" s="60">
        <v>3</v>
      </c>
      <c r="C930" s="60">
        <v>8</v>
      </c>
      <c r="D930" s="60">
        <v>6</v>
      </c>
      <c r="E930" s="60">
        <v>36</v>
      </c>
      <c r="F930" t="s">
        <v>12</v>
      </c>
      <c r="G930" t="s">
        <v>12</v>
      </c>
      <c r="H930" t="s">
        <v>12</v>
      </c>
      <c r="I930" s="60">
        <v>2</v>
      </c>
      <c r="AD930" s="17">
        <v>928</v>
      </c>
      <c r="AE930" s="6">
        <v>3.0636299999999999</v>
      </c>
      <c r="AF930" s="19">
        <v>-3.4500999999999999</v>
      </c>
      <c r="AG930" s="6">
        <v>2.9499</v>
      </c>
      <c r="AH930" s="6">
        <v>255</v>
      </c>
      <c r="AJ930" s="17">
        <v>928</v>
      </c>
      <c r="AK930" s="6">
        <v>5.8093199999999996</v>
      </c>
      <c r="AL930" s="19">
        <v>-3.4500999999999999</v>
      </c>
      <c r="AM930" s="6">
        <v>2.9499</v>
      </c>
      <c r="AN930" s="6">
        <v>255</v>
      </c>
      <c r="AQ930" s="17">
        <v>928</v>
      </c>
      <c r="AR930" s="6">
        <v>1.6240399999999999</v>
      </c>
      <c r="AS930" s="19">
        <v>-2.5097</v>
      </c>
      <c r="AT930" s="6">
        <v>0.82469999999999999</v>
      </c>
      <c r="AU930" s="6">
        <v>255</v>
      </c>
      <c r="AW930" s="17">
        <v>928</v>
      </c>
      <c r="AX930" s="6">
        <v>0.85646</v>
      </c>
      <c r="AY930" s="19">
        <v>-2.5097</v>
      </c>
      <c r="AZ930" s="6">
        <v>0.82469999999999999</v>
      </c>
      <c r="BA930" s="6">
        <v>255</v>
      </c>
    </row>
    <row r="931" spans="1:53" x14ac:dyDescent="0.25">
      <c r="A931" s="62" t="s">
        <v>161</v>
      </c>
      <c r="B931" s="60">
        <v>3</v>
      </c>
      <c r="C931" s="60">
        <v>7</v>
      </c>
      <c r="D931" s="60">
        <v>6</v>
      </c>
      <c r="E931" s="60">
        <v>31</v>
      </c>
      <c r="F931" t="s">
        <v>12</v>
      </c>
      <c r="G931" t="s">
        <v>12</v>
      </c>
      <c r="H931" t="s">
        <v>12</v>
      </c>
      <c r="I931" s="60">
        <v>1</v>
      </c>
      <c r="AD931" s="17">
        <v>929</v>
      </c>
      <c r="AE931" s="6">
        <v>3.0616300000000001</v>
      </c>
      <c r="AF931" s="19">
        <v>-0.32519999999999999</v>
      </c>
      <c r="AG931" s="6">
        <v>2.948</v>
      </c>
      <c r="AH931" s="6">
        <v>255</v>
      </c>
      <c r="AJ931" s="17">
        <v>929</v>
      </c>
      <c r="AK931" s="6">
        <v>5.8055199999999996</v>
      </c>
      <c r="AL931" s="19">
        <v>-0.32519999999999999</v>
      </c>
      <c r="AM931" s="6">
        <v>2.948</v>
      </c>
      <c r="AN931" s="6">
        <v>255</v>
      </c>
      <c r="AQ931" s="17">
        <v>929</v>
      </c>
      <c r="AR931" s="6">
        <v>1.61822</v>
      </c>
      <c r="AS931" s="19">
        <v>-0.1366</v>
      </c>
      <c r="AT931" s="6">
        <v>0.82169999999999999</v>
      </c>
      <c r="AU931" s="6">
        <v>255</v>
      </c>
      <c r="AW931" s="17">
        <v>929</v>
      </c>
      <c r="AX931" s="6">
        <v>0.85338999999999998</v>
      </c>
      <c r="AY931" s="19">
        <v>-0.1366</v>
      </c>
      <c r="AZ931" s="6">
        <v>0.82169999999999999</v>
      </c>
      <c r="BA931" s="6">
        <v>255</v>
      </c>
    </row>
    <row r="932" spans="1:53" x14ac:dyDescent="0.25">
      <c r="A932" s="62" t="s">
        <v>161</v>
      </c>
      <c r="B932" s="60">
        <v>3</v>
      </c>
      <c r="C932" s="60">
        <v>6</v>
      </c>
      <c r="D932" s="60">
        <v>6</v>
      </c>
      <c r="E932" s="60">
        <v>8</v>
      </c>
      <c r="F932" t="s">
        <v>12</v>
      </c>
      <c r="G932" t="s">
        <v>12</v>
      </c>
      <c r="H932" t="s">
        <v>12</v>
      </c>
      <c r="I932" s="60">
        <v>2</v>
      </c>
      <c r="AD932" s="17">
        <v>930</v>
      </c>
      <c r="AE932" s="6">
        <v>3.06596</v>
      </c>
      <c r="AF932" s="6">
        <v>1.9924999999999999</v>
      </c>
      <c r="AG932" s="6">
        <v>2.9521999999999999</v>
      </c>
      <c r="AH932" s="6">
        <v>255</v>
      </c>
      <c r="AJ932" s="17">
        <v>930</v>
      </c>
      <c r="AK932" s="6">
        <v>5.8137400000000001</v>
      </c>
      <c r="AL932" s="6">
        <v>1.9924999999999999</v>
      </c>
      <c r="AM932" s="6">
        <v>2.9521999999999999</v>
      </c>
      <c r="AN932" s="6">
        <v>255</v>
      </c>
      <c r="AQ932" s="17">
        <v>930</v>
      </c>
      <c r="AR932" s="6">
        <v>1.6301000000000001</v>
      </c>
      <c r="AS932" s="19">
        <v>-0.40400000000000003</v>
      </c>
      <c r="AT932" s="6">
        <v>0.82779999999999998</v>
      </c>
      <c r="AU932" s="6">
        <v>255</v>
      </c>
      <c r="AW932" s="17">
        <v>930</v>
      </c>
      <c r="AX932" s="6">
        <v>0.85965999999999998</v>
      </c>
      <c r="AY932" s="19">
        <v>-0.40400000000000003</v>
      </c>
      <c r="AZ932" s="6">
        <v>0.82779999999999998</v>
      </c>
      <c r="BA932" s="6">
        <v>255</v>
      </c>
    </row>
    <row r="933" spans="1:53" x14ac:dyDescent="0.25">
      <c r="A933" s="62" t="s">
        <v>161</v>
      </c>
      <c r="B933" s="60">
        <v>3</v>
      </c>
      <c r="C933" s="60">
        <v>5</v>
      </c>
      <c r="D933" s="60">
        <v>6</v>
      </c>
      <c r="E933" s="60">
        <v>34</v>
      </c>
      <c r="F933" t="s">
        <v>12</v>
      </c>
      <c r="G933" t="s">
        <v>12</v>
      </c>
      <c r="H933" t="s">
        <v>12</v>
      </c>
      <c r="I933" s="60">
        <v>1</v>
      </c>
      <c r="AD933" s="17">
        <v>931</v>
      </c>
      <c r="AE933" s="6">
        <v>3.05139</v>
      </c>
      <c r="AF933" s="6">
        <v>1.8693</v>
      </c>
      <c r="AG933" s="6">
        <v>2.9380999999999999</v>
      </c>
      <c r="AH933" s="6">
        <v>255</v>
      </c>
      <c r="AJ933" s="17">
        <v>931</v>
      </c>
      <c r="AK933" s="6">
        <v>5.7861000000000002</v>
      </c>
      <c r="AL933" s="6">
        <v>1.8693</v>
      </c>
      <c r="AM933" s="6">
        <v>2.9380999999999999</v>
      </c>
      <c r="AN933" s="6">
        <v>255</v>
      </c>
      <c r="AQ933" s="17">
        <v>931</v>
      </c>
      <c r="AR933" s="6">
        <v>1.62185</v>
      </c>
      <c r="AS933" s="19">
        <v>-0.15160000000000001</v>
      </c>
      <c r="AT933" s="6">
        <v>0.8236</v>
      </c>
      <c r="AU933" s="6">
        <v>255</v>
      </c>
      <c r="AW933" s="17">
        <v>931</v>
      </c>
      <c r="AX933" s="6">
        <v>0.85531000000000001</v>
      </c>
      <c r="AY933" s="19">
        <v>-0.15160000000000001</v>
      </c>
      <c r="AZ933" s="6">
        <v>0.8236</v>
      </c>
      <c r="BA933" s="6">
        <v>255</v>
      </c>
    </row>
    <row r="934" spans="1:53" x14ac:dyDescent="0.25">
      <c r="A934" s="62" t="s">
        <v>161</v>
      </c>
      <c r="B934" s="60">
        <v>3</v>
      </c>
      <c r="C934" s="60">
        <v>4</v>
      </c>
      <c r="D934" s="60">
        <v>6</v>
      </c>
      <c r="E934" s="60">
        <v>24</v>
      </c>
      <c r="F934" t="s">
        <v>12</v>
      </c>
      <c r="G934" t="s">
        <v>12</v>
      </c>
      <c r="H934" t="s">
        <v>12</v>
      </c>
      <c r="I934" s="60">
        <v>4</v>
      </c>
      <c r="AD934" s="17">
        <v>932</v>
      </c>
      <c r="AE934" s="6">
        <v>3.0571100000000002</v>
      </c>
      <c r="AF934" s="19">
        <v>-1.6173</v>
      </c>
      <c r="AG934" s="6">
        <v>2.9436</v>
      </c>
      <c r="AH934" s="6">
        <v>255</v>
      </c>
      <c r="AJ934" s="17">
        <v>932</v>
      </c>
      <c r="AK934" s="6">
        <v>5.7969600000000003</v>
      </c>
      <c r="AL934" s="19">
        <v>-1.6173</v>
      </c>
      <c r="AM934" s="6">
        <v>2.9436</v>
      </c>
      <c r="AN934" s="6">
        <v>255</v>
      </c>
      <c r="AQ934" s="17">
        <v>932</v>
      </c>
      <c r="AR934" s="6">
        <v>1.6154500000000001</v>
      </c>
      <c r="AS934" s="19">
        <v>-1.5324</v>
      </c>
      <c r="AT934" s="6">
        <v>0.82030000000000003</v>
      </c>
      <c r="AU934" s="6">
        <v>255</v>
      </c>
      <c r="AW934" s="17">
        <v>932</v>
      </c>
      <c r="AX934" s="6">
        <v>0.85192999999999997</v>
      </c>
      <c r="AY934" s="19">
        <v>-1.5324</v>
      </c>
      <c r="AZ934" s="6">
        <v>0.82030000000000003</v>
      </c>
      <c r="BA934" s="6">
        <v>255</v>
      </c>
    </row>
    <row r="935" spans="1:53" x14ac:dyDescent="0.25">
      <c r="A935" s="62" t="s">
        <v>161</v>
      </c>
      <c r="B935" s="60">
        <v>3</v>
      </c>
      <c r="C935" s="60">
        <v>3</v>
      </c>
      <c r="D935" s="60">
        <v>6</v>
      </c>
      <c r="E935" s="60">
        <v>44</v>
      </c>
      <c r="F935" t="s">
        <v>12</v>
      </c>
      <c r="G935" t="s">
        <v>12</v>
      </c>
      <c r="H935" t="s">
        <v>12</v>
      </c>
      <c r="I935" s="60">
        <v>4</v>
      </c>
      <c r="AD935" s="17">
        <v>933</v>
      </c>
      <c r="AE935" s="6">
        <v>3.0442</v>
      </c>
      <c r="AF935" s="19">
        <v>-0.42959999999999998</v>
      </c>
      <c r="AG935" s="6">
        <v>2.9312</v>
      </c>
      <c r="AH935" s="6">
        <v>255</v>
      </c>
      <c r="AJ935" s="17">
        <v>933</v>
      </c>
      <c r="AK935" s="6">
        <v>5.7724700000000002</v>
      </c>
      <c r="AL935" s="19">
        <v>-0.42959999999999998</v>
      </c>
      <c r="AM935" s="6">
        <v>2.9312</v>
      </c>
      <c r="AN935" s="6">
        <v>255</v>
      </c>
      <c r="AQ935" s="17">
        <v>933</v>
      </c>
      <c r="AR935" s="6">
        <v>1.60955</v>
      </c>
      <c r="AS935" s="19">
        <v>-1.1692</v>
      </c>
      <c r="AT935" s="6">
        <v>0.81730000000000003</v>
      </c>
      <c r="AU935" s="6">
        <v>255</v>
      </c>
      <c r="AW935" s="17">
        <v>933</v>
      </c>
      <c r="AX935" s="6">
        <v>0.84882000000000002</v>
      </c>
      <c r="AY935" s="19">
        <v>-1.1692</v>
      </c>
      <c r="AZ935" s="6">
        <v>0.81730000000000003</v>
      </c>
      <c r="BA935" s="6">
        <v>255</v>
      </c>
    </row>
    <row r="936" spans="1:53" x14ac:dyDescent="0.25">
      <c r="A936" s="62" t="s">
        <v>161</v>
      </c>
      <c r="B936" s="60">
        <v>3</v>
      </c>
      <c r="C936" s="60">
        <v>2</v>
      </c>
      <c r="D936" s="60">
        <v>6</v>
      </c>
      <c r="E936" s="60">
        <v>16</v>
      </c>
      <c r="F936" t="s">
        <v>12</v>
      </c>
      <c r="G936" t="s">
        <v>12</v>
      </c>
      <c r="H936" t="s">
        <v>12</v>
      </c>
      <c r="I936" s="60">
        <v>5</v>
      </c>
      <c r="AD936" s="17">
        <v>934</v>
      </c>
      <c r="AE936" s="6">
        <v>3.0483500000000001</v>
      </c>
      <c r="AF936" s="6">
        <v>0.1434</v>
      </c>
      <c r="AG936" s="6">
        <v>2.9352</v>
      </c>
      <c r="AH936" s="6">
        <v>255</v>
      </c>
      <c r="AJ936" s="17">
        <v>934</v>
      </c>
      <c r="AK936" s="6">
        <v>5.7803399999999998</v>
      </c>
      <c r="AL936" s="6">
        <v>0.1434</v>
      </c>
      <c r="AM936" s="6">
        <v>2.9352</v>
      </c>
      <c r="AN936" s="6">
        <v>255</v>
      </c>
      <c r="AQ936" s="17">
        <v>934</v>
      </c>
      <c r="AR936" s="6">
        <v>1.61839</v>
      </c>
      <c r="AS936" s="19">
        <v>-0.63370000000000004</v>
      </c>
      <c r="AT936" s="6">
        <v>0.82179999999999997</v>
      </c>
      <c r="AU936" s="6">
        <v>255</v>
      </c>
      <c r="AW936" s="17">
        <v>934</v>
      </c>
      <c r="AX936" s="6">
        <v>0.85348000000000002</v>
      </c>
      <c r="AY936" s="19">
        <v>-0.63370000000000004</v>
      </c>
      <c r="AZ936" s="6">
        <v>0.82179999999999997</v>
      </c>
      <c r="BA936" s="6">
        <v>255</v>
      </c>
    </row>
    <row r="937" spans="1:53" x14ac:dyDescent="0.25">
      <c r="A937" s="62" t="s">
        <v>161</v>
      </c>
      <c r="B937" s="60">
        <v>3</v>
      </c>
      <c r="C937" s="60">
        <v>1</v>
      </c>
      <c r="D937" s="60">
        <v>6</v>
      </c>
      <c r="E937" s="60">
        <v>25</v>
      </c>
      <c r="F937" t="s">
        <v>12</v>
      </c>
      <c r="G937" t="s">
        <v>12</v>
      </c>
      <c r="H937" t="s">
        <v>12</v>
      </c>
      <c r="I937" s="60">
        <v>4</v>
      </c>
      <c r="AD937" s="17">
        <v>935</v>
      </c>
      <c r="AE937" s="6">
        <v>3.0275300000000001</v>
      </c>
      <c r="AF937" s="6">
        <v>0.1666</v>
      </c>
      <c r="AG937" s="6">
        <v>2.9152</v>
      </c>
      <c r="AH937" s="6">
        <v>255</v>
      </c>
      <c r="AJ937" s="17">
        <v>935</v>
      </c>
      <c r="AK937" s="6">
        <v>5.7408599999999996</v>
      </c>
      <c r="AL937" s="6">
        <v>0.1666</v>
      </c>
      <c r="AM937" s="6">
        <v>2.9152</v>
      </c>
      <c r="AN937" s="6">
        <v>255</v>
      </c>
      <c r="AQ937" s="17">
        <v>935</v>
      </c>
      <c r="AR937" s="6">
        <v>1.60623</v>
      </c>
      <c r="AS937" s="19">
        <v>-0.1696</v>
      </c>
      <c r="AT937" s="6">
        <v>0.81559999999999999</v>
      </c>
      <c r="AU937" s="6">
        <v>255</v>
      </c>
      <c r="AW937" s="17">
        <v>935</v>
      </c>
      <c r="AX937" s="6">
        <v>0.84706999999999999</v>
      </c>
      <c r="AY937" s="19">
        <v>-0.1696</v>
      </c>
      <c r="AZ937" s="6">
        <v>0.81559999999999999</v>
      </c>
      <c r="BA937" s="6">
        <v>255</v>
      </c>
    </row>
    <row r="938" spans="1:53" x14ac:dyDescent="0.25">
      <c r="AD938" s="17">
        <v>936</v>
      </c>
      <c r="AE938" s="6">
        <v>3.05911</v>
      </c>
      <c r="AF938" s="19">
        <v>-0.81579999999999997</v>
      </c>
      <c r="AG938" s="6">
        <v>2.9456000000000002</v>
      </c>
      <c r="AH938" s="6">
        <v>255</v>
      </c>
      <c r="AJ938" s="17">
        <v>936</v>
      </c>
      <c r="AK938" s="6">
        <v>5.8007499999999999</v>
      </c>
      <c r="AL938" s="19">
        <v>-0.81579999999999997</v>
      </c>
      <c r="AM938" s="6">
        <v>2.9456000000000002</v>
      </c>
      <c r="AN938" s="6">
        <v>255</v>
      </c>
      <c r="AQ938" s="17">
        <v>936</v>
      </c>
      <c r="AR938" s="6">
        <v>1.6208</v>
      </c>
      <c r="AS938" s="19">
        <v>-1.284</v>
      </c>
      <c r="AT938" s="6">
        <v>0.82299999999999995</v>
      </c>
      <c r="AU938" s="6">
        <v>255</v>
      </c>
      <c r="AW938" s="17">
        <v>936</v>
      </c>
      <c r="AX938" s="6">
        <v>0.85475000000000001</v>
      </c>
      <c r="AY938" s="19">
        <v>-1.284</v>
      </c>
      <c r="AZ938" s="6">
        <v>0.82299999999999995</v>
      </c>
      <c r="BA938" s="6">
        <v>255</v>
      </c>
    </row>
    <row r="939" spans="1:53" x14ac:dyDescent="0.25">
      <c r="AD939" s="17">
        <v>937</v>
      </c>
      <c r="AE939" s="6">
        <v>3.0532900000000001</v>
      </c>
      <c r="AF939" s="6">
        <v>6.7739000000000003</v>
      </c>
      <c r="AG939" s="6">
        <v>2.94</v>
      </c>
      <c r="AH939" s="6">
        <v>255</v>
      </c>
      <c r="AJ939" s="17">
        <v>937</v>
      </c>
      <c r="AK939" s="6">
        <v>5.7897100000000004</v>
      </c>
      <c r="AL939" s="6">
        <v>6.7739000000000003</v>
      </c>
      <c r="AM939" s="6">
        <v>2.94</v>
      </c>
      <c r="AN939" s="6">
        <v>255</v>
      </c>
      <c r="AQ939" s="17">
        <v>937</v>
      </c>
      <c r="AR939" s="6">
        <v>1.62602</v>
      </c>
      <c r="AS939" s="6">
        <v>9.1469999999999996E-2</v>
      </c>
      <c r="AT939" s="6">
        <v>0.82569999999999999</v>
      </c>
      <c r="AU939" s="6">
        <v>255</v>
      </c>
      <c r="AW939" s="17">
        <v>937</v>
      </c>
      <c r="AX939" s="6">
        <v>0.85750000000000004</v>
      </c>
      <c r="AY939" s="6">
        <v>9.1469999999999996E-2</v>
      </c>
      <c r="AZ939" s="6">
        <v>0.82569999999999999</v>
      </c>
      <c r="BA939" s="6">
        <v>255</v>
      </c>
    </row>
    <row r="940" spans="1:53" x14ac:dyDescent="0.25">
      <c r="AD940" s="17">
        <v>938</v>
      </c>
      <c r="AE940" s="6">
        <v>3.0446499999999999</v>
      </c>
      <c r="AF940" s="6">
        <v>0.73350000000000004</v>
      </c>
      <c r="AG940" s="6">
        <v>2.9316</v>
      </c>
      <c r="AH940" s="6">
        <v>255</v>
      </c>
      <c r="AJ940" s="17">
        <v>938</v>
      </c>
      <c r="AK940" s="6">
        <v>5.77332</v>
      </c>
      <c r="AL940" s="6">
        <v>0.73350000000000004</v>
      </c>
      <c r="AM940" s="6">
        <v>2.9316</v>
      </c>
      <c r="AN940" s="6">
        <v>255</v>
      </c>
      <c r="AQ940" s="17">
        <v>938</v>
      </c>
      <c r="AR940" s="6">
        <v>1.61399</v>
      </c>
      <c r="AS940" s="19">
        <v>-1.2779</v>
      </c>
      <c r="AT940" s="6">
        <v>0.8196</v>
      </c>
      <c r="AU940" s="6">
        <v>255</v>
      </c>
      <c r="AW940" s="17">
        <v>938</v>
      </c>
      <c r="AX940" s="6">
        <v>0.85116000000000003</v>
      </c>
      <c r="AY940" s="19">
        <v>-1.2779</v>
      </c>
      <c r="AZ940" s="6">
        <v>0.8196</v>
      </c>
      <c r="BA940" s="6">
        <v>255</v>
      </c>
    </row>
    <row r="941" spans="1:53" x14ac:dyDescent="0.25">
      <c r="AD941" s="17">
        <v>939</v>
      </c>
      <c r="AE941" s="6">
        <v>3.0437099999999999</v>
      </c>
      <c r="AF941" s="6">
        <v>9.4974000000000007</v>
      </c>
      <c r="AG941" s="6">
        <v>2.9306999999999999</v>
      </c>
      <c r="AH941" s="6">
        <v>255</v>
      </c>
      <c r="AJ941" s="17">
        <v>939</v>
      </c>
      <c r="AK941" s="6">
        <v>5.7715399999999999</v>
      </c>
      <c r="AL941" s="6">
        <v>9.4974000000000007</v>
      </c>
      <c r="AM941" s="6">
        <v>2.9306999999999999</v>
      </c>
      <c r="AN941" s="6">
        <v>255</v>
      </c>
      <c r="AQ941" s="17">
        <v>939</v>
      </c>
      <c r="AR941" s="6">
        <v>1.6164799999999999</v>
      </c>
      <c r="AS941" s="6">
        <v>1.2135</v>
      </c>
      <c r="AT941" s="6">
        <v>0.82079999999999997</v>
      </c>
      <c r="AU941" s="6">
        <v>255</v>
      </c>
      <c r="AW941" s="17">
        <v>939</v>
      </c>
      <c r="AX941" s="6">
        <v>0.85248000000000002</v>
      </c>
      <c r="AY941" s="6">
        <v>1.2135</v>
      </c>
      <c r="AZ941" s="6">
        <v>0.82079999999999997</v>
      </c>
      <c r="BA941" s="6">
        <v>255</v>
      </c>
    </row>
    <row r="942" spans="1:53" x14ac:dyDescent="0.25">
      <c r="AD942" s="17">
        <v>940</v>
      </c>
      <c r="AE942" s="6">
        <v>3.0493399999999999</v>
      </c>
      <c r="AF942" s="6">
        <v>4.0670999999999999</v>
      </c>
      <c r="AG942" s="6">
        <v>2.9361999999999999</v>
      </c>
      <c r="AH942" s="6">
        <v>255</v>
      </c>
      <c r="AJ942" s="17">
        <v>940</v>
      </c>
      <c r="AK942" s="6">
        <v>5.7822199999999997</v>
      </c>
      <c r="AL942" s="6">
        <v>4.0670999999999999</v>
      </c>
      <c r="AM942" s="6">
        <v>2.9361999999999999</v>
      </c>
      <c r="AN942" s="6">
        <v>255</v>
      </c>
      <c r="AQ942" s="17">
        <v>940</v>
      </c>
      <c r="AR942" s="6">
        <v>1.6152299999999999</v>
      </c>
      <c r="AS942" s="19">
        <v>-0.12709999999999999</v>
      </c>
      <c r="AT942" s="6">
        <v>0.82020000000000004</v>
      </c>
      <c r="AU942" s="6">
        <v>255</v>
      </c>
      <c r="AW942" s="17">
        <v>940</v>
      </c>
      <c r="AX942" s="6">
        <v>0.85180999999999996</v>
      </c>
      <c r="AY942" s="19">
        <v>-0.12709999999999999</v>
      </c>
      <c r="AZ942" s="6">
        <v>0.82020000000000004</v>
      </c>
      <c r="BA942" s="6">
        <v>255</v>
      </c>
    </row>
    <row r="943" spans="1:53" x14ac:dyDescent="0.25">
      <c r="AD943" s="17">
        <v>941</v>
      </c>
      <c r="AE943" s="6">
        <v>3.0517099999999999</v>
      </c>
      <c r="AF943" s="6">
        <v>1.8069</v>
      </c>
      <c r="AG943" s="6">
        <v>2.9384000000000001</v>
      </c>
      <c r="AH943" s="6">
        <v>255</v>
      </c>
      <c r="AJ943" s="17">
        <v>941</v>
      </c>
      <c r="AK943" s="6">
        <v>5.7867100000000002</v>
      </c>
      <c r="AL943" s="6">
        <v>1.8069</v>
      </c>
      <c r="AM943" s="6">
        <v>2.9384000000000001</v>
      </c>
      <c r="AN943" s="6">
        <v>255</v>
      </c>
      <c r="AQ943" s="17">
        <v>941</v>
      </c>
      <c r="AR943" s="6">
        <v>1.61863</v>
      </c>
      <c r="AS943" s="6">
        <v>4.3020000000000003E-2</v>
      </c>
      <c r="AT943" s="6">
        <v>0.82189999999999996</v>
      </c>
      <c r="AU943" s="6">
        <v>255</v>
      </c>
      <c r="AW943" s="17">
        <v>941</v>
      </c>
      <c r="AX943" s="6">
        <v>0.85360999999999998</v>
      </c>
      <c r="AY943" s="6">
        <v>4.3020000000000003E-2</v>
      </c>
      <c r="AZ943" s="6">
        <v>0.82189999999999996</v>
      </c>
      <c r="BA943" s="6">
        <v>255</v>
      </c>
    </row>
    <row r="944" spans="1:53" x14ac:dyDescent="0.25">
      <c r="AD944" s="17">
        <v>942</v>
      </c>
      <c r="AE944" s="6">
        <v>3.0491000000000001</v>
      </c>
      <c r="AF944" s="6">
        <v>3.0573000000000001</v>
      </c>
      <c r="AG944" s="6">
        <v>2.9359000000000002</v>
      </c>
      <c r="AH944" s="6">
        <v>255</v>
      </c>
      <c r="AJ944" s="17">
        <v>942</v>
      </c>
      <c r="AK944" s="6">
        <v>5.7817699999999999</v>
      </c>
      <c r="AL944" s="6">
        <v>3.0573000000000001</v>
      </c>
      <c r="AM944" s="6">
        <v>2.9359000000000002</v>
      </c>
      <c r="AN944" s="6">
        <v>255</v>
      </c>
      <c r="AQ944" s="17">
        <v>942</v>
      </c>
      <c r="AR944" s="6">
        <v>1.6242000000000001</v>
      </c>
      <c r="AS944" s="19">
        <v>-0.37040000000000001</v>
      </c>
      <c r="AT944" s="6">
        <v>0.82479999999999998</v>
      </c>
      <c r="AU944" s="6">
        <v>255</v>
      </c>
      <c r="AW944" s="17">
        <v>942</v>
      </c>
      <c r="AX944" s="6">
        <v>0.85653999999999997</v>
      </c>
      <c r="AY944" s="19">
        <v>-0.37040000000000001</v>
      </c>
      <c r="AZ944" s="6">
        <v>0.82479999999999998</v>
      </c>
      <c r="BA944" s="6">
        <v>255</v>
      </c>
    </row>
    <row r="945" spans="30:53" x14ac:dyDescent="0.25">
      <c r="AD945" s="17">
        <v>943</v>
      </c>
      <c r="AE945" s="6">
        <v>3.0484399999999998</v>
      </c>
      <c r="AF945" s="6">
        <v>2.7621000000000002</v>
      </c>
      <c r="AG945" s="6">
        <v>2.9352999999999998</v>
      </c>
      <c r="AH945" s="6">
        <v>255</v>
      </c>
      <c r="AJ945" s="17">
        <v>943</v>
      </c>
      <c r="AK945" s="6">
        <v>5.7805099999999996</v>
      </c>
      <c r="AL945" s="6">
        <v>2.7621000000000002</v>
      </c>
      <c r="AM945" s="6">
        <v>2.9352999999999998</v>
      </c>
      <c r="AN945" s="6">
        <v>255</v>
      </c>
      <c r="AQ945" s="17">
        <v>943</v>
      </c>
      <c r="AR945" s="6">
        <v>1.6232599999999999</v>
      </c>
      <c r="AS945" s="19">
        <v>-1.5901000000000001</v>
      </c>
      <c r="AT945" s="6">
        <v>0.82430000000000003</v>
      </c>
      <c r="AU945" s="6">
        <v>255</v>
      </c>
      <c r="AW945" s="17">
        <v>943</v>
      </c>
      <c r="AX945" s="6">
        <v>0.85604999999999998</v>
      </c>
      <c r="AY945" s="19">
        <v>-1.5901000000000001</v>
      </c>
      <c r="AZ945" s="6">
        <v>0.82430000000000003</v>
      </c>
      <c r="BA945" s="6">
        <v>255</v>
      </c>
    </row>
    <row r="946" spans="30:53" x14ac:dyDescent="0.25">
      <c r="AD946" s="17">
        <v>944</v>
      </c>
      <c r="AE946" s="6">
        <v>3.0456699999999999</v>
      </c>
      <c r="AF946" s="6">
        <v>8.2003000000000004</v>
      </c>
      <c r="AG946" s="6">
        <v>2.9325999999999999</v>
      </c>
      <c r="AH946" s="6">
        <v>255</v>
      </c>
      <c r="AJ946" s="17">
        <v>944</v>
      </c>
      <c r="AK946" s="6">
        <v>5.7752600000000003</v>
      </c>
      <c r="AL946" s="6">
        <v>8.2003000000000004</v>
      </c>
      <c r="AM946" s="6">
        <v>2.9325999999999999</v>
      </c>
      <c r="AN946" s="6">
        <v>255</v>
      </c>
      <c r="AQ946" s="17">
        <v>944</v>
      </c>
      <c r="AR946" s="6">
        <v>1.61381</v>
      </c>
      <c r="AS946" s="6">
        <v>1.3471</v>
      </c>
      <c r="AT946" s="6">
        <v>0.81950000000000001</v>
      </c>
      <c r="AU946" s="6">
        <v>255</v>
      </c>
      <c r="AW946" s="17">
        <v>944</v>
      </c>
      <c r="AX946" s="6">
        <v>0.85106999999999999</v>
      </c>
      <c r="AY946" s="6">
        <v>1.3471</v>
      </c>
      <c r="AZ946" s="6">
        <v>0.81950000000000001</v>
      </c>
      <c r="BA946" s="6">
        <v>255</v>
      </c>
    </row>
    <row r="947" spans="30:53" x14ac:dyDescent="0.25">
      <c r="AD947" s="17">
        <v>945</v>
      </c>
      <c r="AE947" s="6">
        <v>3.0532400000000002</v>
      </c>
      <c r="AF947" s="6">
        <v>5.0545</v>
      </c>
      <c r="AG947" s="6">
        <v>2.9399000000000002</v>
      </c>
      <c r="AH947" s="6">
        <v>255</v>
      </c>
      <c r="AJ947" s="17">
        <v>945</v>
      </c>
      <c r="AK947" s="6">
        <v>5.7896200000000002</v>
      </c>
      <c r="AL947" s="6">
        <v>5.0545</v>
      </c>
      <c r="AM947" s="6">
        <v>2.9399000000000002</v>
      </c>
      <c r="AN947" s="6">
        <v>255</v>
      </c>
      <c r="AQ947" s="17">
        <v>945</v>
      </c>
      <c r="AR947" s="6">
        <v>1.6169500000000001</v>
      </c>
      <c r="AS947" s="6">
        <v>1.2008000000000001</v>
      </c>
      <c r="AT947" s="6">
        <v>0.82110000000000005</v>
      </c>
      <c r="AU947" s="6">
        <v>255</v>
      </c>
      <c r="AW947" s="17">
        <v>945</v>
      </c>
      <c r="AX947" s="6">
        <v>0.85272000000000003</v>
      </c>
      <c r="AY947" s="6">
        <v>1.2008000000000001</v>
      </c>
      <c r="AZ947" s="6">
        <v>0.82110000000000005</v>
      </c>
      <c r="BA947" s="6">
        <v>255</v>
      </c>
    </row>
    <row r="948" spans="30:53" x14ac:dyDescent="0.25">
      <c r="AD948" s="17">
        <v>946</v>
      </c>
      <c r="AE948" s="6">
        <v>3.0464899999999999</v>
      </c>
      <c r="AF948" s="6">
        <v>3.2997999999999998</v>
      </c>
      <c r="AG948" s="6">
        <v>2.9333999999999998</v>
      </c>
      <c r="AH948" s="6">
        <v>255</v>
      </c>
      <c r="AJ948" s="17">
        <v>946</v>
      </c>
      <c r="AK948" s="6">
        <v>5.7768199999999998</v>
      </c>
      <c r="AL948" s="6">
        <v>3.2997999999999998</v>
      </c>
      <c r="AM948" s="6">
        <v>2.9333999999999998</v>
      </c>
      <c r="AN948" s="6">
        <v>255</v>
      </c>
      <c r="AQ948" s="17">
        <v>946</v>
      </c>
      <c r="AR948" s="6">
        <v>1.6159399999999999</v>
      </c>
      <c r="AS948" s="6">
        <v>0.74350000000000005</v>
      </c>
      <c r="AT948" s="6">
        <v>0.8206</v>
      </c>
      <c r="AU948" s="6">
        <v>255</v>
      </c>
      <c r="AW948" s="17">
        <v>946</v>
      </c>
      <c r="AX948" s="6">
        <v>0.85219</v>
      </c>
      <c r="AY948" s="6">
        <v>0.74350000000000005</v>
      </c>
      <c r="AZ948" s="6">
        <v>0.8206</v>
      </c>
      <c r="BA948" s="6">
        <v>255</v>
      </c>
    </row>
    <row r="949" spans="30:53" x14ac:dyDescent="0.25">
      <c r="AD949" s="17">
        <v>947</v>
      </c>
      <c r="AE949" s="6">
        <v>3.0644100000000001</v>
      </c>
      <c r="AF949" s="6">
        <v>7.0210999999999997</v>
      </c>
      <c r="AG949" s="6">
        <v>2.9506999999999999</v>
      </c>
      <c r="AH949" s="6">
        <v>255</v>
      </c>
      <c r="AJ949" s="17">
        <v>947</v>
      </c>
      <c r="AK949" s="6">
        <v>5.8108000000000004</v>
      </c>
      <c r="AL949" s="6">
        <v>7.0210999999999997</v>
      </c>
      <c r="AM949" s="6">
        <v>2.9506999999999999</v>
      </c>
      <c r="AN949" s="6">
        <v>255</v>
      </c>
      <c r="AQ949" s="17">
        <v>947</v>
      </c>
      <c r="AR949" s="6">
        <v>1.62401</v>
      </c>
      <c r="AS949" s="6">
        <v>5.9569999999999998E-2</v>
      </c>
      <c r="AT949" s="6">
        <v>0.82469999999999999</v>
      </c>
      <c r="AU949" s="6">
        <v>255</v>
      </c>
      <c r="AW949" s="17">
        <v>947</v>
      </c>
      <c r="AX949" s="6">
        <v>0.85643999999999998</v>
      </c>
      <c r="AY949" s="6">
        <v>5.9569999999999998E-2</v>
      </c>
      <c r="AZ949" s="6">
        <v>0.82469999999999999</v>
      </c>
      <c r="BA949" s="6">
        <v>255</v>
      </c>
    </row>
    <row r="950" spans="30:53" x14ac:dyDescent="0.25">
      <c r="AD950" s="17">
        <v>948</v>
      </c>
      <c r="AE950" s="6">
        <v>3.0516800000000002</v>
      </c>
      <c r="AF950" s="6">
        <v>15.525</v>
      </c>
      <c r="AG950" s="6">
        <v>2.9384000000000001</v>
      </c>
      <c r="AH950" s="6">
        <v>255</v>
      </c>
      <c r="AJ950" s="17">
        <v>948</v>
      </c>
      <c r="AK950" s="6">
        <v>5.7866499999999998</v>
      </c>
      <c r="AL950" s="6">
        <v>15.525</v>
      </c>
      <c r="AM950" s="6">
        <v>2.9384000000000001</v>
      </c>
      <c r="AN950" s="6">
        <v>255</v>
      </c>
      <c r="AQ950" s="17">
        <v>948</v>
      </c>
      <c r="AR950" s="6">
        <v>1.62354</v>
      </c>
      <c r="AS950" s="6">
        <v>2.9681999999999999</v>
      </c>
      <c r="AT950" s="6">
        <v>0.82440000000000002</v>
      </c>
      <c r="AU950" s="6">
        <v>255</v>
      </c>
      <c r="AW950" s="17">
        <v>948</v>
      </c>
      <c r="AX950" s="6">
        <v>0.85619999999999996</v>
      </c>
      <c r="AY950" s="6">
        <v>2.9681999999999999</v>
      </c>
      <c r="AZ950" s="6">
        <v>0.82440000000000002</v>
      </c>
      <c r="BA950" s="6">
        <v>255</v>
      </c>
    </row>
    <row r="951" spans="30:53" x14ac:dyDescent="0.25">
      <c r="AD951" s="17">
        <v>949</v>
      </c>
      <c r="AE951" s="6">
        <v>3.0728200000000001</v>
      </c>
      <c r="AF951" s="19">
        <v>-8.0661000000000005</v>
      </c>
      <c r="AG951" s="6">
        <v>2.9588000000000001</v>
      </c>
      <c r="AH951" s="6">
        <v>255</v>
      </c>
      <c r="AJ951" s="17">
        <v>949</v>
      </c>
      <c r="AK951" s="6">
        <v>5.82674</v>
      </c>
      <c r="AL951" s="19">
        <v>-8.0661000000000005</v>
      </c>
      <c r="AM951" s="6">
        <v>2.9588000000000001</v>
      </c>
      <c r="AN951" s="6">
        <v>255</v>
      </c>
      <c r="AQ951" s="17">
        <v>949</v>
      </c>
      <c r="AR951" s="6">
        <v>1.6062399999999999</v>
      </c>
      <c r="AS951" s="19">
        <v>-0.41089999999999999</v>
      </c>
      <c r="AT951" s="6">
        <v>0.81559999999999999</v>
      </c>
      <c r="AU951" s="6">
        <v>255</v>
      </c>
      <c r="AW951" s="17">
        <v>949</v>
      </c>
      <c r="AX951" s="6">
        <v>0.84708000000000006</v>
      </c>
      <c r="AY951" s="19">
        <v>-0.41089999999999999</v>
      </c>
      <c r="AZ951" s="6">
        <v>0.81559999999999999</v>
      </c>
      <c r="BA951" s="6">
        <v>255</v>
      </c>
    </row>
    <row r="952" spans="30:53" x14ac:dyDescent="0.25">
      <c r="AD952" s="17">
        <v>950</v>
      </c>
      <c r="AE952" s="6">
        <v>3.0485699999999998</v>
      </c>
      <c r="AF952" s="19">
        <v>-3.0232999999999999</v>
      </c>
      <c r="AG952" s="6">
        <v>2.9354</v>
      </c>
      <c r="AH952" s="6">
        <v>255</v>
      </c>
      <c r="AJ952" s="17">
        <v>950</v>
      </c>
      <c r="AK952" s="6">
        <v>5.7807500000000003</v>
      </c>
      <c r="AL952" s="19">
        <v>-3.0232999999999999</v>
      </c>
      <c r="AM952" s="6">
        <v>2.9354</v>
      </c>
      <c r="AN952" s="6">
        <v>255</v>
      </c>
      <c r="AQ952" s="17">
        <v>950</v>
      </c>
      <c r="AR952" s="6">
        <v>1.59274</v>
      </c>
      <c r="AS952" s="19">
        <v>-0.13850000000000001</v>
      </c>
      <c r="AT952" s="6">
        <v>0.80879999999999996</v>
      </c>
      <c r="AU952" s="6">
        <v>255</v>
      </c>
      <c r="AW952" s="17">
        <v>950</v>
      </c>
      <c r="AX952" s="6">
        <v>0.83996000000000004</v>
      </c>
      <c r="AY952" s="19">
        <v>-0.13850000000000001</v>
      </c>
      <c r="AZ952" s="6">
        <v>0.80879999999999996</v>
      </c>
      <c r="BA952" s="6">
        <v>255</v>
      </c>
    </row>
    <row r="953" spans="30:53" x14ac:dyDescent="0.25">
      <c r="AD953" s="17">
        <v>951</v>
      </c>
      <c r="AE953" s="6">
        <v>3.0604900000000002</v>
      </c>
      <c r="AF953" s="19">
        <v>-0.54600000000000004</v>
      </c>
      <c r="AG953" s="6">
        <v>2.9468999999999999</v>
      </c>
      <c r="AH953" s="6">
        <v>255</v>
      </c>
      <c r="AJ953" s="17">
        <v>951</v>
      </c>
      <c r="AK953" s="6">
        <v>5.8033599999999996</v>
      </c>
      <c r="AL953" s="19">
        <v>-0.54600000000000004</v>
      </c>
      <c r="AM953" s="6">
        <v>2.9468999999999999</v>
      </c>
      <c r="AN953" s="6">
        <v>255</v>
      </c>
      <c r="AQ953" s="17">
        <v>951</v>
      </c>
      <c r="AR953" s="6">
        <v>1.5980799999999999</v>
      </c>
      <c r="AS953" s="6">
        <v>0.38529999999999998</v>
      </c>
      <c r="AT953" s="6">
        <v>0.8115</v>
      </c>
      <c r="AU953" s="6">
        <v>255</v>
      </c>
      <c r="AW953" s="17">
        <v>951</v>
      </c>
      <c r="AX953" s="6">
        <v>0.84277000000000002</v>
      </c>
      <c r="AY953" s="6">
        <v>0.38529999999999998</v>
      </c>
      <c r="AZ953" s="6">
        <v>0.8115</v>
      </c>
      <c r="BA953" s="6">
        <v>255</v>
      </c>
    </row>
    <row r="954" spans="30:53" x14ac:dyDescent="0.25">
      <c r="AD954" s="17">
        <v>952</v>
      </c>
      <c r="AE954" s="6">
        <v>3.0444399999999998</v>
      </c>
      <c r="AF954" s="19">
        <v>-2.4653</v>
      </c>
      <c r="AG954" s="6">
        <v>2.9314</v>
      </c>
      <c r="AH954" s="6">
        <v>255</v>
      </c>
      <c r="AJ954" s="17">
        <v>952</v>
      </c>
      <c r="AK954" s="6">
        <v>5.7729200000000001</v>
      </c>
      <c r="AL954" s="19">
        <v>-2.4653</v>
      </c>
      <c r="AM954" s="6">
        <v>2.9314</v>
      </c>
      <c r="AN954" s="6">
        <v>255</v>
      </c>
      <c r="AQ954" s="17">
        <v>952</v>
      </c>
      <c r="AR954" s="6">
        <v>1.5938399999999999</v>
      </c>
      <c r="AS954" s="19">
        <v>-0.79730000000000001</v>
      </c>
      <c r="AT954" s="6">
        <v>0.80930000000000002</v>
      </c>
      <c r="AU954" s="6">
        <v>255</v>
      </c>
      <c r="AW954" s="17">
        <v>952</v>
      </c>
      <c r="AX954" s="6">
        <v>0.84053</v>
      </c>
      <c r="AY954" s="19">
        <v>-0.79730000000000001</v>
      </c>
      <c r="AZ954" s="6">
        <v>0.80930000000000002</v>
      </c>
      <c r="BA954" s="6">
        <v>255</v>
      </c>
    </row>
    <row r="955" spans="30:53" x14ac:dyDescent="0.25">
      <c r="AD955" s="17">
        <v>953</v>
      </c>
      <c r="AE955" s="6">
        <v>3.0634000000000001</v>
      </c>
      <c r="AF955" s="19">
        <v>-1.1543000000000001</v>
      </c>
      <c r="AG955" s="6">
        <v>2.9497</v>
      </c>
      <c r="AH955" s="6">
        <v>255</v>
      </c>
      <c r="AJ955" s="17">
        <v>953</v>
      </c>
      <c r="AK955" s="6">
        <v>5.8088800000000003</v>
      </c>
      <c r="AL955" s="19">
        <v>-1.1543000000000001</v>
      </c>
      <c r="AM955" s="6">
        <v>2.9497</v>
      </c>
      <c r="AN955" s="6">
        <v>255</v>
      </c>
      <c r="AQ955" s="17">
        <v>953</v>
      </c>
      <c r="AR955" s="6">
        <v>1.6004499999999999</v>
      </c>
      <c r="AS955" s="19">
        <v>-0.98570000000000002</v>
      </c>
      <c r="AT955" s="6">
        <v>0.81269999999999998</v>
      </c>
      <c r="AU955" s="6">
        <v>255</v>
      </c>
      <c r="AW955" s="17">
        <v>953</v>
      </c>
      <c r="AX955" s="6">
        <v>0.84401999999999999</v>
      </c>
      <c r="AY955" s="19">
        <v>-0.98570000000000002</v>
      </c>
      <c r="AZ955" s="6">
        <v>0.81269999999999998</v>
      </c>
      <c r="BA955" s="6">
        <v>255</v>
      </c>
    </row>
    <row r="956" spans="30:53" x14ac:dyDescent="0.25">
      <c r="AD956" s="17">
        <v>954</v>
      </c>
      <c r="AE956" s="6">
        <v>3.0597400000000001</v>
      </c>
      <c r="AF956" s="6">
        <v>0.73939999999999995</v>
      </c>
      <c r="AG956" s="6">
        <v>2.9462000000000002</v>
      </c>
      <c r="AH956" s="6">
        <v>255</v>
      </c>
      <c r="AJ956" s="17">
        <v>954</v>
      </c>
      <c r="AK956" s="6">
        <v>5.8019499999999997</v>
      </c>
      <c r="AL956" s="6">
        <v>0.73939999999999995</v>
      </c>
      <c r="AM956" s="6">
        <v>2.9462000000000002</v>
      </c>
      <c r="AN956" s="6">
        <v>255</v>
      </c>
      <c r="AQ956" s="17">
        <v>954</v>
      </c>
      <c r="AR956" s="6">
        <v>1.5975600000000001</v>
      </c>
      <c r="AS956" s="19">
        <v>-5.611E-2</v>
      </c>
      <c r="AT956" s="6">
        <v>0.81120000000000003</v>
      </c>
      <c r="AU956" s="6">
        <v>255</v>
      </c>
      <c r="AW956" s="17">
        <v>954</v>
      </c>
      <c r="AX956" s="6">
        <v>0.84250000000000003</v>
      </c>
      <c r="AY956" s="19">
        <v>-5.611E-2</v>
      </c>
      <c r="AZ956" s="6">
        <v>0.81120000000000003</v>
      </c>
      <c r="BA956" s="6">
        <v>255</v>
      </c>
    </row>
    <row r="957" spans="30:53" x14ac:dyDescent="0.25">
      <c r="AD957" s="17">
        <v>955</v>
      </c>
      <c r="AE957" s="6">
        <v>3.0797500000000002</v>
      </c>
      <c r="AF957" s="19">
        <v>-5.4104000000000001</v>
      </c>
      <c r="AG957" s="6">
        <v>2.9653999999999998</v>
      </c>
      <c r="AH957" s="6">
        <v>255</v>
      </c>
      <c r="AJ957" s="17">
        <v>955</v>
      </c>
      <c r="AK957" s="6">
        <v>5.83988</v>
      </c>
      <c r="AL957" s="19">
        <v>-5.4104000000000001</v>
      </c>
      <c r="AM957" s="6">
        <v>2.9653999999999998</v>
      </c>
      <c r="AN957" s="6">
        <v>255</v>
      </c>
      <c r="AQ957" s="17">
        <v>955</v>
      </c>
      <c r="AR957" s="6">
        <v>1.6083099999999999</v>
      </c>
      <c r="AS957" s="19">
        <v>-2.4205999999999999</v>
      </c>
      <c r="AT957" s="6">
        <v>0.81669999999999998</v>
      </c>
      <c r="AU957" s="6">
        <v>255</v>
      </c>
      <c r="AW957" s="17">
        <v>955</v>
      </c>
      <c r="AX957" s="6">
        <v>0.84816999999999998</v>
      </c>
      <c r="AY957" s="19">
        <v>-2.4205999999999999</v>
      </c>
      <c r="AZ957" s="6">
        <v>0.81669999999999998</v>
      </c>
      <c r="BA957" s="6">
        <v>255</v>
      </c>
    </row>
    <row r="958" spans="30:53" x14ac:dyDescent="0.25">
      <c r="AD958" s="17">
        <v>956</v>
      </c>
      <c r="AE958" s="6">
        <v>3.0644900000000002</v>
      </c>
      <c r="AF958" s="19">
        <v>-2.2854999999999999</v>
      </c>
      <c r="AG958" s="6">
        <v>2.9506999999999999</v>
      </c>
      <c r="AH958" s="6">
        <v>255</v>
      </c>
      <c r="AJ958" s="17">
        <v>956</v>
      </c>
      <c r="AK958" s="6">
        <v>5.8109400000000004</v>
      </c>
      <c r="AL958" s="19">
        <v>-2.2854999999999999</v>
      </c>
      <c r="AM958" s="6">
        <v>2.9506999999999999</v>
      </c>
      <c r="AN958" s="6">
        <v>255</v>
      </c>
      <c r="AQ958" s="17">
        <v>956</v>
      </c>
      <c r="AR958" s="6">
        <v>1.5932500000000001</v>
      </c>
      <c r="AS958" s="19">
        <v>-4.7460000000000002E-2</v>
      </c>
      <c r="AT958" s="6">
        <v>0.80900000000000005</v>
      </c>
      <c r="AU958" s="6">
        <v>255</v>
      </c>
      <c r="AW958" s="17">
        <v>956</v>
      </c>
      <c r="AX958" s="6">
        <v>0.84023000000000003</v>
      </c>
      <c r="AY958" s="19">
        <v>-4.7460000000000002E-2</v>
      </c>
      <c r="AZ958" s="6">
        <v>0.80900000000000005</v>
      </c>
      <c r="BA958" s="6">
        <v>255</v>
      </c>
    </row>
    <row r="959" spans="30:53" x14ac:dyDescent="0.25">
      <c r="AD959" s="17">
        <v>957</v>
      </c>
      <c r="AE959" s="6">
        <v>3.0571199999999998</v>
      </c>
      <c r="AF959" s="6">
        <v>3.2199999999999999E-2</v>
      </c>
      <c r="AG959" s="6">
        <v>2.9437000000000002</v>
      </c>
      <c r="AH959" s="6">
        <v>255</v>
      </c>
      <c r="AJ959" s="17">
        <v>957</v>
      </c>
      <c r="AK959" s="6">
        <v>5.79697</v>
      </c>
      <c r="AL959" s="6">
        <v>3.2199999999999999E-2</v>
      </c>
      <c r="AM959" s="6">
        <v>2.9437000000000002</v>
      </c>
      <c r="AN959" s="6">
        <v>255</v>
      </c>
      <c r="AQ959" s="17">
        <v>957</v>
      </c>
      <c r="AR959" s="6">
        <v>1.60484</v>
      </c>
      <c r="AS959" s="19">
        <v>-0.31490000000000001</v>
      </c>
      <c r="AT959" s="6">
        <v>0.81489999999999996</v>
      </c>
      <c r="AU959" s="6">
        <v>255</v>
      </c>
      <c r="AW959" s="17">
        <v>957</v>
      </c>
      <c r="AX959" s="6">
        <v>0.84633000000000003</v>
      </c>
      <c r="AY959" s="19">
        <v>-0.31490000000000001</v>
      </c>
      <c r="AZ959" s="6">
        <v>0.81489999999999996</v>
      </c>
      <c r="BA959" s="6">
        <v>255</v>
      </c>
    </row>
    <row r="960" spans="30:53" x14ac:dyDescent="0.25">
      <c r="AD960" s="17">
        <v>958</v>
      </c>
      <c r="AE960" s="6">
        <v>3.0495999999999999</v>
      </c>
      <c r="AF960" s="19">
        <v>-9.0939999999999993E-2</v>
      </c>
      <c r="AG960" s="6">
        <v>2.9363999999999999</v>
      </c>
      <c r="AH960" s="6">
        <v>255</v>
      </c>
      <c r="AJ960" s="17">
        <v>958</v>
      </c>
      <c r="AK960" s="6">
        <v>5.7827200000000003</v>
      </c>
      <c r="AL960" s="19">
        <v>-9.0939999999999993E-2</v>
      </c>
      <c r="AM960" s="6">
        <v>2.9363999999999999</v>
      </c>
      <c r="AN960" s="6">
        <v>255</v>
      </c>
      <c r="AQ960" s="17">
        <v>958</v>
      </c>
      <c r="AR960" s="6">
        <v>1.59978</v>
      </c>
      <c r="AS960" s="19">
        <v>-6.2469999999999998E-2</v>
      </c>
      <c r="AT960" s="6">
        <v>0.81240000000000001</v>
      </c>
      <c r="AU960" s="6">
        <v>255</v>
      </c>
      <c r="AW960" s="17">
        <v>958</v>
      </c>
      <c r="AX960" s="6">
        <v>0.84367000000000003</v>
      </c>
      <c r="AY960" s="19">
        <v>-6.2469999999999998E-2</v>
      </c>
      <c r="AZ960" s="6">
        <v>0.81240000000000001</v>
      </c>
      <c r="BA960" s="6">
        <v>255</v>
      </c>
    </row>
    <row r="961" spans="30:53" x14ac:dyDescent="0.25">
      <c r="AD961" s="17">
        <v>959</v>
      </c>
      <c r="AE961" s="6">
        <v>3.0709900000000001</v>
      </c>
      <c r="AF961" s="19">
        <v>-3.5775999999999999</v>
      </c>
      <c r="AG961" s="6">
        <v>2.9569999999999999</v>
      </c>
      <c r="AH961" s="6">
        <v>255</v>
      </c>
      <c r="AJ961" s="17">
        <v>959</v>
      </c>
      <c r="AK961" s="6">
        <v>5.8232699999999999</v>
      </c>
      <c r="AL961" s="19">
        <v>-3.5775999999999999</v>
      </c>
      <c r="AM961" s="6">
        <v>2.9569999999999999</v>
      </c>
      <c r="AN961" s="6">
        <v>255</v>
      </c>
      <c r="AQ961" s="17">
        <v>959</v>
      </c>
      <c r="AR961" s="6">
        <v>1.60046</v>
      </c>
      <c r="AS961" s="19">
        <v>-1.4433</v>
      </c>
      <c r="AT961" s="6">
        <v>0.81269999999999998</v>
      </c>
      <c r="AU961" s="6">
        <v>255</v>
      </c>
      <c r="AW961" s="17">
        <v>959</v>
      </c>
      <c r="AX961" s="6">
        <v>0.84401999999999999</v>
      </c>
      <c r="AY961" s="19">
        <v>-1.4433</v>
      </c>
      <c r="AZ961" s="6">
        <v>0.81269999999999998</v>
      </c>
      <c r="BA961" s="6">
        <v>255</v>
      </c>
    </row>
    <row r="962" spans="30:53" x14ac:dyDescent="0.25">
      <c r="AD962" s="17">
        <v>960</v>
      </c>
      <c r="AE962" s="6">
        <v>3.06277</v>
      </c>
      <c r="AF962" s="19">
        <v>-2.3898999999999999</v>
      </c>
      <c r="AG962" s="6">
        <v>2.9491000000000001</v>
      </c>
      <c r="AH962" s="6">
        <v>255</v>
      </c>
      <c r="AJ962" s="17">
        <v>960</v>
      </c>
      <c r="AK962" s="6">
        <v>5.80769</v>
      </c>
      <c r="AL962" s="19">
        <v>-2.3898999999999999</v>
      </c>
      <c r="AM962" s="6">
        <v>2.9491000000000001</v>
      </c>
      <c r="AN962" s="6">
        <v>255</v>
      </c>
      <c r="AQ962" s="17">
        <v>960</v>
      </c>
      <c r="AR962" s="6">
        <v>1.5986</v>
      </c>
      <c r="AS962" s="19">
        <v>-1.0801000000000001</v>
      </c>
      <c r="AT962" s="6">
        <v>0.81179999999999997</v>
      </c>
      <c r="AU962" s="6">
        <v>255</v>
      </c>
      <c r="AW962" s="17">
        <v>960</v>
      </c>
      <c r="AX962" s="6">
        <v>0.84304999999999997</v>
      </c>
      <c r="AY962" s="19">
        <v>-1.0801000000000001</v>
      </c>
      <c r="AZ962" s="6">
        <v>0.81179999999999997</v>
      </c>
      <c r="BA962" s="6">
        <v>255</v>
      </c>
    </row>
    <row r="963" spans="30:53" x14ac:dyDescent="0.25">
      <c r="AD963" s="17">
        <v>961</v>
      </c>
      <c r="AE963" s="6">
        <v>3.0457299999999998</v>
      </c>
      <c r="AF963" s="19">
        <v>-1.8169</v>
      </c>
      <c r="AG963" s="6">
        <v>2.9327000000000001</v>
      </c>
      <c r="AH963" s="6">
        <v>255</v>
      </c>
      <c r="AJ963" s="17">
        <v>961</v>
      </c>
      <c r="AK963" s="6">
        <v>5.7753699999999997</v>
      </c>
      <c r="AL963" s="19">
        <v>-1.8169</v>
      </c>
      <c r="AM963" s="6">
        <v>2.9327000000000001</v>
      </c>
      <c r="AN963" s="6">
        <v>255</v>
      </c>
      <c r="AQ963" s="17">
        <v>961</v>
      </c>
      <c r="AR963" s="6">
        <v>1.5908199999999999</v>
      </c>
      <c r="AS963" s="19">
        <v>-0.54459999999999997</v>
      </c>
      <c r="AT963" s="6">
        <v>0.80779999999999996</v>
      </c>
      <c r="AU963" s="6">
        <v>255</v>
      </c>
      <c r="AW963" s="17">
        <v>961</v>
      </c>
      <c r="AX963" s="6">
        <v>0.83894000000000002</v>
      </c>
      <c r="AY963" s="19">
        <v>-0.54459999999999997</v>
      </c>
      <c r="AZ963" s="6">
        <v>0.80779999999999996</v>
      </c>
      <c r="BA963" s="6">
        <v>255</v>
      </c>
    </row>
    <row r="964" spans="30:53" x14ac:dyDescent="0.25">
      <c r="AD964" s="17">
        <v>962</v>
      </c>
      <c r="AE964" s="6">
        <v>3.0519500000000002</v>
      </c>
      <c r="AF964" s="19">
        <v>-1.7937000000000001</v>
      </c>
      <c r="AG964" s="6">
        <v>2.9386999999999999</v>
      </c>
      <c r="AH964" s="6">
        <v>255</v>
      </c>
      <c r="AJ964" s="17">
        <v>962</v>
      </c>
      <c r="AK964" s="6">
        <v>5.7871600000000001</v>
      </c>
      <c r="AL964" s="19">
        <v>-1.7937000000000001</v>
      </c>
      <c r="AM964" s="6">
        <v>2.9386999999999999</v>
      </c>
      <c r="AN964" s="6">
        <v>255</v>
      </c>
      <c r="AQ964" s="17">
        <v>962</v>
      </c>
      <c r="AR964" s="6">
        <v>1.5947199999999999</v>
      </c>
      <c r="AS964" s="19">
        <v>-8.0460000000000004E-2</v>
      </c>
      <c r="AT964" s="6">
        <v>0.80979999999999996</v>
      </c>
      <c r="AU964" s="6">
        <v>255</v>
      </c>
      <c r="AW964" s="17">
        <v>962</v>
      </c>
      <c r="AX964" s="6">
        <v>0.84099999999999997</v>
      </c>
      <c r="AY964" s="19">
        <v>-8.0460000000000004E-2</v>
      </c>
      <c r="AZ964" s="6">
        <v>0.80979999999999996</v>
      </c>
      <c r="BA964" s="6">
        <v>255</v>
      </c>
    </row>
    <row r="965" spans="30:53" x14ac:dyDescent="0.25">
      <c r="AD965" s="17">
        <v>963</v>
      </c>
      <c r="AE965" s="6">
        <v>3.0630299999999999</v>
      </c>
      <c r="AF965" s="19">
        <v>-2.7761</v>
      </c>
      <c r="AG965" s="6">
        <v>2.9493</v>
      </c>
      <c r="AH965" s="6">
        <v>255</v>
      </c>
      <c r="AJ965" s="17">
        <v>963</v>
      </c>
      <c r="AK965" s="6">
        <v>5.8081899999999997</v>
      </c>
      <c r="AL965" s="19">
        <v>-2.7761</v>
      </c>
      <c r="AM965" s="6">
        <v>2.9493</v>
      </c>
      <c r="AN965" s="6">
        <v>255</v>
      </c>
      <c r="AQ965" s="17">
        <v>963</v>
      </c>
      <c r="AR965" s="6">
        <v>1.59626</v>
      </c>
      <c r="AS965" s="19">
        <v>-1.1949000000000001</v>
      </c>
      <c r="AT965" s="6">
        <v>0.81059999999999999</v>
      </c>
      <c r="AU965" s="6">
        <v>255</v>
      </c>
      <c r="AW965" s="17">
        <v>963</v>
      </c>
      <c r="AX965" s="6">
        <v>0.84180999999999995</v>
      </c>
      <c r="AY965" s="19">
        <v>-1.1949000000000001</v>
      </c>
      <c r="AZ965" s="6">
        <v>0.81059999999999999</v>
      </c>
      <c r="BA965" s="6">
        <v>255</v>
      </c>
    </row>
    <row r="966" spans="30:53" x14ac:dyDescent="0.25">
      <c r="AD966" s="17">
        <v>964</v>
      </c>
      <c r="AE966" s="6">
        <v>3.0602800000000001</v>
      </c>
      <c r="AF966" s="6">
        <v>4.8136999999999999</v>
      </c>
      <c r="AG966" s="6">
        <v>2.9466999999999999</v>
      </c>
      <c r="AH966" s="6">
        <v>255</v>
      </c>
      <c r="AJ966" s="17">
        <v>964</v>
      </c>
      <c r="AK966" s="6">
        <v>5.8029700000000002</v>
      </c>
      <c r="AL966" s="6">
        <v>4.8136999999999999</v>
      </c>
      <c r="AM966" s="6">
        <v>2.9466999999999999</v>
      </c>
      <c r="AN966" s="6">
        <v>255</v>
      </c>
      <c r="AQ966" s="17">
        <v>964</v>
      </c>
      <c r="AR966" s="6">
        <v>1.6066</v>
      </c>
      <c r="AS966" s="6">
        <v>0.18060000000000001</v>
      </c>
      <c r="AT966" s="6">
        <v>0.81579999999999997</v>
      </c>
      <c r="AU966" s="6">
        <v>255</v>
      </c>
      <c r="AW966" s="17">
        <v>964</v>
      </c>
      <c r="AX966" s="6">
        <v>0.84726000000000001</v>
      </c>
      <c r="AY966" s="6">
        <v>0.18060000000000001</v>
      </c>
      <c r="AZ966" s="6">
        <v>0.81579999999999997</v>
      </c>
      <c r="BA966" s="6">
        <v>255</v>
      </c>
    </row>
    <row r="967" spans="30:53" x14ac:dyDescent="0.25">
      <c r="AD967" s="17">
        <v>965</v>
      </c>
      <c r="AE967" s="6">
        <v>3.0692900000000001</v>
      </c>
      <c r="AF967" s="19">
        <v>-1.2266999999999999</v>
      </c>
      <c r="AG967" s="6">
        <v>2.9554</v>
      </c>
      <c r="AH967" s="6">
        <v>255</v>
      </c>
      <c r="AJ967" s="17">
        <v>965</v>
      </c>
      <c r="AK967" s="6">
        <v>5.8200399999999997</v>
      </c>
      <c r="AL967" s="19">
        <v>-1.2266999999999999</v>
      </c>
      <c r="AM967" s="6">
        <v>2.9554</v>
      </c>
      <c r="AN967" s="6">
        <v>255</v>
      </c>
      <c r="AQ967" s="17">
        <v>965</v>
      </c>
      <c r="AR967" s="6">
        <v>1.60138</v>
      </c>
      <c r="AS967" s="19">
        <v>-1.1888000000000001</v>
      </c>
      <c r="AT967" s="6">
        <v>0.81320000000000003</v>
      </c>
      <c r="AU967" s="6">
        <v>255</v>
      </c>
      <c r="AW967" s="17">
        <v>965</v>
      </c>
      <c r="AX967" s="6">
        <v>0.84450999999999998</v>
      </c>
      <c r="AY967" s="19">
        <v>-1.1888000000000001</v>
      </c>
      <c r="AZ967" s="6">
        <v>0.81320000000000003</v>
      </c>
      <c r="BA967" s="6">
        <v>255</v>
      </c>
    </row>
    <row r="968" spans="30:53" x14ac:dyDescent="0.25">
      <c r="AD968" s="17">
        <v>966</v>
      </c>
      <c r="AE968" s="6">
        <v>3.0580599999999998</v>
      </c>
      <c r="AF968" s="6">
        <v>7.5370999999999997</v>
      </c>
      <c r="AG968" s="6">
        <v>2.9445999999999999</v>
      </c>
      <c r="AH968" s="6">
        <v>255</v>
      </c>
      <c r="AJ968" s="17">
        <v>966</v>
      </c>
      <c r="AK968" s="6">
        <v>5.7987500000000001</v>
      </c>
      <c r="AL968" s="6">
        <v>7.5370999999999997</v>
      </c>
      <c r="AM968" s="6">
        <v>2.9445999999999999</v>
      </c>
      <c r="AN968" s="6">
        <v>255</v>
      </c>
      <c r="AQ968" s="17">
        <v>966</v>
      </c>
      <c r="AR968" s="6">
        <v>1.60564</v>
      </c>
      <c r="AS968" s="6">
        <v>1.3026</v>
      </c>
      <c r="AT968" s="6">
        <v>0.81530000000000002</v>
      </c>
      <c r="AU968" s="6">
        <v>255</v>
      </c>
      <c r="AW968" s="17">
        <v>966</v>
      </c>
      <c r="AX968" s="6">
        <v>0.84675999999999996</v>
      </c>
      <c r="AY968" s="6">
        <v>1.3026</v>
      </c>
      <c r="AZ968" s="6">
        <v>0.81530000000000002</v>
      </c>
      <c r="BA968" s="6">
        <v>255</v>
      </c>
    </row>
    <row r="969" spans="30:53" x14ac:dyDescent="0.25">
      <c r="AD969" s="17">
        <v>967</v>
      </c>
      <c r="AE969" s="6">
        <v>3.04257</v>
      </c>
      <c r="AF969" s="6">
        <v>2.1067999999999998</v>
      </c>
      <c r="AG969" s="6">
        <v>2.9296000000000002</v>
      </c>
      <c r="AH969" s="6">
        <v>255</v>
      </c>
      <c r="AJ969" s="17">
        <v>967</v>
      </c>
      <c r="AK969" s="6">
        <v>5.76938</v>
      </c>
      <c r="AL969" s="6">
        <v>2.1067999999999998</v>
      </c>
      <c r="AM969" s="6">
        <v>2.9296000000000002</v>
      </c>
      <c r="AN969" s="6">
        <v>255</v>
      </c>
      <c r="AQ969" s="17">
        <v>967</v>
      </c>
      <c r="AR969" s="6">
        <v>1.5926</v>
      </c>
      <c r="AS969" s="19">
        <v>-3.7990000000000003E-2</v>
      </c>
      <c r="AT969" s="6">
        <v>0.80869999999999997</v>
      </c>
      <c r="AU969" s="6">
        <v>255</v>
      </c>
      <c r="AW969" s="17">
        <v>967</v>
      </c>
      <c r="AX969" s="6">
        <v>0.83987999999999996</v>
      </c>
      <c r="AY969" s="19">
        <v>-3.7990000000000003E-2</v>
      </c>
      <c r="AZ969" s="6">
        <v>0.80869999999999997</v>
      </c>
      <c r="BA969" s="6">
        <v>255</v>
      </c>
    </row>
    <row r="970" spans="30:53" x14ac:dyDescent="0.25">
      <c r="AD970" s="17">
        <v>968</v>
      </c>
      <c r="AE970" s="6">
        <v>3.05565</v>
      </c>
      <c r="AF970" s="19">
        <v>-0.15340000000000001</v>
      </c>
      <c r="AG970" s="6">
        <v>2.9422000000000001</v>
      </c>
      <c r="AH970" s="6">
        <v>255</v>
      </c>
      <c r="AJ970" s="17">
        <v>968</v>
      </c>
      <c r="AK970" s="6">
        <v>5.7941900000000004</v>
      </c>
      <c r="AL970" s="19">
        <v>-0.15340000000000001</v>
      </c>
      <c r="AM970" s="6">
        <v>2.9422000000000001</v>
      </c>
      <c r="AN970" s="6">
        <v>255</v>
      </c>
      <c r="AQ970" s="17">
        <v>968</v>
      </c>
      <c r="AR970" s="6">
        <v>1.6010899999999999</v>
      </c>
      <c r="AS970" s="6">
        <v>0.1321</v>
      </c>
      <c r="AT970" s="6">
        <v>0.81299999999999994</v>
      </c>
      <c r="AU970" s="6">
        <v>255</v>
      </c>
      <c r="AW970" s="17">
        <v>968</v>
      </c>
      <c r="AX970" s="6">
        <v>0.84436</v>
      </c>
      <c r="AY970" s="6">
        <v>0.1321</v>
      </c>
      <c r="AZ970" s="6">
        <v>0.81299999999999994</v>
      </c>
      <c r="BA970" s="6">
        <v>255</v>
      </c>
    </row>
    <row r="971" spans="30:53" x14ac:dyDescent="0.25">
      <c r="AD971" s="17">
        <v>969</v>
      </c>
      <c r="AE971" s="6">
        <v>3.0631900000000001</v>
      </c>
      <c r="AF971" s="6">
        <v>1.0971</v>
      </c>
      <c r="AG971" s="6">
        <v>2.9495</v>
      </c>
      <c r="AH971" s="6">
        <v>255</v>
      </c>
      <c r="AJ971" s="17">
        <v>969</v>
      </c>
      <c r="AK971" s="6">
        <v>5.8084899999999999</v>
      </c>
      <c r="AL971" s="6">
        <v>1.0971</v>
      </c>
      <c r="AM971" s="6">
        <v>2.9495</v>
      </c>
      <c r="AN971" s="6">
        <v>255</v>
      </c>
      <c r="AQ971" s="17">
        <v>969</v>
      </c>
      <c r="AR971" s="6">
        <v>1.6069800000000001</v>
      </c>
      <c r="AS971" s="19">
        <v>-0.28129999999999999</v>
      </c>
      <c r="AT971" s="6">
        <v>0.81599999999999995</v>
      </c>
      <c r="AU971" s="6">
        <v>255</v>
      </c>
      <c r="AW971" s="17">
        <v>969</v>
      </c>
      <c r="AX971" s="6">
        <v>0.84745999999999999</v>
      </c>
      <c r="AY971" s="19">
        <v>-0.28129999999999999</v>
      </c>
      <c r="AZ971" s="6">
        <v>0.81599999999999995</v>
      </c>
      <c r="BA971" s="6">
        <v>255</v>
      </c>
    </row>
    <row r="972" spans="30:53" x14ac:dyDescent="0.25">
      <c r="AD972" s="17">
        <v>970</v>
      </c>
      <c r="AE972" s="6">
        <v>3.0535000000000001</v>
      </c>
      <c r="AF972" s="6">
        <v>0.80179999999999996</v>
      </c>
      <c r="AG972" s="6">
        <v>2.9401999999999999</v>
      </c>
      <c r="AH972" s="6">
        <v>255</v>
      </c>
      <c r="AJ972" s="17">
        <v>970</v>
      </c>
      <c r="AK972" s="6">
        <v>5.7901100000000003</v>
      </c>
      <c r="AL972" s="6">
        <v>0.80179999999999996</v>
      </c>
      <c r="AM972" s="6">
        <v>2.9401999999999999</v>
      </c>
      <c r="AN972" s="6">
        <v>255</v>
      </c>
      <c r="AQ972" s="17">
        <v>970</v>
      </c>
      <c r="AR972" s="6">
        <v>1.6036699999999999</v>
      </c>
      <c r="AS972" s="19">
        <v>-1.5009999999999999</v>
      </c>
      <c r="AT972" s="6">
        <v>0.81430000000000002</v>
      </c>
      <c r="AU972" s="6">
        <v>255</v>
      </c>
      <c r="AW972" s="17">
        <v>970</v>
      </c>
      <c r="AX972" s="6">
        <v>0.84572000000000003</v>
      </c>
      <c r="AY972" s="19">
        <v>-1.5009999999999999</v>
      </c>
      <c r="AZ972" s="6">
        <v>0.81430000000000002</v>
      </c>
      <c r="BA972" s="6">
        <v>255</v>
      </c>
    </row>
    <row r="973" spans="30:53" x14ac:dyDescent="0.25">
      <c r="AD973" s="17">
        <v>971</v>
      </c>
      <c r="AE973" s="6">
        <v>3.0661200000000002</v>
      </c>
      <c r="AF973" s="6">
        <v>6.24</v>
      </c>
      <c r="AG973" s="6">
        <v>2.9523000000000001</v>
      </c>
      <c r="AH973" s="6">
        <v>255</v>
      </c>
      <c r="AJ973" s="17">
        <v>971</v>
      </c>
      <c r="AK973" s="6">
        <v>5.8140499999999999</v>
      </c>
      <c r="AL973" s="6">
        <v>6.24</v>
      </c>
      <c r="AM973" s="6">
        <v>2.9523000000000001</v>
      </c>
      <c r="AN973" s="6">
        <v>255</v>
      </c>
      <c r="AQ973" s="17">
        <v>971</v>
      </c>
      <c r="AR973" s="6">
        <v>1.60168</v>
      </c>
      <c r="AS973" s="6">
        <v>1.4361999999999999</v>
      </c>
      <c r="AT973" s="6">
        <v>0.81330000000000002</v>
      </c>
      <c r="AU973" s="6">
        <v>255</v>
      </c>
      <c r="AW973" s="17">
        <v>971</v>
      </c>
      <c r="AX973" s="6">
        <v>0.84467000000000003</v>
      </c>
      <c r="AY973" s="6">
        <v>1.4361999999999999</v>
      </c>
      <c r="AZ973" s="6">
        <v>0.81330000000000002</v>
      </c>
      <c r="BA973" s="6">
        <v>255</v>
      </c>
    </row>
    <row r="974" spans="30:53" x14ac:dyDescent="0.25">
      <c r="AD974" s="17">
        <v>972</v>
      </c>
      <c r="AE974" s="6">
        <v>3.0694300000000001</v>
      </c>
      <c r="AF974" s="6">
        <v>3.0941999999999998</v>
      </c>
      <c r="AG974" s="6">
        <v>2.9554999999999998</v>
      </c>
      <c r="AH974" s="6">
        <v>255</v>
      </c>
      <c r="AJ974" s="17">
        <v>972</v>
      </c>
      <c r="AK974" s="6">
        <v>5.8203199999999997</v>
      </c>
      <c r="AL974" s="6">
        <v>3.0941999999999998</v>
      </c>
      <c r="AM974" s="6">
        <v>2.9554999999999998</v>
      </c>
      <c r="AN974" s="6">
        <v>255</v>
      </c>
      <c r="AQ974" s="17">
        <v>972</v>
      </c>
      <c r="AR974" s="6">
        <v>1.59965</v>
      </c>
      <c r="AS974" s="6">
        <v>1.29</v>
      </c>
      <c r="AT974" s="6">
        <v>0.81230000000000002</v>
      </c>
      <c r="AU974" s="6">
        <v>255</v>
      </c>
      <c r="AW974" s="17">
        <v>972</v>
      </c>
      <c r="AX974" s="6">
        <v>0.84360000000000002</v>
      </c>
      <c r="AY974" s="6">
        <v>1.29</v>
      </c>
      <c r="AZ974" s="6">
        <v>0.81230000000000002</v>
      </c>
      <c r="BA974" s="6">
        <v>255</v>
      </c>
    </row>
    <row r="975" spans="30:53" x14ac:dyDescent="0.25">
      <c r="AD975" s="17">
        <v>973</v>
      </c>
      <c r="AE975" s="6">
        <v>3.0673400000000002</v>
      </c>
      <c r="AF975" s="6">
        <v>1.3394999999999999</v>
      </c>
      <c r="AG975" s="6">
        <v>2.9535</v>
      </c>
      <c r="AH975" s="6">
        <v>255</v>
      </c>
      <c r="AJ975" s="17">
        <v>973</v>
      </c>
      <c r="AK975" s="6">
        <v>5.8163499999999999</v>
      </c>
      <c r="AL975" s="6">
        <v>1.3394999999999999</v>
      </c>
      <c r="AM975" s="6">
        <v>2.9535</v>
      </c>
      <c r="AN975" s="6">
        <v>255</v>
      </c>
      <c r="AQ975" s="17">
        <v>973</v>
      </c>
      <c r="AR975" s="6">
        <v>1.6011599999999999</v>
      </c>
      <c r="AS975" s="6">
        <v>0.83260000000000001</v>
      </c>
      <c r="AT975" s="6">
        <v>0.81310000000000004</v>
      </c>
      <c r="AU975" s="6">
        <v>255</v>
      </c>
      <c r="AW975" s="17">
        <v>973</v>
      </c>
      <c r="AX975" s="6">
        <v>0.84440000000000004</v>
      </c>
      <c r="AY975" s="6">
        <v>0.83260000000000001</v>
      </c>
      <c r="AZ975" s="6">
        <v>0.81310000000000004</v>
      </c>
      <c r="BA975" s="6">
        <v>255</v>
      </c>
    </row>
    <row r="976" spans="30:53" x14ac:dyDescent="0.25">
      <c r="AD976" s="17">
        <v>974</v>
      </c>
      <c r="AE976" s="6">
        <v>3.0658099999999999</v>
      </c>
      <c r="AF976" s="6">
        <v>5.0608000000000004</v>
      </c>
      <c r="AG976" s="6">
        <v>2.952</v>
      </c>
      <c r="AH976" s="6">
        <v>255</v>
      </c>
      <c r="AJ976" s="17">
        <v>974</v>
      </c>
      <c r="AK976" s="6">
        <v>5.8134499999999996</v>
      </c>
      <c r="AL976" s="6">
        <v>5.0608000000000004</v>
      </c>
      <c r="AM976" s="6">
        <v>2.952</v>
      </c>
      <c r="AN976" s="6">
        <v>255</v>
      </c>
      <c r="AQ976" s="17">
        <v>974</v>
      </c>
      <c r="AR976" s="6">
        <v>1.6041000000000001</v>
      </c>
      <c r="AS976" s="6">
        <v>0.1487</v>
      </c>
      <c r="AT976" s="6">
        <v>0.81459999999999999</v>
      </c>
      <c r="AU976" s="6">
        <v>255</v>
      </c>
      <c r="AW976" s="17">
        <v>974</v>
      </c>
      <c r="AX976" s="6">
        <v>0.84594999999999998</v>
      </c>
      <c r="AY976" s="6">
        <v>0.1487</v>
      </c>
      <c r="AZ976" s="6">
        <v>0.81459999999999999</v>
      </c>
      <c r="BA976" s="6">
        <v>255</v>
      </c>
    </row>
    <row r="977" spans="30:53" x14ac:dyDescent="0.25">
      <c r="AD977" s="17">
        <v>975</v>
      </c>
      <c r="AE977" s="6">
        <v>3.04792</v>
      </c>
      <c r="AF977" s="6">
        <v>13.5648</v>
      </c>
      <c r="AG977" s="6">
        <v>2.9348000000000001</v>
      </c>
      <c r="AH977" s="6">
        <v>255</v>
      </c>
      <c r="AJ977" s="17">
        <v>975</v>
      </c>
      <c r="AK977" s="6">
        <v>5.7795300000000003</v>
      </c>
      <c r="AL977" s="6">
        <v>13.5648</v>
      </c>
      <c r="AM977" s="6">
        <v>2.9348000000000001</v>
      </c>
      <c r="AN977" s="6">
        <v>255</v>
      </c>
      <c r="AQ977" s="17">
        <v>975</v>
      </c>
      <c r="AR977" s="6">
        <v>1.5994200000000001</v>
      </c>
      <c r="AS977" s="6">
        <v>3.0573000000000001</v>
      </c>
      <c r="AT977" s="6">
        <v>0.81220000000000003</v>
      </c>
      <c r="AU977" s="6">
        <v>255</v>
      </c>
      <c r="AW977" s="17">
        <v>975</v>
      </c>
      <c r="AX977" s="6">
        <v>0.84348000000000001</v>
      </c>
      <c r="AY977" s="6">
        <v>3.0573000000000001</v>
      </c>
      <c r="AZ977" s="6">
        <v>0.81220000000000003</v>
      </c>
      <c r="BA977" s="6">
        <v>255</v>
      </c>
    </row>
    <row r="978" spans="30:53" x14ac:dyDescent="0.25">
      <c r="AD978" s="17">
        <v>976</v>
      </c>
      <c r="AE978" s="6">
        <v>3.0641400000000001</v>
      </c>
      <c r="AF978" s="6">
        <v>5.0427999999999997</v>
      </c>
      <c r="AG978" s="6">
        <v>2.9504000000000001</v>
      </c>
      <c r="AH978" s="6">
        <v>255</v>
      </c>
      <c r="AJ978" s="17">
        <v>976</v>
      </c>
      <c r="AK978" s="6">
        <v>5.8102799999999997</v>
      </c>
      <c r="AL978" s="6">
        <v>5.0427999999999997</v>
      </c>
      <c r="AM978" s="6">
        <v>2.9504000000000001</v>
      </c>
      <c r="AN978" s="6">
        <v>255</v>
      </c>
      <c r="AQ978" s="17">
        <v>976</v>
      </c>
      <c r="AR978" s="6">
        <v>1.60029</v>
      </c>
      <c r="AS978" s="6">
        <v>0.27239999999999998</v>
      </c>
      <c r="AT978" s="6">
        <v>0.81259999999999999</v>
      </c>
      <c r="AU978" s="6">
        <v>255</v>
      </c>
      <c r="AW978" s="17">
        <v>976</v>
      </c>
      <c r="AX978" s="6">
        <v>0.84394000000000002</v>
      </c>
      <c r="AY978" s="6">
        <v>0.27239999999999998</v>
      </c>
      <c r="AZ978" s="6">
        <v>0.81259999999999999</v>
      </c>
      <c r="BA978" s="6">
        <v>255</v>
      </c>
    </row>
    <row r="979" spans="30:53" x14ac:dyDescent="0.25">
      <c r="AD979" s="17">
        <v>977</v>
      </c>
      <c r="AE979" s="6">
        <v>3.0642800000000001</v>
      </c>
      <c r="AF979" s="6">
        <v>7.5201000000000002</v>
      </c>
      <c r="AG979" s="6">
        <v>2.9504999999999999</v>
      </c>
      <c r="AH979" s="6">
        <v>255</v>
      </c>
      <c r="AJ979" s="17">
        <v>977</v>
      </c>
      <c r="AK979" s="6">
        <v>5.8105399999999996</v>
      </c>
      <c r="AL979" s="6">
        <v>7.5201000000000002</v>
      </c>
      <c r="AM979" s="6">
        <v>2.9504999999999999</v>
      </c>
      <c r="AN979" s="6">
        <v>255</v>
      </c>
      <c r="AQ979" s="17">
        <v>977</v>
      </c>
      <c r="AR979" s="6">
        <v>1.5988199999999999</v>
      </c>
      <c r="AS979" s="6">
        <v>0.79630000000000001</v>
      </c>
      <c r="AT979" s="6">
        <v>0.81189999999999996</v>
      </c>
      <c r="AU979" s="6">
        <v>255</v>
      </c>
      <c r="AW979" s="17">
        <v>977</v>
      </c>
      <c r="AX979" s="6">
        <v>0.84316000000000002</v>
      </c>
      <c r="AY979" s="6">
        <v>0.79630000000000001</v>
      </c>
      <c r="AZ979" s="6">
        <v>0.81189999999999996</v>
      </c>
      <c r="BA979" s="6">
        <v>255</v>
      </c>
    </row>
    <row r="980" spans="30:53" x14ac:dyDescent="0.25">
      <c r="AD980" s="17">
        <v>978</v>
      </c>
      <c r="AE980" s="6">
        <v>3.0453700000000001</v>
      </c>
      <c r="AF980" s="6">
        <v>5.6007999999999996</v>
      </c>
      <c r="AG980" s="6">
        <v>2.9323000000000001</v>
      </c>
      <c r="AH980" s="6">
        <v>255</v>
      </c>
      <c r="AJ980" s="17">
        <v>978</v>
      </c>
      <c r="AK980" s="6">
        <v>5.7746899999999997</v>
      </c>
      <c r="AL980" s="6">
        <v>5.6007999999999996</v>
      </c>
      <c r="AM980" s="6">
        <v>2.9323000000000001</v>
      </c>
      <c r="AN980" s="6">
        <v>255</v>
      </c>
      <c r="AQ980" s="17">
        <v>978</v>
      </c>
      <c r="AR980" s="6">
        <v>1.5925400000000001</v>
      </c>
      <c r="AS980" s="19">
        <v>-0.38640000000000002</v>
      </c>
      <c r="AT980" s="6">
        <v>0.80869999999999997</v>
      </c>
      <c r="AU980" s="6">
        <v>255</v>
      </c>
      <c r="AW980" s="17">
        <v>978</v>
      </c>
      <c r="AX980" s="6">
        <v>0.83984999999999999</v>
      </c>
      <c r="AY980" s="19">
        <v>-0.38640000000000002</v>
      </c>
      <c r="AZ980" s="6">
        <v>0.80869999999999997</v>
      </c>
      <c r="BA980" s="6">
        <v>255</v>
      </c>
    </row>
    <row r="981" spans="30:53" x14ac:dyDescent="0.25">
      <c r="AD981" s="17">
        <v>979</v>
      </c>
      <c r="AE981" s="6">
        <v>3.0592000000000001</v>
      </c>
      <c r="AF981" s="6">
        <v>6.9118000000000004</v>
      </c>
      <c r="AG981" s="6">
        <v>2.9457</v>
      </c>
      <c r="AH981" s="6">
        <v>255</v>
      </c>
      <c r="AJ981" s="17">
        <v>979</v>
      </c>
      <c r="AK981" s="6">
        <v>5.80091</v>
      </c>
      <c r="AL981" s="6">
        <v>6.9118000000000004</v>
      </c>
      <c r="AM981" s="6">
        <v>2.9457</v>
      </c>
      <c r="AN981" s="6">
        <v>255</v>
      </c>
      <c r="AQ981" s="17">
        <v>979</v>
      </c>
      <c r="AR981" s="6">
        <v>1.59843</v>
      </c>
      <c r="AS981" s="19">
        <v>-0.57479999999999998</v>
      </c>
      <c r="AT981" s="6">
        <v>0.81169999999999998</v>
      </c>
      <c r="AU981" s="6">
        <v>255</v>
      </c>
      <c r="AW981" s="17">
        <v>979</v>
      </c>
      <c r="AX981" s="6">
        <v>0.84296000000000004</v>
      </c>
      <c r="AY981" s="19">
        <v>-0.57479999999999998</v>
      </c>
      <c r="AZ981" s="6">
        <v>0.81169999999999998</v>
      </c>
      <c r="BA981" s="6">
        <v>255</v>
      </c>
    </row>
    <row r="982" spans="30:53" x14ac:dyDescent="0.25">
      <c r="AD982" s="17">
        <v>980</v>
      </c>
      <c r="AE982" s="6">
        <v>3.0433300000000001</v>
      </c>
      <c r="AF982" s="6">
        <v>8.8055000000000003</v>
      </c>
      <c r="AG982" s="6">
        <v>2.9304000000000001</v>
      </c>
      <c r="AH982" s="6">
        <v>255</v>
      </c>
      <c r="AJ982" s="17">
        <v>980</v>
      </c>
      <c r="AK982" s="6">
        <v>5.7708199999999996</v>
      </c>
      <c r="AL982" s="6">
        <v>8.8055000000000003</v>
      </c>
      <c r="AM982" s="6">
        <v>2.9304000000000001</v>
      </c>
      <c r="AN982" s="6">
        <v>255</v>
      </c>
      <c r="AQ982" s="17">
        <v>980</v>
      </c>
      <c r="AR982" s="6">
        <v>1.5924400000000001</v>
      </c>
      <c r="AS982" s="6">
        <v>0.3548</v>
      </c>
      <c r="AT982" s="6">
        <v>0.80859999999999999</v>
      </c>
      <c r="AU982" s="6">
        <v>255</v>
      </c>
      <c r="AW982" s="17">
        <v>980</v>
      </c>
      <c r="AX982" s="6">
        <v>0.83979999999999999</v>
      </c>
      <c r="AY982" s="6">
        <v>0.3548</v>
      </c>
      <c r="AZ982" s="6">
        <v>0.80859999999999999</v>
      </c>
      <c r="BA982" s="6">
        <v>255</v>
      </c>
    </row>
    <row r="983" spans="30:53" x14ac:dyDescent="0.25">
      <c r="AD983" s="17">
        <v>981</v>
      </c>
      <c r="AE983" s="6">
        <v>3.0608</v>
      </c>
      <c r="AF983" s="6">
        <v>2.6556999999999999</v>
      </c>
      <c r="AG983" s="6">
        <v>2.9472</v>
      </c>
      <c r="AH983" s="6">
        <v>255</v>
      </c>
      <c r="AJ983" s="17">
        <v>981</v>
      </c>
      <c r="AK983" s="6">
        <v>5.8039500000000004</v>
      </c>
      <c r="AL983" s="6">
        <v>2.6556999999999999</v>
      </c>
      <c r="AM983" s="6">
        <v>2.9472</v>
      </c>
      <c r="AN983" s="6">
        <v>255</v>
      </c>
      <c r="AQ983" s="17">
        <v>981</v>
      </c>
      <c r="AR983" s="6">
        <v>1.59945</v>
      </c>
      <c r="AS983" s="19">
        <v>-2.0097</v>
      </c>
      <c r="AT983" s="6">
        <v>0.81220000000000003</v>
      </c>
      <c r="AU983" s="6">
        <v>255</v>
      </c>
      <c r="AW983" s="17">
        <v>981</v>
      </c>
      <c r="AX983" s="6">
        <v>0.84348999999999996</v>
      </c>
      <c r="AY983" s="19">
        <v>-2.0097</v>
      </c>
      <c r="AZ983" s="6">
        <v>0.81220000000000003</v>
      </c>
      <c r="BA983" s="6">
        <v>255</v>
      </c>
    </row>
    <row r="984" spans="30:53" x14ac:dyDescent="0.25">
      <c r="AD984" s="17">
        <v>982</v>
      </c>
      <c r="AE984" s="6">
        <v>3.0525899999999999</v>
      </c>
      <c r="AF984" s="6">
        <v>5.7805999999999997</v>
      </c>
      <c r="AG984" s="6">
        <v>2.9392999999999998</v>
      </c>
      <c r="AH984" s="6">
        <v>255</v>
      </c>
      <c r="AJ984" s="17">
        <v>982</v>
      </c>
      <c r="AK984" s="6">
        <v>5.7883699999999996</v>
      </c>
      <c r="AL984" s="6">
        <v>5.7805999999999997</v>
      </c>
      <c r="AM984" s="6">
        <v>2.9392999999999998</v>
      </c>
      <c r="AN984" s="6">
        <v>255</v>
      </c>
      <c r="AQ984" s="17">
        <v>982</v>
      </c>
      <c r="AR984" s="6">
        <v>1.59422</v>
      </c>
      <c r="AS984" s="6">
        <v>0.3634</v>
      </c>
      <c r="AT984" s="6">
        <v>0.8095</v>
      </c>
      <c r="AU984" s="6">
        <v>255</v>
      </c>
      <c r="AW984" s="17">
        <v>982</v>
      </c>
      <c r="AX984" s="6">
        <v>0.84072999999999998</v>
      </c>
      <c r="AY984" s="6">
        <v>0.3634</v>
      </c>
      <c r="AZ984" s="6">
        <v>0.8095</v>
      </c>
      <c r="BA984" s="6">
        <v>255</v>
      </c>
    </row>
    <row r="985" spans="30:53" x14ac:dyDescent="0.25">
      <c r="AD985" s="17">
        <v>983</v>
      </c>
      <c r="AE985" s="6">
        <v>3.0672600000000001</v>
      </c>
      <c r="AF985" s="6">
        <v>8.0983000000000001</v>
      </c>
      <c r="AG985" s="6">
        <v>2.9533999999999998</v>
      </c>
      <c r="AH985" s="6">
        <v>255</v>
      </c>
      <c r="AJ985" s="17">
        <v>983</v>
      </c>
      <c r="AK985" s="6">
        <v>5.8162000000000003</v>
      </c>
      <c r="AL985" s="6">
        <v>8.0983000000000001</v>
      </c>
      <c r="AM985" s="6">
        <v>2.9533999999999998</v>
      </c>
      <c r="AN985" s="6">
        <v>255</v>
      </c>
      <c r="AQ985" s="17">
        <v>983</v>
      </c>
      <c r="AR985" s="6">
        <v>1.6083000000000001</v>
      </c>
      <c r="AS985" s="6">
        <v>9.6049999999999996E-2</v>
      </c>
      <c r="AT985" s="6">
        <v>0.81669999999999998</v>
      </c>
      <c r="AU985" s="6">
        <v>255</v>
      </c>
      <c r="AW985" s="17">
        <v>983</v>
      </c>
      <c r="AX985" s="6">
        <v>0.84816000000000003</v>
      </c>
      <c r="AY985" s="6">
        <v>9.6049999999999996E-2</v>
      </c>
      <c r="AZ985" s="6">
        <v>0.81669999999999998</v>
      </c>
      <c r="BA985" s="6">
        <v>255</v>
      </c>
    </row>
    <row r="986" spans="30:53" x14ac:dyDescent="0.25">
      <c r="AD986" s="17">
        <v>984</v>
      </c>
      <c r="AE986" s="6">
        <v>3.0631900000000001</v>
      </c>
      <c r="AF986" s="6">
        <v>7.9752000000000001</v>
      </c>
      <c r="AG986" s="6">
        <v>2.9495</v>
      </c>
      <c r="AH986" s="6">
        <v>255</v>
      </c>
      <c r="AJ986" s="17">
        <v>984</v>
      </c>
      <c r="AK986" s="6">
        <v>5.8084800000000003</v>
      </c>
      <c r="AL986" s="6">
        <v>7.9752000000000001</v>
      </c>
      <c r="AM986" s="6">
        <v>2.9495</v>
      </c>
      <c r="AN986" s="6">
        <v>255</v>
      </c>
      <c r="AQ986" s="17">
        <v>984</v>
      </c>
      <c r="AR986" s="6">
        <v>1.60476</v>
      </c>
      <c r="AS986" s="6">
        <v>0.34839999999999999</v>
      </c>
      <c r="AT986" s="6">
        <v>0.81489999999999996</v>
      </c>
      <c r="AU986" s="6">
        <v>255</v>
      </c>
      <c r="AW986" s="17">
        <v>984</v>
      </c>
      <c r="AX986" s="6">
        <v>0.84628999999999999</v>
      </c>
      <c r="AY986" s="6">
        <v>0.34839999999999999</v>
      </c>
      <c r="AZ986" s="6">
        <v>0.81489999999999996</v>
      </c>
      <c r="BA986" s="6">
        <v>255</v>
      </c>
    </row>
    <row r="987" spans="30:53" x14ac:dyDescent="0.25">
      <c r="AD987" s="17">
        <v>985</v>
      </c>
      <c r="AE987" s="6">
        <v>3.0670600000000001</v>
      </c>
      <c r="AF987" s="6">
        <v>4.4885000000000002</v>
      </c>
      <c r="AG987" s="6">
        <v>2.9531999999999998</v>
      </c>
      <c r="AH987" s="6">
        <v>255</v>
      </c>
      <c r="AJ987" s="17">
        <v>985</v>
      </c>
      <c r="AK987" s="6">
        <v>5.8158300000000001</v>
      </c>
      <c r="AL987" s="6">
        <v>4.4885000000000002</v>
      </c>
      <c r="AM987" s="6">
        <v>2.9531999999999998</v>
      </c>
      <c r="AN987" s="6">
        <v>255</v>
      </c>
      <c r="AQ987" s="17">
        <v>985</v>
      </c>
      <c r="AR987" s="6">
        <v>1.59981</v>
      </c>
      <c r="AS987" s="19">
        <v>-1.0324</v>
      </c>
      <c r="AT987" s="6">
        <v>0.81240000000000001</v>
      </c>
      <c r="AU987" s="6">
        <v>255</v>
      </c>
      <c r="AW987" s="17">
        <v>985</v>
      </c>
      <c r="AX987" s="6">
        <v>0.84369000000000005</v>
      </c>
      <c r="AY987" s="19">
        <v>-1.0324</v>
      </c>
      <c r="AZ987" s="6">
        <v>0.81240000000000001</v>
      </c>
      <c r="BA987" s="6">
        <v>255</v>
      </c>
    </row>
    <row r="988" spans="30:53" x14ac:dyDescent="0.25">
      <c r="AD988" s="17">
        <v>986</v>
      </c>
      <c r="AE988" s="6">
        <v>3.0560999999999998</v>
      </c>
      <c r="AF988" s="6">
        <v>5.6761999999999997</v>
      </c>
      <c r="AG988" s="6">
        <v>2.9426999999999999</v>
      </c>
      <c r="AH988" s="6">
        <v>255</v>
      </c>
      <c r="AJ988" s="17">
        <v>986</v>
      </c>
      <c r="AK988" s="6">
        <v>5.7950400000000002</v>
      </c>
      <c r="AL988" s="6">
        <v>5.6761999999999997</v>
      </c>
      <c r="AM988" s="6">
        <v>2.9426999999999999</v>
      </c>
      <c r="AN988" s="6">
        <v>255</v>
      </c>
      <c r="AQ988" s="17">
        <v>986</v>
      </c>
      <c r="AR988" s="6">
        <v>1.59561</v>
      </c>
      <c r="AS988" s="19">
        <v>-0.66920000000000002</v>
      </c>
      <c r="AT988" s="6">
        <v>0.81020000000000003</v>
      </c>
      <c r="AU988" s="6">
        <v>255</v>
      </c>
      <c r="AW988" s="17">
        <v>986</v>
      </c>
      <c r="AX988" s="6">
        <v>0.84147000000000005</v>
      </c>
      <c r="AY988" s="19">
        <v>-0.66920000000000002</v>
      </c>
      <c r="AZ988" s="6">
        <v>0.81020000000000003</v>
      </c>
      <c r="BA988" s="6">
        <v>255</v>
      </c>
    </row>
    <row r="989" spans="30:53" x14ac:dyDescent="0.25">
      <c r="AD989" s="17">
        <v>987</v>
      </c>
      <c r="AE989" s="6">
        <v>3.0440900000000002</v>
      </c>
      <c r="AF989" s="6">
        <v>6.2492000000000001</v>
      </c>
      <c r="AG989" s="6">
        <v>2.9310999999999998</v>
      </c>
      <c r="AH989" s="6">
        <v>255</v>
      </c>
      <c r="AJ989" s="17">
        <v>987</v>
      </c>
      <c r="AK989" s="6">
        <v>5.7722600000000002</v>
      </c>
      <c r="AL989" s="6">
        <v>6.2492000000000001</v>
      </c>
      <c r="AM989" s="6">
        <v>2.9310999999999998</v>
      </c>
      <c r="AN989" s="6">
        <v>255</v>
      </c>
      <c r="AQ989" s="17">
        <v>987</v>
      </c>
      <c r="AR989" s="6">
        <v>1.59337</v>
      </c>
      <c r="AS989" s="19">
        <v>-0.13370000000000001</v>
      </c>
      <c r="AT989" s="6">
        <v>0.80910000000000004</v>
      </c>
      <c r="AU989" s="6">
        <v>255</v>
      </c>
      <c r="AW989" s="17">
        <v>987</v>
      </c>
      <c r="AX989" s="6">
        <v>0.84028999999999998</v>
      </c>
      <c r="AY989" s="19">
        <v>-0.13370000000000001</v>
      </c>
      <c r="AZ989" s="6">
        <v>0.80910000000000004</v>
      </c>
      <c r="BA989" s="6">
        <v>255</v>
      </c>
    </row>
    <row r="990" spans="30:53" x14ac:dyDescent="0.25">
      <c r="AD990" s="17">
        <v>988</v>
      </c>
      <c r="AE990" s="6">
        <v>3.0428799999999998</v>
      </c>
      <c r="AF990" s="6">
        <v>6.2724000000000002</v>
      </c>
      <c r="AG990" s="6">
        <v>2.9298999999999999</v>
      </c>
      <c r="AH990" s="6">
        <v>255</v>
      </c>
      <c r="AJ990" s="17">
        <v>988</v>
      </c>
      <c r="AK990" s="6">
        <v>5.7699800000000003</v>
      </c>
      <c r="AL990" s="6">
        <v>6.2724000000000002</v>
      </c>
      <c r="AM990" s="6">
        <v>2.9298999999999999</v>
      </c>
      <c r="AN990" s="6">
        <v>255</v>
      </c>
      <c r="AQ990" s="17">
        <v>988</v>
      </c>
      <c r="AR990" s="6">
        <v>1.59128</v>
      </c>
      <c r="AS990" s="6">
        <v>0.33040000000000003</v>
      </c>
      <c r="AT990" s="6">
        <v>0.80800000000000005</v>
      </c>
      <c r="AU990" s="6">
        <v>255</v>
      </c>
      <c r="AW990" s="17">
        <v>988</v>
      </c>
      <c r="AX990" s="6">
        <v>0.83918999999999999</v>
      </c>
      <c r="AY990" s="6">
        <v>0.33040000000000003</v>
      </c>
      <c r="AZ990" s="6">
        <v>0.80800000000000005</v>
      </c>
      <c r="BA990" s="6">
        <v>255</v>
      </c>
    </row>
    <row r="991" spans="30:53" x14ac:dyDescent="0.25">
      <c r="AD991" s="17">
        <v>989</v>
      </c>
      <c r="AE991" s="6">
        <v>3.0656099999999999</v>
      </c>
      <c r="AF991" s="6">
        <v>5.29</v>
      </c>
      <c r="AG991" s="6">
        <v>2.9518</v>
      </c>
      <c r="AH991" s="6">
        <v>255</v>
      </c>
      <c r="AJ991" s="17">
        <v>989</v>
      </c>
      <c r="AK991" s="6">
        <v>5.8130800000000002</v>
      </c>
      <c r="AL991" s="6">
        <v>5.29</v>
      </c>
      <c r="AM991" s="6">
        <v>2.9518</v>
      </c>
      <c r="AN991" s="6">
        <v>255</v>
      </c>
      <c r="AQ991" s="17">
        <v>989</v>
      </c>
      <c r="AR991" s="6">
        <v>1.59775</v>
      </c>
      <c r="AS991" s="19">
        <v>-0.78400000000000003</v>
      </c>
      <c r="AT991" s="6">
        <v>0.81130000000000002</v>
      </c>
      <c r="AU991" s="6">
        <v>255</v>
      </c>
      <c r="AW991" s="17">
        <v>989</v>
      </c>
      <c r="AX991" s="6">
        <v>0.84260000000000002</v>
      </c>
      <c r="AY991" s="19">
        <v>-0.78400000000000003</v>
      </c>
      <c r="AZ991" s="6">
        <v>0.81130000000000002</v>
      </c>
      <c r="BA991" s="6">
        <v>255</v>
      </c>
    </row>
    <row r="992" spans="30:53" x14ac:dyDescent="0.25">
      <c r="AD992" s="17">
        <v>990</v>
      </c>
      <c r="AE992" s="6">
        <v>3.0575700000000001</v>
      </c>
      <c r="AF992" s="6">
        <v>12.8797</v>
      </c>
      <c r="AG992" s="6">
        <v>2.9441000000000002</v>
      </c>
      <c r="AH992" s="6">
        <v>255</v>
      </c>
      <c r="AJ992" s="17">
        <v>990</v>
      </c>
      <c r="AK992" s="6">
        <v>5.7978300000000003</v>
      </c>
      <c r="AL992" s="6">
        <v>12.8797</v>
      </c>
      <c r="AM992" s="6">
        <v>2.9441000000000002</v>
      </c>
      <c r="AN992" s="6">
        <v>255</v>
      </c>
      <c r="AQ992" s="17">
        <v>990</v>
      </c>
      <c r="AR992" s="6">
        <v>1.6056699999999999</v>
      </c>
      <c r="AS992" s="6">
        <v>0.59150000000000003</v>
      </c>
      <c r="AT992" s="6">
        <v>0.81530000000000002</v>
      </c>
      <c r="AU992" s="6">
        <v>255</v>
      </c>
      <c r="AW992" s="17">
        <v>990</v>
      </c>
      <c r="AX992" s="6">
        <v>0.84677000000000002</v>
      </c>
      <c r="AY992" s="6">
        <v>0.59150000000000003</v>
      </c>
      <c r="AZ992" s="6">
        <v>0.81530000000000002</v>
      </c>
      <c r="BA992" s="6">
        <v>255</v>
      </c>
    </row>
    <row r="993" spans="30:53" x14ac:dyDescent="0.25">
      <c r="AD993" s="17">
        <v>991</v>
      </c>
      <c r="AE993" s="6">
        <v>3.0395099999999999</v>
      </c>
      <c r="AF993" s="6">
        <v>6.8394000000000004</v>
      </c>
      <c r="AG993" s="6">
        <v>2.9266999999999999</v>
      </c>
      <c r="AH993" s="6">
        <v>255</v>
      </c>
      <c r="AJ993" s="17">
        <v>991</v>
      </c>
      <c r="AK993" s="6">
        <v>5.7635800000000001</v>
      </c>
      <c r="AL993" s="6">
        <v>6.8394000000000004</v>
      </c>
      <c r="AM993" s="6">
        <v>2.9266999999999999</v>
      </c>
      <c r="AN993" s="6">
        <v>255</v>
      </c>
      <c r="AQ993" s="17">
        <v>991</v>
      </c>
      <c r="AR993" s="6">
        <v>1.5929800000000001</v>
      </c>
      <c r="AS993" s="19">
        <v>-0.77790000000000004</v>
      </c>
      <c r="AT993" s="6">
        <v>0.80889999999999995</v>
      </c>
      <c r="AU993" s="6">
        <v>255</v>
      </c>
      <c r="AW993" s="17">
        <v>991</v>
      </c>
      <c r="AX993" s="6">
        <v>0.84008000000000005</v>
      </c>
      <c r="AY993" s="19">
        <v>-0.77790000000000004</v>
      </c>
      <c r="AZ993" s="6">
        <v>0.80889999999999995</v>
      </c>
      <c r="BA993" s="6">
        <v>255</v>
      </c>
    </row>
    <row r="994" spans="30:53" x14ac:dyDescent="0.25">
      <c r="AD994" s="17">
        <v>992</v>
      </c>
      <c r="AE994" s="6">
        <v>3.06487</v>
      </c>
      <c r="AF994" s="6">
        <v>15.603199999999999</v>
      </c>
      <c r="AG994" s="6">
        <v>2.9510999999999998</v>
      </c>
      <c r="AH994" s="6">
        <v>255</v>
      </c>
      <c r="AJ994" s="17">
        <v>992</v>
      </c>
      <c r="AK994" s="6">
        <v>5.8116700000000003</v>
      </c>
      <c r="AL994" s="6">
        <v>15.603199999999999</v>
      </c>
      <c r="AM994" s="6">
        <v>2.9510999999999998</v>
      </c>
      <c r="AN994" s="6">
        <v>255</v>
      </c>
      <c r="AQ994" s="17">
        <v>992</v>
      </c>
      <c r="AR994" s="6">
        <v>1.6080700000000001</v>
      </c>
      <c r="AS994" s="6">
        <v>1.7135</v>
      </c>
      <c r="AT994" s="6">
        <v>0.81659999999999999</v>
      </c>
      <c r="AU994" s="6">
        <v>255</v>
      </c>
      <c r="AW994" s="17">
        <v>992</v>
      </c>
      <c r="AX994" s="6">
        <v>0.84804000000000002</v>
      </c>
      <c r="AY994" s="6">
        <v>1.7135</v>
      </c>
      <c r="AZ994" s="6">
        <v>0.81659999999999999</v>
      </c>
      <c r="BA994" s="6">
        <v>255</v>
      </c>
    </row>
    <row r="995" spans="30:53" x14ac:dyDescent="0.25">
      <c r="AD995" s="17">
        <v>993</v>
      </c>
      <c r="AE995" s="6">
        <v>3.0512299999999999</v>
      </c>
      <c r="AF995" s="6">
        <v>10.1729</v>
      </c>
      <c r="AG995" s="6">
        <v>2.9380000000000002</v>
      </c>
      <c r="AH995" s="6">
        <v>255</v>
      </c>
      <c r="AJ995" s="17">
        <v>993</v>
      </c>
      <c r="AK995" s="6">
        <v>5.7858000000000001</v>
      </c>
      <c r="AL995" s="6">
        <v>10.1729</v>
      </c>
      <c r="AM995" s="6">
        <v>2.9380000000000002</v>
      </c>
      <c r="AN995" s="6">
        <v>255</v>
      </c>
      <c r="AQ995" s="17">
        <v>993</v>
      </c>
      <c r="AR995" s="6">
        <v>1.5961399999999999</v>
      </c>
      <c r="AS995" s="6">
        <v>0.37290000000000001</v>
      </c>
      <c r="AT995" s="6">
        <v>0.8105</v>
      </c>
      <c r="AU995" s="6">
        <v>255</v>
      </c>
      <c r="AW995" s="17">
        <v>993</v>
      </c>
      <c r="AX995" s="6">
        <v>0.84175</v>
      </c>
      <c r="AY995" s="6">
        <v>0.37290000000000001</v>
      </c>
      <c r="AZ995" s="6">
        <v>0.8105</v>
      </c>
      <c r="BA995" s="6">
        <v>255</v>
      </c>
    </row>
    <row r="996" spans="30:53" x14ac:dyDescent="0.25">
      <c r="AD996" s="17">
        <v>994</v>
      </c>
      <c r="AE996" s="6">
        <v>3.0692300000000001</v>
      </c>
      <c r="AF996" s="6">
        <v>7.9127000000000001</v>
      </c>
      <c r="AG996" s="6">
        <v>2.9552999999999998</v>
      </c>
      <c r="AH996" s="6">
        <v>255</v>
      </c>
      <c r="AJ996" s="17">
        <v>994</v>
      </c>
      <c r="AK996" s="6">
        <v>5.8199300000000003</v>
      </c>
      <c r="AL996" s="6">
        <v>7.9127000000000001</v>
      </c>
      <c r="AM996" s="6">
        <v>2.9552999999999998</v>
      </c>
      <c r="AN996" s="6">
        <v>255</v>
      </c>
      <c r="AQ996" s="17">
        <v>994</v>
      </c>
      <c r="AR996" s="6">
        <v>1.6076699999999999</v>
      </c>
      <c r="AS996" s="6">
        <v>0.54300000000000004</v>
      </c>
      <c r="AT996" s="6">
        <v>0.81640000000000001</v>
      </c>
      <c r="AU996" s="6">
        <v>255</v>
      </c>
      <c r="AW996" s="17">
        <v>994</v>
      </c>
      <c r="AX996" s="6">
        <v>0.84782999999999997</v>
      </c>
      <c r="AY996" s="6">
        <v>0.54300000000000004</v>
      </c>
      <c r="AZ996" s="6">
        <v>0.81640000000000001</v>
      </c>
      <c r="BA996" s="6">
        <v>255</v>
      </c>
    </row>
    <row r="997" spans="30:53" x14ac:dyDescent="0.25">
      <c r="AD997" s="17">
        <v>995</v>
      </c>
      <c r="AE997" s="6">
        <v>3.06</v>
      </c>
      <c r="AF997" s="6">
        <v>9.1631999999999998</v>
      </c>
      <c r="AG997" s="6">
        <v>2.9464000000000001</v>
      </c>
      <c r="AH997" s="6">
        <v>255</v>
      </c>
      <c r="AJ997" s="17">
        <v>995</v>
      </c>
      <c r="AK997" s="6">
        <v>5.8024399999999998</v>
      </c>
      <c r="AL997" s="6">
        <v>9.1631999999999998</v>
      </c>
      <c r="AM997" s="6">
        <v>2.9464000000000001</v>
      </c>
      <c r="AN997" s="6">
        <v>255</v>
      </c>
      <c r="AQ997" s="17">
        <v>995</v>
      </c>
      <c r="AR997" s="6">
        <v>1.60737</v>
      </c>
      <c r="AS997" s="6">
        <v>0.12959999999999999</v>
      </c>
      <c r="AT997" s="6">
        <v>0.81620000000000004</v>
      </c>
      <c r="AU997" s="6">
        <v>255</v>
      </c>
      <c r="AW997" s="17">
        <v>995</v>
      </c>
      <c r="AX997" s="6">
        <v>0.84767000000000003</v>
      </c>
      <c r="AY997" s="6">
        <v>0.12959999999999999</v>
      </c>
      <c r="AZ997" s="6">
        <v>0.81620000000000004</v>
      </c>
      <c r="BA997" s="6">
        <v>255</v>
      </c>
    </row>
    <row r="998" spans="30:53" x14ac:dyDescent="0.25">
      <c r="AD998" s="17">
        <v>996</v>
      </c>
      <c r="AE998" s="6">
        <v>3.0514999999999999</v>
      </c>
      <c r="AF998" s="6">
        <v>8.8679000000000006</v>
      </c>
      <c r="AG998" s="6">
        <v>2.9382000000000001</v>
      </c>
      <c r="AH998" s="6">
        <v>255</v>
      </c>
      <c r="AJ998" s="17">
        <v>996</v>
      </c>
      <c r="AK998" s="6">
        <v>5.7863100000000003</v>
      </c>
      <c r="AL998" s="6">
        <v>8.8679000000000006</v>
      </c>
      <c r="AM998" s="6">
        <v>2.9382000000000001</v>
      </c>
      <c r="AN998" s="6">
        <v>255</v>
      </c>
      <c r="AQ998" s="17">
        <v>996</v>
      </c>
      <c r="AR998" s="6">
        <v>1.6017399999999999</v>
      </c>
      <c r="AS998" s="19">
        <v>-1.0901000000000001</v>
      </c>
      <c r="AT998" s="6">
        <v>0.81330000000000002</v>
      </c>
      <c r="AU998" s="6">
        <v>255</v>
      </c>
      <c r="AW998" s="17">
        <v>996</v>
      </c>
      <c r="AX998" s="6">
        <v>0.84470000000000001</v>
      </c>
      <c r="AY998" s="19">
        <v>-1.0901000000000001</v>
      </c>
      <c r="AZ998" s="6">
        <v>0.81330000000000002</v>
      </c>
      <c r="BA998" s="6">
        <v>255</v>
      </c>
    </row>
    <row r="999" spans="30:53" x14ac:dyDescent="0.25">
      <c r="AD999" s="17">
        <v>997</v>
      </c>
      <c r="AE999" s="6">
        <v>3.0605199999999999</v>
      </c>
      <c r="AF999" s="6">
        <v>14.306100000000001</v>
      </c>
      <c r="AG999" s="6">
        <v>2.9468999999999999</v>
      </c>
      <c r="AH999" s="6">
        <v>255</v>
      </c>
      <c r="AJ999" s="17">
        <v>997</v>
      </c>
      <c r="AK999" s="6">
        <v>5.80342</v>
      </c>
      <c r="AL999" s="6">
        <v>14.306100000000001</v>
      </c>
      <c r="AM999" s="6">
        <v>2.9468999999999999</v>
      </c>
      <c r="AN999" s="6">
        <v>255</v>
      </c>
      <c r="AQ999" s="17">
        <v>997</v>
      </c>
      <c r="AR999" s="6">
        <v>1.59961</v>
      </c>
      <c r="AS999" s="6">
        <v>1.8471</v>
      </c>
      <c r="AT999" s="6">
        <v>0.81230000000000002</v>
      </c>
      <c r="AU999" s="6">
        <v>255</v>
      </c>
      <c r="AW999" s="17">
        <v>997</v>
      </c>
      <c r="AX999" s="6">
        <v>0.84358</v>
      </c>
      <c r="AY999" s="6">
        <v>1.8471</v>
      </c>
      <c r="AZ999" s="6">
        <v>0.81230000000000002</v>
      </c>
      <c r="BA999" s="6">
        <v>255</v>
      </c>
    </row>
    <row r="1000" spans="30:53" x14ac:dyDescent="0.25">
      <c r="AD1000" s="17">
        <v>998</v>
      </c>
      <c r="AE1000" s="6">
        <v>3.0719400000000001</v>
      </c>
      <c r="AF1000" s="6">
        <v>11.160299999999999</v>
      </c>
      <c r="AG1000" s="6">
        <v>2.9579</v>
      </c>
      <c r="AH1000" s="6">
        <v>255</v>
      </c>
      <c r="AJ1000" s="17">
        <v>998</v>
      </c>
      <c r="AK1000" s="6">
        <v>5.8250700000000002</v>
      </c>
      <c r="AL1000" s="6">
        <v>11.160299999999999</v>
      </c>
      <c r="AM1000" s="6">
        <v>2.9579</v>
      </c>
      <c r="AN1000" s="6">
        <v>255</v>
      </c>
      <c r="AQ1000" s="17">
        <v>998</v>
      </c>
      <c r="AR1000" s="6">
        <v>1.59981</v>
      </c>
      <c r="AS1000" s="6">
        <v>1.7009000000000001</v>
      </c>
      <c r="AT1000" s="6">
        <v>0.81240000000000001</v>
      </c>
      <c r="AU1000" s="6">
        <v>255</v>
      </c>
      <c r="AW1000" s="17">
        <v>998</v>
      </c>
      <c r="AX1000" s="6">
        <v>0.84369000000000005</v>
      </c>
      <c r="AY1000" s="6">
        <v>1.7009000000000001</v>
      </c>
      <c r="AZ1000" s="6">
        <v>0.81240000000000001</v>
      </c>
      <c r="BA1000" s="6">
        <v>255</v>
      </c>
    </row>
    <row r="1001" spans="30:53" x14ac:dyDescent="0.25">
      <c r="AD1001" s="17">
        <v>999</v>
      </c>
      <c r="AE1001" s="6">
        <v>3.0621200000000002</v>
      </c>
      <c r="AF1001" s="6">
        <v>9.4055999999999997</v>
      </c>
      <c r="AG1001" s="6">
        <v>2.9485000000000001</v>
      </c>
      <c r="AH1001" s="6">
        <v>255</v>
      </c>
      <c r="AJ1001" s="17">
        <v>999</v>
      </c>
      <c r="AK1001" s="6">
        <v>5.8064600000000004</v>
      </c>
      <c r="AL1001" s="6">
        <v>9.4055999999999997</v>
      </c>
      <c r="AM1001" s="6">
        <v>2.9485000000000001</v>
      </c>
      <c r="AN1001" s="6">
        <v>255</v>
      </c>
      <c r="AQ1001" s="17">
        <v>999</v>
      </c>
      <c r="AR1001" s="6">
        <v>1.59897</v>
      </c>
      <c r="AS1001" s="6">
        <v>1.2435</v>
      </c>
      <c r="AT1001" s="6">
        <v>0.81189999999999996</v>
      </c>
      <c r="AU1001" s="6">
        <v>255</v>
      </c>
      <c r="AW1001" s="17">
        <v>999</v>
      </c>
      <c r="AX1001" s="6">
        <v>0.84323999999999999</v>
      </c>
      <c r="AY1001" s="6">
        <v>1.2435</v>
      </c>
      <c r="AZ1001" s="6">
        <v>0.81189999999999996</v>
      </c>
      <c r="BA1001" s="6">
        <v>255</v>
      </c>
    </row>
    <row r="1002" spans="30:53" x14ac:dyDescent="0.25">
      <c r="AD1002" s="17">
        <v>1000</v>
      </c>
      <c r="AE1002" s="6">
        <v>3.06976</v>
      </c>
      <c r="AF1002" s="6">
        <v>13.126899999999999</v>
      </c>
      <c r="AG1002" s="6">
        <v>2.9558</v>
      </c>
      <c r="AH1002" s="6">
        <v>255</v>
      </c>
      <c r="AJ1002" s="17">
        <v>1000</v>
      </c>
      <c r="AK1002" s="6">
        <v>5.8209400000000002</v>
      </c>
      <c r="AL1002" s="6">
        <v>13.126899999999999</v>
      </c>
      <c r="AM1002" s="6">
        <v>2.9558</v>
      </c>
      <c r="AN1002" s="6">
        <v>255</v>
      </c>
      <c r="AQ1002" s="17">
        <v>1000</v>
      </c>
      <c r="AR1002" s="6">
        <v>1.6048899999999999</v>
      </c>
      <c r="AS1002" s="6">
        <v>0.55959999999999999</v>
      </c>
      <c r="AT1002" s="6">
        <v>0.81499999999999995</v>
      </c>
      <c r="AU1002" s="6">
        <v>255</v>
      </c>
      <c r="AW1002" s="17">
        <v>1000</v>
      </c>
      <c r="AX1002" s="6">
        <v>0.84636</v>
      </c>
      <c r="AY1002" s="6">
        <v>0.55959999999999999</v>
      </c>
      <c r="AZ1002" s="6">
        <v>0.81499999999999995</v>
      </c>
      <c r="BA1002" s="6">
        <v>255</v>
      </c>
    </row>
    <row r="1003" spans="30:53" x14ac:dyDescent="0.25">
      <c r="AD1003" s="17">
        <v>1001</v>
      </c>
      <c r="AE1003" s="6">
        <v>3.06081</v>
      </c>
      <c r="AF1003" s="6">
        <v>21.6309</v>
      </c>
      <c r="AG1003" s="6">
        <v>2.9472</v>
      </c>
      <c r="AH1003" s="6">
        <v>255</v>
      </c>
      <c r="AJ1003" s="17">
        <v>1001</v>
      </c>
      <c r="AK1003" s="6">
        <v>5.80396</v>
      </c>
      <c r="AL1003" s="6">
        <v>21.6309</v>
      </c>
      <c r="AM1003" s="6">
        <v>2.9472</v>
      </c>
      <c r="AN1003" s="6">
        <v>255</v>
      </c>
      <c r="AQ1003" s="17">
        <v>1001</v>
      </c>
      <c r="AR1003" s="6">
        <v>1.60629</v>
      </c>
      <c r="AS1003" s="6">
        <v>3.4681999999999999</v>
      </c>
      <c r="AT1003" s="6">
        <v>0.81569999999999998</v>
      </c>
      <c r="AU1003" s="6">
        <v>255</v>
      </c>
      <c r="AW1003" s="17">
        <v>1001</v>
      </c>
      <c r="AX1003" s="6">
        <v>0.84709999999999996</v>
      </c>
      <c r="AY1003" s="6">
        <v>3.4681999999999999</v>
      </c>
      <c r="AZ1003" s="6">
        <v>0.81569999999999998</v>
      </c>
      <c r="BA1003" s="6">
        <v>255</v>
      </c>
    </row>
    <row r="1004" spans="30:53" x14ac:dyDescent="0.25">
      <c r="AD1004" s="17">
        <v>1002</v>
      </c>
      <c r="AE1004" s="6">
        <v>3.0542699999999998</v>
      </c>
      <c r="AF1004" s="6">
        <v>2.4773999999999998</v>
      </c>
      <c r="AG1004" s="6">
        <v>2.9409000000000001</v>
      </c>
      <c r="AH1004" s="6">
        <v>255</v>
      </c>
      <c r="AJ1004" s="17">
        <v>1002</v>
      </c>
      <c r="AK1004" s="6">
        <v>5.7915599999999996</v>
      </c>
      <c r="AL1004" s="6">
        <v>2.4773999999999998</v>
      </c>
      <c r="AM1004" s="6">
        <v>2.9409000000000001</v>
      </c>
      <c r="AN1004" s="6">
        <v>255</v>
      </c>
      <c r="AQ1004" s="17">
        <v>1002</v>
      </c>
      <c r="AR1004" s="6">
        <v>1.58954</v>
      </c>
      <c r="AS1004" s="6">
        <v>0.52390000000000003</v>
      </c>
      <c r="AT1004" s="6">
        <v>0.80720000000000003</v>
      </c>
      <c r="AU1004" s="6">
        <v>255</v>
      </c>
      <c r="AW1004" s="17">
        <v>1002</v>
      </c>
      <c r="AX1004" s="6">
        <v>0.83826999999999996</v>
      </c>
      <c r="AY1004" s="6">
        <v>0.52390000000000003</v>
      </c>
      <c r="AZ1004" s="6">
        <v>0.80720000000000003</v>
      </c>
      <c r="BA1004" s="6">
        <v>255</v>
      </c>
    </row>
    <row r="1005" spans="30:53" x14ac:dyDescent="0.25">
      <c r="AD1005" s="17">
        <v>1003</v>
      </c>
      <c r="AE1005" s="6">
        <v>3.0506199999999999</v>
      </c>
      <c r="AF1005" s="6">
        <v>0.55800000000000005</v>
      </c>
      <c r="AG1005" s="6">
        <v>2.9373999999999998</v>
      </c>
      <c r="AH1005" s="6">
        <v>255</v>
      </c>
      <c r="AJ1005" s="17">
        <v>1003</v>
      </c>
      <c r="AK1005" s="6">
        <v>5.7846399999999996</v>
      </c>
      <c r="AL1005" s="6">
        <v>0.55800000000000005</v>
      </c>
      <c r="AM1005" s="6">
        <v>2.9373999999999998</v>
      </c>
      <c r="AN1005" s="6">
        <v>255</v>
      </c>
      <c r="AQ1005" s="17">
        <v>1003</v>
      </c>
      <c r="AR1005" s="6">
        <v>1.59084</v>
      </c>
      <c r="AS1005" s="19">
        <v>-0.65880000000000005</v>
      </c>
      <c r="AT1005" s="6">
        <v>0.80779999999999996</v>
      </c>
      <c r="AU1005" s="6">
        <v>255</v>
      </c>
      <c r="AW1005" s="17">
        <v>1003</v>
      </c>
      <c r="AX1005" s="6">
        <v>0.83894999999999997</v>
      </c>
      <c r="AY1005" s="19">
        <v>-0.65880000000000005</v>
      </c>
      <c r="AZ1005" s="6">
        <v>0.80779999999999996</v>
      </c>
      <c r="BA1005" s="6">
        <v>255</v>
      </c>
    </row>
    <row r="1006" spans="30:53" x14ac:dyDescent="0.25">
      <c r="AD1006" s="17">
        <v>1004</v>
      </c>
      <c r="AE1006" s="6">
        <v>3.04779</v>
      </c>
      <c r="AF1006" s="6">
        <v>1.869</v>
      </c>
      <c r="AG1006" s="6">
        <v>2.9346999999999999</v>
      </c>
      <c r="AH1006" s="6">
        <v>255</v>
      </c>
      <c r="AJ1006" s="17">
        <v>1004</v>
      </c>
      <c r="AK1006" s="6">
        <v>5.77928</v>
      </c>
      <c r="AL1006" s="6">
        <v>1.869</v>
      </c>
      <c r="AM1006" s="6">
        <v>2.9346999999999999</v>
      </c>
      <c r="AN1006" s="6">
        <v>255</v>
      </c>
      <c r="AQ1006" s="17">
        <v>1004</v>
      </c>
      <c r="AR1006" s="6">
        <v>1.58988</v>
      </c>
      <c r="AS1006" s="19">
        <v>-0.84709999999999996</v>
      </c>
      <c r="AT1006" s="6">
        <v>0.80730000000000002</v>
      </c>
      <c r="AU1006" s="6">
        <v>255</v>
      </c>
      <c r="AW1006" s="17">
        <v>1004</v>
      </c>
      <c r="AX1006" s="6">
        <v>0.83845000000000003</v>
      </c>
      <c r="AY1006" s="19">
        <v>-0.84709999999999996</v>
      </c>
      <c r="AZ1006" s="6">
        <v>0.80730000000000002</v>
      </c>
      <c r="BA1006" s="6">
        <v>255</v>
      </c>
    </row>
    <row r="1007" spans="30:53" x14ac:dyDescent="0.25">
      <c r="AD1007" s="17">
        <v>1005</v>
      </c>
      <c r="AE1007" s="6">
        <v>3.0392299999999999</v>
      </c>
      <c r="AF1007" s="6">
        <v>3.7627000000000002</v>
      </c>
      <c r="AG1007" s="6">
        <v>2.9264000000000001</v>
      </c>
      <c r="AH1007" s="6">
        <v>255</v>
      </c>
      <c r="AJ1007" s="17">
        <v>1005</v>
      </c>
      <c r="AK1007" s="6">
        <v>5.7630499999999998</v>
      </c>
      <c r="AL1007" s="6">
        <v>3.7627000000000002</v>
      </c>
      <c r="AM1007" s="6">
        <v>2.9264000000000001</v>
      </c>
      <c r="AN1007" s="6">
        <v>255</v>
      </c>
      <c r="AQ1007" s="17">
        <v>1005</v>
      </c>
      <c r="AR1007" s="6">
        <v>1.58687</v>
      </c>
      <c r="AS1007" s="6">
        <v>8.2409999999999997E-2</v>
      </c>
      <c r="AT1007" s="6">
        <v>0.80579999999999996</v>
      </c>
      <c r="AU1007" s="6">
        <v>255</v>
      </c>
      <c r="AW1007" s="17">
        <v>1005</v>
      </c>
      <c r="AX1007" s="6">
        <v>0.83686000000000005</v>
      </c>
      <c r="AY1007" s="6">
        <v>8.2409999999999997E-2</v>
      </c>
      <c r="AZ1007" s="6">
        <v>0.80579999999999996</v>
      </c>
      <c r="BA1007" s="6">
        <v>255</v>
      </c>
    </row>
    <row r="1008" spans="30:53" x14ac:dyDescent="0.25">
      <c r="AD1008" s="17">
        <v>1006</v>
      </c>
      <c r="AE1008" s="6">
        <v>3.0600900000000002</v>
      </c>
      <c r="AF1008" s="19">
        <v>-2.3871000000000002</v>
      </c>
      <c r="AG1008" s="6">
        <v>2.9464999999999999</v>
      </c>
      <c r="AH1008" s="6">
        <v>255</v>
      </c>
      <c r="AJ1008" s="17">
        <v>1006</v>
      </c>
      <c r="AK1008" s="6">
        <v>5.8026</v>
      </c>
      <c r="AL1008" s="19">
        <v>-2.3871000000000002</v>
      </c>
      <c r="AM1008" s="6">
        <v>2.9464999999999999</v>
      </c>
      <c r="AN1008" s="6">
        <v>255</v>
      </c>
      <c r="AQ1008" s="17">
        <v>1006</v>
      </c>
      <c r="AR1008" s="6">
        <v>1.5973900000000001</v>
      </c>
      <c r="AS1008" s="19">
        <v>-2.2820999999999998</v>
      </c>
      <c r="AT1008" s="6">
        <v>0.81110000000000004</v>
      </c>
      <c r="AU1008" s="6">
        <v>255</v>
      </c>
      <c r="AW1008" s="17">
        <v>1006</v>
      </c>
      <c r="AX1008" s="6">
        <v>0.84240999999999999</v>
      </c>
      <c r="AY1008" s="19">
        <v>-2.2820999999999998</v>
      </c>
      <c r="AZ1008" s="6">
        <v>0.81110000000000004</v>
      </c>
      <c r="BA1008" s="6">
        <v>255</v>
      </c>
    </row>
    <row r="1009" spans="30:53" x14ac:dyDescent="0.25">
      <c r="AD1009" s="17">
        <v>1007</v>
      </c>
      <c r="AE1009" s="6">
        <v>3.04603</v>
      </c>
      <c r="AF1009" s="6">
        <v>0.73780000000000001</v>
      </c>
      <c r="AG1009" s="6">
        <v>2.9329999999999998</v>
      </c>
      <c r="AH1009" s="6">
        <v>255</v>
      </c>
      <c r="AJ1009" s="17">
        <v>1007</v>
      </c>
      <c r="AK1009" s="6">
        <v>5.7759400000000003</v>
      </c>
      <c r="AL1009" s="6">
        <v>0.73780000000000001</v>
      </c>
      <c r="AM1009" s="6">
        <v>2.9329999999999998</v>
      </c>
      <c r="AN1009" s="6">
        <v>255</v>
      </c>
      <c r="AQ1009" s="17">
        <v>1007</v>
      </c>
      <c r="AR1009" s="6">
        <v>1.58524</v>
      </c>
      <c r="AS1009" s="6">
        <v>9.1069999999999998E-2</v>
      </c>
      <c r="AT1009" s="6">
        <v>0.80500000000000005</v>
      </c>
      <c r="AU1009" s="6">
        <v>255</v>
      </c>
      <c r="AW1009" s="17">
        <v>1007</v>
      </c>
      <c r="AX1009" s="6">
        <v>0.83599999999999997</v>
      </c>
      <c r="AY1009" s="6">
        <v>9.1069999999999998E-2</v>
      </c>
      <c r="AZ1009" s="6">
        <v>0.80500000000000005</v>
      </c>
      <c r="BA1009" s="6">
        <v>255</v>
      </c>
    </row>
    <row r="1010" spans="30:53" x14ac:dyDescent="0.25">
      <c r="AD1010" s="17">
        <v>1008</v>
      </c>
      <c r="AE1010" s="6">
        <v>3.0415199999999998</v>
      </c>
      <c r="AF1010" s="6">
        <v>3.0554999999999999</v>
      </c>
      <c r="AG1010" s="6">
        <v>2.9285999999999999</v>
      </c>
      <c r="AH1010" s="6">
        <v>255</v>
      </c>
      <c r="AJ1010" s="17">
        <v>1008</v>
      </c>
      <c r="AK1010" s="6">
        <v>5.7673800000000002</v>
      </c>
      <c r="AL1010" s="6">
        <v>3.0554999999999999</v>
      </c>
      <c r="AM1010" s="6">
        <v>2.9285999999999999</v>
      </c>
      <c r="AN1010" s="6">
        <v>255</v>
      </c>
      <c r="AQ1010" s="17">
        <v>1008</v>
      </c>
      <c r="AR1010" s="6">
        <v>1.59623</v>
      </c>
      <c r="AS1010" s="19">
        <v>-0.17630000000000001</v>
      </c>
      <c r="AT1010" s="6">
        <v>0.81059999999999999</v>
      </c>
      <c r="AU1010" s="6">
        <v>255</v>
      </c>
      <c r="AW1010" s="17">
        <v>1008</v>
      </c>
      <c r="AX1010" s="6">
        <v>0.84179999999999999</v>
      </c>
      <c r="AY1010" s="19">
        <v>-0.17630000000000001</v>
      </c>
      <c r="AZ1010" s="6">
        <v>0.81059999999999999</v>
      </c>
      <c r="BA1010" s="6">
        <v>255</v>
      </c>
    </row>
    <row r="1011" spans="30:53" x14ac:dyDescent="0.25">
      <c r="AD1011" s="17">
        <v>1009</v>
      </c>
      <c r="AE1011" s="6">
        <v>3.0605899999999999</v>
      </c>
      <c r="AF1011" s="6">
        <v>2.9323999999999999</v>
      </c>
      <c r="AG1011" s="6">
        <v>2.9470000000000001</v>
      </c>
      <c r="AH1011" s="6">
        <v>255</v>
      </c>
      <c r="AJ1011" s="17">
        <v>1009</v>
      </c>
      <c r="AK1011" s="6">
        <v>5.8035600000000001</v>
      </c>
      <c r="AL1011" s="6">
        <v>2.9323999999999999</v>
      </c>
      <c r="AM1011" s="6">
        <v>2.9470000000000001</v>
      </c>
      <c r="AN1011" s="6">
        <v>255</v>
      </c>
      <c r="AQ1011" s="17">
        <v>1009</v>
      </c>
      <c r="AR1011" s="6">
        <v>1.6008100000000001</v>
      </c>
      <c r="AS1011" s="6">
        <v>7.6060000000000003E-2</v>
      </c>
      <c r="AT1011" s="6">
        <v>0.81289999999999996</v>
      </c>
      <c r="AU1011" s="6">
        <v>255</v>
      </c>
      <c r="AW1011" s="17">
        <v>1009</v>
      </c>
      <c r="AX1011" s="6">
        <v>0.84421000000000002</v>
      </c>
      <c r="AY1011" s="6">
        <v>7.6060000000000003E-2</v>
      </c>
      <c r="AZ1011" s="6">
        <v>0.81289999999999996</v>
      </c>
      <c r="BA1011" s="6">
        <v>255</v>
      </c>
    </row>
    <row r="1012" spans="30:53" x14ac:dyDescent="0.25">
      <c r="AD1012" s="17">
        <v>1010</v>
      </c>
      <c r="AE1012" s="6">
        <v>3.06108</v>
      </c>
      <c r="AF1012" s="19">
        <v>-0.55430000000000001</v>
      </c>
      <c r="AG1012" s="6">
        <v>2.9474999999999998</v>
      </c>
      <c r="AH1012" s="6">
        <v>255</v>
      </c>
      <c r="AJ1012" s="17">
        <v>1010</v>
      </c>
      <c r="AK1012" s="6">
        <v>5.8044900000000004</v>
      </c>
      <c r="AL1012" s="19">
        <v>-0.55430000000000001</v>
      </c>
      <c r="AM1012" s="6">
        <v>2.9474999999999998</v>
      </c>
      <c r="AN1012" s="6">
        <v>255</v>
      </c>
      <c r="AQ1012" s="17">
        <v>1010</v>
      </c>
      <c r="AR1012" s="6">
        <v>1.59284</v>
      </c>
      <c r="AS1012" s="19">
        <v>-1.3048</v>
      </c>
      <c r="AT1012" s="6">
        <v>0.80879999999999996</v>
      </c>
      <c r="AU1012" s="6">
        <v>255</v>
      </c>
      <c r="AW1012" s="17">
        <v>1010</v>
      </c>
      <c r="AX1012" s="6">
        <v>0.84001000000000003</v>
      </c>
      <c r="AY1012" s="19">
        <v>-1.3048</v>
      </c>
      <c r="AZ1012" s="6">
        <v>0.80879999999999996</v>
      </c>
      <c r="BA1012" s="6">
        <v>255</v>
      </c>
    </row>
    <row r="1013" spans="30:53" x14ac:dyDescent="0.25">
      <c r="AD1013" s="17">
        <v>1011</v>
      </c>
      <c r="AE1013" s="6">
        <v>3.0439799999999999</v>
      </c>
      <c r="AF1013" s="6">
        <v>0.63339999999999996</v>
      </c>
      <c r="AG1013" s="6">
        <v>2.931</v>
      </c>
      <c r="AH1013" s="6">
        <v>255</v>
      </c>
      <c r="AJ1013" s="17">
        <v>1011</v>
      </c>
      <c r="AK1013" s="6">
        <v>5.7720500000000001</v>
      </c>
      <c r="AL1013" s="6">
        <v>0.63339999999999996</v>
      </c>
      <c r="AM1013" s="6">
        <v>2.931</v>
      </c>
      <c r="AN1013" s="6">
        <v>255</v>
      </c>
      <c r="AQ1013" s="17">
        <v>1011</v>
      </c>
      <c r="AR1013" s="6">
        <v>1.59009</v>
      </c>
      <c r="AS1013" s="19">
        <v>-0.94159999999999999</v>
      </c>
      <c r="AT1013" s="6">
        <v>0.80740000000000001</v>
      </c>
      <c r="AU1013" s="6">
        <v>255</v>
      </c>
      <c r="AW1013" s="17">
        <v>1011</v>
      </c>
      <c r="AX1013" s="6">
        <v>0.83855999999999997</v>
      </c>
      <c r="AY1013" s="19">
        <v>-0.94159999999999999</v>
      </c>
      <c r="AZ1013" s="6">
        <v>0.80740000000000001</v>
      </c>
      <c r="BA1013" s="6">
        <v>255</v>
      </c>
    </row>
    <row r="1014" spans="30:53" x14ac:dyDescent="0.25">
      <c r="AD1014" s="17">
        <v>1012</v>
      </c>
      <c r="AE1014" s="6">
        <v>3.0522</v>
      </c>
      <c r="AF1014" s="6">
        <v>1.2064999999999999</v>
      </c>
      <c r="AG1014" s="6">
        <v>2.9388999999999998</v>
      </c>
      <c r="AH1014" s="6">
        <v>255</v>
      </c>
      <c r="AJ1014" s="17">
        <v>1012</v>
      </c>
      <c r="AK1014" s="6">
        <v>5.7876399999999997</v>
      </c>
      <c r="AL1014" s="6">
        <v>1.2064999999999999</v>
      </c>
      <c r="AM1014" s="6">
        <v>2.9388999999999998</v>
      </c>
      <c r="AN1014" s="6">
        <v>255</v>
      </c>
      <c r="AQ1014" s="17">
        <v>1012</v>
      </c>
      <c r="AR1014" s="6">
        <v>1.59331</v>
      </c>
      <c r="AS1014" s="19">
        <v>-0.40610000000000002</v>
      </c>
      <c r="AT1014" s="6">
        <v>0.80910000000000004</v>
      </c>
      <c r="AU1014" s="6">
        <v>255</v>
      </c>
      <c r="AW1014" s="17">
        <v>1012</v>
      </c>
      <c r="AX1014" s="6">
        <v>0.84026000000000001</v>
      </c>
      <c r="AY1014" s="19">
        <v>-0.40610000000000002</v>
      </c>
      <c r="AZ1014" s="6">
        <v>0.80910000000000004</v>
      </c>
      <c r="BA1014" s="6">
        <v>255</v>
      </c>
    </row>
    <row r="1015" spans="30:53" x14ac:dyDescent="0.25">
      <c r="AD1015" s="17">
        <v>1013</v>
      </c>
      <c r="AE1015" s="6">
        <v>3.0476299999999998</v>
      </c>
      <c r="AF1015" s="6">
        <v>1.2297</v>
      </c>
      <c r="AG1015" s="6">
        <v>2.9344999999999999</v>
      </c>
      <c r="AH1015" s="6">
        <v>255</v>
      </c>
      <c r="AJ1015" s="17">
        <v>1013</v>
      </c>
      <c r="AK1015" s="6">
        <v>5.7789799999999998</v>
      </c>
      <c r="AL1015" s="6">
        <v>1.2297</v>
      </c>
      <c r="AM1015" s="6">
        <v>2.9344999999999999</v>
      </c>
      <c r="AN1015" s="6">
        <v>255</v>
      </c>
      <c r="AQ1015" s="17">
        <v>1013</v>
      </c>
      <c r="AR1015" s="6">
        <v>1.5912599999999999</v>
      </c>
      <c r="AS1015" s="6">
        <v>5.8069999999999997E-2</v>
      </c>
      <c r="AT1015" s="6">
        <v>0.80800000000000005</v>
      </c>
      <c r="AU1015" s="6">
        <v>255</v>
      </c>
      <c r="AW1015" s="17">
        <v>1013</v>
      </c>
      <c r="AX1015" s="6">
        <v>0.83916999999999997</v>
      </c>
      <c r="AY1015" s="6">
        <v>5.8069999999999997E-2</v>
      </c>
      <c r="AZ1015" s="6">
        <v>0.80800000000000005</v>
      </c>
      <c r="BA1015" s="6">
        <v>255</v>
      </c>
    </row>
    <row r="1016" spans="30:53" x14ac:dyDescent="0.25">
      <c r="AD1016" s="17">
        <v>1014</v>
      </c>
      <c r="AE1016" s="6">
        <v>3.05884</v>
      </c>
      <c r="AF1016" s="6">
        <v>0.2472</v>
      </c>
      <c r="AG1016" s="6">
        <v>2.9453</v>
      </c>
      <c r="AH1016" s="6">
        <v>255</v>
      </c>
      <c r="AJ1016" s="17">
        <v>1014</v>
      </c>
      <c r="AK1016" s="6">
        <v>5.80023</v>
      </c>
      <c r="AL1016" s="6">
        <v>0.2472</v>
      </c>
      <c r="AM1016" s="6">
        <v>2.9453</v>
      </c>
      <c r="AN1016" s="6">
        <v>255</v>
      </c>
      <c r="AQ1016" s="17">
        <v>1014</v>
      </c>
      <c r="AR1016" s="6">
        <v>1.5939300000000001</v>
      </c>
      <c r="AS1016" s="19">
        <v>-1.0564</v>
      </c>
      <c r="AT1016" s="6">
        <v>0.80940000000000001</v>
      </c>
      <c r="AU1016" s="6">
        <v>255</v>
      </c>
      <c r="AW1016" s="17">
        <v>1014</v>
      </c>
      <c r="AX1016" s="6">
        <v>0.84057999999999999</v>
      </c>
      <c r="AY1016" s="19">
        <v>-1.0564</v>
      </c>
      <c r="AZ1016" s="6">
        <v>0.80940000000000001</v>
      </c>
      <c r="BA1016" s="6">
        <v>255</v>
      </c>
    </row>
    <row r="1017" spans="30:53" x14ac:dyDescent="0.25">
      <c r="AD1017" s="17">
        <v>1015</v>
      </c>
      <c r="AE1017" s="6">
        <v>3.0392399999999999</v>
      </c>
      <c r="AF1017" s="6">
        <v>7.8369999999999997</v>
      </c>
      <c r="AG1017" s="6">
        <v>2.9264000000000001</v>
      </c>
      <c r="AH1017" s="6">
        <v>255</v>
      </c>
      <c r="AJ1017" s="17">
        <v>1015</v>
      </c>
      <c r="AK1017" s="6">
        <v>5.7630800000000004</v>
      </c>
      <c r="AL1017" s="6">
        <v>7.8369999999999997</v>
      </c>
      <c r="AM1017" s="6">
        <v>2.9264000000000001</v>
      </c>
      <c r="AN1017" s="6">
        <v>255</v>
      </c>
      <c r="AQ1017" s="17">
        <v>1015</v>
      </c>
      <c r="AR1017" s="6">
        <v>1.59589</v>
      </c>
      <c r="AS1017" s="6">
        <v>0.31909999999999999</v>
      </c>
      <c r="AT1017" s="6">
        <v>0.81040000000000001</v>
      </c>
      <c r="AU1017" s="6">
        <v>255</v>
      </c>
      <c r="AW1017" s="17">
        <v>1015</v>
      </c>
      <c r="AX1017" s="6">
        <v>0.84162000000000003</v>
      </c>
      <c r="AY1017" s="6">
        <v>0.31909999999999999</v>
      </c>
      <c r="AZ1017" s="6">
        <v>0.81040000000000001</v>
      </c>
      <c r="BA1017" s="6">
        <v>255</v>
      </c>
    </row>
    <row r="1018" spans="30:53" x14ac:dyDescent="0.25">
      <c r="AD1018" s="17">
        <v>1016</v>
      </c>
      <c r="AE1018" s="6">
        <v>3.0331199999999998</v>
      </c>
      <c r="AF1018" s="6">
        <v>1.7966</v>
      </c>
      <c r="AG1018" s="6">
        <v>2.9205999999999999</v>
      </c>
      <c r="AH1018" s="6">
        <v>255</v>
      </c>
      <c r="AJ1018" s="17">
        <v>1016</v>
      </c>
      <c r="AK1018" s="6">
        <v>5.7514700000000003</v>
      </c>
      <c r="AL1018" s="6">
        <v>1.7966</v>
      </c>
      <c r="AM1018" s="6">
        <v>2.9205999999999999</v>
      </c>
      <c r="AN1018" s="6">
        <v>255</v>
      </c>
      <c r="AQ1018" s="17">
        <v>1016</v>
      </c>
      <c r="AR1018" s="6">
        <v>1.5831</v>
      </c>
      <c r="AS1018" s="19">
        <v>-1.0503</v>
      </c>
      <c r="AT1018" s="6">
        <v>0.80389999999999995</v>
      </c>
      <c r="AU1018" s="6">
        <v>255</v>
      </c>
      <c r="AW1018" s="17">
        <v>1016</v>
      </c>
      <c r="AX1018" s="6">
        <v>0.83487</v>
      </c>
      <c r="AY1018" s="19">
        <v>-1.0503</v>
      </c>
      <c r="AZ1018" s="6">
        <v>0.80389999999999995</v>
      </c>
      <c r="BA1018" s="6">
        <v>255</v>
      </c>
    </row>
    <row r="1019" spans="30:53" x14ac:dyDescent="0.25">
      <c r="AD1019" s="17">
        <v>1017</v>
      </c>
      <c r="AE1019" s="6">
        <v>3.0522300000000002</v>
      </c>
      <c r="AF1019" s="6">
        <v>10.560499999999999</v>
      </c>
      <c r="AG1019" s="6">
        <v>2.9388999999999998</v>
      </c>
      <c r="AH1019" s="6">
        <v>255</v>
      </c>
      <c r="AJ1019" s="17">
        <v>1017</v>
      </c>
      <c r="AK1019" s="6">
        <v>5.7877000000000001</v>
      </c>
      <c r="AL1019" s="6">
        <v>10.560499999999999</v>
      </c>
      <c r="AM1019" s="6">
        <v>2.9388999999999998</v>
      </c>
      <c r="AN1019" s="6">
        <v>255</v>
      </c>
      <c r="AQ1019" s="17">
        <v>1017</v>
      </c>
      <c r="AR1019" s="6">
        <v>1.59676</v>
      </c>
      <c r="AS1019" s="6">
        <v>1.4411</v>
      </c>
      <c r="AT1019" s="6">
        <v>0.81079999999999997</v>
      </c>
      <c r="AU1019" s="6">
        <v>255</v>
      </c>
      <c r="AW1019" s="17">
        <v>1017</v>
      </c>
      <c r="AX1019" s="6">
        <v>0.84208000000000005</v>
      </c>
      <c r="AY1019" s="6">
        <v>1.4411</v>
      </c>
      <c r="AZ1019" s="6">
        <v>0.81079999999999997</v>
      </c>
      <c r="BA1019" s="6">
        <v>255</v>
      </c>
    </row>
    <row r="1020" spans="30:53" x14ac:dyDescent="0.25">
      <c r="AD1020" s="17">
        <v>1018</v>
      </c>
      <c r="AE1020" s="6">
        <v>3.0500400000000001</v>
      </c>
      <c r="AF1020" s="6">
        <v>5.1302000000000003</v>
      </c>
      <c r="AG1020" s="6">
        <v>2.9367999999999999</v>
      </c>
      <c r="AH1020" s="6">
        <v>255</v>
      </c>
      <c r="AJ1020" s="17">
        <v>1018</v>
      </c>
      <c r="AK1020" s="6">
        <v>5.78355</v>
      </c>
      <c r="AL1020" s="6">
        <v>5.1302000000000003</v>
      </c>
      <c r="AM1020" s="6">
        <v>2.9367999999999999</v>
      </c>
      <c r="AN1020" s="6">
        <v>255</v>
      </c>
      <c r="AQ1020" s="17">
        <v>1018</v>
      </c>
      <c r="AR1020" s="6">
        <v>1.5902400000000001</v>
      </c>
      <c r="AS1020" s="6">
        <v>0.10050000000000001</v>
      </c>
      <c r="AT1020" s="6">
        <v>0.8075</v>
      </c>
      <c r="AU1020" s="6">
        <v>255</v>
      </c>
      <c r="AW1020" s="17">
        <v>1018</v>
      </c>
      <c r="AX1020" s="6">
        <v>0.83864000000000005</v>
      </c>
      <c r="AY1020" s="6">
        <v>0.10050000000000001</v>
      </c>
      <c r="AZ1020" s="6">
        <v>0.8075</v>
      </c>
      <c r="BA1020" s="6">
        <v>255</v>
      </c>
    </row>
    <row r="1021" spans="30:53" x14ac:dyDescent="0.25">
      <c r="AD1021" s="17">
        <v>1019</v>
      </c>
      <c r="AE1021" s="6">
        <v>3.0560399999999999</v>
      </c>
      <c r="AF1021" s="6">
        <v>2.87</v>
      </c>
      <c r="AG1021" s="6">
        <v>2.9426000000000001</v>
      </c>
      <c r="AH1021" s="6">
        <v>255</v>
      </c>
      <c r="AJ1021" s="17">
        <v>1019</v>
      </c>
      <c r="AK1021" s="6">
        <v>5.7949200000000003</v>
      </c>
      <c r="AL1021" s="6">
        <v>2.87</v>
      </c>
      <c r="AM1021" s="6">
        <v>2.9426000000000001</v>
      </c>
      <c r="AN1021" s="6">
        <v>255</v>
      </c>
      <c r="AQ1021" s="17">
        <v>1019</v>
      </c>
      <c r="AR1021" s="6">
        <v>1.5965800000000001</v>
      </c>
      <c r="AS1021" s="6">
        <v>0.2707</v>
      </c>
      <c r="AT1021" s="6">
        <v>0.81069999999999998</v>
      </c>
      <c r="AU1021" s="6">
        <v>255</v>
      </c>
      <c r="AW1021" s="17">
        <v>1019</v>
      </c>
      <c r="AX1021" s="6">
        <v>0.84197999999999995</v>
      </c>
      <c r="AY1021" s="6">
        <v>0.2707</v>
      </c>
      <c r="AZ1021" s="6">
        <v>0.81069999999999998</v>
      </c>
      <c r="BA1021" s="6">
        <v>255</v>
      </c>
    </row>
    <row r="1022" spans="30:53" x14ac:dyDescent="0.25">
      <c r="AD1022" s="17">
        <v>1020</v>
      </c>
      <c r="AE1022" s="6">
        <v>3.0505100000000001</v>
      </c>
      <c r="AF1022" s="6">
        <v>4.1204000000000001</v>
      </c>
      <c r="AG1022" s="6">
        <v>2.9373</v>
      </c>
      <c r="AH1022" s="6">
        <v>255</v>
      </c>
      <c r="AJ1022" s="17">
        <v>1020</v>
      </c>
      <c r="AK1022" s="6">
        <v>5.7844300000000004</v>
      </c>
      <c r="AL1022" s="6">
        <v>4.1204000000000001</v>
      </c>
      <c r="AM1022" s="6">
        <v>2.9373</v>
      </c>
      <c r="AN1022" s="6">
        <v>255</v>
      </c>
      <c r="AQ1022" s="17">
        <v>1020</v>
      </c>
      <c r="AR1022" s="6">
        <v>1.59948</v>
      </c>
      <c r="AS1022" s="19">
        <v>-0.14269999999999999</v>
      </c>
      <c r="AT1022" s="6">
        <v>0.81220000000000003</v>
      </c>
      <c r="AU1022" s="6">
        <v>255</v>
      </c>
      <c r="AW1022" s="17">
        <v>1020</v>
      </c>
      <c r="AX1022" s="6">
        <v>0.84350999999999998</v>
      </c>
      <c r="AY1022" s="19">
        <v>-0.14269999999999999</v>
      </c>
      <c r="AZ1022" s="6">
        <v>0.81220000000000003</v>
      </c>
      <c r="BA1022" s="6">
        <v>255</v>
      </c>
    </row>
    <row r="1023" spans="30:53" x14ac:dyDescent="0.25">
      <c r="AD1023" s="17">
        <v>1021</v>
      </c>
      <c r="AE1023" s="6">
        <v>3.0484499999999999</v>
      </c>
      <c r="AF1023" s="6">
        <v>3.8250999999999999</v>
      </c>
      <c r="AG1023" s="6">
        <v>2.9352999999999998</v>
      </c>
      <c r="AH1023" s="6">
        <v>255</v>
      </c>
      <c r="AJ1023" s="17">
        <v>1021</v>
      </c>
      <c r="AK1023" s="6">
        <v>5.7805299999999997</v>
      </c>
      <c r="AL1023" s="6">
        <v>3.8250999999999999</v>
      </c>
      <c r="AM1023" s="6">
        <v>2.9352999999999998</v>
      </c>
      <c r="AN1023" s="6">
        <v>255</v>
      </c>
      <c r="AQ1023" s="17">
        <v>1021</v>
      </c>
      <c r="AR1023" s="6">
        <v>1.59867</v>
      </c>
      <c r="AS1023" s="19">
        <v>-1.3624000000000001</v>
      </c>
      <c r="AT1023" s="6">
        <v>0.81179999999999997</v>
      </c>
      <c r="AU1023" s="6">
        <v>255</v>
      </c>
      <c r="AW1023" s="17">
        <v>1021</v>
      </c>
      <c r="AX1023" s="6">
        <v>0.84308000000000005</v>
      </c>
      <c r="AY1023" s="19">
        <v>-1.3624000000000001</v>
      </c>
      <c r="AZ1023" s="6">
        <v>0.81179999999999997</v>
      </c>
      <c r="BA1023" s="6">
        <v>255</v>
      </c>
    </row>
    <row r="1024" spans="30:53" x14ac:dyDescent="0.25">
      <c r="AD1024" s="17">
        <v>1022</v>
      </c>
      <c r="AE1024" s="6">
        <v>3.0389400000000002</v>
      </c>
      <c r="AF1024" s="6">
        <v>9.2632999999999992</v>
      </c>
      <c r="AG1024" s="6">
        <v>2.9260999999999999</v>
      </c>
      <c r="AH1024" s="6">
        <v>255</v>
      </c>
      <c r="AJ1024" s="17">
        <v>1022</v>
      </c>
      <c r="AK1024" s="6">
        <v>5.7625000000000002</v>
      </c>
      <c r="AL1024" s="6">
        <v>9.2632999999999992</v>
      </c>
      <c r="AM1024" s="6">
        <v>2.9260999999999999</v>
      </c>
      <c r="AN1024" s="6">
        <v>255</v>
      </c>
      <c r="AQ1024" s="17">
        <v>1022</v>
      </c>
      <c r="AR1024" s="6">
        <v>1.58612</v>
      </c>
      <c r="AS1024" s="6">
        <v>1.5748</v>
      </c>
      <c r="AT1024" s="6">
        <v>0.8054</v>
      </c>
      <c r="AU1024" s="6">
        <v>255</v>
      </c>
      <c r="AW1024" s="17">
        <v>1022</v>
      </c>
      <c r="AX1024" s="6">
        <v>0.83645999999999998</v>
      </c>
      <c r="AY1024" s="6">
        <v>1.5748</v>
      </c>
      <c r="AZ1024" s="6">
        <v>0.8054</v>
      </c>
      <c r="BA1024" s="6">
        <v>255</v>
      </c>
    </row>
    <row r="1025" spans="30:53" x14ac:dyDescent="0.25">
      <c r="AD1025" s="17">
        <v>1023</v>
      </c>
      <c r="AE1025" s="6">
        <v>3.0392399999999999</v>
      </c>
      <c r="AF1025" s="6">
        <v>6.1174999999999997</v>
      </c>
      <c r="AG1025" s="6">
        <v>2.9264000000000001</v>
      </c>
      <c r="AH1025" s="6">
        <v>255</v>
      </c>
      <c r="AJ1025" s="17">
        <v>1023</v>
      </c>
      <c r="AK1025" s="6">
        <v>5.7630699999999999</v>
      </c>
      <c r="AL1025" s="6">
        <v>6.1174999999999997</v>
      </c>
      <c r="AM1025" s="6">
        <v>2.9264000000000001</v>
      </c>
      <c r="AN1025" s="6">
        <v>255</v>
      </c>
      <c r="AQ1025" s="17">
        <v>1023</v>
      </c>
      <c r="AR1025" s="6">
        <v>1.5835699999999999</v>
      </c>
      <c r="AS1025" s="6">
        <v>1.4285000000000001</v>
      </c>
      <c r="AT1025" s="6">
        <v>0.80410000000000004</v>
      </c>
      <c r="AU1025" s="6">
        <v>255</v>
      </c>
      <c r="AW1025" s="17">
        <v>1023</v>
      </c>
      <c r="AX1025" s="6">
        <v>0.83511999999999997</v>
      </c>
      <c r="AY1025" s="6">
        <v>1.4285000000000001</v>
      </c>
      <c r="AZ1025" s="6">
        <v>0.80410000000000004</v>
      </c>
      <c r="BA1025" s="6">
        <v>255</v>
      </c>
    </row>
    <row r="1026" spans="30:53" x14ac:dyDescent="0.25">
      <c r="AD1026" s="17">
        <v>1024</v>
      </c>
      <c r="AE1026" s="6">
        <v>3.0544199999999999</v>
      </c>
      <c r="AF1026" s="6">
        <v>4.3628</v>
      </c>
      <c r="AG1026" s="6">
        <v>2.9411</v>
      </c>
      <c r="AH1026" s="6">
        <v>255</v>
      </c>
      <c r="AJ1026" s="17">
        <v>1024</v>
      </c>
      <c r="AK1026" s="6">
        <v>5.7918500000000002</v>
      </c>
      <c r="AL1026" s="6">
        <v>4.3628</v>
      </c>
      <c r="AM1026" s="6">
        <v>2.9411</v>
      </c>
      <c r="AN1026" s="6">
        <v>255</v>
      </c>
      <c r="AQ1026" s="17">
        <v>1024</v>
      </c>
      <c r="AR1026" s="6">
        <v>1.5929899999999999</v>
      </c>
      <c r="AS1026" s="6">
        <v>0.97109999999999996</v>
      </c>
      <c r="AT1026" s="6">
        <v>0.80889999999999995</v>
      </c>
      <c r="AU1026" s="6">
        <v>255</v>
      </c>
      <c r="AW1026" s="17">
        <v>1024</v>
      </c>
      <c r="AX1026" s="6">
        <v>0.84009</v>
      </c>
      <c r="AY1026" s="6">
        <v>0.97109999999999996</v>
      </c>
      <c r="AZ1026" s="6">
        <v>0.80889999999999995</v>
      </c>
      <c r="BA1026" s="6">
        <v>255</v>
      </c>
    </row>
    <row r="1027" spans="30:53" x14ac:dyDescent="0.25">
      <c r="AD1027" s="17">
        <v>1025</v>
      </c>
      <c r="AE1027" s="6">
        <v>3.04888</v>
      </c>
      <c r="AF1027" s="6">
        <v>8.0840999999999994</v>
      </c>
      <c r="AG1027" s="6">
        <v>2.9357000000000002</v>
      </c>
      <c r="AH1027" s="6">
        <v>255</v>
      </c>
      <c r="AJ1027" s="17">
        <v>1025</v>
      </c>
      <c r="AK1027" s="6">
        <v>5.7813499999999998</v>
      </c>
      <c r="AL1027" s="6">
        <v>8.0840999999999994</v>
      </c>
      <c r="AM1027" s="6">
        <v>2.9357000000000002</v>
      </c>
      <c r="AN1027" s="6">
        <v>255</v>
      </c>
      <c r="AQ1027" s="17">
        <v>1025</v>
      </c>
      <c r="AR1027" s="6">
        <v>1.5956900000000001</v>
      </c>
      <c r="AS1027" s="6">
        <v>0.28720000000000001</v>
      </c>
      <c r="AT1027" s="6">
        <v>0.81030000000000002</v>
      </c>
      <c r="AU1027" s="6">
        <v>255</v>
      </c>
      <c r="AW1027" s="17">
        <v>1025</v>
      </c>
      <c r="AX1027" s="6">
        <v>0.84150999999999998</v>
      </c>
      <c r="AY1027" s="6">
        <v>0.28720000000000001</v>
      </c>
      <c r="AZ1027" s="6">
        <v>0.81030000000000002</v>
      </c>
      <c r="BA1027" s="6">
        <v>255</v>
      </c>
    </row>
    <row r="1028" spans="30:53" x14ac:dyDescent="0.25">
      <c r="AD1028" s="17">
        <v>1026</v>
      </c>
      <c r="AE1028" s="6">
        <v>3.05185</v>
      </c>
      <c r="AF1028" s="6">
        <v>16.588100000000001</v>
      </c>
      <c r="AG1028" s="6">
        <v>2.9386000000000001</v>
      </c>
      <c r="AH1028" s="6">
        <v>255</v>
      </c>
      <c r="AJ1028" s="17">
        <v>1026</v>
      </c>
      <c r="AK1028" s="6">
        <v>5.7869700000000002</v>
      </c>
      <c r="AL1028" s="6">
        <v>16.588100000000001</v>
      </c>
      <c r="AM1028" s="6">
        <v>2.9386000000000001</v>
      </c>
      <c r="AN1028" s="6">
        <v>255</v>
      </c>
      <c r="AQ1028" s="17">
        <v>1026</v>
      </c>
      <c r="AR1028" s="6">
        <v>1.5994200000000001</v>
      </c>
      <c r="AS1028" s="6">
        <v>3.1958000000000002</v>
      </c>
      <c r="AT1028" s="6">
        <v>0.81220000000000003</v>
      </c>
      <c r="AU1028" s="6">
        <v>255</v>
      </c>
      <c r="AW1028" s="17">
        <v>1026</v>
      </c>
      <c r="AX1028" s="6">
        <v>0.84348000000000001</v>
      </c>
      <c r="AY1028" s="6">
        <v>3.1958000000000002</v>
      </c>
      <c r="AZ1028" s="6">
        <v>0.81220000000000003</v>
      </c>
      <c r="BA1028" s="6">
        <v>255</v>
      </c>
    </row>
    <row r="1029" spans="30:53" x14ac:dyDescent="0.25">
      <c r="AD1029" s="17">
        <v>1027</v>
      </c>
      <c r="AE1029" s="6">
        <v>3.0343900000000001</v>
      </c>
      <c r="AF1029" s="19">
        <v>-1.9193</v>
      </c>
      <c r="AG1029" s="6">
        <v>2.9218000000000002</v>
      </c>
      <c r="AH1029" s="6">
        <v>255</v>
      </c>
      <c r="AJ1029" s="17">
        <v>1027</v>
      </c>
      <c r="AK1029" s="6">
        <v>5.7538799999999997</v>
      </c>
      <c r="AL1029" s="19">
        <v>-1.9193</v>
      </c>
      <c r="AM1029" s="6">
        <v>2.9218000000000002</v>
      </c>
      <c r="AN1029" s="6">
        <v>255</v>
      </c>
      <c r="AQ1029" s="17">
        <v>1027</v>
      </c>
      <c r="AR1029" s="6">
        <v>1.58422</v>
      </c>
      <c r="AS1029" s="19">
        <v>-1.1827000000000001</v>
      </c>
      <c r="AT1029" s="6">
        <v>0.80449999999999999</v>
      </c>
      <c r="AU1029" s="6">
        <v>255</v>
      </c>
      <c r="AW1029" s="17">
        <v>1027</v>
      </c>
      <c r="AX1029" s="6">
        <v>0.83545999999999998</v>
      </c>
      <c r="AY1029" s="19">
        <v>-1.1827000000000001</v>
      </c>
      <c r="AZ1029" s="6">
        <v>0.80449999999999999</v>
      </c>
      <c r="BA1029" s="6">
        <v>255</v>
      </c>
    </row>
    <row r="1030" spans="30:53" x14ac:dyDescent="0.25">
      <c r="AD1030" s="17">
        <v>1028</v>
      </c>
      <c r="AE1030" s="6">
        <v>3.05017</v>
      </c>
      <c r="AF1030" s="19">
        <v>-0.60829999999999995</v>
      </c>
      <c r="AG1030" s="6">
        <v>2.9369999999999998</v>
      </c>
      <c r="AH1030" s="6">
        <v>255</v>
      </c>
      <c r="AJ1030" s="17">
        <v>1028</v>
      </c>
      <c r="AK1030" s="6">
        <v>5.7837899999999998</v>
      </c>
      <c r="AL1030" s="19">
        <v>-0.60829999999999995</v>
      </c>
      <c r="AM1030" s="6">
        <v>2.9369999999999998</v>
      </c>
      <c r="AN1030" s="6">
        <v>255</v>
      </c>
      <c r="AQ1030" s="17">
        <v>1028</v>
      </c>
      <c r="AR1030" s="6">
        <v>1.59144</v>
      </c>
      <c r="AS1030" s="19">
        <v>-1.371</v>
      </c>
      <c r="AT1030" s="6">
        <v>0.80810000000000004</v>
      </c>
      <c r="AU1030" s="6">
        <v>255</v>
      </c>
      <c r="AW1030" s="17">
        <v>1028</v>
      </c>
      <c r="AX1030" s="6">
        <v>0.83926999999999996</v>
      </c>
      <c r="AY1030" s="19">
        <v>-1.371</v>
      </c>
      <c r="AZ1030" s="6">
        <v>0.80810000000000004</v>
      </c>
      <c r="BA1030" s="6">
        <v>255</v>
      </c>
    </row>
    <row r="1031" spans="30:53" x14ac:dyDescent="0.25">
      <c r="AD1031" s="17">
        <v>1029</v>
      </c>
      <c r="AE1031" s="6">
        <v>3.0564499999999999</v>
      </c>
      <c r="AF1031" s="6">
        <v>1.2853000000000001</v>
      </c>
      <c r="AG1031" s="6">
        <v>2.9430000000000001</v>
      </c>
      <c r="AH1031" s="6">
        <v>255</v>
      </c>
      <c r="AJ1031" s="17">
        <v>1029</v>
      </c>
      <c r="AK1031" s="6">
        <v>5.7957000000000001</v>
      </c>
      <c r="AL1031" s="6">
        <v>1.2853000000000001</v>
      </c>
      <c r="AM1031" s="6">
        <v>2.9430000000000001</v>
      </c>
      <c r="AN1031" s="6">
        <v>255</v>
      </c>
      <c r="AQ1031" s="17">
        <v>1029</v>
      </c>
      <c r="AR1031" s="6">
        <v>1.59453</v>
      </c>
      <c r="AS1031" s="19">
        <v>-0.4415</v>
      </c>
      <c r="AT1031" s="6">
        <v>0.80969999999999998</v>
      </c>
      <c r="AU1031" s="6">
        <v>255</v>
      </c>
      <c r="AW1031" s="17">
        <v>1029</v>
      </c>
      <c r="AX1031" s="6">
        <v>0.84089999999999998</v>
      </c>
      <c r="AY1031" s="19">
        <v>-0.4415</v>
      </c>
      <c r="AZ1031" s="6">
        <v>0.80969999999999998</v>
      </c>
      <c r="BA1031" s="6">
        <v>255</v>
      </c>
    </row>
    <row r="1032" spans="30:53" x14ac:dyDescent="0.25">
      <c r="AD1032" s="17">
        <v>1030</v>
      </c>
      <c r="AE1032" s="6">
        <v>3.0727500000000001</v>
      </c>
      <c r="AF1032" s="19">
        <v>-4.8643999999999998</v>
      </c>
      <c r="AG1032" s="6">
        <v>2.9586999999999999</v>
      </c>
      <c r="AH1032" s="6">
        <v>255</v>
      </c>
      <c r="AJ1032" s="17">
        <v>1030</v>
      </c>
      <c r="AK1032" s="6">
        <v>5.8266099999999996</v>
      </c>
      <c r="AL1032" s="19">
        <v>-4.8643999999999998</v>
      </c>
      <c r="AM1032" s="6">
        <v>2.9586999999999999</v>
      </c>
      <c r="AN1032" s="6">
        <v>255</v>
      </c>
      <c r="AQ1032" s="17">
        <v>1030</v>
      </c>
      <c r="AR1032" s="6">
        <v>1.60338</v>
      </c>
      <c r="AS1032" s="19">
        <v>-2.8058999999999998</v>
      </c>
      <c r="AT1032" s="6">
        <v>0.81420000000000003</v>
      </c>
      <c r="AU1032" s="6">
        <v>255</v>
      </c>
      <c r="AW1032" s="17">
        <v>1030</v>
      </c>
      <c r="AX1032" s="6">
        <v>0.84557000000000004</v>
      </c>
      <c r="AY1032" s="19">
        <v>-2.8058999999999998</v>
      </c>
      <c r="AZ1032" s="6">
        <v>0.81420000000000003</v>
      </c>
      <c r="BA1032" s="6">
        <v>255</v>
      </c>
    </row>
    <row r="1033" spans="30:53" x14ac:dyDescent="0.25">
      <c r="AD1033" s="17">
        <v>1031</v>
      </c>
      <c r="AE1033" s="6">
        <v>3.0706799999999999</v>
      </c>
      <c r="AF1033" s="19">
        <v>-1.7395</v>
      </c>
      <c r="AG1033" s="6">
        <v>2.9567000000000001</v>
      </c>
      <c r="AH1033" s="6">
        <v>255</v>
      </c>
      <c r="AJ1033" s="17">
        <v>1031</v>
      </c>
      <c r="AK1033" s="6">
        <v>5.8226899999999997</v>
      </c>
      <c r="AL1033" s="19">
        <v>-1.7395</v>
      </c>
      <c r="AM1033" s="6">
        <v>2.9567000000000001</v>
      </c>
      <c r="AN1033" s="6">
        <v>255</v>
      </c>
      <c r="AQ1033" s="17">
        <v>1031</v>
      </c>
      <c r="AR1033" s="6">
        <v>1.5935299999999999</v>
      </c>
      <c r="AS1033" s="19">
        <v>-0.43280000000000002</v>
      </c>
      <c r="AT1033" s="6">
        <v>0.80920000000000003</v>
      </c>
      <c r="AU1033" s="6">
        <v>255</v>
      </c>
      <c r="AW1033" s="17">
        <v>1031</v>
      </c>
      <c r="AX1033" s="6">
        <v>0.84036999999999995</v>
      </c>
      <c r="AY1033" s="19">
        <v>-0.43280000000000002</v>
      </c>
      <c r="AZ1033" s="6">
        <v>0.80920000000000003</v>
      </c>
      <c r="BA1033" s="6">
        <v>255</v>
      </c>
    </row>
    <row r="1034" spans="30:53" x14ac:dyDescent="0.25">
      <c r="AD1034" s="17">
        <v>1032</v>
      </c>
      <c r="AE1034" s="6">
        <v>3.0431699999999999</v>
      </c>
      <c r="AF1034" s="6">
        <v>0.57820000000000005</v>
      </c>
      <c r="AG1034" s="6">
        <v>2.9302000000000001</v>
      </c>
      <c r="AH1034" s="6">
        <v>255</v>
      </c>
      <c r="AJ1034" s="17">
        <v>1032</v>
      </c>
      <c r="AK1034" s="6">
        <v>5.7705099999999998</v>
      </c>
      <c r="AL1034" s="6">
        <v>0.57820000000000005</v>
      </c>
      <c r="AM1034" s="6">
        <v>2.9302000000000001</v>
      </c>
      <c r="AN1034" s="6">
        <v>255</v>
      </c>
      <c r="AQ1034" s="17">
        <v>1032</v>
      </c>
      <c r="AR1034" s="6">
        <v>1.5931500000000001</v>
      </c>
      <c r="AS1034" s="19">
        <v>-0.70020000000000004</v>
      </c>
      <c r="AT1034" s="6">
        <v>0.80900000000000005</v>
      </c>
      <c r="AU1034" s="6">
        <v>255</v>
      </c>
      <c r="AW1034" s="17">
        <v>1032</v>
      </c>
      <c r="AX1034" s="6">
        <v>0.84016999999999997</v>
      </c>
      <c r="AY1034" s="19">
        <v>-0.70020000000000004</v>
      </c>
      <c r="AZ1034" s="6">
        <v>0.80900000000000005</v>
      </c>
      <c r="BA1034" s="6">
        <v>255</v>
      </c>
    </row>
    <row r="1035" spans="30:53" x14ac:dyDescent="0.25">
      <c r="AD1035" s="17">
        <v>1033</v>
      </c>
      <c r="AE1035" s="6">
        <v>3.04616</v>
      </c>
      <c r="AF1035" s="6">
        <v>0.45500000000000002</v>
      </c>
      <c r="AG1035" s="6">
        <v>2.9331</v>
      </c>
      <c r="AH1035" s="6">
        <v>255</v>
      </c>
      <c r="AJ1035" s="17">
        <v>1033</v>
      </c>
      <c r="AK1035" s="6">
        <v>5.7761899999999997</v>
      </c>
      <c r="AL1035" s="6">
        <v>0.45500000000000002</v>
      </c>
      <c r="AM1035" s="6">
        <v>2.9331</v>
      </c>
      <c r="AN1035" s="6">
        <v>255</v>
      </c>
      <c r="AQ1035" s="17">
        <v>1033</v>
      </c>
      <c r="AR1035" s="6">
        <v>1.59613</v>
      </c>
      <c r="AS1035" s="19">
        <v>-0.44779999999999998</v>
      </c>
      <c r="AT1035" s="6">
        <v>0.8105</v>
      </c>
      <c r="AU1035" s="6">
        <v>255</v>
      </c>
      <c r="AW1035" s="17">
        <v>1033</v>
      </c>
      <c r="AX1035" s="6">
        <v>0.84175</v>
      </c>
      <c r="AY1035" s="19">
        <v>-0.44779999999999998</v>
      </c>
      <c r="AZ1035" s="6">
        <v>0.8105</v>
      </c>
      <c r="BA1035" s="6">
        <v>255</v>
      </c>
    </row>
    <row r="1036" spans="30:53" x14ac:dyDescent="0.25">
      <c r="AD1036" s="17">
        <v>1034</v>
      </c>
      <c r="AE1036" s="6">
        <v>3.0666799999999999</v>
      </c>
      <c r="AF1036" s="19">
        <v>-3.0316000000000001</v>
      </c>
      <c r="AG1036" s="6">
        <v>2.9529000000000001</v>
      </c>
      <c r="AH1036" s="6">
        <v>255</v>
      </c>
      <c r="AJ1036" s="17">
        <v>1034</v>
      </c>
      <c r="AK1036" s="6">
        <v>5.8150899999999996</v>
      </c>
      <c r="AL1036" s="19">
        <v>-3.0316000000000001</v>
      </c>
      <c r="AM1036" s="6">
        <v>2.9529000000000001</v>
      </c>
      <c r="AN1036" s="6">
        <v>255</v>
      </c>
      <c r="AQ1036" s="17">
        <v>1034</v>
      </c>
      <c r="AR1036" s="6">
        <v>1.5922799999999999</v>
      </c>
      <c r="AS1036" s="19">
        <v>-1.8287</v>
      </c>
      <c r="AT1036" s="6">
        <v>0.8085</v>
      </c>
      <c r="AU1036" s="6">
        <v>255</v>
      </c>
      <c r="AW1036" s="17">
        <v>1034</v>
      </c>
      <c r="AX1036" s="6">
        <v>0.83970999999999996</v>
      </c>
      <c r="AY1036" s="19">
        <v>-1.8287</v>
      </c>
      <c r="AZ1036" s="6">
        <v>0.8085</v>
      </c>
      <c r="BA1036" s="6">
        <v>255</v>
      </c>
    </row>
    <row r="1037" spans="30:53" x14ac:dyDescent="0.25">
      <c r="AD1037" s="17">
        <v>1035</v>
      </c>
      <c r="AE1037" s="6">
        <v>3.04962</v>
      </c>
      <c r="AF1037" s="19">
        <v>-1.8439000000000001</v>
      </c>
      <c r="AG1037" s="6">
        <v>2.9363999999999999</v>
      </c>
      <c r="AH1037" s="6">
        <v>255</v>
      </c>
      <c r="AJ1037" s="17">
        <v>1035</v>
      </c>
      <c r="AK1037" s="6">
        <v>5.7827400000000004</v>
      </c>
      <c r="AL1037" s="19">
        <v>-1.8439000000000001</v>
      </c>
      <c r="AM1037" s="6">
        <v>2.9363999999999999</v>
      </c>
      <c r="AN1037" s="6">
        <v>255</v>
      </c>
      <c r="AQ1037" s="17">
        <v>1035</v>
      </c>
      <c r="AR1037" s="6">
        <v>1.58918</v>
      </c>
      <c r="AS1037" s="19">
        <v>-1.4654</v>
      </c>
      <c r="AT1037" s="6">
        <v>0.80700000000000005</v>
      </c>
      <c r="AU1037" s="6">
        <v>255</v>
      </c>
      <c r="AW1037" s="17">
        <v>1035</v>
      </c>
      <c r="AX1037" s="6">
        <v>0.83808000000000005</v>
      </c>
      <c r="AY1037" s="19">
        <v>-1.4654</v>
      </c>
      <c r="AZ1037" s="6">
        <v>0.80700000000000005</v>
      </c>
      <c r="BA1037" s="6">
        <v>255</v>
      </c>
    </row>
    <row r="1038" spans="30:53" x14ac:dyDescent="0.25">
      <c r="AD1038" s="17">
        <v>1036</v>
      </c>
      <c r="AE1038" s="6">
        <v>3.04617</v>
      </c>
      <c r="AF1038" s="19">
        <v>-1.2708999999999999</v>
      </c>
      <c r="AG1038" s="6">
        <v>2.9331</v>
      </c>
      <c r="AH1038" s="6">
        <v>255</v>
      </c>
      <c r="AJ1038" s="17">
        <v>1036</v>
      </c>
      <c r="AK1038" s="6">
        <v>5.7762000000000002</v>
      </c>
      <c r="AL1038" s="19">
        <v>-1.2708999999999999</v>
      </c>
      <c r="AM1038" s="6">
        <v>2.9331</v>
      </c>
      <c r="AN1038" s="6">
        <v>255</v>
      </c>
      <c r="AQ1038" s="17">
        <v>1036</v>
      </c>
      <c r="AR1038" s="6">
        <v>1.59151</v>
      </c>
      <c r="AS1038" s="19">
        <v>-0.93</v>
      </c>
      <c r="AT1038" s="6">
        <v>0.80820000000000003</v>
      </c>
      <c r="AU1038" s="6">
        <v>255</v>
      </c>
      <c r="AW1038" s="17">
        <v>1036</v>
      </c>
      <c r="AX1038" s="6">
        <v>0.83931</v>
      </c>
      <c r="AY1038" s="19">
        <v>-0.93</v>
      </c>
      <c r="AZ1038" s="6">
        <v>0.80820000000000003</v>
      </c>
      <c r="BA1038" s="6">
        <v>255</v>
      </c>
    </row>
    <row r="1039" spans="30:53" x14ac:dyDescent="0.25">
      <c r="AD1039" s="17">
        <v>1037</v>
      </c>
      <c r="AE1039" s="6">
        <v>3.05809</v>
      </c>
      <c r="AF1039" s="19">
        <v>-1.2477</v>
      </c>
      <c r="AG1039" s="6">
        <v>2.9445999999999999</v>
      </c>
      <c r="AH1039" s="6">
        <v>255</v>
      </c>
      <c r="AJ1039" s="17">
        <v>1037</v>
      </c>
      <c r="AK1039" s="6">
        <v>5.7988200000000001</v>
      </c>
      <c r="AL1039" s="19">
        <v>-1.2477</v>
      </c>
      <c r="AM1039" s="6">
        <v>2.9445999999999999</v>
      </c>
      <c r="AN1039" s="6">
        <v>255</v>
      </c>
      <c r="AQ1039" s="17">
        <v>1037</v>
      </c>
      <c r="AR1039" s="6">
        <v>1.5940399999999999</v>
      </c>
      <c r="AS1039" s="19">
        <v>-0.46579999999999999</v>
      </c>
      <c r="AT1039" s="6">
        <v>0.80940000000000001</v>
      </c>
      <c r="AU1039" s="6">
        <v>255</v>
      </c>
      <c r="AW1039" s="17">
        <v>1037</v>
      </c>
      <c r="AX1039" s="6">
        <v>0.84064000000000005</v>
      </c>
      <c r="AY1039" s="19">
        <v>-0.46579999999999999</v>
      </c>
      <c r="AZ1039" s="6">
        <v>0.80940000000000001</v>
      </c>
      <c r="BA1039" s="6">
        <v>255</v>
      </c>
    </row>
    <row r="1040" spans="30:53" x14ac:dyDescent="0.25">
      <c r="AD1040" s="17">
        <v>1038</v>
      </c>
      <c r="AE1040" s="6">
        <v>3.0436800000000002</v>
      </c>
      <c r="AF1040" s="19">
        <v>-2.2301000000000002</v>
      </c>
      <c r="AG1040" s="6">
        <v>2.9306999999999999</v>
      </c>
      <c r="AH1040" s="6">
        <v>255</v>
      </c>
      <c r="AJ1040" s="17">
        <v>1038</v>
      </c>
      <c r="AK1040" s="6">
        <v>5.7714800000000004</v>
      </c>
      <c r="AL1040" s="19">
        <v>-2.2301000000000002</v>
      </c>
      <c r="AM1040" s="6">
        <v>2.9306999999999999</v>
      </c>
      <c r="AN1040" s="6">
        <v>255</v>
      </c>
      <c r="AQ1040" s="17">
        <v>1038</v>
      </c>
      <c r="AR1040" s="6">
        <v>1.58927</v>
      </c>
      <c r="AS1040" s="19">
        <v>-1.5803</v>
      </c>
      <c r="AT1040" s="6">
        <v>0.80700000000000005</v>
      </c>
      <c r="AU1040" s="6">
        <v>255</v>
      </c>
      <c r="AW1040" s="17">
        <v>1038</v>
      </c>
      <c r="AX1040" s="6">
        <v>0.83811999999999998</v>
      </c>
      <c r="AY1040" s="19">
        <v>-1.5803</v>
      </c>
      <c r="AZ1040" s="6">
        <v>0.80700000000000005</v>
      </c>
      <c r="BA1040" s="6">
        <v>255</v>
      </c>
    </row>
    <row r="1041" spans="30:53" x14ac:dyDescent="0.25">
      <c r="AD1041" s="17">
        <v>1039</v>
      </c>
      <c r="AE1041" s="6">
        <v>3.0504500000000001</v>
      </c>
      <c r="AF1041" s="6">
        <v>5.3596000000000004</v>
      </c>
      <c r="AG1041" s="6">
        <v>2.9371999999999998</v>
      </c>
      <c r="AH1041" s="6">
        <v>255</v>
      </c>
      <c r="AJ1041" s="17">
        <v>1039</v>
      </c>
      <c r="AK1041" s="6">
        <v>5.7843299999999997</v>
      </c>
      <c r="AL1041" s="6">
        <v>5.3596000000000004</v>
      </c>
      <c r="AM1041" s="6">
        <v>2.9371999999999998</v>
      </c>
      <c r="AN1041" s="6">
        <v>255</v>
      </c>
      <c r="AQ1041" s="17">
        <v>1039</v>
      </c>
      <c r="AR1041" s="6">
        <v>1.59859</v>
      </c>
      <c r="AS1041" s="19">
        <v>-0.20480000000000001</v>
      </c>
      <c r="AT1041" s="6">
        <v>0.81179999999999997</v>
      </c>
      <c r="AU1041" s="6">
        <v>255</v>
      </c>
      <c r="AW1041" s="17">
        <v>1039</v>
      </c>
      <c r="AX1041" s="6">
        <v>0.84304000000000001</v>
      </c>
      <c r="AY1041" s="19">
        <v>-0.20480000000000001</v>
      </c>
      <c r="AZ1041" s="6">
        <v>0.81179999999999997</v>
      </c>
      <c r="BA1041" s="6">
        <v>255</v>
      </c>
    </row>
    <row r="1042" spans="30:53" x14ac:dyDescent="0.25">
      <c r="AD1042" s="17">
        <v>1040</v>
      </c>
      <c r="AE1042" s="6">
        <v>3.0594199999999998</v>
      </c>
      <c r="AF1042" s="19">
        <v>-0.68079999999999996</v>
      </c>
      <c r="AG1042" s="6">
        <v>2.9459</v>
      </c>
      <c r="AH1042" s="6">
        <v>255</v>
      </c>
      <c r="AJ1042" s="17">
        <v>1040</v>
      </c>
      <c r="AK1042" s="6">
        <v>5.8013399999999997</v>
      </c>
      <c r="AL1042" s="19">
        <v>-0.68079999999999996</v>
      </c>
      <c r="AM1042" s="6">
        <v>2.9459</v>
      </c>
      <c r="AN1042" s="6">
        <v>255</v>
      </c>
      <c r="AQ1042" s="17">
        <v>1040</v>
      </c>
      <c r="AR1042" s="6">
        <v>1.5940799999999999</v>
      </c>
      <c r="AS1042" s="19">
        <v>-1.5741000000000001</v>
      </c>
      <c r="AT1042" s="6">
        <v>0.8095</v>
      </c>
      <c r="AU1042" s="6">
        <v>255</v>
      </c>
      <c r="AW1042" s="17">
        <v>1040</v>
      </c>
      <c r="AX1042" s="6">
        <v>0.84065999999999996</v>
      </c>
      <c r="AY1042" s="19">
        <v>-1.5741000000000001</v>
      </c>
      <c r="AZ1042" s="6">
        <v>0.8095</v>
      </c>
      <c r="BA1042" s="6">
        <v>255</v>
      </c>
    </row>
    <row r="1043" spans="30:53" x14ac:dyDescent="0.25">
      <c r="AD1043" s="17">
        <v>1041</v>
      </c>
      <c r="AE1043" s="6">
        <v>3.0594700000000001</v>
      </c>
      <c r="AF1043" s="6">
        <v>8.0831</v>
      </c>
      <c r="AG1043" s="6">
        <v>2.9459</v>
      </c>
      <c r="AH1043" s="6">
        <v>255</v>
      </c>
      <c r="AJ1043" s="17">
        <v>1041</v>
      </c>
      <c r="AK1043" s="6">
        <v>5.8014299999999999</v>
      </c>
      <c r="AL1043" s="6">
        <v>8.0831</v>
      </c>
      <c r="AM1043" s="6">
        <v>2.9459</v>
      </c>
      <c r="AN1043" s="6">
        <v>255</v>
      </c>
      <c r="AQ1043" s="17">
        <v>1041</v>
      </c>
      <c r="AR1043" s="6">
        <v>1.60148</v>
      </c>
      <c r="AS1043" s="6">
        <v>0.9173</v>
      </c>
      <c r="AT1043" s="6">
        <v>0.81320000000000003</v>
      </c>
      <c r="AU1043" s="6">
        <v>255</v>
      </c>
      <c r="AW1043" s="17">
        <v>1041</v>
      </c>
      <c r="AX1043" s="6">
        <v>0.84455999999999998</v>
      </c>
      <c r="AY1043" s="6">
        <v>0.9173</v>
      </c>
      <c r="AZ1043" s="6">
        <v>0.81320000000000003</v>
      </c>
      <c r="BA1043" s="6">
        <v>255</v>
      </c>
    </row>
    <row r="1044" spans="30:53" x14ac:dyDescent="0.25">
      <c r="AD1044" s="17">
        <v>1042</v>
      </c>
      <c r="AE1044" s="6">
        <v>3.0493700000000001</v>
      </c>
      <c r="AF1044" s="6">
        <v>2.6528</v>
      </c>
      <c r="AG1044" s="6">
        <v>2.9361999999999999</v>
      </c>
      <c r="AH1044" s="6">
        <v>255</v>
      </c>
      <c r="AJ1044" s="17">
        <v>1042</v>
      </c>
      <c r="AK1044" s="6">
        <v>5.7822800000000001</v>
      </c>
      <c r="AL1044" s="6">
        <v>2.6528</v>
      </c>
      <c r="AM1044" s="6">
        <v>2.9361999999999999</v>
      </c>
      <c r="AN1044" s="6">
        <v>255</v>
      </c>
      <c r="AQ1044" s="17">
        <v>1042</v>
      </c>
      <c r="AR1044" s="6">
        <v>1.58968</v>
      </c>
      <c r="AS1044" s="19">
        <v>-0.42330000000000001</v>
      </c>
      <c r="AT1044" s="6">
        <v>0.80720000000000003</v>
      </c>
      <c r="AU1044" s="6">
        <v>255</v>
      </c>
      <c r="AW1044" s="17">
        <v>1042</v>
      </c>
      <c r="AX1044" s="6">
        <v>0.83833999999999997</v>
      </c>
      <c r="AY1044" s="19">
        <v>-0.42330000000000001</v>
      </c>
      <c r="AZ1044" s="6">
        <v>0.80720000000000003</v>
      </c>
      <c r="BA1044" s="6">
        <v>255</v>
      </c>
    </row>
    <row r="1045" spans="30:53" x14ac:dyDescent="0.25">
      <c r="AD1045" s="17">
        <v>1043</v>
      </c>
      <c r="AE1045" s="6">
        <v>3.0553599999999999</v>
      </c>
      <c r="AF1045" s="6">
        <v>0.3926</v>
      </c>
      <c r="AG1045" s="6">
        <v>2.9420000000000002</v>
      </c>
      <c r="AH1045" s="6">
        <v>255</v>
      </c>
      <c r="AJ1045" s="17">
        <v>1043</v>
      </c>
      <c r="AK1045" s="6">
        <v>5.7936399999999999</v>
      </c>
      <c r="AL1045" s="6">
        <v>0.3926</v>
      </c>
      <c r="AM1045" s="6">
        <v>2.9420000000000002</v>
      </c>
      <c r="AN1045" s="6">
        <v>255</v>
      </c>
      <c r="AQ1045" s="17">
        <v>1043</v>
      </c>
      <c r="AR1045" s="6">
        <v>1.59853</v>
      </c>
      <c r="AS1045" s="19">
        <v>-0.25319999999999998</v>
      </c>
      <c r="AT1045" s="6">
        <v>0.81169999999999998</v>
      </c>
      <c r="AU1045" s="6">
        <v>255</v>
      </c>
      <c r="AW1045" s="17">
        <v>1043</v>
      </c>
      <c r="AX1045" s="6">
        <v>0.84301000000000004</v>
      </c>
      <c r="AY1045" s="19">
        <v>-0.25319999999999998</v>
      </c>
      <c r="AZ1045" s="6">
        <v>0.81169999999999998</v>
      </c>
      <c r="BA1045" s="6">
        <v>255</v>
      </c>
    </row>
    <row r="1046" spans="30:53" x14ac:dyDescent="0.25">
      <c r="AD1046" s="17">
        <v>1044</v>
      </c>
      <c r="AE1046" s="6">
        <v>3.05281</v>
      </c>
      <c r="AF1046" s="6">
        <v>1.643</v>
      </c>
      <c r="AG1046" s="6">
        <v>2.9394999999999998</v>
      </c>
      <c r="AH1046" s="6">
        <v>255</v>
      </c>
      <c r="AJ1046" s="17">
        <v>1044</v>
      </c>
      <c r="AK1046" s="6">
        <v>5.7888000000000002</v>
      </c>
      <c r="AL1046" s="6">
        <v>1.643</v>
      </c>
      <c r="AM1046" s="6">
        <v>2.9394999999999998</v>
      </c>
      <c r="AN1046" s="6">
        <v>255</v>
      </c>
      <c r="AQ1046" s="17">
        <v>1044</v>
      </c>
      <c r="AR1046" s="6">
        <v>1.6010599999999999</v>
      </c>
      <c r="AS1046" s="19">
        <v>-0.66659999999999997</v>
      </c>
      <c r="AT1046" s="6">
        <v>0.81299999999999994</v>
      </c>
      <c r="AU1046" s="6">
        <v>255</v>
      </c>
      <c r="AW1046" s="17">
        <v>1044</v>
      </c>
      <c r="AX1046" s="6">
        <v>0.84433999999999998</v>
      </c>
      <c r="AY1046" s="19">
        <v>-0.66659999999999997</v>
      </c>
      <c r="AZ1046" s="6">
        <v>0.81299999999999994</v>
      </c>
      <c r="BA1046" s="6">
        <v>255</v>
      </c>
    </row>
    <row r="1047" spans="30:53" x14ac:dyDescent="0.25">
      <c r="AD1047" s="17">
        <v>1045</v>
      </c>
      <c r="AE1047" s="6">
        <v>3.0350799999999998</v>
      </c>
      <c r="AF1047" s="6">
        <v>1.3478000000000001</v>
      </c>
      <c r="AG1047" s="6">
        <v>2.9224000000000001</v>
      </c>
      <c r="AH1047" s="6">
        <v>255</v>
      </c>
      <c r="AJ1047" s="17">
        <v>1045</v>
      </c>
      <c r="AK1047" s="6">
        <v>5.7551899999999998</v>
      </c>
      <c r="AL1047" s="6">
        <v>1.3478000000000001</v>
      </c>
      <c r="AM1047" s="6">
        <v>2.9224000000000001</v>
      </c>
      <c r="AN1047" s="6">
        <v>255</v>
      </c>
      <c r="AQ1047" s="17">
        <v>1045</v>
      </c>
      <c r="AR1047" s="6">
        <v>1.5922400000000001</v>
      </c>
      <c r="AS1047" s="19">
        <v>-1.8863000000000001</v>
      </c>
      <c r="AT1047" s="6">
        <v>0.8085</v>
      </c>
      <c r="AU1047" s="6">
        <v>255</v>
      </c>
      <c r="AW1047" s="17">
        <v>1045</v>
      </c>
      <c r="AX1047" s="6">
        <v>0.83969000000000005</v>
      </c>
      <c r="AY1047" s="19">
        <v>-1.8863000000000001</v>
      </c>
      <c r="AZ1047" s="6">
        <v>0.8085</v>
      </c>
      <c r="BA1047" s="6">
        <v>255</v>
      </c>
    </row>
    <row r="1048" spans="30:53" x14ac:dyDescent="0.25">
      <c r="AD1048" s="17">
        <v>1046</v>
      </c>
      <c r="AE1048" s="6">
        <v>3.05775</v>
      </c>
      <c r="AF1048" s="6">
        <v>6.7859999999999996</v>
      </c>
      <c r="AG1048" s="6">
        <v>2.9443000000000001</v>
      </c>
      <c r="AH1048" s="6">
        <v>255</v>
      </c>
      <c r="AJ1048" s="17">
        <v>1046</v>
      </c>
      <c r="AK1048" s="6">
        <v>5.7981699999999998</v>
      </c>
      <c r="AL1048" s="6">
        <v>6.7859999999999996</v>
      </c>
      <c r="AM1048" s="6">
        <v>2.9443000000000001</v>
      </c>
      <c r="AN1048" s="6">
        <v>255</v>
      </c>
      <c r="AQ1048" s="17">
        <v>1046</v>
      </c>
      <c r="AR1048" s="6">
        <v>1.59534</v>
      </c>
      <c r="AS1048" s="6">
        <v>1.0508999999999999</v>
      </c>
      <c r="AT1048" s="6">
        <v>0.81010000000000004</v>
      </c>
      <c r="AU1048" s="6">
        <v>255</v>
      </c>
      <c r="AW1048" s="17">
        <v>1046</v>
      </c>
      <c r="AX1048" s="6">
        <v>0.84133000000000002</v>
      </c>
      <c r="AY1048" s="6">
        <v>1.0508999999999999</v>
      </c>
      <c r="AZ1048" s="6">
        <v>0.81010000000000004</v>
      </c>
      <c r="BA1048" s="6">
        <v>255</v>
      </c>
    </row>
    <row r="1049" spans="30:53" x14ac:dyDescent="0.25">
      <c r="AD1049" s="17">
        <v>1047</v>
      </c>
      <c r="AE1049" s="6">
        <v>3.0683699999999998</v>
      </c>
      <c r="AF1049" s="6">
        <v>3.6402000000000001</v>
      </c>
      <c r="AG1049" s="6">
        <v>2.9544999999999999</v>
      </c>
      <c r="AH1049" s="6">
        <v>255</v>
      </c>
      <c r="AJ1049" s="17">
        <v>1047</v>
      </c>
      <c r="AK1049" s="6">
        <v>5.8183100000000003</v>
      </c>
      <c r="AL1049" s="6">
        <v>3.6402000000000001</v>
      </c>
      <c r="AM1049" s="6">
        <v>2.9544999999999999</v>
      </c>
      <c r="AN1049" s="6">
        <v>255</v>
      </c>
      <c r="AQ1049" s="17">
        <v>1047</v>
      </c>
      <c r="AR1049" s="6">
        <v>1.5946499999999999</v>
      </c>
      <c r="AS1049" s="6">
        <v>0.90459999999999996</v>
      </c>
      <c r="AT1049" s="6">
        <v>0.80979999999999996</v>
      </c>
      <c r="AU1049" s="6">
        <v>255</v>
      </c>
      <c r="AW1049" s="17">
        <v>1047</v>
      </c>
      <c r="AX1049" s="6">
        <v>0.84096000000000004</v>
      </c>
      <c r="AY1049" s="6">
        <v>0.90459999999999996</v>
      </c>
      <c r="AZ1049" s="6">
        <v>0.80979999999999996</v>
      </c>
      <c r="BA1049" s="6">
        <v>255</v>
      </c>
    </row>
    <row r="1050" spans="30:53" x14ac:dyDescent="0.25">
      <c r="AD1050" s="17">
        <v>1048</v>
      </c>
      <c r="AE1050" s="6">
        <v>3.0545800000000001</v>
      </c>
      <c r="AF1050" s="6">
        <v>1.8855</v>
      </c>
      <c r="AG1050" s="6">
        <v>2.9411999999999998</v>
      </c>
      <c r="AH1050" s="6">
        <v>255</v>
      </c>
      <c r="AJ1050" s="17">
        <v>1048</v>
      </c>
      <c r="AK1050" s="6">
        <v>5.79216</v>
      </c>
      <c r="AL1050" s="6">
        <v>1.8855</v>
      </c>
      <c r="AM1050" s="6">
        <v>2.9411999999999998</v>
      </c>
      <c r="AN1050" s="6">
        <v>255</v>
      </c>
      <c r="AQ1050" s="17">
        <v>1048</v>
      </c>
      <c r="AR1050" s="6">
        <v>1.5923700000000001</v>
      </c>
      <c r="AS1050" s="6">
        <v>0.44729999999999998</v>
      </c>
      <c r="AT1050" s="6">
        <v>0.80859999999999999</v>
      </c>
      <c r="AU1050" s="6">
        <v>255</v>
      </c>
      <c r="AW1050" s="17">
        <v>1048</v>
      </c>
      <c r="AX1050" s="6">
        <v>0.83975999999999995</v>
      </c>
      <c r="AY1050" s="6">
        <v>0.44729999999999998</v>
      </c>
      <c r="AZ1050" s="6">
        <v>0.80859999999999999</v>
      </c>
      <c r="BA1050" s="6">
        <v>255</v>
      </c>
    </row>
    <row r="1051" spans="30:53" x14ac:dyDescent="0.25">
      <c r="AD1051" s="17">
        <v>1049</v>
      </c>
      <c r="AE1051" s="6">
        <v>3.06216</v>
      </c>
      <c r="AF1051" s="6">
        <v>5.6067999999999998</v>
      </c>
      <c r="AG1051" s="6">
        <v>2.9485000000000001</v>
      </c>
      <c r="AH1051" s="6">
        <v>255</v>
      </c>
      <c r="AJ1051" s="17">
        <v>1049</v>
      </c>
      <c r="AK1051" s="6">
        <v>5.8065300000000004</v>
      </c>
      <c r="AL1051" s="6">
        <v>5.6067999999999998</v>
      </c>
      <c r="AM1051" s="6">
        <v>2.9485000000000001</v>
      </c>
      <c r="AN1051" s="6">
        <v>255</v>
      </c>
      <c r="AQ1051" s="17">
        <v>1049</v>
      </c>
      <c r="AR1051" s="6">
        <v>1.5986499999999999</v>
      </c>
      <c r="AS1051" s="19">
        <v>-0.23669999999999999</v>
      </c>
      <c r="AT1051" s="6">
        <v>0.81179999999999997</v>
      </c>
      <c r="AU1051" s="6">
        <v>255</v>
      </c>
      <c r="AW1051" s="17">
        <v>1049</v>
      </c>
      <c r="AX1051" s="6">
        <v>0.84306999999999999</v>
      </c>
      <c r="AY1051" s="19">
        <v>-0.23669999999999999</v>
      </c>
      <c r="AZ1051" s="6">
        <v>0.81179999999999997</v>
      </c>
      <c r="BA1051" s="6">
        <v>255</v>
      </c>
    </row>
    <row r="1052" spans="30:53" x14ac:dyDescent="0.25">
      <c r="AD1052" s="17">
        <v>1050</v>
      </c>
      <c r="AE1052" s="6">
        <v>3.024</v>
      </c>
      <c r="AF1052" s="6">
        <v>14.1107</v>
      </c>
      <c r="AG1052" s="6">
        <v>2.9117999999999999</v>
      </c>
      <c r="AH1052" s="6">
        <v>255</v>
      </c>
      <c r="AJ1052" s="17">
        <v>1050</v>
      </c>
      <c r="AK1052" s="6">
        <v>5.7341600000000001</v>
      </c>
      <c r="AL1052" s="6">
        <v>14.1107</v>
      </c>
      <c r="AM1052" s="6">
        <v>2.9117999999999999</v>
      </c>
      <c r="AN1052" s="6">
        <v>255</v>
      </c>
      <c r="AQ1052" s="17">
        <v>1050</v>
      </c>
      <c r="AR1052" s="6">
        <v>1.5901099999999999</v>
      </c>
      <c r="AS1052" s="6">
        <v>2.6718999999999999</v>
      </c>
      <c r="AT1052" s="6">
        <v>0.80740000000000001</v>
      </c>
      <c r="AU1052" s="6">
        <v>255</v>
      </c>
      <c r="AW1052" s="17">
        <v>1050</v>
      </c>
      <c r="AX1052" s="6">
        <v>0.83857000000000004</v>
      </c>
      <c r="AY1052" s="6">
        <v>2.6718999999999999</v>
      </c>
      <c r="AZ1052" s="6">
        <v>0.80740000000000001</v>
      </c>
      <c r="BA1052" s="6">
        <v>255</v>
      </c>
    </row>
    <row r="1053" spans="30:53" x14ac:dyDescent="0.25">
      <c r="AD1053" s="17">
        <v>1051</v>
      </c>
      <c r="AE1053" s="6">
        <v>3.0582199999999999</v>
      </c>
      <c r="AF1053" s="6">
        <v>1.3109999999999999</v>
      </c>
      <c r="AG1053" s="6">
        <v>2.9447000000000001</v>
      </c>
      <c r="AH1053" s="6">
        <v>255</v>
      </c>
      <c r="AJ1053" s="17">
        <v>1051</v>
      </c>
      <c r="AK1053" s="6">
        <v>5.7990599999999999</v>
      </c>
      <c r="AL1053" s="6">
        <v>1.3109999999999999</v>
      </c>
      <c r="AM1053" s="6">
        <v>2.9447000000000001</v>
      </c>
      <c r="AN1053" s="6">
        <v>255</v>
      </c>
      <c r="AQ1053" s="17">
        <v>1051</v>
      </c>
      <c r="AR1053" s="6">
        <v>1.59674</v>
      </c>
      <c r="AS1053" s="19">
        <v>-0.18840000000000001</v>
      </c>
      <c r="AT1053" s="6">
        <v>0.81079999999999997</v>
      </c>
      <c r="AU1053" s="6">
        <v>255</v>
      </c>
      <c r="AW1053" s="17">
        <v>1051</v>
      </c>
      <c r="AX1053" s="6">
        <v>0.84206999999999999</v>
      </c>
      <c r="AY1053" s="19">
        <v>-0.18840000000000001</v>
      </c>
      <c r="AZ1053" s="6">
        <v>0.81079999999999997</v>
      </c>
      <c r="BA1053" s="6">
        <v>255</v>
      </c>
    </row>
    <row r="1054" spans="30:53" x14ac:dyDescent="0.25">
      <c r="AD1054" s="17">
        <v>1052</v>
      </c>
      <c r="AE1054" s="6">
        <v>3.0447899999999999</v>
      </c>
      <c r="AF1054" s="6">
        <v>3.2046999999999999</v>
      </c>
      <c r="AG1054" s="6">
        <v>2.9318</v>
      </c>
      <c r="AH1054" s="6">
        <v>255</v>
      </c>
      <c r="AJ1054" s="17">
        <v>1052</v>
      </c>
      <c r="AK1054" s="6">
        <v>5.7736000000000001</v>
      </c>
      <c r="AL1054" s="6">
        <v>3.2046999999999999</v>
      </c>
      <c r="AM1054" s="6">
        <v>2.9318</v>
      </c>
      <c r="AN1054" s="6">
        <v>255</v>
      </c>
      <c r="AQ1054" s="17">
        <v>1052</v>
      </c>
      <c r="AR1054" s="6">
        <v>1.5908199999999999</v>
      </c>
      <c r="AS1054" s="6">
        <v>0.74119999999999997</v>
      </c>
      <c r="AT1054" s="6">
        <v>0.80779999999999996</v>
      </c>
      <c r="AU1054" s="6">
        <v>255</v>
      </c>
      <c r="AW1054" s="17">
        <v>1052</v>
      </c>
      <c r="AX1054" s="6">
        <v>0.83894000000000002</v>
      </c>
      <c r="AY1054" s="6">
        <v>0.74119999999999997</v>
      </c>
      <c r="AZ1054" s="6">
        <v>0.80779999999999996</v>
      </c>
      <c r="BA1054" s="6">
        <v>255</v>
      </c>
    </row>
    <row r="1055" spans="30:53" x14ac:dyDescent="0.25">
      <c r="AD1055" s="17">
        <v>1053</v>
      </c>
      <c r="AE1055" s="6">
        <v>3.0659999999999998</v>
      </c>
      <c r="AF1055" s="19">
        <v>-2.9451000000000001</v>
      </c>
      <c r="AG1055" s="6">
        <v>2.9521999999999999</v>
      </c>
      <c r="AH1055" s="6">
        <v>255</v>
      </c>
      <c r="AJ1055" s="17">
        <v>1053</v>
      </c>
      <c r="AK1055" s="6">
        <v>5.8138100000000001</v>
      </c>
      <c r="AL1055" s="19">
        <v>-2.9451000000000001</v>
      </c>
      <c r="AM1055" s="6">
        <v>2.9521999999999999</v>
      </c>
      <c r="AN1055" s="6">
        <v>255</v>
      </c>
      <c r="AQ1055" s="17">
        <v>1053</v>
      </c>
      <c r="AR1055" s="6">
        <v>1.6025</v>
      </c>
      <c r="AS1055" s="19">
        <v>-1.6233</v>
      </c>
      <c r="AT1055" s="6">
        <v>0.81369999999999998</v>
      </c>
      <c r="AU1055" s="6">
        <v>255</v>
      </c>
      <c r="AW1055" s="17">
        <v>1053</v>
      </c>
      <c r="AX1055" s="6">
        <v>0.84509999999999996</v>
      </c>
      <c r="AY1055" s="19">
        <v>-1.6233</v>
      </c>
      <c r="AZ1055" s="6">
        <v>0.81369999999999998</v>
      </c>
      <c r="BA1055" s="6">
        <v>255</v>
      </c>
    </row>
    <row r="1056" spans="30:53" x14ac:dyDescent="0.25">
      <c r="AD1056" s="17">
        <v>1054</v>
      </c>
      <c r="AE1056" s="6">
        <v>3.05349</v>
      </c>
      <c r="AF1056" s="6">
        <v>0.17979999999999999</v>
      </c>
      <c r="AG1056" s="6">
        <v>2.9401999999999999</v>
      </c>
      <c r="AH1056" s="6">
        <v>255</v>
      </c>
      <c r="AJ1056" s="17">
        <v>1054</v>
      </c>
      <c r="AK1056" s="6">
        <v>5.7900900000000002</v>
      </c>
      <c r="AL1056" s="6">
        <v>0.17979999999999999</v>
      </c>
      <c r="AM1056" s="6">
        <v>2.9401999999999999</v>
      </c>
      <c r="AN1056" s="6">
        <v>255</v>
      </c>
      <c r="AQ1056" s="17">
        <v>1054</v>
      </c>
      <c r="AR1056" s="6">
        <v>1.58958</v>
      </c>
      <c r="AS1056" s="6">
        <v>0.74990000000000001</v>
      </c>
      <c r="AT1056" s="6">
        <v>0.80720000000000003</v>
      </c>
      <c r="AU1056" s="6">
        <v>255</v>
      </c>
      <c r="AW1056" s="17">
        <v>1054</v>
      </c>
      <c r="AX1056" s="6">
        <v>0.83828999999999998</v>
      </c>
      <c r="AY1056" s="6">
        <v>0.74990000000000001</v>
      </c>
      <c r="AZ1056" s="6">
        <v>0.80720000000000003</v>
      </c>
      <c r="BA1056" s="6">
        <v>255</v>
      </c>
    </row>
    <row r="1057" spans="30:53" x14ac:dyDescent="0.25">
      <c r="AD1057" s="17">
        <v>1055</v>
      </c>
      <c r="AE1057" s="6">
        <v>3.0573000000000001</v>
      </c>
      <c r="AF1057" s="6">
        <v>2.4975000000000001</v>
      </c>
      <c r="AG1057" s="6">
        <v>2.9438</v>
      </c>
      <c r="AH1057" s="6">
        <v>255</v>
      </c>
      <c r="AJ1057" s="17">
        <v>1055</v>
      </c>
      <c r="AK1057" s="6">
        <v>5.79732</v>
      </c>
      <c r="AL1057" s="6">
        <v>2.4975000000000001</v>
      </c>
      <c r="AM1057" s="6">
        <v>2.9438</v>
      </c>
      <c r="AN1057" s="6">
        <v>255</v>
      </c>
      <c r="AQ1057" s="17">
        <v>1055</v>
      </c>
      <c r="AR1057" s="6">
        <v>1.5999300000000001</v>
      </c>
      <c r="AS1057" s="6">
        <v>0.48249999999999998</v>
      </c>
      <c r="AT1057" s="6">
        <v>0.81240000000000001</v>
      </c>
      <c r="AU1057" s="6">
        <v>255</v>
      </c>
      <c r="AW1057" s="17">
        <v>1055</v>
      </c>
      <c r="AX1057" s="6">
        <v>0.84375</v>
      </c>
      <c r="AY1057" s="6">
        <v>0.48249999999999998</v>
      </c>
      <c r="AZ1057" s="6">
        <v>0.81240000000000001</v>
      </c>
      <c r="BA1057" s="6">
        <v>255</v>
      </c>
    </row>
    <row r="1058" spans="30:53" x14ac:dyDescent="0.25">
      <c r="AD1058" s="17">
        <v>1056</v>
      </c>
      <c r="AE1058" s="6">
        <v>3.0532300000000001</v>
      </c>
      <c r="AF1058" s="6">
        <v>2.3742999999999999</v>
      </c>
      <c r="AG1058" s="6">
        <v>2.9399000000000002</v>
      </c>
      <c r="AH1058" s="6">
        <v>255</v>
      </c>
      <c r="AJ1058" s="17">
        <v>1056</v>
      </c>
      <c r="AK1058" s="6">
        <v>5.7896000000000001</v>
      </c>
      <c r="AL1058" s="6">
        <v>2.3742999999999999</v>
      </c>
      <c r="AM1058" s="6">
        <v>2.9399000000000002</v>
      </c>
      <c r="AN1058" s="6">
        <v>255</v>
      </c>
      <c r="AQ1058" s="17">
        <v>1056</v>
      </c>
      <c r="AR1058" s="6">
        <v>1.59795</v>
      </c>
      <c r="AS1058" s="6">
        <v>0.73480000000000001</v>
      </c>
      <c r="AT1058" s="6">
        <v>0.81140000000000001</v>
      </c>
      <c r="AU1058" s="6">
        <v>255</v>
      </c>
      <c r="AW1058" s="17">
        <v>1056</v>
      </c>
      <c r="AX1058" s="6">
        <v>0.8427</v>
      </c>
      <c r="AY1058" s="6">
        <v>0.73480000000000001</v>
      </c>
      <c r="AZ1058" s="6">
        <v>0.81140000000000001</v>
      </c>
      <c r="BA1058" s="6">
        <v>255</v>
      </c>
    </row>
    <row r="1059" spans="30:53" x14ac:dyDescent="0.25">
      <c r="AD1059" s="17">
        <v>1057</v>
      </c>
      <c r="AE1059" s="6">
        <v>3.06013</v>
      </c>
      <c r="AF1059" s="19">
        <v>-1.1123000000000001</v>
      </c>
      <c r="AG1059" s="6">
        <v>2.9466000000000001</v>
      </c>
      <c r="AH1059" s="6">
        <v>255</v>
      </c>
      <c r="AJ1059" s="17">
        <v>1057</v>
      </c>
      <c r="AK1059" s="6">
        <v>5.80267</v>
      </c>
      <c r="AL1059" s="19">
        <v>-1.1123000000000001</v>
      </c>
      <c r="AM1059" s="6">
        <v>2.9466000000000001</v>
      </c>
      <c r="AN1059" s="6">
        <v>255</v>
      </c>
      <c r="AQ1059" s="17">
        <v>1057</v>
      </c>
      <c r="AR1059" s="6">
        <v>1.5896699999999999</v>
      </c>
      <c r="AS1059" s="19">
        <v>-0.64600000000000002</v>
      </c>
      <c r="AT1059" s="6">
        <v>0.80720000000000003</v>
      </c>
      <c r="AU1059" s="6">
        <v>255</v>
      </c>
      <c r="AW1059" s="17">
        <v>1057</v>
      </c>
      <c r="AX1059" s="6">
        <v>0.83833000000000002</v>
      </c>
      <c r="AY1059" s="19">
        <v>-0.64600000000000002</v>
      </c>
      <c r="AZ1059" s="6">
        <v>0.80720000000000003</v>
      </c>
      <c r="BA1059" s="6">
        <v>255</v>
      </c>
    </row>
    <row r="1060" spans="30:53" x14ac:dyDescent="0.25">
      <c r="AD1060" s="17">
        <v>1058</v>
      </c>
      <c r="AE1060" s="6">
        <v>3.03695</v>
      </c>
      <c r="AF1060" s="6">
        <v>7.5380000000000003E-2</v>
      </c>
      <c r="AG1060" s="6">
        <v>2.9241999999999999</v>
      </c>
      <c r="AH1060" s="6">
        <v>255</v>
      </c>
      <c r="AJ1060" s="17">
        <v>1058</v>
      </c>
      <c r="AK1060" s="6">
        <v>5.7587299999999999</v>
      </c>
      <c r="AL1060" s="6">
        <v>7.5380000000000003E-2</v>
      </c>
      <c r="AM1060" s="6">
        <v>2.9241999999999999</v>
      </c>
      <c r="AN1060" s="6">
        <v>255</v>
      </c>
      <c r="AQ1060" s="17">
        <v>1058</v>
      </c>
      <c r="AR1060" s="6">
        <v>1.58795</v>
      </c>
      <c r="AS1060" s="19">
        <v>-0.2828</v>
      </c>
      <c r="AT1060" s="6">
        <v>0.80630000000000002</v>
      </c>
      <c r="AU1060" s="6">
        <v>255</v>
      </c>
      <c r="AW1060" s="17">
        <v>1058</v>
      </c>
      <c r="AX1060" s="6">
        <v>0.83743000000000001</v>
      </c>
      <c r="AY1060" s="19">
        <v>-0.2828</v>
      </c>
      <c r="AZ1060" s="6">
        <v>0.80630000000000002</v>
      </c>
      <c r="BA1060" s="6">
        <v>255</v>
      </c>
    </row>
    <row r="1061" spans="30:53" x14ac:dyDescent="0.25">
      <c r="AD1061" s="17">
        <v>1059</v>
      </c>
      <c r="AE1061" s="6">
        <v>3.0585399999999998</v>
      </c>
      <c r="AF1061" s="6">
        <v>0.64839999999999998</v>
      </c>
      <c r="AG1061" s="6">
        <v>2.9449999999999998</v>
      </c>
      <c r="AH1061" s="6">
        <v>255</v>
      </c>
      <c r="AJ1061" s="17">
        <v>1059</v>
      </c>
      <c r="AK1061" s="6">
        <v>5.7996600000000003</v>
      </c>
      <c r="AL1061" s="6">
        <v>0.64839999999999998</v>
      </c>
      <c r="AM1061" s="6">
        <v>2.9449999999999998</v>
      </c>
      <c r="AN1061" s="6">
        <v>255</v>
      </c>
      <c r="AQ1061" s="17">
        <v>1059</v>
      </c>
      <c r="AR1061" s="6">
        <v>1.5954900000000001</v>
      </c>
      <c r="AS1061" s="6">
        <v>0.25269999999999998</v>
      </c>
      <c r="AT1061" s="6">
        <v>0.81020000000000003</v>
      </c>
      <c r="AU1061" s="6">
        <v>255</v>
      </c>
      <c r="AW1061" s="17">
        <v>1059</v>
      </c>
      <c r="AX1061" s="6">
        <v>0.84140999999999999</v>
      </c>
      <c r="AY1061" s="6">
        <v>0.25269999999999998</v>
      </c>
      <c r="AZ1061" s="6">
        <v>0.81020000000000003</v>
      </c>
      <c r="BA1061" s="6">
        <v>255</v>
      </c>
    </row>
    <row r="1062" spans="30:53" x14ac:dyDescent="0.25">
      <c r="AD1062" s="17">
        <v>1060</v>
      </c>
      <c r="AE1062" s="6">
        <v>3.0349900000000001</v>
      </c>
      <c r="AF1062" s="6">
        <v>0.67159999999999997</v>
      </c>
      <c r="AG1062" s="6">
        <v>2.9222999999999999</v>
      </c>
      <c r="AH1062" s="6">
        <v>255</v>
      </c>
      <c r="AJ1062" s="17">
        <v>1060</v>
      </c>
      <c r="AK1062" s="6">
        <v>5.7549999999999999</v>
      </c>
      <c r="AL1062" s="6">
        <v>0.67159999999999997</v>
      </c>
      <c r="AM1062" s="6">
        <v>2.9222999999999999</v>
      </c>
      <c r="AN1062" s="6">
        <v>255</v>
      </c>
      <c r="AQ1062" s="17">
        <v>1060</v>
      </c>
      <c r="AR1062" s="6">
        <v>1.5862499999999999</v>
      </c>
      <c r="AS1062" s="6">
        <v>0.71689999999999998</v>
      </c>
      <c r="AT1062" s="6">
        <v>0.80549999999999999</v>
      </c>
      <c r="AU1062" s="6">
        <v>255</v>
      </c>
      <c r="AW1062" s="17">
        <v>1060</v>
      </c>
      <c r="AX1062" s="6">
        <v>0.83653</v>
      </c>
      <c r="AY1062" s="6">
        <v>0.71689999999999998</v>
      </c>
      <c r="AZ1062" s="6">
        <v>0.80549999999999999</v>
      </c>
      <c r="BA1062" s="6">
        <v>255</v>
      </c>
    </row>
    <row r="1063" spans="30:53" x14ac:dyDescent="0.25">
      <c r="AD1063" s="17">
        <v>1061</v>
      </c>
      <c r="AE1063" s="6">
        <v>3.0560399999999999</v>
      </c>
      <c r="AF1063" s="19">
        <v>-0.31080000000000002</v>
      </c>
      <c r="AG1063" s="6">
        <v>2.9426000000000001</v>
      </c>
      <c r="AH1063" s="6">
        <v>255</v>
      </c>
      <c r="AJ1063" s="17">
        <v>1061</v>
      </c>
      <c r="AK1063" s="6">
        <v>5.7949200000000003</v>
      </c>
      <c r="AL1063" s="19">
        <v>-0.31080000000000002</v>
      </c>
      <c r="AM1063" s="6">
        <v>2.9426000000000001</v>
      </c>
      <c r="AN1063" s="6">
        <v>255</v>
      </c>
      <c r="AQ1063" s="17">
        <v>1061</v>
      </c>
      <c r="AR1063" s="6">
        <v>1.5924499999999999</v>
      </c>
      <c r="AS1063" s="19">
        <v>-0.39760000000000001</v>
      </c>
      <c r="AT1063" s="6">
        <v>0.80859999999999999</v>
      </c>
      <c r="AU1063" s="6">
        <v>255</v>
      </c>
      <c r="AW1063" s="17">
        <v>1061</v>
      </c>
      <c r="AX1063" s="6">
        <v>0.83979999999999999</v>
      </c>
      <c r="AY1063" s="19">
        <v>-0.39760000000000001</v>
      </c>
      <c r="AZ1063" s="6">
        <v>0.80859999999999999</v>
      </c>
      <c r="BA1063" s="6">
        <v>255</v>
      </c>
    </row>
    <row r="1064" spans="30:53" x14ac:dyDescent="0.25">
      <c r="AD1064" s="17">
        <v>1062</v>
      </c>
      <c r="AE1064" s="6">
        <v>3.0542799999999999</v>
      </c>
      <c r="AF1064" s="6">
        <v>7.2789000000000001</v>
      </c>
      <c r="AG1064" s="6">
        <v>2.9409000000000001</v>
      </c>
      <c r="AH1064" s="6">
        <v>255</v>
      </c>
      <c r="AJ1064" s="17">
        <v>1062</v>
      </c>
      <c r="AK1064" s="6">
        <v>5.7915900000000002</v>
      </c>
      <c r="AL1064" s="6">
        <v>7.2789000000000001</v>
      </c>
      <c r="AM1064" s="6">
        <v>2.9409000000000001</v>
      </c>
      <c r="AN1064" s="6">
        <v>255</v>
      </c>
      <c r="AQ1064" s="17">
        <v>1062</v>
      </c>
      <c r="AR1064" s="6">
        <v>1.6008899999999999</v>
      </c>
      <c r="AS1064" s="6">
        <v>0.97789999999999999</v>
      </c>
      <c r="AT1064" s="6">
        <v>0.81289999999999996</v>
      </c>
      <c r="AU1064" s="6">
        <v>255</v>
      </c>
      <c r="AW1064" s="17">
        <v>1062</v>
      </c>
      <c r="AX1064" s="6">
        <v>0.84424999999999994</v>
      </c>
      <c r="AY1064" s="6">
        <v>0.97789999999999999</v>
      </c>
      <c r="AZ1064" s="6">
        <v>0.81289999999999996</v>
      </c>
      <c r="BA1064" s="6">
        <v>255</v>
      </c>
    </row>
    <row r="1065" spans="30:53" x14ac:dyDescent="0.25">
      <c r="AD1065" s="17">
        <v>1063</v>
      </c>
      <c r="AE1065" s="6">
        <v>3.0450900000000001</v>
      </c>
      <c r="AF1065" s="6">
        <v>1.2384999999999999</v>
      </c>
      <c r="AG1065" s="6">
        <v>2.9321000000000002</v>
      </c>
      <c r="AH1065" s="6">
        <v>255</v>
      </c>
      <c r="AJ1065" s="17">
        <v>1063</v>
      </c>
      <c r="AK1065" s="6">
        <v>5.7741600000000002</v>
      </c>
      <c r="AL1065" s="6">
        <v>1.2384999999999999</v>
      </c>
      <c r="AM1065" s="6">
        <v>2.9321000000000002</v>
      </c>
      <c r="AN1065" s="6">
        <v>255</v>
      </c>
      <c r="AQ1065" s="17">
        <v>1063</v>
      </c>
      <c r="AR1065" s="6">
        <v>1.5891200000000001</v>
      </c>
      <c r="AS1065" s="19">
        <v>-0.39150000000000001</v>
      </c>
      <c r="AT1065" s="6">
        <v>0.80689999999999995</v>
      </c>
      <c r="AU1065" s="6">
        <v>255</v>
      </c>
      <c r="AW1065" s="17">
        <v>1063</v>
      </c>
      <c r="AX1065" s="6">
        <v>0.83804000000000001</v>
      </c>
      <c r="AY1065" s="19">
        <v>-0.39150000000000001</v>
      </c>
      <c r="AZ1065" s="6">
        <v>0.80689999999999995</v>
      </c>
      <c r="BA1065" s="6">
        <v>255</v>
      </c>
    </row>
    <row r="1066" spans="30:53" x14ac:dyDescent="0.25">
      <c r="AD1066" s="17">
        <v>1064</v>
      </c>
      <c r="AE1066" s="6">
        <v>3.04956</v>
      </c>
      <c r="AF1066" s="6">
        <v>10.0024</v>
      </c>
      <c r="AG1066" s="6">
        <v>2.9363999999999999</v>
      </c>
      <c r="AH1066" s="6">
        <v>255</v>
      </c>
      <c r="AJ1066" s="17">
        <v>1064</v>
      </c>
      <c r="AK1066" s="6">
        <v>5.7826399999999998</v>
      </c>
      <c r="AL1066" s="6">
        <v>10.0024</v>
      </c>
      <c r="AM1066" s="6">
        <v>2.9363999999999999</v>
      </c>
      <c r="AN1066" s="6">
        <v>255</v>
      </c>
      <c r="AQ1066" s="17">
        <v>1064</v>
      </c>
      <c r="AR1066" s="6">
        <v>1.5992299999999999</v>
      </c>
      <c r="AS1066" s="6">
        <v>2.0998999999999999</v>
      </c>
      <c r="AT1066" s="6">
        <v>0.81210000000000004</v>
      </c>
      <c r="AU1066" s="6">
        <v>255</v>
      </c>
      <c r="AW1066" s="17">
        <v>1064</v>
      </c>
      <c r="AX1066" s="6">
        <v>0.84338000000000002</v>
      </c>
      <c r="AY1066" s="6">
        <v>2.0998999999999999</v>
      </c>
      <c r="AZ1066" s="6">
        <v>0.81210000000000004</v>
      </c>
      <c r="BA1066" s="6">
        <v>255</v>
      </c>
    </row>
    <row r="1067" spans="30:53" x14ac:dyDescent="0.25">
      <c r="AD1067" s="17">
        <v>1065</v>
      </c>
      <c r="AE1067" s="6">
        <v>3.0420099999999999</v>
      </c>
      <c r="AF1067" s="6">
        <v>4.5720999999999998</v>
      </c>
      <c r="AG1067" s="6">
        <v>2.9291</v>
      </c>
      <c r="AH1067" s="6">
        <v>255</v>
      </c>
      <c r="AJ1067" s="17">
        <v>1065</v>
      </c>
      <c r="AK1067" s="6">
        <v>5.7683299999999997</v>
      </c>
      <c r="AL1067" s="6">
        <v>4.5720999999999998</v>
      </c>
      <c r="AM1067" s="6">
        <v>2.9291</v>
      </c>
      <c r="AN1067" s="6">
        <v>255</v>
      </c>
      <c r="AQ1067" s="17">
        <v>1065</v>
      </c>
      <c r="AR1067" s="6">
        <v>1.58714</v>
      </c>
      <c r="AS1067" s="6">
        <v>0.75929999999999997</v>
      </c>
      <c r="AT1067" s="6">
        <v>0.80589999999999995</v>
      </c>
      <c r="AU1067" s="6">
        <v>255</v>
      </c>
      <c r="AW1067" s="17">
        <v>1065</v>
      </c>
      <c r="AX1067" s="6">
        <v>0.83699999999999997</v>
      </c>
      <c r="AY1067" s="6">
        <v>0.75929999999999997</v>
      </c>
      <c r="AZ1067" s="6">
        <v>0.80589999999999995</v>
      </c>
      <c r="BA1067" s="6">
        <v>255</v>
      </c>
    </row>
    <row r="1068" spans="30:53" x14ac:dyDescent="0.25">
      <c r="AD1068" s="17">
        <v>1066</v>
      </c>
      <c r="AE1068" s="6">
        <v>3.0404599999999999</v>
      </c>
      <c r="AF1068" s="6">
        <v>2.3119000000000001</v>
      </c>
      <c r="AG1068" s="6">
        <v>2.9276</v>
      </c>
      <c r="AH1068" s="6">
        <v>255</v>
      </c>
      <c r="AJ1068" s="17">
        <v>1066</v>
      </c>
      <c r="AK1068" s="6">
        <v>5.76539</v>
      </c>
      <c r="AL1068" s="6">
        <v>2.3119000000000001</v>
      </c>
      <c r="AM1068" s="6">
        <v>2.9276</v>
      </c>
      <c r="AN1068" s="6">
        <v>255</v>
      </c>
      <c r="AQ1068" s="17">
        <v>1066</v>
      </c>
      <c r="AR1068" s="6">
        <v>1.5926400000000001</v>
      </c>
      <c r="AS1068" s="6">
        <v>0.9294</v>
      </c>
      <c r="AT1068" s="6">
        <v>0.80869999999999997</v>
      </c>
      <c r="AU1068" s="6">
        <v>255</v>
      </c>
      <c r="AW1068" s="17">
        <v>1066</v>
      </c>
      <c r="AX1068" s="6">
        <v>0.83989999999999998</v>
      </c>
      <c r="AY1068" s="6">
        <v>0.9294</v>
      </c>
      <c r="AZ1068" s="6">
        <v>0.80869999999999997</v>
      </c>
      <c r="BA1068" s="6">
        <v>255</v>
      </c>
    </row>
    <row r="1069" spans="30:53" x14ac:dyDescent="0.25">
      <c r="AD1069" s="17">
        <v>1067</v>
      </c>
      <c r="AE1069" s="6">
        <v>3.0443500000000001</v>
      </c>
      <c r="AF1069" s="6">
        <v>3.5623</v>
      </c>
      <c r="AG1069" s="6">
        <v>2.9314</v>
      </c>
      <c r="AH1069" s="6">
        <v>255</v>
      </c>
      <c r="AJ1069" s="17">
        <v>1067</v>
      </c>
      <c r="AK1069" s="6">
        <v>5.7727500000000003</v>
      </c>
      <c r="AL1069" s="6">
        <v>3.5623</v>
      </c>
      <c r="AM1069" s="6">
        <v>2.9314</v>
      </c>
      <c r="AN1069" s="6">
        <v>255</v>
      </c>
      <c r="AQ1069" s="17">
        <v>1067</v>
      </c>
      <c r="AR1069" s="6">
        <v>1.59619</v>
      </c>
      <c r="AS1069" s="6">
        <v>0.51600000000000001</v>
      </c>
      <c r="AT1069" s="6">
        <v>0.8105</v>
      </c>
      <c r="AU1069" s="6">
        <v>255</v>
      </c>
      <c r="AW1069" s="17">
        <v>1067</v>
      </c>
      <c r="AX1069" s="6">
        <v>0.84177000000000002</v>
      </c>
      <c r="AY1069" s="6">
        <v>0.51600000000000001</v>
      </c>
      <c r="AZ1069" s="6">
        <v>0.8105</v>
      </c>
      <c r="BA1069" s="6">
        <v>255</v>
      </c>
    </row>
    <row r="1070" spans="30:53" x14ac:dyDescent="0.25">
      <c r="AD1070" s="17">
        <v>1068</v>
      </c>
      <c r="AE1070" s="6">
        <v>3.0431599999999999</v>
      </c>
      <c r="AF1070" s="6">
        <v>3.2671000000000001</v>
      </c>
      <c r="AG1070" s="6">
        <v>2.9302000000000001</v>
      </c>
      <c r="AH1070" s="6">
        <v>255</v>
      </c>
      <c r="AJ1070" s="17">
        <v>1068</v>
      </c>
      <c r="AK1070" s="6">
        <v>5.7705000000000002</v>
      </c>
      <c r="AL1070" s="6">
        <v>3.2671000000000001</v>
      </c>
      <c r="AM1070" s="6">
        <v>2.9302000000000001</v>
      </c>
      <c r="AN1070" s="6">
        <v>255</v>
      </c>
      <c r="AQ1070" s="17">
        <v>1068</v>
      </c>
      <c r="AR1070" s="6">
        <v>1.59467</v>
      </c>
      <c r="AS1070" s="19">
        <v>-0.70369999999999999</v>
      </c>
      <c r="AT1070" s="6">
        <v>0.80979999999999996</v>
      </c>
      <c r="AU1070" s="6">
        <v>255</v>
      </c>
      <c r="AW1070" s="17">
        <v>1068</v>
      </c>
      <c r="AX1070" s="6">
        <v>0.84097</v>
      </c>
      <c r="AY1070" s="19">
        <v>-0.70369999999999999</v>
      </c>
      <c r="AZ1070" s="6">
        <v>0.80979999999999996</v>
      </c>
      <c r="BA1070" s="6">
        <v>255</v>
      </c>
    </row>
    <row r="1071" spans="30:53" x14ac:dyDescent="0.25">
      <c r="AD1071" s="17">
        <v>1069</v>
      </c>
      <c r="AE1071" s="6">
        <v>3.04983</v>
      </c>
      <c r="AF1071" s="6">
        <v>8.7052999999999994</v>
      </c>
      <c r="AG1071" s="6">
        <v>2.9365999999999999</v>
      </c>
      <c r="AH1071" s="6">
        <v>255</v>
      </c>
      <c r="AJ1071" s="17">
        <v>1069</v>
      </c>
      <c r="AK1071" s="6">
        <v>5.78315</v>
      </c>
      <c r="AL1071" s="6">
        <v>8.7052999999999994</v>
      </c>
      <c r="AM1071" s="6">
        <v>2.9365999999999999</v>
      </c>
      <c r="AN1071" s="6">
        <v>255</v>
      </c>
      <c r="AQ1071" s="17">
        <v>1069</v>
      </c>
      <c r="AR1071" s="6">
        <v>1.5945199999999999</v>
      </c>
      <c r="AS1071" s="6">
        <v>2.2336</v>
      </c>
      <c r="AT1071" s="6">
        <v>0.80969999999999998</v>
      </c>
      <c r="AU1071" s="6">
        <v>255</v>
      </c>
      <c r="AW1071" s="17">
        <v>1069</v>
      </c>
      <c r="AX1071" s="6">
        <v>0.84089000000000003</v>
      </c>
      <c r="AY1071" s="6">
        <v>2.2336</v>
      </c>
      <c r="AZ1071" s="6">
        <v>0.80969999999999998</v>
      </c>
      <c r="BA1071" s="6">
        <v>255</v>
      </c>
    </row>
    <row r="1072" spans="30:53" x14ac:dyDescent="0.25">
      <c r="AD1072" s="17">
        <v>1070</v>
      </c>
      <c r="AE1072" s="6">
        <v>3.0620400000000001</v>
      </c>
      <c r="AF1072" s="6">
        <v>5.5594999999999999</v>
      </c>
      <c r="AG1072" s="6">
        <v>2.9483999999999999</v>
      </c>
      <c r="AH1072" s="6">
        <v>255</v>
      </c>
      <c r="AJ1072" s="17">
        <v>1070</v>
      </c>
      <c r="AK1072" s="6">
        <v>5.8063099999999999</v>
      </c>
      <c r="AL1072" s="6">
        <v>5.5594999999999999</v>
      </c>
      <c r="AM1072" s="6">
        <v>2.9483999999999999</v>
      </c>
      <c r="AN1072" s="6">
        <v>255</v>
      </c>
      <c r="AQ1072" s="17">
        <v>1070</v>
      </c>
      <c r="AR1072" s="6">
        <v>1.5931</v>
      </c>
      <c r="AS1072" s="6">
        <v>2.0872999999999999</v>
      </c>
      <c r="AT1072" s="6">
        <v>0.80900000000000005</v>
      </c>
      <c r="AU1072" s="6">
        <v>255</v>
      </c>
      <c r="AW1072" s="17">
        <v>1070</v>
      </c>
      <c r="AX1072" s="6">
        <v>0.84014999999999995</v>
      </c>
      <c r="AY1072" s="6">
        <v>2.0872999999999999</v>
      </c>
      <c r="AZ1072" s="6">
        <v>0.80900000000000005</v>
      </c>
      <c r="BA1072" s="6">
        <v>255</v>
      </c>
    </row>
    <row r="1073" spans="30:53" x14ac:dyDescent="0.25">
      <c r="AD1073" s="17">
        <v>1071</v>
      </c>
      <c r="AE1073" s="6">
        <v>3.06406</v>
      </c>
      <c r="AF1073" s="6">
        <v>3.8048000000000002</v>
      </c>
      <c r="AG1073" s="6">
        <v>2.9502999999999999</v>
      </c>
      <c r="AH1073" s="6">
        <v>255</v>
      </c>
      <c r="AJ1073" s="17">
        <v>1071</v>
      </c>
      <c r="AK1073" s="6">
        <v>5.81013</v>
      </c>
      <c r="AL1073" s="6">
        <v>3.8048000000000002</v>
      </c>
      <c r="AM1073" s="6">
        <v>2.9502999999999999</v>
      </c>
      <c r="AN1073" s="6">
        <v>255</v>
      </c>
      <c r="AQ1073" s="17">
        <v>1071</v>
      </c>
      <c r="AR1073" s="6">
        <v>1.5968</v>
      </c>
      <c r="AS1073" s="6">
        <v>1.6298999999999999</v>
      </c>
      <c r="AT1073" s="6">
        <v>0.81079999999999997</v>
      </c>
      <c r="AU1073" s="6">
        <v>255</v>
      </c>
      <c r="AW1073" s="17">
        <v>1071</v>
      </c>
      <c r="AX1073" s="6">
        <v>0.84209000000000001</v>
      </c>
      <c r="AY1073" s="6">
        <v>1.6298999999999999</v>
      </c>
      <c r="AZ1073" s="6">
        <v>0.81079999999999997</v>
      </c>
      <c r="BA1073" s="6">
        <v>255</v>
      </c>
    </row>
    <row r="1074" spans="30:53" x14ac:dyDescent="0.25">
      <c r="AD1074" s="17">
        <v>1072</v>
      </c>
      <c r="AE1074" s="6">
        <v>3.0445600000000002</v>
      </c>
      <c r="AF1074" s="6">
        <v>7.5260999999999996</v>
      </c>
      <c r="AG1074" s="6">
        <v>2.9316</v>
      </c>
      <c r="AH1074" s="6">
        <v>255</v>
      </c>
      <c r="AJ1074" s="17">
        <v>1072</v>
      </c>
      <c r="AK1074" s="6">
        <v>5.7731599999999998</v>
      </c>
      <c r="AL1074" s="6">
        <v>7.5260999999999996</v>
      </c>
      <c r="AM1074" s="6">
        <v>2.9316</v>
      </c>
      <c r="AN1074" s="6">
        <v>255</v>
      </c>
      <c r="AQ1074" s="17">
        <v>1072</v>
      </c>
      <c r="AR1074" s="6">
        <v>1.5906400000000001</v>
      </c>
      <c r="AS1074" s="6">
        <v>0.94599999999999995</v>
      </c>
      <c r="AT1074" s="6">
        <v>0.80769999999999997</v>
      </c>
      <c r="AU1074" s="6">
        <v>255</v>
      </c>
      <c r="AW1074" s="17">
        <v>1072</v>
      </c>
      <c r="AX1074" s="6">
        <v>0.83884999999999998</v>
      </c>
      <c r="AY1074" s="6">
        <v>0.94599999999999995</v>
      </c>
      <c r="AZ1074" s="6">
        <v>0.80769999999999997</v>
      </c>
      <c r="BA1074" s="6">
        <v>255</v>
      </c>
    </row>
    <row r="1075" spans="30:53" x14ac:dyDescent="0.25">
      <c r="AD1075" s="17">
        <v>1073</v>
      </c>
      <c r="AE1075" s="6">
        <v>3.0500099999999999</v>
      </c>
      <c r="AF1075" s="6">
        <v>16.03</v>
      </c>
      <c r="AG1075" s="6">
        <v>2.9367999999999999</v>
      </c>
      <c r="AH1075" s="6">
        <v>255</v>
      </c>
      <c r="AJ1075" s="17">
        <v>1073</v>
      </c>
      <c r="AK1075" s="6">
        <v>5.7834899999999996</v>
      </c>
      <c r="AL1075" s="6">
        <v>16.03</v>
      </c>
      <c r="AM1075" s="6">
        <v>2.9367999999999999</v>
      </c>
      <c r="AN1075" s="6">
        <v>255</v>
      </c>
      <c r="AQ1075" s="17">
        <v>1073</v>
      </c>
      <c r="AR1075" s="6">
        <v>1.59924</v>
      </c>
      <c r="AS1075" s="6">
        <v>3.8546</v>
      </c>
      <c r="AT1075" s="6">
        <v>0.81210000000000004</v>
      </c>
      <c r="AU1075" s="6">
        <v>255</v>
      </c>
      <c r="AW1075" s="17">
        <v>1073</v>
      </c>
      <c r="AX1075" s="6">
        <v>0.84338000000000002</v>
      </c>
      <c r="AY1075" s="6">
        <v>3.8546</v>
      </c>
      <c r="AZ1075" s="6">
        <v>0.81210000000000004</v>
      </c>
      <c r="BA1075" s="6">
        <v>255</v>
      </c>
    </row>
    <row r="1076" spans="30:53" x14ac:dyDescent="0.25">
      <c r="AD1076" s="17">
        <v>1074</v>
      </c>
      <c r="AE1076" s="6">
        <v>3.0368200000000001</v>
      </c>
      <c r="AF1076" s="6">
        <v>1.8936999999999999</v>
      </c>
      <c r="AG1076" s="6">
        <v>2.9241000000000001</v>
      </c>
      <c r="AH1076" s="6">
        <v>255</v>
      </c>
      <c r="AJ1076" s="17">
        <v>1074</v>
      </c>
      <c r="AK1076" s="6">
        <v>5.7584900000000001</v>
      </c>
      <c r="AL1076" s="6">
        <v>1.8936999999999999</v>
      </c>
      <c r="AM1076" s="6">
        <v>2.9241000000000001</v>
      </c>
      <c r="AN1076" s="6">
        <v>255</v>
      </c>
      <c r="AQ1076" s="17">
        <v>1074</v>
      </c>
      <c r="AR1076" s="6">
        <v>1.58586</v>
      </c>
      <c r="AS1076" s="6">
        <v>0.92959999999999998</v>
      </c>
      <c r="AT1076" s="6">
        <v>0.80530000000000002</v>
      </c>
      <c r="AU1076" s="6">
        <v>255</v>
      </c>
      <c r="AW1076" s="17">
        <v>1074</v>
      </c>
      <c r="AX1076" s="6">
        <v>0.83633000000000002</v>
      </c>
      <c r="AY1076" s="6">
        <v>0.92959999999999998</v>
      </c>
      <c r="AZ1076" s="6">
        <v>0.80530000000000002</v>
      </c>
      <c r="BA1076" s="6">
        <v>255</v>
      </c>
    </row>
    <row r="1077" spans="30:53" x14ac:dyDescent="0.25">
      <c r="AD1077" s="17">
        <v>1075</v>
      </c>
      <c r="AE1077" s="6">
        <v>3.05646</v>
      </c>
      <c r="AF1077" s="19">
        <v>-4.2561</v>
      </c>
      <c r="AG1077" s="6">
        <v>2.9430000000000001</v>
      </c>
      <c r="AH1077" s="6">
        <v>255</v>
      </c>
      <c r="AJ1077" s="17">
        <v>1075</v>
      </c>
      <c r="AK1077" s="6">
        <v>5.7957099999999997</v>
      </c>
      <c r="AL1077" s="19">
        <v>-4.2561</v>
      </c>
      <c r="AM1077" s="6">
        <v>2.9430000000000001</v>
      </c>
      <c r="AN1077" s="6">
        <v>255</v>
      </c>
      <c r="AQ1077" s="17">
        <v>1075</v>
      </c>
      <c r="AR1077" s="6">
        <v>1.59704</v>
      </c>
      <c r="AS1077" s="19">
        <v>-1.4349000000000001</v>
      </c>
      <c r="AT1077" s="6">
        <v>0.81100000000000005</v>
      </c>
      <c r="AU1077" s="6">
        <v>255</v>
      </c>
      <c r="AW1077" s="17">
        <v>1075</v>
      </c>
      <c r="AX1077" s="6">
        <v>0.84221999999999997</v>
      </c>
      <c r="AY1077" s="19">
        <v>-1.4349000000000001</v>
      </c>
      <c r="AZ1077" s="6">
        <v>0.81100000000000005</v>
      </c>
      <c r="BA1077" s="6">
        <v>255</v>
      </c>
    </row>
    <row r="1078" spans="30:53" x14ac:dyDescent="0.25">
      <c r="AD1078" s="17">
        <v>1076</v>
      </c>
      <c r="AE1078" s="6">
        <v>3.0666899999999999</v>
      </c>
      <c r="AF1078" s="19">
        <v>-1.1312</v>
      </c>
      <c r="AG1078" s="6">
        <v>2.9529000000000001</v>
      </c>
      <c r="AH1078" s="6">
        <v>255</v>
      </c>
      <c r="AJ1078" s="17">
        <v>1076</v>
      </c>
      <c r="AK1078" s="6">
        <v>5.8151200000000003</v>
      </c>
      <c r="AL1078" s="19">
        <v>-1.1312</v>
      </c>
      <c r="AM1078" s="6">
        <v>2.9529000000000001</v>
      </c>
      <c r="AN1078" s="6">
        <v>255</v>
      </c>
      <c r="AQ1078" s="17">
        <v>1076</v>
      </c>
      <c r="AR1078" s="6">
        <v>1.59382</v>
      </c>
      <c r="AS1078" s="6">
        <v>0.93820000000000003</v>
      </c>
      <c r="AT1078" s="6">
        <v>0.80930000000000002</v>
      </c>
      <c r="AU1078" s="6">
        <v>255</v>
      </c>
      <c r="AW1078" s="17">
        <v>1076</v>
      </c>
      <c r="AX1078" s="6">
        <v>0.84052000000000004</v>
      </c>
      <c r="AY1078" s="6">
        <v>0.93820000000000003</v>
      </c>
      <c r="AZ1078" s="6">
        <v>0.80930000000000002</v>
      </c>
      <c r="BA1078" s="6">
        <v>255</v>
      </c>
    </row>
    <row r="1079" spans="30:53" x14ac:dyDescent="0.25">
      <c r="AD1079" s="17">
        <v>1077</v>
      </c>
      <c r="AE1079" s="6">
        <v>3.0370200000000001</v>
      </c>
      <c r="AF1079" s="6">
        <v>1.1865000000000001</v>
      </c>
      <c r="AG1079" s="6">
        <v>2.9243000000000001</v>
      </c>
      <c r="AH1079" s="6">
        <v>255</v>
      </c>
      <c r="AJ1079" s="17">
        <v>1077</v>
      </c>
      <c r="AK1079" s="6">
        <v>5.7588600000000003</v>
      </c>
      <c r="AL1079" s="6">
        <v>1.1865000000000001</v>
      </c>
      <c r="AM1079" s="6">
        <v>2.9243000000000001</v>
      </c>
      <c r="AN1079" s="6">
        <v>255</v>
      </c>
      <c r="AQ1079" s="17">
        <v>1077</v>
      </c>
      <c r="AR1079" s="6">
        <v>1.59352</v>
      </c>
      <c r="AS1079" s="6">
        <v>0.67079999999999995</v>
      </c>
      <c r="AT1079" s="6">
        <v>0.80920000000000003</v>
      </c>
      <c r="AU1079" s="6">
        <v>255</v>
      </c>
      <c r="AW1079" s="17">
        <v>1077</v>
      </c>
      <c r="AX1079" s="6">
        <v>0.84036</v>
      </c>
      <c r="AY1079" s="6">
        <v>0.67079999999999995</v>
      </c>
      <c r="AZ1079" s="6">
        <v>0.80920000000000003</v>
      </c>
      <c r="BA1079" s="6">
        <v>255</v>
      </c>
    </row>
    <row r="1080" spans="30:53" x14ac:dyDescent="0.25">
      <c r="AD1080" s="17">
        <v>1078</v>
      </c>
      <c r="AE1080" s="6">
        <v>3.06054</v>
      </c>
      <c r="AF1080" s="6">
        <v>1.0632999999999999</v>
      </c>
      <c r="AG1080" s="6">
        <v>2.9468999999999999</v>
      </c>
      <c r="AH1080" s="6">
        <v>255</v>
      </c>
      <c r="AJ1080" s="17">
        <v>1078</v>
      </c>
      <c r="AK1080" s="6">
        <v>5.8034499999999998</v>
      </c>
      <c r="AL1080" s="6">
        <v>1.0632999999999999</v>
      </c>
      <c r="AM1080" s="6">
        <v>2.9468999999999999</v>
      </c>
      <c r="AN1080" s="6">
        <v>255</v>
      </c>
      <c r="AQ1080" s="17">
        <v>1078</v>
      </c>
      <c r="AR1080" s="6">
        <v>1.6024799999999999</v>
      </c>
      <c r="AS1080" s="6">
        <v>0.92320000000000002</v>
      </c>
      <c r="AT1080" s="6">
        <v>0.81369999999999998</v>
      </c>
      <c r="AU1080" s="6">
        <v>255</v>
      </c>
      <c r="AW1080" s="17">
        <v>1078</v>
      </c>
      <c r="AX1080" s="6">
        <v>0.84509000000000001</v>
      </c>
      <c r="AY1080" s="6">
        <v>0.92320000000000002</v>
      </c>
      <c r="AZ1080" s="6">
        <v>0.81369999999999998</v>
      </c>
      <c r="BA1080" s="6">
        <v>255</v>
      </c>
    </row>
    <row r="1081" spans="30:53" x14ac:dyDescent="0.25">
      <c r="AD1081" s="17">
        <v>1079</v>
      </c>
      <c r="AE1081" s="6">
        <v>3.0579900000000002</v>
      </c>
      <c r="AF1081" s="19">
        <v>-2.4232999999999998</v>
      </c>
      <c r="AG1081" s="6">
        <v>2.9445000000000001</v>
      </c>
      <c r="AH1081" s="6">
        <v>255</v>
      </c>
      <c r="AJ1081" s="17">
        <v>1079</v>
      </c>
      <c r="AK1081" s="6">
        <v>5.7986300000000002</v>
      </c>
      <c r="AL1081" s="19">
        <v>-2.4232999999999998</v>
      </c>
      <c r="AM1081" s="6">
        <v>2.9445000000000001</v>
      </c>
      <c r="AN1081" s="6">
        <v>255</v>
      </c>
      <c r="AQ1081" s="17">
        <v>1079</v>
      </c>
      <c r="AR1081" s="6">
        <v>1.5914200000000001</v>
      </c>
      <c r="AS1081" s="19">
        <v>-0.45760000000000001</v>
      </c>
      <c r="AT1081" s="6">
        <v>0.80810000000000004</v>
      </c>
      <c r="AU1081" s="6">
        <v>255</v>
      </c>
      <c r="AW1081" s="17">
        <v>1079</v>
      </c>
      <c r="AX1081" s="6">
        <v>0.83926000000000001</v>
      </c>
      <c r="AY1081" s="19">
        <v>-0.45760000000000001</v>
      </c>
      <c r="AZ1081" s="6">
        <v>0.80810000000000004</v>
      </c>
      <c r="BA1081" s="6">
        <v>255</v>
      </c>
    </row>
    <row r="1082" spans="30:53" x14ac:dyDescent="0.25">
      <c r="AD1082" s="17">
        <v>1080</v>
      </c>
      <c r="AE1082" s="6">
        <v>3.0458400000000001</v>
      </c>
      <c r="AF1082" s="19">
        <v>-1.2356</v>
      </c>
      <c r="AG1082" s="6">
        <v>2.9327999999999999</v>
      </c>
      <c r="AH1082" s="6">
        <v>255</v>
      </c>
      <c r="AJ1082" s="17">
        <v>1080</v>
      </c>
      <c r="AK1082" s="6">
        <v>5.7755799999999997</v>
      </c>
      <c r="AL1082" s="19">
        <v>-1.2356</v>
      </c>
      <c r="AM1082" s="6">
        <v>2.9327999999999999</v>
      </c>
      <c r="AN1082" s="6">
        <v>255</v>
      </c>
      <c r="AQ1082" s="17">
        <v>1080</v>
      </c>
      <c r="AR1082" s="6">
        <v>1.5891200000000001</v>
      </c>
      <c r="AS1082" s="19">
        <v>-9.443E-2</v>
      </c>
      <c r="AT1082" s="6">
        <v>0.80689999999999995</v>
      </c>
      <c r="AU1082" s="6">
        <v>255</v>
      </c>
      <c r="AW1082" s="17">
        <v>1080</v>
      </c>
      <c r="AX1082" s="6">
        <v>0.83804999999999996</v>
      </c>
      <c r="AY1082" s="19">
        <v>-9.443E-2</v>
      </c>
      <c r="AZ1082" s="6">
        <v>0.80689999999999995</v>
      </c>
      <c r="BA1082" s="6">
        <v>255</v>
      </c>
    </row>
    <row r="1083" spans="30:53" x14ac:dyDescent="0.25">
      <c r="AD1083" s="17">
        <v>1081</v>
      </c>
      <c r="AE1083" s="6">
        <v>3.0304600000000002</v>
      </c>
      <c r="AF1083" s="19">
        <v>-0.66259999999999997</v>
      </c>
      <c r="AG1083" s="6">
        <v>2.9180000000000001</v>
      </c>
      <c r="AH1083" s="6">
        <v>255</v>
      </c>
      <c r="AJ1083" s="17">
        <v>1081</v>
      </c>
      <c r="AK1083" s="6">
        <v>5.7464199999999996</v>
      </c>
      <c r="AL1083" s="19">
        <v>-0.66259999999999997</v>
      </c>
      <c r="AM1083" s="6">
        <v>2.9180000000000001</v>
      </c>
      <c r="AN1083" s="6">
        <v>255</v>
      </c>
      <c r="AQ1083" s="17">
        <v>1081</v>
      </c>
      <c r="AR1083" s="6">
        <v>1.5879300000000001</v>
      </c>
      <c r="AS1083" s="6">
        <v>0.44109999999999999</v>
      </c>
      <c r="AT1083" s="6">
        <v>0.80630000000000002</v>
      </c>
      <c r="AU1083" s="6">
        <v>255</v>
      </c>
      <c r="AW1083" s="17">
        <v>1081</v>
      </c>
      <c r="AX1083" s="6">
        <v>0.83742000000000005</v>
      </c>
      <c r="AY1083" s="6">
        <v>0.44109999999999999</v>
      </c>
      <c r="AZ1083" s="6">
        <v>0.80630000000000002</v>
      </c>
      <c r="BA1083" s="6">
        <v>255</v>
      </c>
    </row>
    <row r="1084" spans="30:53" x14ac:dyDescent="0.25">
      <c r="AD1084" s="17">
        <v>1082</v>
      </c>
      <c r="AE1084" s="6">
        <v>3.04637</v>
      </c>
      <c r="AF1084" s="19">
        <v>-0.63939999999999997</v>
      </c>
      <c r="AG1084" s="6">
        <v>2.9333</v>
      </c>
      <c r="AH1084" s="6">
        <v>255</v>
      </c>
      <c r="AJ1084" s="17">
        <v>1082</v>
      </c>
      <c r="AK1084" s="6">
        <v>5.7765899999999997</v>
      </c>
      <c r="AL1084" s="19">
        <v>-0.63939999999999997</v>
      </c>
      <c r="AM1084" s="6">
        <v>2.9333</v>
      </c>
      <c r="AN1084" s="6">
        <v>255</v>
      </c>
      <c r="AQ1084" s="17">
        <v>1082</v>
      </c>
      <c r="AR1084" s="6">
        <v>1.59239</v>
      </c>
      <c r="AS1084" s="6">
        <v>0.9052</v>
      </c>
      <c r="AT1084" s="6">
        <v>0.80859999999999999</v>
      </c>
      <c r="AU1084" s="6">
        <v>255</v>
      </c>
      <c r="AW1084" s="17">
        <v>1082</v>
      </c>
      <c r="AX1084" s="6">
        <v>0.83977000000000002</v>
      </c>
      <c r="AY1084" s="6">
        <v>0.9052</v>
      </c>
      <c r="AZ1084" s="6">
        <v>0.80859999999999999</v>
      </c>
      <c r="BA1084" s="6">
        <v>255</v>
      </c>
    </row>
    <row r="1085" spans="30:53" x14ac:dyDescent="0.25">
      <c r="AD1085" s="17">
        <v>1083</v>
      </c>
      <c r="AE1085" s="6">
        <v>3.0486499999999999</v>
      </c>
      <c r="AF1085" s="19">
        <v>-1.6217999999999999</v>
      </c>
      <c r="AG1085" s="6">
        <v>2.9355000000000002</v>
      </c>
      <c r="AH1085" s="6">
        <v>255</v>
      </c>
      <c r="AJ1085" s="17">
        <v>1083</v>
      </c>
      <c r="AK1085" s="6">
        <v>5.7809100000000004</v>
      </c>
      <c r="AL1085" s="19">
        <v>-1.6217999999999999</v>
      </c>
      <c r="AM1085" s="6">
        <v>2.9355000000000002</v>
      </c>
      <c r="AN1085" s="6">
        <v>255</v>
      </c>
      <c r="AQ1085" s="17">
        <v>1083</v>
      </c>
      <c r="AR1085" s="6">
        <v>1.5916399999999999</v>
      </c>
      <c r="AS1085" s="19">
        <v>-0.2092</v>
      </c>
      <c r="AT1085" s="6">
        <v>0.80820000000000003</v>
      </c>
      <c r="AU1085" s="6">
        <v>255</v>
      </c>
      <c r="AW1085" s="17">
        <v>1083</v>
      </c>
      <c r="AX1085" s="6">
        <v>0.83936999999999995</v>
      </c>
      <c r="AY1085" s="19">
        <v>-0.2092</v>
      </c>
      <c r="AZ1085" s="6">
        <v>0.80820000000000003</v>
      </c>
      <c r="BA1085" s="6">
        <v>255</v>
      </c>
    </row>
    <row r="1086" spans="30:53" x14ac:dyDescent="0.25">
      <c r="AD1086" s="17">
        <v>1084</v>
      </c>
      <c r="AE1086" s="6">
        <v>3.0397400000000001</v>
      </c>
      <c r="AF1086" s="6">
        <v>5.9679000000000002</v>
      </c>
      <c r="AG1086" s="6">
        <v>2.9268999999999998</v>
      </c>
      <c r="AH1086" s="6">
        <v>255</v>
      </c>
      <c r="AJ1086" s="17">
        <v>1084</v>
      </c>
      <c r="AK1086" s="6">
        <v>5.7640099999999999</v>
      </c>
      <c r="AL1086" s="6">
        <v>5.9679000000000002</v>
      </c>
      <c r="AM1086" s="6">
        <v>2.9268999999999998</v>
      </c>
      <c r="AN1086" s="6">
        <v>255</v>
      </c>
      <c r="AQ1086" s="17">
        <v>1084</v>
      </c>
      <c r="AR1086" s="6">
        <v>1.59429</v>
      </c>
      <c r="AS1086" s="6">
        <v>1.1662999999999999</v>
      </c>
      <c r="AT1086" s="6">
        <v>0.80959999999999999</v>
      </c>
      <c r="AU1086" s="6">
        <v>255</v>
      </c>
      <c r="AW1086" s="17">
        <v>1084</v>
      </c>
      <c r="AX1086" s="6">
        <v>0.84077000000000002</v>
      </c>
      <c r="AY1086" s="6">
        <v>1.1662999999999999</v>
      </c>
      <c r="AZ1086" s="6">
        <v>0.80959999999999999</v>
      </c>
      <c r="BA1086" s="6">
        <v>255</v>
      </c>
    </row>
    <row r="1087" spans="30:53" x14ac:dyDescent="0.25">
      <c r="AD1087" s="17">
        <v>1085</v>
      </c>
      <c r="AE1087" s="6">
        <v>3.03186</v>
      </c>
      <c r="AF1087" s="19">
        <v>-7.2459999999999997E-2</v>
      </c>
      <c r="AG1087" s="6">
        <v>2.9192999999999998</v>
      </c>
      <c r="AH1087" s="6">
        <v>255</v>
      </c>
      <c r="AJ1087" s="17">
        <v>1085</v>
      </c>
      <c r="AK1087" s="6">
        <v>5.7490800000000002</v>
      </c>
      <c r="AL1087" s="19">
        <v>-7.2459999999999997E-2</v>
      </c>
      <c r="AM1087" s="6">
        <v>2.9192999999999998</v>
      </c>
      <c r="AN1087" s="6">
        <v>255</v>
      </c>
      <c r="AQ1087" s="17">
        <v>1085</v>
      </c>
      <c r="AR1087" s="6">
        <v>1.5844499999999999</v>
      </c>
      <c r="AS1087" s="19">
        <v>-0.2031</v>
      </c>
      <c r="AT1087" s="6">
        <v>0.80459999999999998</v>
      </c>
      <c r="AU1087" s="6">
        <v>255</v>
      </c>
      <c r="AW1087" s="17">
        <v>1085</v>
      </c>
      <c r="AX1087" s="6">
        <v>0.83557999999999999</v>
      </c>
      <c r="AY1087" s="19">
        <v>-0.2031</v>
      </c>
      <c r="AZ1087" s="6">
        <v>0.80459999999999998</v>
      </c>
      <c r="BA1087" s="6">
        <v>255</v>
      </c>
    </row>
    <row r="1088" spans="30:53" x14ac:dyDescent="0.25">
      <c r="AD1088" s="17">
        <v>1086</v>
      </c>
      <c r="AE1088" s="6">
        <v>3.0502600000000002</v>
      </c>
      <c r="AF1088" s="6">
        <v>8.6913999999999998</v>
      </c>
      <c r="AG1088" s="6">
        <v>2.9371</v>
      </c>
      <c r="AH1088" s="6">
        <v>255</v>
      </c>
      <c r="AJ1088" s="17">
        <v>1086</v>
      </c>
      <c r="AK1088" s="6">
        <v>5.7839700000000001</v>
      </c>
      <c r="AL1088" s="6">
        <v>8.6913999999999998</v>
      </c>
      <c r="AM1088" s="6">
        <v>2.9371</v>
      </c>
      <c r="AN1088" s="6">
        <v>255</v>
      </c>
      <c r="AQ1088" s="17">
        <v>1086</v>
      </c>
      <c r="AR1088" s="6">
        <v>1.5980300000000001</v>
      </c>
      <c r="AS1088" s="6">
        <v>2.2883</v>
      </c>
      <c r="AT1088" s="6">
        <v>0.8115</v>
      </c>
      <c r="AU1088" s="6">
        <v>255</v>
      </c>
      <c r="AW1088" s="17">
        <v>1086</v>
      </c>
      <c r="AX1088" s="6">
        <v>0.84275</v>
      </c>
      <c r="AY1088" s="6">
        <v>2.2883</v>
      </c>
      <c r="AZ1088" s="6">
        <v>0.8115</v>
      </c>
      <c r="BA1088" s="6">
        <v>255</v>
      </c>
    </row>
    <row r="1089" spans="30:53" x14ac:dyDescent="0.25">
      <c r="AD1089" s="17">
        <v>1087</v>
      </c>
      <c r="AE1089" s="6">
        <v>3.0478999999999998</v>
      </c>
      <c r="AF1089" s="6">
        <v>3.2610999999999999</v>
      </c>
      <c r="AG1089" s="6">
        <v>2.9348000000000001</v>
      </c>
      <c r="AH1089" s="6">
        <v>255</v>
      </c>
      <c r="AJ1089" s="17">
        <v>1087</v>
      </c>
      <c r="AK1089" s="6">
        <v>5.77949</v>
      </c>
      <c r="AL1089" s="6">
        <v>3.2610999999999999</v>
      </c>
      <c r="AM1089" s="6">
        <v>2.9348000000000001</v>
      </c>
      <c r="AN1089" s="6">
        <v>255</v>
      </c>
      <c r="AQ1089" s="17">
        <v>1087</v>
      </c>
      <c r="AR1089" s="6">
        <v>1.5914699999999999</v>
      </c>
      <c r="AS1089" s="6">
        <v>0.94769999999999999</v>
      </c>
      <c r="AT1089" s="6">
        <v>0.80810000000000004</v>
      </c>
      <c r="AU1089" s="6">
        <v>255</v>
      </c>
      <c r="AW1089" s="17">
        <v>1087</v>
      </c>
      <c r="AX1089" s="6">
        <v>0.83928999999999998</v>
      </c>
      <c r="AY1089" s="6">
        <v>0.94769999999999999</v>
      </c>
      <c r="AZ1089" s="6">
        <v>0.80810000000000004</v>
      </c>
      <c r="BA1089" s="6">
        <v>255</v>
      </c>
    </row>
    <row r="1090" spans="30:53" x14ac:dyDescent="0.25">
      <c r="AD1090" s="17">
        <v>1088</v>
      </c>
      <c r="AE1090" s="6">
        <v>3.04379</v>
      </c>
      <c r="AF1090" s="6">
        <v>1.0008999999999999</v>
      </c>
      <c r="AG1090" s="6">
        <v>2.9308000000000001</v>
      </c>
      <c r="AH1090" s="6">
        <v>255</v>
      </c>
      <c r="AJ1090" s="17">
        <v>1088</v>
      </c>
      <c r="AK1090" s="6">
        <v>5.7717000000000001</v>
      </c>
      <c r="AL1090" s="6">
        <v>1.0008999999999999</v>
      </c>
      <c r="AM1090" s="6">
        <v>2.9308000000000001</v>
      </c>
      <c r="AN1090" s="6">
        <v>255</v>
      </c>
      <c r="AQ1090" s="17">
        <v>1088</v>
      </c>
      <c r="AR1090" s="6">
        <v>1.5934699999999999</v>
      </c>
      <c r="AS1090" s="6">
        <v>1.1177999999999999</v>
      </c>
      <c r="AT1090" s="6">
        <v>0.80920000000000003</v>
      </c>
      <c r="AU1090" s="6">
        <v>255</v>
      </c>
      <c r="AW1090" s="17">
        <v>1088</v>
      </c>
      <c r="AX1090" s="6">
        <v>0.84033999999999998</v>
      </c>
      <c r="AY1090" s="6">
        <v>1.1177999999999999</v>
      </c>
      <c r="AZ1090" s="6">
        <v>0.80920000000000003</v>
      </c>
      <c r="BA1090" s="6">
        <v>255</v>
      </c>
    </row>
    <row r="1091" spans="30:53" x14ac:dyDescent="0.25">
      <c r="AD1091" s="17">
        <v>1089</v>
      </c>
      <c r="AE1091" s="6">
        <v>3.0339</v>
      </c>
      <c r="AF1091" s="6">
        <v>2.2513999999999998</v>
      </c>
      <c r="AG1091" s="6">
        <v>2.9213</v>
      </c>
      <c r="AH1091" s="6">
        <v>255</v>
      </c>
      <c r="AJ1091" s="17">
        <v>1089</v>
      </c>
      <c r="AK1091" s="6">
        <v>5.7529399999999997</v>
      </c>
      <c r="AL1091" s="6">
        <v>2.2513999999999998</v>
      </c>
      <c r="AM1091" s="6">
        <v>2.9213</v>
      </c>
      <c r="AN1091" s="6">
        <v>255</v>
      </c>
      <c r="AQ1091" s="17">
        <v>1089</v>
      </c>
      <c r="AR1091" s="6">
        <v>1.5923099999999999</v>
      </c>
      <c r="AS1091" s="6">
        <v>0.70440000000000003</v>
      </c>
      <c r="AT1091" s="6">
        <v>0.80859999999999999</v>
      </c>
      <c r="AU1091" s="6">
        <v>255</v>
      </c>
      <c r="AW1091" s="17">
        <v>1089</v>
      </c>
      <c r="AX1091" s="6">
        <v>0.83972999999999998</v>
      </c>
      <c r="AY1091" s="6">
        <v>0.70440000000000003</v>
      </c>
      <c r="AZ1091" s="6">
        <v>0.80859999999999999</v>
      </c>
      <c r="BA1091" s="6">
        <v>255</v>
      </c>
    </row>
    <row r="1092" spans="30:53" x14ac:dyDescent="0.25">
      <c r="AD1092" s="17">
        <v>1090</v>
      </c>
      <c r="AE1092" s="6">
        <v>3.0280499999999999</v>
      </c>
      <c r="AF1092" s="6">
        <v>1.9560999999999999</v>
      </c>
      <c r="AG1092" s="6">
        <v>2.9157000000000002</v>
      </c>
      <c r="AH1092" s="6">
        <v>255</v>
      </c>
      <c r="AJ1092" s="17">
        <v>1090</v>
      </c>
      <c r="AK1092" s="6">
        <v>5.74186</v>
      </c>
      <c r="AL1092" s="6">
        <v>1.9560999999999999</v>
      </c>
      <c r="AM1092" s="6">
        <v>2.9157000000000002</v>
      </c>
      <c r="AN1092" s="6">
        <v>255</v>
      </c>
      <c r="AQ1092" s="17">
        <v>1090</v>
      </c>
      <c r="AR1092" s="6">
        <v>1.5925400000000001</v>
      </c>
      <c r="AS1092" s="19">
        <v>-0.51529999999999998</v>
      </c>
      <c r="AT1092" s="6">
        <v>0.80869999999999997</v>
      </c>
      <c r="AU1092" s="6">
        <v>255</v>
      </c>
      <c r="AW1092" s="17">
        <v>1090</v>
      </c>
      <c r="AX1092" s="6">
        <v>0.83984999999999999</v>
      </c>
      <c r="AY1092" s="19">
        <v>-0.51529999999999998</v>
      </c>
      <c r="AZ1092" s="6">
        <v>0.80869999999999997</v>
      </c>
      <c r="BA1092" s="6">
        <v>255</v>
      </c>
    </row>
    <row r="1093" spans="30:53" x14ac:dyDescent="0.25">
      <c r="AD1093" s="17">
        <v>1091</v>
      </c>
      <c r="AE1093" s="6">
        <v>3.0377000000000001</v>
      </c>
      <c r="AF1093" s="6">
        <v>7.3943000000000003</v>
      </c>
      <c r="AG1093" s="6">
        <v>2.9249999999999998</v>
      </c>
      <c r="AH1093" s="6">
        <v>255</v>
      </c>
      <c r="AJ1093" s="17">
        <v>1091</v>
      </c>
      <c r="AK1093" s="6">
        <v>5.7601500000000003</v>
      </c>
      <c r="AL1093" s="6">
        <v>7.3943000000000003</v>
      </c>
      <c r="AM1093" s="6">
        <v>2.9249999999999998</v>
      </c>
      <c r="AN1093" s="6">
        <v>255</v>
      </c>
      <c r="AQ1093" s="17">
        <v>1091</v>
      </c>
      <c r="AR1093" s="6">
        <v>1.58856</v>
      </c>
      <c r="AS1093" s="6">
        <v>2.4218999999999999</v>
      </c>
      <c r="AT1093" s="6">
        <v>0.80669999999999997</v>
      </c>
      <c r="AU1093" s="6">
        <v>255</v>
      </c>
      <c r="AW1093" s="17">
        <v>1091</v>
      </c>
      <c r="AX1093" s="6">
        <v>0.83774999999999999</v>
      </c>
      <c r="AY1093" s="6">
        <v>2.4218999999999999</v>
      </c>
      <c r="AZ1093" s="6">
        <v>0.80669999999999997</v>
      </c>
      <c r="BA1093" s="6">
        <v>255</v>
      </c>
    </row>
    <row r="1094" spans="30:53" x14ac:dyDescent="0.25">
      <c r="AD1094" s="17">
        <v>1092</v>
      </c>
      <c r="AE1094" s="6">
        <v>3.0474700000000001</v>
      </c>
      <c r="AF1094" s="6">
        <v>4.2484999999999999</v>
      </c>
      <c r="AG1094" s="6">
        <v>2.9344000000000001</v>
      </c>
      <c r="AH1094" s="6">
        <v>255</v>
      </c>
      <c r="AJ1094" s="17">
        <v>1092</v>
      </c>
      <c r="AK1094" s="6">
        <v>5.7786799999999996</v>
      </c>
      <c r="AL1094" s="6">
        <v>4.2484999999999999</v>
      </c>
      <c r="AM1094" s="6">
        <v>2.9344000000000001</v>
      </c>
      <c r="AN1094" s="6">
        <v>255</v>
      </c>
      <c r="AQ1094" s="17">
        <v>1092</v>
      </c>
      <c r="AR1094" s="6">
        <v>1.5860000000000001</v>
      </c>
      <c r="AS1094" s="6">
        <v>2.2755999999999998</v>
      </c>
      <c r="AT1094" s="6">
        <v>0.8054</v>
      </c>
      <c r="AU1094" s="6">
        <v>255</v>
      </c>
      <c r="AW1094" s="17">
        <v>1092</v>
      </c>
      <c r="AX1094" s="6">
        <v>0.83640000000000003</v>
      </c>
      <c r="AY1094" s="6">
        <v>2.2755999999999998</v>
      </c>
      <c r="AZ1094" s="6">
        <v>0.8054</v>
      </c>
      <c r="BA1094" s="6">
        <v>255</v>
      </c>
    </row>
    <row r="1095" spans="30:53" x14ac:dyDescent="0.25">
      <c r="AD1095" s="17">
        <v>1093</v>
      </c>
      <c r="AE1095" s="6">
        <v>3.0441500000000001</v>
      </c>
      <c r="AF1095" s="6">
        <v>2.4937999999999998</v>
      </c>
      <c r="AG1095" s="6">
        <v>2.9312</v>
      </c>
      <c r="AH1095" s="6">
        <v>255</v>
      </c>
      <c r="AJ1095" s="17">
        <v>1093</v>
      </c>
      <c r="AK1095" s="6">
        <v>5.7723800000000001</v>
      </c>
      <c r="AL1095" s="6">
        <v>2.4937999999999998</v>
      </c>
      <c r="AM1095" s="6">
        <v>2.9312</v>
      </c>
      <c r="AN1095" s="6">
        <v>255</v>
      </c>
      <c r="AQ1095" s="17">
        <v>1093</v>
      </c>
      <c r="AR1095" s="6">
        <v>1.58846</v>
      </c>
      <c r="AS1095" s="6">
        <v>1.8183</v>
      </c>
      <c r="AT1095" s="6">
        <v>0.80659999999999998</v>
      </c>
      <c r="AU1095" s="6">
        <v>255</v>
      </c>
      <c r="AW1095" s="17">
        <v>1093</v>
      </c>
      <c r="AX1095" s="6">
        <v>0.8377</v>
      </c>
      <c r="AY1095" s="6">
        <v>1.8183</v>
      </c>
      <c r="AZ1095" s="6">
        <v>0.80659999999999998</v>
      </c>
      <c r="BA1095" s="6">
        <v>255</v>
      </c>
    </row>
    <row r="1096" spans="30:53" x14ac:dyDescent="0.25">
      <c r="AD1096" s="17">
        <v>1094</v>
      </c>
      <c r="AE1096" s="6">
        <v>3.05802</v>
      </c>
      <c r="AF1096" s="6">
        <v>6.2150999999999996</v>
      </c>
      <c r="AG1096" s="6">
        <v>2.9445000000000001</v>
      </c>
      <c r="AH1096" s="6">
        <v>255</v>
      </c>
      <c r="AJ1096" s="17">
        <v>1094</v>
      </c>
      <c r="AK1096" s="6">
        <v>5.7986899999999997</v>
      </c>
      <c r="AL1096" s="6">
        <v>6.2150999999999996</v>
      </c>
      <c r="AM1096" s="6">
        <v>2.9445000000000001</v>
      </c>
      <c r="AN1096" s="6">
        <v>255</v>
      </c>
      <c r="AQ1096" s="17">
        <v>1094</v>
      </c>
      <c r="AR1096" s="6">
        <v>1.59996</v>
      </c>
      <c r="AS1096" s="6">
        <v>1.1344000000000001</v>
      </c>
      <c r="AT1096" s="6">
        <v>0.81240000000000001</v>
      </c>
      <c r="AU1096" s="6">
        <v>255</v>
      </c>
      <c r="AW1096" s="17">
        <v>1094</v>
      </c>
      <c r="AX1096" s="6">
        <v>0.84375999999999995</v>
      </c>
      <c r="AY1096" s="6">
        <v>1.1344000000000001</v>
      </c>
      <c r="AZ1096" s="6">
        <v>0.81240000000000001</v>
      </c>
      <c r="BA1096" s="6">
        <v>255</v>
      </c>
    </row>
    <row r="1097" spans="30:53" x14ac:dyDescent="0.25">
      <c r="AD1097" s="17">
        <v>1095</v>
      </c>
      <c r="AE1097" s="6">
        <v>3.0536500000000002</v>
      </c>
      <c r="AF1097" s="6">
        <v>14.718999999999999</v>
      </c>
      <c r="AG1097" s="6">
        <v>2.9403000000000001</v>
      </c>
      <c r="AH1097" s="6">
        <v>255</v>
      </c>
      <c r="AJ1097" s="17">
        <v>1095</v>
      </c>
      <c r="AK1097" s="6">
        <v>5.7903900000000004</v>
      </c>
      <c r="AL1097" s="6">
        <v>14.718999999999999</v>
      </c>
      <c r="AM1097" s="6">
        <v>2.9403000000000001</v>
      </c>
      <c r="AN1097" s="6">
        <v>255</v>
      </c>
      <c r="AQ1097" s="17">
        <v>1095</v>
      </c>
      <c r="AR1097" s="6">
        <v>1.60198</v>
      </c>
      <c r="AS1097" s="6">
        <v>4.0429000000000004</v>
      </c>
      <c r="AT1097" s="6">
        <v>0.8135</v>
      </c>
      <c r="AU1097" s="6">
        <v>255</v>
      </c>
      <c r="AW1097" s="17">
        <v>1095</v>
      </c>
      <c r="AX1097" s="6">
        <v>0.84482999999999997</v>
      </c>
      <c r="AY1097" s="6">
        <v>4.0429000000000004</v>
      </c>
      <c r="AZ1097" s="6">
        <v>0.8135</v>
      </c>
      <c r="BA1097" s="6">
        <v>255</v>
      </c>
    </row>
    <row r="1098" spans="30:53" x14ac:dyDescent="0.25">
      <c r="AD1098" s="17">
        <v>1096</v>
      </c>
      <c r="AE1098" s="6">
        <v>3.01268</v>
      </c>
      <c r="AF1098" s="19">
        <v>-6.1497999999999999</v>
      </c>
      <c r="AG1098" s="6">
        <v>2.9009</v>
      </c>
      <c r="AH1098" s="6">
        <v>255</v>
      </c>
      <c r="AJ1098" s="17">
        <v>1096</v>
      </c>
      <c r="AK1098" s="6">
        <v>5.7126999999999999</v>
      </c>
      <c r="AL1098" s="19">
        <v>-6.1497999999999999</v>
      </c>
      <c r="AM1098" s="6">
        <v>2.9009</v>
      </c>
      <c r="AN1098" s="6">
        <v>255</v>
      </c>
      <c r="AQ1098" s="17">
        <v>1096</v>
      </c>
      <c r="AR1098" s="6">
        <v>1.5767199999999999</v>
      </c>
      <c r="AS1098" s="19">
        <v>-2.3645</v>
      </c>
      <c r="AT1098" s="6">
        <v>0.80059999999999998</v>
      </c>
      <c r="AU1098" s="6">
        <v>255</v>
      </c>
      <c r="AW1098" s="17">
        <v>1096</v>
      </c>
      <c r="AX1098" s="6">
        <v>0.83150999999999997</v>
      </c>
      <c r="AY1098" s="19">
        <v>-2.3645</v>
      </c>
      <c r="AZ1098" s="6">
        <v>0.80059999999999998</v>
      </c>
      <c r="BA1098" s="6">
        <v>255</v>
      </c>
    </row>
    <row r="1099" spans="30:53" x14ac:dyDescent="0.25">
      <c r="AD1099" s="17">
        <v>1097</v>
      </c>
      <c r="AE1099" s="6">
        <v>3.0398499999999999</v>
      </c>
      <c r="AF1099" s="19">
        <v>-3.0249000000000001</v>
      </c>
      <c r="AG1099" s="6">
        <v>2.927</v>
      </c>
      <c r="AH1099" s="6">
        <v>255</v>
      </c>
      <c r="AJ1099" s="17">
        <v>1097</v>
      </c>
      <c r="AK1099" s="6">
        <v>5.7642199999999999</v>
      </c>
      <c r="AL1099" s="19">
        <v>-3.0249000000000001</v>
      </c>
      <c r="AM1099" s="6">
        <v>2.927</v>
      </c>
      <c r="AN1099" s="6">
        <v>255</v>
      </c>
      <c r="AQ1099" s="17">
        <v>1097</v>
      </c>
      <c r="AR1099" s="6">
        <v>1.5851200000000001</v>
      </c>
      <c r="AS1099" s="6">
        <v>8.6599999999999993E-3</v>
      </c>
      <c r="AT1099" s="6">
        <v>0.80489999999999995</v>
      </c>
      <c r="AU1099" s="6">
        <v>255</v>
      </c>
      <c r="AW1099" s="17">
        <v>1097</v>
      </c>
      <c r="AX1099" s="6">
        <v>0.83594000000000002</v>
      </c>
      <c r="AY1099" s="6">
        <v>8.6599999999999993E-3</v>
      </c>
      <c r="AZ1099" s="6">
        <v>0.80489999999999995</v>
      </c>
      <c r="BA1099" s="6">
        <v>255</v>
      </c>
    </row>
    <row r="1100" spans="30:53" x14ac:dyDescent="0.25">
      <c r="AD1100" s="17">
        <v>1098</v>
      </c>
      <c r="AE1100" s="6">
        <v>3.0395799999999999</v>
      </c>
      <c r="AF1100" s="19">
        <v>-0.70720000000000005</v>
      </c>
      <c r="AG1100" s="6">
        <v>2.9268000000000001</v>
      </c>
      <c r="AH1100" s="6">
        <v>255</v>
      </c>
      <c r="AJ1100" s="17">
        <v>1098</v>
      </c>
      <c r="AK1100" s="6">
        <v>5.7637200000000002</v>
      </c>
      <c r="AL1100" s="19">
        <v>-0.70720000000000005</v>
      </c>
      <c r="AM1100" s="6">
        <v>2.9268000000000001</v>
      </c>
      <c r="AN1100" s="6">
        <v>255</v>
      </c>
      <c r="AQ1100" s="17">
        <v>1098</v>
      </c>
      <c r="AR1100" s="6">
        <v>1.59585</v>
      </c>
      <c r="AS1100" s="19">
        <v>-0.25869999999999999</v>
      </c>
      <c r="AT1100" s="6">
        <v>0.81040000000000001</v>
      </c>
      <c r="AU1100" s="6">
        <v>255</v>
      </c>
      <c r="AW1100" s="17">
        <v>1098</v>
      </c>
      <c r="AX1100" s="6">
        <v>0.84160000000000001</v>
      </c>
      <c r="AY1100" s="19">
        <v>-0.25869999999999999</v>
      </c>
      <c r="AZ1100" s="6">
        <v>0.81040000000000001</v>
      </c>
      <c r="BA1100" s="6">
        <v>255</v>
      </c>
    </row>
    <row r="1101" spans="30:53" x14ac:dyDescent="0.25">
      <c r="AD1101" s="17">
        <v>1099</v>
      </c>
      <c r="AE1101" s="6">
        <v>3.06073</v>
      </c>
      <c r="AF1101" s="19">
        <v>-0.83030000000000004</v>
      </c>
      <c r="AG1101" s="6">
        <v>2.9470999999999998</v>
      </c>
      <c r="AH1101" s="6">
        <v>255</v>
      </c>
      <c r="AJ1101" s="17">
        <v>1099</v>
      </c>
      <c r="AK1101" s="6">
        <v>5.80382</v>
      </c>
      <c r="AL1101" s="19">
        <v>-0.83030000000000004</v>
      </c>
      <c r="AM1101" s="6">
        <v>2.9470999999999998</v>
      </c>
      <c r="AN1101" s="6">
        <v>255</v>
      </c>
      <c r="AQ1101" s="17">
        <v>1099</v>
      </c>
      <c r="AR1101" s="6">
        <v>1.6017699999999999</v>
      </c>
      <c r="AS1101" s="19">
        <v>-6.3499999999999997E-3</v>
      </c>
      <c r="AT1101" s="6">
        <v>0.81340000000000001</v>
      </c>
      <c r="AU1101" s="6">
        <v>255</v>
      </c>
      <c r="AW1101" s="17">
        <v>1099</v>
      </c>
      <c r="AX1101" s="6">
        <v>0.84472000000000003</v>
      </c>
      <c r="AY1101" s="19">
        <v>-6.3499999999999997E-3</v>
      </c>
      <c r="AZ1101" s="6">
        <v>0.81340000000000001</v>
      </c>
      <c r="BA1101" s="6">
        <v>255</v>
      </c>
    </row>
    <row r="1102" spans="30:53" x14ac:dyDescent="0.25">
      <c r="AD1102" s="17">
        <v>1100</v>
      </c>
      <c r="AE1102" s="6">
        <v>3.0644499999999999</v>
      </c>
      <c r="AF1102" s="19">
        <v>-4.3170000000000002</v>
      </c>
      <c r="AG1102" s="6">
        <v>2.9506999999999999</v>
      </c>
      <c r="AH1102" s="6">
        <v>255</v>
      </c>
      <c r="AJ1102" s="17">
        <v>1100</v>
      </c>
      <c r="AK1102" s="6">
        <v>5.81088</v>
      </c>
      <c r="AL1102" s="19">
        <v>-4.3170000000000002</v>
      </c>
      <c r="AM1102" s="6">
        <v>2.9506999999999999</v>
      </c>
      <c r="AN1102" s="6">
        <v>255</v>
      </c>
      <c r="AQ1102" s="17">
        <v>1100</v>
      </c>
      <c r="AR1102" s="6">
        <v>1.59304</v>
      </c>
      <c r="AS1102" s="19">
        <v>-1.3872</v>
      </c>
      <c r="AT1102" s="6">
        <v>0.80889999999999995</v>
      </c>
      <c r="AU1102" s="6">
        <v>255</v>
      </c>
      <c r="AW1102" s="17">
        <v>1100</v>
      </c>
      <c r="AX1102" s="6">
        <v>0.84011999999999998</v>
      </c>
      <c r="AY1102" s="19">
        <v>-1.3872</v>
      </c>
      <c r="AZ1102" s="6">
        <v>0.80889999999999995</v>
      </c>
      <c r="BA1102" s="6">
        <v>255</v>
      </c>
    </row>
    <row r="1103" spans="30:53" x14ac:dyDescent="0.25">
      <c r="AD1103" s="17">
        <v>1101</v>
      </c>
      <c r="AE1103" s="6">
        <v>3.02888</v>
      </c>
      <c r="AF1103" s="19">
        <v>-3.1293000000000002</v>
      </c>
      <c r="AG1103" s="6">
        <v>2.9165000000000001</v>
      </c>
      <c r="AH1103" s="6">
        <v>255</v>
      </c>
      <c r="AJ1103" s="17">
        <v>1101</v>
      </c>
      <c r="AK1103" s="6">
        <v>5.7434200000000004</v>
      </c>
      <c r="AL1103" s="19">
        <v>-3.1293000000000002</v>
      </c>
      <c r="AM1103" s="6">
        <v>2.9165000000000001</v>
      </c>
      <c r="AN1103" s="6">
        <v>255</v>
      </c>
      <c r="AQ1103" s="17">
        <v>1101</v>
      </c>
      <c r="AR1103" s="6">
        <v>1.5837699999999999</v>
      </c>
      <c r="AS1103" s="19">
        <v>-1.024</v>
      </c>
      <c r="AT1103" s="6">
        <v>0.80420000000000003</v>
      </c>
      <c r="AU1103" s="6">
        <v>255</v>
      </c>
      <c r="AW1103" s="17">
        <v>1101</v>
      </c>
      <c r="AX1103" s="6">
        <v>0.83521999999999996</v>
      </c>
      <c r="AY1103" s="19">
        <v>-1.024</v>
      </c>
      <c r="AZ1103" s="6">
        <v>0.80420000000000003</v>
      </c>
      <c r="BA1103" s="6">
        <v>255</v>
      </c>
    </row>
    <row r="1104" spans="30:53" x14ac:dyDescent="0.25">
      <c r="AD1104" s="17">
        <v>1102</v>
      </c>
      <c r="AE1104" s="6">
        <v>3.0400200000000002</v>
      </c>
      <c r="AF1104" s="19">
        <v>-2.5562</v>
      </c>
      <c r="AG1104" s="6">
        <v>2.9272</v>
      </c>
      <c r="AH1104" s="6">
        <v>255</v>
      </c>
      <c r="AJ1104" s="17">
        <v>1102</v>
      </c>
      <c r="AK1104" s="6">
        <v>5.7645499999999998</v>
      </c>
      <c r="AL1104" s="19">
        <v>-2.5562</v>
      </c>
      <c r="AM1104" s="6">
        <v>2.9272</v>
      </c>
      <c r="AN1104" s="6">
        <v>255</v>
      </c>
      <c r="AQ1104" s="17">
        <v>1102</v>
      </c>
      <c r="AR1104" s="6">
        <v>1.5873699999999999</v>
      </c>
      <c r="AS1104" s="19">
        <v>-0.48849999999999999</v>
      </c>
      <c r="AT1104" s="6">
        <v>0.80610000000000004</v>
      </c>
      <c r="AU1104" s="6">
        <v>255</v>
      </c>
      <c r="AW1104" s="17">
        <v>1102</v>
      </c>
      <c r="AX1104" s="6">
        <v>0.83711999999999998</v>
      </c>
      <c r="AY1104" s="19">
        <v>-0.48849999999999999</v>
      </c>
      <c r="AZ1104" s="6">
        <v>0.80610000000000004</v>
      </c>
      <c r="BA1104" s="6">
        <v>255</v>
      </c>
    </row>
    <row r="1105" spans="30:53" x14ac:dyDescent="0.25">
      <c r="AD1105" s="17">
        <v>1103</v>
      </c>
      <c r="AE1105" s="6">
        <v>3.04176</v>
      </c>
      <c r="AF1105" s="19">
        <v>-2.5329999999999999</v>
      </c>
      <c r="AG1105" s="6">
        <v>2.9289000000000001</v>
      </c>
      <c r="AH1105" s="6">
        <v>255</v>
      </c>
      <c r="AJ1105" s="17">
        <v>1103</v>
      </c>
      <c r="AK1105" s="6">
        <v>5.7678500000000001</v>
      </c>
      <c r="AL1105" s="19">
        <v>-2.5329999999999999</v>
      </c>
      <c r="AM1105" s="6">
        <v>2.9289000000000001</v>
      </c>
      <c r="AN1105" s="6">
        <v>255</v>
      </c>
      <c r="AQ1105" s="17">
        <v>1103</v>
      </c>
      <c r="AR1105" s="6">
        <v>1.5878000000000001</v>
      </c>
      <c r="AS1105" s="19">
        <v>-2.4340000000000001E-2</v>
      </c>
      <c r="AT1105" s="6">
        <v>0.80630000000000002</v>
      </c>
      <c r="AU1105" s="6">
        <v>255</v>
      </c>
      <c r="AW1105" s="17">
        <v>1103</v>
      </c>
      <c r="AX1105" s="6">
        <v>0.83735000000000004</v>
      </c>
      <c r="AY1105" s="19">
        <v>-2.4340000000000001E-2</v>
      </c>
      <c r="AZ1105" s="6">
        <v>0.80630000000000002</v>
      </c>
      <c r="BA1105" s="6">
        <v>255</v>
      </c>
    </row>
    <row r="1106" spans="30:53" x14ac:dyDescent="0.25">
      <c r="AD1106" s="17">
        <v>1104</v>
      </c>
      <c r="AE1106" s="6">
        <v>3.0656400000000001</v>
      </c>
      <c r="AF1106" s="19">
        <v>-3.5154000000000001</v>
      </c>
      <c r="AG1106" s="6">
        <v>2.9519000000000002</v>
      </c>
      <c r="AH1106" s="6">
        <v>255</v>
      </c>
      <c r="AJ1106" s="17">
        <v>1104</v>
      </c>
      <c r="AK1106" s="6">
        <v>5.8131300000000001</v>
      </c>
      <c r="AL1106" s="19">
        <v>-3.5154000000000001</v>
      </c>
      <c r="AM1106" s="6">
        <v>2.9519000000000002</v>
      </c>
      <c r="AN1106" s="6">
        <v>255</v>
      </c>
      <c r="AQ1106" s="17">
        <v>1104</v>
      </c>
      <c r="AR1106" s="6">
        <v>1.5962400000000001</v>
      </c>
      <c r="AS1106" s="19">
        <v>-1.1388</v>
      </c>
      <c r="AT1106" s="6">
        <v>0.81059999999999999</v>
      </c>
      <c r="AU1106" s="6">
        <v>255</v>
      </c>
      <c r="AW1106" s="17">
        <v>1104</v>
      </c>
      <c r="AX1106" s="6">
        <v>0.84179999999999999</v>
      </c>
      <c r="AY1106" s="19">
        <v>-1.1388</v>
      </c>
      <c r="AZ1106" s="6">
        <v>0.81059999999999999</v>
      </c>
      <c r="BA1106" s="6">
        <v>255</v>
      </c>
    </row>
    <row r="1107" spans="30:53" x14ac:dyDescent="0.25">
      <c r="AD1107" s="17">
        <v>1105</v>
      </c>
      <c r="AE1107" s="6">
        <v>3.0456799999999999</v>
      </c>
      <c r="AF1107" s="6">
        <v>4.0743</v>
      </c>
      <c r="AG1107" s="6">
        <v>2.9325999999999999</v>
      </c>
      <c r="AH1107" s="6">
        <v>255</v>
      </c>
      <c r="AJ1107" s="17">
        <v>1105</v>
      </c>
      <c r="AK1107" s="6">
        <v>5.7752699999999999</v>
      </c>
      <c r="AL1107" s="6">
        <v>4.0743</v>
      </c>
      <c r="AM1107" s="6">
        <v>2.9325999999999999</v>
      </c>
      <c r="AN1107" s="6">
        <v>255</v>
      </c>
      <c r="AQ1107" s="17">
        <v>1105</v>
      </c>
      <c r="AR1107" s="6">
        <v>1.5970599999999999</v>
      </c>
      <c r="AS1107" s="6">
        <v>0.23669999999999999</v>
      </c>
      <c r="AT1107" s="6">
        <v>0.81100000000000005</v>
      </c>
      <c r="AU1107" s="6">
        <v>255</v>
      </c>
      <c r="AW1107" s="17">
        <v>1105</v>
      </c>
      <c r="AX1107" s="6">
        <v>0.84223000000000003</v>
      </c>
      <c r="AY1107" s="6">
        <v>0.23669999999999999</v>
      </c>
      <c r="AZ1107" s="6">
        <v>0.81100000000000005</v>
      </c>
      <c r="BA1107" s="6">
        <v>255</v>
      </c>
    </row>
    <row r="1108" spans="30:53" x14ac:dyDescent="0.25">
      <c r="AD1108" s="17">
        <v>1106</v>
      </c>
      <c r="AE1108" s="6">
        <v>3.0337700000000001</v>
      </c>
      <c r="AF1108" s="19">
        <v>-1.9661</v>
      </c>
      <c r="AG1108" s="6">
        <v>2.9211999999999998</v>
      </c>
      <c r="AH1108" s="6">
        <v>255</v>
      </c>
      <c r="AJ1108" s="17">
        <v>1106</v>
      </c>
      <c r="AK1108" s="6">
        <v>5.7526900000000003</v>
      </c>
      <c r="AL1108" s="19">
        <v>-1.9661</v>
      </c>
      <c r="AM1108" s="6">
        <v>2.9211999999999998</v>
      </c>
      <c r="AN1108" s="6">
        <v>255</v>
      </c>
      <c r="AQ1108" s="17">
        <v>1106</v>
      </c>
      <c r="AR1108" s="6">
        <v>1.58396</v>
      </c>
      <c r="AS1108" s="19">
        <v>-1.1327</v>
      </c>
      <c r="AT1108" s="6">
        <v>0.80430000000000001</v>
      </c>
      <c r="AU1108" s="6">
        <v>255</v>
      </c>
      <c r="AW1108" s="17">
        <v>1106</v>
      </c>
      <c r="AX1108" s="6">
        <v>0.83531999999999995</v>
      </c>
      <c r="AY1108" s="19">
        <v>-1.1327</v>
      </c>
      <c r="AZ1108" s="6">
        <v>0.80430000000000001</v>
      </c>
      <c r="BA1108" s="6">
        <v>255</v>
      </c>
    </row>
    <row r="1109" spans="30:53" x14ac:dyDescent="0.25">
      <c r="AD1109" s="17">
        <v>1107</v>
      </c>
      <c r="AE1109" s="6">
        <v>3.0457399999999999</v>
      </c>
      <c r="AF1109" s="6">
        <v>6.7977999999999996</v>
      </c>
      <c r="AG1109" s="6">
        <v>2.9327000000000001</v>
      </c>
      <c r="AH1109" s="6">
        <v>255</v>
      </c>
      <c r="AJ1109" s="17">
        <v>1107</v>
      </c>
      <c r="AK1109" s="6">
        <v>5.7753899999999998</v>
      </c>
      <c r="AL1109" s="6">
        <v>6.7977999999999996</v>
      </c>
      <c r="AM1109" s="6">
        <v>2.9327000000000001</v>
      </c>
      <c r="AN1109" s="6">
        <v>255</v>
      </c>
      <c r="AQ1109" s="17">
        <v>1107</v>
      </c>
      <c r="AR1109" s="6">
        <v>1.5967</v>
      </c>
      <c r="AS1109" s="6">
        <v>1.3587</v>
      </c>
      <c r="AT1109" s="6">
        <v>0.81079999999999997</v>
      </c>
      <c r="AU1109" s="6">
        <v>255</v>
      </c>
      <c r="AW1109" s="17">
        <v>1107</v>
      </c>
      <c r="AX1109" s="6">
        <v>0.84204000000000001</v>
      </c>
      <c r="AY1109" s="6">
        <v>1.3587</v>
      </c>
      <c r="AZ1109" s="6">
        <v>0.81079999999999997</v>
      </c>
      <c r="BA1109" s="6">
        <v>255</v>
      </c>
    </row>
    <row r="1110" spans="30:53" x14ac:dyDescent="0.25">
      <c r="AD1110" s="17">
        <v>1108</v>
      </c>
      <c r="AE1110" s="6">
        <v>3.0438000000000001</v>
      </c>
      <c r="AF1110" s="6">
        <v>1.3674999999999999</v>
      </c>
      <c r="AG1110" s="6">
        <v>2.9308000000000001</v>
      </c>
      <c r="AH1110" s="6">
        <v>255</v>
      </c>
      <c r="AJ1110" s="17">
        <v>1108</v>
      </c>
      <c r="AK1110" s="6">
        <v>5.7717200000000002</v>
      </c>
      <c r="AL1110" s="6">
        <v>1.3674999999999999</v>
      </c>
      <c r="AM1110" s="6">
        <v>2.9308000000000001</v>
      </c>
      <c r="AN1110" s="6">
        <v>255</v>
      </c>
      <c r="AQ1110" s="17">
        <v>1108</v>
      </c>
      <c r="AR1110" s="6">
        <v>1.58789</v>
      </c>
      <c r="AS1110" s="6">
        <v>1.8120000000000001E-2</v>
      </c>
      <c r="AT1110" s="6">
        <v>0.80630000000000002</v>
      </c>
      <c r="AU1110" s="6">
        <v>255</v>
      </c>
      <c r="AW1110" s="17">
        <v>1108</v>
      </c>
      <c r="AX1110" s="6">
        <v>0.83740000000000003</v>
      </c>
      <c r="AY1110" s="6">
        <v>1.8120000000000001E-2</v>
      </c>
      <c r="AZ1110" s="6">
        <v>0.80630000000000002</v>
      </c>
      <c r="BA1110" s="6">
        <v>255</v>
      </c>
    </row>
    <row r="1111" spans="30:53" x14ac:dyDescent="0.25">
      <c r="AD1111" s="17">
        <v>1109</v>
      </c>
      <c r="AE1111" s="6">
        <v>3.0625200000000001</v>
      </c>
      <c r="AF1111" s="19">
        <v>-0.89270000000000005</v>
      </c>
      <c r="AG1111" s="6">
        <v>2.9489000000000001</v>
      </c>
      <c r="AH1111" s="6">
        <v>255</v>
      </c>
      <c r="AJ1111" s="17">
        <v>1109</v>
      </c>
      <c r="AK1111" s="6">
        <v>5.8072100000000004</v>
      </c>
      <c r="AL1111" s="19">
        <v>-0.89270000000000005</v>
      </c>
      <c r="AM1111" s="6">
        <v>2.9489000000000001</v>
      </c>
      <c r="AN1111" s="6">
        <v>255</v>
      </c>
      <c r="AQ1111" s="17">
        <v>1109</v>
      </c>
      <c r="AR1111" s="6">
        <v>1.6004499999999999</v>
      </c>
      <c r="AS1111" s="6">
        <v>0.18820000000000001</v>
      </c>
      <c r="AT1111" s="6">
        <v>0.81269999999999998</v>
      </c>
      <c r="AU1111" s="6">
        <v>255</v>
      </c>
      <c r="AW1111" s="17">
        <v>1109</v>
      </c>
      <c r="AX1111" s="6">
        <v>0.84401999999999999</v>
      </c>
      <c r="AY1111" s="6">
        <v>0.18820000000000001</v>
      </c>
      <c r="AZ1111" s="6">
        <v>0.81269999999999998</v>
      </c>
      <c r="BA1111" s="6">
        <v>255</v>
      </c>
    </row>
    <row r="1112" spans="30:53" x14ac:dyDescent="0.25">
      <c r="AD1112" s="17">
        <v>1110</v>
      </c>
      <c r="AE1112" s="6">
        <v>3.0436800000000002</v>
      </c>
      <c r="AF1112" s="6">
        <v>0.35770000000000002</v>
      </c>
      <c r="AG1112" s="6">
        <v>2.9306999999999999</v>
      </c>
      <c r="AH1112" s="6">
        <v>255</v>
      </c>
      <c r="AJ1112" s="17">
        <v>1110</v>
      </c>
      <c r="AK1112" s="6">
        <v>5.7714800000000004</v>
      </c>
      <c r="AL1112" s="6">
        <v>0.35770000000000002</v>
      </c>
      <c r="AM1112" s="6">
        <v>2.9306999999999999</v>
      </c>
      <c r="AN1112" s="6">
        <v>255</v>
      </c>
      <c r="AQ1112" s="17">
        <v>1110</v>
      </c>
      <c r="AR1112" s="6">
        <v>1.5962000000000001</v>
      </c>
      <c r="AS1112" s="19">
        <v>-0.22520000000000001</v>
      </c>
      <c r="AT1112" s="6">
        <v>0.8105</v>
      </c>
      <c r="AU1112" s="6">
        <v>255</v>
      </c>
      <c r="AW1112" s="17">
        <v>1110</v>
      </c>
      <c r="AX1112" s="6">
        <v>0.84177999999999997</v>
      </c>
      <c r="AY1112" s="19">
        <v>-0.22520000000000001</v>
      </c>
      <c r="AZ1112" s="6">
        <v>0.8105</v>
      </c>
      <c r="BA1112" s="6">
        <v>255</v>
      </c>
    </row>
    <row r="1113" spans="30:53" x14ac:dyDescent="0.25">
      <c r="AD1113" s="17">
        <v>1111</v>
      </c>
      <c r="AE1113" s="6">
        <v>3.04956</v>
      </c>
      <c r="AF1113" s="6">
        <v>6.2449999999999999E-2</v>
      </c>
      <c r="AG1113" s="6">
        <v>2.9363999999999999</v>
      </c>
      <c r="AH1113" s="6">
        <v>255</v>
      </c>
      <c r="AJ1113" s="17">
        <v>1111</v>
      </c>
      <c r="AK1113" s="6">
        <v>5.7826300000000002</v>
      </c>
      <c r="AL1113" s="6">
        <v>6.2449999999999999E-2</v>
      </c>
      <c r="AM1113" s="6">
        <v>2.9363999999999999</v>
      </c>
      <c r="AN1113" s="6">
        <v>255</v>
      </c>
      <c r="AQ1113" s="17">
        <v>1111</v>
      </c>
      <c r="AR1113" s="6">
        <v>1.60087</v>
      </c>
      <c r="AS1113" s="19">
        <v>-1.4449000000000001</v>
      </c>
      <c r="AT1113" s="6">
        <v>0.81289999999999996</v>
      </c>
      <c r="AU1113" s="6">
        <v>255</v>
      </c>
      <c r="AW1113" s="17">
        <v>1111</v>
      </c>
      <c r="AX1113" s="6">
        <v>0.84423999999999999</v>
      </c>
      <c r="AY1113" s="19">
        <v>-1.4449000000000001</v>
      </c>
      <c r="AZ1113" s="6">
        <v>0.81289999999999996</v>
      </c>
      <c r="BA1113" s="6">
        <v>255</v>
      </c>
    </row>
    <row r="1114" spans="30:53" x14ac:dyDescent="0.25">
      <c r="AD1114" s="17">
        <v>1112</v>
      </c>
      <c r="AE1114" s="6">
        <v>3.0560800000000001</v>
      </c>
      <c r="AF1114" s="6">
        <v>5.5006000000000004</v>
      </c>
      <c r="AG1114" s="6">
        <v>2.9426999999999999</v>
      </c>
      <c r="AH1114" s="6">
        <v>255</v>
      </c>
      <c r="AJ1114" s="17">
        <v>1112</v>
      </c>
      <c r="AK1114" s="6">
        <v>5.7949999999999999</v>
      </c>
      <c r="AL1114" s="6">
        <v>5.5006000000000004</v>
      </c>
      <c r="AM1114" s="6">
        <v>2.9426999999999999</v>
      </c>
      <c r="AN1114" s="6">
        <v>255</v>
      </c>
      <c r="AQ1114" s="17">
        <v>1112</v>
      </c>
      <c r="AR1114" s="6">
        <v>1.5939700000000001</v>
      </c>
      <c r="AS1114" s="6">
        <v>1.4923999999999999</v>
      </c>
      <c r="AT1114" s="6">
        <v>0.80940000000000001</v>
      </c>
      <c r="AU1114" s="6">
        <v>255</v>
      </c>
      <c r="AW1114" s="17">
        <v>1112</v>
      </c>
      <c r="AX1114" s="6">
        <v>0.84060000000000001</v>
      </c>
      <c r="AY1114" s="6">
        <v>1.4923999999999999</v>
      </c>
      <c r="AZ1114" s="6">
        <v>0.80940000000000001</v>
      </c>
      <c r="BA1114" s="6">
        <v>255</v>
      </c>
    </row>
    <row r="1115" spans="30:53" x14ac:dyDescent="0.25">
      <c r="AD1115" s="17">
        <v>1113</v>
      </c>
      <c r="AE1115" s="6">
        <v>3.0375100000000002</v>
      </c>
      <c r="AF1115" s="6">
        <v>2.3548</v>
      </c>
      <c r="AG1115" s="6">
        <v>2.9247999999999998</v>
      </c>
      <c r="AH1115" s="6">
        <v>255</v>
      </c>
      <c r="AJ1115" s="17">
        <v>1113</v>
      </c>
      <c r="AK1115" s="6">
        <v>5.7597800000000001</v>
      </c>
      <c r="AL1115" s="6">
        <v>2.3548</v>
      </c>
      <c r="AM1115" s="6">
        <v>2.9247999999999998</v>
      </c>
      <c r="AN1115" s="6">
        <v>255</v>
      </c>
      <c r="AQ1115" s="17">
        <v>1113</v>
      </c>
      <c r="AR1115" s="6">
        <v>1.5844100000000001</v>
      </c>
      <c r="AS1115" s="6">
        <v>1.3461000000000001</v>
      </c>
      <c r="AT1115" s="6">
        <v>0.80449999999999999</v>
      </c>
      <c r="AU1115" s="6">
        <v>255</v>
      </c>
      <c r="AW1115" s="17">
        <v>1113</v>
      </c>
      <c r="AX1115" s="6">
        <v>0.83555999999999997</v>
      </c>
      <c r="AY1115" s="6">
        <v>1.3461000000000001</v>
      </c>
      <c r="AZ1115" s="6">
        <v>0.80449999999999999</v>
      </c>
      <c r="BA1115" s="6">
        <v>255</v>
      </c>
    </row>
    <row r="1116" spans="30:53" x14ac:dyDescent="0.25">
      <c r="AD1116" s="17">
        <v>1114</v>
      </c>
      <c r="AE1116" s="6">
        <v>3.0508099999999998</v>
      </c>
      <c r="AF1116" s="6">
        <v>0.60009999999999997</v>
      </c>
      <c r="AG1116" s="6">
        <v>2.9376000000000002</v>
      </c>
      <c r="AH1116" s="6">
        <v>255</v>
      </c>
      <c r="AJ1116" s="17">
        <v>1114</v>
      </c>
      <c r="AK1116" s="6">
        <v>5.7850000000000001</v>
      </c>
      <c r="AL1116" s="6">
        <v>0.60009999999999997</v>
      </c>
      <c r="AM1116" s="6">
        <v>2.9376000000000002</v>
      </c>
      <c r="AN1116" s="6">
        <v>255</v>
      </c>
      <c r="AQ1116" s="17">
        <v>1114</v>
      </c>
      <c r="AR1116" s="6">
        <v>1.5931</v>
      </c>
      <c r="AS1116" s="6">
        <v>0.88870000000000005</v>
      </c>
      <c r="AT1116" s="6">
        <v>0.80900000000000005</v>
      </c>
      <c r="AU1116" s="6">
        <v>255</v>
      </c>
      <c r="AW1116" s="17">
        <v>1114</v>
      </c>
      <c r="AX1116" s="6">
        <v>0.84014</v>
      </c>
      <c r="AY1116" s="6">
        <v>0.88870000000000005</v>
      </c>
      <c r="AZ1116" s="6">
        <v>0.80900000000000005</v>
      </c>
      <c r="BA1116" s="6">
        <v>255</v>
      </c>
    </row>
    <row r="1117" spans="30:53" x14ac:dyDescent="0.25">
      <c r="AD1117" s="17">
        <v>1115</v>
      </c>
      <c r="AE1117" s="6">
        <v>3.0597699999999999</v>
      </c>
      <c r="AF1117" s="6">
        <v>4.3213999999999997</v>
      </c>
      <c r="AG1117" s="6">
        <v>2.9462000000000002</v>
      </c>
      <c r="AH1117" s="6">
        <v>255</v>
      </c>
      <c r="AJ1117" s="17">
        <v>1115</v>
      </c>
      <c r="AK1117" s="6">
        <v>5.8019999999999996</v>
      </c>
      <c r="AL1117" s="6">
        <v>4.3213999999999997</v>
      </c>
      <c r="AM1117" s="6">
        <v>2.9462000000000002</v>
      </c>
      <c r="AN1117" s="6">
        <v>255</v>
      </c>
      <c r="AQ1117" s="17">
        <v>1115</v>
      </c>
      <c r="AR1117" s="6">
        <v>1.5997699999999999</v>
      </c>
      <c r="AS1117" s="6">
        <v>0.20480000000000001</v>
      </c>
      <c r="AT1117" s="6">
        <v>0.81240000000000001</v>
      </c>
      <c r="AU1117" s="6">
        <v>255</v>
      </c>
      <c r="AW1117" s="17">
        <v>1115</v>
      </c>
      <c r="AX1117" s="6">
        <v>0.84365999999999997</v>
      </c>
      <c r="AY1117" s="6">
        <v>0.20480000000000001</v>
      </c>
      <c r="AZ1117" s="6">
        <v>0.81240000000000001</v>
      </c>
      <c r="BA1117" s="6">
        <v>255</v>
      </c>
    </row>
    <row r="1118" spans="30:53" x14ac:dyDescent="0.25">
      <c r="AD1118" s="17">
        <v>1116</v>
      </c>
      <c r="AE1118" s="6">
        <v>3.0382099999999999</v>
      </c>
      <c r="AF1118" s="6">
        <v>12.8254</v>
      </c>
      <c r="AG1118" s="6">
        <v>2.9255</v>
      </c>
      <c r="AH1118" s="6">
        <v>255</v>
      </c>
      <c r="AJ1118" s="17">
        <v>1116</v>
      </c>
      <c r="AK1118" s="6">
        <v>5.76112</v>
      </c>
      <c r="AL1118" s="6">
        <v>12.8254</v>
      </c>
      <c r="AM1118" s="6">
        <v>2.9255</v>
      </c>
      <c r="AN1118" s="6">
        <v>255</v>
      </c>
      <c r="AQ1118" s="17">
        <v>1116</v>
      </c>
      <c r="AR1118" s="6">
        <v>1.59504</v>
      </c>
      <c r="AS1118" s="6">
        <v>3.1133999999999999</v>
      </c>
      <c r="AT1118" s="6">
        <v>0.80989999999999995</v>
      </c>
      <c r="AU1118" s="6">
        <v>255</v>
      </c>
      <c r="AW1118" s="17">
        <v>1116</v>
      </c>
      <c r="AX1118" s="6">
        <v>0.84116999999999997</v>
      </c>
      <c r="AY1118" s="6">
        <v>3.1133999999999999</v>
      </c>
      <c r="AZ1118" s="6">
        <v>0.80989999999999995</v>
      </c>
      <c r="BA1118" s="6">
        <v>255</v>
      </c>
    </row>
    <row r="1119" spans="30:53" x14ac:dyDescent="0.25">
      <c r="AD1119" s="17">
        <v>1117</v>
      </c>
      <c r="AE1119" s="6">
        <v>3.07003</v>
      </c>
      <c r="AF1119" s="6">
        <v>3.1248999999999998</v>
      </c>
      <c r="AG1119" s="6">
        <v>2.9561000000000002</v>
      </c>
      <c r="AH1119" s="6">
        <v>255</v>
      </c>
      <c r="AJ1119" s="17">
        <v>1117</v>
      </c>
      <c r="AK1119" s="6">
        <v>5.8214600000000001</v>
      </c>
      <c r="AL1119" s="6">
        <v>3.1248999999999998</v>
      </c>
      <c r="AM1119" s="6">
        <v>2.9561000000000002</v>
      </c>
      <c r="AN1119" s="6">
        <v>255</v>
      </c>
      <c r="AQ1119" s="17">
        <v>1117</v>
      </c>
      <c r="AR1119" s="6">
        <v>1.5974600000000001</v>
      </c>
      <c r="AS1119" s="6">
        <v>2.3731</v>
      </c>
      <c r="AT1119" s="6">
        <v>0.81120000000000003</v>
      </c>
      <c r="AU1119" s="6">
        <v>255</v>
      </c>
      <c r="AW1119" s="17">
        <v>1117</v>
      </c>
      <c r="AX1119" s="6">
        <v>0.84243999999999997</v>
      </c>
      <c r="AY1119" s="6">
        <v>2.3731</v>
      </c>
      <c r="AZ1119" s="6">
        <v>0.81120000000000003</v>
      </c>
      <c r="BA1119" s="6">
        <v>255</v>
      </c>
    </row>
    <row r="1120" spans="30:53" x14ac:dyDescent="0.25">
      <c r="AD1120" s="17">
        <v>1118</v>
      </c>
      <c r="AE1120" s="6">
        <v>3.0762900000000002</v>
      </c>
      <c r="AF1120" s="6">
        <v>5.4425999999999997</v>
      </c>
      <c r="AG1120" s="6">
        <v>2.9621</v>
      </c>
      <c r="AH1120" s="6">
        <v>255</v>
      </c>
      <c r="AJ1120" s="17">
        <v>1118</v>
      </c>
      <c r="AK1120" s="6">
        <v>5.8333300000000001</v>
      </c>
      <c r="AL1120" s="6">
        <v>5.4425999999999997</v>
      </c>
      <c r="AM1120" s="6">
        <v>2.9621</v>
      </c>
      <c r="AN1120" s="6">
        <v>255</v>
      </c>
      <c r="AQ1120" s="17">
        <v>1118</v>
      </c>
      <c r="AR1120" s="6">
        <v>1.6099600000000001</v>
      </c>
      <c r="AS1120" s="6">
        <v>2.1057000000000001</v>
      </c>
      <c r="AT1120" s="6">
        <v>0.8175</v>
      </c>
      <c r="AU1120" s="6">
        <v>255</v>
      </c>
      <c r="AW1120" s="17">
        <v>1118</v>
      </c>
      <c r="AX1120" s="6">
        <v>0.84902999999999995</v>
      </c>
      <c r="AY1120" s="6">
        <v>2.1057000000000001</v>
      </c>
      <c r="AZ1120" s="6">
        <v>0.8175</v>
      </c>
      <c r="BA1120" s="6">
        <v>255</v>
      </c>
    </row>
    <row r="1121" spans="30:53" x14ac:dyDescent="0.25">
      <c r="AD1121" s="17">
        <v>1119</v>
      </c>
      <c r="AE1121" s="6">
        <v>3.0654300000000001</v>
      </c>
      <c r="AF1121" s="6">
        <v>5.3194999999999997</v>
      </c>
      <c r="AG1121" s="6">
        <v>2.9517000000000002</v>
      </c>
      <c r="AH1121" s="6">
        <v>255</v>
      </c>
      <c r="AJ1121" s="17">
        <v>1119</v>
      </c>
      <c r="AK1121" s="6">
        <v>5.8127399999999998</v>
      </c>
      <c r="AL1121" s="6">
        <v>5.3194999999999997</v>
      </c>
      <c r="AM1121" s="6">
        <v>2.9517000000000002</v>
      </c>
      <c r="AN1121" s="6">
        <v>255</v>
      </c>
      <c r="AQ1121" s="17">
        <v>1119</v>
      </c>
      <c r="AR1121" s="6">
        <v>1.60893</v>
      </c>
      <c r="AS1121" s="6">
        <v>2.3580999999999999</v>
      </c>
      <c r="AT1121" s="6">
        <v>0.81699999999999995</v>
      </c>
      <c r="AU1121" s="6">
        <v>255</v>
      </c>
      <c r="AW1121" s="17">
        <v>1119</v>
      </c>
      <c r="AX1121" s="6">
        <v>0.84848999999999997</v>
      </c>
      <c r="AY1121" s="6">
        <v>2.3580999999999999</v>
      </c>
      <c r="AZ1121" s="6">
        <v>0.81699999999999995</v>
      </c>
      <c r="BA1121" s="6">
        <v>255</v>
      </c>
    </row>
    <row r="1122" spans="30:53" x14ac:dyDescent="0.25">
      <c r="AD1122" s="17">
        <v>1120</v>
      </c>
      <c r="AE1122" s="6">
        <v>3.0720000000000001</v>
      </c>
      <c r="AF1122" s="6">
        <v>1.8328</v>
      </c>
      <c r="AG1122" s="6">
        <v>2.9580000000000002</v>
      </c>
      <c r="AH1122" s="6">
        <v>255</v>
      </c>
      <c r="AJ1122" s="17">
        <v>1120</v>
      </c>
      <c r="AK1122" s="6">
        <v>5.8251999999999997</v>
      </c>
      <c r="AL1122" s="6">
        <v>1.8328</v>
      </c>
      <c r="AM1122" s="6">
        <v>2.9580000000000002</v>
      </c>
      <c r="AN1122" s="6">
        <v>255</v>
      </c>
      <c r="AQ1122" s="17">
        <v>1120</v>
      </c>
      <c r="AR1122" s="6">
        <v>1.5980799999999999</v>
      </c>
      <c r="AS1122" s="6">
        <v>0.97729999999999995</v>
      </c>
      <c r="AT1122" s="6">
        <v>0.8115</v>
      </c>
      <c r="AU1122" s="6">
        <v>255</v>
      </c>
      <c r="AW1122" s="17">
        <v>1120</v>
      </c>
      <c r="AX1122" s="6">
        <v>0.84277000000000002</v>
      </c>
      <c r="AY1122" s="6">
        <v>0.97729999999999995</v>
      </c>
      <c r="AZ1122" s="6">
        <v>0.8115</v>
      </c>
      <c r="BA1122" s="6">
        <v>255</v>
      </c>
    </row>
    <row r="1123" spans="30:53" x14ac:dyDescent="0.25">
      <c r="AD1123" s="17">
        <v>1121</v>
      </c>
      <c r="AE1123" s="6">
        <v>3.0594800000000002</v>
      </c>
      <c r="AF1123" s="6">
        <v>3.0205000000000002</v>
      </c>
      <c r="AG1123" s="6">
        <v>2.9459</v>
      </c>
      <c r="AH1123" s="6">
        <v>255</v>
      </c>
      <c r="AJ1123" s="17">
        <v>1121</v>
      </c>
      <c r="AK1123" s="6">
        <v>5.80145</v>
      </c>
      <c r="AL1123" s="6">
        <v>3.0205000000000002</v>
      </c>
      <c r="AM1123" s="6">
        <v>2.9459</v>
      </c>
      <c r="AN1123" s="6">
        <v>255</v>
      </c>
      <c r="AQ1123" s="17">
        <v>1121</v>
      </c>
      <c r="AR1123" s="6">
        <v>1.59751</v>
      </c>
      <c r="AS1123" s="6">
        <v>1.3405</v>
      </c>
      <c r="AT1123" s="6">
        <v>0.81120000000000003</v>
      </c>
      <c r="AU1123" s="6">
        <v>255</v>
      </c>
      <c r="AW1123" s="17">
        <v>1121</v>
      </c>
      <c r="AX1123" s="6">
        <v>0.84247000000000005</v>
      </c>
      <c r="AY1123" s="6">
        <v>1.3405</v>
      </c>
      <c r="AZ1123" s="6">
        <v>0.81120000000000003</v>
      </c>
      <c r="BA1123" s="6">
        <v>255</v>
      </c>
    </row>
    <row r="1124" spans="30:53" x14ac:dyDescent="0.25">
      <c r="AD1124" s="17">
        <v>1122</v>
      </c>
      <c r="AE1124" s="6">
        <v>3.0544199999999999</v>
      </c>
      <c r="AF1124" s="6">
        <v>3.5935000000000001</v>
      </c>
      <c r="AG1124" s="6">
        <v>2.9411</v>
      </c>
      <c r="AH1124" s="6">
        <v>255</v>
      </c>
      <c r="AJ1124" s="17">
        <v>1122</v>
      </c>
      <c r="AK1124" s="6">
        <v>5.7918500000000002</v>
      </c>
      <c r="AL1124" s="6">
        <v>3.5935000000000001</v>
      </c>
      <c r="AM1124" s="6">
        <v>2.9411</v>
      </c>
      <c r="AN1124" s="6">
        <v>255</v>
      </c>
      <c r="AQ1124" s="17">
        <v>1122</v>
      </c>
      <c r="AR1124" s="6">
        <v>1.59636</v>
      </c>
      <c r="AS1124" s="6">
        <v>1.8759999999999999</v>
      </c>
      <c r="AT1124" s="6">
        <v>0.81059999999999999</v>
      </c>
      <c r="AU1124" s="6">
        <v>255</v>
      </c>
      <c r="AW1124" s="17">
        <v>1122</v>
      </c>
      <c r="AX1124" s="6">
        <v>0.84187000000000001</v>
      </c>
      <c r="AY1124" s="6">
        <v>1.8759999999999999</v>
      </c>
      <c r="AZ1124" s="6">
        <v>0.81059999999999999</v>
      </c>
      <c r="BA1124" s="6">
        <v>255</v>
      </c>
    </row>
    <row r="1125" spans="30:53" x14ac:dyDescent="0.25">
      <c r="AD1125" s="17">
        <v>1123</v>
      </c>
      <c r="AE1125" s="6">
        <v>3.0542799999999999</v>
      </c>
      <c r="AF1125" s="6">
        <v>3.6166999999999998</v>
      </c>
      <c r="AG1125" s="6">
        <v>2.9409000000000001</v>
      </c>
      <c r="AH1125" s="6">
        <v>255</v>
      </c>
      <c r="AJ1125" s="17">
        <v>1123</v>
      </c>
      <c r="AK1125" s="6">
        <v>5.7915799999999997</v>
      </c>
      <c r="AL1125" s="6">
        <v>3.6166999999999998</v>
      </c>
      <c r="AM1125" s="6">
        <v>2.9409000000000001</v>
      </c>
      <c r="AN1125" s="6">
        <v>255</v>
      </c>
      <c r="AQ1125" s="17">
        <v>1123</v>
      </c>
      <c r="AR1125" s="6">
        <v>1.5961000000000001</v>
      </c>
      <c r="AS1125" s="6">
        <v>2.3401000000000001</v>
      </c>
      <c r="AT1125" s="6">
        <v>0.8105</v>
      </c>
      <c r="AU1125" s="6">
        <v>255</v>
      </c>
      <c r="AW1125" s="17">
        <v>1123</v>
      </c>
      <c r="AX1125" s="6">
        <v>0.84172999999999998</v>
      </c>
      <c r="AY1125" s="6">
        <v>2.3401000000000001</v>
      </c>
      <c r="AZ1125" s="6">
        <v>0.8105</v>
      </c>
      <c r="BA1125" s="6">
        <v>255</v>
      </c>
    </row>
    <row r="1126" spans="30:53" x14ac:dyDescent="0.25">
      <c r="AD1126" s="17">
        <v>1124</v>
      </c>
      <c r="AE1126" s="6">
        <v>3.06019</v>
      </c>
      <c r="AF1126" s="6">
        <v>2.6343000000000001</v>
      </c>
      <c r="AG1126" s="6">
        <v>2.9466000000000001</v>
      </c>
      <c r="AH1126" s="6">
        <v>255</v>
      </c>
      <c r="AJ1126" s="17">
        <v>1124</v>
      </c>
      <c r="AK1126" s="6">
        <v>5.8028000000000004</v>
      </c>
      <c r="AL1126" s="6">
        <v>2.6343000000000001</v>
      </c>
      <c r="AM1126" s="6">
        <v>2.9466000000000001</v>
      </c>
      <c r="AN1126" s="6">
        <v>255</v>
      </c>
      <c r="AQ1126" s="17">
        <v>1124</v>
      </c>
      <c r="AR1126" s="6">
        <v>1.59832</v>
      </c>
      <c r="AS1126" s="6">
        <v>1.2257</v>
      </c>
      <c r="AT1126" s="6">
        <v>0.81159999999999999</v>
      </c>
      <c r="AU1126" s="6">
        <v>255</v>
      </c>
      <c r="AW1126" s="17">
        <v>1124</v>
      </c>
      <c r="AX1126" s="6">
        <v>0.84289999999999998</v>
      </c>
      <c r="AY1126" s="6">
        <v>1.2257</v>
      </c>
      <c r="AZ1126" s="6">
        <v>0.81159999999999999</v>
      </c>
      <c r="BA1126" s="6">
        <v>255</v>
      </c>
    </row>
    <row r="1127" spans="30:53" x14ac:dyDescent="0.25">
      <c r="AD1127" s="17">
        <v>1125</v>
      </c>
      <c r="AE1127" s="6">
        <v>3.0530599999999999</v>
      </c>
      <c r="AF1127" s="6">
        <v>10.2241</v>
      </c>
      <c r="AG1127" s="6">
        <v>2.9397000000000002</v>
      </c>
      <c r="AH1127" s="6">
        <v>255</v>
      </c>
      <c r="AJ1127" s="17">
        <v>1125</v>
      </c>
      <c r="AK1127" s="6">
        <v>5.7892799999999998</v>
      </c>
      <c r="AL1127" s="6">
        <v>10.2241</v>
      </c>
      <c r="AM1127" s="6">
        <v>2.9397000000000002</v>
      </c>
      <c r="AN1127" s="6">
        <v>255</v>
      </c>
      <c r="AQ1127" s="17">
        <v>1125</v>
      </c>
      <c r="AR1127" s="6">
        <v>1.6020799999999999</v>
      </c>
      <c r="AS1127" s="6">
        <v>2.6012</v>
      </c>
      <c r="AT1127" s="6">
        <v>0.8135</v>
      </c>
      <c r="AU1127" s="6">
        <v>255</v>
      </c>
      <c r="AW1127" s="17">
        <v>1125</v>
      </c>
      <c r="AX1127" s="6">
        <v>0.84487999999999996</v>
      </c>
      <c r="AY1127" s="6">
        <v>2.6012</v>
      </c>
      <c r="AZ1127" s="6">
        <v>0.8135</v>
      </c>
      <c r="BA1127" s="6">
        <v>255</v>
      </c>
    </row>
    <row r="1128" spans="30:53" x14ac:dyDescent="0.25">
      <c r="AD1128" s="17">
        <v>1126</v>
      </c>
      <c r="AE1128" s="6">
        <v>3.0527600000000001</v>
      </c>
      <c r="AF1128" s="6">
        <v>4.1837</v>
      </c>
      <c r="AG1128" s="6">
        <v>2.9394999999999998</v>
      </c>
      <c r="AH1128" s="6">
        <v>255</v>
      </c>
      <c r="AJ1128" s="17">
        <v>1126</v>
      </c>
      <c r="AK1128" s="6">
        <v>5.78871</v>
      </c>
      <c r="AL1128" s="6">
        <v>4.1837</v>
      </c>
      <c r="AM1128" s="6">
        <v>2.9394999999999998</v>
      </c>
      <c r="AN1128" s="6">
        <v>255</v>
      </c>
      <c r="AQ1128" s="17">
        <v>1126</v>
      </c>
      <c r="AR1128" s="6">
        <v>1.59423</v>
      </c>
      <c r="AS1128" s="6">
        <v>1.2318</v>
      </c>
      <c r="AT1128" s="6">
        <v>0.8095</v>
      </c>
      <c r="AU1128" s="6">
        <v>255</v>
      </c>
      <c r="AW1128" s="17">
        <v>1126</v>
      </c>
      <c r="AX1128" s="6">
        <v>0.84074000000000004</v>
      </c>
      <c r="AY1128" s="6">
        <v>1.2318</v>
      </c>
      <c r="AZ1128" s="6">
        <v>0.8095</v>
      </c>
      <c r="BA1128" s="6">
        <v>255</v>
      </c>
    </row>
    <row r="1129" spans="30:53" x14ac:dyDescent="0.25">
      <c r="AD1129" s="17">
        <v>1127</v>
      </c>
      <c r="AE1129" s="6">
        <v>3.0684800000000001</v>
      </c>
      <c r="AF1129" s="6">
        <v>12.9476</v>
      </c>
      <c r="AG1129" s="6">
        <v>2.9546000000000001</v>
      </c>
      <c r="AH1129" s="6">
        <v>255</v>
      </c>
      <c r="AJ1129" s="17">
        <v>1127</v>
      </c>
      <c r="AK1129" s="6">
        <v>5.8185200000000004</v>
      </c>
      <c r="AL1129" s="6">
        <v>12.9476</v>
      </c>
      <c r="AM1129" s="6">
        <v>2.9546000000000001</v>
      </c>
      <c r="AN1129" s="6">
        <v>255</v>
      </c>
      <c r="AQ1129" s="17">
        <v>1127</v>
      </c>
      <c r="AR1129" s="6">
        <v>1.6072500000000001</v>
      </c>
      <c r="AS1129" s="6">
        <v>3.7231999999999998</v>
      </c>
      <c r="AT1129" s="6">
        <v>0.81620000000000004</v>
      </c>
      <c r="AU1129" s="6">
        <v>255</v>
      </c>
      <c r="AW1129" s="17">
        <v>1127</v>
      </c>
      <c r="AX1129" s="6">
        <v>0.84760999999999997</v>
      </c>
      <c r="AY1129" s="6">
        <v>3.7231999999999998</v>
      </c>
      <c r="AZ1129" s="6">
        <v>0.81620000000000004</v>
      </c>
      <c r="BA1129" s="6">
        <v>255</v>
      </c>
    </row>
    <row r="1130" spans="30:53" x14ac:dyDescent="0.25">
      <c r="AD1130" s="17">
        <v>1128</v>
      </c>
      <c r="AE1130" s="6">
        <v>3.04298</v>
      </c>
      <c r="AF1130" s="6">
        <v>7.5172999999999996</v>
      </c>
      <c r="AG1130" s="6">
        <v>2.93</v>
      </c>
      <c r="AH1130" s="6">
        <v>255</v>
      </c>
      <c r="AJ1130" s="17">
        <v>1128</v>
      </c>
      <c r="AK1130" s="6">
        <v>5.7701500000000001</v>
      </c>
      <c r="AL1130" s="6">
        <v>7.5172999999999996</v>
      </c>
      <c r="AM1130" s="6">
        <v>2.93</v>
      </c>
      <c r="AN1130" s="6">
        <v>255</v>
      </c>
      <c r="AQ1130" s="17">
        <v>1128</v>
      </c>
      <c r="AR1130" s="6">
        <v>1.5942099999999999</v>
      </c>
      <c r="AS1130" s="6">
        <v>2.3826000000000001</v>
      </c>
      <c r="AT1130" s="6">
        <v>0.8095</v>
      </c>
      <c r="AU1130" s="6">
        <v>255</v>
      </c>
      <c r="AW1130" s="17">
        <v>1128</v>
      </c>
      <c r="AX1130" s="6">
        <v>0.84072999999999998</v>
      </c>
      <c r="AY1130" s="6">
        <v>2.3826000000000001</v>
      </c>
      <c r="AZ1130" s="6">
        <v>0.8095</v>
      </c>
      <c r="BA1130" s="6">
        <v>255</v>
      </c>
    </row>
    <row r="1131" spans="30:53" x14ac:dyDescent="0.25">
      <c r="AD1131" s="17">
        <v>1129</v>
      </c>
      <c r="AE1131" s="6">
        <v>3.07267</v>
      </c>
      <c r="AF1131" s="6">
        <v>5.2569999999999997</v>
      </c>
      <c r="AG1131" s="6">
        <v>2.9586000000000001</v>
      </c>
      <c r="AH1131" s="6">
        <v>255</v>
      </c>
      <c r="AJ1131" s="17">
        <v>1129</v>
      </c>
      <c r="AK1131" s="6">
        <v>5.8264699999999996</v>
      </c>
      <c r="AL1131" s="6">
        <v>5.2569999999999997</v>
      </c>
      <c r="AM1131" s="6">
        <v>2.9586000000000001</v>
      </c>
      <c r="AN1131" s="6">
        <v>255</v>
      </c>
      <c r="AQ1131" s="17">
        <v>1129</v>
      </c>
      <c r="AR1131" s="6">
        <v>1.6067899999999999</v>
      </c>
      <c r="AS1131" s="6">
        <v>2.5527000000000002</v>
      </c>
      <c r="AT1131" s="6">
        <v>0.81589999999999996</v>
      </c>
      <c r="AU1131" s="6">
        <v>255</v>
      </c>
      <c r="AW1131" s="17">
        <v>1129</v>
      </c>
      <c r="AX1131" s="6">
        <v>0.84736999999999996</v>
      </c>
      <c r="AY1131" s="6">
        <v>2.5527000000000002</v>
      </c>
      <c r="AZ1131" s="6">
        <v>0.81589999999999996</v>
      </c>
      <c r="BA1131" s="6">
        <v>255</v>
      </c>
    </row>
    <row r="1132" spans="30:53" x14ac:dyDescent="0.25">
      <c r="AD1132" s="17">
        <v>1130</v>
      </c>
      <c r="AE1132" s="6">
        <v>3.0518800000000001</v>
      </c>
      <c r="AF1132" s="6">
        <v>6.5075000000000003</v>
      </c>
      <c r="AG1132" s="6">
        <v>2.9386000000000001</v>
      </c>
      <c r="AH1132" s="6">
        <v>255</v>
      </c>
      <c r="AJ1132" s="17">
        <v>1130</v>
      </c>
      <c r="AK1132" s="6">
        <v>5.7870299999999997</v>
      </c>
      <c r="AL1132" s="6">
        <v>6.5075000000000003</v>
      </c>
      <c r="AM1132" s="6">
        <v>2.9386000000000001</v>
      </c>
      <c r="AN1132" s="6">
        <v>255</v>
      </c>
      <c r="AQ1132" s="17">
        <v>1130</v>
      </c>
      <c r="AR1132" s="6">
        <v>1.60362</v>
      </c>
      <c r="AS1132" s="6">
        <v>2.1393</v>
      </c>
      <c r="AT1132" s="6">
        <v>0.81430000000000002</v>
      </c>
      <c r="AU1132" s="6">
        <v>255</v>
      </c>
      <c r="AW1132" s="17">
        <v>1130</v>
      </c>
      <c r="AX1132" s="6">
        <v>0.84569000000000005</v>
      </c>
      <c r="AY1132" s="6">
        <v>2.1393</v>
      </c>
      <c r="AZ1132" s="6">
        <v>0.81430000000000002</v>
      </c>
      <c r="BA1132" s="6">
        <v>255</v>
      </c>
    </row>
    <row r="1133" spans="30:53" x14ac:dyDescent="0.25">
      <c r="AD1133" s="17">
        <v>1131</v>
      </c>
      <c r="AE1133" s="6">
        <v>3.0500400000000001</v>
      </c>
      <c r="AF1133" s="6">
        <v>6.2122000000000002</v>
      </c>
      <c r="AG1133" s="6">
        <v>2.9367999999999999</v>
      </c>
      <c r="AH1133" s="6">
        <v>255</v>
      </c>
      <c r="AJ1133" s="17">
        <v>1131</v>
      </c>
      <c r="AK1133" s="6">
        <v>5.7835400000000003</v>
      </c>
      <c r="AL1133" s="6">
        <v>6.2122000000000002</v>
      </c>
      <c r="AM1133" s="6">
        <v>2.9367999999999999</v>
      </c>
      <c r="AN1133" s="6">
        <v>255</v>
      </c>
      <c r="AQ1133" s="17">
        <v>1131</v>
      </c>
      <c r="AR1133" s="6">
        <v>1.60097</v>
      </c>
      <c r="AS1133" s="6">
        <v>0.91959999999999997</v>
      </c>
      <c r="AT1133" s="6">
        <v>0.81299999999999994</v>
      </c>
      <c r="AU1133" s="6">
        <v>255</v>
      </c>
      <c r="AW1133" s="17">
        <v>1131</v>
      </c>
      <c r="AX1133" s="6">
        <v>0.84430000000000005</v>
      </c>
      <c r="AY1133" s="6">
        <v>0.91959999999999997</v>
      </c>
      <c r="AZ1133" s="6">
        <v>0.81299999999999994</v>
      </c>
      <c r="BA1133" s="6">
        <v>255</v>
      </c>
    </row>
    <row r="1134" spans="30:53" x14ac:dyDescent="0.25">
      <c r="AD1134" s="17">
        <v>1132</v>
      </c>
      <c r="AE1134" s="6">
        <v>3.0569500000000001</v>
      </c>
      <c r="AF1134" s="6">
        <v>11.650399999999999</v>
      </c>
      <c r="AG1134" s="6">
        <v>2.9434999999999998</v>
      </c>
      <c r="AH1134" s="6">
        <v>255</v>
      </c>
      <c r="AJ1134" s="17">
        <v>1132</v>
      </c>
      <c r="AK1134" s="6">
        <v>5.7966499999999996</v>
      </c>
      <c r="AL1134" s="6">
        <v>11.650399999999999</v>
      </c>
      <c r="AM1134" s="6">
        <v>2.9434999999999998</v>
      </c>
      <c r="AN1134" s="6">
        <v>255</v>
      </c>
      <c r="AQ1134" s="17">
        <v>1132</v>
      </c>
      <c r="AR1134" s="6">
        <v>1.59877</v>
      </c>
      <c r="AS1134" s="6">
        <v>3.8567999999999998</v>
      </c>
      <c r="AT1134" s="6">
        <v>0.81179999999999997</v>
      </c>
      <c r="AU1134" s="6">
        <v>255</v>
      </c>
      <c r="AW1134" s="17">
        <v>1132</v>
      </c>
      <c r="AX1134" s="6">
        <v>0.84314</v>
      </c>
      <c r="AY1134" s="6">
        <v>3.8567999999999998</v>
      </c>
      <c r="AZ1134" s="6">
        <v>0.81179999999999997</v>
      </c>
      <c r="BA1134" s="6">
        <v>255</v>
      </c>
    </row>
    <row r="1135" spans="30:53" x14ac:dyDescent="0.25">
      <c r="AD1135" s="17">
        <v>1133</v>
      </c>
      <c r="AE1135" s="6">
        <v>3.0536400000000001</v>
      </c>
      <c r="AF1135" s="6">
        <v>8.5045999999999999</v>
      </c>
      <c r="AG1135" s="6">
        <v>2.9403000000000001</v>
      </c>
      <c r="AH1135" s="6">
        <v>255</v>
      </c>
      <c r="AJ1135" s="17">
        <v>1133</v>
      </c>
      <c r="AK1135" s="6">
        <v>5.7903700000000002</v>
      </c>
      <c r="AL1135" s="6">
        <v>8.5045999999999999</v>
      </c>
      <c r="AM1135" s="6">
        <v>2.9403000000000001</v>
      </c>
      <c r="AN1135" s="6">
        <v>255</v>
      </c>
      <c r="AQ1135" s="17">
        <v>1133</v>
      </c>
      <c r="AR1135" s="6">
        <v>1.5904499999999999</v>
      </c>
      <c r="AS1135" s="6">
        <v>3.7105000000000001</v>
      </c>
      <c r="AT1135" s="6">
        <v>0.80759999999999998</v>
      </c>
      <c r="AU1135" s="6">
        <v>255</v>
      </c>
      <c r="AW1135" s="17">
        <v>1133</v>
      </c>
      <c r="AX1135" s="6">
        <v>0.83875</v>
      </c>
      <c r="AY1135" s="6">
        <v>3.7105000000000001</v>
      </c>
      <c r="AZ1135" s="6">
        <v>0.80759999999999998</v>
      </c>
      <c r="BA1135" s="6">
        <v>255</v>
      </c>
    </row>
    <row r="1136" spans="30:53" x14ac:dyDescent="0.25">
      <c r="AD1136" s="17">
        <v>1134</v>
      </c>
      <c r="AE1136" s="6">
        <v>3.0684200000000001</v>
      </c>
      <c r="AF1136" s="6">
        <v>6.7499000000000002</v>
      </c>
      <c r="AG1136" s="6">
        <v>2.9544999999999999</v>
      </c>
      <c r="AH1136" s="6">
        <v>255</v>
      </c>
      <c r="AJ1136" s="17">
        <v>1134</v>
      </c>
      <c r="AK1136" s="6">
        <v>5.81839</v>
      </c>
      <c r="AL1136" s="6">
        <v>6.7499000000000002</v>
      </c>
      <c r="AM1136" s="6">
        <v>2.9544999999999999</v>
      </c>
      <c r="AN1136" s="6">
        <v>255</v>
      </c>
      <c r="AQ1136" s="17">
        <v>1134</v>
      </c>
      <c r="AR1136" s="6">
        <v>1.60189</v>
      </c>
      <c r="AS1136" s="6">
        <v>3.2532000000000001</v>
      </c>
      <c r="AT1136" s="6">
        <v>0.81340000000000001</v>
      </c>
      <c r="AU1136" s="6">
        <v>255</v>
      </c>
      <c r="AW1136" s="17">
        <v>1134</v>
      </c>
      <c r="AX1136" s="6">
        <v>0.84477999999999998</v>
      </c>
      <c r="AY1136" s="6">
        <v>3.2532000000000001</v>
      </c>
      <c r="AZ1136" s="6">
        <v>0.81340000000000001</v>
      </c>
      <c r="BA1136" s="6">
        <v>255</v>
      </c>
    </row>
    <row r="1137" spans="30:53" x14ac:dyDescent="0.25">
      <c r="AD1137" s="17">
        <v>1135</v>
      </c>
      <c r="AE1137" s="6">
        <v>3.0570200000000001</v>
      </c>
      <c r="AF1137" s="6">
        <v>10.4712</v>
      </c>
      <c r="AG1137" s="6">
        <v>2.9436</v>
      </c>
      <c r="AH1137" s="6">
        <v>255</v>
      </c>
      <c r="AJ1137" s="17">
        <v>1135</v>
      </c>
      <c r="AK1137" s="6">
        <v>5.7967700000000004</v>
      </c>
      <c r="AL1137" s="6">
        <v>10.4712</v>
      </c>
      <c r="AM1137" s="6">
        <v>2.9436</v>
      </c>
      <c r="AN1137" s="6">
        <v>255</v>
      </c>
      <c r="AQ1137" s="17">
        <v>1135</v>
      </c>
      <c r="AR1137" s="6">
        <v>1.60171</v>
      </c>
      <c r="AS1137" s="6">
        <v>2.5693000000000001</v>
      </c>
      <c r="AT1137" s="6">
        <v>0.81330000000000002</v>
      </c>
      <c r="AU1137" s="6">
        <v>255</v>
      </c>
      <c r="AW1137" s="17">
        <v>1135</v>
      </c>
      <c r="AX1137" s="6">
        <v>0.84467999999999999</v>
      </c>
      <c r="AY1137" s="6">
        <v>2.5693000000000001</v>
      </c>
      <c r="AZ1137" s="6">
        <v>0.81330000000000002</v>
      </c>
      <c r="BA1137" s="6">
        <v>255</v>
      </c>
    </row>
    <row r="1138" spans="30:53" x14ac:dyDescent="0.25">
      <c r="AD1138" s="17">
        <v>1136</v>
      </c>
      <c r="AE1138" s="6">
        <v>3.0541999999999998</v>
      </c>
      <c r="AF1138" s="6">
        <v>18.975200000000001</v>
      </c>
      <c r="AG1138" s="6">
        <v>2.9407999999999999</v>
      </c>
      <c r="AH1138" s="6">
        <v>255</v>
      </c>
      <c r="AJ1138" s="17">
        <v>1136</v>
      </c>
      <c r="AK1138" s="6">
        <v>5.7914300000000001</v>
      </c>
      <c r="AL1138" s="6">
        <v>18.975200000000001</v>
      </c>
      <c r="AM1138" s="6">
        <v>2.9407999999999999</v>
      </c>
      <c r="AN1138" s="6">
        <v>255</v>
      </c>
      <c r="AQ1138" s="17">
        <v>1136</v>
      </c>
      <c r="AR1138" s="6">
        <v>1.60083</v>
      </c>
      <c r="AS1138" s="6">
        <v>5.4779</v>
      </c>
      <c r="AT1138" s="6">
        <v>0.81289999999999996</v>
      </c>
      <c r="AU1138" s="6">
        <v>255</v>
      </c>
      <c r="AW1138" s="17">
        <v>1136</v>
      </c>
      <c r="AX1138" s="6">
        <v>0.84421999999999997</v>
      </c>
      <c r="AY1138" s="6">
        <v>5.4779</v>
      </c>
      <c r="AZ1138" s="6">
        <v>0.81289999999999996</v>
      </c>
      <c r="BA1138" s="6">
        <v>255</v>
      </c>
    </row>
    <row r="1139" spans="30:53" x14ac:dyDescent="0.25">
      <c r="AD1139" s="17">
        <v>1137</v>
      </c>
      <c r="AE1139" s="6">
        <v>3.0663</v>
      </c>
      <c r="AF1139" s="6">
        <v>2.3176999999999999</v>
      </c>
      <c r="AG1139" s="6">
        <v>2.9525000000000001</v>
      </c>
      <c r="AH1139" s="6">
        <v>255</v>
      </c>
      <c r="AJ1139" s="17">
        <v>1137</v>
      </c>
      <c r="AK1139" s="6">
        <v>5.8143700000000003</v>
      </c>
      <c r="AL1139" s="6">
        <v>2.3176999999999999</v>
      </c>
      <c r="AM1139" s="6">
        <v>2.9525000000000001</v>
      </c>
      <c r="AN1139" s="6">
        <v>255</v>
      </c>
      <c r="AQ1139" s="17">
        <v>1137</v>
      </c>
      <c r="AR1139" s="6">
        <v>1.5998300000000001</v>
      </c>
      <c r="AS1139" s="19">
        <v>-0.26740000000000003</v>
      </c>
      <c r="AT1139" s="6">
        <v>0.81240000000000001</v>
      </c>
      <c r="AU1139" s="6">
        <v>255</v>
      </c>
      <c r="AW1139" s="17">
        <v>1137</v>
      </c>
      <c r="AX1139" s="6">
        <v>0.84370000000000001</v>
      </c>
      <c r="AY1139" s="19">
        <v>-0.26740000000000003</v>
      </c>
      <c r="AZ1139" s="6">
        <v>0.81240000000000001</v>
      </c>
      <c r="BA1139" s="6">
        <v>255</v>
      </c>
    </row>
    <row r="1140" spans="30:53" x14ac:dyDescent="0.25">
      <c r="AD1140" s="17">
        <v>1138</v>
      </c>
      <c r="AE1140" s="6">
        <v>3.0613000000000001</v>
      </c>
      <c r="AF1140" s="6">
        <v>2.1945000000000001</v>
      </c>
      <c r="AG1140" s="6">
        <v>2.9477000000000002</v>
      </c>
      <c r="AH1140" s="6">
        <v>255</v>
      </c>
      <c r="AJ1140" s="17">
        <v>1138</v>
      </c>
      <c r="AK1140" s="6">
        <v>5.8048999999999999</v>
      </c>
      <c r="AL1140" s="6">
        <v>2.1945000000000001</v>
      </c>
      <c r="AM1140" s="6">
        <v>2.9477000000000002</v>
      </c>
      <c r="AN1140" s="6">
        <v>255</v>
      </c>
      <c r="AQ1140" s="17">
        <v>1138</v>
      </c>
      <c r="AR1140" s="6">
        <v>1.5936600000000001</v>
      </c>
      <c r="AS1140" s="19">
        <v>-1.5010000000000001E-2</v>
      </c>
      <c r="AT1140" s="6">
        <v>0.80920000000000003</v>
      </c>
      <c r="AU1140" s="6">
        <v>255</v>
      </c>
      <c r="AW1140" s="17">
        <v>1138</v>
      </c>
      <c r="AX1140" s="6">
        <v>0.84043999999999996</v>
      </c>
      <c r="AY1140" s="19">
        <v>-1.5010000000000001E-2</v>
      </c>
      <c r="AZ1140" s="6">
        <v>0.80920000000000003</v>
      </c>
      <c r="BA1140" s="6">
        <v>255</v>
      </c>
    </row>
    <row r="1141" spans="30:53" x14ac:dyDescent="0.25">
      <c r="AD1141" s="17">
        <v>1139</v>
      </c>
      <c r="AE1141" s="6">
        <v>3.0616300000000001</v>
      </c>
      <c r="AF1141" s="19">
        <v>-1.2921</v>
      </c>
      <c r="AG1141" s="6">
        <v>2.948</v>
      </c>
      <c r="AH1141" s="6">
        <v>255</v>
      </c>
      <c r="AJ1141" s="17">
        <v>1139</v>
      </c>
      <c r="AK1141" s="6">
        <v>5.8055300000000001</v>
      </c>
      <c r="AL1141" s="19">
        <v>-1.2921</v>
      </c>
      <c r="AM1141" s="6">
        <v>2.948</v>
      </c>
      <c r="AN1141" s="6">
        <v>255</v>
      </c>
      <c r="AQ1141" s="17">
        <v>1139</v>
      </c>
      <c r="AR1141" s="6">
        <v>1.59141</v>
      </c>
      <c r="AS1141" s="19">
        <v>-1.3958999999999999</v>
      </c>
      <c r="AT1141" s="6">
        <v>0.80810000000000004</v>
      </c>
      <c r="AU1141" s="6">
        <v>255</v>
      </c>
      <c r="AW1141" s="17">
        <v>1139</v>
      </c>
      <c r="AX1141" s="6">
        <v>0.83925000000000005</v>
      </c>
      <c r="AY1141" s="19">
        <v>-1.3958999999999999</v>
      </c>
      <c r="AZ1141" s="6">
        <v>0.80810000000000004</v>
      </c>
      <c r="BA1141" s="6">
        <v>255</v>
      </c>
    </row>
    <row r="1142" spans="30:53" x14ac:dyDescent="0.25">
      <c r="AD1142" s="17">
        <v>1140</v>
      </c>
      <c r="AE1142" s="6">
        <v>3.0536500000000002</v>
      </c>
      <c r="AF1142" s="19">
        <v>-0.10440000000000001</v>
      </c>
      <c r="AG1142" s="6">
        <v>2.9403000000000001</v>
      </c>
      <c r="AH1142" s="6">
        <v>255</v>
      </c>
      <c r="AJ1142" s="17">
        <v>1140</v>
      </c>
      <c r="AK1142" s="6">
        <v>5.7903900000000004</v>
      </c>
      <c r="AL1142" s="19">
        <v>-0.10440000000000001</v>
      </c>
      <c r="AM1142" s="6">
        <v>2.9403000000000001</v>
      </c>
      <c r="AN1142" s="6">
        <v>255</v>
      </c>
      <c r="AQ1142" s="17">
        <v>1140</v>
      </c>
      <c r="AR1142" s="6">
        <v>1.58792</v>
      </c>
      <c r="AS1142" s="19">
        <v>-1.0326</v>
      </c>
      <c r="AT1142" s="6">
        <v>0.80630000000000002</v>
      </c>
      <c r="AU1142" s="6">
        <v>255</v>
      </c>
      <c r="AW1142" s="17">
        <v>1140</v>
      </c>
      <c r="AX1142" s="6">
        <v>0.83742000000000005</v>
      </c>
      <c r="AY1142" s="19">
        <v>-1.0326</v>
      </c>
      <c r="AZ1142" s="6">
        <v>0.80630000000000002</v>
      </c>
      <c r="BA1142" s="6">
        <v>255</v>
      </c>
    </row>
    <row r="1143" spans="30:53" x14ac:dyDescent="0.25">
      <c r="AD1143" s="17">
        <v>1141</v>
      </c>
      <c r="AE1143" s="6">
        <v>3.0631499999999998</v>
      </c>
      <c r="AF1143" s="6">
        <v>0.46860000000000002</v>
      </c>
      <c r="AG1143" s="6">
        <v>2.9495</v>
      </c>
      <c r="AH1143" s="6">
        <v>255</v>
      </c>
      <c r="AJ1143" s="17">
        <v>1141</v>
      </c>
      <c r="AK1143" s="6">
        <v>5.8083999999999998</v>
      </c>
      <c r="AL1143" s="6">
        <v>0.46860000000000002</v>
      </c>
      <c r="AM1143" s="6">
        <v>2.9495</v>
      </c>
      <c r="AN1143" s="6">
        <v>255</v>
      </c>
      <c r="AQ1143" s="17">
        <v>1141</v>
      </c>
      <c r="AR1143" s="6">
        <v>1.59216</v>
      </c>
      <c r="AS1143" s="19">
        <v>-0.49719999999999998</v>
      </c>
      <c r="AT1143" s="6">
        <v>0.8085</v>
      </c>
      <c r="AU1143" s="6">
        <v>255</v>
      </c>
      <c r="AW1143" s="17">
        <v>1141</v>
      </c>
      <c r="AX1143" s="6">
        <v>0.83965000000000001</v>
      </c>
      <c r="AY1143" s="19">
        <v>-0.49719999999999998</v>
      </c>
      <c r="AZ1143" s="6">
        <v>0.8085</v>
      </c>
      <c r="BA1143" s="6">
        <v>255</v>
      </c>
    </row>
    <row r="1144" spans="30:53" x14ac:dyDescent="0.25">
      <c r="AD1144" s="17">
        <v>1142</v>
      </c>
      <c r="AE1144" s="6">
        <v>3.0365899999999999</v>
      </c>
      <c r="AF1144" s="6">
        <v>0.49180000000000001</v>
      </c>
      <c r="AG1144" s="6">
        <v>2.9239000000000002</v>
      </c>
      <c r="AH1144" s="6">
        <v>255</v>
      </c>
      <c r="AJ1144" s="17">
        <v>1142</v>
      </c>
      <c r="AK1144" s="6">
        <v>5.7580299999999998</v>
      </c>
      <c r="AL1144" s="6">
        <v>0.49180000000000001</v>
      </c>
      <c r="AM1144" s="6">
        <v>2.9239000000000002</v>
      </c>
      <c r="AN1144" s="6">
        <v>255</v>
      </c>
      <c r="AQ1144" s="17">
        <v>1142</v>
      </c>
      <c r="AR1144" s="6">
        <v>1.58229</v>
      </c>
      <c r="AS1144" s="19">
        <v>-3.3000000000000002E-2</v>
      </c>
      <c r="AT1144" s="6">
        <v>0.80349999999999999</v>
      </c>
      <c r="AU1144" s="6">
        <v>255</v>
      </c>
      <c r="AW1144" s="17">
        <v>1142</v>
      </c>
      <c r="AX1144" s="6">
        <v>0.83443999999999996</v>
      </c>
      <c r="AY1144" s="19">
        <v>-3.3000000000000002E-2</v>
      </c>
      <c r="AZ1144" s="6">
        <v>0.80349999999999999</v>
      </c>
      <c r="BA1144" s="6">
        <v>255</v>
      </c>
    </row>
    <row r="1145" spans="30:53" x14ac:dyDescent="0.25">
      <c r="AD1145" s="17">
        <v>1143</v>
      </c>
      <c r="AE1145" s="6">
        <v>3.0666699999999998</v>
      </c>
      <c r="AF1145" s="19">
        <v>-0.49059999999999998</v>
      </c>
      <c r="AG1145" s="6">
        <v>2.9529000000000001</v>
      </c>
      <c r="AH1145" s="6">
        <v>255</v>
      </c>
      <c r="AJ1145" s="17">
        <v>1143</v>
      </c>
      <c r="AK1145" s="6">
        <v>5.8150899999999996</v>
      </c>
      <c r="AL1145" s="19">
        <v>-0.49059999999999998</v>
      </c>
      <c r="AM1145" s="6">
        <v>2.9529000000000001</v>
      </c>
      <c r="AN1145" s="6">
        <v>255</v>
      </c>
      <c r="AQ1145" s="17">
        <v>1143</v>
      </c>
      <c r="AR1145" s="6">
        <v>1.59032</v>
      </c>
      <c r="AS1145" s="19">
        <v>-1.1475</v>
      </c>
      <c r="AT1145" s="6">
        <v>0.80759999999999998</v>
      </c>
      <c r="AU1145" s="6">
        <v>255</v>
      </c>
      <c r="AW1145" s="17">
        <v>1143</v>
      </c>
      <c r="AX1145" s="6">
        <v>0.83867999999999998</v>
      </c>
      <c r="AY1145" s="19">
        <v>-1.1475</v>
      </c>
      <c r="AZ1145" s="6">
        <v>0.80759999999999998</v>
      </c>
      <c r="BA1145" s="6">
        <v>255</v>
      </c>
    </row>
    <row r="1146" spans="30:53" x14ac:dyDescent="0.25">
      <c r="AD1146" s="17">
        <v>1144</v>
      </c>
      <c r="AE1146" s="6">
        <v>3.0495800000000002</v>
      </c>
      <c r="AF1146" s="6">
        <v>7.0991</v>
      </c>
      <c r="AG1146" s="6">
        <v>2.9363999999999999</v>
      </c>
      <c r="AH1146" s="6">
        <v>255</v>
      </c>
      <c r="AJ1146" s="17">
        <v>1144</v>
      </c>
      <c r="AK1146" s="6">
        <v>5.78268</v>
      </c>
      <c r="AL1146" s="6">
        <v>7.0991</v>
      </c>
      <c r="AM1146" s="6">
        <v>2.9363999999999999</v>
      </c>
      <c r="AN1146" s="6">
        <v>255</v>
      </c>
      <c r="AQ1146" s="17">
        <v>1144</v>
      </c>
      <c r="AR1146" s="6">
        <v>1.59294</v>
      </c>
      <c r="AS1146" s="6">
        <v>0.22800000000000001</v>
      </c>
      <c r="AT1146" s="6">
        <v>0.80889999999999995</v>
      </c>
      <c r="AU1146" s="6">
        <v>255</v>
      </c>
      <c r="AW1146" s="17">
        <v>1144</v>
      </c>
      <c r="AX1146" s="6">
        <v>0.84006000000000003</v>
      </c>
      <c r="AY1146" s="6">
        <v>0.22800000000000001</v>
      </c>
      <c r="AZ1146" s="6">
        <v>0.80889999999999995</v>
      </c>
      <c r="BA1146" s="6">
        <v>255</v>
      </c>
    </row>
    <row r="1147" spans="30:53" x14ac:dyDescent="0.25">
      <c r="AD1147" s="17">
        <v>1145</v>
      </c>
      <c r="AE1147" s="6">
        <v>3.0401500000000001</v>
      </c>
      <c r="AF1147" s="6">
        <v>1.0587</v>
      </c>
      <c r="AG1147" s="6">
        <v>2.9272999999999998</v>
      </c>
      <c r="AH1147" s="6">
        <v>255</v>
      </c>
      <c r="AJ1147" s="17">
        <v>1145</v>
      </c>
      <c r="AK1147" s="6">
        <v>5.7647899999999996</v>
      </c>
      <c r="AL1147" s="6">
        <v>1.0587</v>
      </c>
      <c r="AM1147" s="6">
        <v>2.9272999999999998</v>
      </c>
      <c r="AN1147" s="6">
        <v>255</v>
      </c>
      <c r="AQ1147" s="17">
        <v>1145</v>
      </c>
      <c r="AR1147" s="6">
        <v>1.58314</v>
      </c>
      <c r="AS1147" s="19">
        <v>-1.1413</v>
      </c>
      <c r="AT1147" s="6">
        <v>0.80389999999999995</v>
      </c>
      <c r="AU1147" s="6">
        <v>255</v>
      </c>
      <c r="AW1147" s="17">
        <v>1145</v>
      </c>
      <c r="AX1147" s="6">
        <v>0.83489000000000002</v>
      </c>
      <c r="AY1147" s="19">
        <v>-1.1413</v>
      </c>
      <c r="AZ1147" s="6">
        <v>0.80389999999999995</v>
      </c>
      <c r="BA1147" s="6">
        <v>255</v>
      </c>
    </row>
    <row r="1148" spans="30:53" x14ac:dyDescent="0.25">
      <c r="AD1148" s="17">
        <v>1146</v>
      </c>
      <c r="AE1148" s="6">
        <v>3.0662699999999998</v>
      </c>
      <c r="AF1148" s="6">
        <v>9.8225999999999996</v>
      </c>
      <c r="AG1148" s="6">
        <v>2.9525000000000001</v>
      </c>
      <c r="AH1148" s="6">
        <v>255</v>
      </c>
      <c r="AJ1148" s="17">
        <v>1146</v>
      </c>
      <c r="AK1148" s="6">
        <v>5.81433</v>
      </c>
      <c r="AL1148" s="6">
        <v>9.8225999999999996</v>
      </c>
      <c r="AM1148" s="6">
        <v>2.9525000000000001</v>
      </c>
      <c r="AN1148" s="6">
        <v>255</v>
      </c>
      <c r="AQ1148" s="17">
        <v>1146</v>
      </c>
      <c r="AR1148" s="6">
        <v>1.5991200000000001</v>
      </c>
      <c r="AS1148" s="6">
        <v>1.3501000000000001</v>
      </c>
      <c r="AT1148" s="6">
        <v>0.81200000000000006</v>
      </c>
      <c r="AU1148" s="6">
        <v>255</v>
      </c>
      <c r="AW1148" s="17">
        <v>1146</v>
      </c>
      <c r="AX1148" s="6">
        <v>0.84331999999999996</v>
      </c>
      <c r="AY1148" s="6">
        <v>1.3501000000000001</v>
      </c>
      <c r="AZ1148" s="6">
        <v>0.81200000000000006</v>
      </c>
      <c r="BA1148" s="6">
        <v>255</v>
      </c>
    </row>
    <row r="1149" spans="30:53" x14ac:dyDescent="0.25">
      <c r="AD1149" s="17">
        <v>1147</v>
      </c>
      <c r="AE1149" s="6">
        <v>3.0653000000000001</v>
      </c>
      <c r="AF1149" s="6">
        <v>4.3922999999999996</v>
      </c>
      <c r="AG1149" s="6">
        <v>2.9514999999999998</v>
      </c>
      <c r="AH1149" s="6">
        <v>255</v>
      </c>
      <c r="AJ1149" s="17">
        <v>1147</v>
      </c>
      <c r="AK1149" s="6">
        <v>5.8124900000000004</v>
      </c>
      <c r="AL1149" s="6">
        <v>4.3922999999999996</v>
      </c>
      <c r="AM1149" s="6">
        <v>2.9514999999999998</v>
      </c>
      <c r="AN1149" s="6">
        <v>255</v>
      </c>
      <c r="AQ1149" s="17">
        <v>1147</v>
      </c>
      <c r="AR1149" s="6">
        <v>1.5924100000000001</v>
      </c>
      <c r="AS1149" s="6">
        <v>9.4649999999999995E-3</v>
      </c>
      <c r="AT1149" s="6">
        <v>0.80859999999999999</v>
      </c>
      <c r="AU1149" s="6">
        <v>255</v>
      </c>
      <c r="AW1149" s="17">
        <v>1147</v>
      </c>
      <c r="AX1149" s="6">
        <v>0.83977999999999997</v>
      </c>
      <c r="AY1149" s="6">
        <v>9.4649999999999995E-3</v>
      </c>
      <c r="AZ1149" s="6">
        <v>0.80859999999999999</v>
      </c>
      <c r="BA1149" s="6">
        <v>255</v>
      </c>
    </row>
    <row r="1150" spans="30:53" x14ac:dyDescent="0.25">
      <c r="AD1150" s="17">
        <v>1148</v>
      </c>
      <c r="AE1150" s="6">
        <v>3.0644200000000001</v>
      </c>
      <c r="AF1150" s="6">
        <v>2.1320999999999999</v>
      </c>
      <c r="AG1150" s="6">
        <v>2.9506999999999999</v>
      </c>
      <c r="AH1150" s="6">
        <v>255</v>
      </c>
      <c r="AJ1150" s="17">
        <v>1148</v>
      </c>
      <c r="AK1150" s="6">
        <v>5.8108199999999997</v>
      </c>
      <c r="AL1150" s="6">
        <v>2.1320999999999999</v>
      </c>
      <c r="AM1150" s="6">
        <v>2.9506999999999999</v>
      </c>
      <c r="AN1150" s="6">
        <v>255</v>
      </c>
      <c r="AQ1150" s="17">
        <v>1148</v>
      </c>
      <c r="AR1150" s="6">
        <v>1.5950500000000001</v>
      </c>
      <c r="AS1150" s="6">
        <v>0.17960000000000001</v>
      </c>
      <c r="AT1150" s="6">
        <v>0.81</v>
      </c>
      <c r="AU1150" s="6">
        <v>255</v>
      </c>
      <c r="AW1150" s="17">
        <v>1148</v>
      </c>
      <c r="AX1150" s="6">
        <v>0.84116999999999997</v>
      </c>
      <c r="AY1150" s="6">
        <v>0.17960000000000001</v>
      </c>
      <c r="AZ1150" s="6">
        <v>0.81</v>
      </c>
      <c r="BA1150" s="6">
        <v>255</v>
      </c>
    </row>
    <row r="1151" spans="30:53" x14ac:dyDescent="0.25">
      <c r="AD1151" s="17">
        <v>1149</v>
      </c>
      <c r="AE1151" s="6">
        <v>3.0504199999999999</v>
      </c>
      <c r="AF1151" s="6">
        <v>3.3826000000000001</v>
      </c>
      <c r="AG1151" s="6">
        <v>2.9371999999999998</v>
      </c>
      <c r="AH1151" s="6">
        <v>255</v>
      </c>
      <c r="AJ1151" s="17">
        <v>1149</v>
      </c>
      <c r="AK1151" s="6">
        <v>5.7842700000000002</v>
      </c>
      <c r="AL1151" s="6">
        <v>3.3826000000000001</v>
      </c>
      <c r="AM1151" s="6">
        <v>2.9371999999999998</v>
      </c>
      <c r="AN1151" s="6">
        <v>255</v>
      </c>
      <c r="AQ1151" s="17">
        <v>1149</v>
      </c>
      <c r="AR1151" s="6">
        <v>1.5924400000000001</v>
      </c>
      <c r="AS1151" s="19">
        <v>-0.23380000000000001</v>
      </c>
      <c r="AT1151" s="6">
        <v>0.80859999999999999</v>
      </c>
      <c r="AU1151" s="6">
        <v>255</v>
      </c>
      <c r="AW1151" s="17">
        <v>1149</v>
      </c>
      <c r="AX1151" s="6">
        <v>0.83979999999999999</v>
      </c>
      <c r="AY1151" s="19">
        <v>-0.23380000000000001</v>
      </c>
      <c r="AZ1151" s="6">
        <v>0.80859999999999999</v>
      </c>
      <c r="BA1151" s="6">
        <v>255</v>
      </c>
    </row>
    <row r="1152" spans="30:53" x14ac:dyDescent="0.25">
      <c r="AD1152" s="17">
        <v>1150</v>
      </c>
      <c r="AE1152" s="6">
        <v>3.0444599999999999</v>
      </c>
      <c r="AF1152" s="6">
        <v>3.0872999999999999</v>
      </c>
      <c r="AG1152" s="6">
        <v>2.9315000000000002</v>
      </c>
      <c r="AH1152" s="6">
        <v>255</v>
      </c>
      <c r="AJ1152" s="17">
        <v>1150</v>
      </c>
      <c r="AK1152" s="6">
        <v>5.7729699999999999</v>
      </c>
      <c r="AL1152" s="6">
        <v>3.0872999999999999</v>
      </c>
      <c r="AM1152" s="6">
        <v>2.9315000000000002</v>
      </c>
      <c r="AN1152" s="6">
        <v>255</v>
      </c>
      <c r="AQ1152" s="17">
        <v>1150</v>
      </c>
      <c r="AR1152" s="6">
        <v>1.59141</v>
      </c>
      <c r="AS1152" s="19">
        <v>-1.4535</v>
      </c>
      <c r="AT1152" s="6">
        <v>0.80810000000000004</v>
      </c>
      <c r="AU1152" s="6">
        <v>255</v>
      </c>
      <c r="AW1152" s="17">
        <v>1150</v>
      </c>
      <c r="AX1152" s="6">
        <v>0.83925000000000005</v>
      </c>
      <c r="AY1152" s="19">
        <v>-1.4535</v>
      </c>
      <c r="AZ1152" s="6">
        <v>0.80810000000000004</v>
      </c>
      <c r="BA1152" s="6">
        <v>255</v>
      </c>
    </row>
    <row r="1153" spans="30:53" x14ac:dyDescent="0.25">
      <c r="AD1153" s="17">
        <v>1151</v>
      </c>
      <c r="AE1153" s="6">
        <v>3.0462099999999999</v>
      </c>
      <c r="AF1153" s="6">
        <v>8.5254999999999992</v>
      </c>
      <c r="AG1153" s="6">
        <v>2.9331999999999998</v>
      </c>
      <c r="AH1153" s="6">
        <v>255</v>
      </c>
      <c r="AJ1153" s="17">
        <v>1151</v>
      </c>
      <c r="AK1153" s="6">
        <v>5.7762900000000004</v>
      </c>
      <c r="AL1153" s="6">
        <v>8.5254999999999992</v>
      </c>
      <c r="AM1153" s="6">
        <v>2.9331999999999998</v>
      </c>
      <c r="AN1153" s="6">
        <v>255</v>
      </c>
      <c r="AQ1153" s="17">
        <v>1151</v>
      </c>
      <c r="AR1153" s="6">
        <v>1.58914</v>
      </c>
      <c r="AS1153" s="6">
        <v>1.4837</v>
      </c>
      <c r="AT1153" s="6">
        <v>0.80700000000000005</v>
      </c>
      <c r="AU1153" s="6">
        <v>255</v>
      </c>
      <c r="AW1153" s="17">
        <v>1151</v>
      </c>
      <c r="AX1153" s="6">
        <v>0.83806000000000003</v>
      </c>
      <c r="AY1153" s="6">
        <v>1.4837</v>
      </c>
      <c r="AZ1153" s="6">
        <v>0.80700000000000005</v>
      </c>
      <c r="BA1153" s="6">
        <v>255</v>
      </c>
    </row>
    <row r="1154" spans="30:53" x14ac:dyDescent="0.25">
      <c r="AD1154" s="17">
        <v>1152</v>
      </c>
      <c r="AE1154" s="6">
        <v>3.0607099999999998</v>
      </c>
      <c r="AF1154" s="6">
        <v>5.3796999999999997</v>
      </c>
      <c r="AG1154" s="6">
        <v>2.9470999999999998</v>
      </c>
      <c r="AH1154" s="6">
        <v>255</v>
      </c>
      <c r="AJ1154" s="17">
        <v>1152</v>
      </c>
      <c r="AK1154" s="6">
        <v>5.8037799999999997</v>
      </c>
      <c r="AL1154" s="6">
        <v>5.3796999999999997</v>
      </c>
      <c r="AM1154" s="6">
        <v>2.9470999999999998</v>
      </c>
      <c r="AN1154" s="6">
        <v>255</v>
      </c>
      <c r="AQ1154" s="17">
        <v>1152</v>
      </c>
      <c r="AR1154" s="6">
        <v>1.5875999999999999</v>
      </c>
      <c r="AS1154" s="6">
        <v>1.3373999999999999</v>
      </c>
      <c r="AT1154" s="6">
        <v>0.80620000000000003</v>
      </c>
      <c r="AU1154" s="6">
        <v>255</v>
      </c>
      <c r="AW1154" s="17">
        <v>1152</v>
      </c>
      <c r="AX1154" s="6">
        <v>0.83723999999999998</v>
      </c>
      <c r="AY1154" s="6">
        <v>1.3373999999999999</v>
      </c>
      <c r="AZ1154" s="6">
        <v>0.80620000000000003</v>
      </c>
      <c r="BA1154" s="6">
        <v>255</v>
      </c>
    </row>
    <row r="1155" spans="30:53" x14ac:dyDescent="0.25">
      <c r="AD1155" s="17">
        <v>1153</v>
      </c>
      <c r="AE1155" s="6">
        <v>3.0680399999999999</v>
      </c>
      <c r="AF1155" s="6">
        <v>3.625</v>
      </c>
      <c r="AG1155" s="6">
        <v>2.9542000000000002</v>
      </c>
      <c r="AH1155" s="6">
        <v>255</v>
      </c>
      <c r="AJ1155" s="17">
        <v>1153</v>
      </c>
      <c r="AK1155" s="6">
        <v>5.8176699999999997</v>
      </c>
      <c r="AL1155" s="6">
        <v>3.625</v>
      </c>
      <c r="AM1155" s="6">
        <v>2.9542000000000002</v>
      </c>
      <c r="AN1155" s="6">
        <v>255</v>
      </c>
      <c r="AQ1155" s="17">
        <v>1153</v>
      </c>
      <c r="AR1155" s="6">
        <v>1.5932500000000001</v>
      </c>
      <c r="AS1155" s="6">
        <v>0.88009999999999999</v>
      </c>
      <c r="AT1155" s="6">
        <v>0.80900000000000005</v>
      </c>
      <c r="AU1155" s="6">
        <v>255</v>
      </c>
      <c r="AW1155" s="17">
        <v>1153</v>
      </c>
      <c r="AX1155" s="6">
        <v>0.84021999999999997</v>
      </c>
      <c r="AY1155" s="6">
        <v>0.88009999999999999</v>
      </c>
      <c r="AZ1155" s="6">
        <v>0.80900000000000005</v>
      </c>
      <c r="BA1155" s="6">
        <v>255</v>
      </c>
    </row>
    <row r="1156" spans="30:53" x14ac:dyDescent="0.25">
      <c r="AD1156" s="17">
        <v>1154</v>
      </c>
      <c r="AE1156" s="6">
        <v>3.0615700000000001</v>
      </c>
      <c r="AF1156" s="6">
        <v>7.3463000000000003</v>
      </c>
      <c r="AG1156" s="6">
        <v>2.9479000000000002</v>
      </c>
      <c r="AH1156" s="6">
        <v>255</v>
      </c>
      <c r="AJ1156" s="17">
        <v>1154</v>
      </c>
      <c r="AK1156" s="6">
        <v>5.8054199999999998</v>
      </c>
      <c r="AL1156" s="6">
        <v>7.3463000000000003</v>
      </c>
      <c r="AM1156" s="6">
        <v>2.9479000000000002</v>
      </c>
      <c r="AN1156" s="6">
        <v>255</v>
      </c>
      <c r="AQ1156" s="17">
        <v>1154</v>
      </c>
      <c r="AR1156" s="6">
        <v>1.5924</v>
      </c>
      <c r="AS1156" s="6">
        <v>0.1961</v>
      </c>
      <c r="AT1156" s="6">
        <v>0.80859999999999999</v>
      </c>
      <c r="AU1156" s="6">
        <v>255</v>
      </c>
      <c r="AW1156" s="17">
        <v>1154</v>
      </c>
      <c r="AX1156" s="6">
        <v>0.83977999999999997</v>
      </c>
      <c r="AY1156" s="6">
        <v>0.1961</v>
      </c>
      <c r="AZ1156" s="6">
        <v>0.80859999999999999</v>
      </c>
      <c r="BA1156" s="6">
        <v>255</v>
      </c>
    </row>
    <row r="1157" spans="30:53" x14ac:dyDescent="0.25">
      <c r="AD1157" s="17">
        <v>1155</v>
      </c>
      <c r="AE1157" s="6">
        <v>3.02616</v>
      </c>
      <c r="AF1157" s="6">
        <v>15.850300000000001</v>
      </c>
      <c r="AG1157" s="6">
        <v>2.9138000000000002</v>
      </c>
      <c r="AH1157" s="6">
        <v>255</v>
      </c>
      <c r="AJ1157" s="17">
        <v>1155</v>
      </c>
      <c r="AK1157" s="6">
        <v>5.73827</v>
      </c>
      <c r="AL1157" s="6">
        <v>15.850300000000001</v>
      </c>
      <c r="AM1157" s="6">
        <v>2.9138000000000002</v>
      </c>
      <c r="AN1157" s="6">
        <v>255</v>
      </c>
      <c r="AQ1157" s="17">
        <v>1155</v>
      </c>
      <c r="AR1157" s="6">
        <v>1.5857000000000001</v>
      </c>
      <c r="AS1157" s="6">
        <v>3.1046999999999998</v>
      </c>
      <c r="AT1157" s="6">
        <v>0.80520000000000003</v>
      </c>
      <c r="AU1157" s="6">
        <v>255</v>
      </c>
      <c r="AW1157" s="17">
        <v>1155</v>
      </c>
      <c r="AX1157" s="6">
        <v>0.83623999999999998</v>
      </c>
      <c r="AY1157" s="6">
        <v>3.1046999999999998</v>
      </c>
      <c r="AZ1157" s="6">
        <v>0.80520000000000003</v>
      </c>
      <c r="BA1157" s="6">
        <v>255</v>
      </c>
    </row>
    <row r="1158" spans="30:53" x14ac:dyDescent="0.25">
      <c r="AD1158" s="17">
        <v>1156</v>
      </c>
      <c r="AE1158" s="6">
        <v>3.05959</v>
      </c>
      <c r="AF1158" s="19">
        <v>-0.1231</v>
      </c>
      <c r="AG1158" s="6">
        <v>2.9460000000000002</v>
      </c>
      <c r="AH1158" s="6">
        <v>255</v>
      </c>
      <c r="AJ1158" s="17">
        <v>1156</v>
      </c>
      <c r="AK1158" s="6">
        <v>5.80166</v>
      </c>
      <c r="AL1158" s="19">
        <v>-0.1231</v>
      </c>
      <c r="AM1158" s="6">
        <v>2.9460000000000002</v>
      </c>
      <c r="AN1158" s="6">
        <v>255</v>
      </c>
      <c r="AQ1158" s="17">
        <v>1156</v>
      </c>
      <c r="AR1158" s="6">
        <v>1.6081700000000001</v>
      </c>
      <c r="AS1158" s="6">
        <v>0.25240000000000001</v>
      </c>
      <c r="AT1158" s="6">
        <v>0.81659999999999999</v>
      </c>
      <c r="AU1158" s="6">
        <v>255</v>
      </c>
      <c r="AW1158" s="17">
        <v>1156</v>
      </c>
      <c r="AX1158" s="6">
        <v>0.84809000000000001</v>
      </c>
      <c r="AY1158" s="6">
        <v>0.25240000000000001</v>
      </c>
      <c r="AZ1158" s="6">
        <v>0.81659999999999999</v>
      </c>
      <c r="BA1158" s="6">
        <v>255</v>
      </c>
    </row>
    <row r="1159" spans="30:53" x14ac:dyDescent="0.25">
      <c r="AD1159" s="17">
        <v>1157</v>
      </c>
      <c r="AE1159" s="6">
        <v>3.0543499999999999</v>
      </c>
      <c r="AF1159" s="19">
        <v>-3.6097999999999999</v>
      </c>
      <c r="AG1159" s="6">
        <v>2.9409999999999998</v>
      </c>
      <c r="AH1159" s="6">
        <v>255</v>
      </c>
      <c r="AJ1159" s="17">
        <v>1157</v>
      </c>
      <c r="AK1159" s="6">
        <v>5.7917199999999998</v>
      </c>
      <c r="AL1159" s="19">
        <v>-3.6097999999999999</v>
      </c>
      <c r="AM1159" s="6">
        <v>2.9409999999999998</v>
      </c>
      <c r="AN1159" s="6">
        <v>255</v>
      </c>
      <c r="AQ1159" s="17">
        <v>1157</v>
      </c>
      <c r="AR1159" s="6">
        <v>1.59697</v>
      </c>
      <c r="AS1159" s="19">
        <v>-1.1285000000000001</v>
      </c>
      <c r="AT1159" s="6">
        <v>0.81089999999999995</v>
      </c>
      <c r="AU1159" s="6">
        <v>255</v>
      </c>
      <c r="AW1159" s="17">
        <v>1157</v>
      </c>
      <c r="AX1159" s="6">
        <v>0.84218999999999999</v>
      </c>
      <c r="AY1159" s="19">
        <v>-1.1285000000000001</v>
      </c>
      <c r="AZ1159" s="6">
        <v>0.81089999999999995</v>
      </c>
      <c r="BA1159" s="6">
        <v>255</v>
      </c>
    </row>
    <row r="1160" spans="30:53" x14ac:dyDescent="0.25">
      <c r="AD1160" s="17">
        <v>1158</v>
      </c>
      <c r="AE1160" s="6">
        <v>3.0367299999999999</v>
      </c>
      <c r="AF1160" s="19">
        <v>-2.4220999999999999</v>
      </c>
      <c r="AG1160" s="6">
        <v>2.9239999999999999</v>
      </c>
      <c r="AH1160" s="6">
        <v>255</v>
      </c>
      <c r="AJ1160" s="17">
        <v>1158</v>
      </c>
      <c r="AK1160" s="6">
        <v>5.7583099999999998</v>
      </c>
      <c r="AL1160" s="19">
        <v>-2.4220999999999999</v>
      </c>
      <c r="AM1160" s="6">
        <v>2.9239999999999999</v>
      </c>
      <c r="AN1160" s="6">
        <v>255</v>
      </c>
      <c r="AQ1160" s="17">
        <v>1158</v>
      </c>
      <c r="AR1160" s="6">
        <v>1.5892299999999999</v>
      </c>
      <c r="AS1160" s="19">
        <v>-0.76519999999999999</v>
      </c>
      <c r="AT1160" s="6">
        <v>0.80700000000000005</v>
      </c>
      <c r="AU1160" s="6">
        <v>255</v>
      </c>
      <c r="AW1160" s="17">
        <v>1158</v>
      </c>
      <c r="AX1160" s="6">
        <v>0.83809999999999996</v>
      </c>
      <c r="AY1160" s="19">
        <v>-0.76519999999999999</v>
      </c>
      <c r="AZ1160" s="6">
        <v>0.80700000000000005</v>
      </c>
      <c r="BA1160" s="6">
        <v>255</v>
      </c>
    </row>
    <row r="1161" spans="30:53" x14ac:dyDescent="0.25">
      <c r="AD1161" s="17">
        <v>1159</v>
      </c>
      <c r="AE1161" s="6">
        <v>3.0367000000000002</v>
      </c>
      <c r="AF1161" s="19">
        <v>-1.8491</v>
      </c>
      <c r="AG1161" s="6">
        <v>2.9239999999999999</v>
      </c>
      <c r="AH1161" s="6">
        <v>255</v>
      </c>
      <c r="AJ1161" s="17">
        <v>1159</v>
      </c>
      <c r="AK1161" s="6">
        <v>5.7582500000000003</v>
      </c>
      <c r="AL1161" s="19">
        <v>-1.8491</v>
      </c>
      <c r="AM1161" s="6">
        <v>2.9239999999999999</v>
      </c>
      <c r="AN1161" s="6">
        <v>255</v>
      </c>
      <c r="AQ1161" s="17">
        <v>1159</v>
      </c>
      <c r="AR1161" s="6">
        <v>1.59561</v>
      </c>
      <c r="AS1161" s="19">
        <v>-0.2298</v>
      </c>
      <c r="AT1161" s="6">
        <v>0.81020000000000003</v>
      </c>
      <c r="AU1161" s="6">
        <v>255</v>
      </c>
      <c r="AW1161" s="17">
        <v>1159</v>
      </c>
      <c r="AX1161" s="6">
        <v>0.84147000000000005</v>
      </c>
      <c r="AY1161" s="19">
        <v>-0.2298</v>
      </c>
      <c r="AZ1161" s="6">
        <v>0.81020000000000003</v>
      </c>
      <c r="BA1161" s="6">
        <v>255</v>
      </c>
    </row>
    <row r="1162" spans="30:53" x14ac:dyDescent="0.25">
      <c r="AD1162" s="17">
        <v>1160</v>
      </c>
      <c r="AE1162" s="6">
        <v>3.0465399999999998</v>
      </c>
      <c r="AF1162" s="19">
        <v>-1.8259000000000001</v>
      </c>
      <c r="AG1162" s="6">
        <v>2.9335</v>
      </c>
      <c r="AH1162" s="6">
        <v>255</v>
      </c>
      <c r="AJ1162" s="17">
        <v>1160</v>
      </c>
      <c r="AK1162" s="6">
        <v>5.7769000000000004</v>
      </c>
      <c r="AL1162" s="19">
        <v>-1.8259000000000001</v>
      </c>
      <c r="AM1162" s="6">
        <v>2.9335</v>
      </c>
      <c r="AN1162" s="6">
        <v>255</v>
      </c>
      <c r="AQ1162" s="17">
        <v>1160</v>
      </c>
      <c r="AR1162" s="6">
        <v>1.59528</v>
      </c>
      <c r="AS1162" s="6">
        <v>0.2344</v>
      </c>
      <c r="AT1162" s="6">
        <v>0.81010000000000004</v>
      </c>
      <c r="AU1162" s="6">
        <v>255</v>
      </c>
      <c r="AW1162" s="17">
        <v>1160</v>
      </c>
      <c r="AX1162" s="6">
        <v>0.84130000000000005</v>
      </c>
      <c r="AY1162" s="6">
        <v>0.2344</v>
      </c>
      <c r="AZ1162" s="6">
        <v>0.81010000000000004</v>
      </c>
      <c r="BA1162" s="6">
        <v>255</v>
      </c>
    </row>
    <row r="1163" spans="30:53" x14ac:dyDescent="0.25">
      <c r="AD1163" s="17">
        <v>1161</v>
      </c>
      <c r="AE1163" s="6">
        <v>3.0652900000000001</v>
      </c>
      <c r="AF1163" s="19">
        <v>-2.8083</v>
      </c>
      <c r="AG1163" s="6">
        <v>2.9514999999999998</v>
      </c>
      <c r="AH1163" s="6">
        <v>255</v>
      </c>
      <c r="AJ1163" s="17">
        <v>1161</v>
      </c>
      <c r="AK1163" s="6">
        <v>5.8124700000000002</v>
      </c>
      <c r="AL1163" s="19">
        <v>-2.8083</v>
      </c>
      <c r="AM1163" s="6">
        <v>2.9514999999999998</v>
      </c>
      <c r="AN1163" s="6">
        <v>255</v>
      </c>
      <c r="AQ1163" s="17">
        <v>1161</v>
      </c>
      <c r="AR1163" s="6">
        <v>1.60026</v>
      </c>
      <c r="AS1163" s="19">
        <v>-0.88009999999999999</v>
      </c>
      <c r="AT1163" s="6">
        <v>0.81259999999999999</v>
      </c>
      <c r="AU1163" s="6">
        <v>255</v>
      </c>
      <c r="AW1163" s="17">
        <v>1161</v>
      </c>
      <c r="AX1163" s="6">
        <v>0.84392</v>
      </c>
      <c r="AY1163" s="19">
        <v>-0.88009999999999999</v>
      </c>
      <c r="AZ1163" s="6">
        <v>0.81259999999999999</v>
      </c>
      <c r="BA1163" s="6">
        <v>255</v>
      </c>
    </row>
    <row r="1164" spans="30:53" x14ac:dyDescent="0.25">
      <c r="AD1164" s="17">
        <v>1162</v>
      </c>
      <c r="AE1164" s="6">
        <v>3.0472000000000001</v>
      </c>
      <c r="AF1164" s="6">
        <v>4.7815000000000003</v>
      </c>
      <c r="AG1164" s="6">
        <v>2.9340999999999999</v>
      </c>
      <c r="AH1164" s="6">
        <v>255</v>
      </c>
      <c r="AJ1164" s="17">
        <v>1162</v>
      </c>
      <c r="AK1164" s="6">
        <v>5.7781599999999997</v>
      </c>
      <c r="AL1164" s="6">
        <v>4.7815000000000003</v>
      </c>
      <c r="AM1164" s="6">
        <v>2.9340999999999999</v>
      </c>
      <c r="AN1164" s="6">
        <v>255</v>
      </c>
      <c r="AQ1164" s="17">
        <v>1162</v>
      </c>
      <c r="AR1164" s="6">
        <v>1.6065799999999999</v>
      </c>
      <c r="AS1164" s="6">
        <v>0.49540000000000001</v>
      </c>
      <c r="AT1164" s="6">
        <v>0.81579999999999997</v>
      </c>
      <c r="AU1164" s="6">
        <v>255</v>
      </c>
      <c r="AW1164" s="17">
        <v>1162</v>
      </c>
      <c r="AX1164" s="6">
        <v>0.84726000000000001</v>
      </c>
      <c r="AY1164" s="6">
        <v>0.49540000000000001</v>
      </c>
      <c r="AZ1164" s="6">
        <v>0.81579999999999997</v>
      </c>
      <c r="BA1164" s="6">
        <v>255</v>
      </c>
    </row>
    <row r="1165" spans="30:53" x14ac:dyDescent="0.25">
      <c r="AD1165" s="17">
        <v>1163</v>
      </c>
      <c r="AE1165" s="6">
        <v>3.0523500000000001</v>
      </c>
      <c r="AF1165" s="19">
        <v>-1.2588999999999999</v>
      </c>
      <c r="AG1165" s="6">
        <v>2.9390999999999998</v>
      </c>
      <c r="AH1165" s="6">
        <v>255</v>
      </c>
      <c r="AJ1165" s="17">
        <v>1163</v>
      </c>
      <c r="AK1165" s="6">
        <v>5.7879300000000002</v>
      </c>
      <c r="AL1165" s="19">
        <v>-1.2588999999999999</v>
      </c>
      <c r="AM1165" s="6">
        <v>2.9390999999999998</v>
      </c>
      <c r="AN1165" s="6">
        <v>255</v>
      </c>
      <c r="AQ1165" s="17">
        <v>1163</v>
      </c>
      <c r="AR1165" s="6">
        <v>1.6009500000000001</v>
      </c>
      <c r="AS1165" s="19">
        <v>-0.87390000000000001</v>
      </c>
      <c r="AT1165" s="6">
        <v>0.81289999999999996</v>
      </c>
      <c r="AU1165" s="6">
        <v>255</v>
      </c>
      <c r="AW1165" s="17">
        <v>1163</v>
      </c>
      <c r="AX1165" s="6">
        <v>0.84428000000000003</v>
      </c>
      <c r="AY1165" s="19">
        <v>-0.87390000000000001</v>
      </c>
      <c r="AZ1165" s="6">
        <v>0.81289999999999996</v>
      </c>
      <c r="BA1165" s="6">
        <v>255</v>
      </c>
    </row>
    <row r="1166" spans="30:53" x14ac:dyDescent="0.25">
      <c r="AD1166" s="17">
        <v>1164</v>
      </c>
      <c r="AE1166" s="6">
        <v>3.07098</v>
      </c>
      <c r="AF1166" s="6">
        <v>7.5049000000000001</v>
      </c>
      <c r="AG1166" s="6">
        <v>2.9569999999999999</v>
      </c>
      <c r="AH1166" s="6">
        <v>255</v>
      </c>
      <c r="AJ1166" s="17">
        <v>1164</v>
      </c>
      <c r="AK1166" s="6">
        <v>5.8232499999999998</v>
      </c>
      <c r="AL1166" s="6">
        <v>7.5049000000000001</v>
      </c>
      <c r="AM1166" s="6">
        <v>2.9569999999999999</v>
      </c>
      <c r="AN1166" s="6">
        <v>255</v>
      </c>
      <c r="AQ1166" s="17">
        <v>1164</v>
      </c>
      <c r="AR1166" s="6">
        <v>1.6112200000000001</v>
      </c>
      <c r="AS1166" s="6">
        <v>1.6174999999999999</v>
      </c>
      <c r="AT1166" s="6">
        <v>0.81820000000000004</v>
      </c>
      <c r="AU1166" s="6">
        <v>255</v>
      </c>
      <c r="AW1166" s="17">
        <v>1164</v>
      </c>
      <c r="AX1166" s="6">
        <v>0.84970000000000001</v>
      </c>
      <c r="AY1166" s="6">
        <v>1.6174999999999999</v>
      </c>
      <c r="AZ1166" s="6">
        <v>0.81820000000000004</v>
      </c>
      <c r="BA1166" s="6">
        <v>255</v>
      </c>
    </row>
    <row r="1167" spans="30:53" x14ac:dyDescent="0.25">
      <c r="AD1167" s="17">
        <v>1165</v>
      </c>
      <c r="AE1167" s="6">
        <v>3.0563899999999999</v>
      </c>
      <c r="AF1167" s="6">
        <v>2.0747</v>
      </c>
      <c r="AG1167" s="6">
        <v>2.9430000000000001</v>
      </c>
      <c r="AH1167" s="6">
        <v>255</v>
      </c>
      <c r="AJ1167" s="17">
        <v>1165</v>
      </c>
      <c r="AK1167" s="6">
        <v>5.7955899999999998</v>
      </c>
      <c r="AL1167" s="6">
        <v>2.0747</v>
      </c>
      <c r="AM1167" s="6">
        <v>2.9430000000000001</v>
      </c>
      <c r="AN1167" s="6">
        <v>255</v>
      </c>
      <c r="AQ1167" s="17">
        <v>1165</v>
      </c>
      <c r="AR1167" s="6">
        <v>1.60005</v>
      </c>
      <c r="AS1167" s="6">
        <v>0.27689999999999998</v>
      </c>
      <c r="AT1167" s="6">
        <v>0.8125</v>
      </c>
      <c r="AU1167" s="6">
        <v>255</v>
      </c>
      <c r="AW1167" s="17">
        <v>1165</v>
      </c>
      <c r="AX1167" s="6">
        <v>0.84380999999999995</v>
      </c>
      <c r="AY1167" s="6">
        <v>0.27689999999999998</v>
      </c>
      <c r="AZ1167" s="6">
        <v>0.8125</v>
      </c>
      <c r="BA1167" s="6">
        <v>255</v>
      </c>
    </row>
    <row r="1168" spans="30:53" x14ac:dyDescent="0.25">
      <c r="AD1168" s="17">
        <v>1166</v>
      </c>
      <c r="AE1168" s="6">
        <v>3.0585300000000002</v>
      </c>
      <c r="AF1168" s="19">
        <v>-0.18559999999999999</v>
      </c>
      <c r="AG1168" s="6">
        <v>2.9449999999999998</v>
      </c>
      <c r="AH1168" s="6">
        <v>255</v>
      </c>
      <c r="AJ1168" s="17">
        <v>1166</v>
      </c>
      <c r="AK1168" s="6">
        <v>5.7996499999999997</v>
      </c>
      <c r="AL1168" s="19">
        <v>-0.18559999999999999</v>
      </c>
      <c r="AM1168" s="6">
        <v>2.9449999999999998</v>
      </c>
      <c r="AN1168" s="6">
        <v>255</v>
      </c>
      <c r="AQ1168" s="17">
        <v>1166</v>
      </c>
      <c r="AR1168" s="6">
        <v>1.60568</v>
      </c>
      <c r="AS1168" s="6">
        <v>0.44700000000000001</v>
      </c>
      <c r="AT1168" s="6">
        <v>0.81540000000000001</v>
      </c>
      <c r="AU1168" s="6">
        <v>255</v>
      </c>
      <c r="AW1168" s="17">
        <v>1166</v>
      </c>
      <c r="AX1168" s="6">
        <v>0.84677999999999998</v>
      </c>
      <c r="AY1168" s="6">
        <v>0.44700000000000001</v>
      </c>
      <c r="AZ1168" s="6">
        <v>0.81540000000000001</v>
      </c>
      <c r="BA1168" s="6">
        <v>255</v>
      </c>
    </row>
    <row r="1169" spans="30:53" x14ac:dyDescent="0.25">
      <c r="AD1169" s="17">
        <v>1167</v>
      </c>
      <c r="AE1169" s="6">
        <v>3.03572</v>
      </c>
      <c r="AF1169" s="6">
        <v>1.0649</v>
      </c>
      <c r="AG1169" s="6">
        <v>2.923</v>
      </c>
      <c r="AH1169" s="6">
        <v>255</v>
      </c>
      <c r="AJ1169" s="17">
        <v>1167</v>
      </c>
      <c r="AK1169" s="6">
        <v>5.7563899999999997</v>
      </c>
      <c r="AL1169" s="6">
        <v>1.0649</v>
      </c>
      <c r="AM1169" s="6">
        <v>2.923</v>
      </c>
      <c r="AN1169" s="6">
        <v>255</v>
      </c>
      <c r="AQ1169" s="17">
        <v>1167</v>
      </c>
      <c r="AR1169" s="6">
        <v>1.5988800000000001</v>
      </c>
      <c r="AS1169" s="6">
        <v>3.3579999999999999E-2</v>
      </c>
      <c r="AT1169" s="6">
        <v>0.81189999999999996</v>
      </c>
      <c r="AU1169" s="6">
        <v>255</v>
      </c>
      <c r="AW1169" s="17">
        <v>1167</v>
      </c>
      <c r="AX1169" s="6">
        <v>0.84319</v>
      </c>
      <c r="AY1169" s="6">
        <v>3.3579999999999999E-2</v>
      </c>
      <c r="AZ1169" s="6">
        <v>0.81189999999999996</v>
      </c>
      <c r="BA1169" s="6">
        <v>255</v>
      </c>
    </row>
    <row r="1170" spans="30:53" x14ac:dyDescent="0.25">
      <c r="AD1170" s="17">
        <v>1168</v>
      </c>
      <c r="AE1170" s="6">
        <v>3.03464</v>
      </c>
      <c r="AF1170" s="6">
        <v>0.76959999999999995</v>
      </c>
      <c r="AG1170" s="6">
        <v>2.9220000000000002</v>
      </c>
      <c r="AH1170" s="6">
        <v>255</v>
      </c>
      <c r="AJ1170" s="17">
        <v>1168</v>
      </c>
      <c r="AK1170" s="6">
        <v>5.75434</v>
      </c>
      <c r="AL1170" s="6">
        <v>0.76959999999999995</v>
      </c>
      <c r="AM1170" s="6">
        <v>2.9220000000000002</v>
      </c>
      <c r="AN1170" s="6">
        <v>255</v>
      </c>
      <c r="AQ1170" s="17">
        <v>1168</v>
      </c>
      <c r="AR1170" s="6">
        <v>1.59897</v>
      </c>
      <c r="AS1170" s="19">
        <v>-1.1860999999999999</v>
      </c>
      <c r="AT1170" s="6">
        <v>0.81189999999999996</v>
      </c>
      <c r="AU1170" s="6">
        <v>255</v>
      </c>
      <c r="AW1170" s="17">
        <v>1168</v>
      </c>
      <c r="AX1170" s="6">
        <v>0.84323999999999999</v>
      </c>
      <c r="AY1170" s="19">
        <v>-1.1860999999999999</v>
      </c>
      <c r="AZ1170" s="6">
        <v>0.81189999999999996</v>
      </c>
      <c r="BA1170" s="6">
        <v>255</v>
      </c>
    </row>
    <row r="1171" spans="30:53" x14ac:dyDescent="0.25">
      <c r="AD1171" s="17">
        <v>1169</v>
      </c>
      <c r="AE1171" s="6">
        <v>3.0480900000000002</v>
      </c>
      <c r="AF1171" s="6">
        <v>6.2077999999999998</v>
      </c>
      <c r="AG1171" s="6">
        <v>2.9350000000000001</v>
      </c>
      <c r="AH1171" s="6">
        <v>255</v>
      </c>
      <c r="AJ1171" s="17">
        <v>1169</v>
      </c>
      <c r="AK1171" s="6">
        <v>5.7798600000000002</v>
      </c>
      <c r="AL1171" s="6">
        <v>6.2077999999999998</v>
      </c>
      <c r="AM1171" s="6">
        <v>2.9350000000000001</v>
      </c>
      <c r="AN1171" s="6">
        <v>255</v>
      </c>
      <c r="AQ1171" s="17">
        <v>1169</v>
      </c>
      <c r="AR1171" s="6">
        <v>1.59903</v>
      </c>
      <c r="AS1171" s="6">
        <v>1.7511000000000001</v>
      </c>
      <c r="AT1171" s="6">
        <v>0.81200000000000006</v>
      </c>
      <c r="AU1171" s="6">
        <v>255</v>
      </c>
      <c r="AW1171" s="17">
        <v>1169</v>
      </c>
      <c r="AX1171" s="6">
        <v>0.84326999999999996</v>
      </c>
      <c r="AY1171" s="6">
        <v>1.7511000000000001</v>
      </c>
      <c r="AZ1171" s="6">
        <v>0.81200000000000006</v>
      </c>
      <c r="BA1171" s="6">
        <v>255</v>
      </c>
    </row>
    <row r="1172" spans="30:53" x14ac:dyDescent="0.25">
      <c r="AD1172" s="17">
        <v>1170</v>
      </c>
      <c r="AE1172" s="6">
        <v>3.0499100000000001</v>
      </c>
      <c r="AF1172" s="6">
        <v>3.0619999999999998</v>
      </c>
      <c r="AG1172" s="6">
        <v>2.9367000000000001</v>
      </c>
      <c r="AH1172" s="6">
        <v>255</v>
      </c>
      <c r="AJ1172" s="17">
        <v>1170</v>
      </c>
      <c r="AK1172" s="6">
        <v>5.7832999999999997</v>
      </c>
      <c r="AL1172" s="6">
        <v>3.0619999999999998</v>
      </c>
      <c r="AM1172" s="6">
        <v>2.9367000000000001</v>
      </c>
      <c r="AN1172" s="6">
        <v>255</v>
      </c>
      <c r="AQ1172" s="17">
        <v>1170</v>
      </c>
      <c r="AR1172" s="6">
        <v>1.59754</v>
      </c>
      <c r="AS1172" s="6">
        <v>1.6048</v>
      </c>
      <c r="AT1172" s="6">
        <v>0.81120000000000003</v>
      </c>
      <c r="AU1172" s="6">
        <v>255</v>
      </c>
      <c r="AW1172" s="17">
        <v>1170</v>
      </c>
      <c r="AX1172" s="6">
        <v>0.84248999999999996</v>
      </c>
      <c r="AY1172" s="6">
        <v>1.6048</v>
      </c>
      <c r="AZ1172" s="6">
        <v>0.81120000000000003</v>
      </c>
      <c r="BA1172" s="6">
        <v>255</v>
      </c>
    </row>
    <row r="1173" spans="30:53" x14ac:dyDescent="0.25">
      <c r="AD1173" s="17">
        <v>1171</v>
      </c>
      <c r="AE1173" s="6">
        <v>3.0358399999999999</v>
      </c>
      <c r="AF1173" s="6">
        <v>1.3072999999999999</v>
      </c>
      <c r="AG1173" s="6">
        <v>2.9232</v>
      </c>
      <c r="AH1173" s="6">
        <v>255</v>
      </c>
      <c r="AJ1173" s="17">
        <v>1171</v>
      </c>
      <c r="AK1173" s="6">
        <v>5.7566199999999998</v>
      </c>
      <c r="AL1173" s="6">
        <v>1.3072999999999999</v>
      </c>
      <c r="AM1173" s="6">
        <v>2.9232</v>
      </c>
      <c r="AN1173" s="6">
        <v>255</v>
      </c>
      <c r="AQ1173" s="17">
        <v>1171</v>
      </c>
      <c r="AR1173" s="6">
        <v>1.59775</v>
      </c>
      <c r="AS1173" s="6">
        <v>1.1475</v>
      </c>
      <c r="AT1173" s="6">
        <v>0.81130000000000002</v>
      </c>
      <c r="AU1173" s="6">
        <v>255</v>
      </c>
      <c r="AW1173" s="17">
        <v>1171</v>
      </c>
      <c r="AX1173" s="6">
        <v>0.84260000000000002</v>
      </c>
      <c r="AY1173" s="6">
        <v>1.1475</v>
      </c>
      <c r="AZ1173" s="6">
        <v>0.81130000000000002</v>
      </c>
      <c r="BA1173" s="6">
        <v>255</v>
      </c>
    </row>
    <row r="1174" spans="30:53" x14ac:dyDescent="0.25">
      <c r="AD1174" s="17">
        <v>1172</v>
      </c>
      <c r="AE1174" s="6">
        <v>3.0559699999999999</v>
      </c>
      <c r="AF1174" s="6">
        <v>5.0286</v>
      </c>
      <c r="AG1174" s="6">
        <v>2.9426000000000001</v>
      </c>
      <c r="AH1174" s="6">
        <v>255</v>
      </c>
      <c r="AJ1174" s="17">
        <v>1172</v>
      </c>
      <c r="AK1174" s="6">
        <v>5.7948000000000004</v>
      </c>
      <c r="AL1174" s="6">
        <v>5.0286</v>
      </c>
      <c r="AM1174" s="6">
        <v>2.9426000000000001</v>
      </c>
      <c r="AN1174" s="6">
        <v>255</v>
      </c>
      <c r="AQ1174" s="17">
        <v>1172</v>
      </c>
      <c r="AR1174" s="6">
        <v>1.60032</v>
      </c>
      <c r="AS1174" s="6">
        <v>0.46350000000000002</v>
      </c>
      <c r="AT1174" s="6">
        <v>0.81259999999999999</v>
      </c>
      <c r="AU1174" s="6">
        <v>255</v>
      </c>
      <c r="AW1174" s="17">
        <v>1172</v>
      </c>
      <c r="AX1174" s="6">
        <v>0.84394999999999998</v>
      </c>
      <c r="AY1174" s="6">
        <v>0.46350000000000002</v>
      </c>
      <c r="AZ1174" s="6">
        <v>0.81259999999999999</v>
      </c>
      <c r="BA1174" s="6">
        <v>255</v>
      </c>
    </row>
    <row r="1175" spans="30:53" x14ac:dyDescent="0.25">
      <c r="AD1175" s="17">
        <v>1173</v>
      </c>
      <c r="AE1175" s="6">
        <v>3.04338</v>
      </c>
      <c r="AF1175" s="6">
        <v>13.5326</v>
      </c>
      <c r="AG1175" s="6">
        <v>2.9304000000000001</v>
      </c>
      <c r="AH1175" s="6">
        <v>255</v>
      </c>
      <c r="AJ1175" s="17">
        <v>1173</v>
      </c>
      <c r="AK1175" s="6">
        <v>5.7709099999999998</v>
      </c>
      <c r="AL1175" s="6">
        <v>13.5326</v>
      </c>
      <c r="AM1175" s="6">
        <v>2.9304000000000001</v>
      </c>
      <c r="AN1175" s="6">
        <v>255</v>
      </c>
      <c r="AQ1175" s="17">
        <v>1173</v>
      </c>
      <c r="AR1175" s="6">
        <v>1.6025400000000001</v>
      </c>
      <c r="AS1175" s="6">
        <v>3.3721000000000001</v>
      </c>
      <c r="AT1175" s="6">
        <v>0.81379999999999997</v>
      </c>
      <c r="AU1175" s="6">
        <v>255</v>
      </c>
      <c r="AW1175" s="17">
        <v>1173</v>
      </c>
      <c r="AX1175" s="6">
        <v>0.84511999999999998</v>
      </c>
      <c r="AY1175" s="6">
        <v>3.3721000000000001</v>
      </c>
      <c r="AZ1175" s="6">
        <v>0.81379999999999997</v>
      </c>
      <c r="BA1175" s="6">
        <v>255</v>
      </c>
    </row>
    <row r="1176" spans="30:53" x14ac:dyDescent="0.25">
      <c r="AD1176" s="17">
        <v>1174</v>
      </c>
      <c r="AE1176" s="6">
        <v>3.0758000000000001</v>
      </c>
      <c r="AF1176" s="19">
        <v>-3.4866999999999999</v>
      </c>
      <c r="AG1176" s="6">
        <v>2.9615999999999998</v>
      </c>
      <c r="AH1176" s="6">
        <v>255</v>
      </c>
      <c r="AJ1176" s="17">
        <v>1174</v>
      </c>
      <c r="AK1176" s="6">
        <v>5.8323900000000002</v>
      </c>
      <c r="AL1176" s="19">
        <v>-3.4866999999999999</v>
      </c>
      <c r="AM1176" s="6">
        <v>2.9615999999999998</v>
      </c>
      <c r="AN1176" s="6">
        <v>255</v>
      </c>
      <c r="AQ1176" s="17">
        <v>1174</v>
      </c>
      <c r="AR1176" s="6">
        <v>1.60412</v>
      </c>
      <c r="AS1176" s="19">
        <v>-1.3808</v>
      </c>
      <c r="AT1176" s="6">
        <v>0.81459999999999999</v>
      </c>
      <c r="AU1176" s="6">
        <v>255</v>
      </c>
      <c r="AW1176" s="17">
        <v>1174</v>
      </c>
      <c r="AX1176" s="6">
        <v>0.84596000000000005</v>
      </c>
      <c r="AY1176" s="19">
        <v>-1.3808</v>
      </c>
      <c r="AZ1176" s="6">
        <v>0.81459999999999999</v>
      </c>
      <c r="BA1176" s="6">
        <v>255</v>
      </c>
    </row>
    <row r="1177" spans="30:53" x14ac:dyDescent="0.25">
      <c r="AD1177" s="17">
        <v>1175</v>
      </c>
      <c r="AE1177" s="6">
        <v>3.0540600000000002</v>
      </c>
      <c r="AF1177" s="19">
        <v>-2.2989999999999999</v>
      </c>
      <c r="AG1177" s="6">
        <v>2.9407000000000001</v>
      </c>
      <c r="AH1177" s="6">
        <v>255</v>
      </c>
      <c r="AJ1177" s="17">
        <v>1175</v>
      </c>
      <c r="AK1177" s="6">
        <v>5.7911700000000002</v>
      </c>
      <c r="AL1177" s="19">
        <v>-2.2989999999999999</v>
      </c>
      <c r="AM1177" s="6">
        <v>2.9407000000000001</v>
      </c>
      <c r="AN1177" s="6">
        <v>255</v>
      </c>
      <c r="AQ1177" s="17">
        <v>1175</v>
      </c>
      <c r="AR1177" s="6">
        <v>1.5993900000000001</v>
      </c>
      <c r="AS1177" s="19">
        <v>-1.0176000000000001</v>
      </c>
      <c r="AT1177" s="6">
        <v>0.81220000000000003</v>
      </c>
      <c r="AU1177" s="6">
        <v>255</v>
      </c>
      <c r="AW1177" s="17">
        <v>1175</v>
      </c>
      <c r="AX1177" s="6">
        <v>0.84345999999999999</v>
      </c>
      <c r="AY1177" s="19">
        <v>-1.0176000000000001</v>
      </c>
      <c r="AZ1177" s="6">
        <v>0.81220000000000003</v>
      </c>
      <c r="BA1177" s="6">
        <v>255</v>
      </c>
    </row>
    <row r="1178" spans="30:53" x14ac:dyDescent="0.25">
      <c r="AD1178" s="17">
        <v>1176</v>
      </c>
      <c r="AE1178" s="6">
        <v>3.0592800000000002</v>
      </c>
      <c r="AF1178" s="19">
        <v>-1.7259</v>
      </c>
      <c r="AG1178" s="6">
        <v>2.9457</v>
      </c>
      <c r="AH1178" s="6">
        <v>255</v>
      </c>
      <c r="AJ1178" s="17">
        <v>1176</v>
      </c>
      <c r="AK1178" s="6">
        <v>5.8010599999999997</v>
      </c>
      <c r="AL1178" s="19">
        <v>-1.7259</v>
      </c>
      <c r="AM1178" s="6">
        <v>2.9457</v>
      </c>
      <c r="AN1178" s="6">
        <v>255</v>
      </c>
      <c r="AQ1178" s="17">
        <v>1176</v>
      </c>
      <c r="AR1178" s="6">
        <v>1.6028899999999999</v>
      </c>
      <c r="AS1178" s="19">
        <v>-0.48220000000000002</v>
      </c>
      <c r="AT1178" s="6">
        <v>0.81389999999999996</v>
      </c>
      <c r="AU1178" s="6">
        <v>255</v>
      </c>
      <c r="AW1178" s="17">
        <v>1176</v>
      </c>
      <c r="AX1178" s="6">
        <v>0.84531000000000001</v>
      </c>
      <c r="AY1178" s="19">
        <v>-0.48220000000000002</v>
      </c>
      <c r="AZ1178" s="6">
        <v>0.81389999999999996</v>
      </c>
      <c r="BA1178" s="6">
        <v>255</v>
      </c>
    </row>
    <row r="1179" spans="30:53" x14ac:dyDescent="0.25">
      <c r="AD1179" s="17">
        <v>1177</v>
      </c>
      <c r="AE1179" s="6">
        <v>3.0456599999999998</v>
      </c>
      <c r="AF1179" s="19">
        <v>-1.7027000000000001</v>
      </c>
      <c r="AG1179" s="6">
        <v>2.9325999999999999</v>
      </c>
      <c r="AH1179" s="6">
        <v>255</v>
      </c>
      <c r="AJ1179" s="17">
        <v>1177</v>
      </c>
      <c r="AK1179" s="6">
        <v>5.7752400000000002</v>
      </c>
      <c r="AL1179" s="19">
        <v>-1.7027000000000001</v>
      </c>
      <c r="AM1179" s="6">
        <v>2.9325999999999999</v>
      </c>
      <c r="AN1179" s="6">
        <v>255</v>
      </c>
      <c r="AQ1179" s="17">
        <v>1177</v>
      </c>
      <c r="AR1179" s="6">
        <v>1.59541</v>
      </c>
      <c r="AS1179" s="19">
        <v>-1.7989999999999999E-2</v>
      </c>
      <c r="AT1179" s="6">
        <v>0.81010000000000004</v>
      </c>
      <c r="AU1179" s="6">
        <v>255</v>
      </c>
      <c r="AW1179" s="17">
        <v>1177</v>
      </c>
      <c r="AX1179" s="6">
        <v>0.84136</v>
      </c>
      <c r="AY1179" s="19">
        <v>-1.7989999999999999E-2</v>
      </c>
      <c r="AZ1179" s="6">
        <v>0.81010000000000004</v>
      </c>
      <c r="BA1179" s="6">
        <v>255</v>
      </c>
    </row>
    <row r="1180" spans="30:53" x14ac:dyDescent="0.25">
      <c r="AD1180" s="17">
        <v>1178</v>
      </c>
      <c r="AE1180" s="6">
        <v>3.06487</v>
      </c>
      <c r="AF1180" s="19">
        <v>-2.6850999999999998</v>
      </c>
      <c r="AG1180" s="6">
        <v>2.9510999999999998</v>
      </c>
      <c r="AH1180" s="6">
        <v>255</v>
      </c>
      <c r="AJ1180" s="17">
        <v>1178</v>
      </c>
      <c r="AK1180" s="6">
        <v>5.8116700000000003</v>
      </c>
      <c r="AL1180" s="19">
        <v>-2.6850999999999998</v>
      </c>
      <c r="AM1180" s="6">
        <v>2.9510999999999998</v>
      </c>
      <c r="AN1180" s="6">
        <v>255</v>
      </c>
      <c r="AQ1180" s="17">
        <v>1178</v>
      </c>
      <c r="AR1180" s="6">
        <v>1.6041000000000001</v>
      </c>
      <c r="AS1180" s="19">
        <v>-1.1324000000000001</v>
      </c>
      <c r="AT1180" s="6">
        <v>0.8145</v>
      </c>
      <c r="AU1180" s="6">
        <v>255</v>
      </c>
      <c r="AW1180" s="17">
        <v>1178</v>
      </c>
      <c r="AX1180" s="6">
        <v>0.84594000000000003</v>
      </c>
      <c r="AY1180" s="19">
        <v>-1.1324000000000001</v>
      </c>
      <c r="AZ1180" s="6">
        <v>0.8145</v>
      </c>
      <c r="BA1180" s="6">
        <v>255</v>
      </c>
    </row>
    <row r="1181" spans="30:53" x14ac:dyDescent="0.25">
      <c r="AD1181" s="17">
        <v>1179</v>
      </c>
      <c r="AE1181" s="6">
        <v>3.06121</v>
      </c>
      <c r="AF1181" s="6">
        <v>4.9046000000000003</v>
      </c>
      <c r="AG1181" s="6">
        <v>2.9476</v>
      </c>
      <c r="AH1181" s="6">
        <v>255</v>
      </c>
      <c r="AJ1181" s="17">
        <v>1179</v>
      </c>
      <c r="AK1181" s="6">
        <v>5.8047199999999997</v>
      </c>
      <c r="AL1181" s="6">
        <v>4.9046000000000003</v>
      </c>
      <c r="AM1181" s="6">
        <v>2.9476</v>
      </c>
      <c r="AN1181" s="6">
        <v>255</v>
      </c>
      <c r="AQ1181" s="17">
        <v>1179</v>
      </c>
      <c r="AR1181" s="6">
        <v>1.6084700000000001</v>
      </c>
      <c r="AS1181" s="6">
        <v>0.24310000000000001</v>
      </c>
      <c r="AT1181" s="6">
        <v>0.81679999999999997</v>
      </c>
      <c r="AU1181" s="6">
        <v>255</v>
      </c>
      <c r="AW1181" s="17">
        <v>1179</v>
      </c>
      <c r="AX1181" s="6">
        <v>0.84824999999999995</v>
      </c>
      <c r="AY1181" s="6">
        <v>0.24310000000000001</v>
      </c>
      <c r="AZ1181" s="6">
        <v>0.81679999999999997</v>
      </c>
      <c r="BA1181" s="6">
        <v>255</v>
      </c>
    </row>
    <row r="1182" spans="30:53" x14ac:dyDescent="0.25">
      <c r="AD1182" s="17">
        <v>1180</v>
      </c>
      <c r="AE1182" s="6">
        <v>3.0550299999999999</v>
      </c>
      <c r="AF1182" s="19">
        <v>-1.1357999999999999</v>
      </c>
      <c r="AG1182" s="6">
        <v>2.9416000000000002</v>
      </c>
      <c r="AH1182" s="6">
        <v>255</v>
      </c>
      <c r="AJ1182" s="17">
        <v>1180</v>
      </c>
      <c r="AK1182" s="6">
        <v>5.7930099999999998</v>
      </c>
      <c r="AL1182" s="19">
        <v>-1.1357999999999999</v>
      </c>
      <c r="AM1182" s="6">
        <v>2.9416000000000002</v>
      </c>
      <c r="AN1182" s="6">
        <v>255</v>
      </c>
      <c r="AQ1182" s="17">
        <v>1180</v>
      </c>
      <c r="AR1182" s="6">
        <v>1.5974200000000001</v>
      </c>
      <c r="AS1182" s="19">
        <v>-1.1263000000000001</v>
      </c>
      <c r="AT1182" s="6">
        <v>0.81120000000000003</v>
      </c>
      <c r="AU1182" s="6">
        <v>255</v>
      </c>
      <c r="AW1182" s="17">
        <v>1180</v>
      </c>
      <c r="AX1182" s="6">
        <v>0.84241999999999995</v>
      </c>
      <c r="AY1182" s="19">
        <v>-1.1263000000000001</v>
      </c>
      <c r="AZ1182" s="6">
        <v>0.81120000000000003</v>
      </c>
      <c r="BA1182" s="6">
        <v>255</v>
      </c>
    </row>
    <row r="1183" spans="30:53" x14ac:dyDescent="0.25">
      <c r="AD1183" s="17">
        <v>1181</v>
      </c>
      <c r="AE1183" s="6">
        <v>3.0614499999999998</v>
      </c>
      <c r="AF1183" s="6">
        <v>7.6280999999999999</v>
      </c>
      <c r="AG1183" s="6">
        <v>2.9478</v>
      </c>
      <c r="AH1183" s="6">
        <v>255</v>
      </c>
      <c r="AJ1183" s="17">
        <v>1181</v>
      </c>
      <c r="AK1183" s="6">
        <v>5.80518</v>
      </c>
      <c r="AL1183" s="6">
        <v>7.6280999999999999</v>
      </c>
      <c r="AM1183" s="6">
        <v>2.9478</v>
      </c>
      <c r="AN1183" s="6">
        <v>255</v>
      </c>
      <c r="AQ1183" s="17">
        <v>1181</v>
      </c>
      <c r="AR1183" s="6">
        <v>1.60975</v>
      </c>
      <c r="AS1183" s="6">
        <v>1.3651</v>
      </c>
      <c r="AT1183" s="6">
        <v>0.81740000000000002</v>
      </c>
      <c r="AU1183" s="6">
        <v>255</v>
      </c>
      <c r="AW1183" s="17">
        <v>1181</v>
      </c>
      <c r="AX1183" s="6">
        <v>0.84892999999999996</v>
      </c>
      <c r="AY1183" s="6">
        <v>1.3651</v>
      </c>
      <c r="AZ1183" s="6">
        <v>0.81740000000000002</v>
      </c>
      <c r="BA1183" s="6">
        <v>255</v>
      </c>
    </row>
    <row r="1184" spans="30:53" x14ac:dyDescent="0.25">
      <c r="AD1184" s="17">
        <v>1182</v>
      </c>
      <c r="AE1184" s="6">
        <v>3.0548199999999999</v>
      </c>
      <c r="AF1184" s="6">
        <v>2.1978</v>
      </c>
      <c r="AG1184" s="6">
        <v>2.9413999999999998</v>
      </c>
      <c r="AH1184" s="6">
        <v>255</v>
      </c>
      <c r="AJ1184" s="17">
        <v>1182</v>
      </c>
      <c r="AK1184" s="6">
        <v>5.7926099999999998</v>
      </c>
      <c r="AL1184" s="6">
        <v>2.1978</v>
      </c>
      <c r="AM1184" s="6">
        <v>2.9413999999999998</v>
      </c>
      <c r="AN1184" s="6">
        <v>255</v>
      </c>
      <c r="AQ1184" s="17">
        <v>1182</v>
      </c>
      <c r="AR1184" s="6">
        <v>1.59782</v>
      </c>
      <c r="AS1184" s="6">
        <v>2.4479999999999998E-2</v>
      </c>
      <c r="AT1184" s="6">
        <v>0.81140000000000001</v>
      </c>
      <c r="AU1184" s="6">
        <v>255</v>
      </c>
      <c r="AW1184" s="17">
        <v>1182</v>
      </c>
      <c r="AX1184" s="6">
        <v>0.84262999999999999</v>
      </c>
      <c r="AY1184" s="6">
        <v>2.4479999999999998E-2</v>
      </c>
      <c r="AZ1184" s="6">
        <v>0.81140000000000001</v>
      </c>
      <c r="BA1184" s="6">
        <v>255</v>
      </c>
    </row>
    <row r="1185" spans="30:53" x14ac:dyDescent="0.25">
      <c r="AD1185" s="17">
        <v>1183</v>
      </c>
      <c r="AE1185" s="6">
        <v>3.0538599999999998</v>
      </c>
      <c r="AF1185" s="19">
        <v>-6.2429999999999999E-2</v>
      </c>
      <c r="AG1185" s="6">
        <v>2.9405000000000001</v>
      </c>
      <c r="AH1185" s="6">
        <v>255</v>
      </c>
      <c r="AJ1185" s="17">
        <v>1183</v>
      </c>
      <c r="AK1185" s="6">
        <v>5.7907900000000003</v>
      </c>
      <c r="AL1185" s="19">
        <v>-6.2429999999999999E-2</v>
      </c>
      <c r="AM1185" s="6">
        <v>2.9405000000000001</v>
      </c>
      <c r="AN1185" s="6">
        <v>255</v>
      </c>
      <c r="AQ1185" s="17">
        <v>1183</v>
      </c>
      <c r="AR1185" s="6">
        <v>1.6020000000000001</v>
      </c>
      <c r="AS1185" s="6">
        <v>0.1946</v>
      </c>
      <c r="AT1185" s="6">
        <v>0.8135</v>
      </c>
      <c r="AU1185" s="6">
        <v>255</v>
      </c>
      <c r="AW1185" s="17">
        <v>1183</v>
      </c>
      <c r="AX1185" s="6">
        <v>0.84484000000000004</v>
      </c>
      <c r="AY1185" s="6">
        <v>0.1946</v>
      </c>
      <c r="AZ1185" s="6">
        <v>0.8135</v>
      </c>
      <c r="BA1185" s="6">
        <v>255</v>
      </c>
    </row>
    <row r="1186" spans="30:53" x14ac:dyDescent="0.25">
      <c r="AD1186" s="17">
        <v>1184</v>
      </c>
      <c r="AE1186" s="6">
        <v>3.0398200000000002</v>
      </c>
      <c r="AF1186" s="6">
        <v>1.1879999999999999</v>
      </c>
      <c r="AG1186" s="6">
        <v>2.927</v>
      </c>
      <c r="AH1186" s="6">
        <v>255</v>
      </c>
      <c r="AJ1186" s="17">
        <v>1184</v>
      </c>
      <c r="AK1186" s="6">
        <v>5.76417</v>
      </c>
      <c r="AL1186" s="6">
        <v>1.1879999999999999</v>
      </c>
      <c r="AM1186" s="6">
        <v>2.927</v>
      </c>
      <c r="AN1186" s="6">
        <v>255</v>
      </c>
      <c r="AQ1186" s="17">
        <v>1184</v>
      </c>
      <c r="AR1186" s="6">
        <v>1.5998399999999999</v>
      </c>
      <c r="AS1186" s="19">
        <v>-0.21879999999999999</v>
      </c>
      <c r="AT1186" s="6">
        <v>0.81240000000000001</v>
      </c>
      <c r="AU1186" s="6">
        <v>255</v>
      </c>
      <c r="AW1186" s="17">
        <v>1184</v>
      </c>
      <c r="AX1186" s="6">
        <v>0.84370000000000001</v>
      </c>
      <c r="AY1186" s="19">
        <v>-0.21879999999999999</v>
      </c>
      <c r="AZ1186" s="6">
        <v>0.81240000000000001</v>
      </c>
      <c r="BA1186" s="6">
        <v>255</v>
      </c>
    </row>
    <row r="1187" spans="30:53" x14ac:dyDescent="0.25">
      <c r="AD1187" s="17">
        <v>1185</v>
      </c>
      <c r="AE1187" s="6">
        <v>3.04895</v>
      </c>
      <c r="AF1187" s="6">
        <v>0.89280000000000004</v>
      </c>
      <c r="AG1187" s="6">
        <v>2.9358</v>
      </c>
      <c r="AH1187" s="6">
        <v>255</v>
      </c>
      <c r="AJ1187" s="17">
        <v>1185</v>
      </c>
      <c r="AK1187" s="6">
        <v>5.7814800000000002</v>
      </c>
      <c r="AL1187" s="6">
        <v>0.89280000000000004</v>
      </c>
      <c r="AM1187" s="6">
        <v>2.9358</v>
      </c>
      <c r="AN1187" s="6">
        <v>255</v>
      </c>
      <c r="AQ1187" s="17">
        <v>1185</v>
      </c>
      <c r="AR1187" s="6">
        <v>1.6059099999999999</v>
      </c>
      <c r="AS1187" s="19">
        <v>-1.4384999999999999</v>
      </c>
      <c r="AT1187" s="6">
        <v>0.8155</v>
      </c>
      <c r="AU1187" s="6">
        <v>255</v>
      </c>
      <c r="AW1187" s="17">
        <v>1185</v>
      </c>
      <c r="AX1187" s="6">
        <v>0.84689999999999999</v>
      </c>
      <c r="AY1187" s="19">
        <v>-1.4384999999999999</v>
      </c>
      <c r="AZ1187" s="6">
        <v>0.8155</v>
      </c>
      <c r="BA1187" s="6">
        <v>255</v>
      </c>
    </row>
    <row r="1188" spans="30:53" x14ac:dyDescent="0.25">
      <c r="AD1188" s="17">
        <v>1186</v>
      </c>
      <c r="AE1188" s="6">
        <v>3.0545300000000002</v>
      </c>
      <c r="AF1188" s="6">
        <v>6.3308999999999997</v>
      </c>
      <c r="AG1188" s="6">
        <v>2.9411999999999998</v>
      </c>
      <c r="AH1188" s="6">
        <v>255</v>
      </c>
      <c r="AJ1188" s="17">
        <v>1186</v>
      </c>
      <c r="AK1188" s="6">
        <v>5.7920699999999998</v>
      </c>
      <c r="AL1188" s="6">
        <v>6.3308999999999997</v>
      </c>
      <c r="AM1188" s="6">
        <v>2.9411999999999998</v>
      </c>
      <c r="AN1188" s="6">
        <v>255</v>
      </c>
      <c r="AQ1188" s="17">
        <v>1186</v>
      </c>
      <c r="AR1188" s="6">
        <v>1.59988</v>
      </c>
      <c r="AS1188" s="6">
        <v>1.4986999999999999</v>
      </c>
      <c r="AT1188" s="6">
        <v>0.81240000000000001</v>
      </c>
      <c r="AU1188" s="6">
        <v>255</v>
      </c>
      <c r="AW1188" s="17">
        <v>1186</v>
      </c>
      <c r="AX1188" s="6">
        <v>0.84372000000000003</v>
      </c>
      <c r="AY1188" s="6">
        <v>1.4986999999999999</v>
      </c>
      <c r="AZ1188" s="6">
        <v>0.81240000000000001</v>
      </c>
      <c r="BA1188" s="6">
        <v>255</v>
      </c>
    </row>
    <row r="1189" spans="30:53" x14ac:dyDescent="0.25">
      <c r="AD1189" s="17">
        <v>1187</v>
      </c>
      <c r="AE1189" s="6">
        <v>3.0633699999999999</v>
      </c>
      <c r="AF1189" s="6">
        <v>3.1850999999999998</v>
      </c>
      <c r="AG1189" s="6">
        <v>2.9497</v>
      </c>
      <c r="AH1189" s="6">
        <v>255</v>
      </c>
      <c r="AJ1189" s="17">
        <v>1187</v>
      </c>
      <c r="AK1189" s="6">
        <v>5.8088199999999999</v>
      </c>
      <c r="AL1189" s="6">
        <v>3.1850999999999998</v>
      </c>
      <c r="AM1189" s="6">
        <v>2.9497</v>
      </c>
      <c r="AN1189" s="6">
        <v>255</v>
      </c>
      <c r="AQ1189" s="17">
        <v>1187</v>
      </c>
      <c r="AR1189" s="6">
        <v>1.5992500000000001</v>
      </c>
      <c r="AS1189" s="6">
        <v>1.3524</v>
      </c>
      <c r="AT1189" s="6">
        <v>0.81210000000000004</v>
      </c>
      <c r="AU1189" s="6">
        <v>255</v>
      </c>
      <c r="AW1189" s="17">
        <v>1187</v>
      </c>
      <c r="AX1189" s="6">
        <v>0.84338999999999997</v>
      </c>
      <c r="AY1189" s="6">
        <v>1.3524</v>
      </c>
      <c r="AZ1189" s="6">
        <v>0.81210000000000004</v>
      </c>
      <c r="BA1189" s="6">
        <v>255</v>
      </c>
    </row>
    <row r="1190" spans="30:53" x14ac:dyDescent="0.25">
      <c r="AD1190" s="17">
        <v>1188</v>
      </c>
      <c r="AE1190" s="6">
        <v>3.06643</v>
      </c>
      <c r="AF1190" s="6">
        <v>1.4303999999999999</v>
      </c>
      <c r="AG1190" s="6">
        <v>2.9525999999999999</v>
      </c>
      <c r="AH1190" s="6">
        <v>255</v>
      </c>
      <c r="AJ1190" s="17">
        <v>1188</v>
      </c>
      <c r="AK1190" s="6">
        <v>5.8146199999999997</v>
      </c>
      <c r="AL1190" s="6">
        <v>1.4303999999999999</v>
      </c>
      <c r="AM1190" s="6">
        <v>2.9525999999999999</v>
      </c>
      <c r="AN1190" s="6">
        <v>255</v>
      </c>
      <c r="AQ1190" s="17">
        <v>1188</v>
      </c>
      <c r="AR1190" s="6">
        <v>1.6036699999999999</v>
      </c>
      <c r="AS1190" s="6">
        <v>0.89510000000000001</v>
      </c>
      <c r="AT1190" s="6">
        <v>0.81430000000000002</v>
      </c>
      <c r="AU1190" s="6">
        <v>255</v>
      </c>
      <c r="AW1190" s="17">
        <v>1188</v>
      </c>
      <c r="AX1190" s="6">
        <v>0.84572000000000003</v>
      </c>
      <c r="AY1190" s="6">
        <v>0.89510000000000001</v>
      </c>
      <c r="AZ1190" s="6">
        <v>0.81430000000000002</v>
      </c>
      <c r="BA1190" s="6">
        <v>255</v>
      </c>
    </row>
    <row r="1191" spans="30:53" x14ac:dyDescent="0.25">
      <c r="AD1191" s="17">
        <v>1189</v>
      </c>
      <c r="AE1191" s="6">
        <v>3.0624400000000001</v>
      </c>
      <c r="AF1191" s="6">
        <v>5.1516999999999999</v>
      </c>
      <c r="AG1191" s="6">
        <v>2.9487999999999999</v>
      </c>
      <c r="AH1191" s="6">
        <v>255</v>
      </c>
      <c r="AJ1191" s="17">
        <v>1189</v>
      </c>
      <c r="AK1191" s="6">
        <v>5.8070599999999999</v>
      </c>
      <c r="AL1191" s="6">
        <v>5.1516999999999999</v>
      </c>
      <c r="AM1191" s="6">
        <v>2.9487999999999999</v>
      </c>
      <c r="AN1191" s="6">
        <v>255</v>
      </c>
      <c r="AQ1191" s="17">
        <v>1189</v>
      </c>
      <c r="AR1191" s="6">
        <v>1.6077600000000001</v>
      </c>
      <c r="AS1191" s="6">
        <v>0.2112</v>
      </c>
      <c r="AT1191" s="6">
        <v>0.81640000000000001</v>
      </c>
      <c r="AU1191" s="6">
        <v>255</v>
      </c>
      <c r="AW1191" s="17">
        <v>1189</v>
      </c>
      <c r="AX1191" s="6">
        <v>0.84787999999999997</v>
      </c>
      <c r="AY1191" s="6">
        <v>0.2112</v>
      </c>
      <c r="AZ1191" s="6">
        <v>0.81640000000000001</v>
      </c>
      <c r="BA1191" s="6">
        <v>255</v>
      </c>
    </row>
    <row r="1192" spans="30:53" x14ac:dyDescent="0.25">
      <c r="AD1192" s="17">
        <v>1190</v>
      </c>
      <c r="AE1192" s="6">
        <v>3.0388500000000001</v>
      </c>
      <c r="AF1192" s="6">
        <v>13.6557</v>
      </c>
      <c r="AG1192" s="6">
        <v>2.9260999999999999</v>
      </c>
      <c r="AH1192" s="6">
        <v>255</v>
      </c>
      <c r="AJ1192" s="17">
        <v>1190</v>
      </c>
      <c r="AK1192" s="6">
        <v>5.7623300000000004</v>
      </c>
      <c r="AL1192" s="6">
        <v>13.6557</v>
      </c>
      <c r="AM1192" s="6">
        <v>2.9260999999999999</v>
      </c>
      <c r="AN1192" s="6">
        <v>255</v>
      </c>
      <c r="AQ1192" s="17">
        <v>1190</v>
      </c>
      <c r="AR1192" s="6">
        <v>1.5989599999999999</v>
      </c>
      <c r="AS1192" s="6">
        <v>3.1196999999999999</v>
      </c>
      <c r="AT1192" s="6">
        <v>0.81189999999999996</v>
      </c>
      <c r="AU1192" s="6">
        <v>255</v>
      </c>
      <c r="AW1192" s="17">
        <v>1190</v>
      </c>
      <c r="AX1192" s="6">
        <v>0.84323000000000004</v>
      </c>
      <c r="AY1192" s="6">
        <v>3.1196999999999999</v>
      </c>
      <c r="AZ1192" s="6">
        <v>0.81189999999999996</v>
      </c>
      <c r="BA1192" s="6">
        <v>255</v>
      </c>
    </row>
    <row r="1193" spans="30:53" x14ac:dyDescent="0.25">
      <c r="AD1193" s="17">
        <v>1191</v>
      </c>
      <c r="AE1193" s="6">
        <v>3.0443799999999999</v>
      </c>
      <c r="AF1193" s="6">
        <v>1.1877</v>
      </c>
      <c r="AG1193" s="6">
        <v>2.9314</v>
      </c>
      <c r="AH1193" s="6">
        <v>255</v>
      </c>
      <c r="AJ1193" s="17">
        <v>1191</v>
      </c>
      <c r="AK1193" s="6">
        <v>5.7728099999999998</v>
      </c>
      <c r="AL1193" s="6">
        <v>1.1877</v>
      </c>
      <c r="AM1193" s="6">
        <v>2.9314</v>
      </c>
      <c r="AN1193" s="6">
        <v>255</v>
      </c>
      <c r="AQ1193" s="17">
        <v>1191</v>
      </c>
      <c r="AR1193" s="6">
        <v>1.585</v>
      </c>
      <c r="AS1193" s="6">
        <v>0.36320000000000002</v>
      </c>
      <c r="AT1193" s="6">
        <v>0.80489999999999995</v>
      </c>
      <c r="AU1193" s="6">
        <v>255</v>
      </c>
      <c r="AW1193" s="17">
        <v>1191</v>
      </c>
      <c r="AX1193" s="6">
        <v>0.83587</v>
      </c>
      <c r="AY1193" s="6">
        <v>0.36320000000000002</v>
      </c>
      <c r="AZ1193" s="6">
        <v>0.80489999999999995</v>
      </c>
      <c r="BA1193" s="6">
        <v>255</v>
      </c>
    </row>
    <row r="1194" spans="30:53" x14ac:dyDescent="0.25">
      <c r="AD1194" s="17">
        <v>1192</v>
      </c>
      <c r="AE1194" s="6">
        <v>3.0535899999999998</v>
      </c>
      <c r="AF1194" s="6">
        <v>1.7606999999999999</v>
      </c>
      <c r="AG1194" s="6">
        <v>2.9403000000000001</v>
      </c>
      <c r="AH1194" s="6">
        <v>255</v>
      </c>
      <c r="AJ1194" s="17">
        <v>1192</v>
      </c>
      <c r="AK1194" s="6">
        <v>5.7902800000000001</v>
      </c>
      <c r="AL1194" s="6">
        <v>1.7606999999999999</v>
      </c>
      <c r="AM1194" s="6">
        <v>2.9403000000000001</v>
      </c>
      <c r="AN1194" s="6">
        <v>255</v>
      </c>
      <c r="AQ1194" s="17">
        <v>1192</v>
      </c>
      <c r="AR1194" s="6">
        <v>1.5896699999999999</v>
      </c>
      <c r="AS1194" s="6">
        <v>0.89870000000000005</v>
      </c>
      <c r="AT1194" s="6">
        <v>0.80720000000000003</v>
      </c>
      <c r="AU1194" s="6">
        <v>255</v>
      </c>
      <c r="AW1194" s="17">
        <v>1192</v>
      </c>
      <c r="AX1194" s="6">
        <v>0.83833000000000002</v>
      </c>
      <c r="AY1194" s="6">
        <v>0.89870000000000005</v>
      </c>
      <c r="AZ1194" s="6">
        <v>0.80720000000000003</v>
      </c>
      <c r="BA1194" s="6">
        <v>255</v>
      </c>
    </row>
    <row r="1195" spans="30:53" x14ac:dyDescent="0.25">
      <c r="AD1195" s="17">
        <v>1193</v>
      </c>
      <c r="AE1195" s="6">
        <v>3.03559</v>
      </c>
      <c r="AF1195" s="6">
        <v>1.7839</v>
      </c>
      <c r="AG1195" s="6">
        <v>2.9228999999999998</v>
      </c>
      <c r="AH1195" s="6">
        <v>255</v>
      </c>
      <c r="AJ1195" s="17">
        <v>1193</v>
      </c>
      <c r="AK1195" s="6">
        <v>5.7561499999999999</v>
      </c>
      <c r="AL1195" s="6">
        <v>1.7839</v>
      </c>
      <c r="AM1195" s="6">
        <v>2.9228999999999998</v>
      </c>
      <c r="AN1195" s="6">
        <v>255</v>
      </c>
      <c r="AQ1195" s="17">
        <v>1193</v>
      </c>
      <c r="AR1195" s="6">
        <v>1.5817399999999999</v>
      </c>
      <c r="AS1195" s="6">
        <v>1.3629</v>
      </c>
      <c r="AT1195" s="6">
        <v>0.80320000000000003</v>
      </c>
      <c r="AU1195" s="6">
        <v>255</v>
      </c>
      <c r="AW1195" s="17">
        <v>1193</v>
      </c>
      <c r="AX1195" s="6">
        <v>0.83414999999999995</v>
      </c>
      <c r="AY1195" s="6">
        <v>1.3629</v>
      </c>
      <c r="AZ1195" s="6">
        <v>0.80320000000000003</v>
      </c>
      <c r="BA1195" s="6">
        <v>255</v>
      </c>
    </row>
    <row r="1196" spans="30:53" x14ac:dyDescent="0.25">
      <c r="AD1196" s="17">
        <v>1194</v>
      </c>
      <c r="AE1196" s="6">
        <v>3.0588899999999999</v>
      </c>
      <c r="AF1196" s="6">
        <v>0.80149999999999999</v>
      </c>
      <c r="AG1196" s="6">
        <v>2.9453999999999998</v>
      </c>
      <c r="AH1196" s="6">
        <v>255</v>
      </c>
      <c r="AJ1196" s="17">
        <v>1194</v>
      </c>
      <c r="AK1196" s="6">
        <v>5.8003400000000003</v>
      </c>
      <c r="AL1196" s="6">
        <v>0.80149999999999999</v>
      </c>
      <c r="AM1196" s="6">
        <v>2.9453999999999998</v>
      </c>
      <c r="AN1196" s="6">
        <v>255</v>
      </c>
      <c r="AQ1196" s="17">
        <v>1194</v>
      </c>
      <c r="AR1196" s="6">
        <v>1.59155</v>
      </c>
      <c r="AS1196" s="6">
        <v>0.24840000000000001</v>
      </c>
      <c r="AT1196" s="6">
        <v>0.80820000000000003</v>
      </c>
      <c r="AU1196" s="6">
        <v>255</v>
      </c>
      <c r="AW1196" s="17">
        <v>1194</v>
      </c>
      <c r="AX1196" s="6">
        <v>0.83933000000000002</v>
      </c>
      <c r="AY1196" s="6">
        <v>0.24840000000000001</v>
      </c>
      <c r="AZ1196" s="6">
        <v>0.80820000000000003</v>
      </c>
      <c r="BA1196" s="6">
        <v>255</v>
      </c>
    </row>
    <row r="1197" spans="30:53" x14ac:dyDescent="0.25">
      <c r="AD1197" s="17">
        <v>1195</v>
      </c>
      <c r="AE1197" s="6">
        <v>3.05911</v>
      </c>
      <c r="AF1197" s="6">
        <v>8.3911999999999995</v>
      </c>
      <c r="AG1197" s="6">
        <v>2.9456000000000002</v>
      </c>
      <c r="AH1197" s="6">
        <v>255</v>
      </c>
      <c r="AJ1197" s="17">
        <v>1195</v>
      </c>
      <c r="AK1197" s="6">
        <v>5.8007499999999999</v>
      </c>
      <c r="AL1197" s="6">
        <v>8.3911999999999995</v>
      </c>
      <c r="AM1197" s="6">
        <v>2.9456000000000002</v>
      </c>
      <c r="AN1197" s="6">
        <v>255</v>
      </c>
      <c r="AQ1197" s="17">
        <v>1195</v>
      </c>
      <c r="AR1197" s="6">
        <v>1.59873</v>
      </c>
      <c r="AS1197" s="6">
        <v>1.6238999999999999</v>
      </c>
      <c r="AT1197" s="6">
        <v>0.81179999999999997</v>
      </c>
      <c r="AU1197" s="6">
        <v>255</v>
      </c>
      <c r="AW1197" s="17">
        <v>1195</v>
      </c>
      <c r="AX1197" s="6">
        <v>0.84311000000000003</v>
      </c>
      <c r="AY1197" s="6">
        <v>1.6238999999999999</v>
      </c>
      <c r="AZ1197" s="6">
        <v>0.81179999999999997</v>
      </c>
      <c r="BA1197" s="6">
        <v>255</v>
      </c>
    </row>
    <row r="1198" spans="30:53" x14ac:dyDescent="0.25">
      <c r="AD1198" s="17">
        <v>1196</v>
      </c>
      <c r="AE1198" s="6">
        <v>3.0514199999999998</v>
      </c>
      <c r="AF1198" s="6">
        <v>2.3508</v>
      </c>
      <c r="AG1198" s="6">
        <v>2.9382000000000001</v>
      </c>
      <c r="AH1198" s="6">
        <v>255</v>
      </c>
      <c r="AJ1198" s="17">
        <v>1196</v>
      </c>
      <c r="AK1198" s="6">
        <v>5.7861700000000003</v>
      </c>
      <c r="AL1198" s="6">
        <v>2.3508</v>
      </c>
      <c r="AM1198" s="6">
        <v>2.9382000000000001</v>
      </c>
      <c r="AN1198" s="6">
        <v>255</v>
      </c>
      <c r="AQ1198" s="17">
        <v>1196</v>
      </c>
      <c r="AR1198" s="6">
        <v>1.5897600000000001</v>
      </c>
      <c r="AS1198" s="6">
        <v>0.2545</v>
      </c>
      <c r="AT1198" s="6">
        <v>0.80730000000000002</v>
      </c>
      <c r="AU1198" s="6">
        <v>255</v>
      </c>
      <c r="AW1198" s="17">
        <v>1196</v>
      </c>
      <c r="AX1198" s="6">
        <v>0.83838000000000001</v>
      </c>
      <c r="AY1198" s="6">
        <v>0.2545</v>
      </c>
      <c r="AZ1198" s="6">
        <v>0.80730000000000002</v>
      </c>
      <c r="BA1198" s="6">
        <v>255</v>
      </c>
    </row>
    <row r="1199" spans="30:53" x14ac:dyDescent="0.25">
      <c r="AD1199" s="17">
        <v>1197</v>
      </c>
      <c r="AE1199" s="6">
        <v>3.0748899999999999</v>
      </c>
      <c r="AF1199" s="6">
        <v>11.114699999999999</v>
      </c>
      <c r="AG1199" s="6">
        <v>2.9607999999999999</v>
      </c>
      <c r="AH1199" s="6">
        <v>255</v>
      </c>
      <c r="AJ1199" s="17">
        <v>1197</v>
      </c>
      <c r="AK1199" s="6">
        <v>5.83066</v>
      </c>
      <c r="AL1199" s="6">
        <v>11.114699999999999</v>
      </c>
      <c r="AM1199" s="6">
        <v>2.9607999999999999</v>
      </c>
      <c r="AN1199" s="6">
        <v>255</v>
      </c>
      <c r="AQ1199" s="17">
        <v>1197</v>
      </c>
      <c r="AR1199" s="6">
        <v>1.6045499999999999</v>
      </c>
      <c r="AS1199" s="6">
        <v>2.7458999999999998</v>
      </c>
      <c r="AT1199" s="6">
        <v>0.81479999999999997</v>
      </c>
      <c r="AU1199" s="6">
        <v>255</v>
      </c>
      <c r="AW1199" s="17">
        <v>1197</v>
      </c>
      <c r="AX1199" s="6">
        <v>0.84618000000000004</v>
      </c>
      <c r="AY1199" s="6">
        <v>2.7458999999999998</v>
      </c>
      <c r="AZ1199" s="6">
        <v>0.81479999999999997</v>
      </c>
      <c r="BA1199" s="6">
        <v>255</v>
      </c>
    </row>
    <row r="1200" spans="30:53" x14ac:dyDescent="0.25">
      <c r="AD1200" s="17">
        <v>1198</v>
      </c>
      <c r="AE1200" s="6">
        <v>3.05985</v>
      </c>
      <c r="AF1200" s="6">
        <v>5.6844000000000001</v>
      </c>
      <c r="AG1200" s="6">
        <v>2.9462999999999999</v>
      </c>
      <c r="AH1200" s="6">
        <v>255</v>
      </c>
      <c r="AJ1200" s="17">
        <v>1198</v>
      </c>
      <c r="AK1200" s="6">
        <v>5.8021599999999998</v>
      </c>
      <c r="AL1200" s="6">
        <v>5.6844000000000001</v>
      </c>
      <c r="AM1200" s="6">
        <v>2.9462999999999999</v>
      </c>
      <c r="AN1200" s="6">
        <v>255</v>
      </c>
      <c r="AQ1200" s="17">
        <v>1198</v>
      </c>
      <c r="AR1200" s="6">
        <v>1.59114</v>
      </c>
      <c r="AS1200" s="6">
        <v>1.4053</v>
      </c>
      <c r="AT1200" s="6">
        <v>0.80800000000000005</v>
      </c>
      <c r="AU1200" s="6">
        <v>255</v>
      </c>
      <c r="AW1200" s="17">
        <v>1198</v>
      </c>
      <c r="AX1200" s="6">
        <v>0.83911000000000002</v>
      </c>
      <c r="AY1200" s="6">
        <v>1.4053</v>
      </c>
      <c r="AZ1200" s="6">
        <v>0.80800000000000005</v>
      </c>
      <c r="BA1200" s="6">
        <v>255</v>
      </c>
    </row>
    <row r="1201" spans="30:53" x14ac:dyDescent="0.25">
      <c r="AD1201" s="17">
        <v>1199</v>
      </c>
      <c r="AE1201" s="6">
        <v>3.0811000000000002</v>
      </c>
      <c r="AF1201" s="6">
        <v>3.4241999999999999</v>
      </c>
      <c r="AG1201" s="6">
        <v>2.9666999999999999</v>
      </c>
      <c r="AH1201" s="6">
        <v>255</v>
      </c>
      <c r="AJ1201" s="17">
        <v>1199</v>
      </c>
      <c r="AK1201" s="6">
        <v>5.8424399999999999</v>
      </c>
      <c r="AL1201" s="6">
        <v>3.4241999999999999</v>
      </c>
      <c r="AM1201" s="6">
        <v>2.9666999999999999</v>
      </c>
      <c r="AN1201" s="6">
        <v>255</v>
      </c>
      <c r="AQ1201" s="17">
        <v>1199</v>
      </c>
      <c r="AR1201" s="6">
        <v>1.60371</v>
      </c>
      <c r="AS1201" s="6">
        <v>1.5753999999999999</v>
      </c>
      <c r="AT1201" s="6">
        <v>0.81440000000000001</v>
      </c>
      <c r="AU1201" s="6">
        <v>255</v>
      </c>
      <c r="AW1201" s="17">
        <v>1199</v>
      </c>
      <c r="AX1201" s="6">
        <v>0.84574000000000005</v>
      </c>
      <c r="AY1201" s="6">
        <v>1.5753999999999999</v>
      </c>
      <c r="AZ1201" s="6">
        <v>0.81440000000000001</v>
      </c>
      <c r="BA1201" s="6">
        <v>255</v>
      </c>
    </row>
    <row r="1202" spans="30:53" x14ac:dyDescent="0.25">
      <c r="AD1202" s="17">
        <v>1200</v>
      </c>
      <c r="AE1202" s="6">
        <v>3.0447000000000002</v>
      </c>
      <c r="AF1202" s="6">
        <v>4.6746999999999996</v>
      </c>
      <c r="AG1202" s="6">
        <v>2.9317000000000002</v>
      </c>
      <c r="AH1202" s="6">
        <v>255</v>
      </c>
      <c r="AJ1202" s="17">
        <v>1200</v>
      </c>
      <c r="AK1202" s="6">
        <v>5.7734199999999998</v>
      </c>
      <c r="AL1202" s="6">
        <v>4.6746999999999996</v>
      </c>
      <c r="AM1202" s="6">
        <v>2.9317000000000002</v>
      </c>
      <c r="AN1202" s="6">
        <v>255</v>
      </c>
      <c r="AQ1202" s="17">
        <v>1200</v>
      </c>
      <c r="AR1202" s="6">
        <v>1.5941000000000001</v>
      </c>
      <c r="AS1202" s="6">
        <v>1.1619999999999999</v>
      </c>
      <c r="AT1202" s="6">
        <v>0.8095</v>
      </c>
      <c r="AU1202" s="6">
        <v>255</v>
      </c>
      <c r="AW1202" s="17">
        <v>1200</v>
      </c>
      <c r="AX1202" s="6">
        <v>0.84067000000000003</v>
      </c>
      <c r="AY1202" s="6">
        <v>1.1619999999999999</v>
      </c>
      <c r="AZ1202" s="6">
        <v>0.8095</v>
      </c>
      <c r="BA1202" s="6">
        <v>255</v>
      </c>
    </row>
    <row r="1203" spans="30:53" x14ac:dyDescent="0.25">
      <c r="AD1203" s="17">
        <v>1201</v>
      </c>
      <c r="AE1203" s="6">
        <v>3.0556700000000001</v>
      </c>
      <c r="AF1203" s="6">
        <v>4.3794000000000004</v>
      </c>
      <c r="AG1203" s="6">
        <v>2.9422999999999999</v>
      </c>
      <c r="AH1203" s="6">
        <v>255</v>
      </c>
      <c r="AJ1203" s="17">
        <v>1201</v>
      </c>
      <c r="AK1203" s="6">
        <v>5.7942200000000001</v>
      </c>
      <c r="AL1203" s="6">
        <v>4.3794000000000004</v>
      </c>
      <c r="AM1203" s="6">
        <v>2.9422999999999999</v>
      </c>
      <c r="AN1203" s="6">
        <v>255</v>
      </c>
      <c r="AQ1203" s="17">
        <v>1201</v>
      </c>
      <c r="AR1203" s="6">
        <v>1.5981099999999999</v>
      </c>
      <c r="AS1203" s="19">
        <v>-5.7660000000000003E-2</v>
      </c>
      <c r="AT1203" s="6">
        <v>0.8115</v>
      </c>
      <c r="AU1203" s="6">
        <v>255</v>
      </c>
      <c r="AW1203" s="17">
        <v>1201</v>
      </c>
      <c r="AX1203" s="6">
        <v>0.84279000000000004</v>
      </c>
      <c r="AY1203" s="19">
        <v>-5.7660000000000003E-2</v>
      </c>
      <c r="AZ1203" s="6">
        <v>0.8115</v>
      </c>
      <c r="BA1203" s="6">
        <v>255</v>
      </c>
    </row>
    <row r="1204" spans="30:53" x14ac:dyDescent="0.25">
      <c r="AD1204" s="17">
        <v>1202</v>
      </c>
      <c r="AE1204" s="6">
        <v>3.0438299999999998</v>
      </c>
      <c r="AF1204" s="6">
        <v>9.8176000000000005</v>
      </c>
      <c r="AG1204" s="6">
        <v>2.9308999999999998</v>
      </c>
      <c r="AH1204" s="6">
        <v>255</v>
      </c>
      <c r="AJ1204" s="17">
        <v>1202</v>
      </c>
      <c r="AK1204" s="6">
        <v>5.7717599999999996</v>
      </c>
      <c r="AL1204" s="6">
        <v>9.8176000000000005</v>
      </c>
      <c r="AM1204" s="6">
        <v>2.9308999999999998</v>
      </c>
      <c r="AN1204" s="6">
        <v>255</v>
      </c>
      <c r="AQ1204" s="17">
        <v>1202</v>
      </c>
      <c r="AR1204" s="6">
        <v>1.5875699999999999</v>
      </c>
      <c r="AS1204" s="6">
        <v>2.8795000000000002</v>
      </c>
      <c r="AT1204" s="6">
        <v>0.80620000000000003</v>
      </c>
      <c r="AU1204" s="6">
        <v>255</v>
      </c>
      <c r="AW1204" s="17">
        <v>1202</v>
      </c>
      <c r="AX1204" s="6">
        <v>0.83723000000000003</v>
      </c>
      <c r="AY1204" s="6">
        <v>2.8795000000000002</v>
      </c>
      <c r="AZ1204" s="6">
        <v>0.80620000000000003</v>
      </c>
      <c r="BA1204" s="6">
        <v>255</v>
      </c>
    </row>
    <row r="1205" spans="30:53" x14ac:dyDescent="0.25">
      <c r="AD1205" s="17">
        <v>1203</v>
      </c>
      <c r="AE1205" s="6">
        <v>3.0647099999999998</v>
      </c>
      <c r="AF1205" s="6">
        <v>6.6718000000000002</v>
      </c>
      <c r="AG1205" s="6">
        <v>2.9510000000000001</v>
      </c>
      <c r="AH1205" s="6">
        <v>255</v>
      </c>
      <c r="AJ1205" s="17">
        <v>1203</v>
      </c>
      <c r="AK1205" s="6">
        <v>5.8113700000000001</v>
      </c>
      <c r="AL1205" s="6">
        <v>6.6718000000000002</v>
      </c>
      <c r="AM1205" s="6">
        <v>2.9510000000000001</v>
      </c>
      <c r="AN1205" s="6">
        <v>255</v>
      </c>
      <c r="AQ1205" s="17">
        <v>1203</v>
      </c>
      <c r="AR1205" s="6">
        <v>1.5905400000000001</v>
      </c>
      <c r="AS1205" s="6">
        <v>2.7332999999999998</v>
      </c>
      <c r="AT1205" s="6">
        <v>0.80769999999999997</v>
      </c>
      <c r="AU1205" s="6">
        <v>255</v>
      </c>
      <c r="AW1205" s="17">
        <v>1203</v>
      </c>
      <c r="AX1205" s="6">
        <v>0.83879000000000004</v>
      </c>
      <c r="AY1205" s="6">
        <v>2.7332999999999998</v>
      </c>
      <c r="AZ1205" s="6">
        <v>0.80769999999999997</v>
      </c>
      <c r="BA1205" s="6">
        <v>255</v>
      </c>
    </row>
    <row r="1206" spans="30:53" x14ac:dyDescent="0.25">
      <c r="AD1206" s="17">
        <v>1204</v>
      </c>
      <c r="AE1206" s="6">
        <v>3.0527700000000002</v>
      </c>
      <c r="AF1206" s="6">
        <v>4.9170999999999996</v>
      </c>
      <c r="AG1206" s="6">
        <v>2.9394999999999998</v>
      </c>
      <c r="AH1206" s="6">
        <v>255</v>
      </c>
      <c r="AJ1206" s="17">
        <v>1204</v>
      </c>
      <c r="AK1206" s="6">
        <v>5.7887300000000002</v>
      </c>
      <c r="AL1206" s="6">
        <v>4.9170999999999996</v>
      </c>
      <c r="AM1206" s="6">
        <v>2.9394999999999998</v>
      </c>
      <c r="AN1206" s="6">
        <v>255</v>
      </c>
      <c r="AQ1206" s="17">
        <v>1204</v>
      </c>
      <c r="AR1206" s="6">
        <v>1.58691</v>
      </c>
      <c r="AS1206" s="6">
        <v>2.2759</v>
      </c>
      <c r="AT1206" s="6">
        <v>0.80579999999999996</v>
      </c>
      <c r="AU1206" s="6">
        <v>255</v>
      </c>
      <c r="AW1206" s="17">
        <v>1204</v>
      </c>
      <c r="AX1206" s="6">
        <v>0.83687999999999996</v>
      </c>
      <c r="AY1206" s="6">
        <v>2.2759</v>
      </c>
      <c r="AZ1206" s="6">
        <v>0.80579999999999996</v>
      </c>
      <c r="BA1206" s="6">
        <v>255</v>
      </c>
    </row>
    <row r="1207" spans="30:53" x14ac:dyDescent="0.25">
      <c r="AD1207" s="17">
        <v>1205</v>
      </c>
      <c r="AE1207" s="6">
        <v>3.0597699999999999</v>
      </c>
      <c r="AF1207" s="6">
        <v>8.6384000000000007</v>
      </c>
      <c r="AG1207" s="6">
        <v>2.9462000000000002</v>
      </c>
      <c r="AH1207" s="6">
        <v>255</v>
      </c>
      <c r="AJ1207" s="17">
        <v>1205</v>
      </c>
      <c r="AK1207" s="6">
        <v>5.8019999999999996</v>
      </c>
      <c r="AL1207" s="6">
        <v>8.6384000000000007</v>
      </c>
      <c r="AM1207" s="6">
        <v>2.9462000000000002</v>
      </c>
      <c r="AN1207" s="6">
        <v>255</v>
      </c>
      <c r="AQ1207" s="17">
        <v>1205</v>
      </c>
      <c r="AR1207" s="6">
        <v>1.5947800000000001</v>
      </c>
      <c r="AS1207" s="6">
        <v>1.5920000000000001</v>
      </c>
      <c r="AT1207" s="6">
        <v>0.80979999999999996</v>
      </c>
      <c r="AU1207" s="6">
        <v>255</v>
      </c>
      <c r="AW1207" s="17">
        <v>1205</v>
      </c>
      <c r="AX1207" s="6">
        <v>0.84103000000000006</v>
      </c>
      <c r="AY1207" s="6">
        <v>1.5920000000000001</v>
      </c>
      <c r="AZ1207" s="6">
        <v>0.80979999999999996</v>
      </c>
      <c r="BA1207" s="6">
        <v>255</v>
      </c>
    </row>
    <row r="1208" spans="30:53" x14ac:dyDescent="0.25">
      <c r="AD1208" s="17">
        <v>1206</v>
      </c>
      <c r="AE1208" s="6">
        <v>3.05958</v>
      </c>
      <c r="AF1208" s="6">
        <v>17.142399999999999</v>
      </c>
      <c r="AG1208" s="6">
        <v>2.9460000000000002</v>
      </c>
      <c r="AH1208" s="6">
        <v>255</v>
      </c>
      <c r="AJ1208" s="17">
        <v>1206</v>
      </c>
      <c r="AK1208" s="6">
        <v>5.8016399999999999</v>
      </c>
      <c r="AL1208" s="6">
        <v>17.142399999999999</v>
      </c>
      <c r="AM1208" s="6">
        <v>2.9460000000000002</v>
      </c>
      <c r="AN1208" s="6">
        <v>255</v>
      </c>
      <c r="AQ1208" s="17">
        <v>1206</v>
      </c>
      <c r="AR1208" s="6">
        <v>1.6010800000000001</v>
      </c>
      <c r="AS1208" s="6">
        <v>4.5006000000000004</v>
      </c>
      <c r="AT1208" s="6">
        <v>0.81299999999999994</v>
      </c>
      <c r="AU1208" s="6">
        <v>255</v>
      </c>
      <c r="AW1208" s="17">
        <v>1206</v>
      </c>
      <c r="AX1208" s="6">
        <v>0.84435000000000004</v>
      </c>
      <c r="AY1208" s="6">
        <v>4.5006000000000004</v>
      </c>
      <c r="AZ1208" s="6">
        <v>0.81299999999999994</v>
      </c>
      <c r="BA1208" s="6">
        <v>255</v>
      </c>
    </row>
    <row r="1209" spans="30:53" x14ac:dyDescent="0.25">
      <c r="AD1209" s="17">
        <v>1207</v>
      </c>
      <c r="AE1209" s="6">
        <v>3.0451700000000002</v>
      </c>
      <c r="AF1209" s="6">
        <v>0.57299999999999995</v>
      </c>
      <c r="AG1209" s="6">
        <v>2.9321999999999999</v>
      </c>
      <c r="AH1209" s="6">
        <v>255</v>
      </c>
      <c r="AJ1209" s="17">
        <v>1207</v>
      </c>
      <c r="AK1209" s="6">
        <v>5.7743200000000003</v>
      </c>
      <c r="AL1209" s="6">
        <v>0.57299999999999995</v>
      </c>
      <c r="AM1209" s="6">
        <v>2.9321999999999999</v>
      </c>
      <c r="AN1209" s="6">
        <v>255</v>
      </c>
      <c r="AQ1209" s="17">
        <v>1207</v>
      </c>
      <c r="AR1209" s="6">
        <v>1.5888800000000001</v>
      </c>
      <c r="AS1209" s="6">
        <v>0.53549999999999998</v>
      </c>
      <c r="AT1209" s="6">
        <v>0.80679999999999996</v>
      </c>
      <c r="AU1209" s="6">
        <v>255</v>
      </c>
      <c r="AW1209" s="17">
        <v>1207</v>
      </c>
      <c r="AX1209" s="6">
        <v>0.83792</v>
      </c>
      <c r="AY1209" s="6">
        <v>0.53549999999999998</v>
      </c>
      <c r="AZ1209" s="6">
        <v>0.80679999999999996</v>
      </c>
      <c r="BA1209" s="6">
        <v>255</v>
      </c>
    </row>
    <row r="1210" spans="30:53" x14ac:dyDescent="0.25">
      <c r="AD1210" s="17">
        <v>1208</v>
      </c>
      <c r="AE1210" s="6">
        <v>3.0388500000000001</v>
      </c>
      <c r="AF1210" s="6">
        <v>0.59619999999999995</v>
      </c>
      <c r="AG1210" s="6">
        <v>2.9260999999999999</v>
      </c>
      <c r="AH1210" s="6">
        <v>255</v>
      </c>
      <c r="AJ1210" s="17">
        <v>1208</v>
      </c>
      <c r="AK1210" s="6">
        <v>5.7623300000000004</v>
      </c>
      <c r="AL1210" s="6">
        <v>0.59619999999999995</v>
      </c>
      <c r="AM1210" s="6">
        <v>2.9260999999999999</v>
      </c>
      <c r="AN1210" s="6">
        <v>255</v>
      </c>
      <c r="AQ1210" s="17">
        <v>1208</v>
      </c>
      <c r="AR1210" s="6">
        <v>1.58755</v>
      </c>
      <c r="AS1210" s="6">
        <v>0.99960000000000004</v>
      </c>
      <c r="AT1210" s="6">
        <v>0.80610000000000004</v>
      </c>
      <c r="AU1210" s="6">
        <v>255</v>
      </c>
      <c r="AW1210" s="17">
        <v>1208</v>
      </c>
      <c r="AX1210" s="6">
        <v>0.83721999999999996</v>
      </c>
      <c r="AY1210" s="6">
        <v>0.99960000000000004</v>
      </c>
      <c r="AZ1210" s="6">
        <v>0.80610000000000004</v>
      </c>
      <c r="BA1210" s="6">
        <v>255</v>
      </c>
    </row>
    <row r="1211" spans="30:53" x14ac:dyDescent="0.25">
      <c r="AD1211" s="17">
        <v>1209</v>
      </c>
      <c r="AE1211" s="6">
        <v>3.0476000000000001</v>
      </c>
      <c r="AF1211" s="19">
        <v>-0.38619999999999999</v>
      </c>
      <c r="AG1211" s="6">
        <v>2.9344999999999999</v>
      </c>
      <c r="AH1211" s="6">
        <v>255</v>
      </c>
      <c r="AJ1211" s="17">
        <v>1209</v>
      </c>
      <c r="AK1211" s="6">
        <v>5.7789200000000003</v>
      </c>
      <c r="AL1211" s="19">
        <v>-0.38619999999999999</v>
      </c>
      <c r="AM1211" s="6">
        <v>2.9344999999999999</v>
      </c>
      <c r="AN1211" s="6">
        <v>255</v>
      </c>
      <c r="AQ1211" s="17">
        <v>1209</v>
      </c>
      <c r="AR1211" s="6">
        <v>1.5911900000000001</v>
      </c>
      <c r="AS1211" s="19">
        <v>-0.1148</v>
      </c>
      <c r="AT1211" s="6">
        <v>0.80800000000000005</v>
      </c>
      <c r="AU1211" s="6">
        <v>255</v>
      </c>
      <c r="AW1211" s="17">
        <v>1209</v>
      </c>
      <c r="AX1211" s="6">
        <v>0.83914</v>
      </c>
      <c r="AY1211" s="19">
        <v>-0.1148</v>
      </c>
      <c r="AZ1211" s="6">
        <v>0.80800000000000005</v>
      </c>
      <c r="BA1211" s="6">
        <v>255</v>
      </c>
    </row>
    <row r="1212" spans="30:53" x14ac:dyDescent="0.25">
      <c r="AD1212" s="17">
        <v>1210</v>
      </c>
      <c r="AE1212" s="6">
        <v>3.0522</v>
      </c>
      <c r="AF1212" s="6">
        <v>7.2035999999999998</v>
      </c>
      <c r="AG1212" s="6">
        <v>2.9388999999999998</v>
      </c>
      <c r="AH1212" s="6">
        <v>255</v>
      </c>
      <c r="AJ1212" s="17">
        <v>1210</v>
      </c>
      <c r="AK1212" s="6">
        <v>5.7876399999999997</v>
      </c>
      <c r="AL1212" s="6">
        <v>7.2035999999999998</v>
      </c>
      <c r="AM1212" s="6">
        <v>2.9388999999999998</v>
      </c>
      <c r="AN1212" s="6">
        <v>255</v>
      </c>
      <c r="AQ1212" s="17">
        <v>1210</v>
      </c>
      <c r="AR1212" s="6">
        <v>1.5992299999999999</v>
      </c>
      <c r="AS1212" s="6">
        <v>1.2606999999999999</v>
      </c>
      <c r="AT1212" s="6">
        <v>0.81210000000000004</v>
      </c>
      <c r="AU1212" s="6">
        <v>255</v>
      </c>
      <c r="AW1212" s="17">
        <v>1210</v>
      </c>
      <c r="AX1212" s="6">
        <v>0.84338000000000002</v>
      </c>
      <c r="AY1212" s="6">
        <v>1.2606999999999999</v>
      </c>
      <c r="AZ1212" s="6">
        <v>0.81210000000000004</v>
      </c>
      <c r="BA1212" s="6">
        <v>255</v>
      </c>
    </row>
    <row r="1213" spans="30:53" x14ac:dyDescent="0.25">
      <c r="AD1213" s="17">
        <v>1211</v>
      </c>
      <c r="AE1213" s="6">
        <v>3.0483899999999999</v>
      </c>
      <c r="AF1213" s="6">
        <v>1.1632</v>
      </c>
      <c r="AG1213" s="6">
        <v>2.9352999999999998</v>
      </c>
      <c r="AH1213" s="6">
        <v>255</v>
      </c>
      <c r="AJ1213" s="17">
        <v>1211</v>
      </c>
      <c r="AK1213" s="6">
        <v>5.78043</v>
      </c>
      <c r="AL1213" s="6">
        <v>1.1632</v>
      </c>
      <c r="AM1213" s="6">
        <v>2.9352999999999998</v>
      </c>
      <c r="AN1213" s="6">
        <v>255</v>
      </c>
      <c r="AQ1213" s="17">
        <v>1211</v>
      </c>
      <c r="AR1213" s="6">
        <v>1.58979</v>
      </c>
      <c r="AS1213" s="19">
        <v>-0.1087</v>
      </c>
      <c r="AT1213" s="6">
        <v>0.80730000000000002</v>
      </c>
      <c r="AU1213" s="6">
        <v>255</v>
      </c>
      <c r="AW1213" s="17">
        <v>1211</v>
      </c>
      <c r="AX1213" s="6">
        <v>0.83840000000000003</v>
      </c>
      <c r="AY1213" s="19">
        <v>-0.1087</v>
      </c>
      <c r="AZ1213" s="6">
        <v>0.80730000000000002</v>
      </c>
      <c r="BA1213" s="6">
        <v>255</v>
      </c>
    </row>
    <row r="1214" spans="30:53" x14ac:dyDescent="0.25">
      <c r="AD1214" s="17">
        <v>1212</v>
      </c>
      <c r="AE1214" s="6">
        <v>3.0590199999999999</v>
      </c>
      <c r="AF1214" s="6">
        <v>9.9269999999999996</v>
      </c>
      <c r="AG1214" s="6">
        <v>2.9455</v>
      </c>
      <c r="AH1214" s="6">
        <v>255</v>
      </c>
      <c r="AJ1214" s="17">
        <v>1212</v>
      </c>
      <c r="AK1214" s="6">
        <v>5.8005699999999996</v>
      </c>
      <c r="AL1214" s="6">
        <v>9.9269999999999996</v>
      </c>
      <c r="AM1214" s="6">
        <v>2.9455</v>
      </c>
      <c r="AN1214" s="6">
        <v>255</v>
      </c>
      <c r="AQ1214" s="17">
        <v>1212</v>
      </c>
      <c r="AR1214" s="6">
        <v>1.60025</v>
      </c>
      <c r="AS1214" s="6">
        <v>2.3826999999999998</v>
      </c>
      <c r="AT1214" s="6">
        <v>0.81259999999999999</v>
      </c>
      <c r="AU1214" s="6">
        <v>255</v>
      </c>
      <c r="AW1214" s="17">
        <v>1212</v>
      </c>
      <c r="AX1214" s="6">
        <v>0.84391000000000005</v>
      </c>
      <c r="AY1214" s="6">
        <v>2.3826999999999998</v>
      </c>
      <c r="AZ1214" s="6">
        <v>0.81259999999999999</v>
      </c>
      <c r="BA1214" s="6">
        <v>255</v>
      </c>
    </row>
    <row r="1215" spans="30:53" x14ac:dyDescent="0.25">
      <c r="AD1215" s="17">
        <v>1213</v>
      </c>
      <c r="AE1215" s="6">
        <v>3.0468999999999999</v>
      </c>
      <c r="AF1215" s="6">
        <v>4.4966999999999997</v>
      </c>
      <c r="AG1215" s="6">
        <v>2.9338000000000002</v>
      </c>
      <c r="AH1215" s="6">
        <v>255</v>
      </c>
      <c r="AJ1215" s="17">
        <v>1213</v>
      </c>
      <c r="AK1215" s="6">
        <v>5.7775999999999996</v>
      </c>
      <c r="AL1215" s="6">
        <v>4.4966999999999997</v>
      </c>
      <c r="AM1215" s="6">
        <v>2.9338000000000002</v>
      </c>
      <c r="AN1215" s="6">
        <v>255</v>
      </c>
      <c r="AQ1215" s="17">
        <v>1213</v>
      </c>
      <c r="AR1215" s="6">
        <v>1.5886899999999999</v>
      </c>
      <c r="AS1215" s="6">
        <v>1.0421</v>
      </c>
      <c r="AT1215" s="6">
        <v>0.80669999999999997</v>
      </c>
      <c r="AU1215" s="6">
        <v>255</v>
      </c>
      <c r="AW1215" s="17">
        <v>1213</v>
      </c>
      <c r="AX1215" s="6">
        <v>0.83782000000000001</v>
      </c>
      <c r="AY1215" s="6">
        <v>1.0421</v>
      </c>
      <c r="AZ1215" s="6">
        <v>0.80669999999999997</v>
      </c>
      <c r="BA1215" s="6">
        <v>255</v>
      </c>
    </row>
    <row r="1216" spans="30:53" x14ac:dyDescent="0.25">
      <c r="AD1216" s="17">
        <v>1214</v>
      </c>
      <c r="AE1216" s="6">
        <v>3.0623499999999999</v>
      </c>
      <c r="AF1216" s="6">
        <v>2.2364999999999999</v>
      </c>
      <c r="AG1216" s="6">
        <v>2.9487000000000001</v>
      </c>
      <c r="AH1216" s="6">
        <v>255</v>
      </c>
      <c r="AJ1216" s="17">
        <v>1214</v>
      </c>
      <c r="AK1216" s="6">
        <v>5.8068900000000001</v>
      </c>
      <c r="AL1216" s="6">
        <v>2.2364999999999999</v>
      </c>
      <c r="AM1216" s="6">
        <v>2.9487000000000001</v>
      </c>
      <c r="AN1216" s="6">
        <v>255</v>
      </c>
      <c r="AQ1216" s="17">
        <v>1214</v>
      </c>
      <c r="AR1216" s="6">
        <v>1.6003099999999999</v>
      </c>
      <c r="AS1216" s="6">
        <v>1.2121999999999999</v>
      </c>
      <c r="AT1216" s="6">
        <v>0.81259999999999999</v>
      </c>
      <c r="AU1216" s="6">
        <v>255</v>
      </c>
      <c r="AW1216" s="17">
        <v>1214</v>
      </c>
      <c r="AX1216" s="6">
        <v>0.84394999999999998</v>
      </c>
      <c r="AY1216" s="6">
        <v>1.2121999999999999</v>
      </c>
      <c r="AZ1216" s="6">
        <v>0.81259999999999999</v>
      </c>
      <c r="BA1216" s="6">
        <v>255</v>
      </c>
    </row>
    <row r="1217" spans="30:53" x14ac:dyDescent="0.25">
      <c r="AD1217" s="17">
        <v>1215</v>
      </c>
      <c r="AE1217" s="6">
        <v>3.03668</v>
      </c>
      <c r="AF1217" s="6">
        <v>3.4870000000000001</v>
      </c>
      <c r="AG1217" s="6">
        <v>2.9239999999999999</v>
      </c>
      <c r="AH1217" s="6">
        <v>255</v>
      </c>
      <c r="AJ1217" s="17">
        <v>1215</v>
      </c>
      <c r="AK1217" s="6">
        <v>5.7582199999999997</v>
      </c>
      <c r="AL1217" s="6">
        <v>3.4870000000000001</v>
      </c>
      <c r="AM1217" s="6">
        <v>2.9239999999999999</v>
      </c>
      <c r="AN1217" s="6">
        <v>255</v>
      </c>
      <c r="AQ1217" s="17">
        <v>1215</v>
      </c>
      <c r="AR1217" s="6">
        <v>1.5906800000000001</v>
      </c>
      <c r="AS1217" s="6">
        <v>0.79879999999999995</v>
      </c>
      <c r="AT1217" s="6">
        <v>0.80769999999999997</v>
      </c>
      <c r="AU1217" s="6">
        <v>255</v>
      </c>
      <c r="AW1217" s="17">
        <v>1215</v>
      </c>
      <c r="AX1217" s="6">
        <v>0.83887</v>
      </c>
      <c r="AY1217" s="6">
        <v>0.79879999999999995</v>
      </c>
      <c r="AZ1217" s="6">
        <v>0.80769999999999997</v>
      </c>
      <c r="BA1217" s="6">
        <v>255</v>
      </c>
    </row>
    <row r="1218" spans="30:53" x14ac:dyDescent="0.25">
      <c r="AD1218" s="17">
        <v>1216</v>
      </c>
      <c r="AE1218" s="6">
        <v>3.0510600000000001</v>
      </c>
      <c r="AF1218" s="6">
        <v>3.1917</v>
      </c>
      <c r="AG1218" s="6">
        <v>2.9378000000000002</v>
      </c>
      <c r="AH1218" s="6">
        <v>255</v>
      </c>
      <c r="AJ1218" s="17">
        <v>1216</v>
      </c>
      <c r="AK1218" s="6">
        <v>5.7854799999999997</v>
      </c>
      <c r="AL1218" s="6">
        <v>3.1917</v>
      </c>
      <c r="AM1218" s="6">
        <v>2.9378000000000002</v>
      </c>
      <c r="AN1218" s="6">
        <v>255</v>
      </c>
      <c r="AQ1218" s="17">
        <v>1216</v>
      </c>
      <c r="AR1218" s="6">
        <v>1.5990800000000001</v>
      </c>
      <c r="AS1218" s="19">
        <v>-0.4209</v>
      </c>
      <c r="AT1218" s="6">
        <v>0.81200000000000006</v>
      </c>
      <c r="AU1218" s="6">
        <v>255</v>
      </c>
      <c r="AW1218" s="17">
        <v>1216</v>
      </c>
      <c r="AX1218" s="6">
        <v>0.84330000000000005</v>
      </c>
      <c r="AY1218" s="19">
        <v>-0.4209</v>
      </c>
      <c r="AZ1218" s="6">
        <v>0.81200000000000006</v>
      </c>
      <c r="BA1218" s="6">
        <v>255</v>
      </c>
    </row>
    <row r="1219" spans="30:53" x14ac:dyDescent="0.25">
      <c r="AD1219" s="17">
        <v>1217</v>
      </c>
      <c r="AE1219" s="6">
        <v>3.0525500000000001</v>
      </c>
      <c r="AF1219" s="6">
        <v>8.6298999999999992</v>
      </c>
      <c r="AG1219" s="6">
        <v>2.9392999999999998</v>
      </c>
      <c r="AH1219" s="6">
        <v>255</v>
      </c>
      <c r="AJ1219" s="17">
        <v>1217</v>
      </c>
      <c r="AK1219" s="6">
        <v>5.7883100000000001</v>
      </c>
      <c r="AL1219" s="6">
        <v>8.6298999999999992</v>
      </c>
      <c r="AM1219" s="6">
        <v>2.9392999999999998</v>
      </c>
      <c r="AN1219" s="6">
        <v>255</v>
      </c>
      <c r="AQ1219" s="17">
        <v>1217</v>
      </c>
      <c r="AR1219" s="6">
        <v>1.5928</v>
      </c>
      <c r="AS1219" s="6">
        <v>2.5163000000000002</v>
      </c>
      <c r="AT1219" s="6">
        <v>0.80879999999999996</v>
      </c>
      <c r="AU1219" s="6">
        <v>255</v>
      </c>
      <c r="AW1219" s="17">
        <v>1217</v>
      </c>
      <c r="AX1219" s="6">
        <v>0.83999000000000001</v>
      </c>
      <c r="AY1219" s="6">
        <v>2.5163000000000002</v>
      </c>
      <c r="AZ1219" s="6">
        <v>0.80879999999999996</v>
      </c>
      <c r="BA1219" s="6">
        <v>255</v>
      </c>
    </row>
    <row r="1220" spans="30:53" x14ac:dyDescent="0.25">
      <c r="AD1220" s="17">
        <v>1218</v>
      </c>
      <c r="AE1220" s="6">
        <v>3.0493700000000001</v>
      </c>
      <c r="AF1220" s="6">
        <v>5.4840999999999998</v>
      </c>
      <c r="AG1220" s="6">
        <v>2.9361999999999999</v>
      </c>
      <c r="AH1220" s="6">
        <v>255</v>
      </c>
      <c r="AJ1220" s="17">
        <v>1218</v>
      </c>
      <c r="AK1220" s="6">
        <v>5.7822800000000001</v>
      </c>
      <c r="AL1220" s="6">
        <v>5.4840999999999998</v>
      </c>
      <c r="AM1220" s="6">
        <v>2.9361999999999999</v>
      </c>
      <c r="AN1220" s="6">
        <v>255</v>
      </c>
      <c r="AQ1220" s="17">
        <v>1218</v>
      </c>
      <c r="AR1220" s="6">
        <v>1.5885199999999999</v>
      </c>
      <c r="AS1220" s="6">
        <v>2.3700999999999999</v>
      </c>
      <c r="AT1220" s="6">
        <v>0.80659999999999998</v>
      </c>
      <c r="AU1220" s="6">
        <v>255</v>
      </c>
      <c r="AW1220" s="17">
        <v>1218</v>
      </c>
      <c r="AX1220" s="6">
        <v>0.83772999999999997</v>
      </c>
      <c r="AY1220" s="6">
        <v>2.3700999999999999</v>
      </c>
      <c r="AZ1220" s="6">
        <v>0.80659999999999998</v>
      </c>
      <c r="BA1220" s="6">
        <v>255</v>
      </c>
    </row>
    <row r="1221" spans="30:53" x14ac:dyDescent="0.25">
      <c r="AD1221" s="17">
        <v>1219</v>
      </c>
      <c r="AE1221" s="6">
        <v>3.0474100000000002</v>
      </c>
      <c r="AF1221" s="6">
        <v>3.7294</v>
      </c>
      <c r="AG1221" s="6">
        <v>2.9342999999999999</v>
      </c>
      <c r="AH1221" s="6">
        <v>255</v>
      </c>
      <c r="AJ1221" s="17">
        <v>1219</v>
      </c>
      <c r="AK1221" s="6">
        <v>5.7785500000000001</v>
      </c>
      <c r="AL1221" s="6">
        <v>3.7294</v>
      </c>
      <c r="AM1221" s="6">
        <v>2.9342999999999999</v>
      </c>
      <c r="AN1221" s="6">
        <v>255</v>
      </c>
      <c r="AQ1221" s="17">
        <v>1219</v>
      </c>
      <c r="AR1221" s="6">
        <v>1.5894299999999999</v>
      </c>
      <c r="AS1221" s="6">
        <v>1.9127000000000001</v>
      </c>
      <c r="AT1221" s="6">
        <v>0.80710000000000004</v>
      </c>
      <c r="AU1221" s="6">
        <v>255</v>
      </c>
      <c r="AW1221" s="17">
        <v>1219</v>
      </c>
      <c r="AX1221" s="6">
        <v>0.83821000000000001</v>
      </c>
      <c r="AY1221" s="6">
        <v>1.9127000000000001</v>
      </c>
      <c r="AZ1221" s="6">
        <v>0.80710000000000004</v>
      </c>
      <c r="BA1221" s="6">
        <v>255</v>
      </c>
    </row>
    <row r="1222" spans="30:53" x14ac:dyDescent="0.25">
      <c r="AD1222" s="17">
        <v>1220</v>
      </c>
      <c r="AE1222" s="6">
        <v>3.0438499999999999</v>
      </c>
      <c r="AF1222" s="6">
        <v>7.4507000000000003</v>
      </c>
      <c r="AG1222" s="6">
        <v>2.9308999999999998</v>
      </c>
      <c r="AH1222" s="6">
        <v>255</v>
      </c>
      <c r="AJ1222" s="17">
        <v>1220</v>
      </c>
      <c r="AK1222" s="6">
        <v>5.7718100000000003</v>
      </c>
      <c r="AL1222" s="6">
        <v>7.4507000000000003</v>
      </c>
      <c r="AM1222" s="6">
        <v>2.9308999999999998</v>
      </c>
      <c r="AN1222" s="6">
        <v>255</v>
      </c>
      <c r="AQ1222" s="17">
        <v>1220</v>
      </c>
      <c r="AR1222" s="6">
        <v>1.59151</v>
      </c>
      <c r="AS1222" s="6">
        <v>1.2287999999999999</v>
      </c>
      <c r="AT1222" s="6">
        <v>0.80820000000000003</v>
      </c>
      <c r="AU1222" s="6">
        <v>255</v>
      </c>
      <c r="AW1222" s="17">
        <v>1220</v>
      </c>
      <c r="AX1222" s="6">
        <v>0.83931</v>
      </c>
      <c r="AY1222" s="6">
        <v>1.2287999999999999</v>
      </c>
      <c r="AZ1222" s="6">
        <v>0.80820000000000003</v>
      </c>
      <c r="BA1222" s="6">
        <v>255</v>
      </c>
    </row>
    <row r="1223" spans="30:53" x14ac:dyDescent="0.25">
      <c r="AD1223" s="17">
        <v>1221</v>
      </c>
      <c r="AE1223" s="6">
        <v>3.0387300000000002</v>
      </c>
      <c r="AF1223" s="6">
        <v>15.954700000000001</v>
      </c>
      <c r="AG1223" s="6">
        <v>2.9258999999999999</v>
      </c>
      <c r="AH1223" s="6">
        <v>255</v>
      </c>
      <c r="AJ1223" s="17">
        <v>1221</v>
      </c>
      <c r="AK1223" s="6">
        <v>5.7621000000000002</v>
      </c>
      <c r="AL1223" s="6">
        <v>15.954700000000001</v>
      </c>
      <c r="AM1223" s="6">
        <v>2.9258999999999999</v>
      </c>
      <c r="AN1223" s="6">
        <v>255</v>
      </c>
      <c r="AQ1223" s="17">
        <v>1221</v>
      </c>
      <c r="AR1223" s="6">
        <v>1.59317</v>
      </c>
      <c r="AS1223" s="6">
        <v>4.1374000000000004</v>
      </c>
      <c r="AT1223" s="6">
        <v>0.80900000000000005</v>
      </c>
      <c r="AU1223" s="6">
        <v>255</v>
      </c>
      <c r="AW1223" s="17">
        <v>1221</v>
      </c>
      <c r="AX1223" s="6">
        <v>0.84018000000000004</v>
      </c>
      <c r="AY1223" s="6">
        <v>4.1374000000000004</v>
      </c>
      <c r="AZ1223" s="6">
        <v>0.80900000000000005</v>
      </c>
      <c r="BA1223" s="6">
        <v>255</v>
      </c>
    </row>
    <row r="1224" spans="30:53" x14ac:dyDescent="0.25">
      <c r="AD1224" s="17">
        <v>1222</v>
      </c>
      <c r="AE1224" s="6">
        <v>3.0447899999999999</v>
      </c>
      <c r="AF1224" s="6">
        <v>2.3199999999999998E-2</v>
      </c>
      <c r="AG1224" s="6">
        <v>2.9318</v>
      </c>
      <c r="AH1224" s="6">
        <v>255</v>
      </c>
      <c r="AJ1224" s="17">
        <v>1222</v>
      </c>
      <c r="AK1224" s="6">
        <v>5.7735900000000004</v>
      </c>
      <c r="AL1224" s="6">
        <v>2.3199999999999998E-2</v>
      </c>
      <c r="AM1224" s="6">
        <v>2.9318</v>
      </c>
      <c r="AN1224" s="6">
        <v>255</v>
      </c>
      <c r="AQ1224" s="17">
        <v>1222</v>
      </c>
      <c r="AR1224" s="6">
        <v>1.59066</v>
      </c>
      <c r="AS1224" s="6">
        <v>0.4642</v>
      </c>
      <c r="AT1224" s="6">
        <v>0.80769999999999997</v>
      </c>
      <c r="AU1224" s="6">
        <v>255</v>
      </c>
      <c r="AW1224" s="17">
        <v>1222</v>
      </c>
      <c r="AX1224" s="6">
        <v>0.83886000000000005</v>
      </c>
      <c r="AY1224" s="6">
        <v>0.4642</v>
      </c>
      <c r="AZ1224" s="6">
        <v>0.80769999999999997</v>
      </c>
      <c r="BA1224" s="6">
        <v>255</v>
      </c>
    </row>
    <row r="1225" spans="30:53" x14ac:dyDescent="0.25">
      <c r="AD1225" s="17">
        <v>1223</v>
      </c>
      <c r="AE1225" s="6">
        <v>3.0563699999999998</v>
      </c>
      <c r="AF1225" s="19">
        <v>-0.95920000000000005</v>
      </c>
      <c r="AG1225" s="6">
        <v>2.9428999999999998</v>
      </c>
      <c r="AH1225" s="6">
        <v>255</v>
      </c>
      <c r="AJ1225" s="17">
        <v>1223</v>
      </c>
      <c r="AK1225" s="6">
        <v>5.79556</v>
      </c>
      <c r="AL1225" s="19">
        <v>-0.95920000000000005</v>
      </c>
      <c r="AM1225" s="6">
        <v>2.9428999999999998</v>
      </c>
      <c r="AN1225" s="6">
        <v>255</v>
      </c>
      <c r="AQ1225" s="17">
        <v>1223</v>
      </c>
      <c r="AR1225" s="6">
        <v>1.5937399999999999</v>
      </c>
      <c r="AS1225" s="19">
        <v>-0.65029999999999999</v>
      </c>
      <c r="AT1225" s="6">
        <v>0.80930000000000002</v>
      </c>
      <c r="AU1225" s="6">
        <v>255</v>
      </c>
      <c r="AW1225" s="17">
        <v>1223</v>
      </c>
      <c r="AX1225" s="6">
        <v>0.84048</v>
      </c>
      <c r="AY1225" s="19">
        <v>-0.65029999999999999</v>
      </c>
      <c r="AZ1225" s="6">
        <v>0.80930000000000002</v>
      </c>
      <c r="BA1225" s="6">
        <v>255</v>
      </c>
    </row>
    <row r="1226" spans="30:53" x14ac:dyDescent="0.25">
      <c r="AD1226" s="17">
        <v>1224</v>
      </c>
      <c r="AE1226" s="6">
        <v>3.03572</v>
      </c>
      <c r="AF1226" s="6">
        <v>6.6304999999999996</v>
      </c>
      <c r="AG1226" s="6">
        <v>2.923</v>
      </c>
      <c r="AH1226" s="6">
        <v>255</v>
      </c>
      <c r="AJ1226" s="17">
        <v>1224</v>
      </c>
      <c r="AK1226" s="6">
        <v>5.7563800000000001</v>
      </c>
      <c r="AL1226" s="6">
        <v>6.6304999999999996</v>
      </c>
      <c r="AM1226" s="6">
        <v>2.923</v>
      </c>
      <c r="AN1226" s="6">
        <v>255</v>
      </c>
      <c r="AQ1226" s="17">
        <v>1224</v>
      </c>
      <c r="AR1226" s="6">
        <v>1.59562</v>
      </c>
      <c r="AS1226" s="6">
        <v>0.72519999999999996</v>
      </c>
      <c r="AT1226" s="6">
        <v>0.81020000000000003</v>
      </c>
      <c r="AU1226" s="6">
        <v>255</v>
      </c>
      <c r="AW1226" s="17">
        <v>1224</v>
      </c>
      <c r="AX1226" s="6">
        <v>0.84147000000000005</v>
      </c>
      <c r="AY1226" s="6">
        <v>0.72519999999999996</v>
      </c>
      <c r="AZ1226" s="6">
        <v>0.81020000000000003</v>
      </c>
      <c r="BA1226" s="6">
        <v>255</v>
      </c>
    </row>
    <row r="1227" spans="30:53" x14ac:dyDescent="0.25">
      <c r="AD1227" s="17">
        <v>1225</v>
      </c>
      <c r="AE1227" s="6">
        <v>3.0417999999999998</v>
      </c>
      <c r="AF1227" s="6">
        <v>0.59009999999999996</v>
      </c>
      <c r="AG1227" s="6">
        <v>2.9289000000000001</v>
      </c>
      <c r="AH1227" s="6">
        <v>255</v>
      </c>
      <c r="AJ1227" s="17">
        <v>1225</v>
      </c>
      <c r="AK1227" s="6">
        <v>5.7679200000000002</v>
      </c>
      <c r="AL1227" s="6">
        <v>0.59009999999999996</v>
      </c>
      <c r="AM1227" s="6">
        <v>2.9289000000000001</v>
      </c>
      <c r="AN1227" s="6">
        <v>255</v>
      </c>
      <c r="AQ1227" s="17">
        <v>1225</v>
      </c>
      <c r="AR1227" s="6">
        <v>1.5904499999999999</v>
      </c>
      <c r="AS1227" s="19">
        <v>-0.64419999999999999</v>
      </c>
      <c r="AT1227" s="6">
        <v>0.80759999999999998</v>
      </c>
      <c r="AU1227" s="6">
        <v>255</v>
      </c>
      <c r="AW1227" s="17">
        <v>1225</v>
      </c>
      <c r="AX1227" s="6">
        <v>0.83875</v>
      </c>
      <c r="AY1227" s="19">
        <v>-0.64419999999999999</v>
      </c>
      <c r="AZ1227" s="6">
        <v>0.80759999999999998</v>
      </c>
      <c r="BA1227" s="6">
        <v>255</v>
      </c>
    </row>
    <row r="1228" spans="30:53" x14ac:dyDescent="0.25">
      <c r="AD1228" s="17">
        <v>1226</v>
      </c>
      <c r="AE1228" s="6">
        <v>3.0471300000000001</v>
      </c>
      <c r="AF1228" s="6">
        <v>9.3539999999999992</v>
      </c>
      <c r="AG1228" s="6">
        <v>2.9340000000000002</v>
      </c>
      <c r="AH1228" s="6">
        <v>255</v>
      </c>
      <c r="AJ1228" s="17">
        <v>1226</v>
      </c>
      <c r="AK1228" s="6">
        <v>5.7780300000000002</v>
      </c>
      <c r="AL1228" s="6">
        <v>9.3539999999999992</v>
      </c>
      <c r="AM1228" s="6">
        <v>2.9340000000000002</v>
      </c>
      <c r="AN1228" s="6">
        <v>255</v>
      </c>
      <c r="AQ1228" s="17">
        <v>1226</v>
      </c>
      <c r="AR1228" s="6">
        <v>1.5990800000000001</v>
      </c>
      <c r="AS1228" s="6">
        <v>1.8472</v>
      </c>
      <c r="AT1228" s="6">
        <v>0.81200000000000006</v>
      </c>
      <c r="AU1228" s="6">
        <v>255</v>
      </c>
      <c r="AW1228" s="17">
        <v>1226</v>
      </c>
      <c r="AX1228" s="6">
        <v>0.84330000000000005</v>
      </c>
      <c r="AY1228" s="6">
        <v>1.8472</v>
      </c>
      <c r="AZ1228" s="6">
        <v>0.81200000000000006</v>
      </c>
      <c r="BA1228" s="6">
        <v>255</v>
      </c>
    </row>
    <row r="1229" spans="30:53" x14ac:dyDescent="0.25">
      <c r="AD1229" s="17">
        <v>1227</v>
      </c>
      <c r="AE1229" s="6">
        <v>3.0366</v>
      </c>
      <c r="AF1229" s="6">
        <v>3.9237000000000002</v>
      </c>
      <c r="AG1229" s="6">
        <v>2.9239000000000002</v>
      </c>
      <c r="AH1229" s="6">
        <v>255</v>
      </c>
      <c r="AJ1229" s="17">
        <v>1227</v>
      </c>
      <c r="AK1229" s="6">
        <v>5.7580600000000004</v>
      </c>
      <c r="AL1229" s="6">
        <v>3.9237000000000002</v>
      </c>
      <c r="AM1229" s="6">
        <v>2.9239000000000002</v>
      </c>
      <c r="AN1229" s="6">
        <v>255</v>
      </c>
      <c r="AQ1229" s="17">
        <v>1227</v>
      </c>
      <c r="AR1229" s="6">
        <v>1.5873999999999999</v>
      </c>
      <c r="AS1229" s="6">
        <v>0.50660000000000005</v>
      </c>
      <c r="AT1229" s="6">
        <v>0.80610000000000004</v>
      </c>
      <c r="AU1229" s="6">
        <v>255</v>
      </c>
      <c r="AW1229" s="17">
        <v>1227</v>
      </c>
      <c r="AX1229" s="6">
        <v>0.83714</v>
      </c>
      <c r="AY1229" s="6">
        <v>0.50660000000000005</v>
      </c>
      <c r="AZ1229" s="6">
        <v>0.80610000000000004</v>
      </c>
      <c r="BA1229" s="6">
        <v>255</v>
      </c>
    </row>
    <row r="1230" spans="30:53" x14ac:dyDescent="0.25">
      <c r="AD1230" s="17">
        <v>1228</v>
      </c>
      <c r="AE1230" s="6">
        <v>3.0576300000000001</v>
      </c>
      <c r="AF1230" s="6">
        <v>1.6635</v>
      </c>
      <c r="AG1230" s="6">
        <v>2.9441000000000002</v>
      </c>
      <c r="AH1230" s="6">
        <v>255</v>
      </c>
      <c r="AJ1230" s="17">
        <v>1228</v>
      </c>
      <c r="AK1230" s="6">
        <v>5.79793</v>
      </c>
      <c r="AL1230" s="6">
        <v>1.6635</v>
      </c>
      <c r="AM1230" s="6">
        <v>2.9441000000000002</v>
      </c>
      <c r="AN1230" s="6">
        <v>255</v>
      </c>
      <c r="AQ1230" s="17">
        <v>1228</v>
      </c>
      <c r="AR1230" s="6">
        <v>1.5994200000000001</v>
      </c>
      <c r="AS1230" s="6">
        <v>0.67679999999999996</v>
      </c>
      <c r="AT1230" s="6">
        <v>0.81220000000000003</v>
      </c>
      <c r="AU1230" s="6">
        <v>255</v>
      </c>
      <c r="AW1230" s="17">
        <v>1228</v>
      </c>
      <c r="AX1230" s="6">
        <v>0.84348000000000001</v>
      </c>
      <c r="AY1230" s="6">
        <v>0.67679999999999996</v>
      </c>
      <c r="AZ1230" s="6">
        <v>0.81220000000000003</v>
      </c>
      <c r="BA1230" s="6">
        <v>255</v>
      </c>
    </row>
    <row r="1231" spans="30:53" x14ac:dyDescent="0.25">
      <c r="AD1231" s="17">
        <v>1229</v>
      </c>
      <c r="AE1231" s="6">
        <v>3.03233</v>
      </c>
      <c r="AF1231" s="6">
        <v>2.9138999999999999</v>
      </c>
      <c r="AG1231" s="6">
        <v>2.9198</v>
      </c>
      <c r="AH1231" s="6">
        <v>255</v>
      </c>
      <c r="AJ1231" s="17">
        <v>1229</v>
      </c>
      <c r="AK1231" s="6">
        <v>5.7499700000000002</v>
      </c>
      <c r="AL1231" s="6">
        <v>2.9138999999999999</v>
      </c>
      <c r="AM1231" s="6">
        <v>2.9198</v>
      </c>
      <c r="AN1231" s="6">
        <v>255</v>
      </c>
      <c r="AQ1231" s="17">
        <v>1229</v>
      </c>
      <c r="AR1231" s="6">
        <v>1.59474</v>
      </c>
      <c r="AS1231" s="6">
        <v>0.26329999999999998</v>
      </c>
      <c r="AT1231" s="6">
        <v>0.80979999999999996</v>
      </c>
      <c r="AU1231" s="6">
        <v>255</v>
      </c>
      <c r="AW1231" s="17">
        <v>1229</v>
      </c>
      <c r="AX1231" s="6">
        <v>0.84101000000000004</v>
      </c>
      <c r="AY1231" s="6">
        <v>0.26329999999999998</v>
      </c>
      <c r="AZ1231" s="6">
        <v>0.80979999999999996</v>
      </c>
      <c r="BA1231" s="6">
        <v>255</v>
      </c>
    </row>
    <row r="1232" spans="30:53" x14ac:dyDescent="0.25">
      <c r="AD1232" s="17">
        <v>1230</v>
      </c>
      <c r="AE1232" s="6">
        <v>3.0323899999999999</v>
      </c>
      <c r="AF1232" s="6">
        <v>2.6187</v>
      </c>
      <c r="AG1232" s="6">
        <v>2.9198</v>
      </c>
      <c r="AH1232" s="6">
        <v>255</v>
      </c>
      <c r="AJ1232" s="17">
        <v>1230</v>
      </c>
      <c r="AK1232" s="6">
        <v>5.7500799999999996</v>
      </c>
      <c r="AL1232" s="6">
        <v>2.6187</v>
      </c>
      <c r="AM1232" s="6">
        <v>2.9198</v>
      </c>
      <c r="AN1232" s="6">
        <v>255</v>
      </c>
      <c r="AQ1232" s="17">
        <v>1230</v>
      </c>
      <c r="AR1232" s="6">
        <v>1.59344</v>
      </c>
      <c r="AS1232" s="19">
        <v>-0.95640000000000003</v>
      </c>
      <c r="AT1232" s="6">
        <v>0.80910000000000004</v>
      </c>
      <c r="AU1232" s="6">
        <v>255</v>
      </c>
      <c r="AW1232" s="17">
        <v>1230</v>
      </c>
      <c r="AX1232" s="6">
        <v>0.84031999999999996</v>
      </c>
      <c r="AY1232" s="19">
        <v>-0.95640000000000003</v>
      </c>
      <c r="AZ1232" s="6">
        <v>0.80910000000000004</v>
      </c>
      <c r="BA1232" s="6">
        <v>255</v>
      </c>
    </row>
    <row r="1233" spans="30:53" x14ac:dyDescent="0.25">
      <c r="AD1233" s="17">
        <v>1231</v>
      </c>
      <c r="AE1233" s="6">
        <v>3.0419399999999999</v>
      </c>
      <c r="AF1233" s="6">
        <v>8.0568000000000008</v>
      </c>
      <c r="AG1233" s="6">
        <v>2.9289999999999998</v>
      </c>
      <c r="AH1233" s="6">
        <v>255</v>
      </c>
      <c r="AJ1233" s="17">
        <v>1231</v>
      </c>
      <c r="AK1233" s="6">
        <v>5.7681899999999997</v>
      </c>
      <c r="AL1233" s="6">
        <v>8.0568000000000008</v>
      </c>
      <c r="AM1233" s="6">
        <v>2.9289999999999998</v>
      </c>
      <c r="AN1233" s="6">
        <v>255</v>
      </c>
      <c r="AQ1233" s="17">
        <v>1231</v>
      </c>
      <c r="AR1233" s="6">
        <v>1.5901799999999999</v>
      </c>
      <c r="AS1233" s="6">
        <v>1.9809000000000001</v>
      </c>
      <c r="AT1233" s="6">
        <v>0.8075</v>
      </c>
      <c r="AU1233" s="6">
        <v>255</v>
      </c>
      <c r="AW1233" s="17">
        <v>1231</v>
      </c>
      <c r="AX1233" s="6">
        <v>0.83860000000000001</v>
      </c>
      <c r="AY1233" s="6">
        <v>1.9809000000000001</v>
      </c>
      <c r="AZ1233" s="6">
        <v>0.8075</v>
      </c>
      <c r="BA1233" s="6">
        <v>255</v>
      </c>
    </row>
    <row r="1234" spans="30:53" x14ac:dyDescent="0.25">
      <c r="AD1234" s="17">
        <v>1232</v>
      </c>
      <c r="AE1234" s="6">
        <v>3.05837</v>
      </c>
      <c r="AF1234" s="6">
        <v>4.9111000000000002</v>
      </c>
      <c r="AG1234" s="6">
        <v>2.9449000000000001</v>
      </c>
      <c r="AH1234" s="6">
        <v>255</v>
      </c>
      <c r="AJ1234" s="17">
        <v>1232</v>
      </c>
      <c r="AK1234" s="6">
        <v>5.7993399999999999</v>
      </c>
      <c r="AL1234" s="6">
        <v>4.9111000000000002</v>
      </c>
      <c r="AM1234" s="6">
        <v>2.9449000000000001</v>
      </c>
      <c r="AN1234" s="6">
        <v>255</v>
      </c>
      <c r="AQ1234" s="17">
        <v>1232</v>
      </c>
      <c r="AR1234" s="6">
        <v>1.5904100000000001</v>
      </c>
      <c r="AS1234" s="6">
        <v>1.8346</v>
      </c>
      <c r="AT1234" s="6">
        <v>0.80759999999999998</v>
      </c>
      <c r="AU1234" s="6">
        <v>255</v>
      </c>
      <c r="AW1234" s="17">
        <v>1232</v>
      </c>
      <c r="AX1234" s="6">
        <v>0.83872999999999998</v>
      </c>
      <c r="AY1234" s="6">
        <v>1.8346</v>
      </c>
      <c r="AZ1234" s="6">
        <v>0.80759999999999998</v>
      </c>
      <c r="BA1234" s="6">
        <v>255</v>
      </c>
    </row>
    <row r="1235" spans="30:53" x14ac:dyDescent="0.25">
      <c r="AD1235" s="17">
        <v>1233</v>
      </c>
      <c r="AE1235" s="6">
        <v>3.0329999999999999</v>
      </c>
      <c r="AF1235" s="6">
        <v>3.1564000000000001</v>
      </c>
      <c r="AG1235" s="6">
        <v>2.9203999999999999</v>
      </c>
      <c r="AH1235" s="6">
        <v>255</v>
      </c>
      <c r="AJ1235" s="17">
        <v>1233</v>
      </c>
      <c r="AK1235" s="6">
        <v>5.7512299999999996</v>
      </c>
      <c r="AL1235" s="6">
        <v>3.1564000000000001</v>
      </c>
      <c r="AM1235" s="6">
        <v>2.9203999999999999</v>
      </c>
      <c r="AN1235" s="6">
        <v>255</v>
      </c>
      <c r="AQ1235" s="17">
        <v>1233</v>
      </c>
      <c r="AR1235" s="6">
        <v>1.58606</v>
      </c>
      <c r="AS1235" s="6">
        <v>1.3772</v>
      </c>
      <c r="AT1235" s="6">
        <v>0.8054</v>
      </c>
      <c r="AU1235" s="6">
        <v>255</v>
      </c>
      <c r="AW1235" s="17">
        <v>1233</v>
      </c>
      <c r="AX1235" s="6">
        <v>0.83643000000000001</v>
      </c>
      <c r="AY1235" s="6">
        <v>1.3772</v>
      </c>
      <c r="AZ1235" s="6">
        <v>0.8054</v>
      </c>
      <c r="BA1235" s="6">
        <v>255</v>
      </c>
    </row>
    <row r="1236" spans="30:53" x14ac:dyDescent="0.25">
      <c r="AD1236" s="17">
        <v>1234</v>
      </c>
      <c r="AE1236" s="6">
        <v>3.0599599999999998</v>
      </c>
      <c r="AF1236" s="6">
        <v>6.8776999999999999</v>
      </c>
      <c r="AG1236" s="6">
        <v>2.9464000000000001</v>
      </c>
      <c r="AH1236" s="6">
        <v>255</v>
      </c>
      <c r="AJ1236" s="17">
        <v>1234</v>
      </c>
      <c r="AK1236" s="6">
        <v>5.8023600000000002</v>
      </c>
      <c r="AL1236" s="6">
        <v>6.8776999999999999</v>
      </c>
      <c r="AM1236" s="6">
        <v>2.9464000000000001</v>
      </c>
      <c r="AN1236" s="6">
        <v>255</v>
      </c>
      <c r="AQ1236" s="17">
        <v>1234</v>
      </c>
      <c r="AR1236" s="6">
        <v>1.5997600000000001</v>
      </c>
      <c r="AS1236" s="6">
        <v>0.69330000000000003</v>
      </c>
      <c r="AT1236" s="6">
        <v>0.81230000000000002</v>
      </c>
      <c r="AU1236" s="6">
        <v>255</v>
      </c>
      <c r="AW1236" s="17">
        <v>1234</v>
      </c>
      <c r="AX1236" s="6">
        <v>0.84365999999999997</v>
      </c>
      <c r="AY1236" s="6">
        <v>0.69330000000000003</v>
      </c>
      <c r="AZ1236" s="6">
        <v>0.81230000000000002</v>
      </c>
      <c r="BA1236" s="6">
        <v>255</v>
      </c>
    </row>
    <row r="1237" spans="30:53" x14ac:dyDescent="0.25">
      <c r="AD1237" s="17">
        <v>1235</v>
      </c>
      <c r="AE1237" s="6">
        <v>3.0415899999999998</v>
      </c>
      <c r="AF1237" s="6">
        <v>15.381600000000001</v>
      </c>
      <c r="AG1237" s="6">
        <v>2.9287000000000001</v>
      </c>
      <c r="AH1237" s="6">
        <v>255</v>
      </c>
      <c r="AJ1237" s="17">
        <v>1235</v>
      </c>
      <c r="AK1237" s="6">
        <v>5.7675299999999998</v>
      </c>
      <c r="AL1237" s="6">
        <v>15.381600000000001</v>
      </c>
      <c r="AM1237" s="6">
        <v>2.9287000000000001</v>
      </c>
      <c r="AN1237" s="6">
        <v>255</v>
      </c>
      <c r="AQ1237" s="17">
        <v>1235</v>
      </c>
      <c r="AR1237" s="6">
        <v>1.59961</v>
      </c>
      <c r="AS1237" s="6">
        <v>3.6019000000000001</v>
      </c>
      <c r="AT1237" s="6">
        <v>0.81230000000000002</v>
      </c>
      <c r="AU1237" s="6">
        <v>255</v>
      </c>
      <c r="AW1237" s="17">
        <v>1235</v>
      </c>
      <c r="AX1237" s="6">
        <v>0.84358</v>
      </c>
      <c r="AY1237" s="6">
        <v>3.6019000000000001</v>
      </c>
      <c r="AZ1237" s="6">
        <v>0.81230000000000002</v>
      </c>
      <c r="BA1237" s="6">
        <v>255</v>
      </c>
    </row>
    <row r="1238" spans="30:53" x14ac:dyDescent="0.25">
      <c r="AD1238" s="17">
        <v>1236</v>
      </c>
      <c r="AE1238" s="6">
        <v>3.04406</v>
      </c>
      <c r="AF1238" s="19">
        <v>-0.98240000000000005</v>
      </c>
      <c r="AG1238" s="6">
        <v>2.9310999999999998</v>
      </c>
      <c r="AH1238" s="6">
        <v>255</v>
      </c>
      <c r="AJ1238" s="17">
        <v>1236</v>
      </c>
      <c r="AK1238" s="6">
        <v>5.7721999999999998</v>
      </c>
      <c r="AL1238" s="19">
        <v>-0.98240000000000005</v>
      </c>
      <c r="AM1238" s="6">
        <v>2.9310999999999998</v>
      </c>
      <c r="AN1238" s="6">
        <v>255</v>
      </c>
      <c r="AQ1238" s="17">
        <v>1236</v>
      </c>
      <c r="AR1238" s="6">
        <v>1.5880300000000001</v>
      </c>
      <c r="AS1238" s="19">
        <v>-1.1145</v>
      </c>
      <c r="AT1238" s="6">
        <v>0.80640000000000001</v>
      </c>
      <c r="AU1238" s="6">
        <v>255</v>
      </c>
      <c r="AW1238" s="17">
        <v>1236</v>
      </c>
      <c r="AX1238" s="6">
        <v>0.83747000000000005</v>
      </c>
      <c r="AY1238" s="19">
        <v>-1.1145</v>
      </c>
      <c r="AZ1238" s="6">
        <v>0.80640000000000001</v>
      </c>
      <c r="BA1238" s="6">
        <v>255</v>
      </c>
    </row>
    <row r="1239" spans="30:53" x14ac:dyDescent="0.25">
      <c r="AD1239" s="17">
        <v>1237</v>
      </c>
      <c r="AE1239" s="6">
        <v>3.0412499999999998</v>
      </c>
      <c r="AF1239" s="6">
        <v>6.6073000000000004</v>
      </c>
      <c r="AG1239" s="6">
        <v>2.9283999999999999</v>
      </c>
      <c r="AH1239" s="6">
        <v>255</v>
      </c>
      <c r="AJ1239" s="17">
        <v>1237</v>
      </c>
      <c r="AK1239" s="6">
        <v>5.7668900000000001</v>
      </c>
      <c r="AL1239" s="6">
        <v>6.6073000000000004</v>
      </c>
      <c r="AM1239" s="6">
        <v>2.9283999999999999</v>
      </c>
      <c r="AN1239" s="6">
        <v>255</v>
      </c>
      <c r="AQ1239" s="17">
        <v>1237</v>
      </c>
      <c r="AR1239" s="6">
        <v>1.5967499999999999</v>
      </c>
      <c r="AS1239" s="6">
        <v>0.26100000000000001</v>
      </c>
      <c r="AT1239" s="6">
        <v>0.81079999999999997</v>
      </c>
      <c r="AU1239" s="6">
        <v>255</v>
      </c>
      <c r="AW1239" s="17">
        <v>1237</v>
      </c>
      <c r="AX1239" s="6">
        <v>0.84206999999999999</v>
      </c>
      <c r="AY1239" s="6">
        <v>0.26100000000000001</v>
      </c>
      <c r="AZ1239" s="6">
        <v>0.81079999999999997</v>
      </c>
      <c r="BA1239" s="6">
        <v>255</v>
      </c>
    </row>
    <row r="1240" spans="30:53" x14ac:dyDescent="0.25">
      <c r="AD1240" s="17">
        <v>1238</v>
      </c>
      <c r="AE1240" s="6">
        <v>3.0453100000000002</v>
      </c>
      <c r="AF1240" s="6">
        <v>0.56689999999999996</v>
      </c>
      <c r="AG1240" s="6">
        <v>2.9323000000000001</v>
      </c>
      <c r="AH1240" s="6">
        <v>255</v>
      </c>
      <c r="AJ1240" s="17">
        <v>1238</v>
      </c>
      <c r="AK1240" s="6">
        <v>5.7745800000000003</v>
      </c>
      <c r="AL1240" s="6">
        <v>0.56689999999999996</v>
      </c>
      <c r="AM1240" s="6">
        <v>2.9323000000000001</v>
      </c>
      <c r="AN1240" s="6">
        <v>255</v>
      </c>
      <c r="AQ1240" s="17">
        <v>1238</v>
      </c>
      <c r="AR1240" s="6">
        <v>1.5902099999999999</v>
      </c>
      <c r="AS1240" s="19">
        <v>-1.1083000000000001</v>
      </c>
      <c r="AT1240" s="6">
        <v>0.8075</v>
      </c>
      <c r="AU1240" s="6">
        <v>255</v>
      </c>
      <c r="AW1240" s="17">
        <v>1238</v>
      </c>
      <c r="AX1240" s="6">
        <v>0.83862000000000003</v>
      </c>
      <c r="AY1240" s="19">
        <v>-1.1083000000000001</v>
      </c>
      <c r="AZ1240" s="6">
        <v>0.8075</v>
      </c>
      <c r="BA1240" s="6">
        <v>255</v>
      </c>
    </row>
    <row r="1241" spans="30:53" x14ac:dyDescent="0.25">
      <c r="AD1241" s="17">
        <v>1239</v>
      </c>
      <c r="AE1241" s="6">
        <v>3.0573399999999999</v>
      </c>
      <c r="AF1241" s="6">
        <v>9.3308</v>
      </c>
      <c r="AG1241" s="6">
        <v>2.9439000000000002</v>
      </c>
      <c r="AH1241" s="6">
        <v>255</v>
      </c>
      <c r="AJ1241" s="17">
        <v>1239</v>
      </c>
      <c r="AK1241" s="6">
        <v>5.79739</v>
      </c>
      <c r="AL1241" s="6">
        <v>9.3308</v>
      </c>
      <c r="AM1241" s="6">
        <v>2.9439000000000002</v>
      </c>
      <c r="AN1241" s="6">
        <v>255</v>
      </c>
      <c r="AQ1241" s="17">
        <v>1239</v>
      </c>
      <c r="AR1241" s="6">
        <v>1.60111</v>
      </c>
      <c r="AS1241" s="6">
        <v>1.3831</v>
      </c>
      <c r="AT1241" s="6">
        <v>0.81299999999999994</v>
      </c>
      <c r="AU1241" s="6">
        <v>255</v>
      </c>
      <c r="AW1241" s="17">
        <v>1239</v>
      </c>
      <c r="AX1241" s="6">
        <v>0.84436999999999995</v>
      </c>
      <c r="AY1241" s="6">
        <v>1.3831</v>
      </c>
      <c r="AZ1241" s="6">
        <v>0.81299999999999994</v>
      </c>
      <c r="BA1241" s="6">
        <v>255</v>
      </c>
    </row>
    <row r="1242" spans="30:53" x14ac:dyDescent="0.25">
      <c r="AD1242" s="17">
        <v>1240</v>
      </c>
      <c r="AE1242" s="6">
        <v>3.0365600000000001</v>
      </c>
      <c r="AF1242" s="6">
        <v>3.9005000000000001</v>
      </c>
      <c r="AG1242" s="6">
        <v>2.9239000000000002</v>
      </c>
      <c r="AH1242" s="6">
        <v>255</v>
      </c>
      <c r="AJ1242" s="17">
        <v>1240</v>
      </c>
      <c r="AK1242" s="6">
        <v>5.7579900000000004</v>
      </c>
      <c r="AL1242" s="6">
        <v>3.9005000000000001</v>
      </c>
      <c r="AM1242" s="6">
        <v>2.9239000000000002</v>
      </c>
      <c r="AN1242" s="6">
        <v>255</v>
      </c>
      <c r="AQ1242" s="17">
        <v>1240</v>
      </c>
      <c r="AR1242" s="6">
        <v>1.5873200000000001</v>
      </c>
      <c r="AS1242" s="6">
        <v>4.2470000000000001E-2</v>
      </c>
      <c r="AT1242" s="6">
        <v>0.80600000000000005</v>
      </c>
      <c r="AU1242" s="6">
        <v>255</v>
      </c>
      <c r="AW1242" s="17">
        <v>1240</v>
      </c>
      <c r="AX1242" s="6">
        <v>0.83709999999999996</v>
      </c>
      <c r="AY1242" s="6">
        <v>4.2470000000000001E-2</v>
      </c>
      <c r="AZ1242" s="6">
        <v>0.80600000000000005</v>
      </c>
      <c r="BA1242" s="6">
        <v>255</v>
      </c>
    </row>
    <row r="1243" spans="30:53" x14ac:dyDescent="0.25">
      <c r="AD1243" s="17">
        <v>1241</v>
      </c>
      <c r="AE1243" s="6">
        <v>3.0567000000000002</v>
      </c>
      <c r="AF1243" s="6">
        <v>1.6403000000000001</v>
      </c>
      <c r="AG1243" s="6">
        <v>2.9432999999999998</v>
      </c>
      <c r="AH1243" s="6">
        <v>255</v>
      </c>
      <c r="AJ1243" s="17">
        <v>1241</v>
      </c>
      <c r="AK1243" s="6">
        <v>5.7961799999999997</v>
      </c>
      <c r="AL1243" s="6">
        <v>1.6403000000000001</v>
      </c>
      <c r="AM1243" s="6">
        <v>2.9432999999999998</v>
      </c>
      <c r="AN1243" s="6">
        <v>255</v>
      </c>
      <c r="AQ1243" s="17">
        <v>1241</v>
      </c>
      <c r="AR1243" s="6">
        <v>1.5982799999999999</v>
      </c>
      <c r="AS1243" s="6">
        <v>0.21260000000000001</v>
      </c>
      <c r="AT1243" s="6">
        <v>0.81159999999999999</v>
      </c>
      <c r="AU1243" s="6">
        <v>255</v>
      </c>
      <c r="AW1243" s="17">
        <v>1241</v>
      </c>
      <c r="AX1243" s="6">
        <v>0.84287000000000001</v>
      </c>
      <c r="AY1243" s="6">
        <v>0.21260000000000001</v>
      </c>
      <c r="AZ1243" s="6">
        <v>0.81159999999999999</v>
      </c>
      <c r="BA1243" s="6">
        <v>255</v>
      </c>
    </row>
    <row r="1244" spans="30:53" x14ac:dyDescent="0.25">
      <c r="AD1244" s="17">
        <v>1242</v>
      </c>
      <c r="AE1244" s="6">
        <v>3.04013</v>
      </c>
      <c r="AF1244" s="6">
        <v>2.8906999999999998</v>
      </c>
      <c r="AG1244" s="6">
        <v>2.9272999999999998</v>
      </c>
      <c r="AH1244" s="6">
        <v>255</v>
      </c>
      <c r="AJ1244" s="17">
        <v>1242</v>
      </c>
      <c r="AK1244" s="6">
        <v>5.7647500000000003</v>
      </c>
      <c r="AL1244" s="6">
        <v>2.8906999999999998</v>
      </c>
      <c r="AM1244" s="6">
        <v>2.9272999999999998</v>
      </c>
      <c r="AN1244" s="6">
        <v>255</v>
      </c>
      <c r="AQ1244" s="17">
        <v>1242</v>
      </c>
      <c r="AR1244" s="6">
        <v>1.59636</v>
      </c>
      <c r="AS1244" s="19">
        <v>-0.20080000000000001</v>
      </c>
      <c r="AT1244" s="6">
        <v>0.81059999999999999</v>
      </c>
      <c r="AU1244" s="6">
        <v>255</v>
      </c>
      <c r="AW1244" s="17">
        <v>1242</v>
      </c>
      <c r="AX1244" s="6">
        <v>0.84186000000000005</v>
      </c>
      <c r="AY1244" s="19">
        <v>-0.20080000000000001</v>
      </c>
      <c r="AZ1244" s="6">
        <v>0.81059999999999999</v>
      </c>
      <c r="BA1244" s="6">
        <v>255</v>
      </c>
    </row>
    <row r="1245" spans="30:53" x14ac:dyDescent="0.25">
      <c r="AD1245" s="17">
        <v>1243</v>
      </c>
      <c r="AE1245" s="6">
        <v>3.02529</v>
      </c>
      <c r="AF1245" s="6">
        <v>2.5954999999999999</v>
      </c>
      <c r="AG1245" s="6">
        <v>2.9129999999999998</v>
      </c>
      <c r="AH1245" s="6">
        <v>255</v>
      </c>
      <c r="AJ1245" s="17">
        <v>1243</v>
      </c>
      <c r="AK1245" s="6">
        <v>5.7366200000000003</v>
      </c>
      <c r="AL1245" s="6">
        <v>2.5954999999999999</v>
      </c>
      <c r="AM1245" s="6">
        <v>2.9129999999999998</v>
      </c>
      <c r="AN1245" s="6">
        <v>255</v>
      </c>
      <c r="AQ1245" s="17">
        <v>1243</v>
      </c>
      <c r="AR1245" s="6">
        <v>1.5902000000000001</v>
      </c>
      <c r="AS1245" s="19">
        <v>-1.4205000000000001</v>
      </c>
      <c r="AT1245" s="6">
        <v>0.8075</v>
      </c>
      <c r="AU1245" s="6">
        <v>255</v>
      </c>
      <c r="AW1245" s="17">
        <v>1243</v>
      </c>
      <c r="AX1245" s="6">
        <v>0.83862000000000003</v>
      </c>
      <c r="AY1245" s="19">
        <v>-1.4205000000000001</v>
      </c>
      <c r="AZ1245" s="6">
        <v>0.8075</v>
      </c>
      <c r="BA1245" s="6">
        <v>255</v>
      </c>
    </row>
    <row r="1246" spans="30:53" x14ac:dyDescent="0.25">
      <c r="AD1246" s="17">
        <v>1244</v>
      </c>
      <c r="AE1246" s="6">
        <v>3.04447</v>
      </c>
      <c r="AF1246" s="6">
        <v>8.0335999999999999</v>
      </c>
      <c r="AG1246" s="6">
        <v>2.9315000000000002</v>
      </c>
      <c r="AH1246" s="6">
        <v>255</v>
      </c>
      <c r="AJ1246" s="17">
        <v>1244</v>
      </c>
      <c r="AK1246" s="6">
        <v>5.7729900000000001</v>
      </c>
      <c r="AL1246" s="6">
        <v>8.0335999999999999</v>
      </c>
      <c r="AM1246" s="6">
        <v>2.9315000000000002</v>
      </c>
      <c r="AN1246" s="6">
        <v>255</v>
      </c>
      <c r="AQ1246" s="17">
        <v>1244</v>
      </c>
      <c r="AR1246" s="6">
        <v>1.5894200000000001</v>
      </c>
      <c r="AS1246" s="6">
        <v>1.5166999999999999</v>
      </c>
      <c r="AT1246" s="6">
        <v>0.80710000000000004</v>
      </c>
      <c r="AU1246" s="6">
        <v>255</v>
      </c>
      <c r="AW1246" s="17">
        <v>1244</v>
      </c>
      <c r="AX1246" s="6">
        <v>0.83821000000000001</v>
      </c>
      <c r="AY1246" s="6">
        <v>1.5166999999999999</v>
      </c>
      <c r="AZ1246" s="6">
        <v>0.80710000000000004</v>
      </c>
      <c r="BA1246" s="6">
        <v>255</v>
      </c>
    </row>
    <row r="1247" spans="30:53" x14ac:dyDescent="0.25">
      <c r="AD1247" s="17">
        <v>1245</v>
      </c>
      <c r="AE1247" s="6">
        <v>3.0421200000000002</v>
      </c>
      <c r="AF1247" s="6">
        <v>4.8879000000000001</v>
      </c>
      <c r="AG1247" s="6">
        <v>2.9291999999999998</v>
      </c>
      <c r="AH1247" s="6">
        <v>255</v>
      </c>
      <c r="AJ1247" s="17">
        <v>1245</v>
      </c>
      <c r="AK1247" s="6">
        <v>5.7685300000000002</v>
      </c>
      <c r="AL1247" s="6">
        <v>4.8879000000000001</v>
      </c>
      <c r="AM1247" s="6">
        <v>2.9291999999999998</v>
      </c>
      <c r="AN1247" s="6">
        <v>255</v>
      </c>
      <c r="AQ1247" s="17">
        <v>1245</v>
      </c>
      <c r="AR1247" s="6">
        <v>1.5859099999999999</v>
      </c>
      <c r="AS1247" s="6">
        <v>1.3704000000000001</v>
      </c>
      <c r="AT1247" s="6">
        <v>0.80530000000000002</v>
      </c>
      <c r="AU1247" s="6">
        <v>255</v>
      </c>
      <c r="AW1247" s="17">
        <v>1245</v>
      </c>
      <c r="AX1247" s="6">
        <v>0.83635000000000004</v>
      </c>
      <c r="AY1247" s="6">
        <v>1.3704000000000001</v>
      </c>
      <c r="AZ1247" s="6">
        <v>0.80530000000000002</v>
      </c>
      <c r="BA1247" s="6">
        <v>255</v>
      </c>
    </row>
    <row r="1248" spans="30:53" x14ac:dyDescent="0.25">
      <c r="AD1248" s="17">
        <v>1246</v>
      </c>
      <c r="AE1248" s="6">
        <v>3.0473300000000001</v>
      </c>
      <c r="AF1248" s="6">
        <v>3.1332</v>
      </c>
      <c r="AG1248" s="6">
        <v>2.9342000000000001</v>
      </c>
      <c r="AH1248" s="6">
        <v>255</v>
      </c>
      <c r="AJ1248" s="17">
        <v>1246</v>
      </c>
      <c r="AK1248" s="6">
        <v>5.77841</v>
      </c>
      <c r="AL1248" s="6">
        <v>3.1332</v>
      </c>
      <c r="AM1248" s="6">
        <v>2.9342000000000001</v>
      </c>
      <c r="AN1248" s="6">
        <v>255</v>
      </c>
      <c r="AQ1248" s="17">
        <v>1246</v>
      </c>
      <c r="AR1248" s="6">
        <v>1.5913200000000001</v>
      </c>
      <c r="AS1248" s="6">
        <v>0.91310000000000002</v>
      </c>
      <c r="AT1248" s="6">
        <v>0.80810000000000004</v>
      </c>
      <c r="AU1248" s="6">
        <v>255</v>
      </c>
      <c r="AW1248" s="17">
        <v>1246</v>
      </c>
      <c r="AX1248" s="6">
        <v>0.83919999999999995</v>
      </c>
      <c r="AY1248" s="6">
        <v>0.91310000000000002</v>
      </c>
      <c r="AZ1248" s="6">
        <v>0.80810000000000004</v>
      </c>
      <c r="BA1248" s="6">
        <v>255</v>
      </c>
    </row>
    <row r="1249" spans="30:53" x14ac:dyDescent="0.25">
      <c r="AD1249" s="17">
        <v>1247</v>
      </c>
      <c r="AE1249" s="6">
        <v>3.02142</v>
      </c>
      <c r="AF1249" s="6">
        <v>6.8544999999999998</v>
      </c>
      <c r="AG1249" s="6">
        <v>2.9093</v>
      </c>
      <c r="AH1249" s="6">
        <v>255</v>
      </c>
      <c r="AJ1249" s="17">
        <v>1247</v>
      </c>
      <c r="AK1249" s="6">
        <v>5.7292699999999996</v>
      </c>
      <c r="AL1249" s="6">
        <v>6.8544999999999998</v>
      </c>
      <c r="AM1249" s="6">
        <v>2.9093</v>
      </c>
      <c r="AN1249" s="6">
        <v>255</v>
      </c>
      <c r="AQ1249" s="17">
        <v>1247</v>
      </c>
      <c r="AR1249" s="6">
        <v>1.5816699999999999</v>
      </c>
      <c r="AS1249" s="6">
        <v>0.2291</v>
      </c>
      <c r="AT1249" s="6">
        <v>0.80320000000000003</v>
      </c>
      <c r="AU1249" s="6">
        <v>255</v>
      </c>
      <c r="AW1249" s="17">
        <v>1247</v>
      </c>
      <c r="AX1249" s="6">
        <v>0.83411999999999997</v>
      </c>
      <c r="AY1249" s="6">
        <v>0.2291</v>
      </c>
      <c r="AZ1249" s="6">
        <v>0.80320000000000003</v>
      </c>
      <c r="BA1249" s="6">
        <v>255</v>
      </c>
    </row>
    <row r="1250" spans="30:53" x14ac:dyDescent="0.25">
      <c r="AD1250" s="17">
        <v>1248</v>
      </c>
      <c r="AE1250" s="6">
        <v>3.0541499999999999</v>
      </c>
      <c r="AF1250" s="6">
        <v>15.3584</v>
      </c>
      <c r="AG1250" s="6">
        <v>2.9407999999999999</v>
      </c>
      <c r="AH1250" s="6">
        <v>255</v>
      </c>
      <c r="AJ1250" s="17">
        <v>1248</v>
      </c>
      <c r="AK1250" s="6">
        <v>5.7913399999999999</v>
      </c>
      <c r="AL1250" s="6">
        <v>15.3584</v>
      </c>
      <c r="AM1250" s="6">
        <v>2.9407999999999999</v>
      </c>
      <c r="AN1250" s="6">
        <v>255</v>
      </c>
      <c r="AQ1250" s="17">
        <v>1248</v>
      </c>
      <c r="AR1250" s="6">
        <v>1.60094</v>
      </c>
      <c r="AS1250" s="6">
        <v>3.1377000000000002</v>
      </c>
      <c r="AT1250" s="6">
        <v>0.81289999999999996</v>
      </c>
      <c r="AU1250" s="6">
        <v>255</v>
      </c>
      <c r="AW1250" s="17">
        <v>1248</v>
      </c>
      <c r="AX1250" s="6">
        <v>0.84428000000000003</v>
      </c>
      <c r="AY1250" s="6">
        <v>3.1377000000000002</v>
      </c>
      <c r="AZ1250" s="6">
        <v>0.81289999999999996</v>
      </c>
      <c r="BA1250" s="6">
        <v>255</v>
      </c>
    </row>
    <row r="1251" spans="30:53" x14ac:dyDescent="0.25">
      <c r="AD1251" s="17">
        <v>1249</v>
      </c>
      <c r="AE1251" s="6">
        <v>3.0640499999999999</v>
      </c>
      <c r="AF1251" s="6">
        <v>7.5896999999999997</v>
      </c>
      <c r="AG1251" s="6">
        <v>2.9502999999999999</v>
      </c>
      <c r="AH1251" s="6">
        <v>255</v>
      </c>
      <c r="AJ1251" s="17">
        <v>1249</v>
      </c>
      <c r="AK1251" s="6">
        <v>5.8101099999999999</v>
      </c>
      <c r="AL1251" s="6">
        <v>7.5896999999999997</v>
      </c>
      <c r="AM1251" s="6">
        <v>2.9502999999999999</v>
      </c>
      <c r="AN1251" s="6">
        <v>255</v>
      </c>
      <c r="AQ1251" s="17">
        <v>1249</v>
      </c>
      <c r="AR1251" s="6">
        <v>1.60154</v>
      </c>
      <c r="AS1251" s="6">
        <v>1.3754999999999999</v>
      </c>
      <c r="AT1251" s="6">
        <v>0.81320000000000003</v>
      </c>
      <c r="AU1251" s="6">
        <v>255</v>
      </c>
      <c r="AW1251" s="17">
        <v>1249</v>
      </c>
      <c r="AX1251" s="6">
        <v>0.84460000000000002</v>
      </c>
      <c r="AY1251" s="6">
        <v>1.3754999999999999</v>
      </c>
      <c r="AZ1251" s="6">
        <v>0.81320000000000003</v>
      </c>
      <c r="BA1251" s="6">
        <v>255</v>
      </c>
    </row>
    <row r="1252" spans="30:53" x14ac:dyDescent="0.25">
      <c r="AD1252" s="17">
        <v>1250</v>
      </c>
      <c r="AE1252" s="6">
        <v>3.0504600000000002</v>
      </c>
      <c r="AF1252" s="6">
        <v>1.5492999999999999</v>
      </c>
      <c r="AG1252" s="6">
        <v>2.9371999999999998</v>
      </c>
      <c r="AH1252" s="6">
        <v>255</v>
      </c>
      <c r="AJ1252" s="17">
        <v>1250</v>
      </c>
      <c r="AK1252" s="6">
        <v>5.7843499999999999</v>
      </c>
      <c r="AL1252" s="6">
        <v>1.5492999999999999</v>
      </c>
      <c r="AM1252" s="6">
        <v>2.9371999999999998</v>
      </c>
      <c r="AN1252" s="6">
        <v>255</v>
      </c>
      <c r="AQ1252" s="17">
        <v>1250</v>
      </c>
      <c r="AR1252" s="6">
        <v>1.5874299999999999</v>
      </c>
      <c r="AS1252" s="6">
        <v>6.1149999999999998E-3</v>
      </c>
      <c r="AT1252" s="6">
        <v>0.80610000000000004</v>
      </c>
      <c r="AU1252" s="6">
        <v>255</v>
      </c>
      <c r="AW1252" s="17">
        <v>1250</v>
      </c>
      <c r="AX1252" s="6">
        <v>0.83716000000000002</v>
      </c>
      <c r="AY1252" s="6">
        <v>6.1149999999999998E-3</v>
      </c>
      <c r="AZ1252" s="6">
        <v>0.80610000000000004</v>
      </c>
      <c r="BA1252" s="6">
        <v>255</v>
      </c>
    </row>
    <row r="1253" spans="30:53" x14ac:dyDescent="0.25">
      <c r="AD1253" s="17">
        <v>1251</v>
      </c>
      <c r="AE1253" s="6">
        <v>3.06277</v>
      </c>
      <c r="AF1253" s="6">
        <v>10.3132</v>
      </c>
      <c r="AG1253" s="6">
        <v>2.9491000000000001</v>
      </c>
      <c r="AH1253" s="6">
        <v>255</v>
      </c>
      <c r="AJ1253" s="17">
        <v>1251</v>
      </c>
      <c r="AK1253" s="6">
        <v>5.80769</v>
      </c>
      <c r="AL1253" s="6">
        <v>10.3132</v>
      </c>
      <c r="AM1253" s="6">
        <v>2.9491000000000001</v>
      </c>
      <c r="AN1253" s="6">
        <v>255</v>
      </c>
      <c r="AQ1253" s="17">
        <v>1251</v>
      </c>
      <c r="AR1253" s="6">
        <v>1.60189</v>
      </c>
      <c r="AS1253" s="6">
        <v>2.4975000000000001</v>
      </c>
      <c r="AT1253" s="6">
        <v>0.81340000000000001</v>
      </c>
      <c r="AU1253" s="6">
        <v>255</v>
      </c>
      <c r="AW1253" s="17">
        <v>1251</v>
      </c>
      <c r="AX1253" s="6">
        <v>0.84477999999999998</v>
      </c>
      <c r="AY1253" s="6">
        <v>2.4975000000000001</v>
      </c>
      <c r="AZ1253" s="6">
        <v>0.81340000000000001</v>
      </c>
      <c r="BA1253" s="6">
        <v>255</v>
      </c>
    </row>
    <row r="1254" spans="30:53" x14ac:dyDescent="0.25">
      <c r="AD1254" s="17">
        <v>1252</v>
      </c>
      <c r="AE1254" s="6">
        <v>3.0464699999999998</v>
      </c>
      <c r="AF1254" s="6">
        <v>4.8829000000000002</v>
      </c>
      <c r="AG1254" s="6">
        <v>2.9333999999999998</v>
      </c>
      <c r="AH1254" s="6">
        <v>255</v>
      </c>
      <c r="AJ1254" s="17">
        <v>1252</v>
      </c>
      <c r="AK1254" s="6">
        <v>5.77677</v>
      </c>
      <c r="AL1254" s="6">
        <v>4.8829000000000002</v>
      </c>
      <c r="AM1254" s="6">
        <v>2.9333999999999998</v>
      </c>
      <c r="AN1254" s="6">
        <v>255</v>
      </c>
      <c r="AQ1254" s="17">
        <v>1252</v>
      </c>
      <c r="AR1254" s="6">
        <v>1.5878300000000001</v>
      </c>
      <c r="AS1254" s="6">
        <v>1.1569</v>
      </c>
      <c r="AT1254" s="6">
        <v>0.80630000000000002</v>
      </c>
      <c r="AU1254" s="6">
        <v>255</v>
      </c>
      <c r="AW1254" s="17">
        <v>1252</v>
      </c>
      <c r="AX1254" s="6">
        <v>0.83736999999999995</v>
      </c>
      <c r="AY1254" s="6">
        <v>1.1569</v>
      </c>
      <c r="AZ1254" s="6">
        <v>0.80630000000000002</v>
      </c>
      <c r="BA1254" s="6">
        <v>255</v>
      </c>
    </row>
    <row r="1255" spans="30:53" x14ac:dyDescent="0.25">
      <c r="AD1255" s="17">
        <v>1253</v>
      </c>
      <c r="AE1255" s="6">
        <v>3.0707900000000001</v>
      </c>
      <c r="AF1255" s="6">
        <v>2.6227</v>
      </c>
      <c r="AG1255" s="6">
        <v>2.9567999999999999</v>
      </c>
      <c r="AH1255" s="6">
        <v>255</v>
      </c>
      <c r="AJ1255" s="17">
        <v>1253</v>
      </c>
      <c r="AK1255" s="6">
        <v>5.8228900000000001</v>
      </c>
      <c r="AL1255" s="6">
        <v>2.6227</v>
      </c>
      <c r="AM1255" s="6">
        <v>2.9567999999999999</v>
      </c>
      <c r="AN1255" s="6">
        <v>255</v>
      </c>
      <c r="AQ1255" s="17">
        <v>1253</v>
      </c>
      <c r="AR1255" s="6">
        <v>1.6029100000000001</v>
      </c>
      <c r="AS1255" s="6">
        <v>1.327</v>
      </c>
      <c r="AT1255" s="6">
        <v>0.81389999999999996</v>
      </c>
      <c r="AU1255" s="6">
        <v>255</v>
      </c>
      <c r="AW1255" s="17">
        <v>1253</v>
      </c>
      <c r="AX1255" s="6">
        <v>0.84531999999999996</v>
      </c>
      <c r="AY1255" s="6">
        <v>1.327</v>
      </c>
      <c r="AZ1255" s="6">
        <v>0.81389999999999996</v>
      </c>
      <c r="BA1255" s="6">
        <v>255</v>
      </c>
    </row>
    <row r="1256" spans="30:53" x14ac:dyDescent="0.25">
      <c r="AD1256" s="17">
        <v>1254</v>
      </c>
      <c r="AE1256" s="6">
        <v>3.0543499999999999</v>
      </c>
      <c r="AF1256" s="6">
        <v>3.8731</v>
      </c>
      <c r="AG1256" s="6">
        <v>2.9409999999999998</v>
      </c>
      <c r="AH1256" s="6">
        <v>255</v>
      </c>
      <c r="AJ1256" s="17">
        <v>1254</v>
      </c>
      <c r="AK1256" s="6">
        <v>5.7917300000000003</v>
      </c>
      <c r="AL1256" s="6">
        <v>3.8731</v>
      </c>
      <c r="AM1256" s="6">
        <v>2.9409999999999998</v>
      </c>
      <c r="AN1256" s="6">
        <v>255</v>
      </c>
      <c r="AQ1256" s="17">
        <v>1254</v>
      </c>
      <c r="AR1256" s="6">
        <v>1.59911</v>
      </c>
      <c r="AS1256" s="6">
        <v>0.91359999999999997</v>
      </c>
      <c r="AT1256" s="6">
        <v>0.81200000000000006</v>
      </c>
      <c r="AU1256" s="6">
        <v>255</v>
      </c>
      <c r="AW1256" s="17">
        <v>1254</v>
      </c>
      <c r="AX1256" s="6">
        <v>0.84331</v>
      </c>
      <c r="AY1256" s="6">
        <v>0.91359999999999997</v>
      </c>
      <c r="AZ1256" s="6">
        <v>0.81200000000000006</v>
      </c>
      <c r="BA1256" s="6">
        <v>255</v>
      </c>
    </row>
    <row r="1257" spans="30:53" x14ac:dyDescent="0.25">
      <c r="AD1257" s="17">
        <v>1255</v>
      </c>
      <c r="AE1257" s="6">
        <v>3.0426199999999999</v>
      </c>
      <c r="AF1257" s="6">
        <v>3.5779000000000001</v>
      </c>
      <c r="AG1257" s="6">
        <v>2.9297</v>
      </c>
      <c r="AH1257" s="6">
        <v>255</v>
      </c>
      <c r="AJ1257" s="17">
        <v>1255</v>
      </c>
      <c r="AK1257" s="6">
        <v>5.7694700000000001</v>
      </c>
      <c r="AL1257" s="6">
        <v>3.5779000000000001</v>
      </c>
      <c r="AM1257" s="6">
        <v>2.9297</v>
      </c>
      <c r="AN1257" s="6">
        <v>255</v>
      </c>
      <c r="AQ1257" s="17">
        <v>1255</v>
      </c>
      <c r="AR1257" s="6">
        <v>1.5966199999999999</v>
      </c>
      <c r="AS1257" s="19">
        <v>-0.30609999999999998</v>
      </c>
      <c r="AT1257" s="6">
        <v>0.81069999999999998</v>
      </c>
      <c r="AU1257" s="6">
        <v>255</v>
      </c>
      <c r="AW1257" s="17">
        <v>1255</v>
      </c>
      <c r="AX1257" s="6">
        <v>0.84199999999999997</v>
      </c>
      <c r="AY1257" s="19">
        <v>-0.30609999999999998</v>
      </c>
      <c r="AZ1257" s="6">
        <v>0.81069999999999998</v>
      </c>
      <c r="BA1257" s="6">
        <v>255</v>
      </c>
    </row>
    <row r="1258" spans="30:53" x14ac:dyDescent="0.25">
      <c r="AD1258" s="17">
        <v>1256</v>
      </c>
      <c r="AE1258" s="6">
        <v>3.0508500000000001</v>
      </c>
      <c r="AF1258" s="6">
        <v>9.0160999999999998</v>
      </c>
      <c r="AG1258" s="6">
        <v>2.9376000000000002</v>
      </c>
      <c r="AH1258" s="6">
        <v>255</v>
      </c>
      <c r="AJ1258" s="17">
        <v>1256</v>
      </c>
      <c r="AK1258" s="6">
        <v>5.7850900000000003</v>
      </c>
      <c r="AL1258" s="6">
        <v>9.0160999999999998</v>
      </c>
      <c r="AM1258" s="6">
        <v>2.9376000000000002</v>
      </c>
      <c r="AN1258" s="6">
        <v>255</v>
      </c>
      <c r="AQ1258" s="17">
        <v>1256</v>
      </c>
      <c r="AR1258" s="6">
        <v>1.59135</v>
      </c>
      <c r="AS1258" s="6">
        <v>2.6312000000000002</v>
      </c>
      <c r="AT1258" s="6">
        <v>0.80810000000000004</v>
      </c>
      <c r="AU1258" s="6">
        <v>255</v>
      </c>
      <c r="AW1258" s="17">
        <v>1256</v>
      </c>
      <c r="AX1258" s="6">
        <v>0.83921999999999997</v>
      </c>
      <c r="AY1258" s="6">
        <v>2.6312000000000002</v>
      </c>
      <c r="AZ1258" s="6">
        <v>0.80810000000000004</v>
      </c>
      <c r="BA1258" s="6">
        <v>255</v>
      </c>
    </row>
    <row r="1259" spans="30:53" x14ac:dyDescent="0.25">
      <c r="AD1259" s="17">
        <v>1257</v>
      </c>
      <c r="AE1259" s="6">
        <v>3.06765</v>
      </c>
      <c r="AF1259" s="6">
        <v>5.8703000000000003</v>
      </c>
      <c r="AG1259" s="6">
        <v>2.9538000000000002</v>
      </c>
      <c r="AH1259" s="6">
        <v>255</v>
      </c>
      <c r="AJ1259" s="17">
        <v>1257</v>
      </c>
      <c r="AK1259" s="6">
        <v>5.8169300000000002</v>
      </c>
      <c r="AL1259" s="6">
        <v>5.8703000000000003</v>
      </c>
      <c r="AM1259" s="6">
        <v>2.9538000000000002</v>
      </c>
      <c r="AN1259" s="6">
        <v>255</v>
      </c>
      <c r="AQ1259" s="17">
        <v>1257</v>
      </c>
      <c r="AR1259" s="6">
        <v>1.5932200000000001</v>
      </c>
      <c r="AS1259" s="6">
        <v>2.4849000000000001</v>
      </c>
      <c r="AT1259" s="6">
        <v>0.80900000000000005</v>
      </c>
      <c r="AU1259" s="6">
        <v>255</v>
      </c>
      <c r="AW1259" s="17">
        <v>1257</v>
      </c>
      <c r="AX1259" s="6">
        <v>0.84021000000000001</v>
      </c>
      <c r="AY1259" s="6">
        <v>2.4849000000000001</v>
      </c>
      <c r="AZ1259" s="6">
        <v>0.80900000000000005</v>
      </c>
      <c r="BA1259" s="6">
        <v>255</v>
      </c>
    </row>
    <row r="1260" spans="30:53" x14ac:dyDescent="0.25">
      <c r="AD1260" s="17">
        <v>1258</v>
      </c>
      <c r="AE1260" s="6">
        <v>3.0528200000000001</v>
      </c>
      <c r="AF1260" s="6">
        <v>4.1155999999999997</v>
      </c>
      <c r="AG1260" s="6">
        <v>2.9394999999999998</v>
      </c>
      <c r="AH1260" s="6">
        <v>255</v>
      </c>
      <c r="AJ1260" s="17">
        <v>1258</v>
      </c>
      <c r="AK1260" s="6">
        <v>5.7888099999999998</v>
      </c>
      <c r="AL1260" s="6">
        <v>4.1155999999999997</v>
      </c>
      <c r="AM1260" s="6">
        <v>2.9394999999999998</v>
      </c>
      <c r="AN1260" s="6">
        <v>255</v>
      </c>
      <c r="AQ1260" s="17">
        <v>1258</v>
      </c>
      <c r="AR1260" s="6">
        <v>1.5901799999999999</v>
      </c>
      <c r="AS1260" s="6">
        <v>2.0274999999999999</v>
      </c>
      <c r="AT1260" s="6">
        <v>0.8075</v>
      </c>
      <c r="AU1260" s="6">
        <v>255</v>
      </c>
      <c r="AW1260" s="17">
        <v>1258</v>
      </c>
      <c r="AX1260" s="6">
        <v>0.83860000000000001</v>
      </c>
      <c r="AY1260" s="6">
        <v>2.0274999999999999</v>
      </c>
      <c r="AZ1260" s="6">
        <v>0.8075</v>
      </c>
      <c r="BA1260" s="6">
        <v>255</v>
      </c>
    </row>
    <row r="1261" spans="30:53" x14ac:dyDescent="0.25">
      <c r="AD1261" s="17">
        <v>1259</v>
      </c>
      <c r="AE1261" s="6">
        <v>3.0670299999999999</v>
      </c>
      <c r="AF1261" s="6">
        <v>7.8369</v>
      </c>
      <c r="AG1261" s="6">
        <v>2.9531999999999998</v>
      </c>
      <c r="AH1261" s="6">
        <v>255</v>
      </c>
      <c r="AJ1261" s="17">
        <v>1259</v>
      </c>
      <c r="AK1261" s="6">
        <v>5.81576</v>
      </c>
      <c r="AL1261" s="6">
        <v>7.8369</v>
      </c>
      <c r="AM1261" s="6">
        <v>2.9531999999999998</v>
      </c>
      <c r="AN1261" s="6">
        <v>255</v>
      </c>
      <c r="AQ1261" s="17">
        <v>1259</v>
      </c>
      <c r="AR1261" s="6">
        <v>1.60043</v>
      </c>
      <c r="AS1261" s="6">
        <v>1.3435999999999999</v>
      </c>
      <c r="AT1261" s="6">
        <v>0.81269999999999998</v>
      </c>
      <c r="AU1261" s="6">
        <v>255</v>
      </c>
      <c r="AW1261" s="17">
        <v>1259</v>
      </c>
      <c r="AX1261" s="6">
        <v>0.84401000000000004</v>
      </c>
      <c r="AY1261" s="6">
        <v>1.3435999999999999</v>
      </c>
      <c r="AZ1261" s="6">
        <v>0.81269999999999998</v>
      </c>
      <c r="BA1261" s="6">
        <v>255</v>
      </c>
    </row>
    <row r="1262" spans="30:53" x14ac:dyDescent="0.25">
      <c r="AD1262" s="17">
        <v>1260</v>
      </c>
      <c r="AE1262" s="6">
        <v>3.0612200000000001</v>
      </c>
      <c r="AF1262" s="6">
        <v>16.340800000000002</v>
      </c>
      <c r="AG1262" s="6">
        <v>2.9476</v>
      </c>
      <c r="AH1262" s="6">
        <v>255</v>
      </c>
      <c r="AJ1262" s="17">
        <v>1260</v>
      </c>
      <c r="AK1262" s="6">
        <v>5.8047399999999998</v>
      </c>
      <c r="AL1262" s="6">
        <v>16.340800000000002</v>
      </c>
      <c r="AM1262" s="6">
        <v>2.9476</v>
      </c>
      <c r="AN1262" s="6">
        <v>255</v>
      </c>
      <c r="AQ1262" s="17">
        <v>1260</v>
      </c>
      <c r="AR1262" s="6">
        <v>1.6024799999999999</v>
      </c>
      <c r="AS1262" s="6">
        <v>4.2522000000000002</v>
      </c>
      <c r="AT1262" s="6">
        <v>0.81369999999999998</v>
      </c>
      <c r="AU1262" s="6">
        <v>255</v>
      </c>
      <c r="AW1262" s="17">
        <v>1260</v>
      </c>
      <c r="AX1262" s="6">
        <v>0.84509000000000001</v>
      </c>
      <c r="AY1262" s="6">
        <v>4.2522000000000002</v>
      </c>
      <c r="AZ1262" s="6">
        <v>0.81369999999999998</v>
      </c>
      <c r="BA1262" s="6">
        <v>255</v>
      </c>
    </row>
    <row r="1263" spans="30:53" x14ac:dyDescent="0.25">
      <c r="AD1263" s="17">
        <v>1261</v>
      </c>
      <c r="AE1263" s="6">
        <v>3.0324300000000002</v>
      </c>
      <c r="AF1263" s="19">
        <v>-6.0404</v>
      </c>
      <c r="AG1263" s="6">
        <v>2.9199000000000002</v>
      </c>
      <c r="AH1263" s="6">
        <v>255</v>
      </c>
      <c r="AJ1263" s="17">
        <v>1261</v>
      </c>
      <c r="AK1263" s="6">
        <v>5.7501499999999997</v>
      </c>
      <c r="AL1263" s="19">
        <v>-6.0404</v>
      </c>
      <c r="AM1263" s="6">
        <v>2.9199000000000002</v>
      </c>
      <c r="AN1263" s="6">
        <v>255</v>
      </c>
      <c r="AQ1263" s="17">
        <v>1261</v>
      </c>
      <c r="AR1263" s="6">
        <v>1.5935699999999999</v>
      </c>
      <c r="AS1263" s="19">
        <v>-1.3694</v>
      </c>
      <c r="AT1263" s="6">
        <v>0.80920000000000003</v>
      </c>
      <c r="AU1263" s="6">
        <v>255</v>
      </c>
      <c r="AW1263" s="17">
        <v>1261</v>
      </c>
      <c r="AX1263" s="6">
        <v>0.84038999999999997</v>
      </c>
      <c r="AY1263" s="19">
        <v>-1.3694</v>
      </c>
      <c r="AZ1263" s="6">
        <v>0.80920000000000003</v>
      </c>
      <c r="BA1263" s="6">
        <v>255</v>
      </c>
    </row>
    <row r="1264" spans="30:53" x14ac:dyDescent="0.25">
      <c r="AD1264" s="17">
        <v>1262</v>
      </c>
      <c r="AE1264" s="6">
        <v>3.05341</v>
      </c>
      <c r="AF1264" s="6">
        <v>2.7235</v>
      </c>
      <c r="AG1264" s="6">
        <v>2.9401000000000002</v>
      </c>
      <c r="AH1264" s="6">
        <v>255</v>
      </c>
      <c r="AJ1264" s="17">
        <v>1262</v>
      </c>
      <c r="AK1264" s="6">
        <v>5.7899500000000002</v>
      </c>
      <c r="AL1264" s="6">
        <v>2.7235</v>
      </c>
      <c r="AM1264" s="6">
        <v>2.9401000000000002</v>
      </c>
      <c r="AN1264" s="6">
        <v>255</v>
      </c>
      <c r="AQ1264" s="17">
        <v>1262</v>
      </c>
      <c r="AR1264" s="6">
        <v>1.6049</v>
      </c>
      <c r="AS1264" s="6">
        <v>1.1220000000000001</v>
      </c>
      <c r="AT1264" s="6">
        <v>0.81499999999999995</v>
      </c>
      <c r="AU1264" s="6">
        <v>255</v>
      </c>
      <c r="AW1264" s="17">
        <v>1262</v>
      </c>
      <c r="AX1264" s="6">
        <v>0.84636999999999996</v>
      </c>
      <c r="AY1264" s="6">
        <v>1.1220000000000001</v>
      </c>
      <c r="AZ1264" s="6">
        <v>0.81499999999999995</v>
      </c>
      <c r="BA1264" s="6">
        <v>255</v>
      </c>
    </row>
    <row r="1265" spans="30:53" x14ac:dyDescent="0.25">
      <c r="AD1265" s="17">
        <v>1263</v>
      </c>
      <c r="AE1265" s="6">
        <v>3.05314</v>
      </c>
      <c r="AF1265" s="19">
        <v>-2.7067999999999999</v>
      </c>
      <c r="AG1265" s="6">
        <v>2.9398</v>
      </c>
      <c r="AH1265" s="6">
        <v>255</v>
      </c>
      <c r="AJ1265" s="17">
        <v>1263</v>
      </c>
      <c r="AK1265" s="6">
        <v>5.7894199999999998</v>
      </c>
      <c r="AL1265" s="19">
        <v>-2.7067999999999999</v>
      </c>
      <c r="AM1265" s="6">
        <v>2.9398</v>
      </c>
      <c r="AN1265" s="6">
        <v>255</v>
      </c>
      <c r="AQ1265" s="17">
        <v>1263</v>
      </c>
      <c r="AR1265" s="6">
        <v>1.60005</v>
      </c>
      <c r="AS1265" s="19">
        <v>-0.21859999999999999</v>
      </c>
      <c r="AT1265" s="6">
        <v>0.8125</v>
      </c>
      <c r="AU1265" s="6">
        <v>255</v>
      </c>
      <c r="AW1265" s="17">
        <v>1263</v>
      </c>
      <c r="AX1265" s="6">
        <v>0.84380999999999995</v>
      </c>
      <c r="AY1265" s="19">
        <v>-0.21859999999999999</v>
      </c>
      <c r="AZ1265" s="6">
        <v>0.8125</v>
      </c>
      <c r="BA1265" s="6">
        <v>255</v>
      </c>
    </row>
    <row r="1266" spans="30:53" x14ac:dyDescent="0.25">
      <c r="AD1266" s="17">
        <v>1264</v>
      </c>
      <c r="AE1266" s="6">
        <v>3.0558200000000002</v>
      </c>
      <c r="AF1266" s="19">
        <v>-4.9669999999999996</v>
      </c>
      <c r="AG1266" s="6">
        <v>2.9424000000000001</v>
      </c>
      <c r="AH1266" s="6">
        <v>255</v>
      </c>
      <c r="AJ1266" s="17">
        <v>1264</v>
      </c>
      <c r="AK1266" s="6">
        <v>5.7945000000000002</v>
      </c>
      <c r="AL1266" s="19">
        <v>-4.9669999999999996</v>
      </c>
      <c r="AM1266" s="6">
        <v>2.9424000000000001</v>
      </c>
      <c r="AN1266" s="6">
        <v>255</v>
      </c>
      <c r="AQ1266" s="17">
        <v>1264</v>
      </c>
      <c r="AR1266" s="6">
        <v>1.6035200000000001</v>
      </c>
      <c r="AS1266" s="19">
        <v>-4.845E-2</v>
      </c>
      <c r="AT1266" s="6">
        <v>0.81430000000000002</v>
      </c>
      <c r="AU1266" s="6">
        <v>255</v>
      </c>
      <c r="AW1266" s="17">
        <v>1264</v>
      </c>
      <c r="AX1266" s="6">
        <v>0.84563999999999995</v>
      </c>
      <c r="AY1266" s="19">
        <v>-4.845E-2</v>
      </c>
      <c r="AZ1266" s="6">
        <v>0.81430000000000002</v>
      </c>
      <c r="BA1266" s="6">
        <v>255</v>
      </c>
    </row>
    <row r="1267" spans="30:53" x14ac:dyDescent="0.25">
      <c r="AD1267" s="17">
        <v>1265</v>
      </c>
      <c r="AE1267" s="6">
        <v>3.0440499999999999</v>
      </c>
      <c r="AF1267" s="19">
        <v>-3.7166000000000001</v>
      </c>
      <c r="AG1267" s="6">
        <v>2.9310999999999998</v>
      </c>
      <c r="AH1267" s="6">
        <v>255</v>
      </c>
      <c r="AJ1267" s="17">
        <v>1265</v>
      </c>
      <c r="AK1267" s="6">
        <v>5.7721900000000002</v>
      </c>
      <c r="AL1267" s="19">
        <v>-3.7166000000000001</v>
      </c>
      <c r="AM1267" s="6">
        <v>2.9310999999999998</v>
      </c>
      <c r="AN1267" s="6">
        <v>255</v>
      </c>
      <c r="AQ1267" s="17">
        <v>1265</v>
      </c>
      <c r="AR1267" s="6">
        <v>1.60362</v>
      </c>
      <c r="AS1267" s="19">
        <v>-0.46189999999999998</v>
      </c>
      <c r="AT1267" s="6">
        <v>0.81430000000000002</v>
      </c>
      <c r="AU1267" s="6">
        <v>255</v>
      </c>
      <c r="AW1267" s="17">
        <v>1265</v>
      </c>
      <c r="AX1267" s="6">
        <v>0.84570000000000001</v>
      </c>
      <c r="AY1267" s="19">
        <v>-0.46189999999999998</v>
      </c>
      <c r="AZ1267" s="6">
        <v>0.81430000000000002</v>
      </c>
      <c r="BA1267" s="6">
        <v>255</v>
      </c>
    </row>
    <row r="1268" spans="30:53" x14ac:dyDescent="0.25">
      <c r="AD1268" s="17">
        <v>1266</v>
      </c>
      <c r="AE1268" s="6">
        <v>3.01416</v>
      </c>
      <c r="AF1268" s="19">
        <v>-4.0118</v>
      </c>
      <c r="AG1268" s="6">
        <v>2.9022999999999999</v>
      </c>
      <c r="AH1268" s="6">
        <v>255</v>
      </c>
      <c r="AJ1268" s="17">
        <v>1266</v>
      </c>
      <c r="AK1268" s="6">
        <v>5.7155100000000001</v>
      </c>
      <c r="AL1268" s="19">
        <v>-4.0118</v>
      </c>
      <c r="AM1268" s="6">
        <v>2.9022999999999999</v>
      </c>
      <c r="AN1268" s="6">
        <v>255</v>
      </c>
      <c r="AQ1268" s="17">
        <v>1266</v>
      </c>
      <c r="AR1268" s="6">
        <v>1.5956600000000001</v>
      </c>
      <c r="AS1268" s="19">
        <v>-1.6816</v>
      </c>
      <c r="AT1268" s="6">
        <v>0.81030000000000002</v>
      </c>
      <c r="AU1268" s="6">
        <v>255</v>
      </c>
      <c r="AW1268" s="17">
        <v>1266</v>
      </c>
      <c r="AX1268" s="6">
        <v>0.84150000000000003</v>
      </c>
      <c r="AY1268" s="19">
        <v>-1.6816</v>
      </c>
      <c r="AZ1268" s="6">
        <v>0.81030000000000002</v>
      </c>
      <c r="BA1268" s="6">
        <v>255</v>
      </c>
    </row>
    <row r="1269" spans="30:53" x14ac:dyDescent="0.25">
      <c r="AD1269" s="17">
        <v>1267</v>
      </c>
      <c r="AE1269" s="6">
        <v>3.0453299999999999</v>
      </c>
      <c r="AF1269" s="6">
        <v>1.4262999999999999</v>
      </c>
      <c r="AG1269" s="6">
        <v>2.9323000000000001</v>
      </c>
      <c r="AH1269" s="6">
        <v>255</v>
      </c>
      <c r="AJ1269" s="17">
        <v>1267</v>
      </c>
      <c r="AK1269" s="6">
        <v>5.77461</v>
      </c>
      <c r="AL1269" s="6">
        <v>1.4262999999999999</v>
      </c>
      <c r="AM1269" s="6">
        <v>2.9323000000000001</v>
      </c>
      <c r="AN1269" s="6">
        <v>255</v>
      </c>
      <c r="AQ1269" s="17">
        <v>1267</v>
      </c>
      <c r="AR1269" s="6">
        <v>1.5986899999999999</v>
      </c>
      <c r="AS1269" s="6">
        <v>1.2557</v>
      </c>
      <c r="AT1269" s="6">
        <v>0.81179999999999997</v>
      </c>
      <c r="AU1269" s="6">
        <v>255</v>
      </c>
      <c r="AW1269" s="17">
        <v>1267</v>
      </c>
      <c r="AX1269" s="6">
        <v>0.84309000000000001</v>
      </c>
      <c r="AY1269" s="6">
        <v>1.2557</v>
      </c>
      <c r="AZ1269" s="6">
        <v>0.81179999999999997</v>
      </c>
      <c r="BA1269" s="6">
        <v>255</v>
      </c>
    </row>
    <row r="1270" spans="30:53" x14ac:dyDescent="0.25">
      <c r="AD1270" s="17">
        <v>1268</v>
      </c>
      <c r="AE1270" s="6">
        <v>3.0389200000000001</v>
      </c>
      <c r="AF1270" s="19">
        <v>-1.7195</v>
      </c>
      <c r="AG1270" s="6">
        <v>2.9260999999999999</v>
      </c>
      <c r="AH1270" s="6">
        <v>255</v>
      </c>
      <c r="AJ1270" s="17">
        <v>1268</v>
      </c>
      <c r="AK1270" s="6">
        <v>5.7624700000000004</v>
      </c>
      <c r="AL1270" s="19">
        <v>-1.7195</v>
      </c>
      <c r="AM1270" s="6">
        <v>2.9260999999999999</v>
      </c>
      <c r="AN1270" s="6">
        <v>255</v>
      </c>
      <c r="AQ1270" s="17">
        <v>1268</v>
      </c>
      <c r="AR1270" s="6">
        <v>1.5881099999999999</v>
      </c>
      <c r="AS1270" s="6">
        <v>1.1093999999999999</v>
      </c>
      <c r="AT1270" s="6">
        <v>0.80640000000000001</v>
      </c>
      <c r="AU1270" s="6">
        <v>255</v>
      </c>
      <c r="AW1270" s="17">
        <v>1268</v>
      </c>
      <c r="AX1270" s="6">
        <v>0.83752000000000004</v>
      </c>
      <c r="AY1270" s="6">
        <v>1.1093999999999999</v>
      </c>
      <c r="AZ1270" s="6">
        <v>0.80640000000000001</v>
      </c>
      <c r="BA1270" s="6">
        <v>255</v>
      </c>
    </row>
    <row r="1271" spans="30:53" x14ac:dyDescent="0.25">
      <c r="AD1271" s="17">
        <v>1269</v>
      </c>
      <c r="AE1271" s="6">
        <v>3.0459900000000002</v>
      </c>
      <c r="AF1271" s="19">
        <v>-3.4742000000000002</v>
      </c>
      <c r="AG1271" s="6">
        <v>2.9329000000000001</v>
      </c>
      <c r="AH1271" s="6">
        <v>255</v>
      </c>
      <c r="AJ1271" s="17">
        <v>1269</v>
      </c>
      <c r="AK1271" s="6">
        <v>5.7758799999999999</v>
      </c>
      <c r="AL1271" s="19">
        <v>-3.4742000000000002</v>
      </c>
      <c r="AM1271" s="6">
        <v>2.9329000000000001</v>
      </c>
      <c r="AN1271" s="6">
        <v>255</v>
      </c>
      <c r="AQ1271" s="17">
        <v>1269</v>
      </c>
      <c r="AR1271" s="6">
        <v>1.5980000000000001</v>
      </c>
      <c r="AS1271" s="6">
        <v>0.65200000000000002</v>
      </c>
      <c r="AT1271" s="6">
        <v>0.8115</v>
      </c>
      <c r="AU1271" s="6">
        <v>255</v>
      </c>
      <c r="AW1271" s="17">
        <v>1269</v>
      </c>
      <c r="AX1271" s="6">
        <v>0.84272999999999998</v>
      </c>
      <c r="AY1271" s="6">
        <v>0.65200000000000002</v>
      </c>
      <c r="AZ1271" s="6">
        <v>0.8115</v>
      </c>
      <c r="BA1271" s="6">
        <v>255</v>
      </c>
    </row>
    <row r="1272" spans="30:53" x14ac:dyDescent="0.25">
      <c r="AD1272" s="17">
        <v>1270</v>
      </c>
      <c r="AE1272" s="6">
        <v>3.0465</v>
      </c>
      <c r="AF1272" s="6">
        <v>0.24709999999999999</v>
      </c>
      <c r="AG1272" s="6">
        <v>2.9333999999999998</v>
      </c>
      <c r="AH1272" s="6">
        <v>255</v>
      </c>
      <c r="AJ1272" s="17">
        <v>1270</v>
      </c>
      <c r="AK1272" s="6">
        <v>5.7768300000000004</v>
      </c>
      <c r="AL1272" s="6">
        <v>0.24709999999999999</v>
      </c>
      <c r="AM1272" s="6">
        <v>2.9333999999999998</v>
      </c>
      <c r="AN1272" s="6">
        <v>255</v>
      </c>
      <c r="AQ1272" s="17">
        <v>1270</v>
      </c>
      <c r="AR1272" s="6">
        <v>1.60137</v>
      </c>
      <c r="AS1272" s="19">
        <v>-3.1899999999999998E-2</v>
      </c>
      <c r="AT1272" s="6">
        <v>0.81320000000000003</v>
      </c>
      <c r="AU1272" s="6">
        <v>255</v>
      </c>
      <c r="AW1272" s="17">
        <v>1270</v>
      </c>
      <c r="AX1272" s="6">
        <v>0.84450999999999998</v>
      </c>
      <c r="AY1272" s="19">
        <v>-3.1899999999999998E-2</v>
      </c>
      <c r="AZ1272" s="6">
        <v>0.81320000000000003</v>
      </c>
      <c r="BA1272" s="6">
        <v>255</v>
      </c>
    </row>
    <row r="1273" spans="30:53" x14ac:dyDescent="0.25">
      <c r="AD1273" s="17">
        <v>1271</v>
      </c>
      <c r="AE1273" s="6">
        <v>3.0450300000000001</v>
      </c>
      <c r="AF1273" s="6">
        <v>8.7510999999999992</v>
      </c>
      <c r="AG1273" s="6">
        <v>2.9319999999999999</v>
      </c>
      <c r="AH1273" s="6">
        <v>255</v>
      </c>
      <c r="AJ1273" s="17">
        <v>1271</v>
      </c>
      <c r="AK1273" s="6">
        <v>5.7740499999999999</v>
      </c>
      <c r="AL1273" s="6">
        <v>8.7510999999999992</v>
      </c>
      <c r="AM1273" s="6">
        <v>2.9319999999999999</v>
      </c>
      <c r="AN1273" s="6">
        <v>255</v>
      </c>
      <c r="AQ1273" s="17">
        <v>1271</v>
      </c>
      <c r="AR1273" s="6">
        <v>1.6054999999999999</v>
      </c>
      <c r="AS1273" s="6">
        <v>2.8767</v>
      </c>
      <c r="AT1273" s="6">
        <v>0.81530000000000002</v>
      </c>
      <c r="AU1273" s="6">
        <v>255</v>
      </c>
      <c r="AW1273" s="17">
        <v>1271</v>
      </c>
      <c r="AX1273" s="6">
        <v>0.84669000000000005</v>
      </c>
      <c r="AY1273" s="6">
        <v>2.8767</v>
      </c>
      <c r="AZ1273" s="6">
        <v>0.81530000000000002</v>
      </c>
      <c r="BA1273" s="6">
        <v>255</v>
      </c>
    </row>
    <row r="1274" spans="30:53" x14ac:dyDescent="0.25">
      <c r="AD1274" s="17">
        <v>1272</v>
      </c>
      <c r="AE1274" s="6">
        <v>3.0538500000000002</v>
      </c>
      <c r="AF1274" s="6">
        <v>8.7638999999999996</v>
      </c>
      <c r="AG1274" s="6">
        <v>2.9405000000000001</v>
      </c>
      <c r="AH1274" s="6">
        <v>255</v>
      </c>
      <c r="AJ1274" s="17">
        <v>1272</v>
      </c>
      <c r="AK1274" s="6">
        <v>5.7907700000000002</v>
      </c>
      <c r="AL1274" s="6">
        <v>8.7638999999999996</v>
      </c>
      <c r="AM1274" s="6">
        <v>2.9405000000000001</v>
      </c>
      <c r="AN1274" s="6">
        <v>255</v>
      </c>
      <c r="AQ1274" s="17">
        <v>1272</v>
      </c>
      <c r="AR1274" s="6">
        <v>1.59657</v>
      </c>
      <c r="AS1274" s="6">
        <v>2.4914000000000001</v>
      </c>
      <c r="AT1274" s="6">
        <v>0.81069999999999998</v>
      </c>
      <c r="AU1274" s="6">
        <v>255</v>
      </c>
      <c r="AW1274" s="17">
        <v>1272</v>
      </c>
      <c r="AX1274" s="6">
        <v>0.84197999999999995</v>
      </c>
      <c r="AY1274" s="6">
        <v>2.4914000000000001</v>
      </c>
      <c r="AZ1274" s="6">
        <v>0.81069999999999998</v>
      </c>
      <c r="BA1274" s="6">
        <v>255</v>
      </c>
    </row>
    <row r="1275" spans="30:53" x14ac:dyDescent="0.25">
      <c r="AD1275" s="17">
        <v>1273</v>
      </c>
      <c r="AE1275" s="6">
        <v>3.0462500000000001</v>
      </c>
      <c r="AF1275" s="6">
        <v>3.3336000000000001</v>
      </c>
      <c r="AG1275" s="6">
        <v>2.9331999999999998</v>
      </c>
      <c r="AH1275" s="6">
        <v>255</v>
      </c>
      <c r="AJ1275" s="17">
        <v>1273</v>
      </c>
      <c r="AK1275" s="6">
        <v>5.7763499999999999</v>
      </c>
      <c r="AL1275" s="6">
        <v>3.3336000000000001</v>
      </c>
      <c r="AM1275" s="6">
        <v>2.9331999999999998</v>
      </c>
      <c r="AN1275" s="6">
        <v>255</v>
      </c>
      <c r="AQ1275" s="17">
        <v>1273</v>
      </c>
      <c r="AR1275" s="6">
        <v>1.5902400000000001</v>
      </c>
      <c r="AS1275" s="6">
        <v>1.1508</v>
      </c>
      <c r="AT1275" s="6">
        <v>0.8075</v>
      </c>
      <c r="AU1275" s="6">
        <v>255</v>
      </c>
      <c r="AW1275" s="17">
        <v>1273</v>
      </c>
      <c r="AX1275" s="6">
        <v>0.83864000000000005</v>
      </c>
      <c r="AY1275" s="6">
        <v>1.1508</v>
      </c>
      <c r="AZ1275" s="6">
        <v>0.8075</v>
      </c>
      <c r="BA1275" s="6">
        <v>255</v>
      </c>
    </row>
    <row r="1276" spans="30:53" x14ac:dyDescent="0.25">
      <c r="AD1276" s="17">
        <v>1274</v>
      </c>
      <c r="AE1276" s="6">
        <v>3.0601500000000001</v>
      </c>
      <c r="AF1276" s="6">
        <v>1.0733999999999999</v>
      </c>
      <c r="AG1276" s="6">
        <v>2.9466000000000001</v>
      </c>
      <c r="AH1276" s="6">
        <v>255</v>
      </c>
      <c r="AJ1276" s="17">
        <v>1274</v>
      </c>
      <c r="AK1276" s="6">
        <v>5.8027199999999999</v>
      </c>
      <c r="AL1276" s="6">
        <v>1.0733999999999999</v>
      </c>
      <c r="AM1276" s="6">
        <v>2.9466000000000001</v>
      </c>
      <c r="AN1276" s="6">
        <v>255</v>
      </c>
      <c r="AQ1276" s="17">
        <v>1274</v>
      </c>
      <c r="AR1276" s="6">
        <v>1.5972500000000001</v>
      </c>
      <c r="AS1276" s="6">
        <v>1.3209</v>
      </c>
      <c r="AT1276" s="6">
        <v>0.81110000000000004</v>
      </c>
      <c r="AU1276" s="6">
        <v>255</v>
      </c>
      <c r="AW1276" s="17">
        <v>1274</v>
      </c>
      <c r="AX1276" s="6">
        <v>0.84233000000000002</v>
      </c>
      <c r="AY1276" s="6">
        <v>1.3209</v>
      </c>
      <c r="AZ1276" s="6">
        <v>0.81110000000000004</v>
      </c>
      <c r="BA1276" s="6">
        <v>255</v>
      </c>
    </row>
    <row r="1277" spans="30:53" x14ac:dyDescent="0.25">
      <c r="AD1277" s="17">
        <v>1275</v>
      </c>
      <c r="AE1277" s="6">
        <v>3.0358800000000001</v>
      </c>
      <c r="AF1277" s="6">
        <v>2.3237999999999999</v>
      </c>
      <c r="AG1277" s="6">
        <v>2.9232</v>
      </c>
      <c r="AH1277" s="6">
        <v>255</v>
      </c>
      <c r="AJ1277" s="17">
        <v>1275</v>
      </c>
      <c r="AK1277" s="6">
        <v>5.7566899999999999</v>
      </c>
      <c r="AL1277" s="6">
        <v>2.3237999999999999</v>
      </c>
      <c r="AM1277" s="6">
        <v>2.9232</v>
      </c>
      <c r="AN1277" s="6">
        <v>255</v>
      </c>
      <c r="AQ1277" s="17">
        <v>1275</v>
      </c>
      <c r="AR1277" s="6">
        <v>1.59128</v>
      </c>
      <c r="AS1277" s="6">
        <v>0.90749999999999997</v>
      </c>
      <c r="AT1277" s="6">
        <v>0.80800000000000005</v>
      </c>
      <c r="AU1277" s="6">
        <v>255</v>
      </c>
      <c r="AW1277" s="17">
        <v>1275</v>
      </c>
      <c r="AX1277" s="6">
        <v>0.83918999999999999</v>
      </c>
      <c r="AY1277" s="6">
        <v>0.90749999999999997</v>
      </c>
      <c r="AZ1277" s="6">
        <v>0.80800000000000005</v>
      </c>
      <c r="BA1277" s="6">
        <v>255</v>
      </c>
    </row>
    <row r="1278" spans="30:53" x14ac:dyDescent="0.25">
      <c r="AD1278" s="17">
        <v>1276</v>
      </c>
      <c r="AE1278" s="6">
        <v>3.0444599999999999</v>
      </c>
      <c r="AF1278" s="6">
        <v>2.0286</v>
      </c>
      <c r="AG1278" s="6">
        <v>2.9315000000000002</v>
      </c>
      <c r="AH1278" s="6">
        <v>255</v>
      </c>
      <c r="AJ1278" s="17">
        <v>1276</v>
      </c>
      <c r="AK1278" s="6">
        <v>5.7729699999999999</v>
      </c>
      <c r="AL1278" s="6">
        <v>2.0286</v>
      </c>
      <c r="AM1278" s="6">
        <v>2.9315000000000002</v>
      </c>
      <c r="AN1278" s="6">
        <v>255</v>
      </c>
      <c r="AQ1278" s="17">
        <v>1276</v>
      </c>
      <c r="AR1278" s="6">
        <v>1.5977699999999999</v>
      </c>
      <c r="AS1278" s="19">
        <v>-0.31219999999999998</v>
      </c>
      <c r="AT1278" s="6">
        <v>0.81130000000000002</v>
      </c>
      <c r="AU1278" s="6">
        <v>255</v>
      </c>
      <c r="AW1278" s="17">
        <v>1276</v>
      </c>
      <c r="AX1278" s="6">
        <v>0.84260999999999997</v>
      </c>
      <c r="AY1278" s="19">
        <v>-0.31219999999999998</v>
      </c>
      <c r="AZ1278" s="6">
        <v>0.81130000000000002</v>
      </c>
      <c r="BA1278" s="6">
        <v>255</v>
      </c>
    </row>
    <row r="1279" spans="30:53" x14ac:dyDescent="0.25">
      <c r="AD1279" s="17">
        <v>1277</v>
      </c>
      <c r="AE1279" s="6">
        <v>3.04637</v>
      </c>
      <c r="AF1279" s="6">
        <v>7.4667000000000003</v>
      </c>
      <c r="AG1279" s="6">
        <v>2.9333</v>
      </c>
      <c r="AH1279" s="6">
        <v>255</v>
      </c>
      <c r="AJ1279" s="17">
        <v>1277</v>
      </c>
      <c r="AK1279" s="6">
        <v>5.77658</v>
      </c>
      <c r="AL1279" s="6">
        <v>7.4667000000000003</v>
      </c>
      <c r="AM1279" s="6">
        <v>2.9333</v>
      </c>
      <c r="AN1279" s="6">
        <v>255</v>
      </c>
      <c r="AQ1279" s="17">
        <v>1277</v>
      </c>
      <c r="AR1279" s="6">
        <v>1.58989</v>
      </c>
      <c r="AS1279" s="6">
        <v>2.625</v>
      </c>
      <c r="AT1279" s="6">
        <v>0.80730000000000002</v>
      </c>
      <c r="AU1279" s="6">
        <v>255</v>
      </c>
      <c r="AW1279" s="17">
        <v>1277</v>
      </c>
      <c r="AX1279" s="6">
        <v>0.83845000000000003</v>
      </c>
      <c r="AY1279" s="6">
        <v>2.625</v>
      </c>
      <c r="AZ1279" s="6">
        <v>0.80730000000000002</v>
      </c>
      <c r="BA1279" s="6">
        <v>255</v>
      </c>
    </row>
    <row r="1280" spans="30:53" x14ac:dyDescent="0.25">
      <c r="AD1280" s="17">
        <v>1278</v>
      </c>
      <c r="AE1280" s="6">
        <v>3.0483699999999998</v>
      </c>
      <c r="AF1280" s="6">
        <v>4.3209</v>
      </c>
      <c r="AG1280" s="6">
        <v>2.9352</v>
      </c>
      <c r="AH1280" s="6">
        <v>255</v>
      </c>
      <c r="AJ1280" s="17">
        <v>1278</v>
      </c>
      <c r="AK1280" s="6">
        <v>5.7803800000000001</v>
      </c>
      <c r="AL1280" s="6">
        <v>4.3209</v>
      </c>
      <c r="AM1280" s="6">
        <v>2.9352</v>
      </c>
      <c r="AN1280" s="6">
        <v>255</v>
      </c>
      <c r="AQ1280" s="17">
        <v>1278</v>
      </c>
      <c r="AR1280" s="6">
        <v>1.58426</v>
      </c>
      <c r="AS1280" s="6">
        <v>2.4786999999999999</v>
      </c>
      <c r="AT1280" s="6">
        <v>0.80449999999999999</v>
      </c>
      <c r="AU1280" s="6">
        <v>255</v>
      </c>
      <c r="AW1280" s="17">
        <v>1278</v>
      </c>
      <c r="AX1280" s="6">
        <v>0.83548</v>
      </c>
      <c r="AY1280" s="6">
        <v>2.4786999999999999</v>
      </c>
      <c r="AZ1280" s="6">
        <v>0.80449999999999999</v>
      </c>
      <c r="BA1280" s="6">
        <v>255</v>
      </c>
    </row>
    <row r="1281" spans="30:53" x14ac:dyDescent="0.25">
      <c r="AD1281" s="17">
        <v>1279</v>
      </c>
      <c r="AE1281" s="6">
        <v>3.0368599999999999</v>
      </c>
      <c r="AF1281" s="6">
        <v>2.5661999999999998</v>
      </c>
      <c r="AG1281" s="6">
        <v>2.9241000000000001</v>
      </c>
      <c r="AH1281" s="6">
        <v>255</v>
      </c>
      <c r="AJ1281" s="17">
        <v>1279</v>
      </c>
      <c r="AK1281" s="6">
        <v>5.7585499999999996</v>
      </c>
      <c r="AL1281" s="6">
        <v>2.5661999999999998</v>
      </c>
      <c r="AM1281" s="6">
        <v>2.9241000000000001</v>
      </c>
      <c r="AN1281" s="6">
        <v>255</v>
      </c>
      <c r="AQ1281" s="17">
        <v>1279</v>
      </c>
      <c r="AR1281" s="6">
        <v>1.5833699999999999</v>
      </c>
      <c r="AS1281" s="6">
        <v>2.0213999999999999</v>
      </c>
      <c r="AT1281" s="6">
        <v>0.80400000000000005</v>
      </c>
      <c r="AU1281" s="6">
        <v>255</v>
      </c>
      <c r="AW1281" s="17">
        <v>1279</v>
      </c>
      <c r="AX1281" s="6">
        <v>0.83501999999999998</v>
      </c>
      <c r="AY1281" s="6">
        <v>2.0213999999999999</v>
      </c>
      <c r="AZ1281" s="6">
        <v>0.80400000000000005</v>
      </c>
      <c r="BA1281" s="6">
        <v>255</v>
      </c>
    </row>
    <row r="1282" spans="30:53" x14ac:dyDescent="0.25">
      <c r="AD1282" s="17">
        <v>1280</v>
      </c>
      <c r="AE1282" s="6">
        <v>3.0540699999999998</v>
      </c>
      <c r="AF1282" s="6">
        <v>6.2874999999999996</v>
      </c>
      <c r="AG1282" s="6">
        <v>2.9407000000000001</v>
      </c>
      <c r="AH1282" s="6">
        <v>255</v>
      </c>
      <c r="AJ1282" s="17">
        <v>1280</v>
      </c>
      <c r="AK1282" s="6">
        <v>5.7911900000000003</v>
      </c>
      <c r="AL1282" s="6">
        <v>6.2874999999999996</v>
      </c>
      <c r="AM1282" s="6">
        <v>2.9407000000000001</v>
      </c>
      <c r="AN1282" s="6">
        <v>255</v>
      </c>
      <c r="AQ1282" s="17">
        <v>1280</v>
      </c>
      <c r="AR1282" s="6">
        <v>1.5959000000000001</v>
      </c>
      <c r="AS1282" s="6">
        <v>1.3374999999999999</v>
      </c>
      <c r="AT1282" s="6">
        <v>0.81040000000000001</v>
      </c>
      <c r="AU1282" s="6">
        <v>255</v>
      </c>
      <c r="AW1282" s="17">
        <v>1280</v>
      </c>
      <c r="AX1282" s="6">
        <v>0.84162000000000003</v>
      </c>
      <c r="AY1282" s="6">
        <v>1.3374999999999999</v>
      </c>
      <c r="AZ1282" s="6">
        <v>0.81040000000000001</v>
      </c>
      <c r="BA1282" s="6">
        <v>255</v>
      </c>
    </row>
    <row r="1283" spans="30:53" x14ac:dyDescent="0.25">
      <c r="AD1283" s="17">
        <v>1281</v>
      </c>
      <c r="AE1283" s="6">
        <v>3.0404800000000001</v>
      </c>
      <c r="AF1283" s="6">
        <v>14.791499999999999</v>
      </c>
      <c r="AG1283" s="6">
        <v>2.9276</v>
      </c>
      <c r="AH1283" s="6">
        <v>255</v>
      </c>
      <c r="AJ1283" s="17">
        <v>1281</v>
      </c>
      <c r="AK1283" s="6">
        <v>5.7654100000000001</v>
      </c>
      <c r="AL1283" s="6">
        <v>14.791499999999999</v>
      </c>
      <c r="AM1283" s="6">
        <v>2.9276</v>
      </c>
      <c r="AN1283" s="6">
        <v>255</v>
      </c>
      <c r="AQ1283" s="17">
        <v>1281</v>
      </c>
      <c r="AR1283" s="6">
        <v>1.5926199999999999</v>
      </c>
      <c r="AS1283" s="6">
        <v>4.2461000000000002</v>
      </c>
      <c r="AT1283" s="6">
        <v>0.80869999999999997</v>
      </c>
      <c r="AU1283" s="6">
        <v>255</v>
      </c>
      <c r="AW1283" s="17">
        <v>1281</v>
      </c>
      <c r="AX1283" s="6">
        <v>0.83989000000000003</v>
      </c>
      <c r="AY1283" s="6">
        <v>4.2461000000000002</v>
      </c>
      <c r="AZ1283" s="6">
        <v>0.80869999999999997</v>
      </c>
      <c r="BA1283" s="6">
        <v>255</v>
      </c>
    </row>
    <row r="1284" spans="30:53" x14ac:dyDescent="0.25">
      <c r="AD1284" s="17">
        <v>1282</v>
      </c>
      <c r="AE1284" s="6">
        <v>3.04969</v>
      </c>
      <c r="AF1284" s="19">
        <v>-5.4302999999999999</v>
      </c>
      <c r="AG1284" s="6">
        <v>2.9365000000000001</v>
      </c>
      <c r="AH1284" s="6">
        <v>255</v>
      </c>
      <c r="AJ1284" s="17">
        <v>1282</v>
      </c>
      <c r="AK1284" s="6">
        <v>5.7828900000000001</v>
      </c>
      <c r="AL1284" s="19">
        <v>-5.4302999999999999</v>
      </c>
      <c r="AM1284" s="6">
        <v>2.9365000000000001</v>
      </c>
      <c r="AN1284" s="6">
        <v>255</v>
      </c>
      <c r="AQ1284" s="17">
        <v>1282</v>
      </c>
      <c r="AR1284" s="6">
        <v>1.59877</v>
      </c>
      <c r="AS1284" s="19">
        <v>-1.3406</v>
      </c>
      <c r="AT1284" s="6">
        <v>0.81179999999999997</v>
      </c>
      <c r="AU1284" s="6">
        <v>255</v>
      </c>
      <c r="AW1284" s="17">
        <v>1282</v>
      </c>
      <c r="AX1284" s="6">
        <v>0.84313000000000005</v>
      </c>
      <c r="AY1284" s="19">
        <v>-1.3406</v>
      </c>
      <c r="AZ1284" s="6">
        <v>0.81179999999999997</v>
      </c>
      <c r="BA1284" s="6">
        <v>255</v>
      </c>
    </row>
    <row r="1285" spans="30:53" x14ac:dyDescent="0.25">
      <c r="AD1285" s="17">
        <v>1283</v>
      </c>
      <c r="AE1285" s="6">
        <v>3.0609700000000002</v>
      </c>
      <c r="AF1285" s="19">
        <v>-7.6905000000000001</v>
      </c>
      <c r="AG1285" s="6">
        <v>2.9474</v>
      </c>
      <c r="AH1285" s="6">
        <v>255</v>
      </c>
      <c r="AJ1285" s="17">
        <v>1283</v>
      </c>
      <c r="AK1285" s="6">
        <v>5.8042699999999998</v>
      </c>
      <c r="AL1285" s="19">
        <v>-7.6905000000000001</v>
      </c>
      <c r="AM1285" s="6">
        <v>2.9474</v>
      </c>
      <c r="AN1285" s="6">
        <v>255</v>
      </c>
      <c r="AQ1285" s="17">
        <v>1283</v>
      </c>
      <c r="AR1285" s="6">
        <v>1.6046</v>
      </c>
      <c r="AS1285" s="19">
        <v>-1.1705000000000001</v>
      </c>
      <c r="AT1285" s="6">
        <v>0.81479999999999997</v>
      </c>
      <c r="AU1285" s="6">
        <v>255</v>
      </c>
      <c r="AW1285" s="17">
        <v>1283</v>
      </c>
      <c r="AX1285" s="6">
        <v>0.84621000000000002</v>
      </c>
      <c r="AY1285" s="19">
        <v>-1.1705000000000001</v>
      </c>
      <c r="AZ1285" s="6">
        <v>0.81479999999999997</v>
      </c>
      <c r="BA1285" s="6">
        <v>255</v>
      </c>
    </row>
    <row r="1286" spans="30:53" x14ac:dyDescent="0.25">
      <c r="AD1286" s="17">
        <v>1284</v>
      </c>
      <c r="AE1286" s="6">
        <v>3.0453899999999998</v>
      </c>
      <c r="AF1286" s="19">
        <v>-6.4401000000000002</v>
      </c>
      <c r="AG1286" s="6">
        <v>2.9323999999999999</v>
      </c>
      <c r="AH1286" s="6">
        <v>255</v>
      </c>
      <c r="AJ1286" s="17">
        <v>1284</v>
      </c>
      <c r="AK1286" s="6">
        <v>5.7747299999999999</v>
      </c>
      <c r="AL1286" s="19">
        <v>-6.4401000000000002</v>
      </c>
      <c r="AM1286" s="6">
        <v>2.9323999999999999</v>
      </c>
      <c r="AN1286" s="6">
        <v>255</v>
      </c>
      <c r="AQ1286" s="17">
        <v>1284</v>
      </c>
      <c r="AR1286" s="6">
        <v>1.603</v>
      </c>
      <c r="AS1286" s="19">
        <v>-1.5839000000000001</v>
      </c>
      <c r="AT1286" s="6">
        <v>0.81399999999999995</v>
      </c>
      <c r="AU1286" s="6">
        <v>255</v>
      </c>
      <c r="AW1286" s="17">
        <v>1284</v>
      </c>
      <c r="AX1286" s="6">
        <v>0.84536999999999995</v>
      </c>
      <c r="AY1286" s="19">
        <v>-1.5839000000000001</v>
      </c>
      <c r="AZ1286" s="6">
        <v>0.81399999999999995</v>
      </c>
      <c r="BA1286" s="6">
        <v>255</v>
      </c>
    </row>
    <row r="1287" spans="30:53" x14ac:dyDescent="0.25">
      <c r="AD1287" s="17">
        <v>1285</v>
      </c>
      <c r="AE1287" s="6">
        <v>3.0495999999999999</v>
      </c>
      <c r="AF1287" s="19">
        <v>-6.7352999999999996</v>
      </c>
      <c r="AG1287" s="6">
        <v>2.9363999999999999</v>
      </c>
      <c r="AH1287" s="6">
        <v>255</v>
      </c>
      <c r="AJ1287" s="17">
        <v>1285</v>
      </c>
      <c r="AK1287" s="6">
        <v>5.7827200000000003</v>
      </c>
      <c r="AL1287" s="19">
        <v>-6.7352999999999996</v>
      </c>
      <c r="AM1287" s="6">
        <v>2.9363999999999999</v>
      </c>
      <c r="AN1287" s="6">
        <v>255</v>
      </c>
      <c r="AQ1287" s="17">
        <v>1285</v>
      </c>
      <c r="AR1287" s="6">
        <v>1.6028</v>
      </c>
      <c r="AS1287" s="19">
        <v>-2.8035999999999999</v>
      </c>
      <c r="AT1287" s="6">
        <v>0.81389999999999996</v>
      </c>
      <c r="AU1287" s="6">
        <v>255</v>
      </c>
      <c r="AW1287" s="17">
        <v>1285</v>
      </c>
      <c r="AX1287" s="6">
        <v>0.84526000000000001</v>
      </c>
      <c r="AY1287" s="19">
        <v>-2.8035999999999999</v>
      </c>
      <c r="AZ1287" s="6">
        <v>0.81389999999999996</v>
      </c>
      <c r="BA1287" s="6">
        <v>255</v>
      </c>
    </row>
    <row r="1288" spans="30:53" x14ac:dyDescent="0.25">
      <c r="AD1288" s="17">
        <v>1286</v>
      </c>
      <c r="AE1288" s="6">
        <v>3.0379499999999999</v>
      </c>
      <c r="AF1288" s="19">
        <v>-1.2971999999999999</v>
      </c>
      <c r="AG1288" s="6">
        <v>2.9251999999999998</v>
      </c>
      <c r="AH1288" s="6">
        <v>255</v>
      </c>
      <c r="AJ1288" s="17">
        <v>1286</v>
      </c>
      <c r="AK1288" s="6">
        <v>5.7606200000000003</v>
      </c>
      <c r="AL1288" s="19">
        <v>-1.2971999999999999</v>
      </c>
      <c r="AM1288" s="6">
        <v>2.9251999999999998</v>
      </c>
      <c r="AN1288" s="6">
        <v>255</v>
      </c>
      <c r="AQ1288" s="17">
        <v>1286</v>
      </c>
      <c r="AR1288" s="6">
        <v>1.5933600000000001</v>
      </c>
      <c r="AS1288" s="6">
        <v>0.1336</v>
      </c>
      <c r="AT1288" s="6">
        <v>0.80910000000000004</v>
      </c>
      <c r="AU1288" s="6">
        <v>255</v>
      </c>
      <c r="AW1288" s="17">
        <v>1286</v>
      </c>
      <c r="AX1288" s="6">
        <v>0.84028000000000003</v>
      </c>
      <c r="AY1288" s="6">
        <v>0.1336</v>
      </c>
      <c r="AZ1288" s="6">
        <v>0.80910000000000004</v>
      </c>
      <c r="BA1288" s="6">
        <v>255</v>
      </c>
    </row>
    <row r="1289" spans="30:53" x14ac:dyDescent="0.25">
      <c r="AD1289" s="17">
        <v>1287</v>
      </c>
      <c r="AE1289" s="6">
        <v>3.0636199999999998</v>
      </c>
      <c r="AF1289" s="19">
        <v>-4.4428999999999998</v>
      </c>
      <c r="AG1289" s="6">
        <v>2.9499</v>
      </c>
      <c r="AH1289" s="6">
        <v>255</v>
      </c>
      <c r="AJ1289" s="17">
        <v>1287</v>
      </c>
      <c r="AK1289" s="6">
        <v>5.8093000000000004</v>
      </c>
      <c r="AL1289" s="19">
        <v>-4.4428999999999998</v>
      </c>
      <c r="AM1289" s="6">
        <v>2.9499</v>
      </c>
      <c r="AN1289" s="6">
        <v>255</v>
      </c>
      <c r="AQ1289" s="17">
        <v>1287</v>
      </c>
      <c r="AR1289" s="6">
        <v>1.59809</v>
      </c>
      <c r="AS1289" s="19">
        <v>-1.2659999999999999E-2</v>
      </c>
      <c r="AT1289" s="6">
        <v>0.8115</v>
      </c>
      <c r="AU1289" s="6">
        <v>255</v>
      </c>
      <c r="AW1289" s="17">
        <v>1287</v>
      </c>
      <c r="AX1289" s="6">
        <v>0.84277999999999997</v>
      </c>
      <c r="AY1289" s="19">
        <v>-1.2659999999999999E-2</v>
      </c>
      <c r="AZ1289" s="6">
        <v>0.8115</v>
      </c>
      <c r="BA1289" s="6">
        <v>255</v>
      </c>
    </row>
    <row r="1290" spans="30:53" x14ac:dyDescent="0.25">
      <c r="AD1290" s="17">
        <v>1288</v>
      </c>
      <c r="AE1290" s="6">
        <v>3.0582600000000002</v>
      </c>
      <c r="AF1290" s="19">
        <v>-6.1976000000000004</v>
      </c>
      <c r="AG1290" s="6">
        <v>2.9447999999999999</v>
      </c>
      <c r="AH1290" s="6">
        <v>255</v>
      </c>
      <c r="AJ1290" s="17">
        <v>1288</v>
      </c>
      <c r="AK1290" s="6">
        <v>5.7991400000000004</v>
      </c>
      <c r="AL1290" s="19">
        <v>-6.1976000000000004</v>
      </c>
      <c r="AM1290" s="6">
        <v>2.9447999999999999</v>
      </c>
      <c r="AN1290" s="6">
        <v>255</v>
      </c>
      <c r="AQ1290" s="17">
        <v>1288</v>
      </c>
      <c r="AR1290" s="6">
        <v>1.6004799999999999</v>
      </c>
      <c r="AS1290" s="19">
        <v>-0.47</v>
      </c>
      <c r="AT1290" s="6">
        <v>0.81269999999999998</v>
      </c>
      <c r="AU1290" s="6">
        <v>255</v>
      </c>
      <c r="AW1290" s="17">
        <v>1288</v>
      </c>
      <c r="AX1290" s="6">
        <v>0.84404000000000001</v>
      </c>
      <c r="AY1290" s="19">
        <v>-0.47</v>
      </c>
      <c r="AZ1290" s="6">
        <v>0.81269999999999998</v>
      </c>
      <c r="BA1290" s="6">
        <v>255</v>
      </c>
    </row>
    <row r="1291" spans="30:53" x14ac:dyDescent="0.25">
      <c r="AD1291" s="17">
        <v>1289</v>
      </c>
      <c r="AE1291" s="6">
        <v>3.0735800000000002</v>
      </c>
      <c r="AF1291" s="19">
        <v>-2.4763000000000002</v>
      </c>
      <c r="AG1291" s="6">
        <v>2.9594999999999998</v>
      </c>
      <c r="AH1291" s="6">
        <v>255</v>
      </c>
      <c r="AJ1291" s="17">
        <v>1289</v>
      </c>
      <c r="AK1291" s="6">
        <v>5.8281900000000002</v>
      </c>
      <c r="AL1291" s="19">
        <v>-2.4763000000000002</v>
      </c>
      <c r="AM1291" s="6">
        <v>2.9594999999999998</v>
      </c>
      <c r="AN1291" s="6">
        <v>255</v>
      </c>
      <c r="AQ1291" s="17">
        <v>1289</v>
      </c>
      <c r="AR1291" s="6">
        <v>1.60961</v>
      </c>
      <c r="AS1291" s="19">
        <v>-1.1538999999999999</v>
      </c>
      <c r="AT1291" s="6">
        <v>0.81730000000000003</v>
      </c>
      <c r="AU1291" s="6">
        <v>255</v>
      </c>
      <c r="AW1291" s="17">
        <v>1289</v>
      </c>
      <c r="AX1291" s="6">
        <v>0.84884999999999999</v>
      </c>
      <c r="AY1291" s="19">
        <v>-1.1538999999999999</v>
      </c>
      <c r="AZ1291" s="6">
        <v>0.81730000000000003</v>
      </c>
      <c r="BA1291" s="6">
        <v>255</v>
      </c>
    </row>
    <row r="1292" spans="30:53" x14ac:dyDescent="0.25">
      <c r="AD1292" s="17">
        <v>1290</v>
      </c>
      <c r="AE1292" s="6">
        <v>3.0442800000000001</v>
      </c>
      <c r="AF1292" s="6">
        <v>6.0275999999999996</v>
      </c>
      <c r="AG1292" s="6">
        <v>2.9312999999999998</v>
      </c>
      <c r="AH1292" s="6">
        <v>255</v>
      </c>
      <c r="AJ1292" s="17">
        <v>1290</v>
      </c>
      <c r="AK1292" s="6">
        <v>5.7726300000000004</v>
      </c>
      <c r="AL1292" s="6">
        <v>6.0275999999999996</v>
      </c>
      <c r="AM1292" s="6">
        <v>2.9312999999999998</v>
      </c>
      <c r="AN1292" s="6">
        <v>255</v>
      </c>
      <c r="AQ1292" s="17">
        <v>1290</v>
      </c>
      <c r="AR1292" s="6">
        <v>1.60497</v>
      </c>
      <c r="AS1292" s="6">
        <v>1.7546999999999999</v>
      </c>
      <c r="AT1292" s="6">
        <v>0.81499999999999995</v>
      </c>
      <c r="AU1292" s="6">
        <v>255</v>
      </c>
      <c r="AW1292" s="17">
        <v>1290</v>
      </c>
      <c r="AX1292" s="6">
        <v>0.84641</v>
      </c>
      <c r="AY1292" s="6">
        <v>1.7546999999999999</v>
      </c>
      <c r="AZ1292" s="6">
        <v>0.81499999999999995</v>
      </c>
      <c r="BA1292" s="6">
        <v>255</v>
      </c>
    </row>
    <row r="1293" spans="30:53" x14ac:dyDescent="0.25">
      <c r="AD1293" s="17">
        <v>1291</v>
      </c>
      <c r="AE1293" s="6">
        <v>3.0445099999999998</v>
      </c>
      <c r="AF1293" s="19">
        <v>-2.2602000000000002</v>
      </c>
      <c r="AG1293" s="6">
        <v>2.9315000000000002</v>
      </c>
      <c r="AH1293" s="6">
        <v>255</v>
      </c>
      <c r="AJ1293" s="17">
        <v>1291</v>
      </c>
      <c r="AK1293" s="6">
        <v>5.7730600000000001</v>
      </c>
      <c r="AL1293" s="19">
        <v>-2.2602000000000002</v>
      </c>
      <c r="AM1293" s="6">
        <v>2.9315000000000002</v>
      </c>
      <c r="AN1293" s="6">
        <v>255</v>
      </c>
      <c r="AQ1293" s="17">
        <v>1291</v>
      </c>
      <c r="AR1293" s="6">
        <v>1.5929899999999999</v>
      </c>
      <c r="AS1293" s="6">
        <v>0.1701</v>
      </c>
      <c r="AT1293" s="6">
        <v>0.80889999999999995</v>
      </c>
      <c r="AU1293" s="6">
        <v>255</v>
      </c>
      <c r="AW1293" s="17">
        <v>1291</v>
      </c>
      <c r="AX1293" s="6">
        <v>0.84008000000000005</v>
      </c>
      <c r="AY1293" s="6">
        <v>0.1701</v>
      </c>
      <c r="AZ1293" s="6">
        <v>0.80889999999999995</v>
      </c>
      <c r="BA1293" s="6">
        <v>255</v>
      </c>
    </row>
    <row r="1294" spans="30:53" x14ac:dyDescent="0.25">
      <c r="AD1294" s="17">
        <v>1292</v>
      </c>
      <c r="AE1294" s="6">
        <v>3.0348999999999999</v>
      </c>
      <c r="AF1294" s="19">
        <v>-1.0098</v>
      </c>
      <c r="AG1294" s="6">
        <v>2.9222999999999999</v>
      </c>
      <c r="AH1294" s="6">
        <v>255</v>
      </c>
      <c r="AJ1294" s="17">
        <v>1292</v>
      </c>
      <c r="AK1294" s="6">
        <v>5.7548399999999997</v>
      </c>
      <c r="AL1294" s="19">
        <v>-1.0098</v>
      </c>
      <c r="AM1294" s="6">
        <v>2.9222999999999999</v>
      </c>
      <c r="AN1294" s="6">
        <v>255</v>
      </c>
      <c r="AQ1294" s="17">
        <v>1292</v>
      </c>
      <c r="AR1294" s="6">
        <v>1.58928</v>
      </c>
      <c r="AS1294" s="19">
        <v>-0.24329999999999999</v>
      </c>
      <c r="AT1294" s="6">
        <v>0.80700000000000005</v>
      </c>
      <c r="AU1294" s="6">
        <v>255</v>
      </c>
      <c r="AW1294" s="17">
        <v>1292</v>
      </c>
      <c r="AX1294" s="6">
        <v>0.83813000000000004</v>
      </c>
      <c r="AY1294" s="19">
        <v>-0.24329999999999999</v>
      </c>
      <c r="AZ1294" s="6">
        <v>0.80700000000000005</v>
      </c>
      <c r="BA1294" s="6">
        <v>255</v>
      </c>
    </row>
    <row r="1295" spans="30:53" x14ac:dyDescent="0.25">
      <c r="AD1295" s="17">
        <v>1293</v>
      </c>
      <c r="AE1295" s="6">
        <v>3.0474800000000002</v>
      </c>
      <c r="AF1295" s="19">
        <v>-1.3049999999999999</v>
      </c>
      <c r="AG1295" s="6">
        <v>2.9344000000000001</v>
      </c>
      <c r="AH1295" s="6">
        <v>255</v>
      </c>
      <c r="AJ1295" s="17">
        <v>1293</v>
      </c>
      <c r="AK1295" s="6">
        <v>5.7786900000000001</v>
      </c>
      <c r="AL1295" s="19">
        <v>-1.3049999999999999</v>
      </c>
      <c r="AM1295" s="6">
        <v>2.9344000000000001</v>
      </c>
      <c r="AN1295" s="6">
        <v>255</v>
      </c>
      <c r="AQ1295" s="17">
        <v>1293</v>
      </c>
      <c r="AR1295" s="6">
        <v>1.5984799999999999</v>
      </c>
      <c r="AS1295" s="19">
        <v>-1.4630000000000001</v>
      </c>
      <c r="AT1295" s="6">
        <v>0.81169999999999998</v>
      </c>
      <c r="AU1295" s="6">
        <v>255</v>
      </c>
      <c r="AW1295" s="17">
        <v>1293</v>
      </c>
      <c r="AX1295" s="6">
        <v>0.84297999999999995</v>
      </c>
      <c r="AY1295" s="19">
        <v>-1.4630000000000001</v>
      </c>
      <c r="AZ1295" s="6">
        <v>0.81169999999999998</v>
      </c>
      <c r="BA1295" s="6">
        <v>255</v>
      </c>
    </row>
    <row r="1296" spans="30:53" x14ac:dyDescent="0.25">
      <c r="AD1296" s="17">
        <v>1294</v>
      </c>
      <c r="AE1296" s="6">
        <v>3.05254</v>
      </c>
      <c r="AF1296" s="6">
        <v>4.1330999999999998</v>
      </c>
      <c r="AG1296" s="6">
        <v>2.9392</v>
      </c>
      <c r="AH1296" s="6">
        <v>255</v>
      </c>
      <c r="AJ1296" s="17">
        <v>1294</v>
      </c>
      <c r="AK1296" s="6">
        <v>5.7882800000000003</v>
      </c>
      <c r="AL1296" s="6">
        <v>4.1330999999999998</v>
      </c>
      <c r="AM1296" s="6">
        <v>2.9392</v>
      </c>
      <c r="AN1296" s="6">
        <v>255</v>
      </c>
      <c r="AQ1296" s="17">
        <v>1294</v>
      </c>
      <c r="AR1296" s="6">
        <v>1.59307</v>
      </c>
      <c r="AS1296" s="6">
        <v>1.4742</v>
      </c>
      <c r="AT1296" s="6">
        <v>0.80889999999999995</v>
      </c>
      <c r="AU1296" s="6">
        <v>255</v>
      </c>
      <c r="AW1296" s="17">
        <v>1294</v>
      </c>
      <c r="AX1296" s="6">
        <v>0.84013000000000004</v>
      </c>
      <c r="AY1296" s="6">
        <v>1.4742</v>
      </c>
      <c r="AZ1296" s="6">
        <v>0.80889999999999995</v>
      </c>
      <c r="BA1296" s="6">
        <v>255</v>
      </c>
    </row>
    <row r="1297" spans="30:53" x14ac:dyDescent="0.25">
      <c r="AD1297" s="17">
        <v>1295</v>
      </c>
      <c r="AE1297" s="6">
        <v>3.0523799999999999</v>
      </c>
      <c r="AF1297" s="6">
        <v>0.98740000000000006</v>
      </c>
      <c r="AG1297" s="6">
        <v>2.9390999999999998</v>
      </c>
      <c r="AH1297" s="6">
        <v>255</v>
      </c>
      <c r="AJ1297" s="17">
        <v>1295</v>
      </c>
      <c r="AK1297" s="6">
        <v>5.7879899999999997</v>
      </c>
      <c r="AL1297" s="6">
        <v>0.98740000000000006</v>
      </c>
      <c r="AM1297" s="6">
        <v>2.9390999999999998</v>
      </c>
      <c r="AN1297" s="6">
        <v>255</v>
      </c>
      <c r="AQ1297" s="17">
        <v>1295</v>
      </c>
      <c r="AR1297" s="6">
        <v>1.5868199999999999</v>
      </c>
      <c r="AS1297" s="6">
        <v>1.3279000000000001</v>
      </c>
      <c r="AT1297" s="6">
        <v>0.80579999999999996</v>
      </c>
      <c r="AU1297" s="6">
        <v>255</v>
      </c>
      <c r="AW1297" s="17">
        <v>1295</v>
      </c>
      <c r="AX1297" s="6">
        <v>0.83682999999999996</v>
      </c>
      <c r="AY1297" s="6">
        <v>1.3279000000000001</v>
      </c>
      <c r="AZ1297" s="6">
        <v>0.80579999999999996</v>
      </c>
      <c r="BA1297" s="6">
        <v>255</v>
      </c>
    </row>
    <row r="1298" spans="30:53" x14ac:dyDescent="0.25">
      <c r="AD1298" s="17">
        <v>1296</v>
      </c>
      <c r="AE1298" s="6">
        <v>3.0478200000000002</v>
      </c>
      <c r="AF1298" s="19">
        <v>-0.76729999999999998</v>
      </c>
      <c r="AG1298" s="6">
        <v>2.9346999999999999</v>
      </c>
      <c r="AH1298" s="6">
        <v>255</v>
      </c>
      <c r="AJ1298" s="17">
        <v>1296</v>
      </c>
      <c r="AK1298" s="6">
        <v>5.77935</v>
      </c>
      <c r="AL1298" s="19">
        <v>-0.76729999999999998</v>
      </c>
      <c r="AM1298" s="6">
        <v>2.9346999999999999</v>
      </c>
      <c r="AN1298" s="6">
        <v>255</v>
      </c>
      <c r="AQ1298" s="17">
        <v>1296</v>
      </c>
      <c r="AR1298" s="6">
        <v>1.5903</v>
      </c>
      <c r="AS1298" s="6">
        <v>0.87060000000000004</v>
      </c>
      <c r="AT1298" s="6">
        <v>0.8075</v>
      </c>
      <c r="AU1298" s="6">
        <v>255</v>
      </c>
      <c r="AW1298" s="17">
        <v>1296</v>
      </c>
      <c r="AX1298" s="6">
        <v>0.83867000000000003</v>
      </c>
      <c r="AY1298" s="6">
        <v>0.87060000000000004</v>
      </c>
      <c r="AZ1298" s="6">
        <v>0.8075</v>
      </c>
      <c r="BA1298" s="6">
        <v>255</v>
      </c>
    </row>
    <row r="1299" spans="30:53" x14ac:dyDescent="0.25">
      <c r="AD1299" s="17">
        <v>1297</v>
      </c>
      <c r="AE1299" s="6">
        <v>3.0400800000000001</v>
      </c>
      <c r="AF1299" s="6">
        <v>2.9539</v>
      </c>
      <c r="AG1299" s="6">
        <v>2.9272999999999998</v>
      </c>
      <c r="AH1299" s="6">
        <v>255</v>
      </c>
      <c r="AJ1299" s="17">
        <v>1297</v>
      </c>
      <c r="AK1299" s="6">
        <v>5.7646699999999997</v>
      </c>
      <c r="AL1299" s="6">
        <v>2.9539</v>
      </c>
      <c r="AM1299" s="6">
        <v>2.9272999999999998</v>
      </c>
      <c r="AN1299" s="6">
        <v>255</v>
      </c>
      <c r="AQ1299" s="17">
        <v>1297</v>
      </c>
      <c r="AR1299" s="6">
        <v>1.5902499999999999</v>
      </c>
      <c r="AS1299" s="6">
        <v>0.1867</v>
      </c>
      <c r="AT1299" s="6">
        <v>0.8075</v>
      </c>
      <c r="AU1299" s="6">
        <v>255</v>
      </c>
      <c r="AW1299" s="17">
        <v>1297</v>
      </c>
      <c r="AX1299" s="6">
        <v>0.83864000000000005</v>
      </c>
      <c r="AY1299" s="6">
        <v>0.1867</v>
      </c>
      <c r="AZ1299" s="6">
        <v>0.8075</v>
      </c>
      <c r="BA1299" s="6">
        <v>255</v>
      </c>
    </row>
    <row r="1300" spans="30:53" x14ac:dyDescent="0.25">
      <c r="AD1300" s="17">
        <v>1298</v>
      </c>
      <c r="AE1300" s="6">
        <v>3.0394700000000001</v>
      </c>
      <c r="AF1300" s="6">
        <v>11.4579</v>
      </c>
      <c r="AG1300" s="6">
        <v>2.9266999999999999</v>
      </c>
      <c r="AH1300" s="6">
        <v>255</v>
      </c>
      <c r="AJ1300" s="17">
        <v>1298</v>
      </c>
      <c r="AK1300" s="6">
        <v>5.7635100000000001</v>
      </c>
      <c r="AL1300" s="6">
        <v>11.4579</v>
      </c>
      <c r="AM1300" s="6">
        <v>2.9266999999999999</v>
      </c>
      <c r="AN1300" s="6">
        <v>255</v>
      </c>
      <c r="AQ1300" s="17">
        <v>1298</v>
      </c>
      <c r="AR1300" s="6">
        <v>1.5949</v>
      </c>
      <c r="AS1300" s="6">
        <v>3.0952999999999999</v>
      </c>
      <c r="AT1300" s="6">
        <v>0.80989999999999995</v>
      </c>
      <c r="AU1300" s="6">
        <v>255</v>
      </c>
      <c r="AW1300" s="17">
        <v>1298</v>
      </c>
      <c r="AX1300" s="6">
        <v>0.84109</v>
      </c>
      <c r="AY1300" s="6">
        <v>3.0952999999999999</v>
      </c>
      <c r="AZ1300" s="6">
        <v>0.80989999999999995</v>
      </c>
      <c r="BA1300" s="6">
        <v>255</v>
      </c>
    </row>
    <row r="1301" spans="30:53" x14ac:dyDescent="0.25">
      <c r="AD1301" s="17">
        <v>1299</v>
      </c>
      <c r="AE1301" s="6">
        <v>3.0394299999999999</v>
      </c>
      <c r="AF1301" s="6">
        <v>1.2504</v>
      </c>
      <c r="AG1301" s="6">
        <v>2.9266000000000001</v>
      </c>
      <c r="AH1301" s="6">
        <v>255</v>
      </c>
      <c r="AJ1301" s="17">
        <v>1299</v>
      </c>
      <c r="AK1301" s="6">
        <v>5.7634299999999996</v>
      </c>
      <c r="AL1301" s="6">
        <v>1.2504</v>
      </c>
      <c r="AM1301" s="6">
        <v>2.9266000000000001</v>
      </c>
      <c r="AN1301" s="6">
        <v>255</v>
      </c>
      <c r="AQ1301" s="17">
        <v>1299</v>
      </c>
      <c r="AR1301" s="6">
        <v>1.59826</v>
      </c>
      <c r="AS1301" s="19">
        <v>-0.41339999999999999</v>
      </c>
      <c r="AT1301" s="6">
        <v>0.81159999999999999</v>
      </c>
      <c r="AU1301" s="6">
        <v>255</v>
      </c>
      <c r="AW1301" s="17">
        <v>1299</v>
      </c>
      <c r="AX1301" s="6">
        <v>0.84287000000000001</v>
      </c>
      <c r="AY1301" s="19">
        <v>-0.41339999999999999</v>
      </c>
      <c r="AZ1301" s="6">
        <v>0.81159999999999999</v>
      </c>
      <c r="BA1301" s="6">
        <v>255</v>
      </c>
    </row>
    <row r="1302" spans="30:53" x14ac:dyDescent="0.25">
      <c r="AD1302" s="17">
        <v>1300</v>
      </c>
      <c r="AE1302" s="6">
        <v>3.0484599999999999</v>
      </c>
      <c r="AF1302" s="6">
        <v>0.95520000000000005</v>
      </c>
      <c r="AG1302" s="6">
        <v>2.9352999999999998</v>
      </c>
      <c r="AH1302" s="6">
        <v>255</v>
      </c>
      <c r="AJ1302" s="17">
        <v>1300</v>
      </c>
      <c r="AK1302" s="6">
        <v>5.7805400000000002</v>
      </c>
      <c r="AL1302" s="6">
        <v>0.95520000000000005</v>
      </c>
      <c r="AM1302" s="6">
        <v>2.9352999999999998</v>
      </c>
      <c r="AN1302" s="6">
        <v>255</v>
      </c>
      <c r="AQ1302" s="17">
        <v>1300</v>
      </c>
      <c r="AR1302" s="6">
        <v>1.6029</v>
      </c>
      <c r="AS1302" s="19">
        <v>-1.6331</v>
      </c>
      <c r="AT1302" s="6">
        <v>0.81389999999999996</v>
      </c>
      <c r="AU1302" s="6">
        <v>255</v>
      </c>
      <c r="AW1302" s="17">
        <v>1300</v>
      </c>
      <c r="AX1302" s="6">
        <v>0.84531000000000001</v>
      </c>
      <c r="AY1302" s="19">
        <v>-1.6331</v>
      </c>
      <c r="AZ1302" s="6">
        <v>0.81389999999999996</v>
      </c>
      <c r="BA1302" s="6">
        <v>255</v>
      </c>
    </row>
    <row r="1303" spans="30:53" x14ac:dyDescent="0.25">
      <c r="AD1303" s="17">
        <v>1301</v>
      </c>
      <c r="AE1303" s="6">
        <v>3.0558200000000002</v>
      </c>
      <c r="AF1303" s="6">
        <v>6.3933999999999997</v>
      </c>
      <c r="AG1303" s="6">
        <v>2.9424000000000001</v>
      </c>
      <c r="AH1303" s="6">
        <v>255</v>
      </c>
      <c r="AJ1303" s="17">
        <v>1301</v>
      </c>
      <c r="AK1303" s="6">
        <v>5.7945099999999998</v>
      </c>
      <c r="AL1303" s="6">
        <v>6.3933999999999997</v>
      </c>
      <c r="AM1303" s="6">
        <v>2.9424000000000001</v>
      </c>
      <c r="AN1303" s="6">
        <v>255</v>
      </c>
      <c r="AQ1303" s="17">
        <v>1301</v>
      </c>
      <c r="AR1303" s="6">
        <v>1.5955299999999999</v>
      </c>
      <c r="AS1303" s="6">
        <v>1.3041</v>
      </c>
      <c r="AT1303" s="6">
        <v>0.81020000000000003</v>
      </c>
      <c r="AU1303" s="6">
        <v>255</v>
      </c>
      <c r="AW1303" s="17">
        <v>1301</v>
      </c>
      <c r="AX1303" s="6">
        <v>0.84141999999999995</v>
      </c>
      <c r="AY1303" s="6">
        <v>1.3041</v>
      </c>
      <c r="AZ1303" s="6">
        <v>0.81020000000000003</v>
      </c>
      <c r="BA1303" s="6">
        <v>255</v>
      </c>
    </row>
    <row r="1304" spans="30:53" x14ac:dyDescent="0.25">
      <c r="AD1304" s="17">
        <v>1302</v>
      </c>
      <c r="AE1304" s="6">
        <v>3.0569299999999999</v>
      </c>
      <c r="AF1304" s="6">
        <v>3.2475999999999998</v>
      </c>
      <c r="AG1304" s="6">
        <v>2.9434999999999998</v>
      </c>
      <c r="AH1304" s="6">
        <v>255</v>
      </c>
      <c r="AJ1304" s="17">
        <v>1302</v>
      </c>
      <c r="AK1304" s="6">
        <v>5.7966199999999999</v>
      </c>
      <c r="AL1304" s="6">
        <v>3.2475999999999998</v>
      </c>
      <c r="AM1304" s="6">
        <v>2.9434999999999998</v>
      </c>
      <c r="AN1304" s="6">
        <v>255</v>
      </c>
      <c r="AQ1304" s="17">
        <v>1302</v>
      </c>
      <c r="AR1304" s="6">
        <v>1.5933600000000001</v>
      </c>
      <c r="AS1304" s="6">
        <v>1.1577999999999999</v>
      </c>
      <c r="AT1304" s="6">
        <v>0.80910000000000004</v>
      </c>
      <c r="AU1304" s="6">
        <v>255</v>
      </c>
      <c r="AW1304" s="17">
        <v>1302</v>
      </c>
      <c r="AX1304" s="6">
        <v>0.84028000000000003</v>
      </c>
      <c r="AY1304" s="6">
        <v>1.1577999999999999</v>
      </c>
      <c r="AZ1304" s="6">
        <v>0.80910000000000004</v>
      </c>
      <c r="BA1304" s="6">
        <v>255</v>
      </c>
    </row>
    <row r="1305" spans="30:53" x14ac:dyDescent="0.25">
      <c r="AD1305" s="17">
        <v>1303</v>
      </c>
      <c r="AE1305" s="6">
        <v>3.0623</v>
      </c>
      <c r="AF1305" s="6">
        <v>1.4928999999999999</v>
      </c>
      <c r="AG1305" s="6">
        <v>2.9485999999999999</v>
      </c>
      <c r="AH1305" s="6">
        <v>255</v>
      </c>
      <c r="AJ1305" s="17">
        <v>1303</v>
      </c>
      <c r="AK1305" s="6">
        <v>5.8067900000000003</v>
      </c>
      <c r="AL1305" s="6">
        <v>1.4928999999999999</v>
      </c>
      <c r="AM1305" s="6">
        <v>2.9485999999999999</v>
      </c>
      <c r="AN1305" s="6">
        <v>255</v>
      </c>
      <c r="AQ1305" s="17">
        <v>1303</v>
      </c>
      <c r="AR1305" s="6">
        <v>1.5985100000000001</v>
      </c>
      <c r="AS1305" s="6">
        <v>0.70050000000000001</v>
      </c>
      <c r="AT1305" s="6">
        <v>0.81169999999999998</v>
      </c>
      <c r="AU1305" s="6">
        <v>255</v>
      </c>
      <c r="AW1305" s="17">
        <v>1303</v>
      </c>
      <c r="AX1305" s="6">
        <v>0.84299999999999997</v>
      </c>
      <c r="AY1305" s="6">
        <v>0.70050000000000001</v>
      </c>
      <c r="AZ1305" s="6">
        <v>0.81169999999999998</v>
      </c>
      <c r="BA1305" s="6">
        <v>255</v>
      </c>
    </row>
    <row r="1306" spans="30:53" x14ac:dyDescent="0.25">
      <c r="AD1306" s="17">
        <v>1304</v>
      </c>
      <c r="AE1306" s="6">
        <v>3.0647000000000002</v>
      </c>
      <c r="AF1306" s="6">
        <v>5.2141999999999999</v>
      </c>
      <c r="AG1306" s="6">
        <v>2.9510000000000001</v>
      </c>
      <c r="AH1306" s="6">
        <v>255</v>
      </c>
      <c r="AJ1306" s="17">
        <v>1304</v>
      </c>
      <c r="AK1306" s="6">
        <v>5.81135</v>
      </c>
      <c r="AL1306" s="6">
        <v>5.2141999999999999</v>
      </c>
      <c r="AM1306" s="6">
        <v>2.9510000000000001</v>
      </c>
      <c r="AN1306" s="6">
        <v>255</v>
      </c>
      <c r="AQ1306" s="17">
        <v>1304</v>
      </c>
      <c r="AR1306" s="6">
        <v>1.60406</v>
      </c>
      <c r="AS1306" s="6">
        <v>1.6549999999999999E-2</v>
      </c>
      <c r="AT1306" s="6">
        <v>0.8145</v>
      </c>
      <c r="AU1306" s="6">
        <v>255</v>
      </c>
      <c r="AW1306" s="17">
        <v>1304</v>
      </c>
      <c r="AX1306" s="6">
        <v>0.84592999999999996</v>
      </c>
      <c r="AY1306" s="6">
        <v>1.6549999999999999E-2</v>
      </c>
      <c r="AZ1306" s="6">
        <v>0.8145</v>
      </c>
      <c r="BA1306" s="6">
        <v>255</v>
      </c>
    </row>
    <row r="1307" spans="30:53" x14ac:dyDescent="0.25">
      <c r="AD1307" s="17">
        <v>1305</v>
      </c>
      <c r="AE1307" s="6">
        <v>3.0386099999999998</v>
      </c>
      <c r="AF1307" s="6">
        <v>13.7181</v>
      </c>
      <c r="AG1307" s="6">
        <v>2.9258000000000002</v>
      </c>
      <c r="AH1307" s="6">
        <v>255</v>
      </c>
      <c r="AJ1307" s="17">
        <v>1305</v>
      </c>
      <c r="AK1307" s="6">
        <v>5.76187</v>
      </c>
      <c r="AL1307" s="6">
        <v>13.7181</v>
      </c>
      <c r="AM1307" s="6">
        <v>2.9258000000000002</v>
      </c>
      <c r="AN1307" s="6">
        <v>255</v>
      </c>
      <c r="AQ1307" s="17">
        <v>1305</v>
      </c>
      <c r="AR1307" s="6">
        <v>1.5987499999999999</v>
      </c>
      <c r="AS1307" s="6">
        <v>2.9251</v>
      </c>
      <c r="AT1307" s="6">
        <v>0.81179999999999997</v>
      </c>
      <c r="AU1307" s="6">
        <v>255</v>
      </c>
      <c r="AW1307" s="17">
        <v>1305</v>
      </c>
      <c r="AX1307" s="6">
        <v>0.84313000000000005</v>
      </c>
      <c r="AY1307" s="6">
        <v>2.9251</v>
      </c>
      <c r="AZ1307" s="6">
        <v>0.81179999999999997</v>
      </c>
      <c r="BA1307" s="6">
        <v>255</v>
      </c>
    </row>
    <row r="1308" spans="30:53" x14ac:dyDescent="0.25">
      <c r="AD1308" s="17">
        <v>1306</v>
      </c>
      <c r="AE1308" s="6">
        <v>3.0384600000000002</v>
      </c>
      <c r="AF1308" s="19">
        <v>-0.29530000000000001</v>
      </c>
      <c r="AG1308" s="6">
        <v>2.9257</v>
      </c>
      <c r="AH1308" s="6">
        <v>255</v>
      </c>
      <c r="AJ1308" s="17">
        <v>1306</v>
      </c>
      <c r="AK1308" s="6">
        <v>5.7615999999999996</v>
      </c>
      <c r="AL1308" s="19">
        <v>-0.29530000000000001</v>
      </c>
      <c r="AM1308" s="6">
        <v>2.9257</v>
      </c>
      <c r="AN1308" s="6">
        <v>255</v>
      </c>
      <c r="AQ1308" s="17">
        <v>1306</v>
      </c>
      <c r="AR1308" s="6">
        <v>1.60442</v>
      </c>
      <c r="AS1308" s="19">
        <v>-1.2197</v>
      </c>
      <c r="AT1308" s="6">
        <v>0.81469999999999998</v>
      </c>
      <c r="AU1308" s="6">
        <v>255</v>
      </c>
      <c r="AW1308" s="17">
        <v>1306</v>
      </c>
      <c r="AX1308" s="6">
        <v>0.84611000000000003</v>
      </c>
      <c r="AY1308" s="19">
        <v>-1.2197</v>
      </c>
      <c r="AZ1308" s="6">
        <v>0.81469999999999998</v>
      </c>
      <c r="BA1308" s="6">
        <v>255</v>
      </c>
    </row>
    <row r="1309" spans="30:53" x14ac:dyDescent="0.25">
      <c r="AD1309" s="17">
        <v>1307</v>
      </c>
      <c r="AE1309" s="6">
        <v>3.0300799999999999</v>
      </c>
      <c r="AF1309" s="6">
        <v>5.1429</v>
      </c>
      <c r="AG1309" s="6">
        <v>2.9176000000000002</v>
      </c>
      <c r="AH1309" s="6">
        <v>255</v>
      </c>
      <c r="AJ1309" s="17">
        <v>1307</v>
      </c>
      <c r="AK1309" s="6">
        <v>5.7456899999999997</v>
      </c>
      <c r="AL1309" s="6">
        <v>5.1429</v>
      </c>
      <c r="AM1309" s="6">
        <v>2.9176000000000002</v>
      </c>
      <c r="AN1309" s="6">
        <v>255</v>
      </c>
      <c r="AQ1309" s="17">
        <v>1307</v>
      </c>
      <c r="AR1309" s="6">
        <v>1.5917699999999999</v>
      </c>
      <c r="AS1309" s="6">
        <v>1.7175</v>
      </c>
      <c r="AT1309" s="6">
        <v>0.80830000000000002</v>
      </c>
      <c r="AU1309" s="6">
        <v>255</v>
      </c>
      <c r="AW1309" s="17">
        <v>1307</v>
      </c>
      <c r="AX1309" s="6">
        <v>0.83945000000000003</v>
      </c>
      <c r="AY1309" s="6">
        <v>1.7175</v>
      </c>
      <c r="AZ1309" s="6">
        <v>0.80830000000000002</v>
      </c>
      <c r="BA1309" s="6">
        <v>255</v>
      </c>
    </row>
    <row r="1310" spans="30:53" x14ac:dyDescent="0.25">
      <c r="AD1310" s="17">
        <v>1308</v>
      </c>
      <c r="AE1310" s="6">
        <v>3.05261</v>
      </c>
      <c r="AF1310" s="6">
        <v>1.9971000000000001</v>
      </c>
      <c r="AG1310" s="6">
        <v>2.9392999999999998</v>
      </c>
      <c r="AH1310" s="6">
        <v>255</v>
      </c>
      <c r="AJ1310" s="17">
        <v>1308</v>
      </c>
      <c r="AK1310" s="6">
        <v>5.78843</v>
      </c>
      <c r="AL1310" s="6">
        <v>1.9971000000000001</v>
      </c>
      <c r="AM1310" s="6">
        <v>2.9392999999999998</v>
      </c>
      <c r="AN1310" s="6">
        <v>255</v>
      </c>
      <c r="AQ1310" s="17">
        <v>1308</v>
      </c>
      <c r="AR1310" s="6">
        <v>1.59507</v>
      </c>
      <c r="AS1310" s="6">
        <v>1.5711999999999999</v>
      </c>
      <c r="AT1310" s="6">
        <v>0.81</v>
      </c>
      <c r="AU1310" s="6">
        <v>255</v>
      </c>
      <c r="AW1310" s="17">
        <v>1308</v>
      </c>
      <c r="AX1310" s="6">
        <v>0.84118999999999999</v>
      </c>
      <c r="AY1310" s="6">
        <v>1.5711999999999999</v>
      </c>
      <c r="AZ1310" s="6">
        <v>0.81</v>
      </c>
      <c r="BA1310" s="6">
        <v>255</v>
      </c>
    </row>
    <row r="1311" spans="30:53" x14ac:dyDescent="0.25">
      <c r="AD1311" s="17">
        <v>1309</v>
      </c>
      <c r="AE1311" s="6">
        <v>3.04393</v>
      </c>
      <c r="AF1311" s="6">
        <v>0.2424</v>
      </c>
      <c r="AG1311" s="6">
        <v>2.931</v>
      </c>
      <c r="AH1311" s="6">
        <v>255</v>
      </c>
      <c r="AJ1311" s="17">
        <v>1309</v>
      </c>
      <c r="AK1311" s="6">
        <v>5.77196</v>
      </c>
      <c r="AL1311" s="6">
        <v>0.2424</v>
      </c>
      <c r="AM1311" s="6">
        <v>2.931</v>
      </c>
      <c r="AN1311" s="6">
        <v>255</v>
      </c>
      <c r="AQ1311" s="17">
        <v>1309</v>
      </c>
      <c r="AR1311" s="6">
        <v>1.59476</v>
      </c>
      <c r="AS1311" s="6">
        <v>1.1138999999999999</v>
      </c>
      <c r="AT1311" s="6">
        <v>0.80979999999999996</v>
      </c>
      <c r="AU1311" s="6">
        <v>255</v>
      </c>
      <c r="AW1311" s="17">
        <v>1309</v>
      </c>
      <c r="AX1311" s="6">
        <v>0.84101999999999999</v>
      </c>
      <c r="AY1311" s="6">
        <v>1.1138999999999999</v>
      </c>
      <c r="AZ1311" s="6">
        <v>0.80979999999999996</v>
      </c>
      <c r="BA1311" s="6">
        <v>255</v>
      </c>
    </row>
    <row r="1312" spans="30:53" x14ac:dyDescent="0.25">
      <c r="AD1312" s="17">
        <v>1310</v>
      </c>
      <c r="AE1312" s="6">
        <v>3.0477599999999998</v>
      </c>
      <c r="AF1312" s="6">
        <v>3.9636999999999998</v>
      </c>
      <c r="AG1312" s="6">
        <v>2.9346000000000001</v>
      </c>
      <c r="AH1312" s="6">
        <v>255</v>
      </c>
      <c r="AJ1312" s="17">
        <v>1310</v>
      </c>
      <c r="AK1312" s="6">
        <v>5.7792199999999996</v>
      </c>
      <c r="AL1312" s="6">
        <v>3.9636999999999998</v>
      </c>
      <c r="AM1312" s="6">
        <v>2.9346000000000001</v>
      </c>
      <c r="AN1312" s="6">
        <v>255</v>
      </c>
      <c r="AQ1312" s="17">
        <v>1310</v>
      </c>
      <c r="AR1312" s="6">
        <v>1.6007400000000001</v>
      </c>
      <c r="AS1312" s="6">
        <v>0.43</v>
      </c>
      <c r="AT1312" s="6">
        <v>0.81279999999999997</v>
      </c>
      <c r="AU1312" s="6">
        <v>255</v>
      </c>
      <c r="AW1312" s="17">
        <v>1310</v>
      </c>
      <c r="AX1312" s="6">
        <v>0.84416999999999998</v>
      </c>
      <c r="AY1312" s="6">
        <v>0.43</v>
      </c>
      <c r="AZ1312" s="6">
        <v>0.81279999999999997</v>
      </c>
      <c r="BA1312" s="6">
        <v>255</v>
      </c>
    </row>
    <row r="1313" spans="30:53" x14ac:dyDescent="0.25">
      <c r="AD1313" s="17">
        <v>1311</v>
      </c>
      <c r="AE1313" s="6">
        <v>3.0310899999999998</v>
      </c>
      <c r="AF1313" s="6">
        <v>12.467700000000001</v>
      </c>
      <c r="AG1313" s="6">
        <v>2.9186000000000001</v>
      </c>
      <c r="AH1313" s="6">
        <v>255</v>
      </c>
      <c r="AJ1313" s="17">
        <v>1311</v>
      </c>
      <c r="AK1313" s="6">
        <v>5.7476099999999999</v>
      </c>
      <c r="AL1313" s="6">
        <v>12.467700000000001</v>
      </c>
      <c r="AM1313" s="6">
        <v>2.9186000000000001</v>
      </c>
      <c r="AN1313" s="6">
        <v>255</v>
      </c>
      <c r="AQ1313" s="17">
        <v>1311</v>
      </c>
      <c r="AR1313" s="6">
        <v>1.59999</v>
      </c>
      <c r="AS1313" s="6">
        <v>3.3384999999999998</v>
      </c>
      <c r="AT1313" s="6">
        <v>0.8125</v>
      </c>
      <c r="AU1313" s="6">
        <v>255</v>
      </c>
      <c r="AW1313" s="17">
        <v>1311</v>
      </c>
      <c r="AX1313" s="6">
        <v>0.84377999999999997</v>
      </c>
      <c r="AY1313" s="6">
        <v>3.3384999999999998</v>
      </c>
      <c r="AZ1313" s="6">
        <v>0.8125</v>
      </c>
      <c r="BA1313" s="6">
        <v>255</v>
      </c>
    </row>
    <row r="1314" spans="30:53" x14ac:dyDescent="0.25">
      <c r="AD1314" s="17">
        <v>1312</v>
      </c>
      <c r="AE1314" s="6">
        <v>3.0429900000000001</v>
      </c>
      <c r="AF1314" s="6">
        <v>5.4382000000000001</v>
      </c>
      <c r="AG1314" s="6">
        <v>2.9300999999999999</v>
      </c>
      <c r="AH1314" s="6">
        <v>255</v>
      </c>
      <c r="AJ1314" s="17">
        <v>1312</v>
      </c>
      <c r="AK1314" s="6">
        <v>5.7701799999999999</v>
      </c>
      <c r="AL1314" s="6">
        <v>5.4382000000000001</v>
      </c>
      <c r="AM1314" s="6">
        <v>2.9300999999999999</v>
      </c>
      <c r="AN1314" s="6">
        <v>255</v>
      </c>
      <c r="AQ1314" s="17">
        <v>1312</v>
      </c>
      <c r="AR1314" s="6">
        <v>1.59921</v>
      </c>
      <c r="AS1314" s="6">
        <v>2.9371999999999998</v>
      </c>
      <c r="AT1314" s="6">
        <v>0.81210000000000004</v>
      </c>
      <c r="AU1314" s="6">
        <v>255</v>
      </c>
      <c r="AW1314" s="17">
        <v>1312</v>
      </c>
      <c r="AX1314" s="6">
        <v>0.84336999999999995</v>
      </c>
      <c r="AY1314" s="6">
        <v>2.9371999999999998</v>
      </c>
      <c r="AZ1314" s="6">
        <v>0.81210000000000004</v>
      </c>
      <c r="BA1314" s="6">
        <v>255</v>
      </c>
    </row>
    <row r="1315" spans="30:53" x14ac:dyDescent="0.25">
      <c r="AD1315" s="17">
        <v>1313</v>
      </c>
      <c r="AE1315" s="6">
        <v>3.0559500000000002</v>
      </c>
      <c r="AF1315" s="6">
        <v>2.2924000000000002</v>
      </c>
      <c r="AG1315" s="6">
        <v>2.9424999999999999</v>
      </c>
      <c r="AH1315" s="6">
        <v>255</v>
      </c>
      <c r="AJ1315" s="17">
        <v>1313</v>
      </c>
      <c r="AK1315" s="6">
        <v>5.7947600000000001</v>
      </c>
      <c r="AL1315" s="6">
        <v>2.2924000000000002</v>
      </c>
      <c r="AM1315" s="6">
        <v>2.9424999999999999</v>
      </c>
      <c r="AN1315" s="6">
        <v>255</v>
      </c>
      <c r="AQ1315" s="17">
        <v>1313</v>
      </c>
      <c r="AR1315" s="6">
        <v>1.59707</v>
      </c>
      <c r="AS1315" s="6">
        <v>2.7909000000000002</v>
      </c>
      <c r="AT1315" s="6">
        <v>0.81100000000000005</v>
      </c>
      <c r="AU1315" s="6">
        <v>255</v>
      </c>
      <c r="AW1315" s="17">
        <v>1313</v>
      </c>
      <c r="AX1315" s="6">
        <v>0.84223999999999999</v>
      </c>
      <c r="AY1315" s="6">
        <v>2.7909000000000002</v>
      </c>
      <c r="AZ1315" s="6">
        <v>0.81100000000000005</v>
      </c>
      <c r="BA1315" s="6">
        <v>255</v>
      </c>
    </row>
    <row r="1316" spans="30:53" x14ac:dyDescent="0.25">
      <c r="AD1316" s="17">
        <v>1314</v>
      </c>
      <c r="AE1316" s="6">
        <v>3.0492499999999998</v>
      </c>
      <c r="AF1316" s="6">
        <v>0.53769999999999996</v>
      </c>
      <c r="AG1316" s="6">
        <v>2.9361000000000002</v>
      </c>
      <c r="AH1316" s="6">
        <v>255</v>
      </c>
      <c r="AJ1316" s="17">
        <v>1314</v>
      </c>
      <c r="AK1316" s="6">
        <v>5.7820499999999999</v>
      </c>
      <c r="AL1316" s="6">
        <v>0.53769999999999996</v>
      </c>
      <c r="AM1316" s="6">
        <v>2.9361000000000002</v>
      </c>
      <c r="AN1316" s="6">
        <v>255</v>
      </c>
      <c r="AQ1316" s="17">
        <v>1314</v>
      </c>
      <c r="AR1316" s="6">
        <v>1.59867</v>
      </c>
      <c r="AS1316" s="6">
        <v>2.3336000000000001</v>
      </c>
      <c r="AT1316" s="6">
        <v>0.81179999999999997</v>
      </c>
      <c r="AU1316" s="6">
        <v>255</v>
      </c>
      <c r="AW1316" s="17">
        <v>1314</v>
      </c>
      <c r="AX1316" s="6">
        <v>0.84308000000000005</v>
      </c>
      <c r="AY1316" s="6">
        <v>2.3336000000000001</v>
      </c>
      <c r="AZ1316" s="6">
        <v>0.81179999999999997</v>
      </c>
      <c r="BA1316" s="6">
        <v>255</v>
      </c>
    </row>
    <row r="1317" spans="30:53" x14ac:dyDescent="0.25">
      <c r="AD1317" s="17">
        <v>1315</v>
      </c>
      <c r="AE1317" s="6">
        <v>3.0322499999999999</v>
      </c>
      <c r="AF1317" s="6">
        <v>4.2590000000000003</v>
      </c>
      <c r="AG1317" s="6">
        <v>2.9197000000000002</v>
      </c>
      <c r="AH1317" s="6">
        <v>255</v>
      </c>
      <c r="AJ1317" s="17">
        <v>1315</v>
      </c>
      <c r="AK1317" s="6">
        <v>5.7498100000000001</v>
      </c>
      <c r="AL1317" s="6">
        <v>4.2590000000000003</v>
      </c>
      <c r="AM1317" s="6">
        <v>2.9197000000000002</v>
      </c>
      <c r="AN1317" s="6">
        <v>255</v>
      </c>
      <c r="AQ1317" s="17">
        <v>1315</v>
      </c>
      <c r="AR1317" s="6">
        <v>1.59562</v>
      </c>
      <c r="AS1317" s="6">
        <v>1.6496999999999999</v>
      </c>
      <c r="AT1317" s="6">
        <v>0.81020000000000003</v>
      </c>
      <c r="AU1317" s="6">
        <v>255</v>
      </c>
      <c r="AW1317" s="17">
        <v>1315</v>
      </c>
      <c r="AX1317" s="6">
        <v>0.84147000000000005</v>
      </c>
      <c r="AY1317" s="6">
        <v>1.6496999999999999</v>
      </c>
      <c r="AZ1317" s="6">
        <v>0.81020000000000003</v>
      </c>
      <c r="BA1317" s="6">
        <v>255</v>
      </c>
    </row>
    <row r="1318" spans="30:53" x14ac:dyDescent="0.25">
      <c r="AD1318" s="17">
        <v>1316</v>
      </c>
      <c r="AE1318" s="6">
        <v>3.0356800000000002</v>
      </c>
      <c r="AF1318" s="6">
        <v>12.7629</v>
      </c>
      <c r="AG1318" s="6">
        <v>2.923</v>
      </c>
      <c r="AH1318" s="6">
        <v>255</v>
      </c>
      <c r="AJ1318" s="17">
        <v>1316</v>
      </c>
      <c r="AK1318" s="6">
        <v>5.7563199999999997</v>
      </c>
      <c r="AL1318" s="6">
        <v>12.7629</v>
      </c>
      <c r="AM1318" s="6">
        <v>2.923</v>
      </c>
      <c r="AN1318" s="6">
        <v>255</v>
      </c>
      <c r="AQ1318" s="17">
        <v>1316</v>
      </c>
      <c r="AR1318" s="6">
        <v>1.6006100000000001</v>
      </c>
      <c r="AS1318" s="6">
        <v>4.5582000000000003</v>
      </c>
      <c r="AT1318" s="6">
        <v>0.81279999999999997</v>
      </c>
      <c r="AU1318" s="6">
        <v>255</v>
      </c>
      <c r="AW1318" s="17">
        <v>1316</v>
      </c>
      <c r="AX1318" s="6">
        <v>0.84411000000000003</v>
      </c>
      <c r="AY1318" s="6">
        <v>4.5582000000000003</v>
      </c>
      <c r="AZ1318" s="6">
        <v>0.81279999999999997</v>
      </c>
      <c r="BA1318" s="6">
        <v>255</v>
      </c>
    </row>
    <row r="1319" spans="30:53" x14ac:dyDescent="0.25">
      <c r="AD1319" s="17">
        <v>1317</v>
      </c>
      <c r="AE1319" s="6">
        <v>3.0628899999999999</v>
      </c>
      <c r="AF1319" s="19">
        <v>-3.1457999999999999</v>
      </c>
      <c r="AG1319" s="6">
        <v>2.9491999999999998</v>
      </c>
      <c r="AH1319" s="6">
        <v>255</v>
      </c>
      <c r="AJ1319" s="17">
        <v>1317</v>
      </c>
      <c r="AK1319" s="6">
        <v>5.8079200000000002</v>
      </c>
      <c r="AL1319" s="19">
        <v>-3.1457999999999999</v>
      </c>
      <c r="AM1319" s="6">
        <v>2.9491999999999998</v>
      </c>
      <c r="AN1319" s="6">
        <v>255</v>
      </c>
      <c r="AQ1319" s="17">
        <v>1317</v>
      </c>
      <c r="AR1319" s="6">
        <v>1.59335</v>
      </c>
      <c r="AS1319" s="19">
        <v>-0.14630000000000001</v>
      </c>
      <c r="AT1319" s="6">
        <v>0.80910000000000004</v>
      </c>
      <c r="AU1319" s="6">
        <v>255</v>
      </c>
      <c r="AW1319" s="17">
        <v>1317</v>
      </c>
      <c r="AX1319" s="6">
        <v>0.84028000000000003</v>
      </c>
      <c r="AY1319" s="19">
        <v>-0.14630000000000001</v>
      </c>
      <c r="AZ1319" s="6">
        <v>0.80910000000000004</v>
      </c>
      <c r="BA1319" s="6">
        <v>255</v>
      </c>
    </row>
    <row r="1320" spans="30:53" x14ac:dyDescent="0.25">
      <c r="AD1320" s="17">
        <v>1318</v>
      </c>
      <c r="AE1320" s="6">
        <v>3.0512899999999998</v>
      </c>
      <c r="AF1320" s="19">
        <v>-4.9005000000000001</v>
      </c>
      <c r="AG1320" s="6">
        <v>2.9380000000000002</v>
      </c>
      <c r="AH1320" s="6">
        <v>255</v>
      </c>
      <c r="AJ1320" s="17">
        <v>1318</v>
      </c>
      <c r="AK1320" s="6">
        <v>5.78592</v>
      </c>
      <c r="AL1320" s="19">
        <v>-4.9005000000000001</v>
      </c>
      <c r="AM1320" s="6">
        <v>2.9380000000000002</v>
      </c>
      <c r="AN1320" s="6">
        <v>255</v>
      </c>
      <c r="AQ1320" s="17">
        <v>1318</v>
      </c>
      <c r="AR1320" s="6">
        <v>1.59348</v>
      </c>
      <c r="AS1320" s="19">
        <v>-0.60360000000000003</v>
      </c>
      <c r="AT1320" s="6">
        <v>0.80920000000000003</v>
      </c>
      <c r="AU1320" s="6">
        <v>255</v>
      </c>
      <c r="AW1320" s="17">
        <v>1318</v>
      </c>
      <c r="AX1320" s="6">
        <v>0.84033999999999998</v>
      </c>
      <c r="AY1320" s="19">
        <v>-0.60360000000000003</v>
      </c>
      <c r="AZ1320" s="6">
        <v>0.80920000000000003</v>
      </c>
      <c r="BA1320" s="6">
        <v>255</v>
      </c>
    </row>
    <row r="1321" spans="30:53" x14ac:dyDescent="0.25">
      <c r="AD1321" s="17">
        <v>1319</v>
      </c>
      <c r="AE1321" s="6">
        <v>3.04603</v>
      </c>
      <c r="AF1321" s="19">
        <v>-1.1792</v>
      </c>
      <c r="AG1321" s="6">
        <v>2.9329999999999998</v>
      </c>
      <c r="AH1321" s="6">
        <v>255</v>
      </c>
      <c r="AJ1321" s="17">
        <v>1319</v>
      </c>
      <c r="AK1321" s="6">
        <v>5.7759499999999999</v>
      </c>
      <c r="AL1321" s="19">
        <v>-1.1792</v>
      </c>
      <c r="AM1321" s="6">
        <v>2.9329999999999998</v>
      </c>
      <c r="AN1321" s="6">
        <v>255</v>
      </c>
      <c r="AQ1321" s="17">
        <v>1319</v>
      </c>
      <c r="AR1321" s="6">
        <v>1.5940300000000001</v>
      </c>
      <c r="AS1321" s="19">
        <v>-1.2876000000000001</v>
      </c>
      <c r="AT1321" s="6">
        <v>0.80940000000000001</v>
      </c>
      <c r="AU1321" s="6">
        <v>255</v>
      </c>
      <c r="AW1321" s="17">
        <v>1319</v>
      </c>
      <c r="AX1321" s="6">
        <v>0.84064000000000005</v>
      </c>
      <c r="AY1321" s="19">
        <v>-1.2876000000000001</v>
      </c>
      <c r="AZ1321" s="6">
        <v>0.80940000000000001</v>
      </c>
      <c r="BA1321" s="6">
        <v>255</v>
      </c>
    </row>
    <row r="1322" spans="30:53" x14ac:dyDescent="0.25">
      <c r="AD1322" s="17">
        <v>1320</v>
      </c>
      <c r="AE1322" s="6">
        <v>3.0438999999999998</v>
      </c>
      <c r="AF1322" s="6">
        <v>7.3247999999999998</v>
      </c>
      <c r="AG1322" s="6">
        <v>2.9308999999999998</v>
      </c>
      <c r="AH1322" s="6">
        <v>255</v>
      </c>
      <c r="AJ1322" s="17">
        <v>1320</v>
      </c>
      <c r="AK1322" s="6">
        <v>5.7718999999999996</v>
      </c>
      <c r="AL1322" s="6">
        <v>7.3247999999999998</v>
      </c>
      <c r="AM1322" s="6">
        <v>2.9308999999999998</v>
      </c>
      <c r="AN1322" s="6">
        <v>255</v>
      </c>
      <c r="AQ1322" s="17">
        <v>1320</v>
      </c>
      <c r="AR1322" s="6">
        <v>1.5999399999999999</v>
      </c>
      <c r="AS1322" s="6">
        <v>1.621</v>
      </c>
      <c r="AT1322" s="6">
        <v>0.81240000000000001</v>
      </c>
      <c r="AU1322" s="6">
        <v>255</v>
      </c>
      <c r="AW1322" s="17">
        <v>1320</v>
      </c>
      <c r="AX1322" s="6">
        <v>0.84375</v>
      </c>
      <c r="AY1322" s="6">
        <v>1.621</v>
      </c>
      <c r="AZ1322" s="6">
        <v>0.81240000000000001</v>
      </c>
      <c r="BA1322" s="6">
        <v>255</v>
      </c>
    </row>
    <row r="1323" spans="30:53" x14ac:dyDescent="0.25">
      <c r="AD1323" s="17">
        <v>1321</v>
      </c>
      <c r="AE1323" s="6">
        <v>3.0596199999999998</v>
      </c>
      <c r="AF1323" s="19">
        <v>-1.7546999999999999</v>
      </c>
      <c r="AG1323" s="6">
        <v>2.9460999999999999</v>
      </c>
      <c r="AH1323" s="6">
        <v>255</v>
      </c>
      <c r="AJ1323" s="17">
        <v>1321</v>
      </c>
      <c r="AK1323" s="6">
        <v>5.8017099999999999</v>
      </c>
      <c r="AL1323" s="19">
        <v>-1.7546999999999999</v>
      </c>
      <c r="AM1323" s="6">
        <v>2.9460999999999999</v>
      </c>
      <c r="AN1323" s="6">
        <v>255</v>
      </c>
      <c r="AQ1323" s="17">
        <v>1321</v>
      </c>
      <c r="AR1323" s="6">
        <v>1.5883700000000001</v>
      </c>
      <c r="AS1323" s="19">
        <v>-0.45739999999999997</v>
      </c>
      <c r="AT1323" s="6">
        <v>0.80659999999999998</v>
      </c>
      <c r="AU1323" s="6">
        <v>255</v>
      </c>
      <c r="AW1323" s="17">
        <v>1321</v>
      </c>
      <c r="AX1323" s="6">
        <v>0.83765000000000001</v>
      </c>
      <c r="AY1323" s="19">
        <v>-0.45739999999999997</v>
      </c>
      <c r="AZ1323" s="6">
        <v>0.80659999999999998</v>
      </c>
      <c r="BA1323" s="6">
        <v>255</v>
      </c>
    </row>
    <row r="1324" spans="30:53" x14ac:dyDescent="0.25">
      <c r="AD1324" s="17">
        <v>1322</v>
      </c>
      <c r="AE1324" s="6">
        <v>3.0565600000000002</v>
      </c>
      <c r="AF1324" s="6">
        <v>1.9665999999999999</v>
      </c>
      <c r="AG1324" s="6">
        <v>2.9430999999999998</v>
      </c>
      <c r="AH1324" s="6">
        <v>255</v>
      </c>
      <c r="AJ1324" s="17">
        <v>1322</v>
      </c>
      <c r="AK1324" s="6">
        <v>5.7959100000000001</v>
      </c>
      <c r="AL1324" s="6">
        <v>1.9665999999999999</v>
      </c>
      <c r="AM1324" s="6">
        <v>2.9430999999999998</v>
      </c>
      <c r="AN1324" s="6">
        <v>255</v>
      </c>
      <c r="AQ1324" s="17">
        <v>1322</v>
      </c>
      <c r="AR1324" s="6">
        <v>1.5940099999999999</v>
      </c>
      <c r="AS1324" s="19">
        <v>-1.1413</v>
      </c>
      <c r="AT1324" s="6">
        <v>0.80940000000000001</v>
      </c>
      <c r="AU1324" s="6">
        <v>255</v>
      </c>
      <c r="AW1324" s="17">
        <v>1322</v>
      </c>
      <c r="AX1324" s="6">
        <v>0.84062000000000003</v>
      </c>
      <c r="AY1324" s="19">
        <v>-1.1413</v>
      </c>
      <c r="AZ1324" s="6">
        <v>0.80940000000000001</v>
      </c>
      <c r="BA1324" s="6">
        <v>255</v>
      </c>
    </row>
    <row r="1325" spans="30:53" x14ac:dyDescent="0.25">
      <c r="AD1325" s="17">
        <v>1323</v>
      </c>
      <c r="AE1325" s="6">
        <v>3.0627499999999999</v>
      </c>
      <c r="AF1325" s="6">
        <v>10.470599999999999</v>
      </c>
      <c r="AG1325" s="6">
        <v>2.9491000000000001</v>
      </c>
      <c r="AH1325" s="6">
        <v>255</v>
      </c>
      <c r="AJ1325" s="17">
        <v>1323</v>
      </c>
      <c r="AK1325" s="6">
        <v>5.8076499999999998</v>
      </c>
      <c r="AL1325" s="6">
        <v>10.470599999999999</v>
      </c>
      <c r="AM1325" s="6">
        <v>2.9491000000000001</v>
      </c>
      <c r="AN1325" s="6">
        <v>255</v>
      </c>
      <c r="AQ1325" s="17">
        <v>1323</v>
      </c>
      <c r="AR1325" s="6">
        <v>1.60063</v>
      </c>
      <c r="AS1325" s="6">
        <v>1.7673000000000001</v>
      </c>
      <c r="AT1325" s="6">
        <v>0.81279999999999997</v>
      </c>
      <c r="AU1325" s="6">
        <v>255</v>
      </c>
      <c r="AW1325" s="17">
        <v>1323</v>
      </c>
      <c r="AX1325" s="6">
        <v>0.84411999999999998</v>
      </c>
      <c r="AY1325" s="6">
        <v>1.7673000000000001</v>
      </c>
      <c r="AZ1325" s="6">
        <v>0.81279999999999997</v>
      </c>
      <c r="BA1325" s="6">
        <v>255</v>
      </c>
    </row>
    <row r="1326" spans="30:53" x14ac:dyDescent="0.25">
      <c r="AD1326" s="17">
        <v>1324</v>
      </c>
      <c r="AE1326" s="6">
        <v>3.0651700000000002</v>
      </c>
      <c r="AF1326" s="6">
        <v>3.7212999999999998</v>
      </c>
      <c r="AG1326" s="6">
        <v>2.9514</v>
      </c>
      <c r="AH1326" s="6">
        <v>255</v>
      </c>
      <c r="AJ1326" s="17">
        <v>1324</v>
      </c>
      <c r="AK1326" s="6">
        <v>5.8122400000000001</v>
      </c>
      <c r="AL1326" s="6">
        <v>3.7212999999999998</v>
      </c>
      <c r="AM1326" s="6">
        <v>2.9514</v>
      </c>
      <c r="AN1326" s="6">
        <v>255</v>
      </c>
      <c r="AQ1326" s="17">
        <v>1324</v>
      </c>
      <c r="AR1326" s="6">
        <v>1.59981</v>
      </c>
      <c r="AS1326" s="19">
        <v>-0.68389999999999995</v>
      </c>
      <c r="AT1326" s="6">
        <v>0.81240000000000001</v>
      </c>
      <c r="AU1326" s="6">
        <v>255</v>
      </c>
      <c r="AW1326" s="17">
        <v>1324</v>
      </c>
      <c r="AX1326" s="6">
        <v>0.84369000000000005</v>
      </c>
      <c r="AY1326" s="19">
        <v>-0.68389999999999995</v>
      </c>
      <c r="AZ1326" s="6">
        <v>0.81240000000000001</v>
      </c>
      <c r="BA1326" s="6">
        <v>255</v>
      </c>
    </row>
    <row r="1327" spans="30:53" x14ac:dyDescent="0.25">
      <c r="AD1327" s="17">
        <v>1325</v>
      </c>
      <c r="AE1327" s="6">
        <v>3.0487299999999999</v>
      </c>
      <c r="AF1327" s="6">
        <v>12.225300000000001</v>
      </c>
      <c r="AG1327" s="6">
        <v>2.9356</v>
      </c>
      <c r="AH1327" s="6">
        <v>255</v>
      </c>
      <c r="AJ1327" s="17">
        <v>1325</v>
      </c>
      <c r="AK1327" s="6">
        <v>5.7810699999999997</v>
      </c>
      <c r="AL1327" s="6">
        <v>12.225300000000001</v>
      </c>
      <c r="AM1327" s="6">
        <v>2.9356</v>
      </c>
      <c r="AN1327" s="6">
        <v>255</v>
      </c>
      <c r="AQ1327" s="17">
        <v>1325</v>
      </c>
      <c r="AR1327" s="6">
        <v>1.5998300000000001</v>
      </c>
      <c r="AS1327" s="6">
        <v>2.2246999999999999</v>
      </c>
      <c r="AT1327" s="6">
        <v>0.81240000000000001</v>
      </c>
      <c r="AU1327" s="6">
        <v>255</v>
      </c>
      <c r="AW1327" s="17">
        <v>1325</v>
      </c>
      <c r="AX1327" s="6">
        <v>0.84369000000000005</v>
      </c>
      <c r="AY1327" s="6">
        <v>2.2246999999999999</v>
      </c>
      <c r="AZ1327" s="6">
        <v>0.81240000000000001</v>
      </c>
      <c r="BA1327" s="6">
        <v>255</v>
      </c>
    </row>
    <row r="1328" spans="30:53" x14ac:dyDescent="0.25">
      <c r="AD1328" s="17">
        <v>1326</v>
      </c>
      <c r="AE1328" s="6">
        <v>3.0431499999999998</v>
      </c>
      <c r="AF1328" s="6">
        <v>8.5039999999999996</v>
      </c>
      <c r="AG1328" s="6">
        <v>2.9302000000000001</v>
      </c>
      <c r="AH1328" s="6">
        <v>255</v>
      </c>
      <c r="AJ1328" s="17">
        <v>1326</v>
      </c>
      <c r="AK1328" s="6">
        <v>5.7704899999999997</v>
      </c>
      <c r="AL1328" s="6">
        <v>8.5039999999999996</v>
      </c>
      <c r="AM1328" s="6">
        <v>2.9302000000000001</v>
      </c>
      <c r="AN1328" s="6">
        <v>255</v>
      </c>
      <c r="AQ1328" s="17">
        <v>1326</v>
      </c>
      <c r="AR1328" s="6">
        <v>1.59999</v>
      </c>
      <c r="AS1328" s="6">
        <v>2.9085999999999999</v>
      </c>
      <c r="AT1328" s="6">
        <v>0.8125</v>
      </c>
      <c r="AU1328" s="6">
        <v>255</v>
      </c>
      <c r="AW1328" s="17">
        <v>1326</v>
      </c>
      <c r="AX1328" s="6">
        <v>0.84377999999999997</v>
      </c>
      <c r="AY1328" s="6">
        <v>2.9085999999999999</v>
      </c>
      <c r="AZ1328" s="6">
        <v>0.8125</v>
      </c>
      <c r="BA1328" s="6">
        <v>255</v>
      </c>
    </row>
  </sheetData>
  <mergeCells count="28">
    <mergeCell ref="CN2:CN3"/>
    <mergeCell ref="BJ2:BJ3"/>
    <mergeCell ref="BK2:BK3"/>
    <mergeCell ref="BL2:BL3"/>
    <mergeCell ref="CE2:CE3"/>
    <mergeCell ref="CF2:CF3"/>
    <mergeCell ref="CG2:CG3"/>
    <mergeCell ref="CI2:CI3"/>
    <mergeCell ref="CJ2:CJ3"/>
    <mergeCell ref="CK2:CK3"/>
    <mergeCell ref="CL2:CL3"/>
    <mergeCell ref="CM2:CM3"/>
    <mergeCell ref="BI2:BI3"/>
    <mergeCell ref="S1:AB1"/>
    <mergeCell ref="S2:S3"/>
    <mergeCell ref="T2:T3"/>
    <mergeCell ref="U2:U3"/>
    <mergeCell ref="W2:W3"/>
    <mergeCell ref="X2:X3"/>
    <mergeCell ref="Y2:Y3"/>
    <mergeCell ref="Z2:Z3"/>
    <mergeCell ref="AA2:AA3"/>
    <mergeCell ref="AB2:AB3"/>
    <mergeCell ref="BC2:BC3"/>
    <mergeCell ref="BD2:BD3"/>
    <mergeCell ref="BE2:BE3"/>
    <mergeCell ref="BG2:BG3"/>
    <mergeCell ref="BH2:BH3"/>
  </mergeCells>
  <conditionalFormatting sqref="BQ3:BQ78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493F-81AA-4432-A1D4-A6E3DDF1FBD7}">
  <dimension ref="A3:S47"/>
  <sheetViews>
    <sheetView zoomScale="85" zoomScaleNormal="85" workbookViewId="0">
      <selection activeCell="C28" sqref="C28"/>
    </sheetView>
  </sheetViews>
  <sheetFormatPr defaultRowHeight="15.75" x14ac:dyDescent="0.25"/>
  <cols>
    <col min="1" max="1" width="17.25" bestFit="1" customWidth="1"/>
    <col min="2" max="2" width="17.625" bestFit="1" customWidth="1"/>
    <col min="3" max="3" width="16.75" bestFit="1" customWidth="1"/>
    <col min="7" max="7" width="17.25" bestFit="1" customWidth="1"/>
  </cols>
  <sheetData>
    <row r="3" spans="1:19" ht="16.5" thickBot="1" x14ac:dyDescent="0.3">
      <c r="A3" s="26" t="s">
        <v>20</v>
      </c>
      <c r="B3" t="s">
        <v>107</v>
      </c>
      <c r="C3" t="s">
        <v>147</v>
      </c>
      <c r="G3" s="30" t="s">
        <v>20</v>
      </c>
      <c r="H3" s="30" t="s">
        <v>47</v>
      </c>
      <c r="I3" s="30" t="s">
        <v>148</v>
      </c>
      <c r="M3" t="s">
        <v>104</v>
      </c>
      <c r="N3" t="s">
        <v>105</v>
      </c>
      <c r="P3" s="30" t="s">
        <v>20</v>
      </c>
      <c r="Q3" s="30" t="s">
        <v>104</v>
      </c>
      <c r="R3" s="30" t="s">
        <v>105</v>
      </c>
      <c r="S3" s="30" t="s">
        <v>148</v>
      </c>
    </row>
    <row r="4" spans="1:19" x14ac:dyDescent="0.25">
      <c r="A4" s="15" t="s">
        <v>21</v>
      </c>
      <c r="B4">
        <v>30</v>
      </c>
      <c r="C4">
        <v>12.791966666666667</v>
      </c>
      <c r="G4" s="15" t="s">
        <v>120</v>
      </c>
      <c r="H4">
        <v>1</v>
      </c>
      <c r="I4">
        <v>12.2903</v>
      </c>
      <c r="K4" t="b">
        <f>IF(L4=H4,TRUE,FALSE)</f>
        <v>1</v>
      </c>
      <c r="L4" s="7">
        <v>1</v>
      </c>
      <c r="M4" s="56">
        <v>71.912800000000004</v>
      </c>
      <c r="N4" s="56">
        <v>58.802599999999998</v>
      </c>
      <c r="P4" s="15" t="s">
        <v>120</v>
      </c>
      <c r="Q4" s="56">
        <v>71.912800000000004</v>
      </c>
      <c r="R4" s="56">
        <v>58.802599999999998</v>
      </c>
      <c r="S4">
        <v>12.2903</v>
      </c>
    </row>
    <row r="5" spans="1:19" x14ac:dyDescent="0.25">
      <c r="A5" s="15" t="s">
        <v>89</v>
      </c>
      <c r="B5">
        <v>37</v>
      </c>
      <c r="C5">
        <v>12.4353</v>
      </c>
      <c r="G5" s="15" t="s">
        <v>126</v>
      </c>
      <c r="H5">
        <v>2</v>
      </c>
      <c r="I5">
        <v>12.018633333333336</v>
      </c>
      <c r="K5" t="b">
        <f t="shared" ref="K5:K45" si="0">IF(L5=H5,TRUE,FALSE)</f>
        <v>1</v>
      </c>
      <c r="L5" s="5">
        <v>2</v>
      </c>
      <c r="M5" s="6">
        <v>70.985399999999998</v>
      </c>
      <c r="N5" s="6">
        <v>58.940300000000001</v>
      </c>
      <c r="P5" s="15" t="s">
        <v>126</v>
      </c>
      <c r="Q5" s="6">
        <v>70.985399999999998</v>
      </c>
      <c r="R5" s="6">
        <v>58.940300000000001</v>
      </c>
      <c r="S5">
        <v>12.018633333333336</v>
      </c>
    </row>
    <row r="6" spans="1:19" x14ac:dyDescent="0.25">
      <c r="A6" s="15" t="s">
        <v>121</v>
      </c>
      <c r="B6">
        <v>40</v>
      </c>
      <c r="C6">
        <v>12.253633333333335</v>
      </c>
      <c r="G6" s="15" t="s">
        <v>122</v>
      </c>
      <c r="H6">
        <v>3</v>
      </c>
      <c r="I6">
        <v>12.585300000000002</v>
      </c>
      <c r="K6" t="b">
        <f t="shared" si="0"/>
        <v>1</v>
      </c>
      <c r="L6" s="5">
        <v>3</v>
      </c>
      <c r="M6" s="6">
        <v>64.830500000000001</v>
      </c>
      <c r="N6" s="6">
        <v>59.658799999999999</v>
      </c>
      <c r="P6" s="15" t="s">
        <v>122</v>
      </c>
      <c r="Q6" s="6">
        <v>64.830500000000001</v>
      </c>
      <c r="R6" s="6">
        <v>59.658799999999999</v>
      </c>
      <c r="S6">
        <v>12.585300000000002</v>
      </c>
    </row>
    <row r="7" spans="1:19" x14ac:dyDescent="0.25">
      <c r="A7" s="15" t="s">
        <v>124</v>
      </c>
      <c r="B7">
        <v>41</v>
      </c>
      <c r="C7">
        <v>13.143633333333334</v>
      </c>
      <c r="G7" s="15" t="s">
        <v>117</v>
      </c>
      <c r="H7">
        <v>4</v>
      </c>
      <c r="I7">
        <v>12.440299999999999</v>
      </c>
      <c r="K7" t="b">
        <f t="shared" si="0"/>
        <v>1</v>
      </c>
      <c r="L7" s="5">
        <v>4</v>
      </c>
      <c r="M7" s="6">
        <v>66.424599999999998</v>
      </c>
      <c r="N7" s="6">
        <v>56.412500000000001</v>
      </c>
      <c r="P7" s="15" t="s">
        <v>117</v>
      </c>
      <c r="Q7" s="6">
        <v>66.424599999999998</v>
      </c>
      <c r="R7" s="6">
        <v>56.412500000000001</v>
      </c>
      <c r="S7">
        <v>12.440299999999999</v>
      </c>
    </row>
    <row r="8" spans="1:19" x14ac:dyDescent="0.25">
      <c r="A8" s="15" t="s">
        <v>24</v>
      </c>
      <c r="B8">
        <v>20</v>
      </c>
      <c r="C8">
        <v>12.248828571428572</v>
      </c>
      <c r="G8" s="15" t="s">
        <v>128</v>
      </c>
      <c r="H8">
        <v>5</v>
      </c>
      <c r="I8">
        <v>12.5603</v>
      </c>
      <c r="K8" t="b">
        <f t="shared" si="0"/>
        <v>1</v>
      </c>
      <c r="L8" s="5">
        <v>5</v>
      </c>
      <c r="M8" s="6">
        <v>67.097099999999998</v>
      </c>
      <c r="N8" s="6">
        <v>58.362000000000002</v>
      </c>
      <c r="P8" s="15" t="s">
        <v>128</v>
      </c>
      <c r="Q8" s="6">
        <v>67.097099999999998</v>
      </c>
      <c r="R8" s="6">
        <v>58.362000000000002</v>
      </c>
      <c r="S8">
        <v>12.5603</v>
      </c>
    </row>
    <row r="9" spans="1:19" x14ac:dyDescent="0.25">
      <c r="A9" s="15" t="s">
        <v>25</v>
      </c>
      <c r="B9">
        <v>32</v>
      </c>
      <c r="C9">
        <v>13.88636</v>
      </c>
      <c r="G9" s="15" t="s">
        <v>119</v>
      </c>
      <c r="H9">
        <v>6</v>
      </c>
      <c r="I9">
        <v>13.676966666666665</v>
      </c>
      <c r="K9" t="b">
        <f t="shared" si="0"/>
        <v>1</v>
      </c>
      <c r="L9" s="5">
        <v>6</v>
      </c>
      <c r="M9" s="6">
        <v>56.203600000000002</v>
      </c>
      <c r="N9" s="6">
        <v>58.5291</v>
      </c>
      <c r="P9" s="15" t="s">
        <v>119</v>
      </c>
      <c r="Q9" s="6">
        <v>56.203600000000002</v>
      </c>
      <c r="R9" s="6">
        <v>58.5291</v>
      </c>
      <c r="S9">
        <v>13.676966666666665</v>
      </c>
    </row>
    <row r="10" spans="1:19" x14ac:dyDescent="0.25">
      <c r="A10" s="15" t="s">
        <v>26</v>
      </c>
      <c r="B10">
        <v>21</v>
      </c>
      <c r="C10">
        <v>12.531966666666669</v>
      </c>
      <c r="G10" s="15" t="s">
        <v>118</v>
      </c>
      <c r="H10">
        <v>8</v>
      </c>
      <c r="I10">
        <v>11.975299999999999</v>
      </c>
      <c r="K10" t="b">
        <f t="shared" si="0"/>
        <v>1</v>
      </c>
      <c r="L10" s="5">
        <v>8</v>
      </c>
      <c r="M10" s="6">
        <v>71.694400000000002</v>
      </c>
      <c r="N10" s="6">
        <v>59.612000000000002</v>
      </c>
      <c r="P10" s="15" t="s">
        <v>118</v>
      </c>
      <c r="Q10" s="6">
        <v>71.694400000000002</v>
      </c>
      <c r="R10" s="6">
        <v>59.612000000000002</v>
      </c>
      <c r="S10">
        <v>11.975299999999999</v>
      </c>
    </row>
    <row r="11" spans="1:19" x14ac:dyDescent="0.25">
      <c r="A11" s="15" t="s">
        <v>27</v>
      </c>
      <c r="B11">
        <v>29</v>
      </c>
      <c r="C11">
        <v>12.423633333333333</v>
      </c>
      <c r="G11" s="15" t="s">
        <v>94</v>
      </c>
      <c r="H11">
        <v>9</v>
      </c>
      <c r="I11">
        <v>13.725299999999999</v>
      </c>
      <c r="K11" t="b">
        <f t="shared" si="0"/>
        <v>1</v>
      </c>
      <c r="L11" s="5">
        <v>9</v>
      </c>
      <c r="M11" s="6">
        <v>62.698599999999999</v>
      </c>
      <c r="N11" s="6">
        <v>56.415799999999997</v>
      </c>
      <c r="P11" s="15" t="s">
        <v>94</v>
      </c>
      <c r="Q11" s="6">
        <v>62.698599999999999</v>
      </c>
      <c r="R11" s="6">
        <v>56.415799999999997</v>
      </c>
      <c r="S11">
        <v>13.725299999999999</v>
      </c>
    </row>
    <row r="12" spans="1:19" x14ac:dyDescent="0.25">
      <c r="A12" s="15" t="s">
        <v>28</v>
      </c>
      <c r="B12">
        <v>22</v>
      </c>
      <c r="C12">
        <v>12.476966666666668</v>
      </c>
      <c r="G12" s="15" t="s">
        <v>91</v>
      </c>
      <c r="H12">
        <v>10</v>
      </c>
      <c r="I12">
        <v>13.666966666666669</v>
      </c>
      <c r="K12" t="b">
        <f t="shared" si="0"/>
        <v>1</v>
      </c>
      <c r="L12" s="5">
        <v>10</v>
      </c>
      <c r="M12" s="6">
        <v>56.728999999999999</v>
      </c>
      <c r="N12" s="6">
        <v>55.222999999999999</v>
      </c>
      <c r="P12" s="15" t="s">
        <v>91</v>
      </c>
      <c r="Q12" s="6">
        <v>56.728999999999999</v>
      </c>
      <c r="R12" s="6">
        <v>55.222999999999999</v>
      </c>
      <c r="S12">
        <v>13.666966666666669</v>
      </c>
    </row>
    <row r="13" spans="1:19" x14ac:dyDescent="0.25">
      <c r="A13" s="15" t="s">
        <v>29</v>
      </c>
      <c r="B13">
        <v>18</v>
      </c>
      <c r="C13">
        <v>12.6203</v>
      </c>
      <c r="G13" s="15" t="s">
        <v>90</v>
      </c>
      <c r="H13">
        <v>11</v>
      </c>
      <c r="I13">
        <v>12.471966666666667</v>
      </c>
      <c r="K13" t="b">
        <f t="shared" si="0"/>
        <v>1</v>
      </c>
      <c r="L13" s="5">
        <v>11</v>
      </c>
      <c r="M13" s="6">
        <v>70.6858</v>
      </c>
      <c r="N13" s="6">
        <v>60.225700000000003</v>
      </c>
      <c r="P13" s="15" t="s">
        <v>90</v>
      </c>
      <c r="Q13" s="6">
        <v>70.6858</v>
      </c>
      <c r="R13" s="6">
        <v>60.225700000000003</v>
      </c>
      <c r="S13">
        <v>12.471966666666667</v>
      </c>
    </row>
    <row r="14" spans="1:19" x14ac:dyDescent="0.25">
      <c r="A14" s="15" t="s">
        <v>30</v>
      </c>
      <c r="B14">
        <v>14</v>
      </c>
      <c r="C14">
        <v>12.408633333333334</v>
      </c>
      <c r="G14" s="15" t="s">
        <v>92</v>
      </c>
      <c r="H14">
        <v>12</v>
      </c>
      <c r="I14">
        <v>12.871966666666665</v>
      </c>
      <c r="K14" t="b">
        <f t="shared" si="0"/>
        <v>1</v>
      </c>
      <c r="L14" s="5">
        <v>12</v>
      </c>
      <c r="M14" s="6">
        <v>62.145299999999999</v>
      </c>
      <c r="N14" s="6">
        <v>58.746600000000001</v>
      </c>
      <c r="P14" s="15" t="s">
        <v>92</v>
      </c>
      <c r="Q14" s="6">
        <v>62.145299999999999</v>
      </c>
      <c r="R14" s="6">
        <v>58.746600000000001</v>
      </c>
      <c r="S14">
        <v>12.871966666666665</v>
      </c>
    </row>
    <row r="15" spans="1:19" x14ac:dyDescent="0.25">
      <c r="A15" s="15" t="s">
        <v>31</v>
      </c>
      <c r="B15">
        <v>15</v>
      </c>
      <c r="C15">
        <v>12.355300000000002</v>
      </c>
      <c r="G15" s="15" t="s">
        <v>93</v>
      </c>
      <c r="H15">
        <v>13</v>
      </c>
      <c r="I15">
        <v>12.431966666666668</v>
      </c>
      <c r="K15" t="b">
        <f t="shared" si="0"/>
        <v>1</v>
      </c>
      <c r="L15" s="5">
        <v>13</v>
      </c>
      <c r="M15" s="6">
        <v>67.243399999999994</v>
      </c>
      <c r="N15" s="6">
        <v>59.176900000000003</v>
      </c>
      <c r="P15" s="15" t="s">
        <v>93</v>
      </c>
      <c r="Q15" s="6">
        <v>67.243399999999994</v>
      </c>
      <c r="R15" s="6">
        <v>59.176900000000003</v>
      </c>
      <c r="S15">
        <v>12.431966666666668</v>
      </c>
    </row>
    <row r="16" spans="1:19" x14ac:dyDescent="0.25">
      <c r="A16" s="15" t="s">
        <v>32</v>
      </c>
      <c r="B16">
        <v>16</v>
      </c>
      <c r="C16">
        <v>12.58236</v>
      </c>
      <c r="G16" s="15" t="s">
        <v>30</v>
      </c>
      <c r="H16">
        <v>14</v>
      </c>
      <c r="I16">
        <v>12.408633333333334</v>
      </c>
      <c r="K16" t="b">
        <f t="shared" si="0"/>
        <v>1</v>
      </c>
      <c r="L16" s="5">
        <v>14</v>
      </c>
      <c r="M16" s="6">
        <v>75.845399999999998</v>
      </c>
      <c r="N16" s="6">
        <v>60.046399999999998</v>
      </c>
      <c r="P16" s="15" t="s">
        <v>30</v>
      </c>
      <c r="Q16" s="6">
        <v>75.845399999999998</v>
      </c>
      <c r="R16" s="6">
        <v>60.046399999999998</v>
      </c>
      <c r="S16">
        <v>12.408633333333334</v>
      </c>
    </row>
    <row r="17" spans="1:19" x14ac:dyDescent="0.25">
      <c r="A17" s="15" t="s">
        <v>90</v>
      </c>
      <c r="B17">
        <v>11</v>
      </c>
      <c r="C17">
        <v>12.471966666666667</v>
      </c>
      <c r="G17" s="15" t="s">
        <v>31</v>
      </c>
      <c r="H17">
        <v>15</v>
      </c>
      <c r="I17">
        <v>12.355300000000002</v>
      </c>
      <c r="K17" t="b">
        <f t="shared" si="0"/>
        <v>1</v>
      </c>
      <c r="L17" s="5">
        <v>15</v>
      </c>
      <c r="M17" s="6">
        <v>71.305700000000002</v>
      </c>
      <c r="N17" s="6">
        <v>57.917000000000002</v>
      </c>
      <c r="P17" s="15" t="s">
        <v>31</v>
      </c>
      <c r="Q17" s="6">
        <v>71.305700000000002</v>
      </c>
      <c r="R17" s="6">
        <v>57.917000000000002</v>
      </c>
      <c r="S17">
        <v>12.355300000000002</v>
      </c>
    </row>
    <row r="18" spans="1:19" x14ac:dyDescent="0.25">
      <c r="A18" s="15" t="s">
        <v>120</v>
      </c>
      <c r="B18">
        <v>1</v>
      </c>
      <c r="C18">
        <v>12.2903</v>
      </c>
      <c r="G18" s="15" t="s">
        <v>32</v>
      </c>
      <c r="H18">
        <v>16</v>
      </c>
      <c r="I18">
        <v>12.58236</v>
      </c>
      <c r="K18" t="b">
        <f t="shared" si="0"/>
        <v>1</v>
      </c>
      <c r="L18" s="5">
        <v>16</v>
      </c>
      <c r="M18" s="6">
        <v>70.498099999999994</v>
      </c>
      <c r="N18" s="6">
        <v>60.519399999999997</v>
      </c>
      <c r="P18" s="15" t="s">
        <v>32</v>
      </c>
      <c r="Q18" s="6">
        <v>70.498099999999994</v>
      </c>
      <c r="R18" s="6">
        <v>60.519399999999997</v>
      </c>
      <c r="S18">
        <v>12.58236</v>
      </c>
    </row>
    <row r="19" spans="1:19" x14ac:dyDescent="0.25">
      <c r="A19" s="15" t="s">
        <v>33</v>
      </c>
      <c r="B19">
        <v>17</v>
      </c>
      <c r="C19">
        <v>11.746966666666665</v>
      </c>
      <c r="G19" s="15" t="s">
        <v>33</v>
      </c>
      <c r="H19">
        <v>17</v>
      </c>
      <c r="I19">
        <v>11.746966666666665</v>
      </c>
      <c r="K19" t="b">
        <f t="shared" si="0"/>
        <v>1</v>
      </c>
      <c r="L19" s="5">
        <v>17</v>
      </c>
      <c r="M19" s="6">
        <v>72.2791</v>
      </c>
      <c r="N19" s="6">
        <v>58.680700000000002</v>
      </c>
      <c r="P19" s="15" t="s">
        <v>33</v>
      </c>
      <c r="Q19" s="6">
        <v>72.2791</v>
      </c>
      <c r="R19" s="6">
        <v>58.680700000000002</v>
      </c>
      <c r="S19">
        <v>11.746966666666665</v>
      </c>
    </row>
    <row r="20" spans="1:19" x14ac:dyDescent="0.25">
      <c r="A20" s="15" t="s">
        <v>92</v>
      </c>
      <c r="B20">
        <v>12</v>
      </c>
      <c r="C20">
        <v>12.871966666666665</v>
      </c>
      <c r="G20" s="15" t="s">
        <v>29</v>
      </c>
      <c r="H20">
        <v>18</v>
      </c>
      <c r="I20">
        <v>12.6203</v>
      </c>
      <c r="K20" t="b">
        <f t="shared" si="0"/>
        <v>1</v>
      </c>
      <c r="L20" s="5">
        <v>18</v>
      </c>
      <c r="M20" s="6">
        <v>62.336599999999997</v>
      </c>
      <c r="N20" s="6">
        <v>58.137300000000003</v>
      </c>
      <c r="P20" s="15" t="s">
        <v>29</v>
      </c>
      <c r="Q20" s="6">
        <v>62.336599999999997</v>
      </c>
      <c r="R20" s="6">
        <v>58.137300000000003</v>
      </c>
      <c r="S20">
        <v>12.6203</v>
      </c>
    </row>
    <row r="21" spans="1:19" x14ac:dyDescent="0.25">
      <c r="A21" s="15" t="s">
        <v>93</v>
      </c>
      <c r="B21">
        <v>13</v>
      </c>
      <c r="C21">
        <v>12.431966666666668</v>
      </c>
      <c r="G21" s="15" t="s">
        <v>24</v>
      </c>
      <c r="H21">
        <v>20</v>
      </c>
      <c r="I21">
        <v>12.248828571428572</v>
      </c>
      <c r="K21" t="b">
        <f t="shared" si="0"/>
        <v>1</v>
      </c>
      <c r="L21" s="5">
        <v>20</v>
      </c>
      <c r="M21" s="6">
        <v>73.890199999999993</v>
      </c>
      <c r="N21" s="6">
        <v>58.8185</v>
      </c>
      <c r="P21" s="15" t="s">
        <v>24</v>
      </c>
      <c r="Q21" s="6">
        <v>73.890199999999993</v>
      </c>
      <c r="R21" s="6">
        <v>58.8185</v>
      </c>
      <c r="S21">
        <v>12.248828571428572</v>
      </c>
    </row>
    <row r="22" spans="1:19" x14ac:dyDescent="0.25">
      <c r="A22" s="15" t="s">
        <v>126</v>
      </c>
      <c r="B22">
        <v>2</v>
      </c>
      <c r="C22">
        <v>12.018633333333336</v>
      </c>
      <c r="G22" s="15" t="s">
        <v>26</v>
      </c>
      <c r="H22">
        <v>21</v>
      </c>
      <c r="I22">
        <v>12.531966666666669</v>
      </c>
      <c r="K22" t="b">
        <f t="shared" si="0"/>
        <v>1</v>
      </c>
      <c r="L22" s="5">
        <v>21</v>
      </c>
      <c r="M22" s="6">
        <v>70.218299999999999</v>
      </c>
      <c r="N22" s="6">
        <v>58.935000000000002</v>
      </c>
      <c r="P22" s="15" t="s">
        <v>26</v>
      </c>
      <c r="Q22" s="6">
        <v>70.218299999999999</v>
      </c>
      <c r="R22" s="6">
        <v>58.935000000000002</v>
      </c>
      <c r="S22">
        <v>12.531966666666669</v>
      </c>
    </row>
    <row r="23" spans="1:19" x14ac:dyDescent="0.25">
      <c r="A23" s="15" t="s">
        <v>94</v>
      </c>
      <c r="B23">
        <v>9</v>
      </c>
      <c r="C23">
        <v>13.725299999999999</v>
      </c>
      <c r="G23" s="15" t="s">
        <v>28</v>
      </c>
      <c r="H23">
        <v>22</v>
      </c>
      <c r="I23">
        <v>12.476966666666668</v>
      </c>
      <c r="K23" t="b">
        <f t="shared" si="0"/>
        <v>1</v>
      </c>
      <c r="L23" s="5">
        <v>22</v>
      </c>
      <c r="M23" s="6">
        <v>67.732200000000006</v>
      </c>
      <c r="N23" s="6">
        <v>59.467500000000001</v>
      </c>
      <c r="P23" s="15" t="s">
        <v>28</v>
      </c>
      <c r="Q23" s="6">
        <v>67.732200000000006</v>
      </c>
      <c r="R23" s="6">
        <v>59.467500000000001</v>
      </c>
      <c r="S23">
        <v>12.476966666666668</v>
      </c>
    </row>
    <row r="24" spans="1:19" x14ac:dyDescent="0.25">
      <c r="A24" s="15" t="s">
        <v>122</v>
      </c>
      <c r="B24">
        <v>3</v>
      </c>
      <c r="C24">
        <v>12.585300000000002</v>
      </c>
      <c r="G24" s="15" t="s">
        <v>37</v>
      </c>
      <c r="H24">
        <v>23</v>
      </c>
      <c r="I24">
        <v>13.145299999999999</v>
      </c>
      <c r="K24" t="b">
        <f t="shared" si="0"/>
        <v>1</v>
      </c>
      <c r="L24" s="5">
        <v>23</v>
      </c>
      <c r="M24" s="6">
        <v>67.046000000000006</v>
      </c>
      <c r="N24" s="6">
        <v>59.402000000000001</v>
      </c>
      <c r="P24" s="15" t="s">
        <v>37</v>
      </c>
      <c r="Q24" s="6">
        <v>67.046000000000006</v>
      </c>
      <c r="R24" s="6">
        <v>59.402000000000001</v>
      </c>
      <c r="S24">
        <v>13.145299999999999</v>
      </c>
    </row>
    <row r="25" spans="1:19" x14ac:dyDescent="0.25">
      <c r="A25" s="15" t="s">
        <v>91</v>
      </c>
      <c r="B25">
        <v>10</v>
      </c>
      <c r="C25">
        <v>13.666966666666669</v>
      </c>
      <c r="G25" s="15" t="s">
        <v>40</v>
      </c>
      <c r="H25">
        <v>24</v>
      </c>
      <c r="I25">
        <v>12.1153</v>
      </c>
      <c r="K25" t="b">
        <f t="shared" si="0"/>
        <v>1</v>
      </c>
      <c r="L25" s="5">
        <v>24</v>
      </c>
      <c r="M25" s="6">
        <v>72.117199999999997</v>
      </c>
      <c r="N25" s="6">
        <v>58.345199999999998</v>
      </c>
      <c r="P25" s="15" t="s">
        <v>40</v>
      </c>
      <c r="Q25" s="6">
        <v>72.117199999999997</v>
      </c>
      <c r="R25" s="6">
        <v>58.345199999999998</v>
      </c>
      <c r="S25">
        <v>12.1153</v>
      </c>
    </row>
    <row r="26" spans="1:19" x14ac:dyDescent="0.25">
      <c r="A26" s="15" t="s">
        <v>117</v>
      </c>
      <c r="B26">
        <v>4</v>
      </c>
      <c r="C26">
        <v>12.440299999999999</v>
      </c>
      <c r="G26" s="15" t="s">
        <v>130</v>
      </c>
      <c r="H26">
        <v>25</v>
      </c>
      <c r="I26">
        <v>12.768633333333332</v>
      </c>
      <c r="K26" t="b">
        <f t="shared" si="0"/>
        <v>1</v>
      </c>
      <c r="L26" s="5">
        <v>25</v>
      </c>
      <c r="M26" s="6">
        <v>67.581400000000002</v>
      </c>
      <c r="N26" s="6">
        <v>58.766500000000001</v>
      </c>
      <c r="P26" s="15" t="s">
        <v>130</v>
      </c>
      <c r="Q26" s="6">
        <v>67.581400000000002</v>
      </c>
      <c r="R26" s="6">
        <v>58.766500000000001</v>
      </c>
      <c r="S26">
        <v>12.768633333333332</v>
      </c>
    </row>
    <row r="27" spans="1:19" x14ac:dyDescent="0.25">
      <c r="A27" s="15" t="s">
        <v>128</v>
      </c>
      <c r="B27">
        <v>5</v>
      </c>
      <c r="C27">
        <v>12.5603</v>
      </c>
      <c r="G27" s="15" t="s">
        <v>44</v>
      </c>
      <c r="H27">
        <v>26</v>
      </c>
      <c r="I27">
        <v>12.790359999999998</v>
      </c>
      <c r="K27" t="b">
        <f t="shared" si="0"/>
        <v>1</v>
      </c>
      <c r="L27" s="5">
        <v>26</v>
      </c>
      <c r="M27" s="6">
        <v>76.893699999999995</v>
      </c>
      <c r="N27" s="6">
        <v>58.966099999999997</v>
      </c>
      <c r="P27" s="15" t="s">
        <v>44</v>
      </c>
      <c r="Q27" s="6">
        <v>76.893699999999995</v>
      </c>
      <c r="R27" s="6">
        <v>58.966099999999997</v>
      </c>
      <c r="S27">
        <v>12.790359999999998</v>
      </c>
    </row>
    <row r="28" spans="1:19" x14ac:dyDescent="0.25">
      <c r="A28" s="15" t="s">
        <v>119</v>
      </c>
      <c r="B28">
        <v>6</v>
      </c>
      <c r="C28">
        <v>13.676966666666665</v>
      </c>
      <c r="G28" s="15" t="s">
        <v>35</v>
      </c>
      <c r="H28">
        <v>27</v>
      </c>
      <c r="I28">
        <v>12.5603</v>
      </c>
      <c r="K28" t="b">
        <f t="shared" si="0"/>
        <v>1</v>
      </c>
      <c r="L28" s="5">
        <v>27</v>
      </c>
      <c r="M28" s="6">
        <v>68.750699999999995</v>
      </c>
      <c r="N28" s="6">
        <v>59.046199999999999</v>
      </c>
      <c r="P28" s="15" t="s">
        <v>35</v>
      </c>
      <c r="Q28" s="6">
        <v>68.750699999999995</v>
      </c>
      <c r="R28" s="6">
        <v>59.046199999999999</v>
      </c>
      <c r="S28">
        <v>12.5603</v>
      </c>
    </row>
    <row r="29" spans="1:19" x14ac:dyDescent="0.25">
      <c r="A29" s="15" t="s">
        <v>118</v>
      </c>
      <c r="B29">
        <v>8</v>
      </c>
      <c r="C29">
        <v>11.975299999999999</v>
      </c>
      <c r="G29" s="15" t="s">
        <v>38</v>
      </c>
      <c r="H29">
        <v>28</v>
      </c>
      <c r="I29">
        <v>12.5253</v>
      </c>
      <c r="K29" t="b">
        <f t="shared" si="0"/>
        <v>1</v>
      </c>
      <c r="L29" s="5">
        <v>28</v>
      </c>
      <c r="M29" s="6">
        <v>66.162199999999999</v>
      </c>
      <c r="N29" s="6">
        <v>57.1877</v>
      </c>
      <c r="P29" s="15" t="s">
        <v>38</v>
      </c>
      <c r="Q29" s="6">
        <v>66.162199999999999</v>
      </c>
      <c r="R29" s="6">
        <v>57.1877</v>
      </c>
      <c r="S29">
        <v>12.5253</v>
      </c>
    </row>
    <row r="30" spans="1:19" x14ac:dyDescent="0.25">
      <c r="A30" s="15" t="s">
        <v>34</v>
      </c>
      <c r="B30">
        <v>42</v>
      </c>
      <c r="C30">
        <v>12.545299999999999</v>
      </c>
      <c r="G30" s="15" t="s">
        <v>27</v>
      </c>
      <c r="H30">
        <v>29</v>
      </c>
      <c r="I30">
        <v>12.423633333333333</v>
      </c>
      <c r="K30" t="b">
        <f t="shared" si="0"/>
        <v>1</v>
      </c>
      <c r="L30" s="5">
        <v>29</v>
      </c>
      <c r="M30" s="6">
        <v>64.996300000000005</v>
      </c>
      <c r="N30" s="6">
        <v>58.713000000000001</v>
      </c>
      <c r="P30" s="15" t="s">
        <v>27</v>
      </c>
      <c r="Q30" s="6">
        <v>64.996300000000005</v>
      </c>
      <c r="R30" s="6">
        <v>58.713000000000001</v>
      </c>
      <c r="S30">
        <v>12.423633333333333</v>
      </c>
    </row>
    <row r="31" spans="1:19" x14ac:dyDescent="0.25">
      <c r="A31" s="15" t="s">
        <v>123</v>
      </c>
      <c r="B31">
        <v>44</v>
      </c>
      <c r="C31">
        <v>13.036966666666666</v>
      </c>
      <c r="G31" s="15" t="s">
        <v>21</v>
      </c>
      <c r="H31">
        <v>30</v>
      </c>
      <c r="I31">
        <v>12.791966666666667</v>
      </c>
      <c r="K31" t="b">
        <f t="shared" si="0"/>
        <v>1</v>
      </c>
      <c r="L31" s="5">
        <v>30</v>
      </c>
      <c r="M31" s="6">
        <v>59.777500000000003</v>
      </c>
      <c r="N31" s="6">
        <v>58.6661</v>
      </c>
      <c r="P31" s="15" t="s">
        <v>21</v>
      </c>
      <c r="Q31" s="6">
        <v>59.777500000000003</v>
      </c>
      <c r="R31" s="6">
        <v>58.6661</v>
      </c>
      <c r="S31">
        <v>12.791966666666667</v>
      </c>
    </row>
    <row r="32" spans="1:19" x14ac:dyDescent="0.25">
      <c r="A32" s="15" t="s">
        <v>125</v>
      </c>
      <c r="B32">
        <v>43</v>
      </c>
      <c r="C32">
        <v>13.2403</v>
      </c>
      <c r="G32" s="15" t="s">
        <v>36</v>
      </c>
      <c r="H32">
        <v>31</v>
      </c>
      <c r="I32">
        <v>13.015299999999998</v>
      </c>
      <c r="K32" t="b">
        <f t="shared" si="0"/>
        <v>1</v>
      </c>
      <c r="L32" s="5">
        <v>31</v>
      </c>
      <c r="M32" s="6">
        <v>62.628599999999999</v>
      </c>
      <c r="N32" s="6">
        <v>58.401899999999998</v>
      </c>
      <c r="P32" s="15" t="s">
        <v>36</v>
      </c>
      <c r="Q32" s="6">
        <v>62.628599999999999</v>
      </c>
      <c r="R32" s="6">
        <v>58.401899999999998</v>
      </c>
      <c r="S32">
        <v>13.015299999999998</v>
      </c>
    </row>
    <row r="33" spans="1:19" x14ac:dyDescent="0.25">
      <c r="A33" s="15" t="s">
        <v>35</v>
      </c>
      <c r="B33">
        <v>27</v>
      </c>
      <c r="C33">
        <v>12.5603</v>
      </c>
      <c r="G33" s="15" t="s">
        <v>25</v>
      </c>
      <c r="H33">
        <v>32</v>
      </c>
      <c r="I33">
        <v>13.88636</v>
      </c>
      <c r="K33" t="b">
        <f t="shared" si="0"/>
        <v>1</v>
      </c>
      <c r="L33" s="5">
        <v>32</v>
      </c>
      <c r="M33" s="6">
        <v>74.328100000000006</v>
      </c>
      <c r="N33" s="6">
        <v>60.5276</v>
      </c>
      <c r="P33" s="15" t="s">
        <v>25</v>
      </c>
      <c r="Q33" s="6">
        <v>74.328100000000006</v>
      </c>
      <c r="R33" s="6">
        <v>60.5276</v>
      </c>
      <c r="S33">
        <v>13.88636</v>
      </c>
    </row>
    <row r="34" spans="1:19" x14ac:dyDescent="0.25">
      <c r="A34" s="15" t="s">
        <v>95</v>
      </c>
      <c r="B34">
        <v>50</v>
      </c>
      <c r="C34">
        <v>14.4</v>
      </c>
      <c r="G34" s="15" t="s">
        <v>41</v>
      </c>
      <c r="H34">
        <v>33</v>
      </c>
      <c r="I34">
        <v>12.166966666666667</v>
      </c>
      <c r="K34" t="b">
        <f t="shared" si="0"/>
        <v>1</v>
      </c>
      <c r="L34" s="5">
        <v>33</v>
      </c>
      <c r="M34" s="6">
        <v>70.068399999999997</v>
      </c>
      <c r="N34" s="6">
        <v>59.088900000000002</v>
      </c>
      <c r="P34" s="15" t="s">
        <v>41</v>
      </c>
      <c r="Q34" s="6">
        <v>70.068399999999997</v>
      </c>
      <c r="R34" s="6">
        <v>59.088900000000002</v>
      </c>
      <c r="S34">
        <v>12.166966666666667</v>
      </c>
    </row>
    <row r="35" spans="1:19" x14ac:dyDescent="0.25">
      <c r="A35" s="15" t="s">
        <v>36</v>
      </c>
      <c r="B35">
        <v>31</v>
      </c>
      <c r="C35">
        <v>13.015299999999998</v>
      </c>
      <c r="G35" s="15" t="s">
        <v>42</v>
      </c>
      <c r="H35">
        <v>34</v>
      </c>
      <c r="I35">
        <v>12.573633333333333</v>
      </c>
      <c r="K35" t="b">
        <f t="shared" si="0"/>
        <v>1</v>
      </c>
      <c r="L35" s="5">
        <v>34</v>
      </c>
      <c r="M35" s="6">
        <v>68.968999999999994</v>
      </c>
      <c r="N35" s="6">
        <v>58.4191</v>
      </c>
      <c r="P35" s="15" t="s">
        <v>42</v>
      </c>
      <c r="Q35" s="6">
        <v>68.968999999999994</v>
      </c>
      <c r="R35" s="6">
        <v>58.4191</v>
      </c>
      <c r="S35">
        <v>12.573633333333333</v>
      </c>
    </row>
    <row r="36" spans="1:19" x14ac:dyDescent="0.25">
      <c r="A36" s="15" t="s">
        <v>37</v>
      </c>
      <c r="B36">
        <v>23</v>
      </c>
      <c r="C36">
        <v>13.145299999999999</v>
      </c>
      <c r="G36" s="15" t="s">
        <v>129</v>
      </c>
      <c r="H36">
        <v>35</v>
      </c>
      <c r="I36">
        <v>12.668633333333334</v>
      </c>
      <c r="K36" t="b">
        <f t="shared" si="0"/>
        <v>1</v>
      </c>
      <c r="L36" s="5">
        <v>35</v>
      </c>
      <c r="M36" s="6">
        <v>73.116600000000005</v>
      </c>
      <c r="N36" s="6">
        <v>59.360599999999998</v>
      </c>
      <c r="P36" s="15" t="s">
        <v>129</v>
      </c>
      <c r="Q36" s="6">
        <v>73.116600000000005</v>
      </c>
      <c r="R36" s="6">
        <v>59.360599999999998</v>
      </c>
      <c r="S36">
        <v>12.668633333333334</v>
      </c>
    </row>
    <row r="37" spans="1:19" x14ac:dyDescent="0.25">
      <c r="A37" s="15" t="s">
        <v>38</v>
      </c>
      <c r="B37">
        <v>28</v>
      </c>
      <c r="C37">
        <v>12.5253</v>
      </c>
      <c r="G37" s="15" t="s">
        <v>45</v>
      </c>
      <c r="H37">
        <v>36</v>
      </c>
      <c r="I37">
        <v>13.020300000000001</v>
      </c>
      <c r="K37" t="b">
        <f t="shared" si="0"/>
        <v>1</v>
      </c>
      <c r="L37" s="5">
        <v>36</v>
      </c>
      <c r="M37" s="6">
        <v>64.071200000000005</v>
      </c>
      <c r="N37" s="6">
        <v>59.912799999999997</v>
      </c>
      <c r="P37" s="15" t="s">
        <v>45</v>
      </c>
      <c r="Q37" s="6">
        <v>64.071200000000005</v>
      </c>
      <c r="R37" s="6">
        <v>59.912799999999997</v>
      </c>
      <c r="S37">
        <v>13.020300000000001</v>
      </c>
    </row>
    <row r="38" spans="1:19" x14ac:dyDescent="0.25">
      <c r="A38" s="15" t="s">
        <v>127</v>
      </c>
      <c r="B38">
        <v>46</v>
      </c>
      <c r="C38">
        <v>12.515300000000002</v>
      </c>
      <c r="G38" s="15" t="s">
        <v>89</v>
      </c>
      <c r="H38">
        <v>37</v>
      </c>
      <c r="I38">
        <v>12.4353</v>
      </c>
      <c r="K38" t="b">
        <f t="shared" si="0"/>
        <v>1</v>
      </c>
      <c r="L38" s="5">
        <v>37</v>
      </c>
      <c r="M38" s="6">
        <v>70.293700000000001</v>
      </c>
      <c r="N38" s="6">
        <v>59.857399999999998</v>
      </c>
      <c r="P38" s="15" t="s">
        <v>89</v>
      </c>
      <c r="Q38" s="6">
        <v>70.293700000000001</v>
      </c>
      <c r="R38" s="6">
        <v>59.857399999999998</v>
      </c>
      <c r="S38">
        <v>12.4353</v>
      </c>
    </row>
    <row r="39" spans="1:19" x14ac:dyDescent="0.25">
      <c r="A39" s="15" t="s">
        <v>39</v>
      </c>
      <c r="B39">
        <v>45</v>
      </c>
      <c r="C39">
        <v>12.403633333333334</v>
      </c>
      <c r="G39" s="15" t="s">
        <v>121</v>
      </c>
      <c r="H39">
        <v>40</v>
      </c>
      <c r="I39">
        <v>12.253633333333335</v>
      </c>
      <c r="K39" t="b">
        <f t="shared" si="0"/>
        <v>1</v>
      </c>
      <c r="L39" s="5">
        <v>40</v>
      </c>
      <c r="M39" s="6">
        <v>68.444800000000001</v>
      </c>
      <c r="N39" s="6">
        <v>60.3172</v>
      </c>
      <c r="P39" s="15" t="s">
        <v>121</v>
      </c>
      <c r="Q39" s="6">
        <v>68.444800000000001</v>
      </c>
      <c r="R39" s="6">
        <v>60.3172</v>
      </c>
      <c r="S39">
        <v>12.253633333333335</v>
      </c>
    </row>
    <row r="40" spans="1:19" x14ac:dyDescent="0.25">
      <c r="A40" s="15" t="s">
        <v>40</v>
      </c>
      <c r="B40">
        <v>24</v>
      </c>
      <c r="C40">
        <v>12.1153</v>
      </c>
      <c r="G40" s="15" t="s">
        <v>124</v>
      </c>
      <c r="H40">
        <v>41</v>
      </c>
      <c r="I40">
        <v>13.143633333333334</v>
      </c>
      <c r="K40" t="b">
        <f t="shared" si="0"/>
        <v>1</v>
      </c>
      <c r="L40" s="5">
        <v>41</v>
      </c>
      <c r="M40" s="6">
        <v>61.492199999999997</v>
      </c>
      <c r="N40" s="6">
        <v>58.012</v>
      </c>
      <c r="P40" s="15" t="s">
        <v>124</v>
      </c>
      <c r="Q40" s="6">
        <v>61.492199999999997</v>
      </c>
      <c r="R40" s="6">
        <v>58.012</v>
      </c>
      <c r="S40">
        <v>13.143633333333334</v>
      </c>
    </row>
    <row r="41" spans="1:19" x14ac:dyDescent="0.25">
      <c r="A41" s="15" t="s">
        <v>41</v>
      </c>
      <c r="B41">
        <v>33</v>
      </c>
      <c r="C41">
        <v>12.166966666666667</v>
      </c>
      <c r="G41" s="15" t="s">
        <v>34</v>
      </c>
      <c r="H41">
        <v>42</v>
      </c>
      <c r="I41">
        <v>12.545299999999999</v>
      </c>
      <c r="K41" t="b">
        <f t="shared" si="0"/>
        <v>1</v>
      </c>
      <c r="L41" s="5">
        <v>42</v>
      </c>
      <c r="M41" s="6">
        <v>67.819900000000004</v>
      </c>
      <c r="N41" s="6">
        <v>60.374299999999998</v>
      </c>
      <c r="P41" s="15" t="s">
        <v>34</v>
      </c>
      <c r="Q41" s="6">
        <v>67.819900000000004</v>
      </c>
      <c r="R41" s="6">
        <v>60.374299999999998</v>
      </c>
      <c r="S41">
        <v>12.545299999999999</v>
      </c>
    </row>
    <row r="42" spans="1:19" x14ac:dyDescent="0.25">
      <c r="A42" s="15" t="s">
        <v>130</v>
      </c>
      <c r="B42">
        <v>25</v>
      </c>
      <c r="C42">
        <v>12.768633333333332</v>
      </c>
      <c r="G42" s="15" t="s">
        <v>125</v>
      </c>
      <c r="H42">
        <v>43</v>
      </c>
      <c r="I42">
        <v>13.2403</v>
      </c>
      <c r="K42" t="b">
        <f t="shared" si="0"/>
        <v>1</v>
      </c>
      <c r="L42" s="5">
        <v>43</v>
      </c>
      <c r="M42" s="6">
        <v>57.030200000000001</v>
      </c>
      <c r="N42" s="6">
        <v>57.697400000000002</v>
      </c>
      <c r="P42" s="15" t="s">
        <v>125</v>
      </c>
      <c r="Q42" s="6">
        <v>57.030200000000001</v>
      </c>
      <c r="R42" s="6">
        <v>57.697400000000002</v>
      </c>
      <c r="S42">
        <v>13.2403</v>
      </c>
    </row>
    <row r="43" spans="1:19" x14ac:dyDescent="0.25">
      <c r="A43" s="15" t="s">
        <v>42</v>
      </c>
      <c r="B43">
        <v>34</v>
      </c>
      <c r="C43">
        <v>12.573633333333333</v>
      </c>
      <c r="G43" s="15" t="s">
        <v>123</v>
      </c>
      <c r="H43">
        <v>44</v>
      </c>
      <c r="I43">
        <v>13.036966666666666</v>
      </c>
      <c r="K43" t="b">
        <f t="shared" si="0"/>
        <v>1</v>
      </c>
      <c r="L43" s="5">
        <v>44</v>
      </c>
      <c r="M43" s="6">
        <v>59.257199999999997</v>
      </c>
      <c r="N43" s="6">
        <v>57.900300000000001</v>
      </c>
      <c r="P43" s="15" t="s">
        <v>123</v>
      </c>
      <c r="Q43" s="6">
        <v>59.257199999999997</v>
      </c>
      <c r="R43" s="6">
        <v>57.900300000000001</v>
      </c>
      <c r="S43">
        <v>13.036966666666666</v>
      </c>
    </row>
    <row r="44" spans="1:19" x14ac:dyDescent="0.25">
      <c r="A44" s="15" t="s">
        <v>129</v>
      </c>
      <c r="B44">
        <v>35</v>
      </c>
      <c r="C44">
        <v>12.668633333333334</v>
      </c>
      <c r="G44" s="15" t="s">
        <v>39</v>
      </c>
      <c r="H44">
        <v>45</v>
      </c>
      <c r="I44">
        <v>12.403633333333334</v>
      </c>
      <c r="K44" t="b">
        <f t="shared" si="0"/>
        <v>1</v>
      </c>
      <c r="L44" s="5">
        <v>45</v>
      </c>
      <c r="M44" s="6">
        <v>68.207499999999996</v>
      </c>
      <c r="N44" s="6">
        <v>59.244599999999998</v>
      </c>
      <c r="P44" s="15" t="s">
        <v>39</v>
      </c>
      <c r="Q44" s="6">
        <v>68.207499999999996</v>
      </c>
      <c r="R44" s="6">
        <v>59.244599999999998</v>
      </c>
      <c r="S44">
        <v>12.403633333333334</v>
      </c>
    </row>
    <row r="45" spans="1:19" x14ac:dyDescent="0.25">
      <c r="A45" s="15" t="s">
        <v>44</v>
      </c>
      <c r="B45">
        <v>26</v>
      </c>
      <c r="C45">
        <v>12.790359999999998</v>
      </c>
      <c r="G45" s="15" t="s">
        <v>127</v>
      </c>
      <c r="H45">
        <v>46</v>
      </c>
      <c r="I45">
        <v>12.515300000000002</v>
      </c>
      <c r="K45" t="b">
        <f t="shared" si="0"/>
        <v>1</v>
      </c>
      <c r="L45" s="5">
        <v>46</v>
      </c>
      <c r="M45" s="6">
        <v>65.740099999999998</v>
      </c>
      <c r="N45" s="6">
        <v>59.033900000000003</v>
      </c>
      <c r="P45" s="15" t="s">
        <v>127</v>
      </c>
      <c r="Q45" s="6">
        <v>65.740099999999998</v>
      </c>
      <c r="R45" s="6">
        <v>59.033900000000003</v>
      </c>
      <c r="S45">
        <v>12.515300000000002</v>
      </c>
    </row>
    <row r="46" spans="1:19" x14ac:dyDescent="0.25">
      <c r="A46" s="15" t="s">
        <v>45</v>
      </c>
      <c r="B46">
        <v>36</v>
      </c>
      <c r="C46">
        <v>13.020300000000001</v>
      </c>
      <c r="G46" s="15"/>
    </row>
    <row r="47" spans="1:19" x14ac:dyDescent="0.25">
      <c r="A47" s="15" t="s">
        <v>106</v>
      </c>
      <c r="B47">
        <v>23.6</v>
      </c>
      <c r="C47">
        <v>12.666926984126981</v>
      </c>
    </row>
  </sheetData>
  <sortState xmlns:xlrd2="http://schemas.microsoft.com/office/spreadsheetml/2017/richdata2" ref="G4:I46">
    <sortCondition ref="H4:H46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C4CB-B28C-46FE-A879-9C322B6AED0C}">
  <dimension ref="A1:BJ948"/>
  <sheetViews>
    <sheetView topLeftCell="A2" zoomScale="85" zoomScaleNormal="85" workbookViewId="0">
      <selection activeCell="J34" sqref="J34"/>
    </sheetView>
  </sheetViews>
  <sheetFormatPr defaultRowHeight="15.75" x14ac:dyDescent="0.25"/>
  <cols>
    <col min="20" max="20" width="9.5" bestFit="1" customWidth="1"/>
    <col min="56" max="56" width="11.875" bestFit="1" customWidth="1"/>
  </cols>
  <sheetData>
    <row r="1" spans="1:62" ht="15.6" customHeight="1" thickBot="1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</v>
      </c>
      <c r="G1" s="1" t="s">
        <v>6</v>
      </c>
      <c r="H1" s="1" t="s">
        <v>131</v>
      </c>
      <c r="J1" t="s">
        <v>99</v>
      </c>
      <c r="Q1" s="63" t="s">
        <v>102</v>
      </c>
      <c r="R1" s="65"/>
      <c r="S1" s="65"/>
      <c r="T1" s="65"/>
      <c r="U1" s="65"/>
      <c r="V1" s="65"/>
      <c r="W1" s="65"/>
      <c r="X1" s="65"/>
      <c r="Y1" s="65"/>
      <c r="Z1" s="65"/>
      <c r="AB1">
        <v>0.3</v>
      </c>
      <c r="AC1" t="s">
        <v>104</v>
      </c>
      <c r="AH1" t="s">
        <v>146</v>
      </c>
      <c r="AO1" t="s">
        <v>5</v>
      </c>
      <c r="AP1">
        <v>0.05</v>
      </c>
      <c r="AU1" t="s">
        <v>5</v>
      </c>
      <c r="AV1">
        <v>0.3</v>
      </c>
      <c r="BA1" t="s">
        <v>5</v>
      </c>
    </row>
    <row r="2" spans="1:62" ht="32.25" thickBot="1" x14ac:dyDescent="0.3">
      <c r="A2" s="31" t="s">
        <v>116</v>
      </c>
      <c r="B2" s="32">
        <v>1</v>
      </c>
      <c r="C2" s="32">
        <v>1</v>
      </c>
      <c r="D2" s="32">
        <v>1</v>
      </c>
      <c r="E2" s="32">
        <v>34</v>
      </c>
      <c r="F2" s="12">
        <v>57.4</v>
      </c>
      <c r="G2">
        <v>55.987333365617431</v>
      </c>
      <c r="H2" s="11">
        <v>14.9</v>
      </c>
      <c r="J2" t="s">
        <v>98</v>
      </c>
      <c r="Q2" s="64" t="s">
        <v>46</v>
      </c>
      <c r="R2" s="66" t="s">
        <v>47</v>
      </c>
      <c r="S2" s="66" t="s">
        <v>48</v>
      </c>
      <c r="T2" s="5" t="s">
        <v>49</v>
      </c>
      <c r="U2" s="66" t="s">
        <v>50</v>
      </c>
      <c r="V2" s="66" t="s">
        <v>51</v>
      </c>
      <c r="W2" s="66" t="s">
        <v>52</v>
      </c>
      <c r="X2" s="66" t="s">
        <v>53</v>
      </c>
      <c r="Y2" s="66" t="s">
        <v>54</v>
      </c>
      <c r="Z2" s="66" t="s">
        <v>55</v>
      </c>
      <c r="AB2" s="16" t="s">
        <v>56</v>
      </c>
      <c r="AC2" s="7" t="s">
        <v>57</v>
      </c>
      <c r="AD2" s="7" t="s">
        <v>48</v>
      </c>
      <c r="AE2" s="7" t="s">
        <v>58</v>
      </c>
      <c r="AF2" s="7" t="s">
        <v>50</v>
      </c>
      <c r="AH2" s="16" t="s">
        <v>56</v>
      </c>
      <c r="AI2" s="7" t="s">
        <v>57</v>
      </c>
      <c r="AJ2" s="7" t="s">
        <v>48</v>
      </c>
      <c r="AK2" s="7" t="s">
        <v>58</v>
      </c>
      <c r="AL2" s="7" t="s">
        <v>50</v>
      </c>
      <c r="AO2" s="16" t="s">
        <v>56</v>
      </c>
      <c r="AP2" s="7" t="s">
        <v>57</v>
      </c>
      <c r="AQ2" s="7" t="s">
        <v>48</v>
      </c>
      <c r="AR2" s="7" t="s">
        <v>58</v>
      </c>
      <c r="AS2" s="7" t="s">
        <v>50</v>
      </c>
      <c r="AU2" s="16" t="s">
        <v>56</v>
      </c>
      <c r="AV2" s="7" t="s">
        <v>57</v>
      </c>
      <c r="AW2" s="7" t="s">
        <v>48</v>
      </c>
      <c r="AX2" s="7" t="s">
        <v>58</v>
      </c>
      <c r="AY2" s="7" t="s">
        <v>50</v>
      </c>
      <c r="BA2" s="63" t="s">
        <v>46</v>
      </c>
      <c r="BB2" s="65" t="s">
        <v>47</v>
      </c>
      <c r="BC2" s="65" t="s">
        <v>48</v>
      </c>
      <c r="BD2" s="7" t="s">
        <v>49</v>
      </c>
      <c r="BE2" s="65" t="s">
        <v>50</v>
      </c>
      <c r="BF2" s="65" t="s">
        <v>51</v>
      </c>
      <c r="BG2" s="65" t="s">
        <v>52</v>
      </c>
      <c r="BH2" s="65" t="s">
        <v>53</v>
      </c>
      <c r="BI2" s="65" t="s">
        <v>54</v>
      </c>
      <c r="BJ2" s="65" t="s">
        <v>55</v>
      </c>
    </row>
    <row r="3" spans="1:62" ht="16.5" thickBot="1" x14ac:dyDescent="0.3">
      <c r="A3" s="31" t="s">
        <v>116</v>
      </c>
      <c r="B3" s="32">
        <v>1</v>
      </c>
      <c r="C3" s="32">
        <v>2</v>
      </c>
      <c r="D3" s="32">
        <v>1</v>
      </c>
      <c r="E3" s="32">
        <v>9</v>
      </c>
      <c r="F3" s="12">
        <v>53.2</v>
      </c>
      <c r="G3">
        <v>44.851985956416463</v>
      </c>
      <c r="H3" s="11">
        <v>16.600000000000001</v>
      </c>
      <c r="J3" t="s">
        <v>9</v>
      </c>
      <c r="Q3" s="64"/>
      <c r="R3" s="66"/>
      <c r="S3" s="66"/>
      <c r="T3" s="5" t="s">
        <v>59</v>
      </c>
      <c r="U3" s="66"/>
      <c r="V3" s="66"/>
      <c r="W3" s="66"/>
      <c r="X3" s="66"/>
      <c r="Y3" s="66"/>
      <c r="Z3" s="66"/>
      <c r="AB3" s="17">
        <v>1</v>
      </c>
      <c r="AC3" s="6">
        <v>5.1180500000000002</v>
      </c>
      <c r="AD3" s="19">
        <v>-16.830100000000002</v>
      </c>
      <c r="AE3" s="6">
        <v>4.9173</v>
      </c>
      <c r="AF3" s="6">
        <v>123</v>
      </c>
      <c r="AH3" s="17">
        <v>1</v>
      </c>
      <c r="AI3" s="6">
        <v>9.7334999999999994</v>
      </c>
      <c r="AJ3" s="19">
        <v>-16.830100000000002</v>
      </c>
      <c r="AK3" s="6">
        <v>4.9173</v>
      </c>
      <c r="AL3" s="6">
        <v>123</v>
      </c>
      <c r="AO3" s="17">
        <v>1</v>
      </c>
      <c r="AP3" s="6">
        <v>1.82334</v>
      </c>
      <c r="AQ3" s="19">
        <v>-0.24299999999999999</v>
      </c>
      <c r="AR3" s="6">
        <v>0.92110000000000003</v>
      </c>
      <c r="AS3" s="6">
        <v>123</v>
      </c>
      <c r="AU3" s="16">
        <v>1</v>
      </c>
      <c r="AV3" s="56">
        <v>0.95874000000000004</v>
      </c>
      <c r="AW3" s="57">
        <v>-0.24299999999999999</v>
      </c>
      <c r="AX3" s="56">
        <v>0.92110000000000003</v>
      </c>
      <c r="AY3" s="56">
        <v>123</v>
      </c>
      <c r="BA3" s="68"/>
      <c r="BB3" s="67"/>
      <c r="BC3" s="67"/>
      <c r="BD3" s="5" t="s">
        <v>59</v>
      </c>
      <c r="BE3" s="67"/>
      <c r="BF3" s="67"/>
      <c r="BG3" s="67"/>
      <c r="BH3" s="67"/>
      <c r="BI3" s="67"/>
      <c r="BJ3" s="67"/>
    </row>
    <row r="4" spans="1:62" x14ac:dyDescent="0.25">
      <c r="A4" s="31" t="s">
        <v>116</v>
      </c>
      <c r="B4" s="32">
        <v>1</v>
      </c>
      <c r="C4" s="32">
        <v>3</v>
      </c>
      <c r="D4" s="32">
        <v>1</v>
      </c>
      <c r="E4" s="32">
        <v>11</v>
      </c>
      <c r="F4" s="12">
        <v>57.9</v>
      </c>
      <c r="G4">
        <v>66.940348184019371</v>
      </c>
      <c r="H4" s="11">
        <v>14.5</v>
      </c>
      <c r="Q4" s="16" t="s">
        <v>47</v>
      </c>
      <c r="R4" s="7">
        <v>1</v>
      </c>
      <c r="S4" s="56">
        <v>71.912800000000004</v>
      </c>
      <c r="T4" s="56">
        <v>3.3370000000000002</v>
      </c>
      <c r="U4" s="56">
        <v>123</v>
      </c>
      <c r="V4" s="56">
        <v>21.55</v>
      </c>
      <c r="W4" s="56" t="s">
        <v>65</v>
      </c>
      <c r="X4" s="56">
        <v>0.3</v>
      </c>
      <c r="Y4" s="56">
        <v>68.439499999999995</v>
      </c>
      <c r="Z4" s="56">
        <v>75.385999999999996</v>
      </c>
      <c r="AB4" s="17">
        <v>2</v>
      </c>
      <c r="AC4" s="6">
        <v>5.1263500000000004</v>
      </c>
      <c r="AD4" s="19">
        <v>-15.902699999999999</v>
      </c>
      <c r="AE4" s="6">
        <v>4.9253</v>
      </c>
      <c r="AF4" s="6">
        <v>123</v>
      </c>
      <c r="AH4" s="17">
        <v>2</v>
      </c>
      <c r="AI4" s="6">
        <v>9.7492999999999999</v>
      </c>
      <c r="AJ4" s="19">
        <v>-15.902699999999999</v>
      </c>
      <c r="AK4" s="6">
        <v>4.9253</v>
      </c>
      <c r="AL4" s="6">
        <v>123</v>
      </c>
      <c r="AO4" s="17">
        <v>2</v>
      </c>
      <c r="AP4" s="6">
        <v>1.8256300000000001</v>
      </c>
      <c r="AQ4" s="19">
        <v>-0.38069999999999998</v>
      </c>
      <c r="AR4" s="6">
        <v>0.92230000000000001</v>
      </c>
      <c r="AS4" s="6">
        <v>123</v>
      </c>
      <c r="AU4" s="17">
        <v>2</v>
      </c>
      <c r="AV4" s="6">
        <v>0.95994999999999997</v>
      </c>
      <c r="AW4" s="19">
        <v>-0.38069999999999998</v>
      </c>
      <c r="AX4" s="6">
        <v>0.92230000000000001</v>
      </c>
      <c r="AY4" s="6">
        <v>123</v>
      </c>
      <c r="BA4" s="16" t="s">
        <v>47</v>
      </c>
      <c r="BB4" s="7">
        <v>1</v>
      </c>
      <c r="BC4" s="56">
        <v>58.802599999999998</v>
      </c>
      <c r="BD4" s="56">
        <v>0.9446</v>
      </c>
      <c r="BE4" s="56">
        <v>123</v>
      </c>
      <c r="BF4" s="56">
        <v>62.25</v>
      </c>
      <c r="BG4" s="56" t="s">
        <v>65</v>
      </c>
      <c r="BH4" s="56">
        <v>0.3</v>
      </c>
      <c r="BI4" s="56">
        <v>57.819400000000002</v>
      </c>
      <c r="BJ4" s="56">
        <v>59.785699999999999</v>
      </c>
    </row>
    <row r="5" spans="1:62" x14ac:dyDescent="0.25">
      <c r="A5" s="31" t="s">
        <v>116</v>
      </c>
      <c r="B5" s="32">
        <v>1</v>
      </c>
      <c r="C5" s="32">
        <v>4</v>
      </c>
      <c r="D5" s="32">
        <v>1</v>
      </c>
      <c r="E5" s="32">
        <v>33</v>
      </c>
      <c r="F5" s="12">
        <v>57.3</v>
      </c>
      <c r="G5">
        <v>62.267811864406781</v>
      </c>
      <c r="H5" s="11">
        <v>14.5</v>
      </c>
      <c r="J5" t="s">
        <v>60</v>
      </c>
      <c r="Q5" s="17" t="s">
        <v>47</v>
      </c>
      <c r="R5" s="5">
        <v>2</v>
      </c>
      <c r="S5" s="6">
        <v>70.985399999999998</v>
      </c>
      <c r="T5" s="6">
        <v>3.3418999999999999</v>
      </c>
      <c r="U5" s="6">
        <v>123</v>
      </c>
      <c r="V5" s="6">
        <v>21.24</v>
      </c>
      <c r="W5" s="6" t="s">
        <v>65</v>
      </c>
      <c r="X5" s="6">
        <v>0.3</v>
      </c>
      <c r="Y5" s="6">
        <v>67.507099999999994</v>
      </c>
      <c r="Z5" s="6">
        <v>74.463700000000003</v>
      </c>
      <c r="AB5" s="17">
        <v>3</v>
      </c>
      <c r="AC5" s="6">
        <v>5.1204999999999998</v>
      </c>
      <c r="AD5" s="19">
        <v>-9.7478999999999996</v>
      </c>
      <c r="AE5" s="6">
        <v>4.9196999999999997</v>
      </c>
      <c r="AF5" s="6">
        <v>123</v>
      </c>
      <c r="AH5" s="17">
        <v>3</v>
      </c>
      <c r="AI5" s="6">
        <v>9.7382000000000009</v>
      </c>
      <c r="AJ5" s="19">
        <v>-9.7478999999999996</v>
      </c>
      <c r="AK5" s="6">
        <v>4.9196999999999997</v>
      </c>
      <c r="AL5" s="6">
        <v>123</v>
      </c>
      <c r="AO5" s="17">
        <v>3</v>
      </c>
      <c r="AP5" s="6">
        <v>1.82283</v>
      </c>
      <c r="AQ5" s="19">
        <v>-1.0992</v>
      </c>
      <c r="AR5" s="6">
        <v>0.92090000000000005</v>
      </c>
      <c r="AS5" s="6">
        <v>123</v>
      </c>
      <c r="AU5" s="17">
        <v>3</v>
      </c>
      <c r="AV5" s="6">
        <v>0.95848</v>
      </c>
      <c r="AW5" s="19">
        <v>-1.0992</v>
      </c>
      <c r="AX5" s="6">
        <v>0.92090000000000005</v>
      </c>
      <c r="AY5" s="6">
        <v>123</v>
      </c>
      <c r="BA5" s="17" t="s">
        <v>47</v>
      </c>
      <c r="BB5" s="5">
        <v>2</v>
      </c>
      <c r="BC5" s="6">
        <v>58.940300000000001</v>
      </c>
      <c r="BD5" s="6">
        <v>0.94499999999999995</v>
      </c>
      <c r="BE5" s="6">
        <v>123</v>
      </c>
      <c r="BF5" s="6">
        <v>62.37</v>
      </c>
      <c r="BG5" s="6" t="s">
        <v>65</v>
      </c>
      <c r="BH5" s="6">
        <v>0.3</v>
      </c>
      <c r="BI5" s="6">
        <v>57.956699999999998</v>
      </c>
      <c r="BJ5" s="6">
        <v>59.9238</v>
      </c>
    </row>
    <row r="6" spans="1:62" x14ac:dyDescent="0.25">
      <c r="A6" s="31" t="s">
        <v>116</v>
      </c>
      <c r="B6" s="32">
        <v>1</v>
      </c>
      <c r="C6" s="32">
        <v>5</v>
      </c>
      <c r="D6" s="32">
        <v>1</v>
      </c>
      <c r="E6" s="32">
        <v>4</v>
      </c>
      <c r="F6" s="12">
        <v>54.1</v>
      </c>
      <c r="G6">
        <v>49.276667506053265</v>
      </c>
      <c r="H6" s="11">
        <v>15.3</v>
      </c>
      <c r="J6" t="s">
        <v>61</v>
      </c>
      <c r="Q6" s="17" t="s">
        <v>47</v>
      </c>
      <c r="R6" s="5">
        <v>3</v>
      </c>
      <c r="S6" s="6">
        <v>64.830500000000001</v>
      </c>
      <c r="T6" s="6">
        <v>3.3412999999999999</v>
      </c>
      <c r="U6" s="6">
        <v>123</v>
      </c>
      <c r="V6" s="6">
        <v>19.399999999999999</v>
      </c>
      <c r="W6" s="6" t="s">
        <v>65</v>
      </c>
      <c r="X6" s="6">
        <v>0.3</v>
      </c>
      <c r="Y6" s="6">
        <v>61.352899999999998</v>
      </c>
      <c r="Z6" s="6">
        <v>68.308199999999999</v>
      </c>
      <c r="AB6" s="17">
        <v>4</v>
      </c>
      <c r="AC6" s="6">
        <v>5.1249799999999999</v>
      </c>
      <c r="AD6" s="19">
        <v>-11.341900000000001</v>
      </c>
      <c r="AE6" s="6">
        <v>4.9240000000000004</v>
      </c>
      <c r="AF6" s="6">
        <v>123</v>
      </c>
      <c r="AH6" s="17">
        <v>4</v>
      </c>
      <c r="AI6" s="6">
        <v>9.7467000000000006</v>
      </c>
      <c r="AJ6" s="19">
        <v>-11.341900000000001</v>
      </c>
      <c r="AK6" s="6">
        <v>4.9240000000000004</v>
      </c>
      <c r="AL6" s="6">
        <v>123</v>
      </c>
      <c r="AO6" s="17">
        <v>4</v>
      </c>
      <c r="AP6" s="6">
        <v>1.8264100000000001</v>
      </c>
      <c r="AQ6" s="6">
        <v>2.1471</v>
      </c>
      <c r="AR6" s="6">
        <v>0.92269999999999996</v>
      </c>
      <c r="AS6" s="6">
        <v>123</v>
      </c>
      <c r="AU6" s="17">
        <v>4</v>
      </c>
      <c r="AV6" s="6">
        <v>0.96035999999999999</v>
      </c>
      <c r="AW6" s="6">
        <v>2.1471</v>
      </c>
      <c r="AX6" s="6">
        <v>0.92269999999999996</v>
      </c>
      <c r="AY6" s="6">
        <v>123</v>
      </c>
      <c r="BA6" s="17" t="s">
        <v>47</v>
      </c>
      <c r="BB6" s="5">
        <v>3</v>
      </c>
      <c r="BC6" s="6">
        <v>59.658799999999999</v>
      </c>
      <c r="BD6" s="6">
        <v>0.94489999999999996</v>
      </c>
      <c r="BE6" s="6">
        <v>123</v>
      </c>
      <c r="BF6" s="6">
        <v>63.14</v>
      </c>
      <c r="BG6" s="6" t="s">
        <v>65</v>
      </c>
      <c r="BH6" s="6">
        <v>0.3</v>
      </c>
      <c r="BI6" s="6">
        <v>58.6753</v>
      </c>
      <c r="BJ6" s="6">
        <v>60.642299999999999</v>
      </c>
    </row>
    <row r="7" spans="1:62" x14ac:dyDescent="0.25">
      <c r="A7" s="31" t="s">
        <v>116</v>
      </c>
      <c r="B7" s="32">
        <v>1</v>
      </c>
      <c r="C7" s="32">
        <v>6</v>
      </c>
      <c r="D7" s="32">
        <v>1</v>
      </c>
      <c r="E7" s="32">
        <v>14</v>
      </c>
      <c r="F7" s="12">
        <v>57.6</v>
      </c>
      <c r="G7">
        <v>76.380489588377714</v>
      </c>
      <c r="H7" s="11">
        <v>14.4</v>
      </c>
      <c r="J7" t="s">
        <v>62</v>
      </c>
      <c r="Q7" s="17" t="s">
        <v>47</v>
      </c>
      <c r="R7" s="5">
        <v>4</v>
      </c>
      <c r="S7" s="6">
        <v>66.424599999999998</v>
      </c>
      <c r="T7" s="6">
        <v>3.3391999999999999</v>
      </c>
      <c r="U7" s="6">
        <v>123</v>
      </c>
      <c r="V7" s="6">
        <v>19.89</v>
      </c>
      <c r="W7" s="6" t="s">
        <v>65</v>
      </c>
      <c r="X7" s="6">
        <v>0.3</v>
      </c>
      <c r="Y7" s="6">
        <v>62.949100000000001</v>
      </c>
      <c r="Z7" s="6">
        <v>69.900099999999995</v>
      </c>
      <c r="AB7" s="17">
        <v>5</v>
      </c>
      <c r="AC7" s="6">
        <v>5.12066</v>
      </c>
      <c r="AD7" s="19">
        <v>-12.0145</v>
      </c>
      <c r="AE7" s="6">
        <v>4.9198000000000004</v>
      </c>
      <c r="AF7" s="6">
        <v>123</v>
      </c>
      <c r="AH7" s="17">
        <v>5</v>
      </c>
      <c r="AI7" s="6">
        <v>9.7385000000000002</v>
      </c>
      <c r="AJ7" s="19">
        <v>-12.0145</v>
      </c>
      <c r="AK7" s="6">
        <v>4.9198000000000004</v>
      </c>
      <c r="AL7" s="6">
        <v>123</v>
      </c>
      <c r="AO7" s="17">
        <v>5</v>
      </c>
      <c r="AP7" s="6">
        <v>1.8226100000000001</v>
      </c>
      <c r="AQ7" s="6">
        <v>0.1976</v>
      </c>
      <c r="AR7" s="6">
        <v>0.92079999999999995</v>
      </c>
      <c r="AS7" s="6">
        <v>123</v>
      </c>
      <c r="AU7" s="17">
        <v>5</v>
      </c>
      <c r="AV7" s="6">
        <v>0.95835999999999999</v>
      </c>
      <c r="AW7" s="6">
        <v>0.1976</v>
      </c>
      <c r="AX7" s="6">
        <v>0.92079999999999995</v>
      </c>
      <c r="AY7" s="6">
        <v>123</v>
      </c>
      <c r="BA7" s="17" t="s">
        <v>47</v>
      </c>
      <c r="BB7" s="5">
        <v>4</v>
      </c>
      <c r="BC7" s="6">
        <v>56.412500000000001</v>
      </c>
      <c r="BD7" s="6">
        <v>0.94510000000000005</v>
      </c>
      <c r="BE7" s="6">
        <v>123</v>
      </c>
      <c r="BF7" s="6">
        <v>59.69</v>
      </c>
      <c r="BG7" s="6" t="s">
        <v>65</v>
      </c>
      <c r="BH7" s="6">
        <v>0.3</v>
      </c>
      <c r="BI7" s="6">
        <v>55.428800000000003</v>
      </c>
      <c r="BJ7" s="6">
        <v>57.396099999999997</v>
      </c>
    </row>
    <row r="8" spans="1:62" x14ac:dyDescent="0.25">
      <c r="A8" s="31" t="s">
        <v>116</v>
      </c>
      <c r="B8" s="32">
        <v>1</v>
      </c>
      <c r="C8" s="32">
        <v>7</v>
      </c>
      <c r="D8" s="32">
        <v>1</v>
      </c>
      <c r="E8" s="32">
        <v>31</v>
      </c>
      <c r="F8" s="12">
        <v>57.2</v>
      </c>
      <c r="G8">
        <v>60.873412445520586</v>
      </c>
      <c r="H8" s="11">
        <v>14.2</v>
      </c>
      <c r="J8" t="s">
        <v>63</v>
      </c>
      <c r="Q8" s="17" t="s">
        <v>47</v>
      </c>
      <c r="R8" s="5">
        <v>5</v>
      </c>
      <c r="S8" s="6">
        <v>67.097099999999998</v>
      </c>
      <c r="T8" s="6">
        <v>3.3378000000000001</v>
      </c>
      <c r="U8" s="6">
        <v>123</v>
      </c>
      <c r="V8" s="6">
        <v>20.100000000000001</v>
      </c>
      <c r="W8" s="6" t="s">
        <v>65</v>
      </c>
      <c r="X8" s="6">
        <v>0.3</v>
      </c>
      <c r="Y8" s="6">
        <v>63.623100000000001</v>
      </c>
      <c r="Z8" s="6">
        <v>70.571200000000005</v>
      </c>
      <c r="AB8" s="17">
        <v>6</v>
      </c>
      <c r="AC8" s="6">
        <v>5.12378</v>
      </c>
      <c r="AD8" s="19">
        <v>-1.121</v>
      </c>
      <c r="AE8" s="6">
        <v>4.9227999999999996</v>
      </c>
      <c r="AF8" s="6">
        <v>123</v>
      </c>
      <c r="AH8" s="17">
        <v>6</v>
      </c>
      <c r="AI8" s="6">
        <v>9.7444000000000006</v>
      </c>
      <c r="AJ8" s="19">
        <v>-1.121</v>
      </c>
      <c r="AK8" s="6">
        <v>4.9227999999999996</v>
      </c>
      <c r="AL8" s="6">
        <v>123</v>
      </c>
      <c r="AO8" s="17">
        <v>6</v>
      </c>
      <c r="AP8" s="6">
        <v>1.8236399999999999</v>
      </c>
      <c r="AQ8" s="6">
        <v>3.049E-2</v>
      </c>
      <c r="AR8" s="6">
        <v>0.92130000000000001</v>
      </c>
      <c r="AS8" s="6">
        <v>123</v>
      </c>
      <c r="AU8" s="17">
        <v>6</v>
      </c>
      <c r="AV8" s="6">
        <v>0.95889999999999997</v>
      </c>
      <c r="AW8" s="6">
        <v>3.049E-2</v>
      </c>
      <c r="AX8" s="6">
        <v>0.92130000000000001</v>
      </c>
      <c r="AY8" s="6">
        <v>123</v>
      </c>
      <c r="BA8" s="17" t="s">
        <v>47</v>
      </c>
      <c r="BB8" s="5">
        <v>5</v>
      </c>
      <c r="BC8" s="6">
        <v>58.362000000000002</v>
      </c>
      <c r="BD8" s="6">
        <v>0.94469999999999998</v>
      </c>
      <c r="BE8" s="6">
        <v>123</v>
      </c>
      <c r="BF8" s="6">
        <v>61.78</v>
      </c>
      <c r="BG8" s="6" t="s">
        <v>65</v>
      </c>
      <c r="BH8" s="6">
        <v>0.3</v>
      </c>
      <c r="BI8" s="6">
        <v>57.378799999999998</v>
      </c>
      <c r="BJ8" s="6">
        <v>59.345199999999998</v>
      </c>
    </row>
    <row r="9" spans="1:62" x14ac:dyDescent="0.25">
      <c r="A9" s="31" t="s">
        <v>116</v>
      </c>
      <c r="B9" s="32">
        <v>1</v>
      </c>
      <c r="C9" s="32">
        <v>8</v>
      </c>
      <c r="D9" s="32">
        <v>1</v>
      </c>
      <c r="E9" s="32">
        <v>15</v>
      </c>
      <c r="F9" s="12">
        <v>56.3</v>
      </c>
      <c r="G9">
        <v>53.440669830508476</v>
      </c>
      <c r="H9" s="11">
        <v>13.9</v>
      </c>
      <c r="J9" t="s">
        <v>101</v>
      </c>
      <c r="Q9" s="17" t="s">
        <v>47</v>
      </c>
      <c r="R9" s="5">
        <v>6</v>
      </c>
      <c r="S9" s="6">
        <v>56.203600000000002</v>
      </c>
      <c r="T9" s="6">
        <v>3.3422999999999998</v>
      </c>
      <c r="U9" s="6">
        <v>123</v>
      </c>
      <c r="V9" s="6">
        <v>16.82</v>
      </c>
      <c r="W9" s="6" t="s">
        <v>65</v>
      </c>
      <c r="X9" s="6">
        <v>0.3</v>
      </c>
      <c r="Y9" s="6">
        <v>52.724899999999998</v>
      </c>
      <c r="Z9" s="6">
        <v>59.682299999999998</v>
      </c>
      <c r="AB9" s="17">
        <v>7</v>
      </c>
      <c r="AC9" s="6">
        <v>5.1068600000000002</v>
      </c>
      <c r="AD9" s="19">
        <v>-16.611799999999999</v>
      </c>
      <c r="AE9" s="6">
        <v>4.9066000000000001</v>
      </c>
      <c r="AF9" s="6">
        <v>123</v>
      </c>
      <c r="AH9" s="17">
        <v>7</v>
      </c>
      <c r="AI9" s="6">
        <v>9.7123000000000008</v>
      </c>
      <c r="AJ9" s="19">
        <v>-16.611799999999999</v>
      </c>
      <c r="AK9" s="6">
        <v>4.9066000000000001</v>
      </c>
      <c r="AL9" s="6">
        <v>123</v>
      </c>
      <c r="AO9" s="17">
        <v>7</v>
      </c>
      <c r="AP9" s="6">
        <v>1.8169299999999999</v>
      </c>
      <c r="AQ9" s="19">
        <v>-1.0524</v>
      </c>
      <c r="AR9" s="6">
        <v>0.91790000000000005</v>
      </c>
      <c r="AS9" s="6">
        <v>123</v>
      </c>
      <c r="AU9" s="17">
        <v>7</v>
      </c>
      <c r="AV9" s="6">
        <v>0.95537000000000005</v>
      </c>
      <c r="AW9" s="19">
        <v>-1.0524</v>
      </c>
      <c r="AX9" s="6">
        <v>0.91790000000000005</v>
      </c>
      <c r="AY9" s="6">
        <v>123</v>
      </c>
      <c r="BA9" s="17" t="s">
        <v>47</v>
      </c>
      <c r="BB9" s="5">
        <v>6</v>
      </c>
      <c r="BC9" s="6">
        <v>58.5291</v>
      </c>
      <c r="BD9" s="6">
        <v>0.94479999999999997</v>
      </c>
      <c r="BE9" s="6">
        <v>123</v>
      </c>
      <c r="BF9" s="6">
        <v>61.95</v>
      </c>
      <c r="BG9" s="6" t="s">
        <v>65</v>
      </c>
      <c r="BH9" s="6">
        <v>0.3</v>
      </c>
      <c r="BI9" s="6">
        <v>57.545699999999997</v>
      </c>
      <c r="BJ9" s="6">
        <v>59.512500000000003</v>
      </c>
    </row>
    <row r="10" spans="1:62" x14ac:dyDescent="0.25">
      <c r="A10" s="31" t="s">
        <v>116</v>
      </c>
      <c r="B10" s="32">
        <v>1</v>
      </c>
      <c r="C10" s="32">
        <v>9</v>
      </c>
      <c r="D10" s="32">
        <v>1</v>
      </c>
      <c r="E10" s="32">
        <v>18</v>
      </c>
      <c r="F10" s="12">
        <v>56.1</v>
      </c>
      <c r="G10">
        <v>57.232048619854723</v>
      </c>
      <c r="H10" s="11">
        <v>13.3</v>
      </c>
      <c r="J10" t="s">
        <v>81</v>
      </c>
      <c r="Q10" s="17" t="s">
        <v>47</v>
      </c>
      <c r="R10" s="5">
        <v>8</v>
      </c>
      <c r="S10" s="6">
        <v>71.694400000000002</v>
      </c>
      <c r="T10" s="6">
        <v>3.3376999999999999</v>
      </c>
      <c r="U10" s="6">
        <v>123</v>
      </c>
      <c r="V10" s="6">
        <v>21.48</v>
      </c>
      <c r="W10" s="6" t="s">
        <v>65</v>
      </c>
      <c r="X10" s="6">
        <v>0.3</v>
      </c>
      <c r="Y10" s="6">
        <v>68.220500000000001</v>
      </c>
      <c r="Z10" s="6">
        <v>75.168400000000005</v>
      </c>
      <c r="AB10" s="17">
        <v>8</v>
      </c>
      <c r="AC10" s="6">
        <v>5.1223999999999998</v>
      </c>
      <c r="AD10" s="19">
        <v>-7.6159999999999997</v>
      </c>
      <c r="AE10" s="6">
        <v>4.9215</v>
      </c>
      <c r="AF10" s="6">
        <v>123</v>
      </c>
      <c r="AH10" s="17">
        <v>8</v>
      </c>
      <c r="AI10" s="6">
        <v>9.7417999999999996</v>
      </c>
      <c r="AJ10" s="19">
        <v>-7.6159999999999997</v>
      </c>
      <c r="AK10" s="6">
        <v>4.9215</v>
      </c>
      <c r="AL10" s="6">
        <v>123</v>
      </c>
      <c r="AO10" s="17">
        <v>8</v>
      </c>
      <c r="AP10" s="6">
        <v>1.8315699999999999</v>
      </c>
      <c r="AQ10" s="6">
        <v>2.1438000000000001</v>
      </c>
      <c r="AR10" s="6">
        <v>0.92530000000000001</v>
      </c>
      <c r="AS10" s="6">
        <v>123</v>
      </c>
      <c r="AU10" s="17">
        <v>8</v>
      </c>
      <c r="AV10" s="6">
        <v>0.96306999999999998</v>
      </c>
      <c r="AW10" s="6">
        <v>2.1438000000000001</v>
      </c>
      <c r="AX10" s="6">
        <v>0.92530000000000001</v>
      </c>
      <c r="AY10" s="6">
        <v>123</v>
      </c>
      <c r="BA10" s="17" t="s">
        <v>47</v>
      </c>
      <c r="BB10" s="5">
        <v>8</v>
      </c>
      <c r="BC10" s="6">
        <v>59.612000000000002</v>
      </c>
      <c r="BD10" s="6">
        <v>0.94479999999999997</v>
      </c>
      <c r="BE10" s="6">
        <v>123</v>
      </c>
      <c r="BF10" s="6">
        <v>63.09</v>
      </c>
      <c r="BG10" s="6" t="s">
        <v>65</v>
      </c>
      <c r="BH10" s="6">
        <v>0.3</v>
      </c>
      <c r="BI10" s="6">
        <v>58.628599999999999</v>
      </c>
      <c r="BJ10" s="6">
        <v>60.595399999999998</v>
      </c>
    </row>
    <row r="11" spans="1:62" x14ac:dyDescent="0.25">
      <c r="A11" s="31" t="s">
        <v>116</v>
      </c>
      <c r="B11" s="32">
        <v>1</v>
      </c>
      <c r="C11" s="32">
        <v>10</v>
      </c>
      <c r="D11" s="32">
        <v>1</v>
      </c>
      <c r="E11" s="32">
        <v>8</v>
      </c>
      <c r="F11" s="12">
        <v>56.6</v>
      </c>
      <c r="G11">
        <v>61.575075544794188</v>
      </c>
      <c r="H11" s="11">
        <v>13.9</v>
      </c>
      <c r="J11" t="s">
        <v>82</v>
      </c>
      <c r="Q11" s="17" t="s">
        <v>47</v>
      </c>
      <c r="R11" s="5">
        <v>9</v>
      </c>
      <c r="S11" s="6">
        <v>62.698599999999999</v>
      </c>
      <c r="T11" s="6">
        <v>3.3397000000000001</v>
      </c>
      <c r="U11" s="6">
        <v>123</v>
      </c>
      <c r="V11" s="6">
        <v>18.77</v>
      </c>
      <c r="W11" s="6" t="s">
        <v>65</v>
      </c>
      <c r="X11" s="6">
        <v>0.3</v>
      </c>
      <c r="Y11" s="6">
        <v>59.222499999999997</v>
      </c>
      <c r="Z11" s="6">
        <v>66.174700000000001</v>
      </c>
      <c r="AB11" s="17">
        <v>9</v>
      </c>
      <c r="AC11" s="6">
        <v>5.1131399999999996</v>
      </c>
      <c r="AD11" s="19">
        <v>-1.6464000000000001</v>
      </c>
      <c r="AE11" s="6">
        <v>4.9126000000000003</v>
      </c>
      <c r="AF11" s="6">
        <v>123</v>
      </c>
      <c r="AH11" s="17">
        <v>9</v>
      </c>
      <c r="AI11" s="6">
        <v>9.7241999999999997</v>
      </c>
      <c r="AJ11" s="19">
        <v>-1.6464000000000001</v>
      </c>
      <c r="AK11" s="6">
        <v>4.9126000000000003</v>
      </c>
      <c r="AL11" s="6">
        <v>123</v>
      </c>
      <c r="AO11" s="17">
        <v>9</v>
      </c>
      <c r="AP11" s="6">
        <v>1.8202700000000001</v>
      </c>
      <c r="AQ11" s="6">
        <v>3.3365999999999998</v>
      </c>
      <c r="AR11" s="6">
        <v>0.91959999999999997</v>
      </c>
      <c r="AS11" s="6">
        <v>123</v>
      </c>
      <c r="AU11" s="17">
        <v>9</v>
      </c>
      <c r="AV11" s="6">
        <v>0.95713000000000004</v>
      </c>
      <c r="AW11" s="6">
        <v>3.3365999999999998</v>
      </c>
      <c r="AX11" s="6">
        <v>0.91959999999999997</v>
      </c>
      <c r="AY11" s="6">
        <v>123</v>
      </c>
      <c r="BA11" s="17" t="s">
        <v>47</v>
      </c>
      <c r="BB11" s="5">
        <v>9</v>
      </c>
      <c r="BC11" s="6">
        <v>56.415799999999997</v>
      </c>
      <c r="BD11" s="6">
        <v>0.94799999999999995</v>
      </c>
      <c r="BE11" s="6">
        <v>123</v>
      </c>
      <c r="BF11" s="6">
        <v>59.51</v>
      </c>
      <c r="BG11" s="6" t="s">
        <v>65</v>
      </c>
      <c r="BH11" s="6">
        <v>0.3</v>
      </c>
      <c r="BI11" s="6">
        <v>55.429000000000002</v>
      </c>
      <c r="BJ11" s="6">
        <v>57.402500000000003</v>
      </c>
    </row>
    <row r="12" spans="1:62" x14ac:dyDescent="0.25">
      <c r="A12" s="31" t="s">
        <v>116</v>
      </c>
      <c r="B12" s="32">
        <v>1</v>
      </c>
      <c r="C12" s="32">
        <v>11</v>
      </c>
      <c r="D12" s="32">
        <v>1</v>
      </c>
      <c r="E12" s="32">
        <v>6</v>
      </c>
      <c r="F12" s="12">
        <v>56.6</v>
      </c>
      <c r="G12">
        <v>50.398919999999997</v>
      </c>
      <c r="H12" s="11">
        <v>15.6</v>
      </c>
      <c r="J12" t="s">
        <v>85</v>
      </c>
      <c r="Q12" s="17" t="s">
        <v>47</v>
      </c>
      <c r="R12" s="5">
        <v>10</v>
      </c>
      <c r="S12" s="6">
        <v>56.728999999999999</v>
      </c>
      <c r="T12" s="6">
        <v>3.3361000000000001</v>
      </c>
      <c r="U12" s="6">
        <v>123</v>
      </c>
      <c r="V12" s="6">
        <v>17</v>
      </c>
      <c r="W12" s="6" t="s">
        <v>65</v>
      </c>
      <c r="X12" s="6">
        <v>0.3</v>
      </c>
      <c r="Y12" s="6">
        <v>53.256799999999998</v>
      </c>
      <c r="Z12" s="6">
        <v>60.201300000000003</v>
      </c>
      <c r="AB12" s="17">
        <v>10</v>
      </c>
      <c r="AC12" s="6">
        <v>5.1179800000000002</v>
      </c>
      <c r="AD12" s="19">
        <v>-15.6031</v>
      </c>
      <c r="AE12" s="6">
        <v>4.9173</v>
      </c>
      <c r="AF12" s="6">
        <v>123</v>
      </c>
      <c r="AH12" s="17">
        <v>10</v>
      </c>
      <c r="AI12" s="6">
        <v>9.7333999999999996</v>
      </c>
      <c r="AJ12" s="19">
        <v>-15.6031</v>
      </c>
      <c r="AK12" s="6">
        <v>4.9173</v>
      </c>
      <c r="AL12" s="6">
        <v>123</v>
      </c>
      <c r="AO12" s="17">
        <v>10</v>
      </c>
      <c r="AP12" s="6">
        <v>1.81281</v>
      </c>
      <c r="AQ12" s="19">
        <v>-1.6660999999999999</v>
      </c>
      <c r="AR12" s="6">
        <v>0.91579999999999995</v>
      </c>
      <c r="AS12" s="6">
        <v>123</v>
      </c>
      <c r="AU12" s="17">
        <v>10</v>
      </c>
      <c r="AV12" s="6">
        <v>0.95320000000000005</v>
      </c>
      <c r="AW12" s="19">
        <v>-1.6660999999999999</v>
      </c>
      <c r="AX12" s="6">
        <v>0.91579999999999995</v>
      </c>
      <c r="AY12" s="6">
        <v>123</v>
      </c>
      <c r="BA12" s="17" t="s">
        <v>47</v>
      </c>
      <c r="BB12" s="5">
        <v>10</v>
      </c>
      <c r="BC12" s="6">
        <v>55.222999999999999</v>
      </c>
      <c r="BD12" s="6">
        <v>0.94440000000000002</v>
      </c>
      <c r="BE12" s="6">
        <v>123</v>
      </c>
      <c r="BF12" s="6">
        <v>58.47</v>
      </c>
      <c r="BG12" s="6" t="s">
        <v>65</v>
      </c>
      <c r="BH12" s="6">
        <v>0.3</v>
      </c>
      <c r="BI12" s="6">
        <v>54.24</v>
      </c>
      <c r="BJ12" s="6">
        <v>56.206000000000003</v>
      </c>
    </row>
    <row r="13" spans="1:62" x14ac:dyDescent="0.25">
      <c r="A13" s="31" t="s">
        <v>116</v>
      </c>
      <c r="B13" s="32">
        <v>1</v>
      </c>
      <c r="C13" s="32">
        <v>11</v>
      </c>
      <c r="D13" s="32">
        <v>2</v>
      </c>
      <c r="E13" s="32">
        <v>26</v>
      </c>
      <c r="F13" s="12">
        <v>56.6</v>
      </c>
      <c r="G13">
        <v>66.763506857142843</v>
      </c>
      <c r="H13" s="11">
        <v>14.5</v>
      </c>
      <c r="Q13" s="17" t="s">
        <v>47</v>
      </c>
      <c r="R13" s="5">
        <v>11</v>
      </c>
      <c r="S13" s="6">
        <v>70.6858</v>
      </c>
      <c r="T13" s="6">
        <v>3.3439999999999999</v>
      </c>
      <c r="U13" s="6">
        <v>123</v>
      </c>
      <c r="V13" s="6">
        <v>21.14</v>
      </c>
      <c r="W13" s="6" t="s">
        <v>65</v>
      </c>
      <c r="X13" s="6">
        <v>0.3</v>
      </c>
      <c r="Y13" s="6">
        <v>67.205299999999994</v>
      </c>
      <c r="Z13" s="6">
        <v>74.166300000000007</v>
      </c>
      <c r="AB13" s="17">
        <v>11</v>
      </c>
      <c r="AC13" s="6">
        <v>5.08507</v>
      </c>
      <c r="AD13" s="19">
        <v>-7.0625999999999998</v>
      </c>
      <c r="AE13" s="6">
        <v>4.8856000000000002</v>
      </c>
      <c r="AF13" s="6">
        <v>123</v>
      </c>
      <c r="AH13" s="17">
        <v>11</v>
      </c>
      <c r="AI13" s="6">
        <v>9.6707999999999998</v>
      </c>
      <c r="AJ13" s="19">
        <v>-7.0625999999999998</v>
      </c>
      <c r="AK13" s="6">
        <v>4.8856000000000002</v>
      </c>
      <c r="AL13" s="6">
        <v>123</v>
      </c>
      <c r="AO13" s="17">
        <v>11</v>
      </c>
      <c r="AP13" s="6">
        <v>1.80775</v>
      </c>
      <c r="AQ13" s="19">
        <v>-0.187</v>
      </c>
      <c r="AR13" s="6">
        <v>0.9133</v>
      </c>
      <c r="AS13" s="6">
        <v>123</v>
      </c>
      <c r="AU13" s="17">
        <v>11</v>
      </c>
      <c r="AV13" s="6">
        <v>0.95054000000000005</v>
      </c>
      <c r="AW13" s="19">
        <v>-0.187</v>
      </c>
      <c r="AX13" s="6">
        <v>0.9133</v>
      </c>
      <c r="AY13" s="6">
        <v>123</v>
      </c>
      <c r="BA13" s="17" t="s">
        <v>47</v>
      </c>
      <c r="BB13" s="5">
        <v>11</v>
      </c>
      <c r="BC13" s="6">
        <v>60.225700000000003</v>
      </c>
      <c r="BD13" s="6">
        <v>0.94489999999999996</v>
      </c>
      <c r="BE13" s="6">
        <v>123</v>
      </c>
      <c r="BF13" s="6">
        <v>63.74</v>
      </c>
      <c r="BG13" s="6" t="s">
        <v>65</v>
      </c>
      <c r="BH13" s="6">
        <v>0.3</v>
      </c>
      <c r="BI13" s="6">
        <v>59.2423</v>
      </c>
      <c r="BJ13" s="6">
        <v>61.209099999999999</v>
      </c>
    </row>
    <row r="14" spans="1:62" x14ac:dyDescent="0.25">
      <c r="A14" s="31" t="s">
        <v>116</v>
      </c>
      <c r="B14" s="32">
        <v>1</v>
      </c>
      <c r="C14" s="32">
        <v>10</v>
      </c>
      <c r="D14" s="32">
        <v>2</v>
      </c>
      <c r="E14" s="32">
        <v>1</v>
      </c>
      <c r="F14" s="12">
        <v>56.1</v>
      </c>
      <c r="G14">
        <v>64.18601357142856</v>
      </c>
      <c r="H14" s="11">
        <v>13.7</v>
      </c>
      <c r="J14" t="s">
        <v>99</v>
      </c>
      <c r="Q14" s="17" t="s">
        <v>47</v>
      </c>
      <c r="R14" s="5">
        <v>12</v>
      </c>
      <c r="S14" s="6">
        <v>62.145299999999999</v>
      </c>
      <c r="T14" s="6">
        <v>3.3389000000000002</v>
      </c>
      <c r="U14" s="6">
        <v>123</v>
      </c>
      <c r="V14" s="6">
        <v>18.61</v>
      </c>
      <c r="W14" s="6" t="s">
        <v>65</v>
      </c>
      <c r="X14" s="6">
        <v>0.3</v>
      </c>
      <c r="Y14" s="6">
        <v>58.670099999999998</v>
      </c>
      <c r="Z14" s="6">
        <v>65.620400000000004</v>
      </c>
      <c r="AB14" s="17">
        <v>12</v>
      </c>
      <c r="AC14" s="6">
        <v>5.11374</v>
      </c>
      <c r="AD14" s="19">
        <v>-12.1608</v>
      </c>
      <c r="AE14" s="6">
        <v>4.9131999999999998</v>
      </c>
      <c r="AF14" s="6">
        <v>123</v>
      </c>
      <c r="AH14" s="17">
        <v>12</v>
      </c>
      <c r="AI14" s="6">
        <v>9.7253000000000007</v>
      </c>
      <c r="AJ14" s="19">
        <v>-12.1608</v>
      </c>
      <c r="AK14" s="6">
        <v>4.9131999999999998</v>
      </c>
      <c r="AL14" s="6">
        <v>123</v>
      </c>
      <c r="AO14" s="17">
        <v>12</v>
      </c>
      <c r="AP14" s="6">
        <v>1.8209200000000001</v>
      </c>
      <c r="AQ14" s="19">
        <v>-0.61729999999999996</v>
      </c>
      <c r="AR14" s="6">
        <v>0.91990000000000005</v>
      </c>
      <c r="AS14" s="6">
        <v>123</v>
      </c>
      <c r="AU14" s="17">
        <v>12</v>
      </c>
      <c r="AV14" s="6">
        <v>0.95747000000000004</v>
      </c>
      <c r="AW14" s="19">
        <v>-0.61729999999999996</v>
      </c>
      <c r="AX14" s="6">
        <v>0.91990000000000005</v>
      </c>
      <c r="AY14" s="6">
        <v>123</v>
      </c>
      <c r="BA14" s="17" t="s">
        <v>47</v>
      </c>
      <c r="BB14" s="5">
        <v>12</v>
      </c>
      <c r="BC14" s="6">
        <v>58.746600000000001</v>
      </c>
      <c r="BD14" s="6">
        <v>0.94469999999999998</v>
      </c>
      <c r="BE14" s="6">
        <v>123</v>
      </c>
      <c r="BF14" s="6">
        <v>62.19</v>
      </c>
      <c r="BG14" s="6" t="s">
        <v>65</v>
      </c>
      <c r="BH14" s="6">
        <v>0.3</v>
      </c>
      <c r="BI14" s="6">
        <v>57.763399999999997</v>
      </c>
      <c r="BJ14" s="6">
        <v>59.729900000000001</v>
      </c>
    </row>
    <row r="15" spans="1:62" x14ac:dyDescent="0.25">
      <c r="A15" s="31" t="s">
        <v>116</v>
      </c>
      <c r="B15" s="32">
        <v>1</v>
      </c>
      <c r="C15" s="32">
        <v>9</v>
      </c>
      <c r="D15" s="32">
        <v>2</v>
      </c>
      <c r="E15" s="32">
        <v>40</v>
      </c>
      <c r="F15" s="12">
        <v>58.9</v>
      </c>
      <c r="G15">
        <v>58.878203999999997</v>
      </c>
      <c r="H15" s="11">
        <v>13.7</v>
      </c>
      <c r="J15" t="s">
        <v>83</v>
      </c>
      <c r="Q15" s="17" t="s">
        <v>47</v>
      </c>
      <c r="R15" s="5">
        <v>13</v>
      </c>
      <c r="S15" s="6">
        <v>67.243399999999994</v>
      </c>
      <c r="T15" s="6">
        <v>3.3382000000000001</v>
      </c>
      <c r="U15" s="6">
        <v>123</v>
      </c>
      <c r="V15" s="6">
        <v>20.14</v>
      </c>
      <c r="W15" s="6" t="s">
        <v>65</v>
      </c>
      <c r="X15" s="6">
        <v>0.3</v>
      </c>
      <c r="Y15" s="6">
        <v>63.768999999999998</v>
      </c>
      <c r="Z15" s="6">
        <v>70.717799999999997</v>
      </c>
      <c r="AB15" s="17">
        <v>13</v>
      </c>
      <c r="AC15" s="6">
        <v>5.1229399999999998</v>
      </c>
      <c r="AD15" s="19">
        <v>-20.762699999999999</v>
      </c>
      <c r="AE15" s="6">
        <v>4.9219999999999997</v>
      </c>
      <c r="AF15" s="6">
        <v>123</v>
      </c>
      <c r="AH15" s="17">
        <v>13</v>
      </c>
      <c r="AI15" s="6">
        <v>9.7428000000000008</v>
      </c>
      <c r="AJ15" s="19">
        <v>-20.762699999999999</v>
      </c>
      <c r="AK15" s="6">
        <v>4.9219999999999997</v>
      </c>
      <c r="AL15" s="6">
        <v>123</v>
      </c>
      <c r="AO15" s="17">
        <v>13</v>
      </c>
      <c r="AP15" s="6">
        <v>1.8246500000000001</v>
      </c>
      <c r="AQ15" s="19">
        <v>-1.4869000000000001</v>
      </c>
      <c r="AR15" s="6">
        <v>0.92179999999999995</v>
      </c>
      <c r="AS15" s="6">
        <v>123</v>
      </c>
      <c r="AU15" s="17">
        <v>13</v>
      </c>
      <c r="AV15" s="6">
        <v>0.95943000000000001</v>
      </c>
      <c r="AW15" s="19">
        <v>-1.4869000000000001</v>
      </c>
      <c r="AX15" s="6">
        <v>0.92179999999999995</v>
      </c>
      <c r="AY15" s="6">
        <v>123</v>
      </c>
      <c r="BA15" s="17" t="s">
        <v>47</v>
      </c>
      <c r="BB15" s="5">
        <v>13</v>
      </c>
      <c r="BC15" s="6">
        <v>59.176900000000003</v>
      </c>
      <c r="BD15" s="6">
        <v>0.94479999999999997</v>
      </c>
      <c r="BE15" s="6">
        <v>123</v>
      </c>
      <c r="BF15" s="6">
        <v>62.64</v>
      </c>
      <c r="BG15" s="6" t="s">
        <v>65</v>
      </c>
      <c r="BH15" s="6">
        <v>0.3</v>
      </c>
      <c r="BI15" s="6">
        <v>58.1935</v>
      </c>
      <c r="BJ15" s="6">
        <v>60.160200000000003</v>
      </c>
    </row>
    <row r="16" spans="1:62" x14ac:dyDescent="0.25">
      <c r="A16" s="31" t="s">
        <v>116</v>
      </c>
      <c r="B16" s="32">
        <v>1</v>
      </c>
      <c r="C16" s="32">
        <v>8</v>
      </c>
      <c r="D16" s="32">
        <v>2</v>
      </c>
      <c r="E16" s="32">
        <v>30</v>
      </c>
      <c r="F16" s="12">
        <v>55.9</v>
      </c>
      <c r="G16">
        <v>46.95786857142857</v>
      </c>
      <c r="H16" s="11">
        <v>14.1</v>
      </c>
      <c r="J16" t="s">
        <v>84</v>
      </c>
      <c r="Q16" s="17" t="s">
        <v>47</v>
      </c>
      <c r="R16" s="5">
        <v>14</v>
      </c>
      <c r="S16" s="6">
        <v>75.845399999999998</v>
      </c>
      <c r="T16" s="6">
        <v>3.3401999999999998</v>
      </c>
      <c r="U16" s="6">
        <v>123</v>
      </c>
      <c r="V16" s="6">
        <v>22.71</v>
      </c>
      <c r="W16" s="6" t="s">
        <v>65</v>
      </c>
      <c r="X16" s="6">
        <v>0.3</v>
      </c>
      <c r="Y16" s="6">
        <v>72.368799999999993</v>
      </c>
      <c r="Z16" s="6">
        <v>79.322000000000003</v>
      </c>
      <c r="AB16" s="17">
        <v>14</v>
      </c>
      <c r="AC16" s="6">
        <v>5.1222700000000003</v>
      </c>
      <c r="AD16" s="19">
        <v>-16.223099999999999</v>
      </c>
      <c r="AE16" s="6">
        <v>4.9214000000000002</v>
      </c>
      <c r="AF16" s="6">
        <v>123</v>
      </c>
      <c r="AH16" s="17">
        <v>14</v>
      </c>
      <c r="AI16" s="6">
        <v>9.7416</v>
      </c>
      <c r="AJ16" s="19">
        <v>-16.223099999999999</v>
      </c>
      <c r="AK16" s="6">
        <v>4.9214000000000002</v>
      </c>
      <c r="AL16" s="6">
        <v>123</v>
      </c>
      <c r="AO16" s="17">
        <v>14</v>
      </c>
      <c r="AP16" s="6">
        <v>1.82481</v>
      </c>
      <c r="AQ16" s="6">
        <v>0.64259999999999995</v>
      </c>
      <c r="AR16" s="6">
        <v>0.92190000000000005</v>
      </c>
      <c r="AS16" s="6">
        <v>123</v>
      </c>
      <c r="AU16" s="17">
        <v>14</v>
      </c>
      <c r="AV16" s="6">
        <v>0.95952000000000004</v>
      </c>
      <c r="AW16" s="6">
        <v>0.64259999999999995</v>
      </c>
      <c r="AX16" s="6">
        <v>0.92190000000000005</v>
      </c>
      <c r="AY16" s="6">
        <v>123</v>
      </c>
      <c r="BA16" s="17" t="s">
        <v>47</v>
      </c>
      <c r="BB16" s="5">
        <v>14</v>
      </c>
      <c r="BC16" s="6">
        <v>60.046399999999998</v>
      </c>
      <c r="BD16" s="6">
        <v>0.94489999999999996</v>
      </c>
      <c r="BE16" s="6">
        <v>123</v>
      </c>
      <c r="BF16" s="6">
        <v>63.55</v>
      </c>
      <c r="BG16" s="6" t="s">
        <v>65</v>
      </c>
      <c r="BH16" s="6">
        <v>0.3</v>
      </c>
      <c r="BI16" s="6">
        <v>59.063000000000002</v>
      </c>
      <c r="BJ16" s="6">
        <v>61.029899999999998</v>
      </c>
    </row>
    <row r="17" spans="1:62" x14ac:dyDescent="0.25">
      <c r="A17" s="31" t="s">
        <v>116</v>
      </c>
      <c r="B17" s="32">
        <v>1</v>
      </c>
      <c r="C17" s="32">
        <v>7</v>
      </c>
      <c r="D17" s="32">
        <v>2</v>
      </c>
      <c r="E17" s="32">
        <v>10</v>
      </c>
      <c r="F17" s="12">
        <v>52.4</v>
      </c>
      <c r="G17">
        <v>47.099165142857132</v>
      </c>
      <c r="H17" s="11">
        <v>16.100000000000001</v>
      </c>
      <c r="J17" t="s">
        <v>85</v>
      </c>
      <c r="Q17" s="17" t="s">
        <v>47</v>
      </c>
      <c r="R17" s="5">
        <v>15</v>
      </c>
      <c r="S17" s="6">
        <v>71.305700000000002</v>
      </c>
      <c r="T17" s="6">
        <v>3.3378000000000001</v>
      </c>
      <c r="U17" s="6">
        <v>123</v>
      </c>
      <c r="V17" s="6">
        <v>21.36</v>
      </c>
      <c r="W17" s="6" t="s">
        <v>65</v>
      </c>
      <c r="X17" s="6">
        <v>0.3</v>
      </c>
      <c r="Y17" s="6">
        <v>67.831699999999998</v>
      </c>
      <c r="Z17" s="6">
        <v>74.779700000000005</v>
      </c>
      <c r="AB17" s="17">
        <v>15</v>
      </c>
      <c r="AC17" s="6">
        <v>5.0838400000000004</v>
      </c>
      <c r="AD17" s="19">
        <v>-15.4154</v>
      </c>
      <c r="AE17" s="6">
        <v>4.8844000000000003</v>
      </c>
      <c r="AF17" s="6">
        <v>123</v>
      </c>
      <c r="AH17" s="17">
        <v>15</v>
      </c>
      <c r="AI17" s="6">
        <v>9.6684999999999999</v>
      </c>
      <c r="AJ17" s="19">
        <v>-15.4154</v>
      </c>
      <c r="AK17" s="6">
        <v>4.8844000000000003</v>
      </c>
      <c r="AL17" s="6">
        <v>123</v>
      </c>
      <c r="AO17" s="17">
        <v>15</v>
      </c>
      <c r="AP17" s="6">
        <v>1.8037300000000001</v>
      </c>
      <c r="AQ17" s="19">
        <v>-1.9598</v>
      </c>
      <c r="AR17" s="6">
        <v>0.91120000000000001</v>
      </c>
      <c r="AS17" s="6">
        <v>123</v>
      </c>
      <c r="AU17" s="17">
        <v>15</v>
      </c>
      <c r="AV17" s="6">
        <v>0.94843</v>
      </c>
      <c r="AW17" s="19">
        <v>-1.9598</v>
      </c>
      <c r="AX17" s="6">
        <v>0.91120000000000001</v>
      </c>
      <c r="AY17" s="6">
        <v>123</v>
      </c>
      <c r="BA17" s="17" t="s">
        <v>47</v>
      </c>
      <c r="BB17" s="5">
        <v>15</v>
      </c>
      <c r="BC17" s="6">
        <v>57.917000000000002</v>
      </c>
      <c r="BD17" s="6">
        <v>0.94499999999999995</v>
      </c>
      <c r="BE17" s="6">
        <v>123</v>
      </c>
      <c r="BF17" s="6">
        <v>61.29</v>
      </c>
      <c r="BG17" s="6" t="s">
        <v>65</v>
      </c>
      <c r="BH17" s="6">
        <v>0.3</v>
      </c>
      <c r="BI17" s="6">
        <v>56.933399999999999</v>
      </c>
      <c r="BJ17" s="6">
        <v>58.900599999999997</v>
      </c>
    </row>
    <row r="18" spans="1:62" x14ac:dyDescent="0.25">
      <c r="A18" s="31" t="s">
        <v>116</v>
      </c>
      <c r="B18" s="32">
        <v>1</v>
      </c>
      <c r="C18" s="32">
        <v>6</v>
      </c>
      <c r="D18" s="32">
        <v>2</v>
      </c>
      <c r="E18" s="32">
        <v>3</v>
      </c>
      <c r="F18" s="12">
        <v>59.4</v>
      </c>
      <c r="G18">
        <v>52.902035999999974</v>
      </c>
      <c r="H18" s="11">
        <v>14.1</v>
      </c>
      <c r="J18" t="s">
        <v>100</v>
      </c>
      <c r="Q18" s="17" t="s">
        <v>47</v>
      </c>
      <c r="R18" s="5">
        <v>16</v>
      </c>
      <c r="S18" s="6">
        <v>70.498099999999994</v>
      </c>
      <c r="T18" s="6">
        <v>3.3389000000000002</v>
      </c>
      <c r="U18" s="6">
        <v>123</v>
      </c>
      <c r="V18" s="6">
        <v>21.11</v>
      </c>
      <c r="W18" s="6" t="s">
        <v>65</v>
      </c>
      <c r="X18" s="6">
        <v>0.3</v>
      </c>
      <c r="Y18" s="6">
        <v>67.022900000000007</v>
      </c>
      <c r="Z18" s="6">
        <v>73.973299999999995</v>
      </c>
      <c r="AB18" s="17">
        <v>16</v>
      </c>
      <c r="AC18" s="6">
        <v>5.1289899999999999</v>
      </c>
      <c r="AD18" s="19">
        <v>-17.196400000000001</v>
      </c>
      <c r="AE18" s="6">
        <v>4.9278000000000004</v>
      </c>
      <c r="AF18" s="6">
        <v>123</v>
      </c>
      <c r="AH18" s="17">
        <v>16</v>
      </c>
      <c r="AI18" s="6">
        <v>9.7543000000000006</v>
      </c>
      <c r="AJ18" s="19">
        <v>-17.196400000000001</v>
      </c>
      <c r="AK18" s="6">
        <v>4.9278000000000004</v>
      </c>
      <c r="AL18" s="6">
        <v>123</v>
      </c>
      <c r="AO18" s="17">
        <v>16</v>
      </c>
      <c r="AP18" s="6">
        <v>1.82605</v>
      </c>
      <c r="AQ18" s="19">
        <v>-0.1211</v>
      </c>
      <c r="AR18" s="6">
        <v>0.92249999999999999</v>
      </c>
      <c r="AS18" s="6">
        <v>123</v>
      </c>
      <c r="AU18" s="17">
        <v>16</v>
      </c>
      <c r="AV18" s="6">
        <v>0.96016999999999997</v>
      </c>
      <c r="AW18" s="19">
        <v>-0.1211</v>
      </c>
      <c r="AX18" s="6">
        <v>0.92249999999999999</v>
      </c>
      <c r="AY18" s="6">
        <v>123</v>
      </c>
      <c r="BA18" s="17" t="s">
        <v>47</v>
      </c>
      <c r="BB18" s="5">
        <v>16</v>
      </c>
      <c r="BC18" s="6">
        <v>60.519399999999997</v>
      </c>
      <c r="BD18" s="6">
        <v>0.94479999999999997</v>
      </c>
      <c r="BE18" s="6">
        <v>123</v>
      </c>
      <c r="BF18" s="6">
        <v>64.05</v>
      </c>
      <c r="BG18" s="6" t="s">
        <v>65</v>
      </c>
      <c r="BH18" s="6">
        <v>0.3</v>
      </c>
      <c r="BI18" s="6">
        <v>59.536000000000001</v>
      </c>
      <c r="BJ18" s="6">
        <v>61.502800000000001</v>
      </c>
    </row>
    <row r="19" spans="1:62" x14ac:dyDescent="0.25">
      <c r="A19" s="31" t="s">
        <v>116</v>
      </c>
      <c r="B19" s="32">
        <v>1</v>
      </c>
      <c r="C19" s="32">
        <v>5</v>
      </c>
      <c r="D19" s="32">
        <v>2</v>
      </c>
      <c r="E19" s="32">
        <v>44</v>
      </c>
      <c r="F19" s="12">
        <v>55.5</v>
      </c>
      <c r="G19">
        <v>41.854767428571421</v>
      </c>
      <c r="H19" s="11">
        <v>15.1</v>
      </c>
      <c r="J19" t="s">
        <v>87</v>
      </c>
      <c r="Q19" s="17" t="s">
        <v>47</v>
      </c>
      <c r="R19" s="5">
        <v>17</v>
      </c>
      <c r="S19" s="6">
        <v>72.2791</v>
      </c>
      <c r="T19" s="6">
        <v>3.3439000000000001</v>
      </c>
      <c r="U19" s="6">
        <v>123</v>
      </c>
      <c r="V19" s="6">
        <v>21.62</v>
      </c>
      <c r="W19" s="6" t="s">
        <v>65</v>
      </c>
      <c r="X19" s="6">
        <v>0.3</v>
      </c>
      <c r="Y19" s="6">
        <v>68.798699999999997</v>
      </c>
      <c r="Z19" s="6">
        <v>75.759500000000003</v>
      </c>
      <c r="AB19" s="17">
        <v>17</v>
      </c>
      <c r="AC19" s="6">
        <v>5.1297100000000002</v>
      </c>
      <c r="AD19" s="19">
        <v>-7.2539999999999996</v>
      </c>
      <c r="AE19" s="6">
        <v>4.9284999999999997</v>
      </c>
      <c r="AF19" s="6">
        <v>123</v>
      </c>
      <c r="AH19" s="17">
        <v>17</v>
      </c>
      <c r="AI19" s="6">
        <v>9.7556999999999992</v>
      </c>
      <c r="AJ19" s="19">
        <v>-7.2539999999999996</v>
      </c>
      <c r="AK19" s="6">
        <v>4.9284999999999997</v>
      </c>
      <c r="AL19" s="6">
        <v>123</v>
      </c>
      <c r="AO19" s="17">
        <v>17</v>
      </c>
      <c r="AP19" s="6">
        <v>1.8239799999999999</v>
      </c>
      <c r="AQ19" s="6">
        <v>0.42230000000000001</v>
      </c>
      <c r="AR19" s="6">
        <v>0.92149999999999999</v>
      </c>
      <c r="AS19" s="6">
        <v>123</v>
      </c>
      <c r="AU19" s="17">
        <v>17</v>
      </c>
      <c r="AV19" s="6">
        <v>0.95908000000000004</v>
      </c>
      <c r="AW19" s="6">
        <v>0.42230000000000001</v>
      </c>
      <c r="AX19" s="6">
        <v>0.92149999999999999</v>
      </c>
      <c r="AY19" s="6">
        <v>123</v>
      </c>
      <c r="BA19" s="17" t="s">
        <v>47</v>
      </c>
      <c r="BB19" s="5">
        <v>17</v>
      </c>
      <c r="BC19" s="6">
        <v>58.680700000000002</v>
      </c>
      <c r="BD19" s="6">
        <v>0.94499999999999995</v>
      </c>
      <c r="BE19" s="6">
        <v>123</v>
      </c>
      <c r="BF19" s="6">
        <v>62.09</v>
      </c>
      <c r="BG19" s="6" t="s">
        <v>65</v>
      </c>
      <c r="BH19" s="6">
        <v>0.3</v>
      </c>
      <c r="BI19" s="6">
        <v>57.697000000000003</v>
      </c>
      <c r="BJ19" s="6">
        <v>59.664299999999997</v>
      </c>
    </row>
    <row r="20" spans="1:62" x14ac:dyDescent="0.25">
      <c r="A20" s="31" t="s">
        <v>116</v>
      </c>
      <c r="B20" s="32">
        <v>1</v>
      </c>
      <c r="C20" s="32">
        <v>4</v>
      </c>
      <c r="D20" s="32">
        <v>2</v>
      </c>
      <c r="E20" s="32">
        <v>20</v>
      </c>
      <c r="F20" s="12">
        <v>57.3</v>
      </c>
      <c r="G20">
        <v>69.06050485714286</v>
      </c>
      <c r="H20" s="11">
        <v>13.9</v>
      </c>
      <c r="J20" t="s">
        <v>88</v>
      </c>
      <c r="Q20" s="17" t="s">
        <v>47</v>
      </c>
      <c r="R20" s="5">
        <v>18</v>
      </c>
      <c r="S20" s="6">
        <v>62.336599999999997</v>
      </c>
      <c r="T20" s="6">
        <v>3.3572000000000002</v>
      </c>
      <c r="U20" s="6">
        <v>123</v>
      </c>
      <c r="V20" s="6">
        <v>18.57</v>
      </c>
      <c r="W20" s="6" t="s">
        <v>65</v>
      </c>
      <c r="X20" s="6">
        <v>0.3</v>
      </c>
      <c r="Y20" s="6">
        <v>58.842399999999998</v>
      </c>
      <c r="Z20" s="6">
        <v>65.830799999999996</v>
      </c>
      <c r="AB20" s="17">
        <v>18</v>
      </c>
      <c r="AC20" s="6">
        <v>5.07043</v>
      </c>
      <c r="AD20" s="19">
        <v>-18.807500000000001</v>
      </c>
      <c r="AE20" s="6">
        <v>4.8715999999999999</v>
      </c>
      <c r="AF20" s="6">
        <v>123</v>
      </c>
      <c r="AH20" s="17">
        <v>18</v>
      </c>
      <c r="AI20" s="6">
        <v>9.6430000000000007</v>
      </c>
      <c r="AJ20" s="19">
        <v>-18.807500000000001</v>
      </c>
      <c r="AK20" s="6">
        <v>4.8715999999999999</v>
      </c>
      <c r="AL20" s="6">
        <v>123</v>
      </c>
      <c r="AO20" s="17">
        <v>18</v>
      </c>
      <c r="AP20" s="6">
        <v>1.8080700000000001</v>
      </c>
      <c r="AQ20" s="19">
        <v>-0.25890000000000002</v>
      </c>
      <c r="AR20" s="6">
        <v>0.91339999999999999</v>
      </c>
      <c r="AS20" s="6">
        <v>123</v>
      </c>
      <c r="AU20" s="17">
        <v>18</v>
      </c>
      <c r="AV20" s="6">
        <v>0.95071000000000006</v>
      </c>
      <c r="AW20" s="19">
        <v>-0.25890000000000002</v>
      </c>
      <c r="AX20" s="6">
        <v>0.91339999999999999</v>
      </c>
      <c r="AY20" s="6">
        <v>123</v>
      </c>
      <c r="BA20" s="17" t="s">
        <v>47</v>
      </c>
      <c r="BB20" s="5">
        <v>18</v>
      </c>
      <c r="BC20" s="6">
        <v>58.137300000000003</v>
      </c>
      <c r="BD20" s="6">
        <v>0.94840000000000002</v>
      </c>
      <c r="BE20" s="6">
        <v>123</v>
      </c>
      <c r="BF20" s="6">
        <v>61.3</v>
      </c>
      <c r="BG20" s="6" t="s">
        <v>65</v>
      </c>
      <c r="BH20" s="6">
        <v>0.3</v>
      </c>
      <c r="BI20" s="6">
        <v>57.150199999999998</v>
      </c>
      <c r="BJ20" s="6">
        <v>59.124400000000001</v>
      </c>
    </row>
    <row r="21" spans="1:62" x14ac:dyDescent="0.25">
      <c r="A21" s="31" t="s">
        <v>116</v>
      </c>
      <c r="B21" s="32">
        <v>1</v>
      </c>
      <c r="C21" s="32">
        <v>3</v>
      </c>
      <c r="D21" s="32">
        <v>2</v>
      </c>
      <c r="E21" s="32">
        <v>0</v>
      </c>
      <c r="F21" s="12">
        <v>56.2</v>
      </c>
      <c r="G21">
        <v>44.290422</v>
      </c>
      <c r="H21" s="11">
        <v>14</v>
      </c>
      <c r="Q21" s="17" t="s">
        <v>47</v>
      </c>
      <c r="R21" s="5">
        <v>20</v>
      </c>
      <c r="S21" s="6">
        <v>73.890199999999993</v>
      </c>
      <c r="T21" s="6">
        <v>3.3458999999999999</v>
      </c>
      <c r="U21" s="6">
        <v>123</v>
      </c>
      <c r="V21" s="6">
        <v>22.08</v>
      </c>
      <c r="W21" s="6" t="s">
        <v>65</v>
      </c>
      <c r="X21" s="6">
        <v>0.3</v>
      </c>
      <c r="Y21" s="6">
        <v>70.407700000000006</v>
      </c>
      <c r="Z21" s="6">
        <v>77.372699999999995</v>
      </c>
      <c r="AB21" s="17">
        <v>19</v>
      </c>
      <c r="AC21" s="6">
        <v>5.1169599999999997</v>
      </c>
      <c r="AD21" s="19">
        <v>-15.1357</v>
      </c>
      <c r="AE21" s="6">
        <v>4.9162999999999997</v>
      </c>
      <c r="AF21" s="6">
        <v>123</v>
      </c>
      <c r="AH21" s="17">
        <v>19</v>
      </c>
      <c r="AI21" s="6">
        <v>9.7315000000000005</v>
      </c>
      <c r="AJ21" s="19">
        <v>-15.1357</v>
      </c>
      <c r="AK21" s="6">
        <v>4.9162999999999997</v>
      </c>
      <c r="AL21" s="6">
        <v>123</v>
      </c>
      <c r="AO21" s="17">
        <v>19</v>
      </c>
      <c r="AP21" s="6">
        <v>1.8162199999999999</v>
      </c>
      <c r="AQ21" s="19">
        <v>-0.37540000000000001</v>
      </c>
      <c r="AR21" s="6">
        <v>0.91749999999999998</v>
      </c>
      <c r="AS21" s="6">
        <v>123</v>
      </c>
      <c r="AU21" s="17">
        <v>19</v>
      </c>
      <c r="AV21" s="6">
        <v>0.95499999999999996</v>
      </c>
      <c r="AW21" s="19">
        <v>-0.37540000000000001</v>
      </c>
      <c r="AX21" s="6">
        <v>0.91749999999999998</v>
      </c>
      <c r="AY21" s="6">
        <v>123</v>
      </c>
      <c r="BA21" s="17" t="s">
        <v>47</v>
      </c>
      <c r="BB21" s="5">
        <v>20</v>
      </c>
      <c r="BC21" s="6">
        <v>58.8185</v>
      </c>
      <c r="BD21" s="6">
        <v>0.94830000000000003</v>
      </c>
      <c r="BE21" s="6">
        <v>123</v>
      </c>
      <c r="BF21" s="6">
        <v>62.03</v>
      </c>
      <c r="BG21" s="6" t="s">
        <v>65</v>
      </c>
      <c r="BH21" s="6">
        <v>0.3</v>
      </c>
      <c r="BI21" s="6">
        <v>57.831499999999998</v>
      </c>
      <c r="BJ21" s="6">
        <v>59.805500000000002</v>
      </c>
    </row>
    <row r="22" spans="1:62" x14ac:dyDescent="0.25">
      <c r="A22" s="31" t="s">
        <v>116</v>
      </c>
      <c r="B22" s="32">
        <v>1</v>
      </c>
      <c r="C22" s="32">
        <v>2</v>
      </c>
      <c r="D22" s="32">
        <v>2</v>
      </c>
      <c r="E22" s="32">
        <v>41</v>
      </c>
      <c r="F22" s="12">
        <v>57.4</v>
      </c>
      <c r="G22">
        <v>43.247980285714277</v>
      </c>
      <c r="H22" s="11">
        <v>15</v>
      </c>
      <c r="Q22" s="17" t="s">
        <v>47</v>
      </c>
      <c r="R22" s="5">
        <v>21</v>
      </c>
      <c r="S22" s="6">
        <v>70.218299999999999</v>
      </c>
      <c r="T22" s="6">
        <v>3.3382000000000001</v>
      </c>
      <c r="U22" s="6">
        <v>123</v>
      </c>
      <c r="V22" s="6">
        <v>21.03</v>
      </c>
      <c r="W22" s="6" t="s">
        <v>65</v>
      </c>
      <c r="X22" s="6">
        <v>0.3</v>
      </c>
      <c r="Y22" s="6">
        <v>66.743799999999993</v>
      </c>
      <c r="Z22" s="6">
        <v>73.692800000000005</v>
      </c>
      <c r="AB22" s="17">
        <v>20</v>
      </c>
      <c r="AC22" s="6">
        <v>5.11911</v>
      </c>
      <c r="AD22" s="19">
        <v>-12.6495</v>
      </c>
      <c r="AE22" s="6">
        <v>4.9183000000000003</v>
      </c>
      <c r="AF22" s="6">
        <v>123</v>
      </c>
      <c r="AH22" s="17">
        <v>20</v>
      </c>
      <c r="AI22" s="6">
        <v>9.7355</v>
      </c>
      <c r="AJ22" s="19">
        <v>-12.6495</v>
      </c>
      <c r="AK22" s="6">
        <v>4.9183000000000003</v>
      </c>
      <c r="AL22" s="6">
        <v>123</v>
      </c>
      <c r="AO22" s="17">
        <v>20</v>
      </c>
      <c r="AP22" s="6">
        <v>1.8230500000000001</v>
      </c>
      <c r="AQ22" s="19">
        <v>-0.90800000000000003</v>
      </c>
      <c r="AR22" s="6">
        <v>0.92100000000000004</v>
      </c>
      <c r="AS22" s="6">
        <v>123</v>
      </c>
      <c r="AU22" s="17">
        <v>20</v>
      </c>
      <c r="AV22" s="6">
        <v>0.95859000000000005</v>
      </c>
      <c r="AW22" s="19">
        <v>-0.90800000000000003</v>
      </c>
      <c r="AX22" s="6">
        <v>0.92100000000000004</v>
      </c>
      <c r="AY22" s="6">
        <v>123</v>
      </c>
      <c r="BA22" s="17" t="s">
        <v>47</v>
      </c>
      <c r="BB22" s="5">
        <v>21</v>
      </c>
      <c r="BC22" s="6">
        <v>58.935000000000002</v>
      </c>
      <c r="BD22" s="6">
        <v>0.94489999999999996</v>
      </c>
      <c r="BE22" s="6">
        <v>123</v>
      </c>
      <c r="BF22" s="6">
        <v>62.37</v>
      </c>
      <c r="BG22" s="6" t="s">
        <v>65</v>
      </c>
      <c r="BH22" s="6">
        <v>0.3</v>
      </c>
      <c r="BI22" s="6">
        <v>57.951599999999999</v>
      </c>
      <c r="BJ22" s="6">
        <v>59.918399999999998</v>
      </c>
    </row>
    <row r="23" spans="1:62" x14ac:dyDescent="0.25">
      <c r="A23" s="31" t="s">
        <v>116</v>
      </c>
      <c r="B23" s="32">
        <v>1</v>
      </c>
      <c r="C23" s="32">
        <v>1</v>
      </c>
      <c r="D23" s="32">
        <v>2</v>
      </c>
      <c r="E23" s="32">
        <v>45</v>
      </c>
      <c r="F23" s="12">
        <v>57.8</v>
      </c>
      <c r="G23">
        <v>60.46163828571428</v>
      </c>
      <c r="H23" s="11">
        <v>14.3</v>
      </c>
      <c r="J23" s="37"/>
      <c r="K23" s="38" t="s">
        <v>112</v>
      </c>
      <c r="L23" s="38" t="s">
        <v>5</v>
      </c>
      <c r="M23" s="24"/>
      <c r="N23" s="24"/>
      <c r="Q23" s="17" t="s">
        <v>47</v>
      </c>
      <c r="R23" s="5">
        <v>22</v>
      </c>
      <c r="S23" s="6">
        <v>67.732200000000006</v>
      </c>
      <c r="T23" s="6">
        <v>3.3401000000000001</v>
      </c>
      <c r="U23" s="6">
        <v>123</v>
      </c>
      <c r="V23" s="6">
        <v>20.28</v>
      </c>
      <c r="W23" s="6" t="s">
        <v>65</v>
      </c>
      <c r="X23" s="6">
        <v>0.3</v>
      </c>
      <c r="Y23" s="6">
        <v>64.255700000000004</v>
      </c>
      <c r="Z23" s="6">
        <v>71.208600000000004</v>
      </c>
      <c r="AB23" s="17">
        <v>21</v>
      </c>
      <c r="AC23" s="6">
        <v>5.1235600000000003</v>
      </c>
      <c r="AD23" s="19">
        <v>-11.9634</v>
      </c>
      <c r="AE23" s="6">
        <v>4.9226000000000001</v>
      </c>
      <c r="AF23" s="6">
        <v>123</v>
      </c>
      <c r="AH23" s="17">
        <v>21</v>
      </c>
      <c r="AI23" s="6">
        <v>9.7439999999999998</v>
      </c>
      <c r="AJ23" s="19">
        <v>-11.9634</v>
      </c>
      <c r="AK23" s="6">
        <v>4.9226000000000001</v>
      </c>
      <c r="AL23" s="6">
        <v>123</v>
      </c>
      <c r="AO23" s="17">
        <v>21</v>
      </c>
      <c r="AP23" s="6">
        <v>1.82056</v>
      </c>
      <c r="AQ23" s="19">
        <v>-0.84240000000000004</v>
      </c>
      <c r="AR23" s="6">
        <v>0.91969999999999996</v>
      </c>
      <c r="AS23" s="6">
        <v>123</v>
      </c>
      <c r="AU23" s="17">
        <v>21</v>
      </c>
      <c r="AV23" s="6">
        <v>0.95728000000000002</v>
      </c>
      <c r="AW23" s="19">
        <v>-0.84240000000000004</v>
      </c>
      <c r="AX23" s="6">
        <v>0.91969999999999996</v>
      </c>
      <c r="AY23" s="6">
        <v>123</v>
      </c>
      <c r="BA23" s="17" t="s">
        <v>47</v>
      </c>
      <c r="BB23" s="5">
        <v>22</v>
      </c>
      <c r="BC23" s="6">
        <v>59.467500000000001</v>
      </c>
      <c r="BD23" s="6">
        <v>0.94499999999999995</v>
      </c>
      <c r="BE23" s="6">
        <v>123</v>
      </c>
      <c r="BF23" s="6">
        <v>62.93</v>
      </c>
      <c r="BG23" s="6" t="s">
        <v>65</v>
      </c>
      <c r="BH23" s="6">
        <v>0.3</v>
      </c>
      <c r="BI23" s="6">
        <v>58.484000000000002</v>
      </c>
      <c r="BJ23" s="6">
        <v>60.451099999999997</v>
      </c>
    </row>
    <row r="24" spans="1:62" x14ac:dyDescent="0.25">
      <c r="A24" s="31" t="s">
        <v>116</v>
      </c>
      <c r="B24" s="32">
        <v>1</v>
      </c>
      <c r="C24" s="32">
        <v>1</v>
      </c>
      <c r="D24" s="32">
        <v>3</v>
      </c>
      <c r="E24" s="32">
        <v>43</v>
      </c>
      <c r="F24" s="12">
        <v>56.9</v>
      </c>
      <c r="G24">
        <v>36.18369937046004</v>
      </c>
      <c r="H24" s="11">
        <v>14.8</v>
      </c>
      <c r="J24" s="38" t="s">
        <v>133</v>
      </c>
      <c r="K24" s="39">
        <f>AVERAGE(AC3:AC1048576)</f>
        <v>3.3896047357293901</v>
      </c>
      <c r="L24" s="39">
        <f>AVERAGE(AV3:AV1048576)</f>
        <v>0.63540971458773809</v>
      </c>
      <c r="M24" s="24"/>
      <c r="N24" s="24"/>
      <c r="Q24" s="17" t="s">
        <v>47</v>
      </c>
      <c r="R24" s="5">
        <v>23</v>
      </c>
      <c r="S24" s="6">
        <v>67.046000000000006</v>
      </c>
      <c r="T24" s="6">
        <v>3.355</v>
      </c>
      <c r="U24" s="6">
        <v>123</v>
      </c>
      <c r="V24" s="6">
        <v>19.98</v>
      </c>
      <c r="W24" s="6" t="s">
        <v>65</v>
      </c>
      <c r="X24" s="6">
        <v>0.3</v>
      </c>
      <c r="Y24" s="6">
        <v>63.554000000000002</v>
      </c>
      <c r="Z24" s="6">
        <v>70.537999999999997</v>
      </c>
      <c r="AB24" s="17">
        <v>22</v>
      </c>
      <c r="AC24" s="6">
        <v>5.1311900000000001</v>
      </c>
      <c r="AD24" s="19">
        <v>-17.034600000000001</v>
      </c>
      <c r="AE24" s="6">
        <v>4.9298999999999999</v>
      </c>
      <c r="AF24" s="6">
        <v>123</v>
      </c>
      <c r="AH24" s="17">
        <v>22</v>
      </c>
      <c r="AI24" s="6">
        <v>9.7584999999999997</v>
      </c>
      <c r="AJ24" s="19">
        <v>-17.034600000000001</v>
      </c>
      <c r="AK24" s="6">
        <v>4.9298999999999999</v>
      </c>
      <c r="AL24" s="6">
        <v>123</v>
      </c>
      <c r="AO24" s="17">
        <v>22</v>
      </c>
      <c r="AP24" s="6">
        <v>1.82938</v>
      </c>
      <c r="AQ24" s="6">
        <v>0.21429999999999999</v>
      </c>
      <c r="AR24" s="6">
        <v>0.92420000000000002</v>
      </c>
      <c r="AS24" s="6">
        <v>123</v>
      </c>
      <c r="AU24" s="17">
        <v>22</v>
      </c>
      <c r="AV24" s="6">
        <v>0.96192</v>
      </c>
      <c r="AW24" s="6">
        <v>0.21429999999999999</v>
      </c>
      <c r="AX24" s="6">
        <v>0.92420000000000002</v>
      </c>
      <c r="AY24" s="6">
        <v>123</v>
      </c>
      <c r="BA24" s="17" t="s">
        <v>47</v>
      </c>
      <c r="BB24" s="5">
        <v>23</v>
      </c>
      <c r="BC24" s="6">
        <v>59.402000000000001</v>
      </c>
      <c r="BD24" s="6">
        <v>0.94469999999999998</v>
      </c>
      <c r="BE24" s="6">
        <v>123</v>
      </c>
      <c r="BF24" s="6">
        <v>62.88</v>
      </c>
      <c r="BG24" s="6" t="s">
        <v>65</v>
      </c>
      <c r="BH24" s="6">
        <v>0.3</v>
      </c>
      <c r="BI24" s="6">
        <v>58.418700000000001</v>
      </c>
      <c r="BJ24" s="6">
        <v>60.385199999999998</v>
      </c>
    </row>
    <row r="25" spans="1:62" x14ac:dyDescent="0.25">
      <c r="A25" s="31" t="s">
        <v>116</v>
      </c>
      <c r="B25" s="32">
        <v>1</v>
      </c>
      <c r="C25" s="32">
        <v>2</v>
      </c>
      <c r="D25" s="32">
        <v>3</v>
      </c>
      <c r="E25" s="32">
        <v>2</v>
      </c>
      <c r="F25" s="12">
        <v>57.8</v>
      </c>
      <c r="G25">
        <v>67.386351573849879</v>
      </c>
      <c r="H25" s="11">
        <v>13.6</v>
      </c>
      <c r="J25" s="38" t="s">
        <v>134</v>
      </c>
      <c r="K25" s="39">
        <f>AVERAGE(AI3:AI1048576)</f>
        <v>6.4463669133192489</v>
      </c>
      <c r="L25" s="39">
        <f>AVERAGE(AP3:AP1048576)</f>
        <v>1.2084245877378428</v>
      </c>
      <c r="M25" s="24"/>
      <c r="N25" s="24"/>
      <c r="Q25" s="17" t="s">
        <v>47</v>
      </c>
      <c r="R25" s="5">
        <v>24</v>
      </c>
      <c r="S25" s="6">
        <v>72.117199999999997</v>
      </c>
      <c r="T25" s="6">
        <v>3.3521000000000001</v>
      </c>
      <c r="U25" s="6">
        <v>123</v>
      </c>
      <c r="V25" s="6">
        <v>21.51</v>
      </c>
      <c r="W25" s="6" t="s">
        <v>65</v>
      </c>
      <c r="X25" s="6">
        <v>0.3</v>
      </c>
      <c r="Y25" s="6">
        <v>68.628299999999996</v>
      </c>
      <c r="Z25" s="6">
        <v>75.606099999999998</v>
      </c>
      <c r="AB25" s="17">
        <v>23</v>
      </c>
      <c r="AC25" s="6">
        <v>5.1292400000000002</v>
      </c>
      <c r="AD25" s="19">
        <v>-12.498799999999999</v>
      </c>
      <c r="AE25" s="6">
        <v>4.9280999999999997</v>
      </c>
      <c r="AF25" s="6">
        <v>123</v>
      </c>
      <c r="AH25" s="17">
        <v>23</v>
      </c>
      <c r="AI25" s="6">
        <v>9.7547999999999995</v>
      </c>
      <c r="AJ25" s="19">
        <v>-12.498799999999999</v>
      </c>
      <c r="AK25" s="6">
        <v>4.9280999999999997</v>
      </c>
      <c r="AL25" s="6">
        <v>123</v>
      </c>
      <c r="AO25" s="17">
        <v>23</v>
      </c>
      <c r="AP25" s="6">
        <v>1.8218300000000001</v>
      </c>
      <c r="AQ25" s="19">
        <v>-0.2069</v>
      </c>
      <c r="AR25" s="6">
        <v>0.9204</v>
      </c>
      <c r="AS25" s="6">
        <v>123</v>
      </c>
      <c r="AU25" s="17">
        <v>23</v>
      </c>
      <c r="AV25" s="6">
        <v>0.95794999999999997</v>
      </c>
      <c r="AW25" s="19">
        <v>-0.2069</v>
      </c>
      <c r="AX25" s="6">
        <v>0.9204</v>
      </c>
      <c r="AY25" s="6">
        <v>123</v>
      </c>
      <c r="BA25" s="17" t="s">
        <v>47</v>
      </c>
      <c r="BB25" s="5">
        <v>24</v>
      </c>
      <c r="BC25" s="6">
        <v>58.345199999999998</v>
      </c>
      <c r="BD25" s="6">
        <v>0.9476</v>
      </c>
      <c r="BE25" s="6">
        <v>123</v>
      </c>
      <c r="BF25" s="6">
        <v>61.57</v>
      </c>
      <c r="BG25" s="6" t="s">
        <v>65</v>
      </c>
      <c r="BH25" s="6">
        <v>0.3</v>
      </c>
      <c r="BI25" s="6">
        <v>57.359000000000002</v>
      </c>
      <c r="BJ25" s="6">
        <v>59.331499999999998</v>
      </c>
    </row>
    <row r="26" spans="1:62" x14ac:dyDescent="0.25">
      <c r="A26" s="31" t="s">
        <v>116</v>
      </c>
      <c r="B26" s="32">
        <v>1</v>
      </c>
      <c r="C26" s="32">
        <v>3</v>
      </c>
      <c r="D26" s="32">
        <v>3</v>
      </c>
      <c r="E26" s="32">
        <v>32</v>
      </c>
      <c r="F26" s="12">
        <v>59.9</v>
      </c>
      <c r="G26">
        <v>70.182495108958832</v>
      </c>
      <c r="H26" s="11">
        <v>14.7</v>
      </c>
      <c r="J26" s="38" t="s">
        <v>135</v>
      </c>
      <c r="K26" s="40">
        <v>5</v>
      </c>
      <c r="L26" s="40">
        <v>1.6</v>
      </c>
      <c r="M26" s="24"/>
      <c r="N26" s="24"/>
      <c r="Q26" s="17" t="s">
        <v>47</v>
      </c>
      <c r="R26" s="5">
        <v>25</v>
      </c>
      <c r="S26" s="6">
        <v>67.581400000000002</v>
      </c>
      <c r="T26" s="6">
        <v>3.3538999999999999</v>
      </c>
      <c r="U26" s="6">
        <v>123</v>
      </c>
      <c r="V26" s="6">
        <v>20.149999999999999</v>
      </c>
      <c r="W26" s="6" t="s">
        <v>65</v>
      </c>
      <c r="X26" s="6">
        <v>0.3</v>
      </c>
      <c r="Y26" s="6">
        <v>64.090599999999995</v>
      </c>
      <c r="Z26" s="6">
        <v>71.072299999999998</v>
      </c>
      <c r="AB26" s="17">
        <v>24</v>
      </c>
      <c r="AC26" s="6">
        <v>5.14337</v>
      </c>
      <c r="AD26" s="19">
        <v>-21.811</v>
      </c>
      <c r="AE26" s="6">
        <v>4.9416000000000002</v>
      </c>
      <c r="AF26" s="6">
        <v>123</v>
      </c>
      <c r="AH26" s="17">
        <v>24</v>
      </c>
      <c r="AI26" s="6">
        <v>9.7817000000000007</v>
      </c>
      <c r="AJ26" s="19">
        <v>-21.811</v>
      </c>
      <c r="AK26" s="6">
        <v>4.9416000000000002</v>
      </c>
      <c r="AL26" s="6">
        <v>123</v>
      </c>
      <c r="AO26" s="17">
        <v>24</v>
      </c>
      <c r="AP26" s="6">
        <v>1.8359099999999999</v>
      </c>
      <c r="AQ26" s="19">
        <v>-0.40649999999999997</v>
      </c>
      <c r="AR26" s="6">
        <v>0.92749999999999999</v>
      </c>
      <c r="AS26" s="6">
        <v>123</v>
      </c>
      <c r="AU26" s="17">
        <v>24</v>
      </c>
      <c r="AV26" s="6">
        <v>0.96535000000000004</v>
      </c>
      <c r="AW26" s="19">
        <v>-0.40649999999999997</v>
      </c>
      <c r="AX26" s="6">
        <v>0.92749999999999999</v>
      </c>
      <c r="AY26" s="6">
        <v>123</v>
      </c>
      <c r="BA26" s="17" t="s">
        <v>47</v>
      </c>
      <c r="BB26" s="5">
        <v>25</v>
      </c>
      <c r="BC26" s="6">
        <v>58.766500000000001</v>
      </c>
      <c r="BD26" s="6">
        <v>0.94789999999999996</v>
      </c>
      <c r="BE26" s="6">
        <v>123</v>
      </c>
      <c r="BF26" s="6">
        <v>62</v>
      </c>
      <c r="BG26" s="6" t="s">
        <v>65</v>
      </c>
      <c r="BH26" s="6">
        <v>0.3</v>
      </c>
      <c r="BI26" s="6">
        <v>57.779899999999998</v>
      </c>
      <c r="BJ26" s="6">
        <v>59.753100000000003</v>
      </c>
    </row>
    <row r="27" spans="1:62" x14ac:dyDescent="0.25">
      <c r="A27" s="31" t="s">
        <v>116</v>
      </c>
      <c r="B27" s="32">
        <v>1</v>
      </c>
      <c r="C27" s="32">
        <v>4</v>
      </c>
      <c r="D27" s="32">
        <v>3</v>
      </c>
      <c r="E27" s="32">
        <v>46</v>
      </c>
      <c r="F27" s="12">
        <v>58</v>
      </c>
      <c r="G27">
        <v>65.078639999999993</v>
      </c>
      <c r="H27" s="11">
        <v>14.2</v>
      </c>
      <c r="J27" s="24"/>
      <c r="K27" s="24"/>
      <c r="L27" s="24"/>
      <c r="M27" s="24"/>
      <c r="N27" s="24"/>
      <c r="Q27" s="17" t="s">
        <v>47</v>
      </c>
      <c r="R27" s="5">
        <v>26</v>
      </c>
      <c r="S27" s="6">
        <v>76.893699999999995</v>
      </c>
      <c r="T27" s="6">
        <v>3.3715000000000002</v>
      </c>
      <c r="U27" s="6">
        <v>123</v>
      </c>
      <c r="V27" s="6">
        <v>22.81</v>
      </c>
      <c r="W27" s="6" t="s">
        <v>65</v>
      </c>
      <c r="X27" s="6">
        <v>0.3</v>
      </c>
      <c r="Y27" s="6">
        <v>73.384500000000003</v>
      </c>
      <c r="Z27" s="6">
        <v>80.402799999999999</v>
      </c>
      <c r="AB27" s="17">
        <v>25</v>
      </c>
      <c r="AC27" s="6">
        <v>5.1322999999999999</v>
      </c>
      <c r="AD27" s="19">
        <v>-13.668100000000001</v>
      </c>
      <c r="AE27" s="6">
        <v>4.931</v>
      </c>
      <c r="AF27" s="6">
        <v>123</v>
      </c>
      <c r="AH27" s="17">
        <v>25</v>
      </c>
      <c r="AI27" s="6">
        <v>9.7606000000000002</v>
      </c>
      <c r="AJ27" s="19">
        <v>-13.668100000000001</v>
      </c>
      <c r="AK27" s="6">
        <v>4.931</v>
      </c>
      <c r="AL27" s="6">
        <v>123</v>
      </c>
      <c r="AO27" s="17">
        <v>25</v>
      </c>
      <c r="AP27" s="6">
        <v>1.82023</v>
      </c>
      <c r="AQ27" s="19">
        <v>-0.48659999999999998</v>
      </c>
      <c r="AR27" s="6">
        <v>0.91959999999999997</v>
      </c>
      <c r="AS27" s="6">
        <v>123</v>
      </c>
      <c r="AU27" s="17">
        <v>25</v>
      </c>
      <c r="AV27" s="6">
        <v>0.95711000000000002</v>
      </c>
      <c r="AW27" s="19">
        <v>-0.48659999999999998</v>
      </c>
      <c r="AX27" s="6">
        <v>0.91959999999999997</v>
      </c>
      <c r="AY27" s="6">
        <v>123</v>
      </c>
      <c r="BA27" s="17" t="s">
        <v>47</v>
      </c>
      <c r="BB27" s="5">
        <v>26</v>
      </c>
      <c r="BC27" s="6">
        <v>58.966099999999997</v>
      </c>
      <c r="BD27" s="6">
        <v>0.95130000000000003</v>
      </c>
      <c r="BE27" s="6">
        <v>123</v>
      </c>
      <c r="BF27" s="6">
        <v>61.98</v>
      </c>
      <c r="BG27" s="6" t="s">
        <v>65</v>
      </c>
      <c r="BH27" s="6">
        <v>0.3</v>
      </c>
      <c r="BI27" s="6">
        <v>57.975900000000003</v>
      </c>
      <c r="BJ27" s="6">
        <v>59.956299999999999</v>
      </c>
    </row>
    <row r="28" spans="1:62" x14ac:dyDescent="0.25">
      <c r="A28" s="31" t="s">
        <v>116</v>
      </c>
      <c r="B28" s="32">
        <v>1</v>
      </c>
      <c r="C28" s="32">
        <v>5</v>
      </c>
      <c r="D28" s="32">
        <v>3</v>
      </c>
      <c r="E28" s="32">
        <v>21</v>
      </c>
      <c r="F28" s="12">
        <v>56.3</v>
      </c>
      <c r="G28">
        <v>64.672361259079892</v>
      </c>
      <c r="H28" s="11">
        <v>13.6</v>
      </c>
      <c r="J28" s="24"/>
      <c r="K28" s="24"/>
      <c r="L28" s="24"/>
      <c r="M28" s="24"/>
      <c r="N28" s="24"/>
      <c r="Q28" s="17" t="s">
        <v>47</v>
      </c>
      <c r="R28" s="5">
        <v>27</v>
      </c>
      <c r="S28" s="6">
        <v>68.750699999999995</v>
      </c>
      <c r="T28" s="6">
        <v>3.3698999999999999</v>
      </c>
      <c r="U28" s="6">
        <v>123</v>
      </c>
      <c r="V28" s="6">
        <v>20.399999999999999</v>
      </c>
      <c r="W28" s="6" t="s">
        <v>65</v>
      </c>
      <c r="X28" s="6">
        <v>0.3</v>
      </c>
      <c r="Y28" s="6">
        <v>65.243300000000005</v>
      </c>
      <c r="Z28" s="6">
        <v>72.258099999999999</v>
      </c>
      <c r="AB28" s="17">
        <v>26</v>
      </c>
      <c r="AC28" s="6">
        <v>5.1154599999999997</v>
      </c>
      <c r="AD28" s="19">
        <v>-11.079499999999999</v>
      </c>
      <c r="AE28" s="6">
        <v>4.9147999999999996</v>
      </c>
      <c r="AF28" s="6">
        <v>123</v>
      </c>
      <c r="AH28" s="17">
        <v>26</v>
      </c>
      <c r="AI28" s="6">
        <v>9.7286000000000001</v>
      </c>
      <c r="AJ28" s="19">
        <v>-11.079499999999999</v>
      </c>
      <c r="AK28" s="6">
        <v>4.9147999999999996</v>
      </c>
      <c r="AL28" s="6">
        <v>123</v>
      </c>
      <c r="AO28" s="17">
        <v>26</v>
      </c>
      <c r="AP28" s="6">
        <v>1.81952</v>
      </c>
      <c r="AQ28" s="6">
        <v>1.3718999999999999</v>
      </c>
      <c r="AR28" s="6">
        <v>0.91920000000000002</v>
      </c>
      <c r="AS28" s="6">
        <v>123</v>
      </c>
      <c r="AU28" s="17">
        <v>26</v>
      </c>
      <c r="AV28" s="6">
        <v>0.95672999999999997</v>
      </c>
      <c r="AW28" s="6">
        <v>1.3718999999999999</v>
      </c>
      <c r="AX28" s="6">
        <v>0.91920000000000002</v>
      </c>
      <c r="AY28" s="6">
        <v>123</v>
      </c>
      <c r="BA28" s="17" t="s">
        <v>47</v>
      </c>
      <c r="BB28" s="5">
        <v>27</v>
      </c>
      <c r="BC28" s="6">
        <v>59.046199999999999</v>
      </c>
      <c r="BD28" s="6">
        <v>0.94469999999999998</v>
      </c>
      <c r="BE28" s="6">
        <v>123</v>
      </c>
      <c r="BF28" s="6">
        <v>62.5</v>
      </c>
      <c r="BG28" s="6" t="s">
        <v>65</v>
      </c>
      <c r="BH28" s="6">
        <v>0.3</v>
      </c>
      <c r="BI28" s="6">
        <v>58.062899999999999</v>
      </c>
      <c r="BJ28" s="6">
        <v>60.029499999999999</v>
      </c>
    </row>
    <row r="29" spans="1:62" x14ac:dyDescent="0.25">
      <c r="A29" s="31" t="s">
        <v>116</v>
      </c>
      <c r="B29" s="32">
        <v>1</v>
      </c>
      <c r="C29" s="32">
        <v>6</v>
      </c>
      <c r="D29" s="32">
        <v>3</v>
      </c>
      <c r="E29" s="32">
        <v>29</v>
      </c>
      <c r="F29" s="12">
        <v>55.9</v>
      </c>
      <c r="G29">
        <v>63.548449975786916</v>
      </c>
      <c r="H29" s="11">
        <v>14.3</v>
      </c>
      <c r="J29" s="24" t="s">
        <v>112</v>
      </c>
      <c r="K29" s="24"/>
      <c r="L29" s="24"/>
      <c r="M29" s="24"/>
      <c r="N29" s="24"/>
      <c r="Q29" s="17" t="s">
        <v>47</v>
      </c>
      <c r="R29" s="5">
        <v>28</v>
      </c>
      <c r="S29" s="6">
        <v>66.162199999999999</v>
      </c>
      <c r="T29" s="6">
        <v>3.3391999999999999</v>
      </c>
      <c r="U29" s="6">
        <v>123</v>
      </c>
      <c r="V29" s="6">
        <v>19.809999999999999</v>
      </c>
      <c r="W29" s="6" t="s">
        <v>65</v>
      </c>
      <c r="X29" s="6">
        <v>0.3</v>
      </c>
      <c r="Y29" s="6">
        <v>62.686700000000002</v>
      </c>
      <c r="Z29" s="6">
        <v>69.637699999999995</v>
      </c>
      <c r="AB29" s="17">
        <v>27</v>
      </c>
      <c r="AC29" s="6">
        <v>5.1235299999999997</v>
      </c>
      <c r="AD29" s="19">
        <v>-9.9137000000000004</v>
      </c>
      <c r="AE29" s="6">
        <v>4.9226000000000001</v>
      </c>
      <c r="AF29" s="6">
        <v>123</v>
      </c>
      <c r="AH29" s="17">
        <v>27</v>
      </c>
      <c r="AI29" s="6">
        <v>9.7439999999999998</v>
      </c>
      <c r="AJ29" s="19">
        <v>-9.9137000000000004</v>
      </c>
      <c r="AK29" s="6">
        <v>4.9226000000000001</v>
      </c>
      <c r="AL29" s="6">
        <v>123</v>
      </c>
      <c r="AO29" s="17">
        <v>27</v>
      </c>
      <c r="AP29" s="6">
        <v>1.8222400000000001</v>
      </c>
      <c r="AQ29" s="19">
        <v>-0.15340000000000001</v>
      </c>
      <c r="AR29" s="6">
        <v>0.92059999999999997</v>
      </c>
      <c r="AS29" s="6">
        <v>123</v>
      </c>
      <c r="AU29" s="17">
        <v>27</v>
      </c>
      <c r="AV29" s="6">
        <v>0.95816999999999997</v>
      </c>
      <c r="AW29" s="19">
        <v>-0.15340000000000001</v>
      </c>
      <c r="AX29" s="6">
        <v>0.92059999999999997</v>
      </c>
      <c r="AY29" s="6">
        <v>123</v>
      </c>
      <c r="BA29" s="17" t="s">
        <v>47</v>
      </c>
      <c r="BB29" s="5">
        <v>28</v>
      </c>
      <c r="BC29" s="6">
        <v>57.1877</v>
      </c>
      <c r="BD29" s="6">
        <v>0.94479999999999997</v>
      </c>
      <c r="BE29" s="6">
        <v>123</v>
      </c>
      <c r="BF29" s="6">
        <v>60.53</v>
      </c>
      <c r="BG29" s="6" t="s">
        <v>65</v>
      </c>
      <c r="BH29" s="6">
        <v>0.3</v>
      </c>
      <c r="BI29" s="6">
        <v>56.204300000000003</v>
      </c>
      <c r="BJ29" s="6">
        <v>58.170999999999999</v>
      </c>
    </row>
    <row r="30" spans="1:62" x14ac:dyDescent="0.25">
      <c r="A30" s="31" t="s">
        <v>116</v>
      </c>
      <c r="B30" s="32">
        <v>1</v>
      </c>
      <c r="C30" s="32">
        <v>7</v>
      </c>
      <c r="D30" s="32">
        <v>3</v>
      </c>
      <c r="E30" s="32">
        <v>5</v>
      </c>
      <c r="F30" s="12">
        <v>56.4</v>
      </c>
      <c r="G30">
        <v>54.414973656174332</v>
      </c>
      <c r="H30" s="11">
        <v>14.5</v>
      </c>
      <c r="J30" s="41" t="s">
        <v>136</v>
      </c>
      <c r="K30" s="42" t="s">
        <v>137</v>
      </c>
      <c r="L30" s="43" t="s">
        <v>138</v>
      </c>
      <c r="M30" s="42" t="s">
        <v>139</v>
      </c>
      <c r="N30" s="44" t="s">
        <v>19</v>
      </c>
      <c r="Q30" s="17" t="s">
        <v>47</v>
      </c>
      <c r="R30" s="5">
        <v>29</v>
      </c>
      <c r="S30" s="6">
        <v>64.996300000000005</v>
      </c>
      <c r="T30" s="6">
        <v>3.3403</v>
      </c>
      <c r="U30" s="6">
        <v>123</v>
      </c>
      <c r="V30" s="6">
        <v>19.46</v>
      </c>
      <c r="W30" s="6" t="s">
        <v>65</v>
      </c>
      <c r="X30" s="6">
        <v>0.3</v>
      </c>
      <c r="Y30" s="6">
        <v>61.5197</v>
      </c>
      <c r="Z30" s="6">
        <v>68.472899999999996</v>
      </c>
      <c r="AB30" s="17">
        <v>28</v>
      </c>
      <c r="AC30" s="6">
        <v>5.1203599999999998</v>
      </c>
      <c r="AD30" s="19">
        <v>-4.6948999999999996</v>
      </c>
      <c r="AE30" s="6">
        <v>4.9195000000000002</v>
      </c>
      <c r="AF30" s="6">
        <v>123</v>
      </c>
      <c r="AH30" s="17">
        <v>28</v>
      </c>
      <c r="AI30" s="6">
        <v>9.7378999999999998</v>
      </c>
      <c r="AJ30" s="19">
        <v>-4.6948999999999996</v>
      </c>
      <c r="AK30" s="6">
        <v>4.9195000000000002</v>
      </c>
      <c r="AL30" s="6">
        <v>123</v>
      </c>
      <c r="AO30" s="17">
        <v>28</v>
      </c>
      <c r="AP30" s="6">
        <v>1.8229299999999999</v>
      </c>
      <c r="AQ30" s="19">
        <v>-0.1065</v>
      </c>
      <c r="AR30" s="6">
        <v>0.92090000000000005</v>
      </c>
      <c r="AS30" s="6">
        <v>123</v>
      </c>
      <c r="AU30" s="17">
        <v>28</v>
      </c>
      <c r="AV30" s="6">
        <v>0.95852999999999999</v>
      </c>
      <c r="AW30" s="19">
        <v>-0.1065</v>
      </c>
      <c r="AX30" s="6">
        <v>0.92090000000000005</v>
      </c>
      <c r="AY30" s="6">
        <v>123</v>
      </c>
      <c r="BA30" s="17" t="s">
        <v>47</v>
      </c>
      <c r="BB30" s="5">
        <v>29</v>
      </c>
      <c r="BC30" s="6">
        <v>58.713000000000001</v>
      </c>
      <c r="BD30" s="6">
        <v>0.94510000000000005</v>
      </c>
      <c r="BE30" s="6">
        <v>123</v>
      </c>
      <c r="BF30" s="6">
        <v>62.12</v>
      </c>
      <c r="BG30" s="6" t="s">
        <v>65</v>
      </c>
      <c r="BH30" s="6">
        <v>0.3</v>
      </c>
      <c r="BI30" s="6">
        <v>57.729300000000002</v>
      </c>
      <c r="BJ30" s="6">
        <v>59.6967</v>
      </c>
    </row>
    <row r="31" spans="1:62" x14ac:dyDescent="0.25">
      <c r="A31" s="31" t="s">
        <v>116</v>
      </c>
      <c r="B31" s="32">
        <v>1</v>
      </c>
      <c r="C31" s="32">
        <v>8</v>
      </c>
      <c r="D31" s="32">
        <v>3</v>
      </c>
      <c r="E31" s="32">
        <v>24</v>
      </c>
      <c r="F31" s="12">
        <v>56.9</v>
      </c>
      <c r="G31">
        <v>61.309328861985477</v>
      </c>
      <c r="H31" s="11">
        <v>13.7</v>
      </c>
      <c r="J31" s="45" t="s">
        <v>140</v>
      </c>
      <c r="K31" s="46">
        <v>2847</v>
      </c>
      <c r="L31" s="46">
        <v>2844</v>
      </c>
      <c r="M31" s="46" t="s">
        <v>141</v>
      </c>
      <c r="N31" s="47">
        <v>3.4</v>
      </c>
      <c r="Q31" s="17" t="s">
        <v>47</v>
      </c>
      <c r="R31" s="5">
        <v>30</v>
      </c>
      <c r="S31" s="6">
        <v>59.777500000000003</v>
      </c>
      <c r="T31" s="6">
        <v>3.3386</v>
      </c>
      <c r="U31" s="6">
        <v>123</v>
      </c>
      <c r="V31" s="6">
        <v>17.91</v>
      </c>
      <c r="W31" s="6" t="s">
        <v>65</v>
      </c>
      <c r="X31" s="6">
        <v>0.3</v>
      </c>
      <c r="Y31" s="6">
        <v>56.302700000000002</v>
      </c>
      <c r="Z31" s="6">
        <v>63.252400000000002</v>
      </c>
      <c r="AB31" s="17">
        <v>29</v>
      </c>
      <c r="AC31" s="6">
        <v>5.1177799999999998</v>
      </c>
      <c r="AD31" s="19">
        <v>-7.5458999999999996</v>
      </c>
      <c r="AE31" s="6">
        <v>4.9170999999999996</v>
      </c>
      <c r="AF31" s="6">
        <v>123</v>
      </c>
      <c r="AH31" s="17">
        <v>29</v>
      </c>
      <c r="AI31" s="6">
        <v>9.7330000000000005</v>
      </c>
      <c r="AJ31" s="19">
        <v>-7.5458999999999996</v>
      </c>
      <c r="AK31" s="6">
        <v>4.9170999999999996</v>
      </c>
      <c r="AL31" s="6">
        <v>123</v>
      </c>
      <c r="AO31" s="17">
        <v>29</v>
      </c>
      <c r="AP31" s="6">
        <v>1.82473</v>
      </c>
      <c r="AQ31" s="6">
        <v>0.15770000000000001</v>
      </c>
      <c r="AR31" s="6">
        <v>0.92179999999999995</v>
      </c>
      <c r="AS31" s="6">
        <v>123</v>
      </c>
      <c r="AU31" s="17">
        <v>29</v>
      </c>
      <c r="AV31" s="6">
        <v>0.95947000000000005</v>
      </c>
      <c r="AW31" s="6">
        <v>0.15770000000000001</v>
      </c>
      <c r="AX31" s="6">
        <v>0.92179999999999995</v>
      </c>
      <c r="AY31" s="6">
        <v>123</v>
      </c>
      <c r="BA31" s="17" t="s">
        <v>47</v>
      </c>
      <c r="BB31" s="5">
        <v>30</v>
      </c>
      <c r="BC31" s="6">
        <v>58.6661</v>
      </c>
      <c r="BD31" s="6">
        <v>0.94489999999999996</v>
      </c>
      <c r="BE31" s="6">
        <v>123</v>
      </c>
      <c r="BF31" s="6">
        <v>62.09</v>
      </c>
      <c r="BG31" s="6" t="s">
        <v>65</v>
      </c>
      <c r="BH31" s="6">
        <v>0.3</v>
      </c>
      <c r="BI31" s="6">
        <v>57.682600000000001</v>
      </c>
      <c r="BJ31" s="6">
        <v>59.6496</v>
      </c>
    </row>
    <row r="32" spans="1:62" x14ac:dyDescent="0.25">
      <c r="A32" s="31" t="s">
        <v>116</v>
      </c>
      <c r="B32" s="32">
        <v>1</v>
      </c>
      <c r="C32" s="32">
        <v>9</v>
      </c>
      <c r="D32" s="32">
        <v>3</v>
      </c>
      <c r="E32" s="32">
        <v>35</v>
      </c>
      <c r="F32" s="12">
        <v>57.6</v>
      </c>
      <c r="G32">
        <v>69.413991428571435</v>
      </c>
      <c r="H32" s="11">
        <v>14.5</v>
      </c>
      <c r="J32" s="48" t="s">
        <v>142</v>
      </c>
      <c r="K32" s="49">
        <v>2792</v>
      </c>
      <c r="L32" s="49">
        <v>2786</v>
      </c>
      <c r="M32" s="49" t="s">
        <v>141</v>
      </c>
      <c r="N32" s="50">
        <v>3.3</v>
      </c>
      <c r="Q32" s="17" t="s">
        <v>47</v>
      </c>
      <c r="R32" s="5">
        <v>31</v>
      </c>
      <c r="S32" s="6">
        <v>62.628599999999999</v>
      </c>
      <c r="T32" s="6">
        <v>3.3372000000000002</v>
      </c>
      <c r="U32" s="6">
        <v>123</v>
      </c>
      <c r="V32" s="6">
        <v>18.77</v>
      </c>
      <c r="W32" s="6" t="s">
        <v>65</v>
      </c>
      <c r="X32" s="6">
        <v>0.3</v>
      </c>
      <c r="Y32" s="6">
        <v>59.155099999999997</v>
      </c>
      <c r="Z32" s="6">
        <v>66.102000000000004</v>
      </c>
      <c r="AB32" s="17">
        <v>30</v>
      </c>
      <c r="AC32" s="6">
        <v>5.10541</v>
      </c>
      <c r="AD32" s="19">
        <v>-19.2455</v>
      </c>
      <c r="AE32" s="6">
        <v>4.9051999999999998</v>
      </c>
      <c r="AF32" s="6">
        <v>123</v>
      </c>
      <c r="AH32" s="17">
        <v>30</v>
      </c>
      <c r="AI32" s="6">
        <v>9.7095000000000002</v>
      </c>
      <c r="AJ32" s="19">
        <v>-19.2455</v>
      </c>
      <c r="AK32" s="6">
        <v>4.9051999999999998</v>
      </c>
      <c r="AL32" s="6">
        <v>123</v>
      </c>
      <c r="AO32" s="17">
        <v>30</v>
      </c>
      <c r="AP32" s="6">
        <v>1.80968</v>
      </c>
      <c r="AQ32" s="19">
        <v>-1.968</v>
      </c>
      <c r="AR32" s="6">
        <v>0.91420000000000001</v>
      </c>
      <c r="AS32" s="6">
        <v>123</v>
      </c>
      <c r="AU32" s="17">
        <v>30</v>
      </c>
      <c r="AV32" s="6">
        <v>0.95155999999999996</v>
      </c>
      <c r="AW32" s="19">
        <v>-1.968</v>
      </c>
      <c r="AX32" s="6">
        <v>0.91420000000000001</v>
      </c>
      <c r="AY32" s="6">
        <v>123</v>
      </c>
      <c r="BA32" s="17" t="s">
        <v>47</v>
      </c>
      <c r="BB32" s="5">
        <v>31</v>
      </c>
      <c r="BC32" s="6">
        <v>58.401899999999998</v>
      </c>
      <c r="BD32" s="6">
        <v>0.94510000000000005</v>
      </c>
      <c r="BE32" s="6">
        <v>123</v>
      </c>
      <c r="BF32" s="6">
        <v>61.79</v>
      </c>
      <c r="BG32" s="6" t="s">
        <v>65</v>
      </c>
      <c r="BH32" s="6">
        <v>0.3</v>
      </c>
      <c r="BI32" s="6">
        <v>57.418199999999999</v>
      </c>
      <c r="BJ32" s="6">
        <v>59.385599999999997</v>
      </c>
    </row>
    <row r="33" spans="1:62" x14ac:dyDescent="0.25">
      <c r="A33" s="31" t="s">
        <v>116</v>
      </c>
      <c r="B33" s="32">
        <v>1</v>
      </c>
      <c r="C33" s="32">
        <v>10</v>
      </c>
      <c r="D33" s="32">
        <v>3</v>
      </c>
      <c r="E33" s="32">
        <v>37</v>
      </c>
      <c r="F33" s="12">
        <v>59.3</v>
      </c>
      <c r="G33">
        <v>71.537903389830518</v>
      </c>
      <c r="H33" s="11">
        <v>13.7</v>
      </c>
      <c r="J33" s="51" t="s">
        <v>143</v>
      </c>
      <c r="K33" s="52">
        <v>2847</v>
      </c>
      <c r="L33" s="52">
        <v>2844</v>
      </c>
      <c r="M33" s="52" t="s">
        <v>141</v>
      </c>
      <c r="N33" s="47">
        <v>3.4</v>
      </c>
      <c r="Q33" s="17" t="s">
        <v>47</v>
      </c>
      <c r="R33" s="5">
        <v>32</v>
      </c>
      <c r="S33" s="6">
        <v>74.328100000000006</v>
      </c>
      <c r="T33" s="6">
        <v>3.3412000000000002</v>
      </c>
      <c r="U33" s="6">
        <v>123</v>
      </c>
      <c r="V33" s="6">
        <v>22.25</v>
      </c>
      <c r="W33" s="6" t="s">
        <v>65</v>
      </c>
      <c r="X33" s="6">
        <v>0.3</v>
      </c>
      <c r="Y33" s="6">
        <v>70.850499999999997</v>
      </c>
      <c r="Z33" s="6">
        <v>77.805700000000002</v>
      </c>
      <c r="AB33" s="17">
        <v>31</v>
      </c>
      <c r="AC33" s="6">
        <v>5.1176700000000004</v>
      </c>
      <c r="AD33" s="19">
        <v>-14.9857</v>
      </c>
      <c r="AE33" s="6">
        <v>4.9169999999999998</v>
      </c>
      <c r="AF33" s="6">
        <v>123</v>
      </c>
      <c r="AH33" s="17">
        <v>31</v>
      </c>
      <c r="AI33" s="6">
        <v>9.7327999999999992</v>
      </c>
      <c r="AJ33" s="19">
        <v>-14.9857</v>
      </c>
      <c r="AK33" s="6">
        <v>4.9169999999999998</v>
      </c>
      <c r="AL33" s="6">
        <v>123</v>
      </c>
      <c r="AO33" s="17">
        <v>31</v>
      </c>
      <c r="AP33" s="6">
        <v>1.81819</v>
      </c>
      <c r="AQ33" s="19">
        <v>-0.52929999999999999</v>
      </c>
      <c r="AR33" s="6">
        <v>0.91849999999999998</v>
      </c>
      <c r="AS33" s="6">
        <v>123</v>
      </c>
      <c r="AU33" s="17">
        <v>31</v>
      </c>
      <c r="AV33" s="6">
        <v>0.95603000000000005</v>
      </c>
      <c r="AW33" s="19">
        <v>-0.52929999999999999</v>
      </c>
      <c r="AX33" s="6">
        <v>0.91849999999999998</v>
      </c>
      <c r="AY33" s="6">
        <v>123</v>
      </c>
      <c r="BA33" s="17" t="s">
        <v>47</v>
      </c>
      <c r="BB33" s="5">
        <v>32</v>
      </c>
      <c r="BC33" s="6">
        <v>60.5276</v>
      </c>
      <c r="BD33" s="6">
        <v>0.94499999999999995</v>
      </c>
      <c r="BE33" s="6">
        <v>123</v>
      </c>
      <c r="BF33" s="6">
        <v>64.05</v>
      </c>
      <c r="BG33" s="6" t="s">
        <v>65</v>
      </c>
      <c r="BH33" s="6">
        <v>0.3</v>
      </c>
      <c r="BI33" s="6">
        <v>59.543999999999997</v>
      </c>
      <c r="BJ33" s="6">
        <v>61.511099999999999</v>
      </c>
    </row>
    <row r="34" spans="1:62" x14ac:dyDescent="0.25">
      <c r="A34" s="31" t="s">
        <v>116</v>
      </c>
      <c r="B34" s="32">
        <v>1</v>
      </c>
      <c r="C34" s="32">
        <v>11</v>
      </c>
      <c r="D34" s="32">
        <v>3</v>
      </c>
      <c r="E34" s="32">
        <v>17</v>
      </c>
      <c r="F34" s="12">
        <v>55.6</v>
      </c>
      <c r="G34">
        <v>75.272039564164672</v>
      </c>
      <c r="H34" s="11">
        <v>14.1</v>
      </c>
      <c r="J34" s="45" t="s">
        <v>144</v>
      </c>
      <c r="K34" s="46">
        <v>2797</v>
      </c>
      <c r="L34" s="46">
        <v>2793</v>
      </c>
      <c r="M34" s="46" t="s">
        <v>141</v>
      </c>
      <c r="N34" s="47">
        <v>3.3</v>
      </c>
      <c r="Q34" s="17" t="s">
        <v>47</v>
      </c>
      <c r="R34" s="5">
        <v>33</v>
      </c>
      <c r="S34" s="6">
        <v>70.068399999999997</v>
      </c>
      <c r="T34" s="6">
        <v>3.3384999999999998</v>
      </c>
      <c r="U34" s="6">
        <v>123</v>
      </c>
      <c r="V34" s="6">
        <v>20.99</v>
      </c>
      <c r="W34" s="6" t="s">
        <v>65</v>
      </c>
      <c r="X34" s="6">
        <v>0.3</v>
      </c>
      <c r="Y34" s="6">
        <v>66.593599999999995</v>
      </c>
      <c r="Z34" s="6">
        <v>73.543199999999999</v>
      </c>
      <c r="AB34" s="17">
        <v>32</v>
      </c>
      <c r="AC34" s="6">
        <v>5.1029400000000003</v>
      </c>
      <c r="AD34" s="19">
        <v>-13.8863</v>
      </c>
      <c r="AE34" s="6">
        <v>4.9028</v>
      </c>
      <c r="AF34" s="6">
        <v>123</v>
      </c>
      <c r="AH34" s="17">
        <v>32</v>
      </c>
      <c r="AI34" s="6">
        <v>9.7048000000000005</v>
      </c>
      <c r="AJ34" s="19">
        <v>-13.8863</v>
      </c>
      <c r="AK34" s="6">
        <v>4.9028</v>
      </c>
      <c r="AL34" s="6">
        <v>123</v>
      </c>
      <c r="AO34" s="17">
        <v>32</v>
      </c>
      <c r="AP34" s="6">
        <v>1.81768</v>
      </c>
      <c r="AQ34" s="6">
        <v>0.1404</v>
      </c>
      <c r="AR34" s="6">
        <v>0.91830000000000001</v>
      </c>
      <c r="AS34" s="6">
        <v>123</v>
      </c>
      <c r="AU34" s="17">
        <v>32</v>
      </c>
      <c r="AV34" s="6">
        <v>0.95577000000000001</v>
      </c>
      <c r="AW34" s="6">
        <v>0.1404</v>
      </c>
      <c r="AX34" s="6">
        <v>0.91830000000000001</v>
      </c>
      <c r="AY34" s="6">
        <v>123</v>
      </c>
      <c r="BA34" s="17" t="s">
        <v>47</v>
      </c>
      <c r="BB34" s="5">
        <v>33</v>
      </c>
      <c r="BC34" s="6">
        <v>59.088900000000002</v>
      </c>
      <c r="BD34" s="6">
        <v>0.94469999999999998</v>
      </c>
      <c r="BE34" s="6">
        <v>123</v>
      </c>
      <c r="BF34" s="6">
        <v>62.55</v>
      </c>
      <c r="BG34" s="6" t="s">
        <v>65</v>
      </c>
      <c r="BH34" s="6">
        <v>0.3</v>
      </c>
      <c r="BI34" s="6">
        <v>58.105600000000003</v>
      </c>
      <c r="BJ34" s="6">
        <v>60.072200000000002</v>
      </c>
    </row>
    <row r="35" spans="1:62" x14ac:dyDescent="0.25">
      <c r="A35" s="31" t="s">
        <v>116</v>
      </c>
      <c r="B35" s="32">
        <v>1</v>
      </c>
      <c r="C35" s="32">
        <v>11</v>
      </c>
      <c r="D35" s="32">
        <v>4</v>
      </c>
      <c r="E35" s="32">
        <v>22</v>
      </c>
      <c r="F35" s="12">
        <v>58.1</v>
      </c>
      <c r="G35">
        <v>64.528196213425119</v>
      </c>
      <c r="H35" s="11">
        <v>14.9</v>
      </c>
      <c r="J35" s="53" t="s">
        <v>145</v>
      </c>
      <c r="K35" s="54">
        <v>2866</v>
      </c>
      <c r="L35" s="46">
        <v>2864</v>
      </c>
      <c r="M35" s="46" t="s">
        <v>141</v>
      </c>
      <c r="N35" s="55">
        <v>3.4</v>
      </c>
      <c r="Q35" s="17" t="s">
        <v>47</v>
      </c>
      <c r="R35" s="5">
        <v>34</v>
      </c>
      <c r="S35" s="6">
        <v>68.968999999999994</v>
      </c>
      <c r="T35" s="6">
        <v>3.3447</v>
      </c>
      <c r="U35" s="6">
        <v>123</v>
      </c>
      <c r="V35" s="6">
        <v>20.62</v>
      </c>
      <c r="W35" s="6" t="s">
        <v>65</v>
      </c>
      <c r="X35" s="6">
        <v>0.3</v>
      </c>
      <c r="Y35" s="6">
        <v>65.487700000000004</v>
      </c>
      <c r="Z35" s="6">
        <v>72.450199999999995</v>
      </c>
      <c r="AB35" s="17">
        <v>33</v>
      </c>
      <c r="AC35" s="6">
        <v>5.1369499999999997</v>
      </c>
      <c r="AD35" s="19">
        <v>-18.033899999999999</v>
      </c>
      <c r="AE35" s="6">
        <v>4.9355000000000002</v>
      </c>
      <c r="AF35" s="6">
        <v>123</v>
      </c>
      <c r="AH35" s="17">
        <v>33</v>
      </c>
      <c r="AI35" s="6">
        <v>9.7695000000000007</v>
      </c>
      <c r="AJ35" s="19">
        <v>-18.033899999999999</v>
      </c>
      <c r="AK35" s="6">
        <v>4.9355000000000002</v>
      </c>
      <c r="AL35" s="6">
        <v>123</v>
      </c>
      <c r="AO35" s="17">
        <v>33</v>
      </c>
      <c r="AP35" s="6">
        <v>1.83314</v>
      </c>
      <c r="AQ35" s="19">
        <v>-0.80100000000000005</v>
      </c>
      <c r="AR35" s="6">
        <v>0.92610000000000003</v>
      </c>
      <c r="AS35" s="6">
        <v>123</v>
      </c>
      <c r="AU35" s="17">
        <v>33</v>
      </c>
      <c r="AV35" s="6">
        <v>0.96389000000000002</v>
      </c>
      <c r="AW35" s="19">
        <v>-0.80100000000000005</v>
      </c>
      <c r="AX35" s="6">
        <v>0.92610000000000003</v>
      </c>
      <c r="AY35" s="6">
        <v>123</v>
      </c>
      <c r="BA35" s="17" t="s">
        <v>47</v>
      </c>
      <c r="BB35" s="5">
        <v>34</v>
      </c>
      <c r="BC35" s="6">
        <v>58.4191</v>
      </c>
      <c r="BD35" s="6">
        <v>0.94469999999999998</v>
      </c>
      <c r="BE35" s="6">
        <v>123</v>
      </c>
      <c r="BF35" s="6">
        <v>61.84</v>
      </c>
      <c r="BG35" s="6" t="s">
        <v>65</v>
      </c>
      <c r="BH35" s="6">
        <v>0.3</v>
      </c>
      <c r="BI35" s="6">
        <v>57.435899999999997</v>
      </c>
      <c r="BJ35" s="6">
        <v>59.4024</v>
      </c>
    </row>
    <row r="36" spans="1:62" x14ac:dyDescent="0.25">
      <c r="A36" s="31" t="s">
        <v>116</v>
      </c>
      <c r="B36" s="32">
        <v>1</v>
      </c>
      <c r="C36" s="32">
        <v>10</v>
      </c>
      <c r="D36" s="32">
        <v>4</v>
      </c>
      <c r="E36" s="32">
        <v>25</v>
      </c>
      <c r="F36" s="12">
        <v>57.2</v>
      </c>
      <c r="G36">
        <v>58.780753012048194</v>
      </c>
      <c r="H36" s="11">
        <v>14.4</v>
      </c>
      <c r="K36" s="5"/>
      <c r="L36" s="6"/>
      <c r="M36" s="6"/>
      <c r="Q36" s="17" t="s">
        <v>47</v>
      </c>
      <c r="R36" s="5">
        <v>35</v>
      </c>
      <c r="S36" s="6">
        <v>73.116600000000005</v>
      </c>
      <c r="T36" s="6">
        <v>3.3563000000000001</v>
      </c>
      <c r="U36" s="6">
        <v>123</v>
      </c>
      <c r="V36" s="6">
        <v>21.78</v>
      </c>
      <c r="W36" s="6" t="s">
        <v>65</v>
      </c>
      <c r="X36" s="6">
        <v>0.3</v>
      </c>
      <c r="Y36" s="6">
        <v>69.623199999999997</v>
      </c>
      <c r="Z36" s="6">
        <v>76.609899999999996</v>
      </c>
      <c r="AB36" s="17">
        <v>34</v>
      </c>
      <c r="AC36" s="6">
        <v>5.1169599999999997</v>
      </c>
      <c r="AD36" s="19">
        <v>-8.9885000000000002</v>
      </c>
      <c r="AE36" s="6">
        <v>4.9162999999999997</v>
      </c>
      <c r="AF36" s="6">
        <v>123</v>
      </c>
      <c r="AH36" s="17">
        <v>34</v>
      </c>
      <c r="AI36" s="6">
        <v>9.7314000000000007</v>
      </c>
      <c r="AJ36" s="19">
        <v>-8.9885000000000002</v>
      </c>
      <c r="AK36" s="6">
        <v>4.9162999999999997</v>
      </c>
      <c r="AL36" s="6">
        <v>123</v>
      </c>
      <c r="AO36" s="17">
        <v>34</v>
      </c>
      <c r="AP36" s="6">
        <v>1.8204400000000001</v>
      </c>
      <c r="AQ36" s="19">
        <v>-1.3532</v>
      </c>
      <c r="AR36" s="6">
        <v>0.91969999999999996</v>
      </c>
      <c r="AS36" s="6">
        <v>123</v>
      </c>
      <c r="AU36" s="17">
        <v>34</v>
      </c>
      <c r="AV36" s="6">
        <v>0.95721999999999996</v>
      </c>
      <c r="AW36" s="19">
        <v>-1.3532</v>
      </c>
      <c r="AX36" s="6">
        <v>0.91969999999999996</v>
      </c>
      <c r="AY36" s="6">
        <v>123</v>
      </c>
      <c r="BA36" s="17" t="s">
        <v>47</v>
      </c>
      <c r="BB36" s="5">
        <v>35</v>
      </c>
      <c r="BC36" s="6">
        <v>59.360599999999998</v>
      </c>
      <c r="BD36" s="6">
        <v>0.9486</v>
      </c>
      <c r="BE36" s="6">
        <v>123</v>
      </c>
      <c r="BF36" s="6">
        <v>62.58</v>
      </c>
      <c r="BG36" s="6" t="s">
        <v>65</v>
      </c>
      <c r="BH36" s="6">
        <v>0.3</v>
      </c>
      <c r="BI36" s="6">
        <v>58.3733</v>
      </c>
      <c r="BJ36" s="6">
        <v>60.347900000000003</v>
      </c>
    </row>
    <row r="37" spans="1:62" x14ac:dyDescent="0.25">
      <c r="A37" s="31" t="s">
        <v>116</v>
      </c>
      <c r="B37" s="32">
        <v>1</v>
      </c>
      <c r="C37" s="32">
        <v>9</v>
      </c>
      <c r="D37" s="32">
        <v>4</v>
      </c>
      <c r="E37" s="32">
        <v>100</v>
      </c>
      <c r="F37" s="12">
        <v>56</v>
      </c>
      <c r="G37">
        <v>46.333192771084342</v>
      </c>
      <c r="H37" s="11">
        <v>14.8</v>
      </c>
      <c r="K37" s="5"/>
      <c r="L37" s="6"/>
      <c r="M37" s="6"/>
      <c r="Q37" s="17" t="s">
        <v>47</v>
      </c>
      <c r="R37" s="5">
        <v>36</v>
      </c>
      <c r="S37" s="6">
        <v>64.071200000000005</v>
      </c>
      <c r="T37" s="6">
        <v>3.3386</v>
      </c>
      <c r="U37" s="6">
        <v>123</v>
      </c>
      <c r="V37" s="6">
        <v>19.190000000000001</v>
      </c>
      <c r="W37" s="6" t="s">
        <v>65</v>
      </c>
      <c r="X37" s="6">
        <v>0.3</v>
      </c>
      <c r="Y37" s="6">
        <v>60.596299999999999</v>
      </c>
      <c r="Z37" s="6">
        <v>67.546000000000006</v>
      </c>
      <c r="AB37" s="17">
        <v>35</v>
      </c>
      <c r="AC37" s="6">
        <v>5.1229399999999998</v>
      </c>
      <c r="AD37" s="19">
        <v>-15.211</v>
      </c>
      <c r="AE37" s="6">
        <v>4.9219999999999997</v>
      </c>
      <c r="AF37" s="6">
        <v>123</v>
      </c>
      <c r="AH37" s="17">
        <v>35</v>
      </c>
      <c r="AI37" s="6">
        <v>9.7428000000000008</v>
      </c>
      <c r="AJ37" s="19">
        <v>-15.211</v>
      </c>
      <c r="AK37" s="6">
        <v>4.9219999999999997</v>
      </c>
      <c r="AL37" s="6">
        <v>123</v>
      </c>
      <c r="AO37" s="17">
        <v>35</v>
      </c>
      <c r="AP37" s="6">
        <v>1.82498</v>
      </c>
      <c r="AQ37" s="19">
        <v>-1.2979000000000001</v>
      </c>
      <c r="AR37" s="6">
        <v>0.92200000000000004</v>
      </c>
      <c r="AS37" s="6">
        <v>123</v>
      </c>
      <c r="AU37" s="17">
        <v>35</v>
      </c>
      <c r="AV37" s="6">
        <v>0.95960999999999996</v>
      </c>
      <c r="AW37" s="19">
        <v>-1.2979000000000001</v>
      </c>
      <c r="AX37" s="6">
        <v>0.92200000000000004</v>
      </c>
      <c r="AY37" s="6">
        <v>123</v>
      </c>
      <c r="BA37" s="17" t="s">
        <v>47</v>
      </c>
      <c r="BB37" s="5">
        <v>36</v>
      </c>
      <c r="BC37" s="6">
        <v>59.912799999999997</v>
      </c>
      <c r="BD37" s="6">
        <v>0.94479999999999997</v>
      </c>
      <c r="BE37" s="6">
        <v>123</v>
      </c>
      <c r="BF37" s="6">
        <v>63.41</v>
      </c>
      <c r="BG37" s="6" t="s">
        <v>65</v>
      </c>
      <c r="BH37" s="6">
        <v>0.3</v>
      </c>
      <c r="BI37" s="6">
        <v>58.929400000000001</v>
      </c>
      <c r="BJ37" s="6">
        <v>60.896099999999997</v>
      </c>
    </row>
    <row r="38" spans="1:62" x14ac:dyDescent="0.25">
      <c r="A38" s="31" t="s">
        <v>116</v>
      </c>
      <c r="B38" s="32">
        <v>1</v>
      </c>
      <c r="C38" s="32">
        <v>8</v>
      </c>
      <c r="D38" s="32">
        <v>4</v>
      </c>
      <c r="E38" s="32">
        <v>23</v>
      </c>
      <c r="F38" s="12">
        <v>56.9</v>
      </c>
      <c r="G38">
        <v>53.134046901893278</v>
      </c>
      <c r="H38" s="11">
        <v>15.6</v>
      </c>
      <c r="K38" s="5"/>
      <c r="L38" s="6"/>
      <c r="M38" s="6"/>
      <c r="Q38" s="17" t="s">
        <v>47</v>
      </c>
      <c r="R38" s="5">
        <v>37</v>
      </c>
      <c r="S38" s="6">
        <v>70.293700000000001</v>
      </c>
      <c r="T38" s="6">
        <v>3.3380999999999998</v>
      </c>
      <c r="U38" s="6">
        <v>123</v>
      </c>
      <c r="V38" s="6">
        <v>21.06</v>
      </c>
      <c r="W38" s="6" t="s">
        <v>65</v>
      </c>
      <c r="X38" s="6">
        <v>0.3</v>
      </c>
      <c r="Y38" s="6">
        <v>66.819299999999998</v>
      </c>
      <c r="Z38" s="6">
        <v>73.768100000000004</v>
      </c>
      <c r="AB38" s="17">
        <v>36</v>
      </c>
      <c r="AC38" s="6">
        <v>5.12181</v>
      </c>
      <c r="AD38" s="19">
        <v>-13.3621</v>
      </c>
      <c r="AE38" s="6">
        <v>4.9208999999999996</v>
      </c>
      <c r="AF38" s="6">
        <v>123</v>
      </c>
      <c r="AH38" s="17">
        <v>36</v>
      </c>
      <c r="AI38" s="6">
        <v>9.7407000000000004</v>
      </c>
      <c r="AJ38" s="19">
        <v>-13.3621</v>
      </c>
      <c r="AK38" s="6">
        <v>4.9208999999999996</v>
      </c>
      <c r="AL38" s="6">
        <v>123</v>
      </c>
      <c r="AO38" s="17">
        <v>36</v>
      </c>
      <c r="AP38" s="6">
        <v>1.82412</v>
      </c>
      <c r="AQ38" s="19">
        <v>-1.7576000000000001</v>
      </c>
      <c r="AR38" s="6">
        <v>0.92149999999999999</v>
      </c>
      <c r="AS38" s="6">
        <v>123</v>
      </c>
      <c r="AU38" s="17">
        <v>36</v>
      </c>
      <c r="AV38" s="6">
        <v>0.95914999999999995</v>
      </c>
      <c r="AW38" s="19">
        <v>-1.7576000000000001</v>
      </c>
      <c r="AX38" s="6">
        <v>0.92149999999999999</v>
      </c>
      <c r="AY38" s="6">
        <v>123</v>
      </c>
      <c r="BA38" s="17" t="s">
        <v>47</v>
      </c>
      <c r="BB38" s="5">
        <v>37</v>
      </c>
      <c r="BC38" s="6">
        <v>59.857399999999998</v>
      </c>
      <c r="BD38" s="6">
        <v>0.94479999999999997</v>
      </c>
      <c r="BE38" s="6">
        <v>123</v>
      </c>
      <c r="BF38" s="6">
        <v>63.36</v>
      </c>
      <c r="BG38" s="6" t="s">
        <v>65</v>
      </c>
      <c r="BH38" s="6">
        <v>0.3</v>
      </c>
      <c r="BI38" s="6">
        <v>58.874099999999999</v>
      </c>
      <c r="BJ38" s="6">
        <v>60.840800000000002</v>
      </c>
    </row>
    <row r="39" spans="1:62" x14ac:dyDescent="0.25">
      <c r="A39" s="31" t="s">
        <v>116</v>
      </c>
      <c r="B39" s="32">
        <v>1</v>
      </c>
      <c r="C39" s="32">
        <v>7</v>
      </c>
      <c r="D39" s="32">
        <v>4</v>
      </c>
      <c r="E39" s="32">
        <v>36</v>
      </c>
      <c r="F39" s="12">
        <v>57</v>
      </c>
      <c r="G39">
        <v>53.901893287435449</v>
      </c>
      <c r="H39" s="11">
        <v>15.2</v>
      </c>
      <c r="K39" s="5"/>
      <c r="L39" s="6"/>
      <c r="M39" s="6"/>
      <c r="Q39" s="17" t="s">
        <v>47</v>
      </c>
      <c r="R39" s="5">
        <v>40</v>
      </c>
      <c r="S39" s="6">
        <v>68.444800000000001</v>
      </c>
      <c r="T39" s="6">
        <v>3.3378999999999999</v>
      </c>
      <c r="U39" s="6">
        <v>123</v>
      </c>
      <c r="V39" s="6">
        <v>20.51</v>
      </c>
      <c r="W39" s="6" t="s">
        <v>65</v>
      </c>
      <c r="X39" s="6">
        <v>0.3</v>
      </c>
      <c r="Y39" s="6">
        <v>64.970600000000005</v>
      </c>
      <c r="Z39" s="6">
        <v>71.918899999999994</v>
      </c>
      <c r="AB39" s="17">
        <v>37</v>
      </c>
      <c r="AC39" s="6">
        <v>5.11287</v>
      </c>
      <c r="AD39" s="19">
        <v>-6.4095000000000004</v>
      </c>
      <c r="AE39" s="6">
        <v>4.9123000000000001</v>
      </c>
      <c r="AF39" s="6">
        <v>123</v>
      </c>
      <c r="AH39" s="17">
        <v>37</v>
      </c>
      <c r="AI39" s="6">
        <v>9.7236999999999991</v>
      </c>
      <c r="AJ39" s="19">
        <v>-6.4095000000000004</v>
      </c>
      <c r="AK39" s="6">
        <v>4.9123000000000001</v>
      </c>
      <c r="AL39" s="6">
        <v>123</v>
      </c>
      <c r="AO39" s="17">
        <v>37</v>
      </c>
      <c r="AP39" s="6">
        <v>1.82562</v>
      </c>
      <c r="AQ39" s="6">
        <v>0.54759999999999998</v>
      </c>
      <c r="AR39" s="6">
        <v>0.92230000000000001</v>
      </c>
      <c r="AS39" s="6">
        <v>123</v>
      </c>
      <c r="AU39" s="17">
        <v>37</v>
      </c>
      <c r="AV39" s="6">
        <v>0.95994000000000002</v>
      </c>
      <c r="AW39" s="6">
        <v>0.54759999999999998</v>
      </c>
      <c r="AX39" s="6">
        <v>0.92230000000000001</v>
      </c>
      <c r="AY39" s="6">
        <v>123</v>
      </c>
      <c r="BA39" s="17" t="s">
        <v>47</v>
      </c>
      <c r="BB39" s="5">
        <v>40</v>
      </c>
      <c r="BC39" s="6">
        <v>60.3172</v>
      </c>
      <c r="BD39" s="6">
        <v>0.94489999999999996</v>
      </c>
      <c r="BE39" s="6">
        <v>123</v>
      </c>
      <c r="BF39" s="6">
        <v>63.83</v>
      </c>
      <c r="BG39" s="6" t="s">
        <v>65</v>
      </c>
      <c r="BH39" s="6">
        <v>0.3</v>
      </c>
      <c r="BI39" s="6">
        <v>59.3337</v>
      </c>
      <c r="BJ39" s="6">
        <v>61.300699999999999</v>
      </c>
    </row>
    <row r="40" spans="1:62" x14ac:dyDescent="0.25">
      <c r="A40" s="31" t="s">
        <v>116</v>
      </c>
      <c r="B40" s="32">
        <v>1</v>
      </c>
      <c r="C40" s="32">
        <v>6</v>
      </c>
      <c r="D40" s="32">
        <v>4</v>
      </c>
      <c r="E40" s="32">
        <v>28</v>
      </c>
      <c r="F40" s="12">
        <v>55.1</v>
      </c>
      <c r="G40">
        <v>54.963582616178996</v>
      </c>
      <c r="H40" s="11">
        <v>14</v>
      </c>
      <c r="K40" s="5"/>
      <c r="L40" s="6"/>
      <c r="M40" s="6"/>
      <c r="Q40" s="17" t="s">
        <v>47</v>
      </c>
      <c r="R40" s="5">
        <v>41</v>
      </c>
      <c r="S40" s="6">
        <v>61.492199999999997</v>
      </c>
      <c r="T40" s="6">
        <v>3.3694999999999999</v>
      </c>
      <c r="U40" s="6">
        <v>123</v>
      </c>
      <c r="V40" s="6">
        <v>18.25</v>
      </c>
      <c r="W40" s="6" t="s">
        <v>65</v>
      </c>
      <c r="X40" s="6">
        <v>0.3</v>
      </c>
      <c r="Y40" s="6">
        <v>57.985100000000003</v>
      </c>
      <c r="Z40" s="6">
        <v>64.999200000000002</v>
      </c>
      <c r="AB40" s="17">
        <v>38</v>
      </c>
      <c r="AC40" s="6">
        <v>5.1270199999999999</v>
      </c>
      <c r="AD40" s="19">
        <v>-12.737299999999999</v>
      </c>
      <c r="AE40" s="6">
        <v>4.9259000000000004</v>
      </c>
      <c r="AF40" s="6">
        <v>123</v>
      </c>
      <c r="AH40" s="17">
        <v>38</v>
      </c>
      <c r="AI40" s="6">
        <v>9.7506000000000004</v>
      </c>
      <c r="AJ40" s="19">
        <v>-12.737299999999999</v>
      </c>
      <c r="AK40" s="6">
        <v>4.9259000000000004</v>
      </c>
      <c r="AL40" s="6">
        <v>123</v>
      </c>
      <c r="AO40" s="17">
        <v>38</v>
      </c>
      <c r="AP40" s="6">
        <v>1.82358</v>
      </c>
      <c r="AQ40" s="19">
        <v>-1.8147</v>
      </c>
      <c r="AR40" s="6">
        <v>0.92130000000000001</v>
      </c>
      <c r="AS40" s="6">
        <v>123</v>
      </c>
      <c r="AU40" s="17">
        <v>38</v>
      </c>
      <c r="AV40" s="6">
        <v>0.95887</v>
      </c>
      <c r="AW40" s="19">
        <v>-1.8147</v>
      </c>
      <c r="AX40" s="6">
        <v>0.92130000000000001</v>
      </c>
      <c r="AY40" s="6">
        <v>123</v>
      </c>
      <c r="BA40" s="17" t="s">
        <v>47</v>
      </c>
      <c r="BB40" s="5">
        <v>41</v>
      </c>
      <c r="BC40" s="6">
        <v>58.012</v>
      </c>
      <c r="BD40" s="6">
        <v>0.95089999999999997</v>
      </c>
      <c r="BE40" s="6">
        <v>123</v>
      </c>
      <c r="BF40" s="6">
        <v>61.01</v>
      </c>
      <c r="BG40" s="6" t="s">
        <v>65</v>
      </c>
      <c r="BH40" s="6">
        <v>0.3</v>
      </c>
      <c r="BI40" s="6">
        <v>57.022300000000001</v>
      </c>
      <c r="BJ40" s="6">
        <v>59.0017</v>
      </c>
    </row>
    <row r="41" spans="1:62" x14ac:dyDescent="0.25">
      <c r="A41" s="31" t="s">
        <v>116</v>
      </c>
      <c r="B41" s="32">
        <v>1</v>
      </c>
      <c r="C41" s="32">
        <v>5</v>
      </c>
      <c r="D41" s="32">
        <v>4</v>
      </c>
      <c r="E41" s="32">
        <v>13</v>
      </c>
      <c r="F41" s="12">
        <v>56.1</v>
      </c>
      <c r="G41">
        <v>61.831416523235788</v>
      </c>
      <c r="H41" s="11">
        <v>14.5</v>
      </c>
      <c r="K41" s="5"/>
      <c r="L41" s="6"/>
      <c r="M41" s="6"/>
      <c r="Q41" s="17" t="s">
        <v>47</v>
      </c>
      <c r="R41" s="5">
        <v>42</v>
      </c>
      <c r="S41" s="6">
        <v>67.819900000000004</v>
      </c>
      <c r="T41" s="6">
        <v>3.3570000000000002</v>
      </c>
      <c r="U41" s="6">
        <v>123</v>
      </c>
      <c r="V41" s="6">
        <v>20.2</v>
      </c>
      <c r="W41" s="6" t="s">
        <v>65</v>
      </c>
      <c r="X41" s="6">
        <v>0.3</v>
      </c>
      <c r="Y41" s="6">
        <v>64.325900000000004</v>
      </c>
      <c r="Z41" s="6">
        <v>71.313999999999993</v>
      </c>
      <c r="AB41" s="17">
        <v>39</v>
      </c>
      <c r="AC41" s="6">
        <v>5.1356400000000004</v>
      </c>
      <c r="AD41" s="19">
        <v>-1.9475</v>
      </c>
      <c r="AE41" s="6">
        <v>4.9341999999999997</v>
      </c>
      <c r="AF41" s="6">
        <v>123</v>
      </c>
      <c r="AH41" s="17">
        <v>39</v>
      </c>
      <c r="AI41" s="6">
        <v>9.7669999999999995</v>
      </c>
      <c r="AJ41" s="19">
        <v>-1.9475</v>
      </c>
      <c r="AK41" s="6">
        <v>4.9341999999999997</v>
      </c>
      <c r="AL41" s="6">
        <v>123</v>
      </c>
      <c r="AO41" s="17">
        <v>39</v>
      </c>
      <c r="AP41" s="6">
        <v>1.8295300000000001</v>
      </c>
      <c r="AQ41" s="6">
        <v>0.86209999999999998</v>
      </c>
      <c r="AR41" s="6">
        <v>0.92430000000000001</v>
      </c>
      <c r="AS41" s="6">
        <v>123</v>
      </c>
      <c r="AU41" s="17">
        <v>39</v>
      </c>
      <c r="AV41" s="6">
        <v>0.96199999999999997</v>
      </c>
      <c r="AW41" s="6">
        <v>0.86209999999999998</v>
      </c>
      <c r="AX41" s="6">
        <v>0.92430000000000001</v>
      </c>
      <c r="AY41" s="6">
        <v>123</v>
      </c>
      <c r="BA41" s="17" t="s">
        <v>47</v>
      </c>
      <c r="BB41" s="5">
        <v>42</v>
      </c>
      <c r="BC41" s="6">
        <v>60.374299999999998</v>
      </c>
      <c r="BD41" s="6">
        <v>0.94769999999999999</v>
      </c>
      <c r="BE41" s="6">
        <v>123</v>
      </c>
      <c r="BF41" s="6">
        <v>63.71</v>
      </c>
      <c r="BG41" s="6" t="s">
        <v>65</v>
      </c>
      <c r="BH41" s="6">
        <v>0.3</v>
      </c>
      <c r="BI41" s="6">
        <v>59.387999999999998</v>
      </c>
      <c r="BJ41" s="6">
        <v>61.360700000000001</v>
      </c>
    </row>
    <row r="42" spans="1:62" x14ac:dyDescent="0.25">
      <c r="A42" s="31" t="s">
        <v>116</v>
      </c>
      <c r="B42" s="32">
        <v>1</v>
      </c>
      <c r="C42" s="32">
        <v>4</v>
      </c>
      <c r="D42" s="32">
        <v>4</v>
      </c>
      <c r="E42" s="32">
        <v>27</v>
      </c>
      <c r="F42" s="12">
        <v>56.4</v>
      </c>
      <c r="G42">
        <v>68.484087779690185</v>
      </c>
      <c r="H42" s="11">
        <v>14.1</v>
      </c>
      <c r="K42" s="5"/>
      <c r="L42" s="6"/>
      <c r="M42" s="6"/>
      <c r="Q42" s="17" t="s">
        <v>47</v>
      </c>
      <c r="R42" s="5">
        <v>43</v>
      </c>
      <c r="S42" s="6">
        <v>57.030200000000001</v>
      </c>
      <c r="T42" s="6">
        <v>3.3576000000000001</v>
      </c>
      <c r="U42" s="6">
        <v>123</v>
      </c>
      <c r="V42" s="6">
        <v>16.989999999999998</v>
      </c>
      <c r="W42" s="6" t="s">
        <v>65</v>
      </c>
      <c r="X42" s="6">
        <v>0.3</v>
      </c>
      <c r="Y42" s="6">
        <v>53.535499999999999</v>
      </c>
      <c r="Z42" s="6">
        <v>60.524799999999999</v>
      </c>
      <c r="AB42" s="17">
        <v>40</v>
      </c>
      <c r="AC42" s="6">
        <v>5.1150900000000004</v>
      </c>
      <c r="AD42" s="19">
        <v>-4.1745999999999999</v>
      </c>
      <c r="AE42" s="6">
        <v>4.9145000000000003</v>
      </c>
      <c r="AF42" s="6">
        <v>123</v>
      </c>
      <c r="AH42" s="17">
        <v>40</v>
      </c>
      <c r="AI42" s="6">
        <v>9.7279</v>
      </c>
      <c r="AJ42" s="19">
        <v>-4.1745999999999999</v>
      </c>
      <c r="AK42" s="6">
        <v>4.9145000000000003</v>
      </c>
      <c r="AL42" s="6">
        <v>123</v>
      </c>
      <c r="AO42" s="17">
        <v>40</v>
      </c>
      <c r="AP42" s="6">
        <v>1.82298</v>
      </c>
      <c r="AQ42" s="6">
        <v>0.65920000000000001</v>
      </c>
      <c r="AR42" s="6">
        <v>0.92100000000000004</v>
      </c>
      <c r="AS42" s="6">
        <v>123</v>
      </c>
      <c r="AU42" s="17">
        <v>40</v>
      </c>
      <c r="AV42" s="6">
        <v>0.95855000000000001</v>
      </c>
      <c r="AW42" s="6">
        <v>0.65920000000000001</v>
      </c>
      <c r="AX42" s="6">
        <v>0.92100000000000004</v>
      </c>
      <c r="AY42" s="6">
        <v>123</v>
      </c>
      <c r="BA42" s="17" t="s">
        <v>47</v>
      </c>
      <c r="BB42" s="5">
        <v>43</v>
      </c>
      <c r="BC42" s="6">
        <v>57.697400000000002</v>
      </c>
      <c r="BD42" s="6">
        <v>0.94810000000000005</v>
      </c>
      <c r="BE42" s="6">
        <v>123</v>
      </c>
      <c r="BF42" s="6">
        <v>60.86</v>
      </c>
      <c r="BG42" s="6" t="s">
        <v>65</v>
      </c>
      <c r="BH42" s="6">
        <v>0.3</v>
      </c>
      <c r="BI42" s="6">
        <v>56.710700000000003</v>
      </c>
      <c r="BJ42" s="6">
        <v>58.684199999999997</v>
      </c>
    </row>
    <row r="43" spans="1:62" x14ac:dyDescent="0.25">
      <c r="A43" s="31" t="s">
        <v>116</v>
      </c>
      <c r="B43" s="32">
        <v>1</v>
      </c>
      <c r="C43" s="32">
        <v>3</v>
      </c>
      <c r="D43" s="32">
        <v>4</v>
      </c>
      <c r="E43" s="32">
        <v>16</v>
      </c>
      <c r="F43" s="12">
        <v>59.4</v>
      </c>
      <c r="G43">
        <v>67.523623063683303</v>
      </c>
      <c r="H43" s="11">
        <v>14.2</v>
      </c>
      <c r="K43" s="5"/>
      <c r="L43" s="6"/>
      <c r="M43" s="6"/>
      <c r="Q43" s="17" t="s">
        <v>47</v>
      </c>
      <c r="R43" s="5">
        <v>44</v>
      </c>
      <c r="S43" s="6">
        <v>59.257199999999997</v>
      </c>
      <c r="T43" s="6">
        <v>3.3384</v>
      </c>
      <c r="U43" s="6">
        <v>123</v>
      </c>
      <c r="V43" s="6">
        <v>17.75</v>
      </c>
      <c r="W43" s="6" t="s">
        <v>65</v>
      </c>
      <c r="X43" s="6">
        <v>0.3</v>
      </c>
      <c r="Y43" s="6">
        <v>55.782499999999999</v>
      </c>
      <c r="Z43" s="6">
        <v>62.731900000000003</v>
      </c>
      <c r="AB43" s="17">
        <v>41</v>
      </c>
      <c r="AC43" s="6">
        <v>5.1130199999999997</v>
      </c>
      <c r="AD43" s="19">
        <v>-13.1248</v>
      </c>
      <c r="AE43" s="6">
        <v>4.9124999999999996</v>
      </c>
      <c r="AF43" s="6">
        <v>123</v>
      </c>
      <c r="AH43" s="17">
        <v>41</v>
      </c>
      <c r="AI43" s="6">
        <v>9.7240000000000002</v>
      </c>
      <c r="AJ43" s="19">
        <v>-13.1248</v>
      </c>
      <c r="AK43" s="6">
        <v>4.9124999999999996</v>
      </c>
      <c r="AL43" s="6">
        <v>123</v>
      </c>
      <c r="AO43" s="17">
        <v>41</v>
      </c>
      <c r="AP43" s="6">
        <v>1.8198000000000001</v>
      </c>
      <c r="AQ43" s="19">
        <v>-0.68500000000000005</v>
      </c>
      <c r="AR43" s="6">
        <v>0.9194</v>
      </c>
      <c r="AS43" s="6">
        <v>123</v>
      </c>
      <c r="AU43" s="17">
        <v>41</v>
      </c>
      <c r="AV43" s="6">
        <v>0.95687999999999995</v>
      </c>
      <c r="AW43" s="19">
        <v>-0.68500000000000005</v>
      </c>
      <c r="AX43" s="6">
        <v>0.9194</v>
      </c>
      <c r="AY43" s="6">
        <v>123</v>
      </c>
      <c r="BA43" s="17" t="s">
        <v>47</v>
      </c>
      <c r="BB43" s="5">
        <v>44</v>
      </c>
      <c r="BC43" s="6">
        <v>57.900300000000001</v>
      </c>
      <c r="BD43" s="6">
        <v>0.94499999999999995</v>
      </c>
      <c r="BE43" s="6">
        <v>123</v>
      </c>
      <c r="BF43" s="6">
        <v>61.27</v>
      </c>
      <c r="BG43" s="6" t="s">
        <v>65</v>
      </c>
      <c r="BH43" s="6">
        <v>0.3</v>
      </c>
      <c r="BI43" s="6">
        <v>56.916699999999999</v>
      </c>
      <c r="BJ43" s="6">
        <v>58.883899999999997</v>
      </c>
    </row>
    <row r="44" spans="1:62" x14ac:dyDescent="0.25">
      <c r="A44" s="31" t="s">
        <v>116</v>
      </c>
      <c r="B44" s="32">
        <v>1</v>
      </c>
      <c r="C44" s="32">
        <v>2</v>
      </c>
      <c r="D44" s="32">
        <v>4</v>
      </c>
      <c r="E44" s="32">
        <v>12</v>
      </c>
      <c r="F44" s="12">
        <v>56.9</v>
      </c>
      <c r="G44">
        <v>55.833955249569698</v>
      </c>
      <c r="H44" s="11">
        <v>15.5</v>
      </c>
      <c r="K44" s="5"/>
      <c r="L44" s="6"/>
      <c r="M44" s="6"/>
      <c r="Q44" s="17" t="s">
        <v>47</v>
      </c>
      <c r="R44" s="5">
        <v>45</v>
      </c>
      <c r="S44" s="6">
        <v>68.207499999999996</v>
      </c>
      <c r="T44" s="6">
        <v>3.3395000000000001</v>
      </c>
      <c r="U44" s="6">
        <v>123</v>
      </c>
      <c r="V44" s="6">
        <v>20.420000000000002</v>
      </c>
      <c r="W44" s="6" t="s">
        <v>65</v>
      </c>
      <c r="X44" s="6">
        <v>0.3</v>
      </c>
      <c r="Y44" s="6">
        <v>64.731700000000004</v>
      </c>
      <c r="Z44" s="6">
        <v>71.683300000000003</v>
      </c>
      <c r="AB44" s="17">
        <v>42</v>
      </c>
      <c r="AC44" s="6">
        <v>5.1236499999999996</v>
      </c>
      <c r="AD44" s="19">
        <v>-10.657500000000001</v>
      </c>
      <c r="AE44" s="6">
        <v>4.9226999999999999</v>
      </c>
      <c r="AF44" s="6">
        <v>123</v>
      </c>
      <c r="AH44" s="17">
        <v>42</v>
      </c>
      <c r="AI44" s="6">
        <v>9.7441999999999993</v>
      </c>
      <c r="AJ44" s="19">
        <v>-10.657500000000001</v>
      </c>
      <c r="AK44" s="6">
        <v>4.9226999999999999</v>
      </c>
      <c r="AL44" s="6">
        <v>123</v>
      </c>
      <c r="AO44" s="17">
        <v>42</v>
      </c>
      <c r="AP44" s="6">
        <v>1.8252200000000001</v>
      </c>
      <c r="AQ44" s="19">
        <v>-0.4743</v>
      </c>
      <c r="AR44" s="6">
        <v>0.92210000000000003</v>
      </c>
      <c r="AS44" s="6">
        <v>123</v>
      </c>
      <c r="AU44" s="17">
        <v>42</v>
      </c>
      <c r="AV44" s="6">
        <v>0.95972999999999997</v>
      </c>
      <c r="AW44" s="19">
        <v>-0.4743</v>
      </c>
      <c r="AX44" s="6">
        <v>0.92210000000000003</v>
      </c>
      <c r="AY44" s="6">
        <v>123</v>
      </c>
      <c r="BA44" s="17" t="s">
        <v>47</v>
      </c>
      <c r="BB44" s="5">
        <v>45</v>
      </c>
      <c r="BC44" s="6">
        <v>59.244599999999998</v>
      </c>
      <c r="BD44" s="6">
        <v>0.94499999999999995</v>
      </c>
      <c r="BE44" s="6">
        <v>123</v>
      </c>
      <c r="BF44" s="6">
        <v>62.7</v>
      </c>
      <c r="BG44" s="6" t="s">
        <v>65</v>
      </c>
      <c r="BH44" s="6">
        <v>0.3</v>
      </c>
      <c r="BI44" s="6">
        <v>58.261099999999999</v>
      </c>
      <c r="BJ44" s="6">
        <v>60.228099999999998</v>
      </c>
    </row>
    <row r="45" spans="1:62" x14ac:dyDescent="0.25">
      <c r="A45" s="31" t="s">
        <v>116</v>
      </c>
      <c r="B45" s="32">
        <v>1</v>
      </c>
      <c r="C45" s="32">
        <v>1</v>
      </c>
      <c r="D45" s="32">
        <v>4</v>
      </c>
      <c r="E45" s="32">
        <v>42</v>
      </c>
      <c r="F45" s="12">
        <v>58.3</v>
      </c>
      <c r="G45">
        <v>62.616771084337344</v>
      </c>
      <c r="H45" s="11">
        <v>14.7</v>
      </c>
      <c r="K45" s="5"/>
      <c r="L45" s="6"/>
      <c r="M45" s="6"/>
      <c r="Q45" s="17" t="s">
        <v>47</v>
      </c>
      <c r="R45" s="5">
        <v>46</v>
      </c>
      <c r="S45" s="6">
        <v>65.740099999999998</v>
      </c>
      <c r="T45" s="6">
        <v>3.3410000000000002</v>
      </c>
      <c r="U45" s="6">
        <v>123</v>
      </c>
      <c r="V45" s="6">
        <v>19.68</v>
      </c>
      <c r="W45" s="6" t="s">
        <v>65</v>
      </c>
      <c r="X45" s="6">
        <v>0.3</v>
      </c>
      <c r="Y45" s="6">
        <v>62.262700000000002</v>
      </c>
      <c r="Z45" s="6">
        <v>69.217600000000004</v>
      </c>
      <c r="AB45" s="17">
        <v>43</v>
      </c>
      <c r="AC45" s="6">
        <v>6.4522599999999999</v>
      </c>
      <c r="AD45" s="19">
        <v>-1.7019</v>
      </c>
      <c r="AE45" s="6">
        <v>6.1992000000000003</v>
      </c>
      <c r="AF45" s="6">
        <v>123</v>
      </c>
      <c r="AH45" s="17">
        <v>43</v>
      </c>
      <c r="AI45" s="6">
        <v>12.270899999999999</v>
      </c>
      <c r="AJ45" s="19">
        <v>-1.7019</v>
      </c>
      <c r="AK45" s="6">
        <v>6.1992000000000003</v>
      </c>
      <c r="AL45" s="6">
        <v>123</v>
      </c>
      <c r="AO45" s="17">
        <v>43</v>
      </c>
      <c r="AP45" s="6">
        <v>2.29488</v>
      </c>
      <c r="AQ45" s="6">
        <v>4.2900000000000001E-2</v>
      </c>
      <c r="AR45" s="6">
        <v>1.1594</v>
      </c>
      <c r="AS45" s="6">
        <v>123</v>
      </c>
      <c r="AU45" s="17">
        <v>43</v>
      </c>
      <c r="AV45" s="6">
        <v>1.20668</v>
      </c>
      <c r="AW45" s="6">
        <v>4.2900000000000001E-2</v>
      </c>
      <c r="AX45" s="6">
        <v>1.1594</v>
      </c>
      <c r="AY45" s="6">
        <v>123</v>
      </c>
      <c r="BA45" s="17" t="s">
        <v>47</v>
      </c>
      <c r="BB45" s="5">
        <v>46</v>
      </c>
      <c r="BC45" s="6">
        <v>59.033900000000003</v>
      </c>
      <c r="BD45" s="6">
        <v>0.94499999999999995</v>
      </c>
      <c r="BE45" s="6">
        <v>123</v>
      </c>
      <c r="BF45" s="6">
        <v>62.47</v>
      </c>
      <c r="BG45" s="6" t="s">
        <v>65</v>
      </c>
      <c r="BH45" s="6">
        <v>0.3</v>
      </c>
      <c r="BI45" s="6">
        <v>58.0503</v>
      </c>
      <c r="BJ45" s="6">
        <v>60.017499999999998</v>
      </c>
    </row>
    <row r="46" spans="1:62" x14ac:dyDescent="0.25">
      <c r="A46" s="31" t="s">
        <v>116</v>
      </c>
      <c r="B46" s="32">
        <v>2</v>
      </c>
      <c r="C46" s="32">
        <v>1</v>
      </c>
      <c r="D46" s="32">
        <v>5</v>
      </c>
      <c r="E46" s="32">
        <v>11</v>
      </c>
      <c r="F46" s="12">
        <v>60.2</v>
      </c>
      <c r="G46">
        <v>69.302820998278833</v>
      </c>
      <c r="H46" t="s">
        <v>12</v>
      </c>
      <c r="K46" s="5"/>
      <c r="L46" s="6"/>
      <c r="M46" s="6"/>
      <c r="AB46" s="17">
        <v>44</v>
      </c>
      <c r="AC46" s="6">
        <v>3.2184400000000002</v>
      </c>
      <c r="AD46" s="6">
        <v>0.9274</v>
      </c>
      <c r="AE46" s="6">
        <v>3.0922000000000001</v>
      </c>
      <c r="AF46" s="6">
        <v>123</v>
      </c>
      <c r="AH46" s="17">
        <v>44</v>
      </c>
      <c r="AI46" s="6">
        <v>6.1208</v>
      </c>
      <c r="AJ46" s="6">
        <v>0.9274</v>
      </c>
      <c r="AK46" s="6">
        <v>3.0922000000000001</v>
      </c>
      <c r="AL46" s="6">
        <v>123</v>
      </c>
      <c r="AO46" s="17">
        <v>44</v>
      </c>
      <c r="AP46" s="6">
        <v>1.14832</v>
      </c>
      <c r="AQ46" s="19">
        <v>-0.13769999999999999</v>
      </c>
      <c r="AR46" s="6">
        <v>0.58009999999999995</v>
      </c>
      <c r="AS46" s="6">
        <v>123</v>
      </c>
      <c r="AU46" s="17">
        <v>44</v>
      </c>
      <c r="AV46" s="6">
        <v>0.6038</v>
      </c>
      <c r="AW46" s="19">
        <v>-0.13769999999999999</v>
      </c>
      <c r="AX46" s="6">
        <v>0.58009999999999995</v>
      </c>
      <c r="AY46" s="6">
        <v>123</v>
      </c>
    </row>
    <row r="47" spans="1:62" x14ac:dyDescent="0.25">
      <c r="A47" s="31" t="s">
        <v>116</v>
      </c>
      <c r="B47" s="32">
        <v>2</v>
      </c>
      <c r="C47" s="32">
        <v>2</v>
      </c>
      <c r="D47" s="32">
        <v>5</v>
      </c>
      <c r="E47" s="32">
        <v>13</v>
      </c>
      <c r="F47" s="12">
        <v>56.4</v>
      </c>
      <c r="G47">
        <v>57.612963855421675</v>
      </c>
      <c r="H47" t="s">
        <v>12</v>
      </c>
      <c r="K47" s="5"/>
      <c r="L47" s="6"/>
      <c r="M47" s="6"/>
      <c r="S47" s="24">
        <f>AVERAGE(S4:S45)</f>
        <v>67.322585714285722</v>
      </c>
      <c r="T47" s="24">
        <f>AVERAGE(T4:T45)</f>
        <v>3.3445785714285718</v>
      </c>
      <c r="AB47" s="17">
        <v>45</v>
      </c>
      <c r="AC47" s="6">
        <v>3.1916199999999999</v>
      </c>
      <c r="AD47" s="6">
        <v>7.0822000000000003</v>
      </c>
      <c r="AE47" s="6">
        <v>3.0663999999999998</v>
      </c>
      <c r="AF47" s="6">
        <v>123</v>
      </c>
      <c r="AH47" s="17">
        <v>45</v>
      </c>
      <c r="AI47" s="6">
        <v>6.0697999999999999</v>
      </c>
      <c r="AJ47" s="6">
        <v>7.0822000000000003</v>
      </c>
      <c r="AK47" s="6">
        <v>3.0663999999999998</v>
      </c>
      <c r="AL47" s="6">
        <v>123</v>
      </c>
      <c r="AO47" s="17">
        <v>45</v>
      </c>
      <c r="AP47" s="6">
        <v>1.13452</v>
      </c>
      <c r="AQ47" s="19">
        <v>-0.85619999999999996</v>
      </c>
      <c r="AR47" s="6">
        <v>0.57320000000000004</v>
      </c>
      <c r="AS47" s="6">
        <v>123</v>
      </c>
      <c r="AU47" s="17">
        <v>45</v>
      </c>
      <c r="AV47" s="6">
        <v>0.59655000000000002</v>
      </c>
      <c r="AW47" s="19">
        <v>-0.85619999999999996</v>
      </c>
      <c r="AX47" s="6">
        <v>0.57320000000000004</v>
      </c>
      <c r="AY47" s="6">
        <v>123</v>
      </c>
      <c r="BC47" s="24">
        <f>AVERAGE(BC4:BC45)</f>
        <v>58.806378571428567</v>
      </c>
      <c r="BD47" s="24">
        <f>AVERAGE(BD4:BD45)</f>
        <v>0.94576904761904756</v>
      </c>
    </row>
    <row r="48" spans="1:62" x14ac:dyDescent="0.25">
      <c r="A48" s="31" t="s">
        <v>116</v>
      </c>
      <c r="B48" s="32">
        <v>2</v>
      </c>
      <c r="C48" s="32">
        <v>3</v>
      </c>
      <c r="D48" s="32">
        <v>5</v>
      </c>
      <c r="E48" s="32">
        <v>20</v>
      </c>
      <c r="F48" s="12">
        <v>56.9</v>
      </c>
      <c r="G48">
        <v>67.075907917383816</v>
      </c>
      <c r="H48" t="s">
        <v>12</v>
      </c>
      <c r="K48" s="5"/>
      <c r="L48" s="6"/>
      <c r="M48" s="6"/>
      <c r="S48" s="24"/>
      <c r="T48" s="58">
        <f>T47/S47*100</f>
        <v>4.9679888791301412</v>
      </c>
      <c r="AB48" s="17">
        <v>46</v>
      </c>
      <c r="AC48" s="6">
        <v>3.2080600000000001</v>
      </c>
      <c r="AD48" s="6">
        <v>5.4882</v>
      </c>
      <c r="AE48" s="6">
        <v>3.0821999999999998</v>
      </c>
      <c r="AF48" s="6">
        <v>123</v>
      </c>
      <c r="AH48" s="17">
        <v>46</v>
      </c>
      <c r="AI48" s="6">
        <v>6.1010999999999997</v>
      </c>
      <c r="AJ48" s="6">
        <v>5.4882</v>
      </c>
      <c r="AK48" s="6">
        <v>3.0821999999999998</v>
      </c>
      <c r="AL48" s="6">
        <v>123</v>
      </c>
      <c r="AO48" s="17">
        <v>46</v>
      </c>
      <c r="AP48" s="6">
        <v>1.1452</v>
      </c>
      <c r="AQ48" s="6">
        <v>2.3900999999999999</v>
      </c>
      <c r="AR48" s="6">
        <v>0.57850000000000001</v>
      </c>
      <c r="AS48" s="6">
        <v>123</v>
      </c>
      <c r="AU48" s="17">
        <v>46</v>
      </c>
      <c r="AV48" s="6">
        <v>0.60216000000000003</v>
      </c>
      <c r="AW48" s="6">
        <v>2.3900999999999999</v>
      </c>
      <c r="AX48" s="6">
        <v>0.57850000000000001</v>
      </c>
      <c r="AY48" s="6">
        <v>123</v>
      </c>
      <c r="BC48" s="24"/>
      <c r="BD48" s="58">
        <f>BD47/BC47*100</f>
        <v>1.6082762968821127</v>
      </c>
    </row>
    <row r="49" spans="1:51" x14ac:dyDescent="0.25">
      <c r="A49" s="31" t="s">
        <v>116</v>
      </c>
      <c r="B49" s="32">
        <v>2</v>
      </c>
      <c r="C49" s="32">
        <v>4</v>
      </c>
      <c r="D49" s="32">
        <v>5</v>
      </c>
      <c r="E49" s="32">
        <v>1</v>
      </c>
      <c r="F49" s="12">
        <v>56.8</v>
      </c>
      <c r="G49">
        <v>68.136537005163504</v>
      </c>
      <c r="H49" t="s">
        <v>12</v>
      </c>
      <c r="K49" s="5"/>
      <c r="L49" s="6"/>
      <c r="M49" s="6"/>
      <c r="AB49" s="17">
        <v>47</v>
      </c>
      <c r="AC49" s="6">
        <v>3.2044700000000002</v>
      </c>
      <c r="AD49" s="6">
        <v>4.8156999999999996</v>
      </c>
      <c r="AE49" s="6">
        <v>3.0788000000000002</v>
      </c>
      <c r="AF49" s="6">
        <v>123</v>
      </c>
      <c r="AH49" s="17">
        <v>47</v>
      </c>
      <c r="AI49" s="6">
        <v>6.0942999999999996</v>
      </c>
      <c r="AJ49" s="6">
        <v>4.8156999999999996</v>
      </c>
      <c r="AK49" s="6">
        <v>3.0788000000000002</v>
      </c>
      <c r="AL49" s="6">
        <v>123</v>
      </c>
      <c r="AO49" s="17">
        <v>47</v>
      </c>
      <c r="AP49" s="6">
        <v>1.1399699999999999</v>
      </c>
      <c r="AQ49" s="6">
        <v>0.44059999999999999</v>
      </c>
      <c r="AR49" s="6">
        <v>0.57589999999999997</v>
      </c>
      <c r="AS49" s="6">
        <v>123</v>
      </c>
      <c r="AU49" s="17">
        <v>47</v>
      </c>
      <c r="AV49" s="6">
        <v>0.59941</v>
      </c>
      <c r="AW49" s="6">
        <v>0.44059999999999999</v>
      </c>
      <c r="AX49" s="6">
        <v>0.57589999999999997</v>
      </c>
      <c r="AY49" s="6">
        <v>123</v>
      </c>
    </row>
    <row r="50" spans="1:51" x14ac:dyDescent="0.25">
      <c r="A50" s="31" t="s">
        <v>116</v>
      </c>
      <c r="B50" s="32">
        <v>2</v>
      </c>
      <c r="C50" s="32">
        <v>5</v>
      </c>
      <c r="D50" s="32">
        <v>5</v>
      </c>
      <c r="E50" s="32">
        <v>46</v>
      </c>
      <c r="F50" s="12">
        <v>57.1</v>
      </c>
      <c r="G50">
        <v>58.319879518072291</v>
      </c>
      <c r="H50" t="s">
        <v>12</v>
      </c>
      <c r="K50" s="5"/>
      <c r="L50" s="6"/>
      <c r="M50" s="6"/>
      <c r="AB50" s="17">
        <v>48</v>
      </c>
      <c r="AC50" s="6">
        <v>3.2083900000000001</v>
      </c>
      <c r="AD50" s="6">
        <v>15.709199999999999</v>
      </c>
      <c r="AE50" s="6">
        <v>3.0825999999999998</v>
      </c>
      <c r="AF50" s="6">
        <v>123</v>
      </c>
      <c r="AH50" s="17">
        <v>48</v>
      </c>
      <c r="AI50" s="6">
        <v>6.1017000000000001</v>
      </c>
      <c r="AJ50" s="6">
        <v>15.709199999999999</v>
      </c>
      <c r="AK50" s="6">
        <v>3.0825999999999998</v>
      </c>
      <c r="AL50" s="6">
        <v>123</v>
      </c>
      <c r="AO50" s="17">
        <v>48</v>
      </c>
      <c r="AP50" s="6">
        <v>1.1418600000000001</v>
      </c>
      <c r="AQ50" s="6">
        <v>0.27350000000000002</v>
      </c>
      <c r="AR50" s="6">
        <v>0.57689999999999997</v>
      </c>
      <c r="AS50" s="6">
        <v>123</v>
      </c>
      <c r="AU50" s="17">
        <v>48</v>
      </c>
      <c r="AV50" s="6">
        <v>0.60041</v>
      </c>
      <c r="AW50" s="6">
        <v>0.27350000000000002</v>
      </c>
      <c r="AX50" s="6">
        <v>0.57689999999999997</v>
      </c>
      <c r="AY50" s="6">
        <v>123</v>
      </c>
    </row>
    <row r="51" spans="1:51" x14ac:dyDescent="0.25">
      <c r="A51" s="31" t="s">
        <v>116</v>
      </c>
      <c r="B51" s="32">
        <v>2</v>
      </c>
      <c r="C51" s="32">
        <v>6</v>
      </c>
      <c r="D51" s="32">
        <v>5</v>
      </c>
      <c r="E51" s="32">
        <v>100</v>
      </c>
      <c r="F51" s="12">
        <v>56.6</v>
      </c>
      <c r="G51">
        <v>50.36559681583477</v>
      </c>
      <c r="H51" t="s">
        <v>12</v>
      </c>
      <c r="K51" s="5"/>
      <c r="L51" s="6"/>
      <c r="M51" s="6"/>
      <c r="AB51" s="17">
        <v>49</v>
      </c>
      <c r="AC51" s="6">
        <v>3.20445</v>
      </c>
      <c r="AD51" s="6">
        <v>0.21829999999999999</v>
      </c>
      <c r="AE51" s="6">
        <v>3.0788000000000002</v>
      </c>
      <c r="AF51" s="6">
        <v>123</v>
      </c>
      <c r="AH51" s="17">
        <v>49</v>
      </c>
      <c r="AI51" s="6">
        <v>6.0941999999999998</v>
      </c>
      <c r="AJ51" s="6">
        <v>0.21829999999999999</v>
      </c>
      <c r="AK51" s="6">
        <v>3.0788000000000002</v>
      </c>
      <c r="AL51" s="6">
        <v>123</v>
      </c>
      <c r="AO51" s="17">
        <v>49</v>
      </c>
      <c r="AP51" s="6">
        <v>1.13917</v>
      </c>
      <c r="AQ51" s="19">
        <v>-0.80940000000000001</v>
      </c>
      <c r="AR51" s="6">
        <v>0.57550000000000001</v>
      </c>
      <c r="AS51" s="6">
        <v>123</v>
      </c>
      <c r="AU51" s="17">
        <v>49</v>
      </c>
      <c r="AV51" s="6">
        <v>0.59899000000000002</v>
      </c>
      <c r="AW51" s="19">
        <v>-0.80940000000000001</v>
      </c>
      <c r="AX51" s="6">
        <v>0.57550000000000001</v>
      </c>
      <c r="AY51" s="6">
        <v>123</v>
      </c>
    </row>
    <row r="52" spans="1:51" x14ac:dyDescent="0.25">
      <c r="A52" s="31" t="s">
        <v>116</v>
      </c>
      <c r="B52" s="32">
        <v>2</v>
      </c>
      <c r="C52" s="32">
        <v>7</v>
      </c>
      <c r="D52" s="32">
        <v>5</v>
      </c>
      <c r="E52" s="32">
        <v>24</v>
      </c>
      <c r="F52" s="12">
        <v>56.6</v>
      </c>
      <c r="G52">
        <v>64.908860585197928</v>
      </c>
      <c r="H52" t="s">
        <v>12</v>
      </c>
      <c r="K52" s="5"/>
      <c r="L52" s="6"/>
      <c r="M52" s="6"/>
      <c r="AB52" s="17">
        <v>50</v>
      </c>
      <c r="AC52" s="6">
        <v>3.20384</v>
      </c>
      <c r="AD52" s="6">
        <v>9.2141999999999999</v>
      </c>
      <c r="AE52" s="6">
        <v>3.0781999999999998</v>
      </c>
      <c r="AF52" s="6">
        <v>123</v>
      </c>
      <c r="AH52" s="17">
        <v>50</v>
      </c>
      <c r="AI52" s="6">
        <v>6.0930999999999997</v>
      </c>
      <c r="AJ52" s="6">
        <v>9.2141999999999999</v>
      </c>
      <c r="AK52" s="6">
        <v>3.0781999999999998</v>
      </c>
      <c r="AL52" s="6">
        <v>123</v>
      </c>
      <c r="AO52" s="17">
        <v>50</v>
      </c>
      <c r="AP52" s="6">
        <v>1.1540600000000001</v>
      </c>
      <c r="AQ52" s="6">
        <v>2.3868</v>
      </c>
      <c r="AR52" s="6">
        <v>0.58299999999999996</v>
      </c>
      <c r="AS52" s="6">
        <v>123</v>
      </c>
      <c r="AU52" s="17">
        <v>50</v>
      </c>
      <c r="AV52" s="6">
        <v>0.60682000000000003</v>
      </c>
      <c r="AW52" s="6">
        <v>2.3868</v>
      </c>
      <c r="AX52" s="6">
        <v>0.58299999999999996</v>
      </c>
      <c r="AY52" s="6">
        <v>123</v>
      </c>
    </row>
    <row r="53" spans="1:51" x14ac:dyDescent="0.25">
      <c r="A53" s="31" t="s">
        <v>116</v>
      </c>
      <c r="B53" s="32">
        <v>2</v>
      </c>
      <c r="C53" s="32">
        <v>8</v>
      </c>
      <c r="D53" s="32">
        <v>5</v>
      </c>
      <c r="E53" s="32">
        <v>36</v>
      </c>
      <c r="F53" s="12">
        <v>58.4</v>
      </c>
      <c r="G53">
        <v>48.218320137693624</v>
      </c>
      <c r="H53" t="s">
        <v>12</v>
      </c>
      <c r="K53" s="5"/>
      <c r="L53" s="6"/>
      <c r="M53" s="6"/>
      <c r="AB53" s="17">
        <v>51</v>
      </c>
      <c r="AC53" s="6">
        <v>3.1882299999999999</v>
      </c>
      <c r="AD53" s="6">
        <v>15.1837</v>
      </c>
      <c r="AE53" s="6">
        <v>3.0632000000000001</v>
      </c>
      <c r="AF53" s="6">
        <v>123</v>
      </c>
      <c r="AH53" s="17">
        <v>51</v>
      </c>
      <c r="AI53" s="6">
        <v>6.0633999999999997</v>
      </c>
      <c r="AJ53" s="6">
        <v>15.1837</v>
      </c>
      <c r="AK53" s="6">
        <v>3.0632000000000001</v>
      </c>
      <c r="AL53" s="6">
        <v>123</v>
      </c>
      <c r="AO53" s="17">
        <v>51</v>
      </c>
      <c r="AP53" s="6">
        <v>1.13537</v>
      </c>
      <c r="AQ53" s="6">
        <v>3.5796000000000001</v>
      </c>
      <c r="AR53" s="6">
        <v>0.5736</v>
      </c>
      <c r="AS53" s="6">
        <v>123</v>
      </c>
      <c r="AU53" s="17">
        <v>51</v>
      </c>
      <c r="AV53" s="6">
        <v>0.59699000000000002</v>
      </c>
      <c r="AW53" s="6">
        <v>3.5796000000000001</v>
      </c>
      <c r="AX53" s="6">
        <v>0.5736</v>
      </c>
      <c r="AY53" s="6">
        <v>123</v>
      </c>
    </row>
    <row r="54" spans="1:51" x14ac:dyDescent="0.25">
      <c r="A54" s="31" t="s">
        <v>116</v>
      </c>
      <c r="B54" s="32">
        <v>2</v>
      </c>
      <c r="C54" s="32">
        <v>9</v>
      </c>
      <c r="D54" s="32">
        <v>5</v>
      </c>
      <c r="E54" s="32">
        <v>42</v>
      </c>
      <c r="F54" s="12" t="s">
        <v>12</v>
      </c>
      <c r="G54" t="s">
        <v>12</v>
      </c>
      <c r="H54" t="s">
        <v>12</v>
      </c>
      <c r="K54" s="5"/>
      <c r="L54" s="6"/>
      <c r="M54" s="6"/>
      <c r="AB54" s="17">
        <v>52</v>
      </c>
      <c r="AC54" s="6">
        <v>3.21699</v>
      </c>
      <c r="AD54" s="6">
        <v>1.2270000000000001</v>
      </c>
      <c r="AE54" s="6">
        <v>3.0908000000000002</v>
      </c>
      <c r="AF54" s="6">
        <v>123</v>
      </c>
      <c r="AH54" s="17">
        <v>52</v>
      </c>
      <c r="AI54" s="6">
        <v>6.1181000000000001</v>
      </c>
      <c r="AJ54" s="6">
        <v>1.2270000000000001</v>
      </c>
      <c r="AK54" s="6">
        <v>3.0908000000000002</v>
      </c>
      <c r="AL54" s="6">
        <v>123</v>
      </c>
      <c r="AO54" s="17">
        <v>52</v>
      </c>
      <c r="AP54" s="6">
        <v>1.1454</v>
      </c>
      <c r="AQ54" s="19">
        <v>-1.4231</v>
      </c>
      <c r="AR54" s="6">
        <v>0.5786</v>
      </c>
      <c r="AS54" s="6">
        <v>123</v>
      </c>
      <c r="AU54" s="17">
        <v>52</v>
      </c>
      <c r="AV54" s="6">
        <v>0.60226999999999997</v>
      </c>
      <c r="AW54" s="19">
        <v>-1.4231</v>
      </c>
      <c r="AX54" s="6">
        <v>0.5786</v>
      </c>
      <c r="AY54" s="6">
        <v>123</v>
      </c>
    </row>
    <row r="55" spans="1:51" x14ac:dyDescent="0.25">
      <c r="A55" s="31" t="s">
        <v>116</v>
      </c>
      <c r="B55" s="32">
        <v>2</v>
      </c>
      <c r="C55" s="32">
        <v>10</v>
      </c>
      <c r="D55" s="32">
        <v>5</v>
      </c>
      <c r="E55" s="32">
        <v>6</v>
      </c>
      <c r="F55" s="12">
        <v>54.1</v>
      </c>
      <c r="G55">
        <v>46.49379087779689</v>
      </c>
      <c r="H55" t="s">
        <v>12</v>
      </c>
      <c r="K55" s="5"/>
      <c r="L55" s="6"/>
      <c r="M55" s="6"/>
      <c r="AB55" s="17">
        <v>53</v>
      </c>
      <c r="AC55" s="6">
        <v>3.2122299999999999</v>
      </c>
      <c r="AD55" s="6">
        <v>9.7675000000000001</v>
      </c>
      <c r="AE55" s="6">
        <v>3.0861999999999998</v>
      </c>
      <c r="AF55" s="6">
        <v>123</v>
      </c>
      <c r="AH55" s="17">
        <v>53</v>
      </c>
      <c r="AI55" s="6">
        <v>6.109</v>
      </c>
      <c r="AJ55" s="6">
        <v>9.7675000000000001</v>
      </c>
      <c r="AK55" s="6">
        <v>3.0861999999999998</v>
      </c>
      <c r="AL55" s="6">
        <v>123</v>
      </c>
      <c r="AO55" s="17">
        <v>53</v>
      </c>
      <c r="AP55" s="6">
        <v>1.14513</v>
      </c>
      <c r="AQ55" s="6">
        <v>5.5980000000000002E-2</v>
      </c>
      <c r="AR55" s="6">
        <v>0.57850000000000001</v>
      </c>
      <c r="AS55" s="6">
        <v>123</v>
      </c>
      <c r="AU55" s="17">
        <v>53</v>
      </c>
      <c r="AV55" s="6">
        <v>0.60213000000000005</v>
      </c>
      <c r="AW55" s="6">
        <v>5.5980000000000002E-2</v>
      </c>
      <c r="AX55" s="6">
        <v>0.57850000000000001</v>
      </c>
      <c r="AY55" s="6">
        <v>123</v>
      </c>
    </row>
    <row r="56" spans="1:51" x14ac:dyDescent="0.25">
      <c r="A56" s="31" t="s">
        <v>116</v>
      </c>
      <c r="B56" s="32">
        <v>2</v>
      </c>
      <c r="C56" s="32">
        <v>11</v>
      </c>
      <c r="D56" s="32">
        <v>5</v>
      </c>
      <c r="E56" s="32">
        <v>3</v>
      </c>
      <c r="F56" s="12">
        <v>56.9</v>
      </c>
      <c r="G56">
        <v>58.005219879518073</v>
      </c>
      <c r="H56" t="s">
        <v>12</v>
      </c>
      <c r="K56" s="5"/>
      <c r="L56" s="6"/>
      <c r="M56" s="6"/>
      <c r="AB56" s="17">
        <v>54</v>
      </c>
      <c r="AC56" s="6">
        <v>3.2060599999999999</v>
      </c>
      <c r="AD56" s="6">
        <v>4.6692999999999998</v>
      </c>
      <c r="AE56" s="6">
        <v>3.0802999999999998</v>
      </c>
      <c r="AF56" s="6">
        <v>123</v>
      </c>
      <c r="AH56" s="17">
        <v>54</v>
      </c>
      <c r="AI56" s="6">
        <v>6.0972999999999997</v>
      </c>
      <c r="AJ56" s="6">
        <v>4.6692999999999998</v>
      </c>
      <c r="AK56" s="6">
        <v>3.0802999999999998</v>
      </c>
      <c r="AL56" s="6">
        <v>123</v>
      </c>
      <c r="AO56" s="17">
        <v>54</v>
      </c>
      <c r="AP56" s="6">
        <v>1.1437600000000001</v>
      </c>
      <c r="AQ56" s="19">
        <v>-0.37430000000000002</v>
      </c>
      <c r="AR56" s="6">
        <v>0.57779999999999998</v>
      </c>
      <c r="AS56" s="6">
        <v>123</v>
      </c>
      <c r="AU56" s="17">
        <v>54</v>
      </c>
      <c r="AV56" s="6">
        <v>0.60141</v>
      </c>
      <c r="AW56" s="19">
        <v>-0.37430000000000002</v>
      </c>
      <c r="AX56" s="6">
        <v>0.57779999999999998</v>
      </c>
      <c r="AY56" s="6">
        <v>123</v>
      </c>
    </row>
    <row r="57" spans="1:51" x14ac:dyDescent="0.25">
      <c r="A57" s="31" t="s">
        <v>116</v>
      </c>
      <c r="B57" s="32">
        <v>2</v>
      </c>
      <c r="C57" s="32">
        <v>11</v>
      </c>
      <c r="D57" s="32">
        <v>6</v>
      </c>
      <c r="E57" s="32">
        <v>15</v>
      </c>
      <c r="F57" s="12">
        <v>54.2</v>
      </c>
      <c r="G57">
        <v>71.941911784068466</v>
      </c>
      <c r="H57" t="s">
        <v>12</v>
      </c>
      <c r="K57" s="5"/>
      <c r="L57" s="6"/>
      <c r="M57" s="6"/>
      <c r="AB57" s="17">
        <v>55</v>
      </c>
      <c r="AC57" s="6">
        <v>3.20844</v>
      </c>
      <c r="AD57" s="19">
        <v>-3.9325999999999999</v>
      </c>
      <c r="AE57" s="6">
        <v>3.0825999999999998</v>
      </c>
      <c r="AF57" s="6">
        <v>123</v>
      </c>
      <c r="AH57" s="17">
        <v>55</v>
      </c>
      <c r="AI57" s="6">
        <v>6.1017999999999999</v>
      </c>
      <c r="AJ57" s="19">
        <v>-3.9325999999999999</v>
      </c>
      <c r="AK57" s="6">
        <v>3.0825999999999998</v>
      </c>
      <c r="AL57" s="6">
        <v>123</v>
      </c>
      <c r="AO57" s="17">
        <v>55</v>
      </c>
      <c r="AP57" s="6">
        <v>1.1422300000000001</v>
      </c>
      <c r="AQ57" s="19">
        <v>-1.2438</v>
      </c>
      <c r="AR57" s="6">
        <v>0.57699999999999996</v>
      </c>
      <c r="AS57" s="6">
        <v>123</v>
      </c>
      <c r="AU57" s="17">
        <v>55</v>
      </c>
      <c r="AV57" s="6">
        <v>0.60060000000000002</v>
      </c>
      <c r="AW57" s="19">
        <v>-1.2438</v>
      </c>
      <c r="AX57" s="6">
        <v>0.57699999999999996</v>
      </c>
      <c r="AY57" s="6">
        <v>123</v>
      </c>
    </row>
    <row r="58" spans="1:51" x14ac:dyDescent="0.25">
      <c r="A58" s="31" t="s">
        <v>116</v>
      </c>
      <c r="B58" s="32">
        <v>2</v>
      </c>
      <c r="C58" s="32">
        <v>10</v>
      </c>
      <c r="D58" s="32">
        <v>6</v>
      </c>
      <c r="E58" s="32">
        <v>4</v>
      </c>
      <c r="F58" s="12">
        <v>54.3</v>
      </c>
      <c r="G58">
        <v>54.581103075331519</v>
      </c>
      <c r="H58" t="s">
        <v>12</v>
      </c>
      <c r="K58" s="5"/>
      <c r="L58" s="6"/>
      <c r="M58" s="6"/>
      <c r="AB58" s="17">
        <v>56</v>
      </c>
      <c r="AC58" s="6">
        <v>3.2080299999999999</v>
      </c>
      <c r="AD58" s="6">
        <v>0.60699999999999998</v>
      </c>
      <c r="AE58" s="6">
        <v>3.0821999999999998</v>
      </c>
      <c r="AF58" s="6">
        <v>123</v>
      </c>
      <c r="AH58" s="17">
        <v>56</v>
      </c>
      <c r="AI58" s="6">
        <v>6.101</v>
      </c>
      <c r="AJ58" s="6">
        <v>0.60699999999999998</v>
      </c>
      <c r="AK58" s="6">
        <v>3.0821999999999998</v>
      </c>
      <c r="AL58" s="6">
        <v>123</v>
      </c>
      <c r="AO58" s="17">
        <v>56</v>
      </c>
      <c r="AP58" s="6">
        <v>1.1443300000000001</v>
      </c>
      <c r="AQ58" s="6">
        <v>0.88560000000000005</v>
      </c>
      <c r="AR58" s="6">
        <v>0.57809999999999995</v>
      </c>
      <c r="AS58" s="6">
        <v>123</v>
      </c>
      <c r="AU58" s="17">
        <v>56</v>
      </c>
      <c r="AV58" s="6">
        <v>0.60170999999999997</v>
      </c>
      <c r="AW58" s="6">
        <v>0.88560000000000005</v>
      </c>
      <c r="AX58" s="6">
        <v>0.57809999999999995</v>
      </c>
      <c r="AY58" s="6">
        <v>123</v>
      </c>
    </row>
    <row r="59" spans="1:51" x14ac:dyDescent="0.25">
      <c r="A59" s="31" t="s">
        <v>116</v>
      </c>
      <c r="B59" s="32">
        <v>2</v>
      </c>
      <c r="C59" s="32">
        <v>9</v>
      </c>
      <c r="D59" s="32">
        <v>6</v>
      </c>
      <c r="E59" s="32">
        <v>25</v>
      </c>
      <c r="F59" s="12" t="s">
        <v>12</v>
      </c>
      <c r="G59" t="s">
        <v>12</v>
      </c>
      <c r="H59" t="s">
        <v>12</v>
      </c>
      <c r="K59" s="5"/>
      <c r="L59" s="6"/>
      <c r="M59" s="6"/>
      <c r="AB59" s="17">
        <v>57</v>
      </c>
      <c r="AC59" s="6">
        <v>3.20425</v>
      </c>
      <c r="AD59" s="6">
        <v>1.4147000000000001</v>
      </c>
      <c r="AE59" s="6">
        <v>3.0785999999999998</v>
      </c>
      <c r="AF59" s="6">
        <v>123</v>
      </c>
      <c r="AH59" s="17">
        <v>57</v>
      </c>
      <c r="AI59" s="6">
        <v>6.0938999999999997</v>
      </c>
      <c r="AJ59" s="6">
        <v>1.4147000000000001</v>
      </c>
      <c r="AK59" s="6">
        <v>3.0785999999999998</v>
      </c>
      <c r="AL59" s="6">
        <v>123</v>
      </c>
      <c r="AO59" s="17">
        <v>57</v>
      </c>
      <c r="AP59" s="6">
        <v>1.13663</v>
      </c>
      <c r="AQ59" s="19">
        <v>-1.7168000000000001</v>
      </c>
      <c r="AR59" s="6">
        <v>0.57420000000000004</v>
      </c>
      <c r="AS59" s="6">
        <v>123</v>
      </c>
      <c r="AU59" s="17">
        <v>57</v>
      </c>
      <c r="AV59" s="6">
        <v>0.59765999999999997</v>
      </c>
      <c r="AW59" s="19">
        <v>-1.7168000000000001</v>
      </c>
      <c r="AX59" s="6">
        <v>0.57420000000000004</v>
      </c>
      <c r="AY59" s="6">
        <v>123</v>
      </c>
    </row>
    <row r="60" spans="1:51" x14ac:dyDescent="0.25">
      <c r="A60" s="31" t="s">
        <v>116</v>
      </c>
      <c r="B60" s="32">
        <v>2</v>
      </c>
      <c r="C60" s="32">
        <v>8</v>
      </c>
      <c r="D60" s="32">
        <v>6</v>
      </c>
      <c r="E60" s="32">
        <v>44</v>
      </c>
      <c r="F60" s="12">
        <v>55.8</v>
      </c>
      <c r="G60">
        <v>45.479978980532309</v>
      </c>
      <c r="H60" t="s">
        <v>12</v>
      </c>
      <c r="K60" s="5"/>
      <c r="L60" s="6"/>
      <c r="M60" s="6"/>
      <c r="AB60" s="17">
        <v>58</v>
      </c>
      <c r="AC60" s="6">
        <v>3.2185999999999999</v>
      </c>
      <c r="AD60" s="19">
        <v>-0.36630000000000001</v>
      </c>
      <c r="AE60" s="6">
        <v>3.0924</v>
      </c>
      <c r="AF60" s="6">
        <v>123</v>
      </c>
      <c r="AH60" s="17">
        <v>58</v>
      </c>
      <c r="AI60" s="6">
        <v>6.1211000000000002</v>
      </c>
      <c r="AJ60" s="19">
        <v>-0.36630000000000001</v>
      </c>
      <c r="AK60" s="6">
        <v>3.0924</v>
      </c>
      <c r="AL60" s="6">
        <v>123</v>
      </c>
      <c r="AO60" s="17">
        <v>58</v>
      </c>
      <c r="AP60" s="6">
        <v>1.14385</v>
      </c>
      <c r="AQ60" s="6">
        <v>0.12189999999999999</v>
      </c>
      <c r="AR60" s="6">
        <v>0.57789999999999997</v>
      </c>
      <c r="AS60" s="6">
        <v>123</v>
      </c>
      <c r="AU60" s="17">
        <v>58</v>
      </c>
      <c r="AV60" s="6">
        <v>0.60145000000000004</v>
      </c>
      <c r="AW60" s="6">
        <v>0.12189999999999999</v>
      </c>
      <c r="AX60" s="6">
        <v>0.57789999999999997</v>
      </c>
      <c r="AY60" s="6">
        <v>123</v>
      </c>
    </row>
    <row r="61" spans="1:51" x14ac:dyDescent="0.25">
      <c r="A61" s="31" t="s">
        <v>116</v>
      </c>
      <c r="B61" s="32">
        <v>2</v>
      </c>
      <c r="C61" s="32">
        <v>7</v>
      </c>
      <c r="D61" s="32">
        <v>6</v>
      </c>
      <c r="E61" s="32">
        <v>17</v>
      </c>
      <c r="F61" s="12">
        <v>57.6</v>
      </c>
      <c r="G61">
        <v>72.768957020596261</v>
      </c>
      <c r="H61" t="s">
        <v>12</v>
      </c>
      <c r="K61" s="5"/>
      <c r="L61" s="6"/>
      <c r="M61" s="6"/>
      <c r="AB61" s="17">
        <v>59</v>
      </c>
      <c r="AC61" s="6">
        <v>3.2296200000000002</v>
      </c>
      <c r="AD61" s="6">
        <v>9.5761000000000003</v>
      </c>
      <c r="AE61" s="6">
        <v>3.1030000000000002</v>
      </c>
      <c r="AF61" s="6">
        <v>123</v>
      </c>
      <c r="AH61" s="17">
        <v>59</v>
      </c>
      <c r="AI61" s="6">
        <v>6.1421000000000001</v>
      </c>
      <c r="AJ61" s="6">
        <v>9.5761000000000003</v>
      </c>
      <c r="AK61" s="6">
        <v>3.1030000000000002</v>
      </c>
      <c r="AL61" s="6">
        <v>123</v>
      </c>
      <c r="AO61" s="17">
        <v>59</v>
      </c>
      <c r="AP61" s="6">
        <v>1.1569400000000001</v>
      </c>
      <c r="AQ61" s="6">
        <v>0.6653</v>
      </c>
      <c r="AR61" s="6">
        <v>0.58450000000000002</v>
      </c>
      <c r="AS61" s="6">
        <v>123</v>
      </c>
      <c r="AU61" s="17">
        <v>59</v>
      </c>
      <c r="AV61" s="6">
        <v>0.60833999999999999</v>
      </c>
      <c r="AW61" s="6">
        <v>0.6653</v>
      </c>
      <c r="AX61" s="6">
        <v>0.58450000000000002</v>
      </c>
      <c r="AY61" s="6">
        <v>123</v>
      </c>
    </row>
    <row r="62" spans="1:51" x14ac:dyDescent="0.25">
      <c r="A62" s="31" t="s">
        <v>116</v>
      </c>
      <c r="B62" s="32">
        <v>2</v>
      </c>
      <c r="C62" s="32">
        <v>6</v>
      </c>
      <c r="D62" s="32">
        <v>6</v>
      </c>
      <c r="E62" s="32">
        <v>2</v>
      </c>
      <c r="F62" s="12">
        <v>57.1</v>
      </c>
      <c r="G62">
        <v>61.840057180475874</v>
      </c>
      <c r="H62" t="s">
        <v>12</v>
      </c>
      <c r="K62" s="5"/>
      <c r="L62" s="6"/>
      <c r="M62" s="6"/>
      <c r="AB62" s="17">
        <v>60</v>
      </c>
      <c r="AC62" s="6">
        <v>3.20357</v>
      </c>
      <c r="AD62" s="19">
        <v>-1.9774</v>
      </c>
      <c r="AE62" s="6">
        <v>3.0779000000000001</v>
      </c>
      <c r="AF62" s="6">
        <v>123</v>
      </c>
      <c r="AH62" s="17">
        <v>60</v>
      </c>
      <c r="AI62" s="6">
        <v>6.0926</v>
      </c>
      <c r="AJ62" s="19">
        <v>-1.9774</v>
      </c>
      <c r="AK62" s="6">
        <v>3.0779000000000001</v>
      </c>
      <c r="AL62" s="6">
        <v>123</v>
      </c>
      <c r="AO62" s="17">
        <v>60</v>
      </c>
      <c r="AP62" s="6">
        <v>1.1475599999999999</v>
      </c>
      <c r="AQ62" s="19">
        <v>-1.5910000000000001E-2</v>
      </c>
      <c r="AR62" s="6">
        <v>0.57969999999999999</v>
      </c>
      <c r="AS62" s="6">
        <v>123</v>
      </c>
      <c r="AU62" s="17">
        <v>60</v>
      </c>
      <c r="AV62" s="6">
        <v>0.60340000000000005</v>
      </c>
      <c r="AW62" s="19">
        <v>-1.5910000000000001E-2</v>
      </c>
      <c r="AX62" s="6">
        <v>0.57969999999999999</v>
      </c>
      <c r="AY62" s="6">
        <v>123</v>
      </c>
    </row>
    <row r="63" spans="1:51" x14ac:dyDescent="0.25">
      <c r="A63" s="31" t="s">
        <v>116</v>
      </c>
      <c r="B63" s="32">
        <v>2</v>
      </c>
      <c r="C63" s="32">
        <v>5</v>
      </c>
      <c r="D63" s="32">
        <v>6</v>
      </c>
      <c r="E63" s="32">
        <v>31</v>
      </c>
      <c r="F63" s="12">
        <v>56.6</v>
      </c>
      <c r="G63">
        <v>62.56386142198815</v>
      </c>
      <c r="H63" t="s">
        <v>12</v>
      </c>
      <c r="K63" s="5"/>
      <c r="L63" s="6"/>
      <c r="M63" s="6"/>
      <c r="AB63" s="17">
        <v>61</v>
      </c>
      <c r="AC63" s="6">
        <v>3.2043300000000001</v>
      </c>
      <c r="AD63" s="6">
        <v>1.6943999999999999</v>
      </c>
      <c r="AE63" s="6">
        <v>3.0787</v>
      </c>
      <c r="AF63" s="6">
        <v>123</v>
      </c>
      <c r="AH63" s="17">
        <v>61</v>
      </c>
      <c r="AI63" s="6">
        <v>6.0940000000000003</v>
      </c>
      <c r="AJ63" s="6">
        <v>1.6943999999999999</v>
      </c>
      <c r="AK63" s="6">
        <v>3.0787</v>
      </c>
      <c r="AL63" s="6">
        <v>123</v>
      </c>
      <c r="AO63" s="17">
        <v>61</v>
      </c>
      <c r="AP63" s="6">
        <v>1.14158</v>
      </c>
      <c r="AQ63" s="19">
        <v>-0.13239999999999999</v>
      </c>
      <c r="AR63" s="6">
        <v>0.57669999999999999</v>
      </c>
      <c r="AS63" s="6">
        <v>123</v>
      </c>
      <c r="AU63" s="17">
        <v>61</v>
      </c>
      <c r="AV63" s="6">
        <v>0.60026000000000002</v>
      </c>
      <c r="AW63" s="19">
        <v>-0.13239999999999999</v>
      </c>
      <c r="AX63" s="6">
        <v>0.57669999999999999</v>
      </c>
      <c r="AY63" s="6">
        <v>123</v>
      </c>
    </row>
    <row r="64" spans="1:51" x14ac:dyDescent="0.25">
      <c r="A64" s="31" t="s">
        <v>116</v>
      </c>
      <c r="B64" s="32">
        <v>2</v>
      </c>
      <c r="C64" s="32">
        <v>4</v>
      </c>
      <c r="D64" s="32">
        <v>6</v>
      </c>
      <c r="E64" s="32">
        <v>37</v>
      </c>
      <c r="F64" s="12">
        <v>57.6</v>
      </c>
      <c r="G64">
        <v>66.970581115395476</v>
      </c>
      <c r="H64" t="s">
        <v>12</v>
      </c>
      <c r="AB64" s="17">
        <v>62</v>
      </c>
      <c r="AC64" s="6">
        <v>3.2057799999999999</v>
      </c>
      <c r="AD64" s="6">
        <v>4.1806000000000001</v>
      </c>
      <c r="AE64" s="6">
        <v>3.08</v>
      </c>
      <c r="AF64" s="6">
        <v>123</v>
      </c>
      <c r="AH64" s="17">
        <v>62</v>
      </c>
      <c r="AI64" s="6">
        <v>6.0968</v>
      </c>
      <c r="AJ64" s="6">
        <v>4.1806000000000001</v>
      </c>
      <c r="AK64" s="6">
        <v>3.08</v>
      </c>
      <c r="AL64" s="6">
        <v>123</v>
      </c>
      <c r="AO64" s="17">
        <v>62</v>
      </c>
      <c r="AP64" s="6">
        <v>1.1421300000000001</v>
      </c>
      <c r="AQ64" s="19">
        <v>-0.66490000000000005</v>
      </c>
      <c r="AR64" s="6">
        <v>0.57699999999999996</v>
      </c>
      <c r="AS64" s="6">
        <v>123</v>
      </c>
      <c r="AU64" s="17">
        <v>62</v>
      </c>
      <c r="AV64" s="6">
        <v>0.60055000000000003</v>
      </c>
      <c r="AW64" s="19">
        <v>-0.66490000000000005</v>
      </c>
      <c r="AX64" s="6">
        <v>0.57699999999999996</v>
      </c>
      <c r="AY64" s="6">
        <v>123</v>
      </c>
    </row>
    <row r="65" spans="1:51" x14ac:dyDescent="0.25">
      <c r="A65" s="31" t="s">
        <v>116</v>
      </c>
      <c r="B65" s="32">
        <v>2</v>
      </c>
      <c r="C65" s="32">
        <v>3</v>
      </c>
      <c r="D65" s="32">
        <v>6</v>
      </c>
      <c r="E65" s="32">
        <v>21</v>
      </c>
      <c r="F65" s="12">
        <v>57.3</v>
      </c>
      <c r="G65">
        <v>66.354263519232575</v>
      </c>
      <c r="H65" t="s">
        <v>12</v>
      </c>
      <c r="AB65" s="17">
        <v>63</v>
      </c>
      <c r="AC65" s="6">
        <v>3.2219099999999998</v>
      </c>
      <c r="AD65" s="6">
        <v>4.8667999999999996</v>
      </c>
      <c r="AE65" s="6">
        <v>3.0954999999999999</v>
      </c>
      <c r="AF65" s="6">
        <v>123</v>
      </c>
      <c r="AH65" s="17">
        <v>63</v>
      </c>
      <c r="AI65" s="6">
        <v>6.1273999999999997</v>
      </c>
      <c r="AJ65" s="6">
        <v>4.8667999999999996</v>
      </c>
      <c r="AK65" s="6">
        <v>3.0954999999999999</v>
      </c>
      <c r="AL65" s="6">
        <v>123</v>
      </c>
      <c r="AO65" s="17">
        <v>63</v>
      </c>
      <c r="AP65" s="6">
        <v>1.1415</v>
      </c>
      <c r="AQ65" s="19">
        <v>-0.59940000000000004</v>
      </c>
      <c r="AR65" s="6">
        <v>0.57669999999999999</v>
      </c>
      <c r="AS65" s="6">
        <v>123</v>
      </c>
      <c r="AU65" s="17">
        <v>63</v>
      </c>
      <c r="AV65" s="6">
        <v>0.60021999999999998</v>
      </c>
      <c r="AW65" s="19">
        <v>-0.59940000000000004</v>
      </c>
      <c r="AX65" s="6">
        <v>0.57669999999999999</v>
      </c>
      <c r="AY65" s="6">
        <v>123</v>
      </c>
    </row>
    <row r="66" spans="1:51" x14ac:dyDescent="0.25">
      <c r="A66" s="31" t="s">
        <v>116</v>
      </c>
      <c r="B66" s="32">
        <v>2</v>
      </c>
      <c r="C66" s="32">
        <v>2</v>
      </c>
      <c r="D66" s="32">
        <v>6</v>
      </c>
      <c r="E66" s="32">
        <v>5</v>
      </c>
      <c r="F66" s="12">
        <v>56.3</v>
      </c>
      <c r="G66">
        <v>54.993648076742211</v>
      </c>
      <c r="H66" t="s">
        <v>12</v>
      </c>
      <c r="AB66" s="17">
        <v>64</v>
      </c>
      <c r="AC66" s="6">
        <v>3.21699</v>
      </c>
      <c r="AD66" s="19">
        <v>-0.2044</v>
      </c>
      <c r="AE66" s="6">
        <v>3.0908000000000002</v>
      </c>
      <c r="AF66" s="6">
        <v>123</v>
      </c>
      <c r="AH66" s="17">
        <v>64</v>
      </c>
      <c r="AI66" s="6">
        <v>6.1181000000000001</v>
      </c>
      <c r="AJ66" s="19">
        <v>-0.2044</v>
      </c>
      <c r="AK66" s="6">
        <v>3.0908000000000002</v>
      </c>
      <c r="AL66" s="6">
        <v>123</v>
      </c>
      <c r="AO66" s="17">
        <v>64</v>
      </c>
      <c r="AP66" s="6">
        <v>1.1495299999999999</v>
      </c>
      <c r="AQ66" s="6">
        <v>0.45729999999999998</v>
      </c>
      <c r="AR66" s="6">
        <v>0.58069999999999999</v>
      </c>
      <c r="AS66" s="6">
        <v>123</v>
      </c>
      <c r="AU66" s="17">
        <v>64</v>
      </c>
      <c r="AV66" s="6">
        <v>0.60443999999999998</v>
      </c>
      <c r="AW66" s="6">
        <v>0.45729999999999998</v>
      </c>
      <c r="AX66" s="6">
        <v>0.58069999999999999</v>
      </c>
      <c r="AY66" s="6">
        <v>123</v>
      </c>
    </row>
    <row r="67" spans="1:51" x14ac:dyDescent="0.25">
      <c r="A67" s="31" t="s">
        <v>116</v>
      </c>
      <c r="B67" s="32">
        <v>2</v>
      </c>
      <c r="C67" s="32">
        <v>1</v>
      </c>
      <c r="D67" s="32">
        <v>6</v>
      </c>
      <c r="E67" s="32">
        <v>23</v>
      </c>
      <c r="F67" s="12">
        <v>58</v>
      </c>
      <c r="G67">
        <v>57.240276779836357</v>
      </c>
      <c r="H67" t="s">
        <v>12</v>
      </c>
      <c r="AB67" s="17">
        <v>65</v>
      </c>
      <c r="AC67" s="6">
        <v>3.2040500000000001</v>
      </c>
      <c r="AD67" s="6">
        <v>4.3312999999999997</v>
      </c>
      <c r="AE67" s="6">
        <v>3.0783999999999998</v>
      </c>
      <c r="AF67" s="6">
        <v>123</v>
      </c>
      <c r="AH67" s="17">
        <v>65</v>
      </c>
      <c r="AI67" s="6">
        <v>6.0934999999999997</v>
      </c>
      <c r="AJ67" s="6">
        <v>4.3312999999999997</v>
      </c>
      <c r="AK67" s="6">
        <v>3.0783999999999998</v>
      </c>
      <c r="AL67" s="6">
        <v>123</v>
      </c>
      <c r="AO67" s="17">
        <v>65</v>
      </c>
      <c r="AP67" s="6">
        <v>1.1434800000000001</v>
      </c>
      <c r="AQ67" s="6">
        <v>3.6069999999999998E-2</v>
      </c>
      <c r="AR67" s="6">
        <v>0.57769999999999999</v>
      </c>
      <c r="AS67" s="6">
        <v>123</v>
      </c>
      <c r="AU67" s="17">
        <v>65</v>
      </c>
      <c r="AV67" s="6">
        <v>0.60126000000000002</v>
      </c>
      <c r="AW67" s="6">
        <v>3.6069999999999998E-2</v>
      </c>
      <c r="AX67" s="6">
        <v>0.57769999999999999</v>
      </c>
      <c r="AY67" s="6">
        <v>123</v>
      </c>
    </row>
    <row r="68" spans="1:51" x14ac:dyDescent="0.25">
      <c r="A68" s="31" t="s">
        <v>116</v>
      </c>
      <c r="B68" s="32">
        <v>2</v>
      </c>
      <c r="C68" s="32">
        <v>1</v>
      </c>
      <c r="D68" s="32">
        <v>7</v>
      </c>
      <c r="E68" s="32">
        <v>32</v>
      </c>
      <c r="F68" s="12">
        <v>59.4</v>
      </c>
      <c r="G68">
        <v>71.241509281133972</v>
      </c>
      <c r="H68" t="s">
        <v>12</v>
      </c>
      <c r="AB68" s="17">
        <v>66</v>
      </c>
      <c r="AC68" s="6">
        <v>3.2261700000000002</v>
      </c>
      <c r="AD68" s="19">
        <v>-4.9809000000000001</v>
      </c>
      <c r="AE68" s="6">
        <v>3.0996000000000001</v>
      </c>
      <c r="AF68" s="6">
        <v>123</v>
      </c>
      <c r="AH68" s="17">
        <v>66</v>
      </c>
      <c r="AI68" s="6">
        <v>6.1355000000000004</v>
      </c>
      <c r="AJ68" s="19">
        <v>-4.9809000000000001</v>
      </c>
      <c r="AK68" s="6">
        <v>3.0996000000000001</v>
      </c>
      <c r="AL68" s="6">
        <v>123</v>
      </c>
      <c r="AO68" s="17">
        <v>66</v>
      </c>
      <c r="AP68" s="6">
        <v>1.15717</v>
      </c>
      <c r="AQ68" s="19">
        <v>-0.16350000000000001</v>
      </c>
      <c r="AR68" s="6">
        <v>0.58460000000000001</v>
      </c>
      <c r="AS68" s="6">
        <v>123</v>
      </c>
      <c r="AU68" s="17">
        <v>66</v>
      </c>
      <c r="AV68" s="6">
        <v>0.60846</v>
      </c>
      <c r="AW68" s="19">
        <v>-0.16350000000000001</v>
      </c>
      <c r="AX68" s="6">
        <v>0.58460000000000001</v>
      </c>
      <c r="AY68" s="6">
        <v>123</v>
      </c>
    </row>
    <row r="69" spans="1:51" x14ac:dyDescent="0.25">
      <c r="A69" s="31" t="s">
        <v>116</v>
      </c>
      <c r="B69" s="32">
        <v>2</v>
      </c>
      <c r="C69" s="32">
        <v>2</v>
      </c>
      <c r="D69" s="32">
        <v>7</v>
      </c>
      <c r="E69" s="32">
        <v>16</v>
      </c>
      <c r="F69" s="12">
        <v>60</v>
      </c>
      <c r="G69">
        <v>69.779835687768198</v>
      </c>
      <c r="H69" t="s">
        <v>12</v>
      </c>
      <c r="AB69" s="17">
        <v>67</v>
      </c>
      <c r="AC69" s="6">
        <v>3.2367300000000001</v>
      </c>
      <c r="AD69" s="6">
        <v>3.1619999999999999</v>
      </c>
      <c r="AE69" s="6">
        <v>3.1097999999999999</v>
      </c>
      <c r="AF69" s="6">
        <v>123</v>
      </c>
      <c r="AH69" s="17">
        <v>67</v>
      </c>
      <c r="AI69" s="6">
        <v>6.1555999999999997</v>
      </c>
      <c r="AJ69" s="6">
        <v>3.1619999999999999</v>
      </c>
      <c r="AK69" s="6">
        <v>3.1097999999999999</v>
      </c>
      <c r="AL69" s="6">
        <v>123</v>
      </c>
      <c r="AO69" s="17">
        <v>67</v>
      </c>
      <c r="AP69" s="6">
        <v>1.1404300000000001</v>
      </c>
      <c r="AQ69" s="19">
        <v>-0.24360000000000001</v>
      </c>
      <c r="AR69" s="6">
        <v>0.57609999999999995</v>
      </c>
      <c r="AS69" s="6">
        <v>123</v>
      </c>
      <c r="AU69" s="17">
        <v>67</v>
      </c>
      <c r="AV69" s="6">
        <v>0.59965999999999997</v>
      </c>
      <c r="AW69" s="19">
        <v>-0.24360000000000001</v>
      </c>
      <c r="AX69" s="6">
        <v>0.57609999999999995</v>
      </c>
      <c r="AY69" s="6">
        <v>123</v>
      </c>
    </row>
    <row r="70" spans="1:51" x14ac:dyDescent="0.25">
      <c r="A70" s="31" t="s">
        <v>116</v>
      </c>
      <c r="B70" s="32">
        <v>2</v>
      </c>
      <c r="C70" s="32">
        <v>3</v>
      </c>
      <c r="D70" s="32">
        <v>7</v>
      </c>
      <c r="E70" s="32">
        <v>0</v>
      </c>
      <c r="F70" s="12">
        <v>57.3</v>
      </c>
      <c r="G70">
        <v>53.458744660334595</v>
      </c>
      <c r="H70" t="s">
        <v>12</v>
      </c>
      <c r="AB70" s="17">
        <v>68</v>
      </c>
      <c r="AC70" s="6">
        <v>3.2010100000000001</v>
      </c>
      <c r="AD70" s="6">
        <v>5.7506000000000004</v>
      </c>
      <c r="AE70" s="6">
        <v>3.0754999999999999</v>
      </c>
      <c r="AF70" s="6">
        <v>123</v>
      </c>
      <c r="AH70" s="17">
        <v>68</v>
      </c>
      <c r="AI70" s="6">
        <v>6.0876999999999999</v>
      </c>
      <c r="AJ70" s="6">
        <v>5.7506000000000004</v>
      </c>
      <c r="AK70" s="6">
        <v>3.0754999999999999</v>
      </c>
      <c r="AL70" s="6">
        <v>123</v>
      </c>
      <c r="AO70" s="17">
        <v>68</v>
      </c>
      <c r="AP70" s="6">
        <v>1.14022</v>
      </c>
      <c r="AQ70" s="6">
        <v>1.6149</v>
      </c>
      <c r="AR70" s="6">
        <v>0.57599999999999996</v>
      </c>
      <c r="AS70" s="6">
        <v>123</v>
      </c>
      <c r="AU70" s="17">
        <v>68</v>
      </c>
      <c r="AV70" s="6">
        <v>0.59955000000000003</v>
      </c>
      <c r="AW70" s="6">
        <v>1.6149</v>
      </c>
      <c r="AX70" s="6">
        <v>0.57599999999999996</v>
      </c>
      <c r="AY70" s="6">
        <v>123</v>
      </c>
    </row>
    <row r="71" spans="1:51" x14ac:dyDescent="0.25">
      <c r="A71" s="31" t="s">
        <v>116</v>
      </c>
      <c r="B71" s="32">
        <v>2</v>
      </c>
      <c r="C71" s="32">
        <v>4</v>
      </c>
      <c r="D71" s="32">
        <v>7</v>
      </c>
      <c r="E71" s="32">
        <v>34</v>
      </c>
      <c r="F71" s="12">
        <v>57.5</v>
      </c>
      <c r="G71">
        <v>68.57744462658502</v>
      </c>
      <c r="H71" t="s">
        <v>12</v>
      </c>
      <c r="AB71" s="17">
        <v>69</v>
      </c>
      <c r="AC71" s="6">
        <v>3.2092000000000001</v>
      </c>
      <c r="AD71" s="6">
        <v>6.9164000000000003</v>
      </c>
      <c r="AE71" s="6">
        <v>3.0832999999999999</v>
      </c>
      <c r="AF71" s="6">
        <v>123</v>
      </c>
      <c r="AH71" s="17">
        <v>69</v>
      </c>
      <c r="AI71" s="6">
        <v>6.1032999999999999</v>
      </c>
      <c r="AJ71" s="6">
        <v>6.9164000000000003</v>
      </c>
      <c r="AK71" s="6">
        <v>3.0832999999999999</v>
      </c>
      <c r="AL71" s="6">
        <v>123</v>
      </c>
      <c r="AO71" s="17">
        <v>69</v>
      </c>
      <c r="AP71" s="6">
        <v>1.1462600000000001</v>
      </c>
      <c r="AQ71" s="6">
        <v>8.9590000000000003E-2</v>
      </c>
      <c r="AR71" s="6">
        <v>0.57909999999999995</v>
      </c>
      <c r="AS71" s="6">
        <v>123</v>
      </c>
      <c r="AU71" s="17">
        <v>69</v>
      </c>
      <c r="AV71" s="6">
        <v>0.60272000000000003</v>
      </c>
      <c r="AW71" s="6">
        <v>8.9590000000000003E-2</v>
      </c>
      <c r="AX71" s="6">
        <v>0.57909999999999995</v>
      </c>
      <c r="AY71" s="6">
        <v>123</v>
      </c>
    </row>
    <row r="72" spans="1:51" x14ac:dyDescent="0.25">
      <c r="A72" s="31" t="s">
        <v>116</v>
      </c>
      <c r="B72" s="32">
        <v>2</v>
      </c>
      <c r="C72" s="32">
        <v>5</v>
      </c>
      <c r="D72" s="32">
        <v>7</v>
      </c>
      <c r="E72" s="32">
        <v>8</v>
      </c>
      <c r="F72" s="12">
        <v>55.9</v>
      </c>
      <c r="G72">
        <v>71.209185478038648</v>
      </c>
      <c r="H72" t="s">
        <v>12</v>
      </c>
      <c r="AB72" s="17">
        <v>70</v>
      </c>
      <c r="AC72" s="6">
        <v>3.1979500000000001</v>
      </c>
      <c r="AD72" s="6">
        <v>12.135199999999999</v>
      </c>
      <c r="AE72" s="6">
        <v>3.0724999999999998</v>
      </c>
      <c r="AF72" s="6">
        <v>123</v>
      </c>
      <c r="AH72" s="17">
        <v>70</v>
      </c>
      <c r="AI72" s="6">
        <v>6.0819000000000001</v>
      </c>
      <c r="AJ72" s="6">
        <v>12.135199999999999</v>
      </c>
      <c r="AK72" s="6">
        <v>3.0724999999999998</v>
      </c>
      <c r="AL72" s="6">
        <v>123</v>
      </c>
      <c r="AO72" s="17">
        <v>70</v>
      </c>
      <c r="AP72" s="6">
        <v>1.1408700000000001</v>
      </c>
      <c r="AQ72" s="6">
        <v>0.13650000000000001</v>
      </c>
      <c r="AR72" s="6">
        <v>0.57640000000000002</v>
      </c>
      <c r="AS72" s="6">
        <v>123</v>
      </c>
      <c r="AU72" s="17">
        <v>70</v>
      </c>
      <c r="AV72" s="6">
        <v>0.59989000000000003</v>
      </c>
      <c r="AW72" s="6">
        <v>0.13650000000000001</v>
      </c>
      <c r="AX72" s="6">
        <v>0.57640000000000002</v>
      </c>
      <c r="AY72" s="6">
        <v>123</v>
      </c>
    </row>
    <row r="73" spans="1:51" x14ac:dyDescent="0.25">
      <c r="A73" s="31" t="s">
        <v>116</v>
      </c>
      <c r="B73" s="32">
        <v>2</v>
      </c>
      <c r="C73" s="32">
        <v>6</v>
      </c>
      <c r="D73" s="32">
        <v>7</v>
      </c>
      <c r="E73" s="32">
        <v>27</v>
      </c>
      <c r="F73" s="12">
        <v>56.5</v>
      </c>
      <c r="G73">
        <v>75.621933513331101</v>
      </c>
      <c r="H73" t="s">
        <v>12</v>
      </c>
      <c r="AB73" s="17">
        <v>71</v>
      </c>
      <c r="AC73" s="6">
        <v>3.1881200000000001</v>
      </c>
      <c r="AD73" s="6">
        <v>9.2842000000000002</v>
      </c>
      <c r="AE73" s="6">
        <v>3.0630999999999999</v>
      </c>
      <c r="AF73" s="6">
        <v>123</v>
      </c>
      <c r="AH73" s="17">
        <v>71</v>
      </c>
      <c r="AI73" s="6">
        <v>6.0632000000000001</v>
      </c>
      <c r="AJ73" s="6">
        <v>9.2842000000000002</v>
      </c>
      <c r="AK73" s="6">
        <v>3.0630999999999999</v>
      </c>
      <c r="AL73" s="6">
        <v>123</v>
      </c>
      <c r="AO73" s="17">
        <v>71</v>
      </c>
      <c r="AP73" s="6">
        <v>1.1369899999999999</v>
      </c>
      <c r="AQ73" s="6">
        <v>0.4007</v>
      </c>
      <c r="AR73" s="6">
        <v>0.57440000000000002</v>
      </c>
      <c r="AS73" s="6">
        <v>123</v>
      </c>
      <c r="AU73" s="17">
        <v>71</v>
      </c>
      <c r="AV73" s="6">
        <v>0.59784999999999999</v>
      </c>
      <c r="AW73" s="6">
        <v>0.4007</v>
      </c>
      <c r="AX73" s="6">
        <v>0.57440000000000002</v>
      </c>
      <c r="AY73" s="6">
        <v>123</v>
      </c>
    </row>
    <row r="74" spans="1:51" x14ac:dyDescent="0.25">
      <c r="A74" s="31" t="s">
        <v>116</v>
      </c>
      <c r="B74" s="32">
        <v>2</v>
      </c>
      <c r="C74" s="32">
        <v>7</v>
      </c>
      <c r="D74" s="32">
        <v>7</v>
      </c>
      <c r="E74" s="32">
        <v>12</v>
      </c>
      <c r="F74" s="12">
        <v>56.4</v>
      </c>
      <c r="G74">
        <v>63.734826286099995</v>
      </c>
      <c r="H74" t="s">
        <v>12</v>
      </c>
      <c r="AB74" s="17">
        <v>72</v>
      </c>
      <c r="AC74" s="6">
        <v>3.2050299999999998</v>
      </c>
      <c r="AD74" s="19">
        <v>-2.4152999999999998</v>
      </c>
      <c r="AE74" s="6">
        <v>3.0792999999999999</v>
      </c>
      <c r="AF74" s="6">
        <v>123</v>
      </c>
      <c r="AH74" s="17">
        <v>72</v>
      </c>
      <c r="AI74" s="6">
        <v>6.0952999999999999</v>
      </c>
      <c r="AJ74" s="19">
        <v>-2.4152999999999998</v>
      </c>
      <c r="AK74" s="6">
        <v>3.0792999999999999</v>
      </c>
      <c r="AL74" s="6">
        <v>123</v>
      </c>
      <c r="AO74" s="17">
        <v>72</v>
      </c>
      <c r="AP74" s="6">
        <v>1.1434200000000001</v>
      </c>
      <c r="AQ74" s="19">
        <v>-1.7250000000000001</v>
      </c>
      <c r="AR74" s="6">
        <v>0.57769999999999999</v>
      </c>
      <c r="AS74" s="6">
        <v>123</v>
      </c>
      <c r="AU74" s="17">
        <v>72</v>
      </c>
      <c r="AV74" s="6">
        <v>0.60123000000000004</v>
      </c>
      <c r="AW74" s="19">
        <v>-1.7250000000000001</v>
      </c>
      <c r="AX74" s="6">
        <v>0.57769999999999999</v>
      </c>
      <c r="AY74" s="6">
        <v>123</v>
      </c>
    </row>
    <row r="75" spans="1:51" x14ac:dyDescent="0.25">
      <c r="A75" s="31" t="s">
        <v>116</v>
      </c>
      <c r="B75" s="32">
        <v>2</v>
      </c>
      <c r="C75" s="32">
        <v>8</v>
      </c>
      <c r="D75" s="32">
        <v>7</v>
      </c>
      <c r="E75" s="32">
        <v>10</v>
      </c>
      <c r="F75" s="12">
        <v>52.6</v>
      </c>
      <c r="G75">
        <v>47.086673930861572</v>
      </c>
      <c r="H75" t="s">
        <v>12</v>
      </c>
      <c r="AB75" s="17">
        <v>73</v>
      </c>
      <c r="AC75" s="6">
        <v>3.18852</v>
      </c>
      <c r="AD75" s="6">
        <v>1.8444</v>
      </c>
      <c r="AE75" s="6">
        <v>3.0634999999999999</v>
      </c>
      <c r="AF75" s="6">
        <v>123</v>
      </c>
      <c r="AH75" s="17">
        <v>73</v>
      </c>
      <c r="AI75" s="6">
        <v>6.0639000000000003</v>
      </c>
      <c r="AJ75" s="6">
        <v>1.8444</v>
      </c>
      <c r="AK75" s="6">
        <v>3.0634999999999999</v>
      </c>
      <c r="AL75" s="6">
        <v>123</v>
      </c>
      <c r="AO75" s="17">
        <v>73</v>
      </c>
      <c r="AP75" s="6">
        <v>1.1317200000000001</v>
      </c>
      <c r="AQ75" s="19">
        <v>-0.2863</v>
      </c>
      <c r="AR75" s="6">
        <v>0.57169999999999999</v>
      </c>
      <c r="AS75" s="6">
        <v>123</v>
      </c>
      <c r="AU75" s="17">
        <v>73</v>
      </c>
      <c r="AV75" s="6">
        <v>0.59508000000000005</v>
      </c>
      <c r="AW75" s="19">
        <v>-0.2863</v>
      </c>
      <c r="AX75" s="6">
        <v>0.57169999999999999</v>
      </c>
      <c r="AY75" s="6">
        <v>123</v>
      </c>
    </row>
    <row r="76" spans="1:51" x14ac:dyDescent="0.25">
      <c r="A76" s="31" t="s">
        <v>116</v>
      </c>
      <c r="B76" s="32">
        <v>2</v>
      </c>
      <c r="C76" s="32">
        <v>9</v>
      </c>
      <c r="D76" s="32">
        <v>7</v>
      </c>
      <c r="E76" s="32">
        <v>14</v>
      </c>
      <c r="F76" s="12">
        <v>58.4</v>
      </c>
      <c r="G76">
        <v>77.003045802998898</v>
      </c>
      <c r="H76" t="s">
        <v>12</v>
      </c>
      <c r="AB76" s="17">
        <v>74</v>
      </c>
      <c r="AC76" s="6">
        <v>3.21272</v>
      </c>
      <c r="AD76" s="6">
        <v>2.9438</v>
      </c>
      <c r="AE76" s="6">
        <v>3.0867</v>
      </c>
      <c r="AF76" s="6">
        <v>123</v>
      </c>
      <c r="AH76" s="17">
        <v>74</v>
      </c>
      <c r="AI76" s="6">
        <v>6.11</v>
      </c>
      <c r="AJ76" s="6">
        <v>2.9438</v>
      </c>
      <c r="AK76" s="6">
        <v>3.0867</v>
      </c>
      <c r="AL76" s="6">
        <v>123</v>
      </c>
      <c r="AO76" s="17">
        <v>74</v>
      </c>
      <c r="AP76" s="6">
        <v>1.1386000000000001</v>
      </c>
      <c r="AQ76" s="6">
        <v>0.38350000000000001</v>
      </c>
      <c r="AR76" s="6">
        <v>0.57520000000000004</v>
      </c>
      <c r="AS76" s="6">
        <v>123</v>
      </c>
      <c r="AU76" s="17">
        <v>74</v>
      </c>
      <c r="AV76" s="6">
        <v>0.59869000000000006</v>
      </c>
      <c r="AW76" s="6">
        <v>0.38350000000000001</v>
      </c>
      <c r="AX76" s="6">
        <v>0.57520000000000004</v>
      </c>
      <c r="AY76" s="6">
        <v>123</v>
      </c>
    </row>
    <row r="77" spans="1:51" x14ac:dyDescent="0.25">
      <c r="A77" s="31" t="s">
        <v>116</v>
      </c>
      <c r="B77" s="32">
        <v>2</v>
      </c>
      <c r="C77" s="32">
        <v>10</v>
      </c>
      <c r="D77" s="32">
        <v>7</v>
      </c>
      <c r="E77" s="32">
        <v>28</v>
      </c>
      <c r="F77" s="12">
        <v>55.5</v>
      </c>
      <c r="G77">
        <v>58.476480497565205</v>
      </c>
      <c r="H77" t="s">
        <v>12</v>
      </c>
      <c r="AB77" s="17">
        <v>75</v>
      </c>
      <c r="AC77" s="6">
        <v>3.21861</v>
      </c>
      <c r="AD77" s="19">
        <v>-1.2038</v>
      </c>
      <c r="AE77" s="6">
        <v>3.0924</v>
      </c>
      <c r="AF77" s="6">
        <v>123</v>
      </c>
      <c r="AH77" s="17">
        <v>75</v>
      </c>
      <c r="AI77" s="6">
        <v>6.1212</v>
      </c>
      <c r="AJ77" s="19">
        <v>-1.2038</v>
      </c>
      <c r="AK77" s="6">
        <v>3.0924</v>
      </c>
      <c r="AL77" s="6">
        <v>123</v>
      </c>
      <c r="AO77" s="17">
        <v>75</v>
      </c>
      <c r="AP77" s="6">
        <v>1.15063</v>
      </c>
      <c r="AQ77" s="19">
        <v>-0.55800000000000005</v>
      </c>
      <c r="AR77" s="6">
        <v>0.58130000000000004</v>
      </c>
      <c r="AS77" s="6">
        <v>123</v>
      </c>
      <c r="AU77" s="17">
        <v>75</v>
      </c>
      <c r="AV77" s="6">
        <v>0.60502</v>
      </c>
      <c r="AW77" s="19">
        <v>-0.55800000000000005</v>
      </c>
      <c r="AX77" s="6">
        <v>0.58130000000000004</v>
      </c>
      <c r="AY77" s="6">
        <v>123</v>
      </c>
    </row>
    <row r="78" spans="1:51" x14ac:dyDescent="0.25">
      <c r="A78" s="31" t="s">
        <v>116</v>
      </c>
      <c r="B78" s="32">
        <v>2</v>
      </c>
      <c r="C78" s="32">
        <v>11</v>
      </c>
      <c r="D78" s="32">
        <v>7</v>
      </c>
      <c r="E78" s="32">
        <v>30</v>
      </c>
      <c r="F78" s="12">
        <v>55.9</v>
      </c>
      <c r="G78">
        <v>52.34300544814618</v>
      </c>
      <c r="H78" t="s">
        <v>12</v>
      </c>
      <c r="AB78" s="17">
        <v>76</v>
      </c>
      <c r="AC78" s="6">
        <v>3.2045599999999999</v>
      </c>
      <c r="AD78" s="6">
        <v>7.8415999999999997</v>
      </c>
      <c r="AE78" s="6">
        <v>3.0789</v>
      </c>
      <c r="AF78" s="6">
        <v>123</v>
      </c>
      <c r="AH78" s="17">
        <v>76</v>
      </c>
      <c r="AI78" s="6">
        <v>6.0944000000000003</v>
      </c>
      <c r="AJ78" s="6">
        <v>7.8415999999999997</v>
      </c>
      <c r="AK78" s="6">
        <v>3.0789</v>
      </c>
      <c r="AL78" s="6">
        <v>123</v>
      </c>
      <c r="AO78" s="17">
        <v>76</v>
      </c>
      <c r="AP78" s="6">
        <v>1.13917</v>
      </c>
      <c r="AQ78" s="19">
        <v>-1.1102000000000001</v>
      </c>
      <c r="AR78" s="6">
        <v>0.57550000000000001</v>
      </c>
      <c r="AS78" s="6">
        <v>123</v>
      </c>
      <c r="AU78" s="17">
        <v>76</v>
      </c>
      <c r="AV78" s="6">
        <v>0.59899000000000002</v>
      </c>
      <c r="AW78" s="19">
        <v>-1.1102000000000001</v>
      </c>
      <c r="AX78" s="6">
        <v>0.57550000000000001</v>
      </c>
      <c r="AY78" s="6">
        <v>123</v>
      </c>
    </row>
    <row r="79" spans="1:51" x14ac:dyDescent="0.25">
      <c r="A79" s="31" t="s">
        <v>116</v>
      </c>
      <c r="B79" s="32">
        <v>2</v>
      </c>
      <c r="C79" s="32">
        <v>11</v>
      </c>
      <c r="D79" s="32">
        <v>8</v>
      </c>
      <c r="E79" s="32">
        <v>43</v>
      </c>
      <c r="F79" s="12">
        <v>54.8</v>
      </c>
      <c r="G79">
        <v>49.793762478485363</v>
      </c>
      <c r="H79" t="s">
        <v>12</v>
      </c>
      <c r="AB79" s="17">
        <v>77</v>
      </c>
      <c r="AC79" s="6">
        <v>3.1990400000000001</v>
      </c>
      <c r="AD79" s="6">
        <v>1.6191</v>
      </c>
      <c r="AE79" s="6">
        <v>3.0735999999999999</v>
      </c>
      <c r="AF79" s="6">
        <v>123</v>
      </c>
      <c r="AH79" s="17">
        <v>77</v>
      </c>
      <c r="AI79" s="6">
        <v>6.0838999999999999</v>
      </c>
      <c r="AJ79" s="6">
        <v>1.6191</v>
      </c>
      <c r="AK79" s="6">
        <v>3.0735999999999999</v>
      </c>
      <c r="AL79" s="6">
        <v>123</v>
      </c>
      <c r="AO79" s="17">
        <v>77</v>
      </c>
      <c r="AP79" s="6">
        <v>1.1305000000000001</v>
      </c>
      <c r="AQ79" s="19">
        <v>-1.0548</v>
      </c>
      <c r="AR79" s="6">
        <v>0.57110000000000005</v>
      </c>
      <c r="AS79" s="6">
        <v>123</v>
      </c>
      <c r="AU79" s="17">
        <v>77</v>
      </c>
      <c r="AV79" s="6">
        <v>0.59443999999999997</v>
      </c>
      <c r="AW79" s="19">
        <v>-1.0548</v>
      </c>
      <c r="AX79" s="6">
        <v>0.57110000000000005</v>
      </c>
      <c r="AY79" s="6">
        <v>123</v>
      </c>
    </row>
    <row r="80" spans="1:51" x14ac:dyDescent="0.25">
      <c r="A80" s="31" t="s">
        <v>116</v>
      </c>
      <c r="B80" s="32">
        <v>2</v>
      </c>
      <c r="C80" s="32">
        <v>10</v>
      </c>
      <c r="D80" s="32">
        <v>8</v>
      </c>
      <c r="E80" s="32">
        <v>45</v>
      </c>
      <c r="F80" s="12">
        <v>57.1</v>
      </c>
      <c r="G80">
        <v>68.511540447504302</v>
      </c>
      <c r="H80" t="s">
        <v>12</v>
      </c>
      <c r="AB80" s="17">
        <v>78</v>
      </c>
      <c r="AC80" s="6">
        <v>3.1943800000000002</v>
      </c>
      <c r="AD80" s="6">
        <v>3.468</v>
      </c>
      <c r="AE80" s="6">
        <v>3.0691000000000002</v>
      </c>
      <c r="AF80" s="6">
        <v>123</v>
      </c>
      <c r="AH80" s="17">
        <v>78</v>
      </c>
      <c r="AI80" s="6">
        <v>6.0750999999999999</v>
      </c>
      <c r="AJ80" s="6">
        <v>3.468</v>
      </c>
      <c r="AK80" s="6">
        <v>3.0691000000000002</v>
      </c>
      <c r="AL80" s="6">
        <v>123</v>
      </c>
      <c r="AO80" s="17">
        <v>78</v>
      </c>
      <c r="AP80" s="6">
        <v>1.13852</v>
      </c>
      <c r="AQ80" s="19">
        <v>-1.5145999999999999</v>
      </c>
      <c r="AR80" s="6">
        <v>0.57520000000000004</v>
      </c>
      <c r="AS80" s="6">
        <v>123</v>
      </c>
      <c r="AU80" s="17">
        <v>78</v>
      </c>
      <c r="AV80" s="6">
        <v>0.59865000000000002</v>
      </c>
      <c r="AW80" s="19">
        <v>-1.5145999999999999</v>
      </c>
      <c r="AX80" s="6">
        <v>0.57520000000000004</v>
      </c>
      <c r="AY80" s="6">
        <v>123</v>
      </c>
    </row>
    <row r="81" spans="1:51" x14ac:dyDescent="0.25">
      <c r="A81" s="31" t="s">
        <v>116</v>
      </c>
      <c r="B81" s="32">
        <v>2</v>
      </c>
      <c r="C81" s="32">
        <v>9</v>
      </c>
      <c r="D81" s="32">
        <v>8</v>
      </c>
      <c r="E81" s="32">
        <v>22</v>
      </c>
      <c r="F81" s="12">
        <v>58.8</v>
      </c>
      <c r="G81">
        <v>66.667653614457848</v>
      </c>
      <c r="H81" t="s">
        <v>12</v>
      </c>
      <c r="AB81" s="17">
        <v>79</v>
      </c>
      <c r="AC81" s="6">
        <v>3.2298499999999999</v>
      </c>
      <c r="AD81" s="6">
        <v>10.4206</v>
      </c>
      <c r="AE81" s="6">
        <v>3.1032000000000002</v>
      </c>
      <c r="AF81" s="6">
        <v>123</v>
      </c>
      <c r="AH81" s="17">
        <v>79</v>
      </c>
      <c r="AI81" s="6">
        <v>6.1425000000000001</v>
      </c>
      <c r="AJ81" s="6">
        <v>10.4206</v>
      </c>
      <c r="AK81" s="6">
        <v>3.1032000000000002</v>
      </c>
      <c r="AL81" s="6">
        <v>123</v>
      </c>
      <c r="AO81" s="17">
        <v>79</v>
      </c>
      <c r="AP81" s="6">
        <v>1.1565000000000001</v>
      </c>
      <c r="AQ81" s="6">
        <v>0.79059999999999997</v>
      </c>
      <c r="AR81" s="6">
        <v>0.58430000000000004</v>
      </c>
      <c r="AS81" s="6">
        <v>123</v>
      </c>
      <c r="AU81" s="17">
        <v>79</v>
      </c>
      <c r="AV81" s="6">
        <v>0.60811000000000004</v>
      </c>
      <c r="AW81" s="6">
        <v>0.79059999999999997</v>
      </c>
      <c r="AX81" s="6">
        <v>0.58430000000000004</v>
      </c>
      <c r="AY81" s="6">
        <v>123</v>
      </c>
    </row>
    <row r="82" spans="1:51" x14ac:dyDescent="0.25">
      <c r="A82" s="31" t="s">
        <v>116</v>
      </c>
      <c r="B82" s="32">
        <v>2</v>
      </c>
      <c r="C82" s="32">
        <v>8</v>
      </c>
      <c r="D82" s="32">
        <v>8</v>
      </c>
      <c r="E82" s="32">
        <v>40</v>
      </c>
      <c r="F82" s="12">
        <v>59</v>
      </c>
      <c r="G82">
        <v>67.309728915662632</v>
      </c>
      <c r="H82" t="s">
        <v>12</v>
      </c>
      <c r="AB82" s="17">
        <v>80</v>
      </c>
      <c r="AC82" s="6">
        <v>3.2308400000000002</v>
      </c>
      <c r="AD82" s="6">
        <v>4.0928000000000004</v>
      </c>
      <c r="AE82" s="6">
        <v>3.1040999999999999</v>
      </c>
      <c r="AF82" s="6">
        <v>123</v>
      </c>
      <c r="AH82" s="17">
        <v>80</v>
      </c>
      <c r="AI82" s="6">
        <v>6.1444000000000001</v>
      </c>
      <c r="AJ82" s="6">
        <v>4.0928000000000004</v>
      </c>
      <c r="AK82" s="6">
        <v>3.1040999999999999</v>
      </c>
      <c r="AL82" s="6">
        <v>123</v>
      </c>
      <c r="AO82" s="17">
        <v>80</v>
      </c>
      <c r="AP82" s="6">
        <v>1.15561</v>
      </c>
      <c r="AQ82" s="19">
        <v>-1.5717000000000001</v>
      </c>
      <c r="AR82" s="6">
        <v>0.58379999999999999</v>
      </c>
      <c r="AS82" s="6">
        <v>123</v>
      </c>
      <c r="AU82" s="17">
        <v>80</v>
      </c>
      <c r="AV82" s="6">
        <v>0.60763999999999996</v>
      </c>
      <c r="AW82" s="19">
        <v>-1.5717000000000001</v>
      </c>
      <c r="AX82" s="6">
        <v>0.58379999999999999</v>
      </c>
      <c r="AY82" s="6">
        <v>123</v>
      </c>
    </row>
    <row r="83" spans="1:51" x14ac:dyDescent="0.25">
      <c r="A83" s="31" t="s">
        <v>116</v>
      </c>
      <c r="B83" s="32">
        <v>2</v>
      </c>
      <c r="C83" s="32">
        <v>7</v>
      </c>
      <c r="D83" s="32">
        <v>8</v>
      </c>
      <c r="E83" s="32">
        <v>29</v>
      </c>
      <c r="F83" s="12">
        <v>55.9</v>
      </c>
      <c r="G83">
        <v>65.814107573149727</v>
      </c>
      <c r="H83" t="s">
        <v>12</v>
      </c>
      <c r="AB83" s="17">
        <v>81</v>
      </c>
      <c r="AC83" s="6">
        <v>3.2210899999999998</v>
      </c>
      <c r="AD83" s="6">
        <v>14.8826</v>
      </c>
      <c r="AE83" s="6">
        <v>3.0948000000000002</v>
      </c>
      <c r="AF83" s="6">
        <v>123</v>
      </c>
      <c r="AH83" s="17">
        <v>81</v>
      </c>
      <c r="AI83" s="6">
        <v>6.1258999999999997</v>
      </c>
      <c r="AJ83" s="6">
        <v>14.8826</v>
      </c>
      <c r="AK83" s="6">
        <v>3.0948000000000002</v>
      </c>
      <c r="AL83" s="6">
        <v>123</v>
      </c>
      <c r="AO83" s="17">
        <v>81</v>
      </c>
      <c r="AP83" s="6">
        <v>1.1510499999999999</v>
      </c>
      <c r="AQ83" s="6">
        <v>1.1052</v>
      </c>
      <c r="AR83" s="6">
        <v>0.58150000000000002</v>
      </c>
      <c r="AS83" s="6">
        <v>123</v>
      </c>
      <c r="AU83" s="17">
        <v>81</v>
      </c>
      <c r="AV83" s="6">
        <v>0.60524</v>
      </c>
      <c r="AW83" s="6">
        <v>1.1052</v>
      </c>
      <c r="AX83" s="6">
        <v>0.58150000000000002</v>
      </c>
      <c r="AY83" s="6">
        <v>123</v>
      </c>
    </row>
    <row r="84" spans="1:51" x14ac:dyDescent="0.25">
      <c r="A84" s="31" t="s">
        <v>116</v>
      </c>
      <c r="B84" s="32">
        <v>2</v>
      </c>
      <c r="C84" s="32">
        <v>6</v>
      </c>
      <c r="D84" s="32">
        <v>8</v>
      </c>
      <c r="E84" s="32">
        <v>26</v>
      </c>
      <c r="F84" s="12">
        <v>57.6</v>
      </c>
      <c r="G84">
        <v>76.278610154905337</v>
      </c>
      <c r="H84" t="s">
        <v>12</v>
      </c>
      <c r="AB84" s="17">
        <v>82</v>
      </c>
      <c r="AC84" s="6">
        <v>3.19699</v>
      </c>
      <c r="AD84" s="6">
        <v>12.6555</v>
      </c>
      <c r="AE84" s="6">
        <v>3.0716000000000001</v>
      </c>
      <c r="AF84" s="6">
        <v>123</v>
      </c>
      <c r="AH84" s="17">
        <v>82</v>
      </c>
      <c r="AI84" s="6">
        <v>6.08</v>
      </c>
      <c r="AJ84" s="6">
        <v>12.6555</v>
      </c>
      <c r="AK84" s="6">
        <v>3.0716000000000001</v>
      </c>
      <c r="AL84" s="6">
        <v>123</v>
      </c>
      <c r="AO84" s="17">
        <v>82</v>
      </c>
      <c r="AP84" s="6">
        <v>1.1392100000000001</v>
      </c>
      <c r="AQ84" s="6">
        <v>0.90229999999999999</v>
      </c>
      <c r="AR84" s="6">
        <v>0.57550000000000001</v>
      </c>
      <c r="AS84" s="6">
        <v>123</v>
      </c>
      <c r="AU84" s="17">
        <v>82</v>
      </c>
      <c r="AV84" s="6">
        <v>0.59901000000000004</v>
      </c>
      <c r="AW84" s="6">
        <v>0.90229999999999999</v>
      </c>
      <c r="AX84" s="6">
        <v>0.57550000000000001</v>
      </c>
      <c r="AY84" s="6">
        <v>123</v>
      </c>
    </row>
    <row r="85" spans="1:51" x14ac:dyDescent="0.25">
      <c r="A85" s="31" t="s">
        <v>116</v>
      </c>
      <c r="B85" s="32">
        <v>2</v>
      </c>
      <c r="C85" s="32">
        <v>5</v>
      </c>
      <c r="D85" s="32">
        <v>8</v>
      </c>
      <c r="E85" s="32">
        <v>35</v>
      </c>
      <c r="F85" s="12">
        <v>57.5</v>
      </c>
      <c r="G85">
        <v>71.763204819277107</v>
      </c>
      <c r="H85" t="s">
        <v>12</v>
      </c>
      <c r="AB85" s="17">
        <v>83</v>
      </c>
      <c r="AC85" s="6">
        <v>3.1979600000000001</v>
      </c>
      <c r="AD85" s="6">
        <v>3.7052999999999998</v>
      </c>
      <c r="AE85" s="6">
        <v>3.0724999999999998</v>
      </c>
      <c r="AF85" s="6">
        <v>123</v>
      </c>
      <c r="AH85" s="17">
        <v>83</v>
      </c>
      <c r="AI85" s="6">
        <v>6.0819000000000001</v>
      </c>
      <c r="AJ85" s="6">
        <v>3.7052999999999998</v>
      </c>
      <c r="AK85" s="6">
        <v>3.0724999999999998</v>
      </c>
      <c r="AL85" s="6">
        <v>123</v>
      </c>
      <c r="AO85" s="17">
        <v>83</v>
      </c>
      <c r="AP85" s="6">
        <v>1.1394599999999999</v>
      </c>
      <c r="AQ85" s="19">
        <v>-0.442</v>
      </c>
      <c r="AR85" s="6">
        <v>0.5756</v>
      </c>
      <c r="AS85" s="6">
        <v>123</v>
      </c>
      <c r="AU85" s="17">
        <v>83</v>
      </c>
      <c r="AV85" s="6">
        <v>0.59914999999999996</v>
      </c>
      <c r="AW85" s="19">
        <v>-0.442</v>
      </c>
      <c r="AX85" s="6">
        <v>0.5756</v>
      </c>
      <c r="AY85" s="6">
        <v>123</v>
      </c>
    </row>
    <row r="86" spans="1:51" x14ac:dyDescent="0.25">
      <c r="A86" s="31" t="s">
        <v>116</v>
      </c>
      <c r="B86" s="32">
        <v>2</v>
      </c>
      <c r="C86" s="32">
        <v>4</v>
      </c>
      <c r="D86" s="32">
        <v>8</v>
      </c>
      <c r="E86" s="32">
        <v>9</v>
      </c>
      <c r="F86" s="12">
        <v>55.6</v>
      </c>
      <c r="G86">
        <v>53.053946643717723</v>
      </c>
      <c r="H86" t="s">
        <v>12</v>
      </c>
      <c r="AB86" s="17">
        <v>84</v>
      </c>
      <c r="AC86" s="6">
        <v>3.1884100000000002</v>
      </c>
      <c r="AD86" s="6">
        <v>6.1726000000000001</v>
      </c>
      <c r="AE86" s="6">
        <v>3.0634000000000001</v>
      </c>
      <c r="AF86" s="6">
        <v>123</v>
      </c>
      <c r="AH86" s="17">
        <v>84</v>
      </c>
      <c r="AI86" s="6">
        <v>6.0636999999999999</v>
      </c>
      <c r="AJ86" s="6">
        <v>6.1726000000000001</v>
      </c>
      <c r="AK86" s="6">
        <v>3.0634000000000001</v>
      </c>
      <c r="AL86" s="6">
        <v>123</v>
      </c>
      <c r="AO86" s="17">
        <v>84</v>
      </c>
      <c r="AP86" s="6">
        <v>1.1335200000000001</v>
      </c>
      <c r="AQ86" s="19">
        <v>-0.23130000000000001</v>
      </c>
      <c r="AR86" s="6">
        <v>0.5726</v>
      </c>
      <c r="AS86" s="6">
        <v>123</v>
      </c>
      <c r="AU86" s="17">
        <v>84</v>
      </c>
      <c r="AV86" s="6">
        <v>0.59601999999999999</v>
      </c>
      <c r="AW86" s="19">
        <v>-0.23130000000000001</v>
      </c>
      <c r="AX86" s="6">
        <v>0.5726</v>
      </c>
      <c r="AY86" s="6">
        <v>123</v>
      </c>
    </row>
    <row r="87" spans="1:51" x14ac:dyDescent="0.25">
      <c r="A87" s="31" t="s">
        <v>116</v>
      </c>
      <c r="B87" s="32">
        <v>2</v>
      </c>
      <c r="C87" s="32">
        <v>3</v>
      </c>
      <c r="D87" s="32">
        <v>8</v>
      </c>
      <c r="E87" s="32">
        <v>18</v>
      </c>
      <c r="F87" s="12">
        <v>56.3</v>
      </c>
      <c r="G87">
        <v>52.453376936316687</v>
      </c>
      <c r="H87" t="s">
        <v>12</v>
      </c>
      <c r="AB87" s="17">
        <v>85</v>
      </c>
      <c r="AC87" s="6">
        <v>5.1078799999999998</v>
      </c>
      <c r="AD87" s="6">
        <v>15.1282</v>
      </c>
      <c r="AE87" s="6">
        <v>4.9074999999999998</v>
      </c>
      <c r="AF87" s="6">
        <v>123</v>
      </c>
      <c r="AH87" s="17">
        <v>85</v>
      </c>
      <c r="AI87" s="6">
        <v>9.7141999999999999</v>
      </c>
      <c r="AJ87" s="6">
        <v>15.1282</v>
      </c>
      <c r="AK87" s="6">
        <v>4.9074999999999998</v>
      </c>
      <c r="AL87" s="6">
        <v>123</v>
      </c>
      <c r="AO87" s="17">
        <v>85</v>
      </c>
      <c r="AP87" s="6">
        <v>1.81558</v>
      </c>
      <c r="AQ87" s="6">
        <v>0.28589999999999999</v>
      </c>
      <c r="AR87" s="6">
        <v>0.91720000000000002</v>
      </c>
      <c r="AS87" s="6">
        <v>123</v>
      </c>
      <c r="AU87" s="17">
        <v>85</v>
      </c>
      <c r="AV87" s="6">
        <v>0.95465999999999995</v>
      </c>
      <c r="AW87" s="6">
        <v>0.28589999999999999</v>
      </c>
      <c r="AX87" s="6">
        <v>0.91720000000000002</v>
      </c>
      <c r="AY87" s="6">
        <v>123</v>
      </c>
    </row>
    <row r="88" spans="1:51" x14ac:dyDescent="0.25">
      <c r="A88" s="31" t="s">
        <v>116</v>
      </c>
      <c r="B88" s="32">
        <v>2</v>
      </c>
      <c r="C88" s="32">
        <v>2</v>
      </c>
      <c r="D88" s="32">
        <v>8</v>
      </c>
      <c r="E88" s="32">
        <v>33</v>
      </c>
      <c r="F88" s="12">
        <v>59</v>
      </c>
      <c r="G88">
        <v>68.295114027538716</v>
      </c>
      <c r="H88" t="s">
        <v>12</v>
      </c>
      <c r="AB88" s="17">
        <v>86</v>
      </c>
      <c r="AC88" s="6">
        <v>3.1985100000000002</v>
      </c>
      <c r="AD88" s="6">
        <v>6.1548999999999996</v>
      </c>
      <c r="AE88" s="6">
        <v>3.0731000000000002</v>
      </c>
      <c r="AF88" s="6">
        <v>123</v>
      </c>
      <c r="AH88" s="17">
        <v>86</v>
      </c>
      <c r="AI88" s="6">
        <v>6.0829000000000004</v>
      </c>
      <c r="AJ88" s="6">
        <v>6.1548999999999996</v>
      </c>
      <c r="AK88" s="6">
        <v>3.0731000000000002</v>
      </c>
      <c r="AL88" s="6">
        <v>123</v>
      </c>
      <c r="AO88" s="17">
        <v>86</v>
      </c>
      <c r="AP88" s="6">
        <v>1.1390800000000001</v>
      </c>
      <c r="AQ88" s="19">
        <v>-0.71850000000000003</v>
      </c>
      <c r="AR88" s="6">
        <v>0.57550000000000001</v>
      </c>
      <c r="AS88" s="6">
        <v>123</v>
      </c>
      <c r="AU88" s="17">
        <v>86</v>
      </c>
      <c r="AV88" s="6">
        <v>0.59894999999999998</v>
      </c>
      <c r="AW88" s="19">
        <v>-0.71850000000000003</v>
      </c>
      <c r="AX88" s="6">
        <v>0.57550000000000001</v>
      </c>
      <c r="AY88" s="6">
        <v>123</v>
      </c>
    </row>
    <row r="89" spans="1:51" x14ac:dyDescent="0.25">
      <c r="A89" s="31" t="s">
        <v>116</v>
      </c>
      <c r="B89" s="32">
        <v>2</v>
      </c>
      <c r="C89" s="32">
        <v>1</v>
      </c>
      <c r="D89" s="32">
        <v>8</v>
      </c>
      <c r="E89" s="32">
        <v>41</v>
      </c>
      <c r="F89" s="12">
        <v>57.9</v>
      </c>
      <c r="G89">
        <v>50.878005593803785</v>
      </c>
      <c r="H89" t="s">
        <v>12</v>
      </c>
      <c r="AB89" s="17">
        <v>87</v>
      </c>
      <c r="AC89" s="6">
        <v>3.1968399999999999</v>
      </c>
      <c r="AD89" s="6">
        <v>4.5608000000000004</v>
      </c>
      <c r="AE89" s="6">
        <v>3.0714999999999999</v>
      </c>
      <c r="AF89" s="6">
        <v>123</v>
      </c>
      <c r="AH89" s="17">
        <v>87</v>
      </c>
      <c r="AI89" s="6">
        <v>6.0797999999999996</v>
      </c>
      <c r="AJ89" s="6">
        <v>4.5608000000000004</v>
      </c>
      <c r="AK89" s="6">
        <v>3.0714999999999999</v>
      </c>
      <c r="AL89" s="6">
        <v>123</v>
      </c>
      <c r="AO89" s="17">
        <v>87</v>
      </c>
      <c r="AP89" s="6">
        <v>1.13751</v>
      </c>
      <c r="AQ89" s="6">
        <v>2.5278</v>
      </c>
      <c r="AR89" s="6">
        <v>0.57469999999999999</v>
      </c>
      <c r="AS89" s="6">
        <v>123</v>
      </c>
      <c r="AU89" s="17">
        <v>87</v>
      </c>
      <c r="AV89" s="6">
        <v>0.59811999999999999</v>
      </c>
      <c r="AW89" s="6">
        <v>2.5278</v>
      </c>
      <c r="AX89" s="6">
        <v>0.57469999999999999</v>
      </c>
      <c r="AY89" s="6">
        <v>123</v>
      </c>
    </row>
    <row r="90" spans="1:51" x14ac:dyDescent="0.25">
      <c r="A90" s="31" t="s">
        <v>116</v>
      </c>
      <c r="B90" s="32">
        <v>3</v>
      </c>
      <c r="C90" s="32">
        <v>1</v>
      </c>
      <c r="D90" s="32">
        <v>9</v>
      </c>
      <c r="E90" s="32">
        <v>20</v>
      </c>
      <c r="F90" s="12">
        <v>58.4</v>
      </c>
      <c r="G90">
        <v>74.933181620943998</v>
      </c>
      <c r="H90" t="s">
        <v>12</v>
      </c>
      <c r="AB90" s="17">
        <v>88</v>
      </c>
      <c r="AC90" s="6">
        <v>3.2121400000000002</v>
      </c>
      <c r="AD90" s="6">
        <v>3.8883000000000001</v>
      </c>
      <c r="AE90" s="6">
        <v>3.0861999999999998</v>
      </c>
      <c r="AF90" s="6">
        <v>123</v>
      </c>
      <c r="AH90" s="17">
        <v>88</v>
      </c>
      <c r="AI90" s="6">
        <v>6.1089000000000002</v>
      </c>
      <c r="AJ90" s="6">
        <v>3.8883000000000001</v>
      </c>
      <c r="AK90" s="6">
        <v>3.0861999999999998</v>
      </c>
      <c r="AL90" s="6">
        <v>123</v>
      </c>
      <c r="AO90" s="17">
        <v>88</v>
      </c>
      <c r="AP90" s="6">
        <v>1.1439699999999999</v>
      </c>
      <c r="AQ90" s="6">
        <v>0.57820000000000005</v>
      </c>
      <c r="AR90" s="6">
        <v>0.57789999999999997</v>
      </c>
      <c r="AS90" s="6">
        <v>123</v>
      </c>
      <c r="AU90" s="17">
        <v>88</v>
      </c>
      <c r="AV90" s="6">
        <v>0.60152000000000005</v>
      </c>
      <c r="AW90" s="6">
        <v>0.57820000000000005</v>
      </c>
      <c r="AX90" s="6">
        <v>0.57789999999999997</v>
      </c>
      <c r="AY90" s="6">
        <v>123</v>
      </c>
    </row>
    <row r="91" spans="1:51" x14ac:dyDescent="0.25">
      <c r="A91" s="31" t="s">
        <v>116</v>
      </c>
      <c r="B91" s="32">
        <v>3</v>
      </c>
      <c r="C91" s="32">
        <v>2</v>
      </c>
      <c r="D91" s="32">
        <v>9</v>
      </c>
      <c r="E91" s="32">
        <v>0</v>
      </c>
      <c r="F91" s="12">
        <v>58.1</v>
      </c>
      <c r="G91">
        <v>52.25982368256112</v>
      </c>
      <c r="H91" t="s">
        <v>12</v>
      </c>
      <c r="AB91" s="17">
        <v>89</v>
      </c>
      <c r="AC91" s="6">
        <v>3.2063600000000001</v>
      </c>
      <c r="AD91" s="6">
        <v>14.7818</v>
      </c>
      <c r="AE91" s="6">
        <v>3.0806</v>
      </c>
      <c r="AF91" s="6">
        <v>123</v>
      </c>
      <c r="AH91" s="17">
        <v>89</v>
      </c>
      <c r="AI91" s="6">
        <v>6.0979000000000001</v>
      </c>
      <c r="AJ91" s="6">
        <v>14.7818</v>
      </c>
      <c r="AK91" s="6">
        <v>3.0806</v>
      </c>
      <c r="AL91" s="6">
        <v>123</v>
      </c>
      <c r="AO91" s="17">
        <v>89</v>
      </c>
      <c r="AP91" s="6">
        <v>1.13506</v>
      </c>
      <c r="AQ91" s="6">
        <v>0.41120000000000001</v>
      </c>
      <c r="AR91" s="6">
        <v>0.57340000000000002</v>
      </c>
      <c r="AS91" s="6">
        <v>123</v>
      </c>
      <c r="AU91" s="17">
        <v>89</v>
      </c>
      <c r="AV91" s="6">
        <v>0.59684000000000004</v>
      </c>
      <c r="AW91" s="6">
        <v>0.41120000000000001</v>
      </c>
      <c r="AX91" s="6">
        <v>0.57340000000000002</v>
      </c>
      <c r="AY91" s="6">
        <v>123</v>
      </c>
    </row>
    <row r="92" spans="1:51" x14ac:dyDescent="0.25">
      <c r="A92" s="31" t="s">
        <v>116</v>
      </c>
      <c r="B92" s="32">
        <v>3</v>
      </c>
      <c r="C92" s="32">
        <v>3</v>
      </c>
      <c r="D92" s="32">
        <v>9</v>
      </c>
      <c r="E92" s="32">
        <v>12</v>
      </c>
      <c r="F92" s="12">
        <v>57.9</v>
      </c>
      <c r="G92">
        <v>60.601212091991712</v>
      </c>
      <c r="H92" t="s">
        <v>12</v>
      </c>
      <c r="AB92" s="17">
        <v>90</v>
      </c>
      <c r="AC92" s="6">
        <v>3.2080500000000001</v>
      </c>
      <c r="AD92" s="19">
        <v>-0.70899999999999996</v>
      </c>
      <c r="AE92" s="6">
        <v>3.0821999999999998</v>
      </c>
      <c r="AF92" s="6">
        <v>123</v>
      </c>
      <c r="AH92" s="17">
        <v>90</v>
      </c>
      <c r="AI92" s="6">
        <v>6.1010999999999997</v>
      </c>
      <c r="AJ92" s="19">
        <v>-0.70899999999999996</v>
      </c>
      <c r="AK92" s="6">
        <v>3.0821999999999998</v>
      </c>
      <c r="AL92" s="6">
        <v>123</v>
      </c>
      <c r="AO92" s="17">
        <v>90</v>
      </c>
      <c r="AP92" s="6">
        <v>1.1469100000000001</v>
      </c>
      <c r="AQ92" s="19">
        <v>-0.67169999999999996</v>
      </c>
      <c r="AR92" s="6">
        <v>0.57940000000000003</v>
      </c>
      <c r="AS92" s="6">
        <v>123</v>
      </c>
      <c r="AU92" s="17">
        <v>90</v>
      </c>
      <c r="AV92" s="6">
        <v>0.60306000000000004</v>
      </c>
      <c r="AW92" s="19">
        <v>-0.67169999999999996</v>
      </c>
      <c r="AX92" s="6">
        <v>0.57940000000000003</v>
      </c>
      <c r="AY92" s="6">
        <v>123</v>
      </c>
    </row>
    <row r="93" spans="1:51" x14ac:dyDescent="0.25">
      <c r="A93" s="31" t="s">
        <v>116</v>
      </c>
      <c r="B93" s="32">
        <v>3</v>
      </c>
      <c r="C93" s="32">
        <v>4</v>
      </c>
      <c r="D93" s="32">
        <v>9</v>
      </c>
      <c r="E93" s="32">
        <v>23</v>
      </c>
      <c r="F93" s="12">
        <v>58.8</v>
      </c>
      <c r="G93">
        <v>63.904626488597465</v>
      </c>
      <c r="H93" t="s">
        <v>12</v>
      </c>
      <c r="AB93" s="17">
        <v>91</v>
      </c>
      <c r="AC93" s="6">
        <v>3.2160000000000002</v>
      </c>
      <c r="AD93" s="6">
        <v>8.2867999999999995</v>
      </c>
      <c r="AE93" s="6">
        <v>3.0899000000000001</v>
      </c>
      <c r="AF93" s="6">
        <v>123</v>
      </c>
      <c r="AH93" s="17">
        <v>91</v>
      </c>
      <c r="AI93" s="6">
        <v>6.1162000000000001</v>
      </c>
      <c r="AJ93" s="6">
        <v>8.2867999999999995</v>
      </c>
      <c r="AK93" s="6">
        <v>3.0899000000000001</v>
      </c>
      <c r="AL93" s="6">
        <v>123</v>
      </c>
      <c r="AO93" s="17">
        <v>91</v>
      </c>
      <c r="AP93" s="6">
        <v>1.14768</v>
      </c>
      <c r="AQ93" s="6">
        <v>2.5245000000000002</v>
      </c>
      <c r="AR93" s="6">
        <v>0.57979999999999998</v>
      </c>
      <c r="AS93" s="6">
        <v>123</v>
      </c>
      <c r="AU93" s="17">
        <v>91</v>
      </c>
      <c r="AV93" s="6">
        <v>0.60346999999999995</v>
      </c>
      <c r="AW93" s="6">
        <v>2.5245000000000002</v>
      </c>
      <c r="AX93" s="6">
        <v>0.57979999999999998</v>
      </c>
      <c r="AY93" s="6">
        <v>123</v>
      </c>
    </row>
    <row r="94" spans="1:51" x14ac:dyDescent="0.25">
      <c r="A94" s="31" t="s">
        <v>116</v>
      </c>
      <c r="B94" s="32">
        <v>3</v>
      </c>
      <c r="C94" s="32">
        <v>5</v>
      </c>
      <c r="D94" s="32">
        <v>9</v>
      </c>
      <c r="E94" s="32">
        <v>41</v>
      </c>
      <c r="F94" s="12">
        <v>57</v>
      </c>
      <c r="G94">
        <v>55.026993250084374</v>
      </c>
      <c r="H94" t="s">
        <v>12</v>
      </c>
      <c r="AB94" s="17">
        <v>92</v>
      </c>
      <c r="AC94" s="6">
        <v>3.20838</v>
      </c>
      <c r="AD94" s="6">
        <v>14.256399999999999</v>
      </c>
      <c r="AE94" s="6">
        <v>3.0825999999999998</v>
      </c>
      <c r="AF94" s="6">
        <v>123</v>
      </c>
      <c r="AH94" s="17">
        <v>92</v>
      </c>
      <c r="AI94" s="6">
        <v>6.1017000000000001</v>
      </c>
      <c r="AJ94" s="6">
        <v>14.256399999999999</v>
      </c>
      <c r="AK94" s="6">
        <v>3.0825999999999998</v>
      </c>
      <c r="AL94" s="6">
        <v>123</v>
      </c>
      <c r="AO94" s="17">
        <v>92</v>
      </c>
      <c r="AP94" s="6">
        <v>1.1416200000000001</v>
      </c>
      <c r="AQ94" s="6">
        <v>3.7172000000000001</v>
      </c>
      <c r="AR94" s="6">
        <v>0.57669999999999999</v>
      </c>
      <c r="AS94" s="6">
        <v>123</v>
      </c>
      <c r="AU94" s="17">
        <v>92</v>
      </c>
      <c r="AV94" s="6">
        <v>0.60028000000000004</v>
      </c>
      <c r="AW94" s="6">
        <v>3.7172000000000001</v>
      </c>
      <c r="AX94" s="6">
        <v>0.57669999999999999</v>
      </c>
      <c r="AY94" s="6">
        <v>123</v>
      </c>
    </row>
    <row r="95" spans="1:51" x14ac:dyDescent="0.25">
      <c r="A95" s="31" t="s">
        <v>116</v>
      </c>
      <c r="B95" s="32">
        <v>3</v>
      </c>
      <c r="C95" s="32">
        <v>6</v>
      </c>
      <c r="D95" s="32">
        <v>9</v>
      </c>
      <c r="E95" s="32">
        <v>22</v>
      </c>
      <c r="F95" s="12">
        <v>59.3</v>
      </c>
      <c r="G95">
        <v>69.433581505231189</v>
      </c>
      <c r="H95" t="s">
        <v>12</v>
      </c>
      <c r="AB95" s="17">
        <v>93</v>
      </c>
      <c r="AC95" s="6">
        <v>3.22784</v>
      </c>
      <c r="AD95" s="6">
        <v>0.29959999999999998</v>
      </c>
      <c r="AE95" s="6">
        <v>3.1012</v>
      </c>
      <c r="AF95" s="6">
        <v>123</v>
      </c>
      <c r="AH95" s="17">
        <v>93</v>
      </c>
      <c r="AI95" s="6">
        <v>6.1387</v>
      </c>
      <c r="AJ95" s="6">
        <v>0.29959999999999998</v>
      </c>
      <c r="AK95" s="6">
        <v>3.1012</v>
      </c>
      <c r="AL95" s="6">
        <v>123</v>
      </c>
      <c r="AO95" s="17">
        <v>93</v>
      </c>
      <c r="AP95" s="6">
        <v>1.14205</v>
      </c>
      <c r="AQ95" s="19">
        <v>-1.2854000000000001</v>
      </c>
      <c r="AR95" s="6">
        <v>0.57699999999999996</v>
      </c>
      <c r="AS95" s="6">
        <v>123</v>
      </c>
      <c r="AU95" s="17">
        <v>93</v>
      </c>
      <c r="AV95" s="6">
        <v>0.60050999999999999</v>
      </c>
      <c r="AW95" s="19">
        <v>-1.2854000000000001</v>
      </c>
      <c r="AX95" s="6">
        <v>0.57699999999999996</v>
      </c>
      <c r="AY95" s="6">
        <v>123</v>
      </c>
    </row>
    <row r="96" spans="1:51" x14ac:dyDescent="0.25">
      <c r="A96" s="31" t="s">
        <v>116</v>
      </c>
      <c r="B96" s="32">
        <v>3</v>
      </c>
      <c r="C96" s="32">
        <v>7</v>
      </c>
      <c r="D96" s="32">
        <v>9</v>
      </c>
      <c r="E96" s="32">
        <v>26</v>
      </c>
      <c r="F96" s="12">
        <v>56.5</v>
      </c>
      <c r="G96">
        <v>75.948832553878788</v>
      </c>
      <c r="H96" t="s">
        <v>12</v>
      </c>
      <c r="AB96" s="17">
        <v>94</v>
      </c>
      <c r="AC96" s="6">
        <v>3.21313</v>
      </c>
      <c r="AD96" s="6">
        <v>8.8400999999999996</v>
      </c>
      <c r="AE96" s="6">
        <v>3.0871</v>
      </c>
      <c r="AF96" s="6">
        <v>123</v>
      </c>
      <c r="AH96" s="17">
        <v>94</v>
      </c>
      <c r="AI96" s="6">
        <v>6.1106999999999996</v>
      </c>
      <c r="AJ96" s="6">
        <v>8.8400999999999996</v>
      </c>
      <c r="AK96" s="6">
        <v>3.0871</v>
      </c>
      <c r="AL96" s="6">
        <v>123</v>
      </c>
      <c r="AO96" s="17">
        <v>94</v>
      </c>
      <c r="AP96" s="6">
        <v>1.1435299999999999</v>
      </c>
      <c r="AQ96" s="6">
        <v>0.19359999999999999</v>
      </c>
      <c r="AR96" s="6">
        <v>0.57769999999999999</v>
      </c>
      <c r="AS96" s="6">
        <v>123</v>
      </c>
      <c r="AU96" s="17">
        <v>94</v>
      </c>
      <c r="AV96" s="6">
        <v>0.60128999999999999</v>
      </c>
      <c r="AW96" s="6">
        <v>0.19359999999999999</v>
      </c>
      <c r="AX96" s="6">
        <v>0.57769999999999999</v>
      </c>
      <c r="AY96" s="6">
        <v>123</v>
      </c>
    </row>
    <row r="97" spans="1:51" x14ac:dyDescent="0.25">
      <c r="A97" s="31" t="s">
        <v>116</v>
      </c>
      <c r="B97" s="32">
        <v>3</v>
      </c>
      <c r="C97" s="32">
        <v>8</v>
      </c>
      <c r="D97" s="32">
        <v>9</v>
      </c>
      <c r="E97" s="32">
        <v>45</v>
      </c>
      <c r="F97" s="12">
        <v>58.1</v>
      </c>
      <c r="G97">
        <v>66.224618292271344</v>
      </c>
      <c r="H97" t="s">
        <v>12</v>
      </c>
      <c r="AB97" s="17">
        <v>95</v>
      </c>
      <c r="AC97" s="6">
        <v>3.2191200000000002</v>
      </c>
      <c r="AD97" s="6">
        <v>3.742</v>
      </c>
      <c r="AE97" s="6">
        <v>3.0929000000000002</v>
      </c>
      <c r="AF97" s="6">
        <v>123</v>
      </c>
      <c r="AH97" s="17">
        <v>95</v>
      </c>
      <c r="AI97" s="6">
        <v>6.1220999999999997</v>
      </c>
      <c r="AJ97" s="6">
        <v>3.742</v>
      </c>
      <c r="AK97" s="6">
        <v>3.0929000000000002</v>
      </c>
      <c r="AL97" s="6">
        <v>123</v>
      </c>
      <c r="AO97" s="17">
        <v>95</v>
      </c>
      <c r="AP97" s="6">
        <v>1.1475599999999999</v>
      </c>
      <c r="AQ97" s="19">
        <v>-0.2366</v>
      </c>
      <c r="AR97" s="6">
        <v>0.57969999999999999</v>
      </c>
      <c r="AS97" s="6">
        <v>123</v>
      </c>
      <c r="AU97" s="17">
        <v>95</v>
      </c>
      <c r="AV97" s="6">
        <v>0.60341</v>
      </c>
      <c r="AW97" s="19">
        <v>-0.2366</v>
      </c>
      <c r="AX97" s="6">
        <v>0.57969999999999999</v>
      </c>
      <c r="AY97" s="6">
        <v>123</v>
      </c>
    </row>
    <row r="98" spans="1:51" x14ac:dyDescent="0.25">
      <c r="A98" s="31" t="s">
        <v>116</v>
      </c>
      <c r="B98" s="32">
        <v>3</v>
      </c>
      <c r="C98" s="32">
        <v>9</v>
      </c>
      <c r="D98" s="32">
        <v>9</v>
      </c>
      <c r="E98" s="32">
        <v>37</v>
      </c>
      <c r="F98" s="12">
        <v>58.3</v>
      </c>
      <c r="G98">
        <v>72.153640036642386</v>
      </c>
      <c r="H98" t="s">
        <v>12</v>
      </c>
      <c r="AB98" s="17">
        <v>96</v>
      </c>
      <c r="AC98" s="6">
        <v>3.2037399999999998</v>
      </c>
      <c r="AD98" s="19">
        <v>-4.8600000000000003</v>
      </c>
      <c r="AE98" s="6">
        <v>3.0781000000000001</v>
      </c>
      <c r="AF98" s="6">
        <v>123</v>
      </c>
      <c r="AH98" s="17">
        <v>96</v>
      </c>
      <c r="AI98" s="6">
        <v>6.0929000000000002</v>
      </c>
      <c r="AJ98" s="19">
        <v>-4.8600000000000003</v>
      </c>
      <c r="AK98" s="6">
        <v>3.0781000000000001</v>
      </c>
      <c r="AL98" s="6">
        <v>123</v>
      </c>
      <c r="AO98" s="17">
        <v>96</v>
      </c>
      <c r="AP98" s="6">
        <v>1.1393800000000001</v>
      </c>
      <c r="AQ98" s="19">
        <v>-1.1062000000000001</v>
      </c>
      <c r="AR98" s="6">
        <v>0.5756</v>
      </c>
      <c r="AS98" s="6">
        <v>123</v>
      </c>
      <c r="AU98" s="17">
        <v>96</v>
      </c>
      <c r="AV98" s="6">
        <v>0.59909999999999997</v>
      </c>
      <c r="AW98" s="19">
        <v>-1.1062000000000001</v>
      </c>
      <c r="AX98" s="6">
        <v>0.5756</v>
      </c>
      <c r="AY98" s="6">
        <v>123</v>
      </c>
    </row>
    <row r="99" spans="1:51" x14ac:dyDescent="0.25">
      <c r="A99" s="31" t="s">
        <v>116</v>
      </c>
      <c r="B99" s="32">
        <v>3</v>
      </c>
      <c r="C99" s="32">
        <v>10</v>
      </c>
      <c r="D99" s="32">
        <v>9</v>
      </c>
      <c r="E99" s="32">
        <v>27</v>
      </c>
      <c r="F99" s="12">
        <v>56.6</v>
      </c>
      <c r="G99">
        <v>75.868872667663069</v>
      </c>
      <c r="H99" t="s">
        <v>12</v>
      </c>
      <c r="AB99" s="17">
        <v>97</v>
      </c>
      <c r="AC99" s="6">
        <v>3.2057500000000001</v>
      </c>
      <c r="AD99" s="19">
        <v>-0.32029999999999997</v>
      </c>
      <c r="AE99" s="6">
        <v>3.08</v>
      </c>
      <c r="AF99" s="6">
        <v>123</v>
      </c>
      <c r="AH99" s="17">
        <v>97</v>
      </c>
      <c r="AI99" s="6">
        <v>6.0967000000000002</v>
      </c>
      <c r="AJ99" s="19">
        <v>-0.32029999999999997</v>
      </c>
      <c r="AK99" s="6">
        <v>3.08</v>
      </c>
      <c r="AL99" s="6">
        <v>123</v>
      </c>
      <c r="AO99" s="17">
        <v>97</v>
      </c>
      <c r="AP99" s="6">
        <v>1.1432599999999999</v>
      </c>
      <c r="AQ99" s="6">
        <v>1.0232000000000001</v>
      </c>
      <c r="AR99" s="6">
        <v>0.5776</v>
      </c>
      <c r="AS99" s="6">
        <v>123</v>
      </c>
      <c r="AU99" s="17">
        <v>97</v>
      </c>
      <c r="AV99" s="6">
        <v>0.60114999999999996</v>
      </c>
      <c r="AW99" s="6">
        <v>1.0232000000000001</v>
      </c>
      <c r="AX99" s="6">
        <v>0.5776</v>
      </c>
      <c r="AY99" s="6">
        <v>123</v>
      </c>
    </row>
    <row r="100" spans="1:51" x14ac:dyDescent="0.25">
      <c r="A100" s="31" t="s">
        <v>116</v>
      </c>
      <c r="B100" s="32">
        <v>3</v>
      </c>
      <c r="C100" s="32">
        <v>11</v>
      </c>
      <c r="D100" s="32">
        <v>9</v>
      </c>
      <c r="E100" s="32">
        <v>11</v>
      </c>
      <c r="F100" s="12">
        <v>59.2</v>
      </c>
      <c r="G100">
        <v>74.131124584156993</v>
      </c>
      <c r="H100" t="s">
        <v>12</v>
      </c>
      <c r="AB100" s="17">
        <v>98</v>
      </c>
      <c r="AC100" s="6">
        <v>3.21292</v>
      </c>
      <c r="AD100" s="6">
        <v>0.48730000000000001</v>
      </c>
      <c r="AE100" s="6">
        <v>3.0869</v>
      </c>
      <c r="AF100" s="6">
        <v>123</v>
      </c>
      <c r="AH100" s="17">
        <v>98</v>
      </c>
      <c r="AI100" s="6">
        <v>6.1102999999999996</v>
      </c>
      <c r="AJ100" s="6">
        <v>0.48730000000000001</v>
      </c>
      <c r="AK100" s="6">
        <v>3.0869</v>
      </c>
      <c r="AL100" s="6">
        <v>123</v>
      </c>
      <c r="AO100" s="17">
        <v>98</v>
      </c>
      <c r="AP100" s="6">
        <v>1.14578</v>
      </c>
      <c r="AQ100" s="19">
        <v>-1.5791999999999999</v>
      </c>
      <c r="AR100" s="6">
        <v>0.57879999999999998</v>
      </c>
      <c r="AS100" s="6">
        <v>123</v>
      </c>
      <c r="AU100" s="17">
        <v>98</v>
      </c>
      <c r="AV100" s="6">
        <v>0.60246999999999995</v>
      </c>
      <c r="AW100" s="19">
        <v>-1.5791999999999999</v>
      </c>
      <c r="AX100" s="6">
        <v>0.57879999999999998</v>
      </c>
      <c r="AY100" s="6">
        <v>123</v>
      </c>
    </row>
    <row r="101" spans="1:51" x14ac:dyDescent="0.25">
      <c r="A101" s="31" t="s">
        <v>116</v>
      </c>
      <c r="B101" s="32">
        <v>3</v>
      </c>
      <c r="C101" s="32">
        <v>11</v>
      </c>
      <c r="D101" s="32">
        <v>10</v>
      </c>
      <c r="E101" s="32">
        <v>16</v>
      </c>
      <c r="F101" s="12">
        <v>59.5</v>
      </c>
      <c r="G101">
        <v>77.991520192076806</v>
      </c>
      <c r="H101" t="s">
        <v>12</v>
      </c>
      <c r="AB101" s="17">
        <v>99</v>
      </c>
      <c r="AC101" s="6">
        <v>3.2054299999999998</v>
      </c>
      <c r="AD101" s="19">
        <v>-1.2937000000000001</v>
      </c>
      <c r="AE101" s="6">
        <v>3.0796999999999999</v>
      </c>
      <c r="AF101" s="6">
        <v>123</v>
      </c>
      <c r="AH101" s="17">
        <v>99</v>
      </c>
      <c r="AI101" s="6">
        <v>6.0960999999999999</v>
      </c>
      <c r="AJ101" s="19">
        <v>-1.2937000000000001</v>
      </c>
      <c r="AK101" s="6">
        <v>3.0796999999999999</v>
      </c>
      <c r="AL101" s="6">
        <v>123</v>
      </c>
      <c r="AO101" s="17">
        <v>99</v>
      </c>
      <c r="AP101" s="6">
        <v>1.14055</v>
      </c>
      <c r="AQ101" s="6">
        <v>0.2596</v>
      </c>
      <c r="AR101" s="6">
        <v>0.57620000000000005</v>
      </c>
      <c r="AS101" s="6">
        <v>123</v>
      </c>
      <c r="AU101" s="17">
        <v>99</v>
      </c>
      <c r="AV101" s="6">
        <v>0.59972000000000003</v>
      </c>
      <c r="AW101" s="6">
        <v>0.2596</v>
      </c>
      <c r="AX101" s="6">
        <v>0.57620000000000005</v>
      </c>
      <c r="AY101" s="6">
        <v>123</v>
      </c>
    </row>
    <row r="102" spans="1:51" x14ac:dyDescent="0.25">
      <c r="A102" s="31" t="s">
        <v>116</v>
      </c>
      <c r="B102" s="32">
        <v>3</v>
      </c>
      <c r="C102" s="32">
        <v>10</v>
      </c>
      <c r="D102" s="32">
        <v>10</v>
      </c>
      <c r="E102" s="32">
        <v>31</v>
      </c>
      <c r="F102" s="12">
        <v>55.6</v>
      </c>
      <c r="G102">
        <v>68.827462184873951</v>
      </c>
      <c r="H102" t="s">
        <v>12</v>
      </c>
      <c r="AB102" s="17">
        <v>100</v>
      </c>
      <c r="AC102" s="6">
        <v>3.2439399999999998</v>
      </c>
      <c r="AD102" s="6">
        <v>8.6487999999999996</v>
      </c>
      <c r="AE102" s="6">
        <v>3.1166999999999998</v>
      </c>
      <c r="AF102" s="6">
        <v>123</v>
      </c>
      <c r="AH102" s="17">
        <v>100</v>
      </c>
      <c r="AI102" s="6">
        <v>6.1692999999999998</v>
      </c>
      <c r="AJ102" s="6">
        <v>8.6487999999999996</v>
      </c>
      <c r="AK102" s="6">
        <v>3.1166999999999998</v>
      </c>
      <c r="AL102" s="6">
        <v>123</v>
      </c>
      <c r="AO102" s="17">
        <v>100</v>
      </c>
      <c r="AP102" s="6">
        <v>1.16028</v>
      </c>
      <c r="AQ102" s="6">
        <v>0.80300000000000005</v>
      </c>
      <c r="AR102" s="6">
        <v>0.58620000000000005</v>
      </c>
      <c r="AS102" s="6">
        <v>123</v>
      </c>
      <c r="AU102" s="17">
        <v>100</v>
      </c>
      <c r="AV102" s="6">
        <v>0.61009000000000002</v>
      </c>
      <c r="AW102" s="6">
        <v>0.80300000000000005</v>
      </c>
      <c r="AX102" s="6">
        <v>0.58620000000000005</v>
      </c>
      <c r="AY102" s="6">
        <v>123</v>
      </c>
    </row>
    <row r="103" spans="1:51" x14ac:dyDescent="0.25">
      <c r="A103" s="31" t="s">
        <v>116</v>
      </c>
      <c r="B103" s="32">
        <v>3</v>
      </c>
      <c r="C103" s="32">
        <v>9</v>
      </c>
      <c r="D103" s="32">
        <v>10</v>
      </c>
      <c r="E103" s="32">
        <v>10</v>
      </c>
      <c r="F103" s="12">
        <v>51.1</v>
      </c>
      <c r="G103">
        <v>47.059907899159661</v>
      </c>
      <c r="H103" t="s">
        <v>12</v>
      </c>
      <c r="AB103" s="17">
        <v>101</v>
      </c>
      <c r="AC103" s="6">
        <v>3.2312400000000001</v>
      </c>
      <c r="AD103" s="19">
        <v>-2.9047999999999998</v>
      </c>
      <c r="AE103" s="6">
        <v>3.1044999999999998</v>
      </c>
      <c r="AF103" s="6">
        <v>123</v>
      </c>
      <c r="AH103" s="17">
        <v>101</v>
      </c>
      <c r="AI103" s="6">
        <v>6.1452</v>
      </c>
      <c r="AJ103" s="19">
        <v>-2.9047999999999998</v>
      </c>
      <c r="AK103" s="6">
        <v>3.1044999999999998</v>
      </c>
      <c r="AL103" s="6">
        <v>123</v>
      </c>
      <c r="AO103" s="17">
        <v>101</v>
      </c>
      <c r="AP103" s="6">
        <v>1.15971</v>
      </c>
      <c r="AQ103" s="6">
        <v>0.12180000000000001</v>
      </c>
      <c r="AR103" s="6">
        <v>0.58589999999999998</v>
      </c>
      <c r="AS103" s="6">
        <v>123</v>
      </c>
      <c r="AU103" s="17">
        <v>101</v>
      </c>
      <c r="AV103" s="6">
        <v>0.60980000000000001</v>
      </c>
      <c r="AW103" s="6">
        <v>0.12180000000000001</v>
      </c>
      <c r="AX103" s="6">
        <v>0.58589999999999998</v>
      </c>
      <c r="AY103" s="6">
        <v>123</v>
      </c>
    </row>
    <row r="104" spans="1:51" x14ac:dyDescent="0.25">
      <c r="A104" s="31" t="s">
        <v>116</v>
      </c>
      <c r="B104" s="32">
        <v>3</v>
      </c>
      <c r="C104" s="32">
        <v>8</v>
      </c>
      <c r="D104" s="32">
        <v>10</v>
      </c>
      <c r="E104" s="32">
        <v>21</v>
      </c>
      <c r="F104" s="12">
        <v>56.5</v>
      </c>
      <c r="G104">
        <v>70.464838991596636</v>
      </c>
      <c r="H104" t="s">
        <v>12</v>
      </c>
      <c r="AB104" s="17">
        <v>102</v>
      </c>
      <c r="AC104" s="6">
        <v>3.2027399999999999</v>
      </c>
      <c r="AD104" s="6">
        <v>0.7671</v>
      </c>
      <c r="AE104" s="6">
        <v>3.0771000000000002</v>
      </c>
      <c r="AF104" s="6">
        <v>123</v>
      </c>
      <c r="AH104" s="17">
        <v>102</v>
      </c>
      <c r="AI104" s="6">
        <v>6.0910000000000002</v>
      </c>
      <c r="AJ104" s="6">
        <v>0.7671</v>
      </c>
      <c r="AK104" s="6">
        <v>3.0771000000000002</v>
      </c>
      <c r="AL104" s="6">
        <v>123</v>
      </c>
      <c r="AO104" s="17">
        <v>102</v>
      </c>
      <c r="AP104" s="6">
        <v>1.1419999999999999</v>
      </c>
      <c r="AQ104" s="6">
        <v>5.2680000000000001E-3</v>
      </c>
      <c r="AR104" s="6">
        <v>0.57689999999999997</v>
      </c>
      <c r="AS104" s="6">
        <v>123</v>
      </c>
      <c r="AU104" s="17">
        <v>102</v>
      </c>
      <c r="AV104" s="6">
        <v>0.60048000000000001</v>
      </c>
      <c r="AW104" s="6">
        <v>5.2680000000000001E-3</v>
      </c>
      <c r="AX104" s="6">
        <v>0.57689999999999997</v>
      </c>
      <c r="AY104" s="6">
        <v>123</v>
      </c>
    </row>
    <row r="105" spans="1:51" x14ac:dyDescent="0.25">
      <c r="A105" s="31" t="s">
        <v>116</v>
      </c>
      <c r="B105" s="32">
        <v>3</v>
      </c>
      <c r="C105" s="32">
        <v>7</v>
      </c>
      <c r="D105" s="32">
        <v>10</v>
      </c>
      <c r="E105" s="32">
        <v>43</v>
      </c>
      <c r="F105" s="12">
        <v>55.7</v>
      </c>
      <c r="G105">
        <v>49.311555342136849</v>
      </c>
      <c r="H105" t="s">
        <v>12</v>
      </c>
      <c r="AB105" s="17">
        <v>103</v>
      </c>
      <c r="AC105" s="6">
        <v>3.2196400000000001</v>
      </c>
      <c r="AD105" s="6">
        <v>3.2532000000000001</v>
      </c>
      <c r="AE105" s="6">
        <v>3.0933999999999999</v>
      </c>
      <c r="AF105" s="6">
        <v>123</v>
      </c>
      <c r="AH105" s="17">
        <v>103</v>
      </c>
      <c r="AI105" s="6">
        <v>6.1231</v>
      </c>
      <c r="AJ105" s="6">
        <v>3.2532000000000001</v>
      </c>
      <c r="AK105" s="6">
        <v>3.0933999999999999</v>
      </c>
      <c r="AL105" s="6">
        <v>123</v>
      </c>
      <c r="AO105" s="17">
        <v>103</v>
      </c>
      <c r="AP105" s="6">
        <v>1.1459699999999999</v>
      </c>
      <c r="AQ105" s="19">
        <v>-0.52729999999999999</v>
      </c>
      <c r="AR105" s="6">
        <v>0.57889999999999997</v>
      </c>
      <c r="AS105" s="6">
        <v>123</v>
      </c>
      <c r="AU105" s="17">
        <v>103</v>
      </c>
      <c r="AV105" s="6">
        <v>0.60257000000000005</v>
      </c>
      <c r="AW105" s="19">
        <v>-0.52729999999999999</v>
      </c>
      <c r="AX105" s="6">
        <v>0.57889999999999997</v>
      </c>
      <c r="AY105" s="6">
        <v>123</v>
      </c>
    </row>
    <row r="106" spans="1:51" x14ac:dyDescent="0.25">
      <c r="A106" s="31" t="s">
        <v>116</v>
      </c>
      <c r="B106" s="32">
        <v>3</v>
      </c>
      <c r="C106" s="32">
        <v>6</v>
      </c>
      <c r="D106" s="32">
        <v>10</v>
      </c>
      <c r="E106" s="32">
        <v>40</v>
      </c>
      <c r="F106" s="12">
        <v>58.5</v>
      </c>
      <c r="G106">
        <v>70.20858468187275</v>
      </c>
      <c r="H106" t="s">
        <v>12</v>
      </c>
      <c r="AB106" s="17">
        <v>104</v>
      </c>
      <c r="AC106" s="6">
        <v>3.24044</v>
      </c>
      <c r="AD106" s="6">
        <v>3.9394</v>
      </c>
      <c r="AE106" s="6">
        <v>3.1133000000000002</v>
      </c>
      <c r="AF106" s="6">
        <v>123</v>
      </c>
      <c r="AH106" s="17">
        <v>104</v>
      </c>
      <c r="AI106" s="6">
        <v>6.1627000000000001</v>
      </c>
      <c r="AJ106" s="6">
        <v>3.9394</v>
      </c>
      <c r="AK106" s="6">
        <v>3.1133000000000002</v>
      </c>
      <c r="AL106" s="6">
        <v>123</v>
      </c>
      <c r="AO106" s="17">
        <v>104</v>
      </c>
      <c r="AP106" s="6">
        <v>1.1489</v>
      </c>
      <c r="AQ106" s="19">
        <v>-0.4617</v>
      </c>
      <c r="AR106" s="6">
        <v>0.58040000000000003</v>
      </c>
      <c r="AS106" s="6">
        <v>123</v>
      </c>
      <c r="AU106" s="17">
        <v>104</v>
      </c>
      <c r="AV106" s="6">
        <v>0.60411000000000004</v>
      </c>
      <c r="AW106" s="19">
        <v>-0.4617</v>
      </c>
      <c r="AX106" s="6">
        <v>0.58040000000000003</v>
      </c>
      <c r="AY106" s="6">
        <v>123</v>
      </c>
    </row>
    <row r="107" spans="1:51" x14ac:dyDescent="0.25">
      <c r="A107" s="31" t="s">
        <v>116</v>
      </c>
      <c r="B107" s="32">
        <v>3</v>
      </c>
      <c r="C107" s="32">
        <v>5</v>
      </c>
      <c r="D107" s="32">
        <v>10</v>
      </c>
      <c r="E107" s="32">
        <v>24</v>
      </c>
      <c r="F107" s="12">
        <v>56.3</v>
      </c>
      <c r="G107">
        <v>70.372499207683077</v>
      </c>
      <c r="H107" t="s">
        <v>12</v>
      </c>
      <c r="AB107" s="17">
        <v>105</v>
      </c>
      <c r="AC107" s="6">
        <v>3.2311100000000001</v>
      </c>
      <c r="AD107" s="19">
        <v>-1.1317999999999999</v>
      </c>
      <c r="AE107" s="6">
        <v>3.1044</v>
      </c>
      <c r="AF107" s="6">
        <v>123</v>
      </c>
      <c r="AH107" s="17">
        <v>105</v>
      </c>
      <c r="AI107" s="6">
        <v>6.1448999999999998</v>
      </c>
      <c r="AJ107" s="19">
        <v>-1.1317999999999999</v>
      </c>
      <c r="AK107" s="6">
        <v>3.1044</v>
      </c>
      <c r="AL107" s="6">
        <v>123</v>
      </c>
      <c r="AO107" s="17">
        <v>105</v>
      </c>
      <c r="AP107" s="6">
        <v>1.1552899999999999</v>
      </c>
      <c r="AQ107" s="6">
        <v>0.59499999999999997</v>
      </c>
      <c r="AR107" s="6">
        <v>0.58360000000000001</v>
      </c>
      <c r="AS107" s="6">
        <v>123</v>
      </c>
      <c r="AU107" s="17">
        <v>105</v>
      </c>
      <c r="AV107" s="6">
        <v>0.60746999999999995</v>
      </c>
      <c r="AW107" s="6">
        <v>0.59499999999999997</v>
      </c>
      <c r="AX107" s="6">
        <v>0.58360000000000001</v>
      </c>
      <c r="AY107" s="6">
        <v>123</v>
      </c>
    </row>
    <row r="108" spans="1:51" x14ac:dyDescent="0.25">
      <c r="A108" s="31" t="s">
        <v>116</v>
      </c>
      <c r="B108" s="32">
        <v>3</v>
      </c>
      <c r="C108" s="32">
        <v>4</v>
      </c>
      <c r="D108" s="32">
        <v>10</v>
      </c>
      <c r="E108" s="32">
        <v>44</v>
      </c>
      <c r="F108" s="12">
        <v>57.3</v>
      </c>
      <c r="G108">
        <v>51.976896806722685</v>
      </c>
      <c r="H108" t="s">
        <v>12</v>
      </c>
      <c r="AB108" s="17">
        <v>106</v>
      </c>
      <c r="AC108" s="6">
        <v>3.2275</v>
      </c>
      <c r="AD108" s="6">
        <v>3.4039999999999999</v>
      </c>
      <c r="AE108" s="6">
        <v>3.1009000000000002</v>
      </c>
      <c r="AF108" s="6">
        <v>123</v>
      </c>
      <c r="AH108" s="17">
        <v>106</v>
      </c>
      <c r="AI108" s="6">
        <v>6.1380999999999997</v>
      </c>
      <c r="AJ108" s="6">
        <v>3.4039999999999999</v>
      </c>
      <c r="AK108" s="6">
        <v>3.1009000000000002</v>
      </c>
      <c r="AL108" s="6">
        <v>123</v>
      </c>
      <c r="AO108" s="17">
        <v>106</v>
      </c>
      <c r="AP108" s="6">
        <v>1.1550400000000001</v>
      </c>
      <c r="AQ108" s="6">
        <v>0.17369999999999999</v>
      </c>
      <c r="AR108" s="6">
        <v>0.58350000000000002</v>
      </c>
      <c r="AS108" s="6">
        <v>123</v>
      </c>
      <c r="AU108" s="17">
        <v>106</v>
      </c>
      <c r="AV108" s="6">
        <v>0.60733999999999999</v>
      </c>
      <c r="AW108" s="6">
        <v>0.17369999999999999</v>
      </c>
      <c r="AX108" s="6">
        <v>0.58350000000000002</v>
      </c>
      <c r="AY108" s="6">
        <v>123</v>
      </c>
    </row>
    <row r="109" spans="1:51" x14ac:dyDescent="0.25">
      <c r="A109" s="31" t="s">
        <v>116</v>
      </c>
      <c r="B109" s="32">
        <v>3</v>
      </c>
      <c r="C109" s="32">
        <v>3</v>
      </c>
      <c r="D109" s="32">
        <v>10</v>
      </c>
      <c r="E109" s="32">
        <v>28</v>
      </c>
      <c r="F109" s="12">
        <v>55.8</v>
      </c>
      <c r="G109">
        <v>59.626095558223284</v>
      </c>
      <c r="H109" t="s">
        <v>12</v>
      </c>
      <c r="AB109" s="17">
        <v>107</v>
      </c>
      <c r="AC109" s="6">
        <v>3.25204</v>
      </c>
      <c r="AD109" s="19">
        <v>-5.9082999999999997</v>
      </c>
      <c r="AE109" s="6">
        <v>3.1244999999999998</v>
      </c>
      <c r="AF109" s="6">
        <v>123</v>
      </c>
      <c r="AH109" s="17">
        <v>107</v>
      </c>
      <c r="AI109" s="6">
        <v>6.1848000000000001</v>
      </c>
      <c r="AJ109" s="19">
        <v>-5.9082999999999997</v>
      </c>
      <c r="AK109" s="6">
        <v>3.1244999999999998</v>
      </c>
      <c r="AL109" s="6">
        <v>123</v>
      </c>
      <c r="AO109" s="17">
        <v>107</v>
      </c>
      <c r="AP109" s="6">
        <v>1.16343</v>
      </c>
      <c r="AQ109" s="19">
        <v>-2.5839999999999998E-2</v>
      </c>
      <c r="AR109" s="6">
        <v>0.58779999999999999</v>
      </c>
      <c r="AS109" s="6">
        <v>123</v>
      </c>
      <c r="AU109" s="17">
        <v>107</v>
      </c>
      <c r="AV109" s="6">
        <v>0.61175000000000002</v>
      </c>
      <c r="AW109" s="19">
        <v>-2.5839999999999998E-2</v>
      </c>
      <c r="AX109" s="6">
        <v>0.58779999999999999</v>
      </c>
      <c r="AY109" s="6">
        <v>123</v>
      </c>
    </row>
    <row r="110" spans="1:51" x14ac:dyDescent="0.25">
      <c r="A110" s="31" t="s">
        <v>116</v>
      </c>
      <c r="B110" s="32">
        <v>3</v>
      </c>
      <c r="C110" s="32">
        <v>2</v>
      </c>
      <c r="D110" s="32">
        <v>10</v>
      </c>
      <c r="E110" s="32">
        <v>25</v>
      </c>
      <c r="F110" s="12">
        <v>58.3</v>
      </c>
      <c r="G110">
        <v>63.337585354141659</v>
      </c>
      <c r="H110" t="s">
        <v>12</v>
      </c>
      <c r="AB110" s="17">
        <v>108</v>
      </c>
      <c r="AC110" s="6">
        <v>3.2547999999999999</v>
      </c>
      <c r="AD110" s="6">
        <v>2.2347000000000001</v>
      </c>
      <c r="AE110" s="6">
        <v>3.1271</v>
      </c>
      <c r="AF110" s="6">
        <v>123</v>
      </c>
      <c r="AH110" s="17">
        <v>108</v>
      </c>
      <c r="AI110" s="6">
        <v>6.19</v>
      </c>
      <c r="AJ110" s="6">
        <v>2.2347000000000001</v>
      </c>
      <c r="AK110" s="6">
        <v>3.1271</v>
      </c>
      <c r="AL110" s="6">
        <v>123</v>
      </c>
      <c r="AO110" s="17">
        <v>108</v>
      </c>
      <c r="AP110" s="6">
        <v>1.1432500000000001</v>
      </c>
      <c r="AQ110" s="19">
        <v>-0.10589999999999999</v>
      </c>
      <c r="AR110" s="6">
        <v>0.5776</v>
      </c>
      <c r="AS110" s="6">
        <v>123</v>
      </c>
      <c r="AU110" s="17">
        <v>108</v>
      </c>
      <c r="AV110" s="6">
        <v>0.60114000000000001</v>
      </c>
      <c r="AW110" s="19">
        <v>-0.10589999999999999</v>
      </c>
      <c r="AX110" s="6">
        <v>0.5776</v>
      </c>
      <c r="AY110" s="6">
        <v>123</v>
      </c>
    </row>
    <row r="111" spans="1:51" x14ac:dyDescent="0.25">
      <c r="A111" s="31" t="s">
        <v>116</v>
      </c>
      <c r="B111" s="32">
        <v>3</v>
      </c>
      <c r="C111" s="32">
        <v>1</v>
      </c>
      <c r="D111" s="32">
        <v>10</v>
      </c>
      <c r="E111" s="32">
        <v>1</v>
      </c>
      <c r="F111" s="12">
        <v>57.4</v>
      </c>
      <c r="G111">
        <v>72.197407923169251</v>
      </c>
      <c r="H111" t="s">
        <v>12</v>
      </c>
      <c r="AB111" s="17">
        <v>109</v>
      </c>
      <c r="AC111" s="6">
        <v>3.2088399999999999</v>
      </c>
      <c r="AD111" s="6">
        <v>4.8231999999999999</v>
      </c>
      <c r="AE111" s="6">
        <v>3.0830000000000002</v>
      </c>
      <c r="AF111" s="6">
        <v>123</v>
      </c>
      <c r="AH111" s="17">
        <v>109</v>
      </c>
      <c r="AI111" s="6">
        <v>6.1025999999999998</v>
      </c>
      <c r="AJ111" s="6">
        <v>4.8231999999999999</v>
      </c>
      <c r="AK111" s="6">
        <v>3.0830000000000002</v>
      </c>
      <c r="AL111" s="6">
        <v>123</v>
      </c>
      <c r="AO111" s="17">
        <v>109</v>
      </c>
      <c r="AP111" s="6">
        <v>1.13998</v>
      </c>
      <c r="AQ111" s="6">
        <v>1.7525999999999999</v>
      </c>
      <c r="AR111" s="6">
        <v>0.57589999999999997</v>
      </c>
      <c r="AS111" s="6">
        <v>123</v>
      </c>
      <c r="AU111" s="17">
        <v>109</v>
      </c>
      <c r="AV111" s="6">
        <v>0.59941999999999995</v>
      </c>
      <c r="AW111" s="6">
        <v>1.7525999999999999</v>
      </c>
      <c r="AX111" s="6">
        <v>0.57589999999999997</v>
      </c>
      <c r="AY111" s="6">
        <v>123</v>
      </c>
    </row>
    <row r="112" spans="1:51" x14ac:dyDescent="0.25">
      <c r="A112" s="31" t="s">
        <v>116</v>
      </c>
      <c r="B112" s="32">
        <v>3</v>
      </c>
      <c r="C112" s="32">
        <v>1</v>
      </c>
      <c r="D112" s="32">
        <v>11</v>
      </c>
      <c r="E112" s="32">
        <v>46</v>
      </c>
      <c r="F112" s="12">
        <v>58.8</v>
      </c>
      <c r="G112">
        <v>70.120709999999988</v>
      </c>
      <c r="H112" t="s">
        <v>12</v>
      </c>
      <c r="AB112" s="17">
        <v>110</v>
      </c>
      <c r="AC112" s="6">
        <v>3.2048299999999998</v>
      </c>
      <c r="AD112" s="6">
        <v>5.9890999999999996</v>
      </c>
      <c r="AE112" s="6">
        <v>3.0790999999999999</v>
      </c>
      <c r="AF112" s="6">
        <v>123</v>
      </c>
      <c r="AH112" s="17">
        <v>110</v>
      </c>
      <c r="AI112" s="6">
        <v>6.0949999999999998</v>
      </c>
      <c r="AJ112" s="6">
        <v>5.9890999999999996</v>
      </c>
      <c r="AK112" s="6">
        <v>3.0790999999999999</v>
      </c>
      <c r="AL112" s="6">
        <v>123</v>
      </c>
      <c r="AO112" s="17">
        <v>110</v>
      </c>
      <c r="AP112" s="6">
        <v>1.1435999999999999</v>
      </c>
      <c r="AQ112" s="6">
        <v>0.2273</v>
      </c>
      <c r="AR112" s="6">
        <v>0.57769999999999999</v>
      </c>
      <c r="AS112" s="6">
        <v>123</v>
      </c>
      <c r="AU112" s="17">
        <v>110</v>
      </c>
      <c r="AV112" s="6">
        <v>0.60131999999999997</v>
      </c>
      <c r="AW112" s="6">
        <v>0.2273</v>
      </c>
      <c r="AX112" s="6">
        <v>0.57769999999999999</v>
      </c>
      <c r="AY112" s="6">
        <v>123</v>
      </c>
    </row>
    <row r="113" spans="1:51" x14ac:dyDescent="0.25">
      <c r="A113" s="31" t="s">
        <v>116</v>
      </c>
      <c r="B113" s="32">
        <v>3</v>
      </c>
      <c r="C113" s="32">
        <v>2</v>
      </c>
      <c r="D113" s="32">
        <v>11</v>
      </c>
      <c r="E113" s="32">
        <v>42</v>
      </c>
      <c r="F113" s="12">
        <v>60.3</v>
      </c>
      <c r="G113">
        <v>67.393095000000002</v>
      </c>
      <c r="H113" t="s">
        <v>12</v>
      </c>
      <c r="AB113" s="17">
        <v>111</v>
      </c>
      <c r="AC113" s="6">
        <v>3.2041900000000001</v>
      </c>
      <c r="AD113" s="6">
        <v>11.2079</v>
      </c>
      <c r="AE113" s="6">
        <v>3.0785</v>
      </c>
      <c r="AF113" s="6">
        <v>123</v>
      </c>
      <c r="AH113" s="17">
        <v>111</v>
      </c>
      <c r="AI113" s="6">
        <v>6.0937000000000001</v>
      </c>
      <c r="AJ113" s="6">
        <v>11.2079</v>
      </c>
      <c r="AK113" s="6">
        <v>3.0785</v>
      </c>
      <c r="AL113" s="6">
        <v>123</v>
      </c>
      <c r="AO113" s="17">
        <v>111</v>
      </c>
      <c r="AP113" s="6">
        <v>1.1401300000000001</v>
      </c>
      <c r="AQ113" s="6">
        <v>0.2742</v>
      </c>
      <c r="AR113" s="6">
        <v>0.57599999999999996</v>
      </c>
      <c r="AS113" s="6">
        <v>123</v>
      </c>
      <c r="AU113" s="17">
        <v>111</v>
      </c>
      <c r="AV113" s="6">
        <v>0.59950000000000003</v>
      </c>
      <c r="AW113" s="6">
        <v>0.2742</v>
      </c>
      <c r="AX113" s="6">
        <v>0.57599999999999996</v>
      </c>
      <c r="AY113" s="6">
        <v>123</v>
      </c>
    </row>
    <row r="114" spans="1:51" x14ac:dyDescent="0.25">
      <c r="A114" s="31" t="s">
        <v>116</v>
      </c>
      <c r="B114" s="32">
        <v>3</v>
      </c>
      <c r="C114" s="32">
        <v>3</v>
      </c>
      <c r="D114" s="32">
        <v>11</v>
      </c>
      <c r="E114" s="32">
        <v>8</v>
      </c>
      <c r="F114" s="12">
        <v>56.2</v>
      </c>
      <c r="G114">
        <v>63.804250714285708</v>
      </c>
      <c r="H114" t="s">
        <v>12</v>
      </c>
      <c r="AB114" s="17">
        <v>112</v>
      </c>
      <c r="AC114" s="6">
        <v>3.2110099999999999</v>
      </c>
      <c r="AD114" s="6">
        <v>8.3567999999999998</v>
      </c>
      <c r="AE114" s="6">
        <v>3.0851000000000002</v>
      </c>
      <c r="AF114" s="6">
        <v>123</v>
      </c>
      <c r="AH114" s="17">
        <v>112</v>
      </c>
      <c r="AI114" s="6">
        <v>6.1067</v>
      </c>
      <c r="AJ114" s="6">
        <v>8.3567999999999998</v>
      </c>
      <c r="AK114" s="6">
        <v>3.0851000000000002</v>
      </c>
      <c r="AL114" s="6">
        <v>123</v>
      </c>
      <c r="AO114" s="17">
        <v>112</v>
      </c>
      <c r="AP114" s="6">
        <v>1.14838</v>
      </c>
      <c r="AQ114" s="6">
        <v>0.5383</v>
      </c>
      <c r="AR114" s="6">
        <v>0.58020000000000005</v>
      </c>
      <c r="AS114" s="6">
        <v>123</v>
      </c>
      <c r="AU114" s="17">
        <v>112</v>
      </c>
      <c r="AV114" s="6">
        <v>0.60384000000000004</v>
      </c>
      <c r="AW114" s="6">
        <v>0.5383</v>
      </c>
      <c r="AX114" s="6">
        <v>0.58020000000000005</v>
      </c>
      <c r="AY114" s="6">
        <v>123</v>
      </c>
    </row>
    <row r="115" spans="1:51" x14ac:dyDescent="0.25">
      <c r="A115" s="31" t="s">
        <v>116</v>
      </c>
      <c r="B115" s="32">
        <v>3</v>
      </c>
      <c r="C115" s="32">
        <v>4</v>
      </c>
      <c r="D115" s="32">
        <v>11</v>
      </c>
      <c r="E115" s="32">
        <v>14</v>
      </c>
      <c r="F115" s="12">
        <v>58.4</v>
      </c>
      <c r="G115">
        <v>79.82629285714286</v>
      </c>
      <c r="H115" t="s">
        <v>12</v>
      </c>
      <c r="AB115" s="17">
        <v>113</v>
      </c>
      <c r="AC115" s="6">
        <v>3.20614</v>
      </c>
      <c r="AD115" s="19">
        <v>-3.3426999999999998</v>
      </c>
      <c r="AE115" s="6">
        <v>3.0804</v>
      </c>
      <c r="AF115" s="6">
        <v>123</v>
      </c>
      <c r="AH115" s="17">
        <v>113</v>
      </c>
      <c r="AI115" s="6">
        <v>6.0975000000000001</v>
      </c>
      <c r="AJ115" s="19">
        <v>-3.3426999999999998</v>
      </c>
      <c r="AK115" s="6">
        <v>3.0804</v>
      </c>
      <c r="AL115" s="6">
        <v>123</v>
      </c>
      <c r="AO115" s="17">
        <v>113</v>
      </c>
      <c r="AP115" s="6">
        <v>1.14392</v>
      </c>
      <c r="AQ115" s="19">
        <v>-1.5872999999999999</v>
      </c>
      <c r="AR115" s="6">
        <v>0.57789999999999997</v>
      </c>
      <c r="AS115" s="6">
        <v>123</v>
      </c>
      <c r="AU115" s="17">
        <v>113</v>
      </c>
      <c r="AV115" s="6">
        <v>0.60148999999999997</v>
      </c>
      <c r="AW115" s="19">
        <v>-1.5872999999999999</v>
      </c>
      <c r="AX115" s="6">
        <v>0.57789999999999997</v>
      </c>
      <c r="AY115" s="6">
        <v>123</v>
      </c>
    </row>
    <row r="116" spans="1:51" x14ac:dyDescent="0.25">
      <c r="A116" s="31" t="s">
        <v>116</v>
      </c>
      <c r="B116" s="32">
        <v>3</v>
      </c>
      <c r="C116" s="32">
        <v>5</v>
      </c>
      <c r="D116" s="32">
        <v>11</v>
      </c>
      <c r="E116" s="32">
        <v>33</v>
      </c>
      <c r="F116" s="12">
        <v>58</v>
      </c>
      <c r="G116">
        <v>70.251286285714286</v>
      </c>
      <c r="H116" t="s">
        <v>12</v>
      </c>
      <c r="AB116" s="17">
        <v>114</v>
      </c>
      <c r="AC116" s="6">
        <v>3.2163499999999998</v>
      </c>
      <c r="AD116" s="6">
        <v>0.91700000000000004</v>
      </c>
      <c r="AE116" s="6">
        <v>3.0901999999999998</v>
      </c>
      <c r="AF116" s="6">
        <v>123</v>
      </c>
      <c r="AH116" s="17">
        <v>114</v>
      </c>
      <c r="AI116" s="6">
        <v>6.1169000000000002</v>
      </c>
      <c r="AJ116" s="6">
        <v>0.91700000000000004</v>
      </c>
      <c r="AK116" s="6">
        <v>3.0901999999999998</v>
      </c>
      <c r="AL116" s="6">
        <v>123</v>
      </c>
      <c r="AO116" s="17">
        <v>114</v>
      </c>
      <c r="AP116" s="6">
        <v>1.14052</v>
      </c>
      <c r="AQ116" s="19">
        <v>-0.14860000000000001</v>
      </c>
      <c r="AR116" s="6">
        <v>0.57620000000000005</v>
      </c>
      <c r="AS116" s="6">
        <v>123</v>
      </c>
      <c r="AU116" s="17">
        <v>114</v>
      </c>
      <c r="AV116" s="6">
        <v>0.59970999999999997</v>
      </c>
      <c r="AW116" s="19">
        <v>-0.14860000000000001</v>
      </c>
      <c r="AX116" s="6">
        <v>0.57620000000000005</v>
      </c>
      <c r="AY116" s="6">
        <v>123</v>
      </c>
    </row>
    <row r="117" spans="1:51" x14ac:dyDescent="0.25">
      <c r="A117" s="31" t="s">
        <v>116</v>
      </c>
      <c r="B117" s="32">
        <v>3</v>
      </c>
      <c r="C117" s="32">
        <v>6</v>
      </c>
      <c r="D117" s="32">
        <v>11</v>
      </c>
      <c r="E117" s="32">
        <v>34</v>
      </c>
      <c r="F117" s="12">
        <v>58.4</v>
      </c>
      <c r="G117">
        <v>73.293660000000017</v>
      </c>
      <c r="H117" t="s">
        <v>12</v>
      </c>
      <c r="AB117" s="17">
        <v>115</v>
      </c>
      <c r="AC117" s="6">
        <v>3.2264400000000002</v>
      </c>
      <c r="AD117" s="6">
        <v>2.0164</v>
      </c>
      <c r="AE117" s="6">
        <v>3.0998999999999999</v>
      </c>
      <c r="AF117" s="6">
        <v>123</v>
      </c>
      <c r="AH117" s="17">
        <v>115</v>
      </c>
      <c r="AI117" s="6">
        <v>6.1360000000000001</v>
      </c>
      <c r="AJ117" s="6">
        <v>2.0164</v>
      </c>
      <c r="AK117" s="6">
        <v>3.0998999999999999</v>
      </c>
      <c r="AL117" s="6">
        <v>123</v>
      </c>
      <c r="AO117" s="17">
        <v>115</v>
      </c>
      <c r="AP117" s="6">
        <v>1.1423700000000001</v>
      </c>
      <c r="AQ117" s="6">
        <v>0.52110000000000001</v>
      </c>
      <c r="AR117" s="6">
        <v>0.57709999999999995</v>
      </c>
      <c r="AS117" s="6">
        <v>123</v>
      </c>
      <c r="AU117" s="17">
        <v>115</v>
      </c>
      <c r="AV117" s="6">
        <v>0.60067999999999999</v>
      </c>
      <c r="AW117" s="6">
        <v>0.52110000000000001</v>
      </c>
      <c r="AX117" s="6">
        <v>0.57709999999999995</v>
      </c>
      <c r="AY117" s="6">
        <v>123</v>
      </c>
    </row>
    <row r="118" spans="1:51" x14ac:dyDescent="0.25">
      <c r="A118" s="31" t="s">
        <v>116</v>
      </c>
      <c r="B118" s="32">
        <v>3</v>
      </c>
      <c r="C118" s="32">
        <v>7</v>
      </c>
      <c r="D118" s="32">
        <v>11</v>
      </c>
      <c r="E118" s="32">
        <v>32</v>
      </c>
      <c r="F118" s="12">
        <v>59.2</v>
      </c>
      <c r="G118">
        <v>73.198110857142851</v>
      </c>
      <c r="H118" t="s">
        <v>12</v>
      </c>
      <c r="AB118" s="17">
        <v>116</v>
      </c>
      <c r="AC118" s="6">
        <v>3.2390300000000001</v>
      </c>
      <c r="AD118" s="19">
        <v>-2.1312000000000002</v>
      </c>
      <c r="AE118" s="6">
        <v>3.1120000000000001</v>
      </c>
      <c r="AF118" s="6">
        <v>123</v>
      </c>
      <c r="AH118" s="17">
        <v>116</v>
      </c>
      <c r="AI118" s="6">
        <v>6.16</v>
      </c>
      <c r="AJ118" s="19">
        <v>-2.1312000000000002</v>
      </c>
      <c r="AK118" s="6">
        <v>3.1120000000000001</v>
      </c>
      <c r="AL118" s="6">
        <v>123</v>
      </c>
      <c r="AO118" s="17">
        <v>116</v>
      </c>
      <c r="AP118" s="6">
        <v>1.1609700000000001</v>
      </c>
      <c r="AQ118" s="19">
        <v>-0.4204</v>
      </c>
      <c r="AR118" s="6">
        <v>0.58650000000000002</v>
      </c>
      <c r="AS118" s="6">
        <v>123</v>
      </c>
      <c r="AU118" s="17">
        <v>116</v>
      </c>
      <c r="AV118" s="6">
        <v>0.61046</v>
      </c>
      <c r="AW118" s="19">
        <v>-0.4204</v>
      </c>
      <c r="AX118" s="6">
        <v>0.58650000000000002</v>
      </c>
      <c r="AY118" s="6">
        <v>123</v>
      </c>
    </row>
    <row r="119" spans="1:51" x14ac:dyDescent="0.25">
      <c r="A119" s="31" t="s">
        <v>116</v>
      </c>
      <c r="B119" s="32">
        <v>3</v>
      </c>
      <c r="C119" s="32">
        <v>8</v>
      </c>
      <c r="D119" s="32">
        <v>11</v>
      </c>
      <c r="E119" s="32">
        <v>6</v>
      </c>
      <c r="F119" s="12">
        <v>57</v>
      </c>
      <c r="G119">
        <v>56.270279999999993</v>
      </c>
      <c r="H119" t="s">
        <v>12</v>
      </c>
      <c r="AB119" s="17">
        <v>117</v>
      </c>
      <c r="AC119" s="6">
        <v>3.2109299999999998</v>
      </c>
      <c r="AD119" s="6">
        <v>6.9142000000000001</v>
      </c>
      <c r="AE119" s="6">
        <v>3.085</v>
      </c>
      <c r="AF119" s="6">
        <v>123</v>
      </c>
      <c r="AH119" s="17">
        <v>117</v>
      </c>
      <c r="AI119" s="6">
        <v>6.1066000000000003</v>
      </c>
      <c r="AJ119" s="6">
        <v>6.9142000000000001</v>
      </c>
      <c r="AK119" s="6">
        <v>3.085</v>
      </c>
      <c r="AL119" s="6">
        <v>123</v>
      </c>
      <c r="AO119" s="17">
        <v>117</v>
      </c>
      <c r="AP119" s="6">
        <v>1.14618</v>
      </c>
      <c r="AQ119" s="19">
        <v>-0.97250000000000003</v>
      </c>
      <c r="AR119" s="6">
        <v>0.57899999999999996</v>
      </c>
      <c r="AS119" s="6">
        <v>123</v>
      </c>
      <c r="AU119" s="17">
        <v>117</v>
      </c>
      <c r="AV119" s="6">
        <v>0.60267999999999999</v>
      </c>
      <c r="AW119" s="19">
        <v>-0.97250000000000003</v>
      </c>
      <c r="AX119" s="6">
        <v>0.57899999999999996</v>
      </c>
      <c r="AY119" s="6">
        <v>123</v>
      </c>
    </row>
    <row r="120" spans="1:51" x14ac:dyDescent="0.25">
      <c r="A120" s="31" t="s">
        <v>116</v>
      </c>
      <c r="B120" s="32">
        <v>3</v>
      </c>
      <c r="C120" s="32">
        <v>9</v>
      </c>
      <c r="D120" s="32">
        <v>11</v>
      </c>
      <c r="E120" s="32">
        <v>2</v>
      </c>
      <c r="F120" s="12">
        <v>56.3</v>
      </c>
      <c r="G120">
        <v>66.217328571428567</v>
      </c>
      <c r="H120" t="s">
        <v>12</v>
      </c>
      <c r="AB120" s="17">
        <v>118</v>
      </c>
      <c r="AC120" s="6">
        <v>3.20411</v>
      </c>
      <c r="AD120" s="6">
        <v>0.69169999999999998</v>
      </c>
      <c r="AE120" s="6">
        <v>3.0783999999999998</v>
      </c>
      <c r="AF120" s="6">
        <v>123</v>
      </c>
      <c r="AH120" s="17">
        <v>118</v>
      </c>
      <c r="AI120" s="6">
        <v>6.0936000000000003</v>
      </c>
      <c r="AJ120" s="6">
        <v>0.69169999999999998</v>
      </c>
      <c r="AK120" s="6">
        <v>3.0783999999999998</v>
      </c>
      <c r="AL120" s="6">
        <v>123</v>
      </c>
      <c r="AO120" s="17">
        <v>118</v>
      </c>
      <c r="AP120" s="6">
        <v>1.1428700000000001</v>
      </c>
      <c r="AQ120" s="19">
        <v>-0.91720000000000002</v>
      </c>
      <c r="AR120" s="6">
        <v>0.57740000000000002</v>
      </c>
      <c r="AS120" s="6">
        <v>123</v>
      </c>
      <c r="AU120" s="17">
        <v>118</v>
      </c>
      <c r="AV120" s="6">
        <v>0.60094000000000003</v>
      </c>
      <c r="AW120" s="19">
        <v>-0.91720000000000002</v>
      </c>
      <c r="AX120" s="6">
        <v>0.57740000000000002</v>
      </c>
      <c r="AY120" s="6">
        <v>123</v>
      </c>
    </row>
    <row r="121" spans="1:51" x14ac:dyDescent="0.25">
      <c r="A121" s="31" t="s">
        <v>116</v>
      </c>
      <c r="B121" s="32">
        <v>3</v>
      </c>
      <c r="C121" s="32">
        <v>10</v>
      </c>
      <c r="D121" s="32">
        <v>11</v>
      </c>
      <c r="E121" s="32">
        <v>3</v>
      </c>
      <c r="F121" s="12">
        <v>57.2</v>
      </c>
      <c r="G121">
        <v>65.072063571428558</v>
      </c>
      <c r="H121" t="s">
        <v>12</v>
      </c>
      <c r="AB121" s="17">
        <v>119</v>
      </c>
      <c r="AC121" s="6">
        <v>3.2110699999999999</v>
      </c>
      <c r="AD121" s="6">
        <v>2.5406</v>
      </c>
      <c r="AE121" s="6">
        <v>3.0851000000000002</v>
      </c>
      <c r="AF121" s="6">
        <v>123</v>
      </c>
      <c r="AH121" s="17">
        <v>119</v>
      </c>
      <c r="AI121" s="6">
        <v>6.1067999999999998</v>
      </c>
      <c r="AJ121" s="6">
        <v>2.5406</v>
      </c>
      <c r="AK121" s="6">
        <v>3.0851000000000002</v>
      </c>
      <c r="AL121" s="6">
        <v>123</v>
      </c>
      <c r="AO121" s="17">
        <v>119</v>
      </c>
      <c r="AP121" s="6">
        <v>1.1420300000000001</v>
      </c>
      <c r="AQ121" s="19">
        <v>-1.3769</v>
      </c>
      <c r="AR121" s="6">
        <v>0.57689999999999997</v>
      </c>
      <c r="AS121" s="6">
        <v>123</v>
      </c>
      <c r="AU121" s="17">
        <v>119</v>
      </c>
      <c r="AV121" s="6">
        <v>0.60050000000000003</v>
      </c>
      <c r="AW121" s="19">
        <v>-1.3769</v>
      </c>
      <c r="AX121" s="6">
        <v>0.57689999999999997</v>
      </c>
      <c r="AY121" s="6">
        <v>123</v>
      </c>
    </row>
    <row r="122" spans="1:51" x14ac:dyDescent="0.25">
      <c r="A122" s="31" t="s">
        <v>116</v>
      </c>
      <c r="B122" s="32">
        <v>3</v>
      </c>
      <c r="C122" s="32">
        <v>11</v>
      </c>
      <c r="D122" s="32">
        <v>11</v>
      </c>
      <c r="E122" s="32">
        <v>100</v>
      </c>
      <c r="F122" s="2">
        <v>56.6</v>
      </c>
      <c r="G122">
        <v>57.919653000000011</v>
      </c>
      <c r="H122" t="s">
        <v>12</v>
      </c>
      <c r="AB122" s="17">
        <v>120</v>
      </c>
      <c r="AC122" s="6">
        <v>3.2408199999999998</v>
      </c>
      <c r="AD122" s="6">
        <v>9.4931999999999999</v>
      </c>
      <c r="AE122" s="6">
        <v>3.1137000000000001</v>
      </c>
      <c r="AF122" s="6">
        <v>123</v>
      </c>
      <c r="AH122" s="17">
        <v>120</v>
      </c>
      <c r="AI122" s="6">
        <v>6.1634000000000002</v>
      </c>
      <c r="AJ122" s="6">
        <v>9.4931999999999999</v>
      </c>
      <c r="AK122" s="6">
        <v>3.1137000000000001</v>
      </c>
      <c r="AL122" s="6">
        <v>123</v>
      </c>
      <c r="AO122" s="17">
        <v>120</v>
      </c>
      <c r="AP122" s="6">
        <v>1.1590800000000001</v>
      </c>
      <c r="AQ122" s="6">
        <v>0.92830000000000001</v>
      </c>
      <c r="AR122" s="6">
        <v>0.58560000000000001</v>
      </c>
      <c r="AS122" s="6">
        <v>123</v>
      </c>
      <c r="AU122" s="17">
        <v>120</v>
      </c>
      <c r="AV122" s="6">
        <v>0.60946999999999996</v>
      </c>
      <c r="AW122" s="6">
        <v>0.92830000000000001</v>
      </c>
      <c r="AX122" s="6">
        <v>0.58560000000000001</v>
      </c>
      <c r="AY122" s="6">
        <v>123</v>
      </c>
    </row>
    <row r="123" spans="1:51" x14ac:dyDescent="0.25">
      <c r="A123" s="31" t="s">
        <v>116</v>
      </c>
      <c r="B123" s="32">
        <v>3</v>
      </c>
      <c r="C123" s="32">
        <v>11</v>
      </c>
      <c r="D123" s="32">
        <v>12</v>
      </c>
      <c r="E123" s="32">
        <v>9</v>
      </c>
      <c r="F123" s="2">
        <v>52.5</v>
      </c>
      <c r="G123">
        <v>57.729335447941892</v>
      </c>
      <c r="H123" t="s">
        <v>12</v>
      </c>
      <c r="AB123" s="17">
        <v>121</v>
      </c>
      <c r="AC123" s="6">
        <v>3.23272</v>
      </c>
      <c r="AD123" s="6">
        <v>3.1655000000000002</v>
      </c>
      <c r="AE123" s="6">
        <v>3.1059000000000001</v>
      </c>
      <c r="AF123" s="6">
        <v>123</v>
      </c>
      <c r="AH123" s="17">
        <v>121</v>
      </c>
      <c r="AI123" s="6">
        <v>6.1479999999999997</v>
      </c>
      <c r="AJ123" s="6">
        <v>3.1655000000000002</v>
      </c>
      <c r="AK123" s="6">
        <v>3.1059000000000001</v>
      </c>
      <c r="AL123" s="6">
        <v>123</v>
      </c>
      <c r="AO123" s="17">
        <v>121</v>
      </c>
      <c r="AP123" s="6">
        <v>1.14588</v>
      </c>
      <c r="AQ123" s="19">
        <v>-1.4340999999999999</v>
      </c>
      <c r="AR123" s="6">
        <v>0.57889999999999997</v>
      </c>
      <c r="AS123" s="6">
        <v>123</v>
      </c>
      <c r="AU123" s="17">
        <v>121</v>
      </c>
      <c r="AV123" s="6">
        <v>0.60251999999999994</v>
      </c>
      <c r="AW123" s="19">
        <v>-1.4340999999999999</v>
      </c>
      <c r="AX123" s="6">
        <v>0.57889999999999997</v>
      </c>
      <c r="AY123" s="6">
        <v>123</v>
      </c>
    </row>
    <row r="124" spans="1:51" x14ac:dyDescent="0.25">
      <c r="A124" s="31" t="s">
        <v>116</v>
      </c>
      <c r="B124" s="32">
        <v>3</v>
      </c>
      <c r="C124" s="32">
        <v>10</v>
      </c>
      <c r="D124" s="32">
        <v>12</v>
      </c>
      <c r="E124" s="32">
        <v>5</v>
      </c>
      <c r="F124" s="2">
        <v>55.3</v>
      </c>
      <c r="G124">
        <v>64.437887070217911</v>
      </c>
      <c r="H124" t="s">
        <v>12</v>
      </c>
      <c r="AB124" s="17">
        <v>122</v>
      </c>
      <c r="AC124" s="6">
        <v>3.2160899999999999</v>
      </c>
      <c r="AD124" s="6">
        <v>13.9552</v>
      </c>
      <c r="AE124" s="6">
        <v>3.09</v>
      </c>
      <c r="AF124" s="6">
        <v>123</v>
      </c>
      <c r="AH124" s="17">
        <v>122</v>
      </c>
      <c r="AI124" s="6">
        <v>6.1163999999999996</v>
      </c>
      <c r="AJ124" s="6">
        <v>13.9552</v>
      </c>
      <c r="AK124" s="6">
        <v>3.09</v>
      </c>
      <c r="AL124" s="6">
        <v>123</v>
      </c>
      <c r="AO124" s="17">
        <v>122</v>
      </c>
      <c r="AP124" s="6">
        <v>1.15282</v>
      </c>
      <c r="AQ124" s="6">
        <v>1.2427999999999999</v>
      </c>
      <c r="AR124" s="6">
        <v>0.58240000000000003</v>
      </c>
      <c r="AS124" s="6">
        <v>123</v>
      </c>
      <c r="AU124" s="17">
        <v>122</v>
      </c>
      <c r="AV124" s="6">
        <v>0.60616999999999999</v>
      </c>
      <c r="AW124" s="6">
        <v>1.2427999999999999</v>
      </c>
      <c r="AX124" s="6">
        <v>0.58240000000000003</v>
      </c>
      <c r="AY124" s="6">
        <v>123</v>
      </c>
    </row>
    <row r="125" spans="1:51" x14ac:dyDescent="0.25">
      <c r="A125" s="31" t="s">
        <v>116</v>
      </c>
      <c r="B125" s="32">
        <v>3</v>
      </c>
      <c r="C125" s="32">
        <v>9</v>
      </c>
      <c r="D125" s="32">
        <v>12</v>
      </c>
      <c r="E125" s="32">
        <v>30</v>
      </c>
      <c r="F125" s="2">
        <v>56.5</v>
      </c>
      <c r="G125">
        <v>55.561048474576261</v>
      </c>
      <c r="H125" t="s">
        <v>12</v>
      </c>
      <c r="AB125" s="17">
        <v>123</v>
      </c>
      <c r="AC125" s="6">
        <v>3.20973</v>
      </c>
      <c r="AD125" s="6">
        <v>11.728199999999999</v>
      </c>
      <c r="AE125" s="6">
        <v>3.0838000000000001</v>
      </c>
      <c r="AF125" s="6">
        <v>123</v>
      </c>
      <c r="AH125" s="17">
        <v>123</v>
      </c>
      <c r="AI125" s="6">
        <v>6.1043000000000003</v>
      </c>
      <c r="AJ125" s="6">
        <v>11.728199999999999</v>
      </c>
      <c r="AK125" s="6">
        <v>3.0838000000000001</v>
      </c>
      <c r="AL125" s="6">
        <v>123</v>
      </c>
      <c r="AO125" s="17">
        <v>123</v>
      </c>
      <c r="AP125" s="6">
        <v>1.1438299999999999</v>
      </c>
      <c r="AQ125" s="6">
        <v>1.0399</v>
      </c>
      <c r="AR125" s="6">
        <v>0.57789999999999997</v>
      </c>
      <c r="AS125" s="6">
        <v>123</v>
      </c>
      <c r="AU125" s="17">
        <v>123</v>
      </c>
      <c r="AV125" s="6">
        <v>0.60143999999999997</v>
      </c>
      <c r="AW125" s="6">
        <v>1.0399</v>
      </c>
      <c r="AX125" s="6">
        <v>0.57789999999999997</v>
      </c>
      <c r="AY125" s="6">
        <v>123</v>
      </c>
    </row>
    <row r="126" spans="1:51" x14ac:dyDescent="0.25">
      <c r="A126" s="31" t="s">
        <v>116</v>
      </c>
      <c r="B126" s="32">
        <v>3</v>
      </c>
      <c r="C126" s="32">
        <v>8</v>
      </c>
      <c r="D126" s="32">
        <v>12</v>
      </c>
      <c r="E126" s="32">
        <v>13</v>
      </c>
      <c r="F126" s="2">
        <v>57.2</v>
      </c>
      <c r="G126">
        <v>71.492631864406761</v>
      </c>
      <c r="H126" t="s">
        <v>12</v>
      </c>
      <c r="AB126" s="17">
        <v>124</v>
      </c>
      <c r="AC126" s="6">
        <v>3.2168000000000001</v>
      </c>
      <c r="AD126" s="6">
        <v>2.7778999999999998</v>
      </c>
      <c r="AE126" s="6">
        <v>3.0905999999999998</v>
      </c>
      <c r="AF126" s="6">
        <v>123</v>
      </c>
      <c r="AH126" s="17">
        <v>124</v>
      </c>
      <c r="AI126" s="6">
        <v>6.1177000000000001</v>
      </c>
      <c r="AJ126" s="6">
        <v>2.7778999999999998</v>
      </c>
      <c r="AK126" s="6">
        <v>3.0905999999999998</v>
      </c>
      <c r="AL126" s="6">
        <v>123</v>
      </c>
      <c r="AO126" s="17">
        <v>124</v>
      </c>
      <c r="AP126" s="6">
        <v>1.143</v>
      </c>
      <c r="AQ126" s="19">
        <v>-0.3044</v>
      </c>
      <c r="AR126" s="6">
        <v>0.57740000000000002</v>
      </c>
      <c r="AS126" s="6">
        <v>123</v>
      </c>
      <c r="AU126" s="17">
        <v>124</v>
      </c>
      <c r="AV126" s="6">
        <v>0.60101000000000004</v>
      </c>
      <c r="AW126" s="19">
        <v>-0.3044</v>
      </c>
      <c r="AX126" s="6">
        <v>0.57740000000000002</v>
      </c>
      <c r="AY126" s="6">
        <v>123</v>
      </c>
    </row>
    <row r="127" spans="1:51" x14ac:dyDescent="0.25">
      <c r="A127" s="31" t="s">
        <v>116</v>
      </c>
      <c r="B127" s="32">
        <v>3</v>
      </c>
      <c r="C127" s="32">
        <v>7</v>
      </c>
      <c r="D127" s="32">
        <v>12</v>
      </c>
      <c r="E127" s="32">
        <v>15</v>
      </c>
      <c r="F127" s="2">
        <v>55</v>
      </c>
      <c r="G127">
        <v>69.588288958837765</v>
      </c>
      <c r="H127" t="s">
        <v>12</v>
      </c>
      <c r="AB127" s="17">
        <v>125</v>
      </c>
      <c r="AC127" s="6">
        <v>3.2164100000000002</v>
      </c>
      <c r="AD127" s="6">
        <v>5.2453000000000003</v>
      </c>
      <c r="AE127" s="6">
        <v>3.0903</v>
      </c>
      <c r="AF127" s="6">
        <v>123</v>
      </c>
      <c r="AH127" s="17">
        <v>125</v>
      </c>
      <c r="AI127" s="6">
        <v>6.117</v>
      </c>
      <c r="AJ127" s="6">
        <v>5.2453000000000003</v>
      </c>
      <c r="AK127" s="6">
        <v>3.0903</v>
      </c>
      <c r="AL127" s="6">
        <v>123</v>
      </c>
      <c r="AO127" s="17">
        <v>125</v>
      </c>
      <c r="AP127" s="6">
        <v>1.1425000000000001</v>
      </c>
      <c r="AQ127" s="19">
        <v>-9.3659999999999993E-2</v>
      </c>
      <c r="AR127" s="6">
        <v>0.57720000000000005</v>
      </c>
      <c r="AS127" s="6">
        <v>123</v>
      </c>
      <c r="AU127" s="17">
        <v>125</v>
      </c>
      <c r="AV127" s="6">
        <v>0.60075000000000001</v>
      </c>
      <c r="AW127" s="19">
        <v>-9.3659999999999993E-2</v>
      </c>
      <c r="AX127" s="6">
        <v>0.57720000000000005</v>
      </c>
      <c r="AY127" s="6">
        <v>123</v>
      </c>
    </row>
    <row r="128" spans="1:51" x14ac:dyDescent="0.25">
      <c r="A128" s="31" t="s">
        <v>116</v>
      </c>
      <c r="B128" s="32">
        <v>3</v>
      </c>
      <c r="C128" s="32">
        <v>6</v>
      </c>
      <c r="D128" s="32">
        <v>12</v>
      </c>
      <c r="E128" s="32">
        <v>35</v>
      </c>
      <c r="F128" s="2">
        <v>58.5</v>
      </c>
      <c r="G128">
        <v>80.845403970944304</v>
      </c>
      <c r="H128" t="s">
        <v>12</v>
      </c>
      <c r="AB128" s="17">
        <v>126</v>
      </c>
      <c r="AC128" s="6">
        <v>5.1096500000000002</v>
      </c>
      <c r="AD128" s="6">
        <v>14.200900000000001</v>
      </c>
      <c r="AE128" s="6">
        <v>4.9092000000000002</v>
      </c>
      <c r="AF128" s="6">
        <v>123</v>
      </c>
      <c r="AH128" s="17">
        <v>126</v>
      </c>
      <c r="AI128" s="6">
        <v>9.7175999999999991</v>
      </c>
      <c r="AJ128" s="6">
        <v>14.200900000000001</v>
      </c>
      <c r="AK128" s="6">
        <v>4.9092000000000002</v>
      </c>
      <c r="AL128" s="6">
        <v>123</v>
      </c>
      <c r="AO128" s="17">
        <v>126</v>
      </c>
      <c r="AP128" s="6">
        <v>1.8083800000000001</v>
      </c>
      <c r="AQ128" s="6">
        <v>0.42359999999999998</v>
      </c>
      <c r="AR128" s="6">
        <v>0.91359999999999997</v>
      </c>
      <c r="AS128" s="6">
        <v>123</v>
      </c>
      <c r="AU128" s="17">
        <v>126</v>
      </c>
      <c r="AV128" s="6">
        <v>0.95086999999999999</v>
      </c>
      <c r="AW128" s="6">
        <v>0.42359999999999998</v>
      </c>
      <c r="AX128" s="6">
        <v>0.91359999999999997</v>
      </c>
      <c r="AY128" s="6">
        <v>123</v>
      </c>
    </row>
    <row r="129" spans="1:51" x14ac:dyDescent="0.25">
      <c r="A129" s="31" t="s">
        <v>116</v>
      </c>
      <c r="B129" s="32">
        <v>3</v>
      </c>
      <c r="C129" s="32">
        <v>5</v>
      </c>
      <c r="D129" s="32">
        <v>12</v>
      </c>
      <c r="E129" s="32">
        <v>18</v>
      </c>
      <c r="F129" s="2">
        <v>56.6</v>
      </c>
      <c r="G129">
        <v>59.000164648910406</v>
      </c>
      <c r="H129" t="s">
        <v>12</v>
      </c>
      <c r="AB129" s="17">
        <v>127</v>
      </c>
      <c r="AC129" s="6">
        <v>3.2164899999999998</v>
      </c>
      <c r="AD129" s="19">
        <v>-1.5940000000000001</v>
      </c>
      <c r="AE129" s="6">
        <v>3.0903</v>
      </c>
      <c r="AF129" s="6">
        <v>123</v>
      </c>
      <c r="AH129" s="17">
        <v>127</v>
      </c>
      <c r="AI129" s="6">
        <v>6.1170999999999998</v>
      </c>
      <c r="AJ129" s="19">
        <v>-1.5940000000000001</v>
      </c>
      <c r="AK129" s="6">
        <v>3.0903</v>
      </c>
      <c r="AL129" s="6">
        <v>123</v>
      </c>
      <c r="AO129" s="17">
        <v>127</v>
      </c>
      <c r="AP129" s="6">
        <v>1.14883</v>
      </c>
      <c r="AQ129" s="6">
        <v>3.2463000000000002</v>
      </c>
      <c r="AR129" s="6">
        <v>0.58040000000000003</v>
      </c>
      <c r="AS129" s="6">
        <v>123</v>
      </c>
      <c r="AU129" s="17">
        <v>127</v>
      </c>
      <c r="AV129" s="6">
        <v>0.60407</v>
      </c>
      <c r="AW129" s="6">
        <v>3.2463000000000002</v>
      </c>
      <c r="AX129" s="6">
        <v>0.58040000000000003</v>
      </c>
      <c r="AY129" s="6">
        <v>123</v>
      </c>
    </row>
    <row r="130" spans="1:51" x14ac:dyDescent="0.25">
      <c r="A130" s="31" t="s">
        <v>116</v>
      </c>
      <c r="B130" s="32">
        <v>3</v>
      </c>
      <c r="C130" s="32">
        <v>4</v>
      </c>
      <c r="D130" s="32">
        <v>12</v>
      </c>
      <c r="E130" s="32">
        <v>4</v>
      </c>
      <c r="F130" s="2">
        <v>56.1</v>
      </c>
      <c r="G130">
        <v>62.331152687651333</v>
      </c>
      <c r="H130" t="s">
        <v>12</v>
      </c>
      <c r="AB130" s="17">
        <v>128</v>
      </c>
      <c r="AC130" s="6">
        <v>3.19367</v>
      </c>
      <c r="AD130" s="19">
        <v>-2.2665999999999999</v>
      </c>
      <c r="AE130" s="6">
        <v>3.0684</v>
      </c>
      <c r="AF130" s="6">
        <v>123</v>
      </c>
      <c r="AH130" s="17">
        <v>128</v>
      </c>
      <c r="AI130" s="6">
        <v>6.0736999999999997</v>
      </c>
      <c r="AJ130" s="19">
        <v>-2.2665999999999999</v>
      </c>
      <c r="AK130" s="6">
        <v>3.0684</v>
      </c>
      <c r="AL130" s="6">
        <v>123</v>
      </c>
      <c r="AO130" s="17">
        <v>128</v>
      </c>
      <c r="AP130" s="6">
        <v>1.1359900000000001</v>
      </c>
      <c r="AQ130" s="6">
        <v>1.2968</v>
      </c>
      <c r="AR130" s="6">
        <v>0.57389999999999997</v>
      </c>
      <c r="AS130" s="6">
        <v>123</v>
      </c>
      <c r="AU130" s="17">
        <v>128</v>
      </c>
      <c r="AV130" s="6">
        <v>0.59731999999999996</v>
      </c>
      <c r="AW130" s="6">
        <v>1.2968</v>
      </c>
      <c r="AX130" s="6">
        <v>0.57389999999999997</v>
      </c>
      <c r="AY130" s="6">
        <v>123</v>
      </c>
    </row>
    <row r="131" spans="1:51" x14ac:dyDescent="0.25">
      <c r="A131" s="31" t="s">
        <v>116</v>
      </c>
      <c r="B131" s="32">
        <v>3</v>
      </c>
      <c r="C131" s="32">
        <v>3</v>
      </c>
      <c r="D131" s="32">
        <v>12</v>
      </c>
      <c r="E131" s="32">
        <v>36</v>
      </c>
      <c r="F131" s="2">
        <v>60.1</v>
      </c>
      <c r="G131">
        <v>53.681376464891045</v>
      </c>
      <c r="H131" t="s">
        <v>12</v>
      </c>
      <c r="AB131" s="17">
        <v>129</v>
      </c>
      <c r="AC131" s="6">
        <v>3.20269</v>
      </c>
      <c r="AD131" s="6">
        <v>8.6268999999999991</v>
      </c>
      <c r="AE131" s="6">
        <v>3.0771000000000002</v>
      </c>
      <c r="AF131" s="6">
        <v>123</v>
      </c>
      <c r="AH131" s="17">
        <v>129</v>
      </c>
      <c r="AI131" s="6">
        <v>6.0909000000000004</v>
      </c>
      <c r="AJ131" s="6">
        <v>8.6268999999999991</v>
      </c>
      <c r="AK131" s="6">
        <v>3.0771000000000002</v>
      </c>
      <c r="AL131" s="6">
        <v>123</v>
      </c>
      <c r="AO131" s="17">
        <v>129</v>
      </c>
      <c r="AP131" s="6">
        <v>1.1394200000000001</v>
      </c>
      <c r="AQ131" s="6">
        <v>1.1296999999999999</v>
      </c>
      <c r="AR131" s="6">
        <v>0.5756</v>
      </c>
      <c r="AS131" s="6">
        <v>123</v>
      </c>
      <c r="AU131" s="17">
        <v>129</v>
      </c>
      <c r="AV131" s="6">
        <v>0.59911999999999999</v>
      </c>
      <c r="AW131" s="6">
        <v>1.1296999999999999</v>
      </c>
      <c r="AX131" s="6">
        <v>0.5756</v>
      </c>
      <c r="AY131" s="6">
        <v>123</v>
      </c>
    </row>
    <row r="132" spans="1:51" x14ac:dyDescent="0.25">
      <c r="A132" s="31" t="s">
        <v>116</v>
      </c>
      <c r="B132" s="32">
        <v>3</v>
      </c>
      <c r="C132" s="32">
        <v>2</v>
      </c>
      <c r="D132" s="32">
        <v>12</v>
      </c>
      <c r="E132" s="32">
        <v>29</v>
      </c>
      <c r="F132" s="2">
        <v>58.7</v>
      </c>
      <c r="G132">
        <v>66.507432929782084</v>
      </c>
      <c r="H132" t="s">
        <v>12</v>
      </c>
      <c r="AB132" s="17">
        <v>130</v>
      </c>
      <c r="AC132" s="6">
        <v>3.2110300000000001</v>
      </c>
      <c r="AD132" s="19">
        <v>-6.8639000000000001</v>
      </c>
      <c r="AE132" s="6">
        <v>3.0851000000000002</v>
      </c>
      <c r="AF132" s="6">
        <v>123</v>
      </c>
      <c r="AH132" s="17">
        <v>130</v>
      </c>
      <c r="AI132" s="6">
        <v>6.1067</v>
      </c>
      <c r="AJ132" s="19">
        <v>-6.8639000000000001</v>
      </c>
      <c r="AK132" s="6">
        <v>3.0851000000000002</v>
      </c>
      <c r="AL132" s="6">
        <v>123</v>
      </c>
      <c r="AO132" s="17">
        <v>130</v>
      </c>
      <c r="AP132" s="6">
        <v>1.1448400000000001</v>
      </c>
      <c r="AQ132" s="6">
        <v>4.6850000000000003E-2</v>
      </c>
      <c r="AR132" s="6">
        <v>0.57840000000000003</v>
      </c>
      <c r="AS132" s="6">
        <v>123</v>
      </c>
      <c r="AU132" s="17">
        <v>130</v>
      </c>
      <c r="AV132" s="6">
        <v>0.60197999999999996</v>
      </c>
      <c r="AW132" s="6">
        <v>4.6850000000000003E-2</v>
      </c>
      <c r="AX132" s="6">
        <v>0.57840000000000003</v>
      </c>
      <c r="AY132" s="6">
        <v>123</v>
      </c>
    </row>
    <row r="133" spans="1:51" x14ac:dyDescent="0.25">
      <c r="A133" s="31" t="s">
        <v>116</v>
      </c>
      <c r="B133" s="32">
        <v>3</v>
      </c>
      <c r="C133" s="32">
        <v>1</v>
      </c>
      <c r="D133" s="32">
        <v>12</v>
      </c>
      <c r="E133" s="32">
        <v>17</v>
      </c>
      <c r="F133" s="2">
        <v>58</v>
      </c>
      <c r="G133">
        <v>64.19330673123487</v>
      </c>
      <c r="H133" t="s">
        <v>12</v>
      </c>
      <c r="AB133" s="17">
        <v>131</v>
      </c>
      <c r="AC133" s="6">
        <v>3.2115100000000001</v>
      </c>
      <c r="AD133" s="6">
        <v>2.1318999999999999</v>
      </c>
      <c r="AE133" s="6">
        <v>3.0855000000000001</v>
      </c>
      <c r="AF133" s="6">
        <v>123</v>
      </c>
      <c r="AH133" s="17">
        <v>131</v>
      </c>
      <c r="AI133" s="6">
        <v>6.1077000000000004</v>
      </c>
      <c r="AJ133" s="6">
        <v>2.1318999999999999</v>
      </c>
      <c r="AK133" s="6">
        <v>3.0855000000000001</v>
      </c>
      <c r="AL133" s="6">
        <v>123</v>
      </c>
      <c r="AO133" s="17">
        <v>131</v>
      </c>
      <c r="AP133" s="6">
        <v>1.1501300000000001</v>
      </c>
      <c r="AQ133" s="6">
        <v>3.2431000000000001</v>
      </c>
      <c r="AR133" s="6">
        <v>0.58099999999999996</v>
      </c>
      <c r="AS133" s="6">
        <v>123</v>
      </c>
      <c r="AU133" s="17">
        <v>131</v>
      </c>
      <c r="AV133" s="6">
        <v>0.60475999999999996</v>
      </c>
      <c r="AW133" s="6">
        <v>3.2431000000000001</v>
      </c>
      <c r="AX133" s="6">
        <v>0.58099999999999996</v>
      </c>
      <c r="AY133" s="6">
        <v>123</v>
      </c>
    </row>
    <row r="134" spans="1:51" x14ac:dyDescent="0.25">
      <c r="A134" s="34" t="s">
        <v>97</v>
      </c>
      <c r="B134" s="35">
        <v>1</v>
      </c>
      <c r="C134" s="35">
        <v>9</v>
      </c>
      <c r="D134" s="35">
        <v>2</v>
      </c>
      <c r="E134" s="35">
        <v>30</v>
      </c>
      <c r="F134" s="2">
        <v>60.6</v>
      </c>
      <c r="G134">
        <v>69.003033367037403</v>
      </c>
      <c r="H134">
        <v>10.5</v>
      </c>
      <c r="AB134" s="17">
        <v>132</v>
      </c>
      <c r="AC134" s="6">
        <v>3.2011099999999999</v>
      </c>
      <c r="AD134" s="6">
        <v>8.1014999999999997</v>
      </c>
      <c r="AE134" s="6">
        <v>3.0756000000000001</v>
      </c>
      <c r="AF134" s="6">
        <v>123</v>
      </c>
      <c r="AH134" s="17">
        <v>132</v>
      </c>
      <c r="AI134" s="6">
        <v>6.0879000000000003</v>
      </c>
      <c r="AJ134" s="6">
        <v>8.1014999999999997</v>
      </c>
      <c r="AK134" s="6">
        <v>3.0756000000000001</v>
      </c>
      <c r="AL134" s="6">
        <v>123</v>
      </c>
      <c r="AO134" s="17">
        <v>132</v>
      </c>
      <c r="AP134" s="6">
        <v>1.1428799999999999</v>
      </c>
      <c r="AQ134" s="6">
        <v>4.4358000000000004</v>
      </c>
      <c r="AR134" s="6">
        <v>0.57740000000000002</v>
      </c>
      <c r="AS134" s="6">
        <v>123</v>
      </c>
      <c r="AU134" s="17">
        <v>132</v>
      </c>
      <c r="AV134" s="6">
        <v>0.60094999999999998</v>
      </c>
      <c r="AW134" s="6">
        <v>4.4358000000000004</v>
      </c>
      <c r="AX134" s="6">
        <v>0.57740000000000002</v>
      </c>
      <c r="AY134" s="6">
        <v>123</v>
      </c>
    </row>
    <row r="135" spans="1:51" x14ac:dyDescent="0.25">
      <c r="A135" s="34" t="s">
        <v>97</v>
      </c>
      <c r="B135" s="35">
        <v>2</v>
      </c>
      <c r="C135" s="35">
        <v>2</v>
      </c>
      <c r="D135" s="35">
        <v>3</v>
      </c>
      <c r="E135" s="35">
        <v>30</v>
      </c>
      <c r="F135" s="2">
        <v>60.4</v>
      </c>
      <c r="G135">
        <v>54.535841741901223</v>
      </c>
      <c r="H135" t="s">
        <v>12</v>
      </c>
      <c r="AB135" s="17">
        <v>133</v>
      </c>
      <c r="AC135" s="6">
        <v>3.22471</v>
      </c>
      <c r="AD135" s="19">
        <v>-5.8552999999999997</v>
      </c>
      <c r="AE135" s="6">
        <v>3.0981999999999998</v>
      </c>
      <c r="AF135" s="6">
        <v>123</v>
      </c>
      <c r="AH135" s="17">
        <v>133</v>
      </c>
      <c r="AI135" s="6">
        <v>6.1327999999999996</v>
      </c>
      <c r="AJ135" s="19">
        <v>-5.8552999999999997</v>
      </c>
      <c r="AK135" s="6">
        <v>3.0981999999999998</v>
      </c>
      <c r="AL135" s="6">
        <v>123</v>
      </c>
      <c r="AO135" s="17">
        <v>133</v>
      </c>
      <c r="AP135" s="6">
        <v>1.1447700000000001</v>
      </c>
      <c r="AQ135" s="19">
        <v>-0.56689999999999996</v>
      </c>
      <c r="AR135" s="6">
        <v>0.57830000000000004</v>
      </c>
      <c r="AS135" s="6">
        <v>123</v>
      </c>
      <c r="AU135" s="17">
        <v>133</v>
      </c>
      <c r="AV135" s="6">
        <v>0.60194000000000003</v>
      </c>
      <c r="AW135" s="19">
        <v>-0.56689999999999996</v>
      </c>
      <c r="AX135" s="6">
        <v>0.57830000000000004</v>
      </c>
      <c r="AY135" s="6">
        <v>123</v>
      </c>
    </row>
    <row r="136" spans="1:51" x14ac:dyDescent="0.25">
      <c r="A136" s="34" t="s">
        <v>97</v>
      </c>
      <c r="B136" s="35">
        <v>3</v>
      </c>
      <c r="C136" s="35">
        <v>14</v>
      </c>
      <c r="D136" s="35">
        <v>6</v>
      </c>
      <c r="E136" s="35">
        <v>30</v>
      </c>
      <c r="F136" s="2">
        <v>59.5</v>
      </c>
      <c r="G136">
        <v>68.768840358573328</v>
      </c>
      <c r="H136" t="s">
        <v>12</v>
      </c>
      <c r="AB136" s="17">
        <v>134</v>
      </c>
      <c r="AC136" s="6">
        <v>3.2172100000000001</v>
      </c>
      <c r="AD136" s="6">
        <v>2.6852999999999998</v>
      </c>
      <c r="AE136" s="6">
        <v>3.0910000000000002</v>
      </c>
      <c r="AF136" s="6">
        <v>123</v>
      </c>
      <c r="AH136" s="17">
        <v>134</v>
      </c>
      <c r="AI136" s="6">
        <v>6.1185</v>
      </c>
      <c r="AJ136" s="6">
        <v>2.6852999999999998</v>
      </c>
      <c r="AK136" s="6">
        <v>3.0910000000000002</v>
      </c>
      <c r="AL136" s="6">
        <v>123</v>
      </c>
      <c r="AO136" s="17">
        <v>134</v>
      </c>
      <c r="AP136" s="6">
        <v>1.1453100000000001</v>
      </c>
      <c r="AQ136" s="6">
        <v>0.91220000000000001</v>
      </c>
      <c r="AR136" s="6">
        <v>0.5786</v>
      </c>
      <c r="AS136" s="6">
        <v>123</v>
      </c>
      <c r="AU136" s="17">
        <v>134</v>
      </c>
      <c r="AV136" s="6">
        <v>0.60221999999999998</v>
      </c>
      <c r="AW136" s="6">
        <v>0.91220000000000001</v>
      </c>
      <c r="AX136" s="6">
        <v>0.5786</v>
      </c>
      <c r="AY136" s="6">
        <v>123</v>
      </c>
    </row>
    <row r="137" spans="1:51" x14ac:dyDescent="0.25">
      <c r="A137" s="34" t="s">
        <v>97</v>
      </c>
      <c r="B137" s="35">
        <v>1</v>
      </c>
      <c r="C137" s="35">
        <v>2</v>
      </c>
      <c r="D137" s="35">
        <v>2</v>
      </c>
      <c r="E137" s="35">
        <v>37</v>
      </c>
      <c r="F137" s="2">
        <v>61.8</v>
      </c>
      <c r="G137">
        <v>82.982392026578069</v>
      </c>
      <c r="H137">
        <v>9.6</v>
      </c>
      <c r="AB137" s="17">
        <v>135</v>
      </c>
      <c r="AC137" s="6">
        <v>3.1968299999999998</v>
      </c>
      <c r="AD137" s="19">
        <v>-2.4129</v>
      </c>
      <c r="AE137" s="6">
        <v>3.0714999999999999</v>
      </c>
      <c r="AF137" s="6">
        <v>123</v>
      </c>
      <c r="AH137" s="17">
        <v>135</v>
      </c>
      <c r="AI137" s="6">
        <v>6.0796999999999999</v>
      </c>
      <c r="AJ137" s="19">
        <v>-2.4129</v>
      </c>
      <c r="AK137" s="6">
        <v>3.0714999999999999</v>
      </c>
      <c r="AL137" s="6">
        <v>123</v>
      </c>
      <c r="AO137" s="17">
        <v>135</v>
      </c>
      <c r="AP137" s="6">
        <v>1.1427799999999999</v>
      </c>
      <c r="AQ137" s="6">
        <v>0.4819</v>
      </c>
      <c r="AR137" s="6">
        <v>0.57730000000000004</v>
      </c>
      <c r="AS137" s="6">
        <v>123</v>
      </c>
      <c r="AU137" s="17">
        <v>135</v>
      </c>
      <c r="AV137" s="6">
        <v>0.60089000000000004</v>
      </c>
      <c r="AW137" s="6">
        <v>0.4819</v>
      </c>
      <c r="AX137" s="6">
        <v>0.57730000000000004</v>
      </c>
      <c r="AY137" s="6">
        <v>123</v>
      </c>
    </row>
    <row r="138" spans="1:51" x14ac:dyDescent="0.25">
      <c r="A138" s="34" t="s">
        <v>97</v>
      </c>
      <c r="B138" s="35">
        <v>2</v>
      </c>
      <c r="C138" s="35">
        <v>9</v>
      </c>
      <c r="D138" s="35">
        <v>4</v>
      </c>
      <c r="E138" s="35">
        <v>37</v>
      </c>
      <c r="F138" s="2">
        <v>61.5</v>
      </c>
      <c r="G138">
        <v>78.904328859060399</v>
      </c>
      <c r="H138" t="s">
        <v>12</v>
      </c>
      <c r="AB138" s="17">
        <v>136</v>
      </c>
      <c r="AC138" s="6">
        <v>3.2182300000000001</v>
      </c>
      <c r="AD138" s="19">
        <v>-11.014900000000001</v>
      </c>
      <c r="AE138" s="6">
        <v>3.0920000000000001</v>
      </c>
      <c r="AF138" s="6">
        <v>123</v>
      </c>
      <c r="AH138" s="17">
        <v>136</v>
      </c>
      <c r="AI138" s="6">
        <v>6.1204000000000001</v>
      </c>
      <c r="AJ138" s="19">
        <v>-11.014900000000001</v>
      </c>
      <c r="AK138" s="6">
        <v>3.0920000000000001</v>
      </c>
      <c r="AL138" s="6">
        <v>123</v>
      </c>
      <c r="AO138" s="17">
        <v>136</v>
      </c>
      <c r="AP138" s="6">
        <v>1.1429100000000001</v>
      </c>
      <c r="AQ138" s="19">
        <v>-0.3876</v>
      </c>
      <c r="AR138" s="6">
        <v>0.57740000000000002</v>
      </c>
      <c r="AS138" s="6">
        <v>123</v>
      </c>
      <c r="AU138" s="17">
        <v>136</v>
      </c>
      <c r="AV138" s="6">
        <v>0.60096000000000005</v>
      </c>
      <c r="AW138" s="19">
        <v>-0.3876</v>
      </c>
      <c r="AX138" s="6">
        <v>0.57740000000000002</v>
      </c>
      <c r="AY138" s="6">
        <v>123</v>
      </c>
    </row>
    <row r="139" spans="1:51" x14ac:dyDescent="0.25">
      <c r="A139" s="34" t="s">
        <v>97</v>
      </c>
      <c r="B139" s="35">
        <v>3</v>
      </c>
      <c r="C139" s="35">
        <v>16</v>
      </c>
      <c r="D139" s="35">
        <v>6</v>
      </c>
      <c r="E139" s="35">
        <v>37</v>
      </c>
      <c r="F139" s="2">
        <v>61</v>
      </c>
      <c r="G139">
        <v>81.101591169177951</v>
      </c>
      <c r="H139" t="s">
        <v>12</v>
      </c>
      <c r="AB139" s="17">
        <v>137</v>
      </c>
      <c r="AC139" s="6">
        <v>3.2052900000000002</v>
      </c>
      <c r="AD139" s="19">
        <v>-6.4752000000000001</v>
      </c>
      <c r="AE139" s="6">
        <v>3.0796000000000001</v>
      </c>
      <c r="AF139" s="6">
        <v>123</v>
      </c>
      <c r="AH139" s="17">
        <v>137</v>
      </c>
      <c r="AI139" s="6">
        <v>6.0957999999999997</v>
      </c>
      <c r="AJ139" s="19">
        <v>-6.4752000000000001</v>
      </c>
      <c r="AK139" s="6">
        <v>3.0796000000000001</v>
      </c>
      <c r="AL139" s="6">
        <v>123</v>
      </c>
      <c r="AO139" s="17">
        <v>137</v>
      </c>
      <c r="AP139" s="6">
        <v>1.14124</v>
      </c>
      <c r="AQ139" s="6">
        <v>1.7418</v>
      </c>
      <c r="AR139" s="6">
        <v>0.57650000000000001</v>
      </c>
      <c r="AS139" s="6">
        <v>123</v>
      </c>
      <c r="AU139" s="17">
        <v>137</v>
      </c>
      <c r="AV139" s="6">
        <v>0.60007999999999995</v>
      </c>
      <c r="AW139" s="6">
        <v>1.7418</v>
      </c>
      <c r="AX139" s="6">
        <v>0.57650000000000001</v>
      </c>
      <c r="AY139" s="6">
        <v>123</v>
      </c>
    </row>
    <row r="140" spans="1:51" x14ac:dyDescent="0.25">
      <c r="A140" s="34" t="s">
        <v>97</v>
      </c>
      <c r="B140" s="35">
        <v>1</v>
      </c>
      <c r="C140" s="35">
        <v>6</v>
      </c>
      <c r="D140" s="35">
        <v>2</v>
      </c>
      <c r="E140" s="35">
        <v>40</v>
      </c>
      <c r="F140" s="2">
        <v>62.5</v>
      </c>
      <c r="G140">
        <v>70.648981655351719</v>
      </c>
      <c r="H140">
        <v>10.3</v>
      </c>
      <c r="AB140" s="17">
        <v>138</v>
      </c>
      <c r="AC140" s="6">
        <v>3.2168600000000001</v>
      </c>
      <c r="AD140" s="19">
        <v>-5.6675000000000004</v>
      </c>
      <c r="AE140" s="6">
        <v>3.0907</v>
      </c>
      <c r="AF140" s="6">
        <v>123</v>
      </c>
      <c r="AH140" s="17">
        <v>138</v>
      </c>
      <c r="AI140" s="6">
        <v>6.1177999999999999</v>
      </c>
      <c r="AJ140" s="19">
        <v>-5.6675000000000004</v>
      </c>
      <c r="AK140" s="6">
        <v>3.0907</v>
      </c>
      <c r="AL140" s="6">
        <v>123</v>
      </c>
      <c r="AO140" s="17">
        <v>138</v>
      </c>
      <c r="AP140" s="6">
        <v>1.14507</v>
      </c>
      <c r="AQ140" s="19">
        <v>-0.86060000000000003</v>
      </c>
      <c r="AR140" s="6">
        <v>0.57850000000000001</v>
      </c>
      <c r="AS140" s="6">
        <v>123</v>
      </c>
      <c r="AU140" s="17">
        <v>138</v>
      </c>
      <c r="AV140" s="6">
        <v>0.60209999999999997</v>
      </c>
      <c r="AW140" s="19">
        <v>-0.86060000000000003</v>
      </c>
      <c r="AX140" s="6">
        <v>0.57850000000000001</v>
      </c>
      <c r="AY140" s="6">
        <v>123</v>
      </c>
    </row>
    <row r="141" spans="1:51" x14ac:dyDescent="0.25">
      <c r="A141" s="34" t="s">
        <v>97</v>
      </c>
      <c r="B141" s="35">
        <v>2</v>
      </c>
      <c r="C141" s="35">
        <v>7</v>
      </c>
      <c r="D141" s="35">
        <v>4</v>
      </c>
      <c r="E141" s="35">
        <v>40</v>
      </c>
      <c r="F141" s="2">
        <v>58.2</v>
      </c>
      <c r="G141">
        <v>74.425978906999035</v>
      </c>
      <c r="H141" t="s">
        <v>12</v>
      </c>
      <c r="AB141" s="17">
        <v>139</v>
      </c>
      <c r="AC141" s="6">
        <v>3.2168800000000002</v>
      </c>
      <c r="AD141" s="19">
        <v>-7.4485000000000001</v>
      </c>
      <c r="AE141" s="6">
        <v>3.0907</v>
      </c>
      <c r="AF141" s="6">
        <v>123</v>
      </c>
      <c r="AH141" s="17">
        <v>139</v>
      </c>
      <c r="AI141" s="6">
        <v>6.1178999999999997</v>
      </c>
      <c r="AJ141" s="19">
        <v>-7.4485000000000001</v>
      </c>
      <c r="AK141" s="6">
        <v>3.0907</v>
      </c>
      <c r="AL141" s="6">
        <v>123</v>
      </c>
      <c r="AO141" s="17">
        <v>139</v>
      </c>
      <c r="AP141" s="6">
        <v>1.1427499999999999</v>
      </c>
      <c r="AQ141" s="6">
        <v>0.97819999999999996</v>
      </c>
      <c r="AR141" s="6">
        <v>0.57730000000000004</v>
      </c>
      <c r="AS141" s="6">
        <v>123</v>
      </c>
      <c r="AU141" s="17">
        <v>139</v>
      </c>
      <c r="AV141" s="6">
        <v>0.60087999999999997</v>
      </c>
      <c r="AW141" s="6">
        <v>0.97819999999999996</v>
      </c>
      <c r="AX141" s="6">
        <v>0.57730000000000004</v>
      </c>
      <c r="AY141" s="6">
        <v>123</v>
      </c>
    </row>
    <row r="142" spans="1:51" x14ac:dyDescent="0.25">
      <c r="A142" s="34" t="s">
        <v>97</v>
      </c>
      <c r="B142" s="35">
        <v>3</v>
      </c>
      <c r="C142" s="35">
        <v>2</v>
      </c>
      <c r="D142" s="35">
        <v>5</v>
      </c>
      <c r="E142" s="35">
        <v>40</v>
      </c>
      <c r="F142" s="2">
        <v>61.7</v>
      </c>
      <c r="G142">
        <v>76.56522255192877</v>
      </c>
      <c r="H142" t="s">
        <v>12</v>
      </c>
      <c r="AB142" s="17">
        <v>140</v>
      </c>
      <c r="AC142" s="6">
        <v>3.2380200000000001</v>
      </c>
      <c r="AD142" s="6">
        <v>2.4939</v>
      </c>
      <c r="AE142" s="6">
        <v>3.1110000000000002</v>
      </c>
      <c r="AF142" s="6">
        <v>123</v>
      </c>
      <c r="AH142" s="17">
        <v>140</v>
      </c>
      <c r="AI142" s="6">
        <v>6.1581000000000001</v>
      </c>
      <c r="AJ142" s="6">
        <v>2.4939</v>
      </c>
      <c r="AK142" s="6">
        <v>3.1110000000000002</v>
      </c>
      <c r="AL142" s="6">
        <v>123</v>
      </c>
      <c r="AO142" s="17">
        <v>140</v>
      </c>
      <c r="AP142" s="6">
        <v>1.1599600000000001</v>
      </c>
      <c r="AQ142" s="6">
        <v>1.5215000000000001</v>
      </c>
      <c r="AR142" s="6">
        <v>0.58599999999999997</v>
      </c>
      <c r="AS142" s="6">
        <v>123</v>
      </c>
      <c r="AU142" s="17">
        <v>140</v>
      </c>
      <c r="AV142" s="6">
        <v>0.60992999999999997</v>
      </c>
      <c r="AW142" s="6">
        <v>1.5215000000000001</v>
      </c>
      <c r="AX142" s="6">
        <v>0.58599999999999997</v>
      </c>
      <c r="AY142" s="6">
        <v>123</v>
      </c>
    </row>
    <row r="143" spans="1:51" x14ac:dyDescent="0.25">
      <c r="A143" s="34" t="s">
        <v>97</v>
      </c>
      <c r="B143" s="35">
        <v>1</v>
      </c>
      <c r="C143" s="35">
        <v>19</v>
      </c>
      <c r="D143" s="35">
        <v>2</v>
      </c>
      <c r="E143" s="35">
        <v>41</v>
      </c>
      <c r="F143" s="2">
        <v>59</v>
      </c>
      <c r="G143">
        <v>69.771094901054454</v>
      </c>
      <c r="H143">
        <v>10.199999999999999</v>
      </c>
      <c r="AB143" s="17">
        <v>141</v>
      </c>
      <c r="AC143" s="6">
        <v>3.1988699999999999</v>
      </c>
      <c r="AD143" s="19">
        <v>-9.0595999999999997</v>
      </c>
      <c r="AE143" s="6">
        <v>3.0733999999999999</v>
      </c>
      <c r="AF143" s="6">
        <v>123</v>
      </c>
      <c r="AH143" s="17">
        <v>141</v>
      </c>
      <c r="AI143" s="6">
        <v>6.0835999999999997</v>
      </c>
      <c r="AJ143" s="19">
        <v>-9.0595999999999997</v>
      </c>
      <c r="AK143" s="6">
        <v>3.0733999999999999</v>
      </c>
      <c r="AL143" s="6">
        <v>123</v>
      </c>
      <c r="AO143" s="17">
        <v>141</v>
      </c>
      <c r="AP143" s="6">
        <v>1.14699</v>
      </c>
      <c r="AQ143" s="6">
        <v>0.84030000000000005</v>
      </c>
      <c r="AR143" s="6">
        <v>0.57950000000000002</v>
      </c>
      <c r="AS143" s="6">
        <v>123</v>
      </c>
      <c r="AU143" s="17">
        <v>141</v>
      </c>
      <c r="AV143" s="6">
        <v>0.60309999999999997</v>
      </c>
      <c r="AW143" s="6">
        <v>0.84030000000000005</v>
      </c>
      <c r="AX143" s="6">
        <v>0.57950000000000002</v>
      </c>
      <c r="AY143" s="6">
        <v>123</v>
      </c>
    </row>
    <row r="144" spans="1:51" x14ac:dyDescent="0.25">
      <c r="A144" s="34" t="s">
        <v>97</v>
      </c>
      <c r="B144" s="35">
        <v>2</v>
      </c>
      <c r="C144" s="35">
        <v>6</v>
      </c>
      <c r="D144" s="35">
        <v>4</v>
      </c>
      <c r="E144" s="35">
        <v>41</v>
      </c>
      <c r="F144" s="2" t="s">
        <v>12</v>
      </c>
      <c r="G144" t="s">
        <v>12</v>
      </c>
      <c r="H144" t="s">
        <v>12</v>
      </c>
      <c r="AB144" s="17">
        <v>142</v>
      </c>
      <c r="AC144" s="6">
        <v>3.2020400000000002</v>
      </c>
      <c r="AD144" s="19">
        <v>-5.3878000000000004</v>
      </c>
      <c r="AE144" s="6">
        <v>3.0764999999999998</v>
      </c>
      <c r="AF144" s="6">
        <v>123</v>
      </c>
      <c r="AH144" s="17">
        <v>142</v>
      </c>
      <c r="AI144" s="6">
        <v>6.0896999999999997</v>
      </c>
      <c r="AJ144" s="19">
        <v>-5.3878000000000004</v>
      </c>
      <c r="AK144" s="6">
        <v>3.0764999999999998</v>
      </c>
      <c r="AL144" s="6">
        <v>123</v>
      </c>
      <c r="AO144" s="17">
        <v>142</v>
      </c>
      <c r="AP144" s="6">
        <v>1.13971</v>
      </c>
      <c r="AQ144" s="6">
        <v>0.7238</v>
      </c>
      <c r="AR144" s="6">
        <v>0.57579999999999998</v>
      </c>
      <c r="AS144" s="6">
        <v>123</v>
      </c>
      <c r="AU144" s="17">
        <v>142</v>
      </c>
      <c r="AV144" s="6">
        <v>0.59928000000000003</v>
      </c>
      <c r="AW144" s="6">
        <v>0.7238</v>
      </c>
      <c r="AX144" s="6">
        <v>0.57579999999999998</v>
      </c>
      <c r="AY144" s="6">
        <v>123</v>
      </c>
    </row>
    <row r="145" spans="1:51" x14ac:dyDescent="0.25">
      <c r="A145" s="34" t="s">
        <v>97</v>
      </c>
      <c r="B145" s="35">
        <v>3</v>
      </c>
      <c r="C145" s="35">
        <v>17</v>
      </c>
      <c r="D145" s="35">
        <v>5</v>
      </c>
      <c r="E145" s="35">
        <v>41</v>
      </c>
      <c r="F145" s="2">
        <v>56.9</v>
      </c>
      <c r="G145">
        <v>68.58348452734208</v>
      </c>
      <c r="H145" t="s">
        <v>12</v>
      </c>
      <c r="AB145" s="17">
        <v>143</v>
      </c>
      <c r="AC145" s="6">
        <v>3.20966</v>
      </c>
      <c r="AD145" s="19">
        <v>-2.9016000000000002</v>
      </c>
      <c r="AE145" s="6">
        <v>3.0838000000000001</v>
      </c>
      <c r="AF145" s="6">
        <v>123</v>
      </c>
      <c r="AH145" s="17">
        <v>143</v>
      </c>
      <c r="AI145" s="6">
        <v>6.1040999999999999</v>
      </c>
      <c r="AJ145" s="19">
        <v>-2.9016000000000002</v>
      </c>
      <c r="AK145" s="6">
        <v>3.0838000000000001</v>
      </c>
      <c r="AL145" s="6">
        <v>123</v>
      </c>
      <c r="AO145" s="17">
        <v>143</v>
      </c>
      <c r="AP145" s="6">
        <v>1.1423700000000001</v>
      </c>
      <c r="AQ145" s="6">
        <v>0.1913</v>
      </c>
      <c r="AR145" s="6">
        <v>0.57709999999999995</v>
      </c>
      <c r="AS145" s="6">
        <v>123</v>
      </c>
      <c r="AU145" s="17">
        <v>143</v>
      </c>
      <c r="AV145" s="6">
        <v>0.60067999999999999</v>
      </c>
      <c r="AW145" s="6">
        <v>0.1913</v>
      </c>
      <c r="AX145" s="6">
        <v>0.57709999999999995</v>
      </c>
      <c r="AY145" s="6">
        <v>123</v>
      </c>
    </row>
    <row r="146" spans="1:51" x14ac:dyDescent="0.25">
      <c r="A146" s="34" t="s">
        <v>97</v>
      </c>
      <c r="B146" s="35">
        <v>1</v>
      </c>
      <c r="C146" s="35">
        <v>4</v>
      </c>
      <c r="D146" s="35">
        <v>1</v>
      </c>
      <c r="E146" s="35">
        <v>20</v>
      </c>
      <c r="F146" s="2">
        <v>60.5</v>
      </c>
      <c r="G146">
        <v>79.362642857142859</v>
      </c>
      <c r="H146">
        <v>9.4</v>
      </c>
      <c r="AB146" s="17">
        <v>144</v>
      </c>
      <c r="AC146" s="6">
        <v>3.22946</v>
      </c>
      <c r="AD146" s="19">
        <v>-2.2155</v>
      </c>
      <c r="AE146" s="6">
        <v>3.1027999999999998</v>
      </c>
      <c r="AF146" s="6">
        <v>123</v>
      </c>
      <c r="AH146" s="17">
        <v>144</v>
      </c>
      <c r="AI146" s="6">
        <v>6.1417999999999999</v>
      </c>
      <c r="AJ146" s="19">
        <v>-2.2155</v>
      </c>
      <c r="AK146" s="6">
        <v>3.1027999999999998</v>
      </c>
      <c r="AL146" s="6">
        <v>123</v>
      </c>
      <c r="AO146" s="17">
        <v>144</v>
      </c>
      <c r="AP146" s="6">
        <v>1.13737</v>
      </c>
      <c r="AQ146" s="6">
        <v>0.25679999999999997</v>
      </c>
      <c r="AR146" s="6">
        <v>0.5746</v>
      </c>
      <c r="AS146" s="6">
        <v>123</v>
      </c>
      <c r="AU146" s="17">
        <v>144</v>
      </c>
      <c r="AV146" s="6">
        <v>0.59804999999999997</v>
      </c>
      <c r="AW146" s="6">
        <v>0.25679999999999997</v>
      </c>
      <c r="AX146" s="6">
        <v>0.5746</v>
      </c>
      <c r="AY146" s="6">
        <v>123</v>
      </c>
    </row>
    <row r="147" spans="1:51" x14ac:dyDescent="0.25">
      <c r="A147" s="34" t="s">
        <v>97</v>
      </c>
      <c r="B147" s="35">
        <v>2</v>
      </c>
      <c r="C147" s="35">
        <v>2</v>
      </c>
      <c r="D147" s="35">
        <v>4</v>
      </c>
      <c r="E147" s="35">
        <v>20</v>
      </c>
      <c r="F147" s="2">
        <v>60.4</v>
      </c>
      <c r="G147">
        <v>75.344979865771805</v>
      </c>
      <c r="H147" t="s">
        <v>12</v>
      </c>
      <c r="AB147" s="17">
        <v>145</v>
      </c>
      <c r="AC147" s="6">
        <v>3.22607</v>
      </c>
      <c r="AD147" s="19">
        <v>-7.2866999999999997</v>
      </c>
      <c r="AE147" s="6">
        <v>3.0994999999999999</v>
      </c>
      <c r="AF147" s="6">
        <v>123</v>
      </c>
      <c r="AH147" s="17">
        <v>145</v>
      </c>
      <c r="AI147" s="6">
        <v>6.1353</v>
      </c>
      <c r="AJ147" s="19">
        <v>-7.2866999999999997</v>
      </c>
      <c r="AK147" s="6">
        <v>3.0994999999999999</v>
      </c>
      <c r="AL147" s="6">
        <v>123</v>
      </c>
      <c r="AO147" s="17">
        <v>145</v>
      </c>
      <c r="AP147" s="6">
        <v>1.15516</v>
      </c>
      <c r="AQ147" s="6">
        <v>1.3136000000000001</v>
      </c>
      <c r="AR147" s="6">
        <v>0.58360000000000001</v>
      </c>
      <c r="AS147" s="6">
        <v>123</v>
      </c>
      <c r="AU147" s="17">
        <v>145</v>
      </c>
      <c r="AV147" s="6">
        <v>0.60740000000000005</v>
      </c>
      <c r="AW147" s="6">
        <v>1.3136000000000001</v>
      </c>
      <c r="AX147" s="6">
        <v>0.58360000000000001</v>
      </c>
      <c r="AY147" s="6">
        <v>123</v>
      </c>
    </row>
    <row r="148" spans="1:51" x14ac:dyDescent="0.25">
      <c r="A148" s="34" t="s">
        <v>97</v>
      </c>
      <c r="B148" s="35">
        <v>3</v>
      </c>
      <c r="C148" s="35">
        <v>8</v>
      </c>
      <c r="D148" s="35">
        <v>6</v>
      </c>
      <c r="E148" s="35">
        <v>20</v>
      </c>
      <c r="F148" s="2" t="s">
        <v>12</v>
      </c>
      <c r="G148">
        <v>78.688289147434674</v>
      </c>
      <c r="H148" t="s">
        <v>12</v>
      </c>
      <c r="AB148" s="17">
        <v>146</v>
      </c>
      <c r="AC148" s="6">
        <v>3.2192799999999999</v>
      </c>
      <c r="AD148" s="19">
        <v>-2.7509000000000001</v>
      </c>
      <c r="AE148" s="6">
        <v>3.093</v>
      </c>
      <c r="AF148" s="6">
        <v>123</v>
      </c>
      <c r="AH148" s="17">
        <v>146</v>
      </c>
      <c r="AI148" s="6">
        <v>6.1223999999999998</v>
      </c>
      <c r="AJ148" s="19">
        <v>-2.7509000000000001</v>
      </c>
      <c r="AK148" s="6">
        <v>3.093</v>
      </c>
      <c r="AL148" s="6">
        <v>123</v>
      </c>
      <c r="AO148" s="17">
        <v>146</v>
      </c>
      <c r="AP148" s="6">
        <v>1.1506700000000001</v>
      </c>
      <c r="AQ148" s="6">
        <v>0.89229999999999998</v>
      </c>
      <c r="AR148" s="6">
        <v>0.58130000000000004</v>
      </c>
      <c r="AS148" s="6">
        <v>123</v>
      </c>
      <c r="AU148" s="17">
        <v>146</v>
      </c>
      <c r="AV148" s="6">
        <v>0.60504000000000002</v>
      </c>
      <c r="AW148" s="6">
        <v>0.89229999999999998</v>
      </c>
      <c r="AX148" s="6">
        <v>0.58130000000000004</v>
      </c>
      <c r="AY148" s="6">
        <v>123</v>
      </c>
    </row>
    <row r="149" spans="1:51" x14ac:dyDescent="0.25">
      <c r="A149" s="34" t="s">
        <v>97</v>
      </c>
      <c r="B149" s="35">
        <v>1</v>
      </c>
      <c r="C149" s="35">
        <v>17</v>
      </c>
      <c r="D149" s="35">
        <v>1</v>
      </c>
      <c r="E149" s="35">
        <v>32</v>
      </c>
      <c r="F149" s="2">
        <v>59.7</v>
      </c>
      <c r="G149">
        <v>79.103828571428565</v>
      </c>
      <c r="H149">
        <v>10</v>
      </c>
      <c r="AB149" s="17">
        <v>147</v>
      </c>
      <c r="AC149" s="6">
        <v>3.24688</v>
      </c>
      <c r="AD149" s="19">
        <v>-12.0631</v>
      </c>
      <c r="AE149" s="6">
        <v>3.1194999999999999</v>
      </c>
      <c r="AF149" s="6">
        <v>123</v>
      </c>
      <c r="AH149" s="17">
        <v>147</v>
      </c>
      <c r="AI149" s="6">
        <v>6.1749000000000001</v>
      </c>
      <c r="AJ149" s="19">
        <v>-12.0631</v>
      </c>
      <c r="AK149" s="6">
        <v>3.1194999999999999</v>
      </c>
      <c r="AL149" s="6">
        <v>123</v>
      </c>
      <c r="AO149" s="17">
        <v>147</v>
      </c>
      <c r="AP149" s="6">
        <v>1.16137</v>
      </c>
      <c r="AQ149" s="6">
        <v>0.69269999999999998</v>
      </c>
      <c r="AR149" s="6">
        <v>0.5867</v>
      </c>
      <c r="AS149" s="6">
        <v>123</v>
      </c>
      <c r="AU149" s="17">
        <v>147</v>
      </c>
      <c r="AV149" s="6">
        <v>0.61067000000000005</v>
      </c>
      <c r="AW149" s="6">
        <v>0.69269999999999998</v>
      </c>
      <c r="AX149" s="6">
        <v>0.5867</v>
      </c>
      <c r="AY149" s="6">
        <v>123</v>
      </c>
    </row>
    <row r="150" spans="1:51" x14ac:dyDescent="0.25">
      <c r="A150" s="34" t="s">
        <v>97</v>
      </c>
      <c r="B150" s="35">
        <v>2</v>
      </c>
      <c r="C150" s="35">
        <v>11</v>
      </c>
      <c r="D150" s="35">
        <v>4</v>
      </c>
      <c r="E150" s="35">
        <v>32</v>
      </c>
      <c r="F150" s="2">
        <v>60.3</v>
      </c>
      <c r="G150">
        <v>84.770007670182167</v>
      </c>
      <c r="H150" t="s">
        <v>12</v>
      </c>
      <c r="AB150" s="17">
        <v>148</v>
      </c>
      <c r="AC150" s="6">
        <v>3.24912</v>
      </c>
      <c r="AD150" s="19">
        <v>-3.9201999999999999</v>
      </c>
      <c r="AE150" s="6">
        <v>3.1217000000000001</v>
      </c>
      <c r="AF150" s="6">
        <v>123</v>
      </c>
      <c r="AH150" s="17">
        <v>148</v>
      </c>
      <c r="AI150" s="6">
        <v>6.1791999999999998</v>
      </c>
      <c r="AJ150" s="19">
        <v>-3.9201999999999999</v>
      </c>
      <c r="AK150" s="6">
        <v>3.1217000000000001</v>
      </c>
      <c r="AL150" s="6">
        <v>123</v>
      </c>
      <c r="AO150" s="17">
        <v>148</v>
      </c>
      <c r="AP150" s="6">
        <v>1.1448</v>
      </c>
      <c r="AQ150" s="6">
        <v>0.61260000000000003</v>
      </c>
      <c r="AR150" s="6">
        <v>0.57830000000000004</v>
      </c>
      <c r="AS150" s="6">
        <v>123</v>
      </c>
      <c r="AU150" s="17">
        <v>148</v>
      </c>
      <c r="AV150" s="6">
        <v>0.60194999999999999</v>
      </c>
      <c r="AW150" s="6">
        <v>0.61260000000000003</v>
      </c>
      <c r="AX150" s="6">
        <v>0.57830000000000004</v>
      </c>
      <c r="AY150" s="6">
        <v>123</v>
      </c>
    </row>
    <row r="151" spans="1:51" x14ac:dyDescent="0.25">
      <c r="A151" s="34" t="s">
        <v>97</v>
      </c>
      <c r="B151" s="35">
        <v>3</v>
      </c>
      <c r="C151" s="35">
        <v>19</v>
      </c>
      <c r="D151" s="35">
        <v>6</v>
      </c>
      <c r="E151" s="35">
        <v>32</v>
      </c>
      <c r="F151" s="2">
        <v>61.3</v>
      </c>
      <c r="G151">
        <v>89.451116727064644</v>
      </c>
      <c r="H151" t="s">
        <v>12</v>
      </c>
      <c r="AB151" s="17">
        <v>149</v>
      </c>
      <c r="AC151" s="6">
        <v>3.20126</v>
      </c>
      <c r="AD151" s="19">
        <v>-1.3317000000000001</v>
      </c>
      <c r="AE151" s="6">
        <v>3.0756999999999999</v>
      </c>
      <c r="AF151" s="6">
        <v>123</v>
      </c>
      <c r="AH151" s="17">
        <v>149</v>
      </c>
      <c r="AI151" s="6">
        <v>6.0881999999999996</v>
      </c>
      <c r="AJ151" s="19">
        <v>-1.3317000000000001</v>
      </c>
      <c r="AK151" s="6">
        <v>3.0756999999999999</v>
      </c>
      <c r="AL151" s="6">
        <v>123</v>
      </c>
      <c r="AO151" s="17">
        <v>149</v>
      </c>
      <c r="AP151" s="6">
        <v>1.1386700000000001</v>
      </c>
      <c r="AQ151" s="6">
        <v>2.4710999999999999</v>
      </c>
      <c r="AR151" s="6">
        <v>0.57530000000000003</v>
      </c>
      <c r="AS151" s="6">
        <v>123</v>
      </c>
      <c r="AU151" s="17">
        <v>149</v>
      </c>
      <c r="AV151" s="6">
        <v>0.59872999999999998</v>
      </c>
      <c r="AW151" s="6">
        <v>2.4710999999999999</v>
      </c>
      <c r="AX151" s="6">
        <v>0.57530000000000003</v>
      </c>
      <c r="AY151" s="6">
        <v>123</v>
      </c>
    </row>
    <row r="152" spans="1:51" x14ac:dyDescent="0.25">
      <c r="A152" s="34" t="s">
        <v>97</v>
      </c>
      <c r="B152" s="35">
        <v>1</v>
      </c>
      <c r="C152" s="35">
        <v>21</v>
      </c>
      <c r="D152" s="35">
        <v>1</v>
      </c>
      <c r="E152" s="35">
        <v>21</v>
      </c>
      <c r="F152" s="2">
        <v>59.6</v>
      </c>
      <c r="G152">
        <v>73.761600000000001</v>
      </c>
      <c r="H152">
        <v>9.8000000000000007</v>
      </c>
      <c r="AB152" s="17">
        <v>150</v>
      </c>
      <c r="AC152" s="6">
        <v>3.2002199999999998</v>
      </c>
      <c r="AD152" s="19">
        <v>-0.1658</v>
      </c>
      <c r="AE152" s="6">
        <v>3.0747</v>
      </c>
      <c r="AF152" s="6">
        <v>123</v>
      </c>
      <c r="AH152" s="17">
        <v>150</v>
      </c>
      <c r="AI152" s="6">
        <v>6.0861999999999998</v>
      </c>
      <c r="AJ152" s="19">
        <v>-0.1658</v>
      </c>
      <c r="AK152" s="6">
        <v>3.0747</v>
      </c>
      <c r="AL152" s="6">
        <v>123</v>
      </c>
      <c r="AO152" s="17">
        <v>150</v>
      </c>
      <c r="AP152" s="6">
        <v>1.14059</v>
      </c>
      <c r="AQ152" s="6">
        <v>0.94579999999999997</v>
      </c>
      <c r="AR152" s="6">
        <v>0.57620000000000005</v>
      </c>
      <c r="AS152" s="6">
        <v>123</v>
      </c>
      <c r="AU152" s="17">
        <v>150</v>
      </c>
      <c r="AV152" s="6">
        <v>0.59974000000000005</v>
      </c>
      <c r="AW152" s="6">
        <v>0.94579999999999997</v>
      </c>
      <c r="AX152" s="6">
        <v>0.57620000000000005</v>
      </c>
      <c r="AY152" s="6">
        <v>123</v>
      </c>
    </row>
    <row r="153" spans="1:51" x14ac:dyDescent="0.25">
      <c r="A153" s="34" t="s">
        <v>97</v>
      </c>
      <c r="B153" s="35">
        <v>2</v>
      </c>
      <c r="C153" s="35">
        <v>9</v>
      </c>
      <c r="D153" s="35">
        <v>3</v>
      </c>
      <c r="E153" s="35">
        <v>21</v>
      </c>
      <c r="F153" s="2">
        <v>60.4</v>
      </c>
      <c r="G153">
        <v>72.390924057355278</v>
      </c>
      <c r="H153" t="s">
        <v>12</v>
      </c>
      <c r="AB153" s="17">
        <v>151</v>
      </c>
      <c r="AC153" s="6">
        <v>3.2030099999999999</v>
      </c>
      <c r="AD153" s="6">
        <v>5.0529999999999999</v>
      </c>
      <c r="AE153" s="6">
        <v>3.0773999999999999</v>
      </c>
      <c r="AF153" s="6">
        <v>123</v>
      </c>
      <c r="AH153" s="17">
        <v>151</v>
      </c>
      <c r="AI153" s="6">
        <v>6.0914999999999999</v>
      </c>
      <c r="AJ153" s="6">
        <v>5.0529999999999999</v>
      </c>
      <c r="AK153" s="6">
        <v>3.0773999999999999</v>
      </c>
      <c r="AL153" s="6">
        <v>123</v>
      </c>
      <c r="AO153" s="17">
        <v>151</v>
      </c>
      <c r="AP153" s="6">
        <v>1.1396299999999999</v>
      </c>
      <c r="AQ153" s="6">
        <v>0.99270000000000003</v>
      </c>
      <c r="AR153" s="6">
        <v>0.57569999999999999</v>
      </c>
      <c r="AS153" s="6">
        <v>123</v>
      </c>
      <c r="AU153" s="17">
        <v>151</v>
      </c>
      <c r="AV153" s="6">
        <v>0.59923999999999999</v>
      </c>
      <c r="AW153" s="6">
        <v>0.99270000000000003</v>
      </c>
      <c r="AX153" s="6">
        <v>0.57569999999999999</v>
      </c>
      <c r="AY153" s="6">
        <v>123</v>
      </c>
    </row>
    <row r="154" spans="1:51" x14ac:dyDescent="0.25">
      <c r="A154" s="34" t="s">
        <v>97</v>
      </c>
      <c r="B154" s="35">
        <v>3</v>
      </c>
      <c r="C154" s="35">
        <v>13</v>
      </c>
      <c r="D154" s="35">
        <v>5</v>
      </c>
      <c r="E154" s="35">
        <v>21</v>
      </c>
      <c r="F154" s="2">
        <v>59.6</v>
      </c>
      <c r="G154">
        <v>77.385769393810946</v>
      </c>
      <c r="H154" t="s">
        <v>12</v>
      </c>
      <c r="AB154" s="17">
        <v>152</v>
      </c>
      <c r="AC154" s="6">
        <v>3.2099099999999998</v>
      </c>
      <c r="AD154" s="6">
        <v>2.202</v>
      </c>
      <c r="AE154" s="6">
        <v>3.0840000000000001</v>
      </c>
      <c r="AF154" s="6">
        <v>123</v>
      </c>
      <c r="AH154" s="17">
        <v>152</v>
      </c>
      <c r="AI154" s="6">
        <v>6.1045999999999996</v>
      </c>
      <c r="AJ154" s="6">
        <v>2.202</v>
      </c>
      <c r="AK154" s="6">
        <v>3.0840000000000001</v>
      </c>
      <c r="AL154" s="6">
        <v>123</v>
      </c>
      <c r="AO154" s="17">
        <v>152</v>
      </c>
      <c r="AP154" s="6">
        <v>1.14229</v>
      </c>
      <c r="AQ154" s="6">
        <v>1.2568999999999999</v>
      </c>
      <c r="AR154" s="6">
        <v>0.57709999999999995</v>
      </c>
      <c r="AS154" s="6">
        <v>123</v>
      </c>
      <c r="AU154" s="17">
        <v>152</v>
      </c>
      <c r="AV154" s="6">
        <v>0.60063999999999995</v>
      </c>
      <c r="AW154" s="6">
        <v>1.2568999999999999</v>
      </c>
      <c r="AX154" s="6">
        <v>0.57709999999999995</v>
      </c>
      <c r="AY154" s="6">
        <v>123</v>
      </c>
    </row>
    <row r="155" spans="1:51" x14ac:dyDescent="0.25">
      <c r="A155" s="34" t="s">
        <v>97</v>
      </c>
      <c r="B155" s="35">
        <v>1</v>
      </c>
      <c r="C155" s="35">
        <v>8</v>
      </c>
      <c r="D155" s="35">
        <v>1</v>
      </c>
      <c r="E155" s="35">
        <v>29</v>
      </c>
      <c r="F155" s="2">
        <v>60.2</v>
      </c>
      <c r="G155">
        <v>69.954531428571428</v>
      </c>
      <c r="H155">
        <v>9.1</v>
      </c>
      <c r="AB155" s="17">
        <v>153</v>
      </c>
      <c r="AC155" s="6">
        <v>3.2184499999999998</v>
      </c>
      <c r="AD155" s="19">
        <v>-9.4976000000000003</v>
      </c>
      <c r="AE155" s="6">
        <v>3.0922000000000001</v>
      </c>
      <c r="AF155" s="6">
        <v>123</v>
      </c>
      <c r="AH155" s="17">
        <v>153</v>
      </c>
      <c r="AI155" s="6">
        <v>6.1208999999999998</v>
      </c>
      <c r="AJ155" s="19">
        <v>-9.4976000000000003</v>
      </c>
      <c r="AK155" s="6">
        <v>3.0922000000000001</v>
      </c>
      <c r="AL155" s="6">
        <v>123</v>
      </c>
      <c r="AO155" s="17">
        <v>153</v>
      </c>
      <c r="AP155" s="6">
        <v>1.14828</v>
      </c>
      <c r="AQ155" s="19">
        <v>-0.86880000000000002</v>
      </c>
      <c r="AR155" s="6">
        <v>0.58009999999999995</v>
      </c>
      <c r="AS155" s="6">
        <v>123</v>
      </c>
      <c r="AU155" s="17">
        <v>153</v>
      </c>
      <c r="AV155" s="6">
        <v>0.60379000000000005</v>
      </c>
      <c r="AW155" s="19">
        <v>-0.86880000000000002</v>
      </c>
      <c r="AX155" s="6">
        <v>0.58009999999999995</v>
      </c>
      <c r="AY155" s="6">
        <v>123</v>
      </c>
    </row>
    <row r="156" spans="1:51" x14ac:dyDescent="0.25">
      <c r="A156" s="34" t="s">
        <v>97</v>
      </c>
      <c r="B156" s="35">
        <v>2</v>
      </c>
      <c r="C156" s="35">
        <v>17</v>
      </c>
      <c r="D156" s="35">
        <v>3</v>
      </c>
      <c r="E156" s="35">
        <v>29</v>
      </c>
      <c r="F156" s="2">
        <v>59.5</v>
      </c>
      <c r="G156">
        <v>68.498268720127442</v>
      </c>
      <c r="H156" t="s">
        <v>12</v>
      </c>
      <c r="AB156" s="17">
        <v>154</v>
      </c>
      <c r="AC156" s="6">
        <v>3.2114699999999998</v>
      </c>
      <c r="AD156" s="19">
        <v>-5.2378</v>
      </c>
      <c r="AE156" s="6">
        <v>3.0855000000000001</v>
      </c>
      <c r="AF156" s="6">
        <v>123</v>
      </c>
      <c r="AH156" s="17">
        <v>154</v>
      </c>
      <c r="AI156" s="6">
        <v>6.1075999999999997</v>
      </c>
      <c r="AJ156" s="19">
        <v>-5.2378</v>
      </c>
      <c r="AK156" s="6">
        <v>3.0855000000000001</v>
      </c>
      <c r="AL156" s="6">
        <v>123</v>
      </c>
      <c r="AO156" s="17">
        <v>154</v>
      </c>
      <c r="AP156" s="6">
        <v>1.1373899999999999</v>
      </c>
      <c r="AQ156" s="6">
        <v>0.56989999999999996</v>
      </c>
      <c r="AR156" s="6">
        <v>0.5746</v>
      </c>
      <c r="AS156" s="6">
        <v>123</v>
      </c>
      <c r="AU156" s="17">
        <v>154</v>
      </c>
      <c r="AV156" s="6">
        <v>0.59806000000000004</v>
      </c>
      <c r="AW156" s="6">
        <v>0.56989999999999996</v>
      </c>
      <c r="AX156" s="6">
        <v>0.5746</v>
      </c>
      <c r="AY156" s="6">
        <v>123</v>
      </c>
    </row>
    <row r="157" spans="1:51" x14ac:dyDescent="0.25">
      <c r="A157" s="34" t="s">
        <v>97</v>
      </c>
      <c r="B157" s="35">
        <v>3</v>
      </c>
      <c r="C157" s="35">
        <v>9</v>
      </c>
      <c r="D157" s="35">
        <v>6</v>
      </c>
      <c r="E157" s="35">
        <v>29</v>
      </c>
      <c r="F157" s="2">
        <v>60</v>
      </c>
      <c r="G157">
        <v>66.548940492084682</v>
      </c>
      <c r="H157" t="s">
        <v>12</v>
      </c>
      <c r="AB157" s="17">
        <v>155</v>
      </c>
      <c r="AC157" s="6">
        <v>3.2264499999999998</v>
      </c>
      <c r="AD157" s="19">
        <v>-4.1383999999999999</v>
      </c>
      <c r="AE157" s="6">
        <v>3.0998999999999999</v>
      </c>
      <c r="AF157" s="6">
        <v>123</v>
      </c>
      <c r="AH157" s="17">
        <v>155</v>
      </c>
      <c r="AI157" s="6">
        <v>6.1360999999999999</v>
      </c>
      <c r="AJ157" s="19">
        <v>-4.1383999999999999</v>
      </c>
      <c r="AK157" s="6">
        <v>3.0998999999999999</v>
      </c>
      <c r="AL157" s="6">
        <v>123</v>
      </c>
      <c r="AO157" s="17">
        <v>155</v>
      </c>
      <c r="AP157" s="6">
        <v>1.14608</v>
      </c>
      <c r="AQ157" s="6">
        <v>1.2397</v>
      </c>
      <c r="AR157" s="6">
        <v>0.57899999999999996</v>
      </c>
      <c r="AS157" s="6">
        <v>123</v>
      </c>
      <c r="AU157" s="17">
        <v>155</v>
      </c>
      <c r="AV157" s="6">
        <v>0.60263</v>
      </c>
      <c r="AW157" s="6">
        <v>1.2397</v>
      </c>
      <c r="AX157" s="6">
        <v>0.57899999999999996</v>
      </c>
      <c r="AY157" s="6">
        <v>123</v>
      </c>
    </row>
    <row r="158" spans="1:51" x14ac:dyDescent="0.25">
      <c r="A158" s="34" t="s">
        <v>97</v>
      </c>
      <c r="B158" s="35">
        <v>1</v>
      </c>
      <c r="C158" s="35">
        <v>14</v>
      </c>
      <c r="D158" s="35">
        <v>2</v>
      </c>
      <c r="E158" s="35">
        <v>22</v>
      </c>
      <c r="F158" s="2">
        <v>61</v>
      </c>
      <c r="G158">
        <v>72.112126245847165</v>
      </c>
      <c r="H158">
        <v>11</v>
      </c>
      <c r="AB158" s="17">
        <v>156</v>
      </c>
      <c r="AC158" s="6">
        <v>3.2379600000000002</v>
      </c>
      <c r="AD158" s="19">
        <v>-8.2859999999999996</v>
      </c>
      <c r="AE158" s="6">
        <v>3.1110000000000002</v>
      </c>
      <c r="AF158" s="6">
        <v>123</v>
      </c>
      <c r="AH158" s="17">
        <v>156</v>
      </c>
      <c r="AI158" s="6">
        <v>6.1580000000000004</v>
      </c>
      <c r="AJ158" s="19">
        <v>-8.2859999999999996</v>
      </c>
      <c r="AK158" s="6">
        <v>3.1110000000000002</v>
      </c>
      <c r="AL158" s="6">
        <v>123</v>
      </c>
      <c r="AO158" s="17">
        <v>156</v>
      </c>
      <c r="AP158" s="6">
        <v>1.1545399999999999</v>
      </c>
      <c r="AQ158" s="6">
        <v>0.29820000000000002</v>
      </c>
      <c r="AR158" s="6">
        <v>0.58330000000000004</v>
      </c>
      <c r="AS158" s="6">
        <v>123</v>
      </c>
      <c r="AU158" s="17">
        <v>156</v>
      </c>
      <c r="AV158" s="6">
        <v>0.60707999999999995</v>
      </c>
      <c r="AW158" s="6">
        <v>0.29820000000000002</v>
      </c>
      <c r="AX158" s="6">
        <v>0.58330000000000004</v>
      </c>
      <c r="AY158" s="6">
        <v>123</v>
      </c>
    </row>
    <row r="159" spans="1:51" x14ac:dyDescent="0.25">
      <c r="A159" s="34" t="s">
        <v>97</v>
      </c>
      <c r="B159" s="35">
        <v>2</v>
      </c>
      <c r="C159" s="35">
        <v>18</v>
      </c>
      <c r="D159" s="35">
        <v>4</v>
      </c>
      <c r="E159" s="35">
        <v>22</v>
      </c>
      <c r="F159" s="2">
        <v>61.1</v>
      </c>
      <c r="G159">
        <v>72.20047219558964</v>
      </c>
      <c r="H159" t="s">
        <v>12</v>
      </c>
      <c r="AB159" s="17">
        <v>157</v>
      </c>
      <c r="AC159" s="6">
        <v>3.2157499999999999</v>
      </c>
      <c r="AD159" s="6">
        <v>0.75939999999999996</v>
      </c>
      <c r="AE159" s="6">
        <v>3.0895999999999999</v>
      </c>
      <c r="AF159" s="6">
        <v>123</v>
      </c>
      <c r="AH159" s="17">
        <v>157</v>
      </c>
      <c r="AI159" s="6">
        <v>6.1157000000000004</v>
      </c>
      <c r="AJ159" s="6">
        <v>0.75939999999999996</v>
      </c>
      <c r="AK159" s="6">
        <v>3.0895999999999999</v>
      </c>
      <c r="AL159" s="6">
        <v>123</v>
      </c>
      <c r="AO159" s="17">
        <v>157</v>
      </c>
      <c r="AP159" s="6">
        <v>1.14846</v>
      </c>
      <c r="AQ159" s="19">
        <v>-0.254</v>
      </c>
      <c r="AR159" s="6">
        <v>0.58020000000000005</v>
      </c>
      <c r="AS159" s="6">
        <v>123</v>
      </c>
      <c r="AU159" s="17">
        <v>157</v>
      </c>
      <c r="AV159" s="6">
        <v>0.60387999999999997</v>
      </c>
      <c r="AW159" s="19">
        <v>-0.254</v>
      </c>
      <c r="AX159" s="6">
        <v>0.58020000000000005</v>
      </c>
      <c r="AY159" s="6">
        <v>123</v>
      </c>
    </row>
    <row r="160" spans="1:51" x14ac:dyDescent="0.25">
      <c r="A160" s="34" t="s">
        <v>97</v>
      </c>
      <c r="B160" s="35">
        <v>3</v>
      </c>
      <c r="C160" s="35">
        <v>11</v>
      </c>
      <c r="D160" s="35">
        <v>6</v>
      </c>
      <c r="E160" s="35">
        <v>22</v>
      </c>
      <c r="F160" s="2">
        <v>61.1</v>
      </c>
      <c r="G160">
        <v>71.949189395384323</v>
      </c>
      <c r="H160" t="s">
        <v>12</v>
      </c>
      <c r="AB160" s="17">
        <v>158</v>
      </c>
      <c r="AC160" s="6">
        <v>3.20547</v>
      </c>
      <c r="AD160" s="19">
        <v>-5.4630999999999998</v>
      </c>
      <c r="AE160" s="6">
        <v>3.0798000000000001</v>
      </c>
      <c r="AF160" s="6">
        <v>123</v>
      </c>
      <c r="AH160" s="17">
        <v>158</v>
      </c>
      <c r="AI160" s="6">
        <v>6.0961999999999996</v>
      </c>
      <c r="AJ160" s="19">
        <v>-5.4630999999999998</v>
      </c>
      <c r="AK160" s="6">
        <v>3.0798000000000001</v>
      </c>
      <c r="AL160" s="6">
        <v>123</v>
      </c>
      <c r="AO160" s="17">
        <v>158</v>
      </c>
      <c r="AP160" s="6">
        <v>1.14218</v>
      </c>
      <c r="AQ160" s="19">
        <v>-0.1986</v>
      </c>
      <c r="AR160" s="6">
        <v>0.57699999999999996</v>
      </c>
      <c r="AS160" s="6">
        <v>123</v>
      </c>
      <c r="AU160" s="17">
        <v>158</v>
      </c>
      <c r="AV160" s="6">
        <v>0.60058</v>
      </c>
      <c r="AW160" s="19">
        <v>-0.1986</v>
      </c>
      <c r="AX160" s="6">
        <v>0.57699999999999996</v>
      </c>
      <c r="AY160" s="6">
        <v>123</v>
      </c>
    </row>
    <row r="161" spans="1:51" x14ac:dyDescent="0.25">
      <c r="A161" s="34" t="s">
        <v>97</v>
      </c>
      <c r="B161" s="35">
        <v>1</v>
      </c>
      <c r="C161" s="35">
        <v>2</v>
      </c>
      <c r="D161" s="35">
        <v>1</v>
      </c>
      <c r="E161" s="35">
        <v>18</v>
      </c>
      <c r="F161" s="2">
        <v>60</v>
      </c>
      <c r="G161">
        <v>82.356685714285703</v>
      </c>
      <c r="H161">
        <v>9</v>
      </c>
      <c r="AB161" s="17">
        <v>159</v>
      </c>
      <c r="AC161" s="6">
        <v>3.2080199999999999</v>
      </c>
      <c r="AD161" s="19">
        <v>-3.6141999999999999</v>
      </c>
      <c r="AE161" s="6">
        <v>3.0821999999999998</v>
      </c>
      <c r="AF161" s="6">
        <v>123</v>
      </c>
      <c r="AH161" s="17">
        <v>159</v>
      </c>
      <c r="AI161" s="6">
        <v>6.101</v>
      </c>
      <c r="AJ161" s="19">
        <v>-3.6141999999999999</v>
      </c>
      <c r="AK161" s="6">
        <v>3.0821999999999998</v>
      </c>
      <c r="AL161" s="6">
        <v>123</v>
      </c>
      <c r="AO161" s="17">
        <v>159</v>
      </c>
      <c r="AP161" s="6">
        <v>1.1411800000000001</v>
      </c>
      <c r="AQ161" s="19">
        <v>-0.65839999999999999</v>
      </c>
      <c r="AR161" s="6">
        <v>0.57650000000000001</v>
      </c>
      <c r="AS161" s="6">
        <v>123</v>
      </c>
      <c r="AU161" s="17">
        <v>159</v>
      </c>
      <c r="AV161" s="6">
        <v>0.60004999999999997</v>
      </c>
      <c r="AW161" s="19">
        <v>-0.65839999999999999</v>
      </c>
      <c r="AX161" s="6">
        <v>0.57650000000000001</v>
      </c>
      <c r="AY161" s="6">
        <v>123</v>
      </c>
    </row>
    <row r="162" spans="1:51" x14ac:dyDescent="0.25">
      <c r="A162" s="34" t="s">
        <v>97</v>
      </c>
      <c r="B162" s="35">
        <v>2</v>
      </c>
      <c r="C162" s="35">
        <v>20</v>
      </c>
      <c r="D162" s="35">
        <v>3</v>
      </c>
      <c r="E162" s="35">
        <v>18</v>
      </c>
      <c r="F162" s="2" t="s">
        <v>12</v>
      </c>
      <c r="G162" t="s">
        <v>12</v>
      </c>
      <c r="H162" t="s">
        <v>12</v>
      </c>
      <c r="AB162" s="17">
        <v>160</v>
      </c>
      <c r="AC162" s="6">
        <v>3.2496900000000002</v>
      </c>
      <c r="AD162" s="6">
        <v>3.3384</v>
      </c>
      <c r="AE162" s="6">
        <v>3.1221999999999999</v>
      </c>
      <c r="AF162" s="6">
        <v>123</v>
      </c>
      <c r="AH162" s="17">
        <v>160</v>
      </c>
      <c r="AI162" s="6">
        <v>6.1802999999999999</v>
      </c>
      <c r="AJ162" s="6">
        <v>3.3384</v>
      </c>
      <c r="AK162" s="6">
        <v>3.1221999999999999</v>
      </c>
      <c r="AL162" s="6">
        <v>123</v>
      </c>
      <c r="AO162" s="17">
        <v>160</v>
      </c>
      <c r="AP162" s="6">
        <v>1.1620200000000001</v>
      </c>
      <c r="AQ162" s="6">
        <v>1.6468</v>
      </c>
      <c r="AR162" s="6">
        <v>0.58699999999999997</v>
      </c>
      <c r="AS162" s="6">
        <v>123</v>
      </c>
      <c r="AU162" s="17">
        <v>160</v>
      </c>
      <c r="AV162" s="6">
        <v>0.61101000000000005</v>
      </c>
      <c r="AW162" s="6">
        <v>1.6468</v>
      </c>
      <c r="AX162" s="6">
        <v>0.58699999999999997</v>
      </c>
      <c r="AY162" s="6">
        <v>123</v>
      </c>
    </row>
    <row r="163" spans="1:51" x14ac:dyDescent="0.25">
      <c r="A163" s="34" t="s">
        <v>97</v>
      </c>
      <c r="B163" s="35">
        <v>3</v>
      </c>
      <c r="C163" s="35">
        <v>5</v>
      </c>
      <c r="D163" s="35">
        <v>6</v>
      </c>
      <c r="E163" s="35">
        <v>18</v>
      </c>
      <c r="F163" s="2">
        <v>60.4</v>
      </c>
      <c r="G163">
        <v>79.774777798970035</v>
      </c>
      <c r="H163" t="s">
        <v>12</v>
      </c>
      <c r="AB163" s="17">
        <v>161</v>
      </c>
      <c r="AC163" s="6">
        <v>3.2389800000000002</v>
      </c>
      <c r="AD163" s="19">
        <v>-2.9893999999999998</v>
      </c>
      <c r="AE163" s="6">
        <v>3.1118999999999999</v>
      </c>
      <c r="AF163" s="6">
        <v>123</v>
      </c>
      <c r="AH163" s="17">
        <v>161</v>
      </c>
      <c r="AI163" s="6">
        <v>6.1599000000000004</v>
      </c>
      <c r="AJ163" s="19">
        <v>-2.9893999999999998</v>
      </c>
      <c r="AK163" s="6">
        <v>3.1118999999999999</v>
      </c>
      <c r="AL163" s="6">
        <v>123</v>
      </c>
      <c r="AO163" s="17">
        <v>161</v>
      </c>
      <c r="AP163" s="6">
        <v>1.15612</v>
      </c>
      <c r="AQ163" s="19">
        <v>-0.71550000000000002</v>
      </c>
      <c r="AR163" s="6">
        <v>0.58409999999999995</v>
      </c>
      <c r="AS163" s="6">
        <v>123</v>
      </c>
      <c r="AU163" s="17">
        <v>161</v>
      </c>
      <c r="AV163" s="6">
        <v>0.60790999999999995</v>
      </c>
      <c r="AW163" s="19">
        <v>-0.71550000000000002</v>
      </c>
      <c r="AX163" s="6">
        <v>0.58409999999999995</v>
      </c>
      <c r="AY163" s="6">
        <v>123</v>
      </c>
    </row>
    <row r="164" spans="1:51" x14ac:dyDescent="0.25">
      <c r="A164" s="34" t="s">
        <v>97</v>
      </c>
      <c r="B164" s="35">
        <v>1</v>
      </c>
      <c r="C164" s="35">
        <v>17</v>
      </c>
      <c r="D164" s="35">
        <v>2</v>
      </c>
      <c r="E164" s="35">
        <v>14</v>
      </c>
      <c r="F164" s="2">
        <v>61.2</v>
      </c>
      <c r="G164">
        <v>80.488873320814676</v>
      </c>
      <c r="H164">
        <v>9.8000000000000007</v>
      </c>
      <c r="AB164" s="17">
        <v>162</v>
      </c>
      <c r="AC164" s="6">
        <v>3.2334299999999998</v>
      </c>
      <c r="AD164" s="6">
        <v>7.8003999999999998</v>
      </c>
      <c r="AE164" s="6">
        <v>3.1065999999999998</v>
      </c>
      <c r="AF164" s="6">
        <v>123</v>
      </c>
      <c r="AH164" s="17">
        <v>162</v>
      </c>
      <c r="AI164" s="6">
        <v>6.1493000000000002</v>
      </c>
      <c r="AJ164" s="6">
        <v>7.8003999999999998</v>
      </c>
      <c r="AK164" s="6">
        <v>3.1065999999999998</v>
      </c>
      <c r="AL164" s="6">
        <v>123</v>
      </c>
      <c r="AO164" s="17">
        <v>162</v>
      </c>
      <c r="AP164" s="6">
        <v>1.1512899999999999</v>
      </c>
      <c r="AQ164" s="6">
        <v>1.9614</v>
      </c>
      <c r="AR164" s="6">
        <v>0.58160000000000001</v>
      </c>
      <c r="AS164" s="6">
        <v>123</v>
      </c>
      <c r="AU164" s="17">
        <v>162</v>
      </c>
      <c r="AV164" s="6">
        <v>0.60536999999999996</v>
      </c>
      <c r="AW164" s="6">
        <v>1.9614</v>
      </c>
      <c r="AX164" s="6">
        <v>0.58160000000000001</v>
      </c>
      <c r="AY164" s="6">
        <v>123</v>
      </c>
    </row>
    <row r="165" spans="1:51" x14ac:dyDescent="0.25">
      <c r="A165" s="34" t="s">
        <v>97</v>
      </c>
      <c r="B165" s="35">
        <v>2</v>
      </c>
      <c r="C165" s="35">
        <v>10</v>
      </c>
      <c r="D165" s="35">
        <v>4</v>
      </c>
      <c r="E165" s="35">
        <v>14</v>
      </c>
      <c r="F165" s="2">
        <v>62.2</v>
      </c>
      <c r="G165">
        <v>84.333999520613602</v>
      </c>
      <c r="H165" t="s">
        <v>12</v>
      </c>
      <c r="AB165" s="17">
        <v>163</v>
      </c>
      <c r="AC165" s="6">
        <v>3.1915</v>
      </c>
      <c r="AD165" s="6">
        <v>5.5732999999999997</v>
      </c>
      <c r="AE165" s="6">
        <v>3.0663</v>
      </c>
      <c r="AF165" s="6">
        <v>123</v>
      </c>
      <c r="AH165" s="17">
        <v>163</v>
      </c>
      <c r="AI165" s="6">
        <v>6.0696000000000003</v>
      </c>
      <c r="AJ165" s="6">
        <v>5.5732999999999997</v>
      </c>
      <c r="AK165" s="6">
        <v>3.0663</v>
      </c>
      <c r="AL165" s="6">
        <v>123</v>
      </c>
      <c r="AO165" s="17">
        <v>163</v>
      </c>
      <c r="AP165" s="6">
        <v>1.1369400000000001</v>
      </c>
      <c r="AQ165" s="6">
        <v>1.7585</v>
      </c>
      <c r="AR165" s="6">
        <v>0.57440000000000002</v>
      </c>
      <c r="AS165" s="6">
        <v>123</v>
      </c>
      <c r="AU165" s="17">
        <v>163</v>
      </c>
      <c r="AV165" s="6">
        <v>0.59782000000000002</v>
      </c>
      <c r="AW165" s="6">
        <v>1.7585</v>
      </c>
      <c r="AX165" s="6">
        <v>0.57440000000000002</v>
      </c>
      <c r="AY165" s="6">
        <v>123</v>
      </c>
    </row>
    <row r="166" spans="1:51" x14ac:dyDescent="0.25">
      <c r="A166" s="34" t="s">
        <v>97</v>
      </c>
      <c r="B166" s="35">
        <v>3</v>
      </c>
      <c r="C166" s="35">
        <v>1</v>
      </c>
      <c r="D166" s="35">
        <v>6</v>
      </c>
      <c r="E166" s="35">
        <v>14</v>
      </c>
      <c r="F166" s="2">
        <v>61.6</v>
      </c>
      <c r="G166">
        <v>84.149622353614333</v>
      </c>
      <c r="H166" t="s">
        <v>12</v>
      </c>
      <c r="AB166" s="17">
        <v>164</v>
      </c>
      <c r="AC166" s="6">
        <v>3.20587</v>
      </c>
      <c r="AD166" s="19">
        <v>-3.3769</v>
      </c>
      <c r="AE166" s="6">
        <v>3.0800999999999998</v>
      </c>
      <c r="AF166" s="6">
        <v>123</v>
      </c>
      <c r="AH166" s="17">
        <v>164</v>
      </c>
      <c r="AI166" s="6">
        <v>6.0968999999999998</v>
      </c>
      <c r="AJ166" s="19">
        <v>-3.3769</v>
      </c>
      <c r="AK166" s="6">
        <v>3.0800999999999998</v>
      </c>
      <c r="AL166" s="6">
        <v>123</v>
      </c>
      <c r="AO166" s="17">
        <v>164</v>
      </c>
      <c r="AP166" s="6">
        <v>1.1410400000000001</v>
      </c>
      <c r="AQ166" s="6">
        <v>0.41420000000000001</v>
      </c>
      <c r="AR166" s="6">
        <v>0.57640000000000002</v>
      </c>
      <c r="AS166" s="6">
        <v>123</v>
      </c>
      <c r="AU166" s="17">
        <v>164</v>
      </c>
      <c r="AV166" s="6">
        <v>0.59997999999999996</v>
      </c>
      <c r="AW166" s="6">
        <v>0.41420000000000001</v>
      </c>
      <c r="AX166" s="6">
        <v>0.57640000000000002</v>
      </c>
      <c r="AY166" s="6">
        <v>123</v>
      </c>
    </row>
    <row r="167" spans="1:51" x14ac:dyDescent="0.25">
      <c r="A167" s="34" t="s">
        <v>97</v>
      </c>
      <c r="B167" s="35">
        <v>1</v>
      </c>
      <c r="C167" s="35">
        <v>15</v>
      </c>
      <c r="D167" s="35">
        <v>2</v>
      </c>
      <c r="E167" s="35">
        <v>15</v>
      </c>
      <c r="F167" s="2">
        <v>59.7</v>
      </c>
      <c r="G167">
        <v>84.050327892532124</v>
      </c>
      <c r="H167">
        <v>9.8000000000000007</v>
      </c>
      <c r="AB167" s="17">
        <v>165</v>
      </c>
      <c r="AC167" s="6">
        <v>3.2116699999999998</v>
      </c>
      <c r="AD167" s="19">
        <v>-0.90959999999999996</v>
      </c>
      <c r="AE167" s="6">
        <v>3.0857000000000001</v>
      </c>
      <c r="AF167" s="6">
        <v>123</v>
      </c>
      <c r="AH167" s="17">
        <v>165</v>
      </c>
      <c r="AI167" s="6">
        <v>6.1079999999999997</v>
      </c>
      <c r="AJ167" s="19">
        <v>-0.90959999999999996</v>
      </c>
      <c r="AK167" s="6">
        <v>3.0857000000000001</v>
      </c>
      <c r="AL167" s="6">
        <v>123</v>
      </c>
      <c r="AO167" s="17">
        <v>165</v>
      </c>
      <c r="AP167" s="6">
        <v>1.1404300000000001</v>
      </c>
      <c r="AQ167" s="6">
        <v>0.62490000000000001</v>
      </c>
      <c r="AR167" s="6">
        <v>0.57609999999999995</v>
      </c>
      <c r="AS167" s="6">
        <v>123</v>
      </c>
      <c r="AU167" s="17">
        <v>165</v>
      </c>
      <c r="AV167" s="6">
        <v>0.59965999999999997</v>
      </c>
      <c r="AW167" s="6">
        <v>0.62490000000000001</v>
      </c>
      <c r="AX167" s="6">
        <v>0.57609999999999995</v>
      </c>
      <c r="AY167" s="6">
        <v>123</v>
      </c>
    </row>
    <row r="168" spans="1:51" x14ac:dyDescent="0.25">
      <c r="A168" s="34" t="s">
        <v>97</v>
      </c>
      <c r="B168" s="35">
        <v>2</v>
      </c>
      <c r="C168" s="35">
        <v>8</v>
      </c>
      <c r="D168" s="35">
        <v>3</v>
      </c>
      <c r="E168" s="35">
        <v>15</v>
      </c>
      <c r="F168" s="2">
        <v>59.7</v>
      </c>
      <c r="G168">
        <v>81.844795539033456</v>
      </c>
      <c r="H168" t="s">
        <v>12</v>
      </c>
      <c r="AB168" s="17">
        <v>166</v>
      </c>
      <c r="AC168" s="6">
        <v>5.0884400000000003</v>
      </c>
      <c r="AD168" s="6">
        <v>8.0459999999999994</v>
      </c>
      <c r="AE168" s="6">
        <v>4.8888999999999996</v>
      </c>
      <c r="AF168" s="6">
        <v>123</v>
      </c>
      <c r="AH168" s="17">
        <v>166</v>
      </c>
      <c r="AI168" s="6">
        <v>9.6771999999999991</v>
      </c>
      <c r="AJ168" s="6">
        <v>8.0459999999999994</v>
      </c>
      <c r="AK168" s="6">
        <v>4.8888999999999996</v>
      </c>
      <c r="AL168" s="6">
        <v>123</v>
      </c>
      <c r="AO168" s="17">
        <v>166</v>
      </c>
      <c r="AP168" s="6">
        <v>1.8062</v>
      </c>
      <c r="AQ168" s="6">
        <v>1.1420999999999999</v>
      </c>
      <c r="AR168" s="6">
        <v>0.91249999999999998</v>
      </c>
      <c r="AS168" s="6">
        <v>123</v>
      </c>
      <c r="AU168" s="17">
        <v>166</v>
      </c>
      <c r="AV168" s="6">
        <v>0.94972999999999996</v>
      </c>
      <c r="AW168" s="6">
        <v>1.1420999999999999</v>
      </c>
      <c r="AX168" s="6">
        <v>0.91249999999999998</v>
      </c>
      <c r="AY168" s="6">
        <v>123</v>
      </c>
    </row>
    <row r="169" spans="1:51" x14ac:dyDescent="0.25">
      <c r="A169" s="34" t="s">
        <v>97</v>
      </c>
      <c r="B169" s="35">
        <v>3</v>
      </c>
      <c r="C169" s="35">
        <v>20</v>
      </c>
      <c r="D169" s="35">
        <v>6</v>
      </c>
      <c r="E169" s="35">
        <v>15</v>
      </c>
      <c r="F169" s="2">
        <v>57.5</v>
      </c>
      <c r="G169">
        <v>91.037609193209988</v>
      </c>
      <c r="H169" t="s">
        <v>12</v>
      </c>
      <c r="AB169" s="17">
        <v>167</v>
      </c>
      <c r="AC169" s="6">
        <v>3.1915100000000001</v>
      </c>
      <c r="AD169" s="19">
        <v>-0.67249999999999999</v>
      </c>
      <c r="AE169" s="6">
        <v>3.0663</v>
      </c>
      <c r="AF169" s="6">
        <v>123</v>
      </c>
      <c r="AH169" s="17">
        <v>167</v>
      </c>
      <c r="AI169" s="6">
        <v>6.0696000000000003</v>
      </c>
      <c r="AJ169" s="19">
        <v>-0.67249999999999999</v>
      </c>
      <c r="AK169" s="6">
        <v>3.0663</v>
      </c>
      <c r="AL169" s="6">
        <v>123</v>
      </c>
      <c r="AO169" s="17">
        <v>167</v>
      </c>
      <c r="AP169" s="6">
        <v>1.1382300000000001</v>
      </c>
      <c r="AQ169" s="19">
        <v>-1.9495</v>
      </c>
      <c r="AR169" s="6">
        <v>0.57499999999999996</v>
      </c>
      <c r="AS169" s="6">
        <v>123</v>
      </c>
      <c r="AU169" s="17">
        <v>167</v>
      </c>
      <c r="AV169" s="6">
        <v>0.59850000000000003</v>
      </c>
      <c r="AW169" s="19">
        <v>-1.9495</v>
      </c>
      <c r="AX169" s="6">
        <v>0.57499999999999996</v>
      </c>
      <c r="AY169" s="6">
        <v>123</v>
      </c>
    </row>
    <row r="170" spans="1:51" x14ac:dyDescent="0.25">
      <c r="A170" s="34" t="s">
        <v>97</v>
      </c>
      <c r="B170" s="35">
        <v>1</v>
      </c>
      <c r="C170" s="35">
        <v>5</v>
      </c>
      <c r="D170" s="35">
        <v>1</v>
      </c>
      <c r="E170" s="35">
        <v>16</v>
      </c>
      <c r="F170" s="2">
        <v>61.8</v>
      </c>
      <c r="G170">
        <v>76.167771428571413</v>
      </c>
      <c r="H170">
        <v>11</v>
      </c>
      <c r="AB170" s="17">
        <v>168</v>
      </c>
      <c r="AC170" s="6">
        <v>3.2139899999999999</v>
      </c>
      <c r="AD170" s="6">
        <v>10.221</v>
      </c>
      <c r="AE170" s="6">
        <v>3.0878999999999999</v>
      </c>
      <c r="AF170" s="6">
        <v>123</v>
      </c>
      <c r="AH170" s="17">
        <v>168</v>
      </c>
      <c r="AI170" s="6">
        <v>6.1124000000000001</v>
      </c>
      <c r="AJ170" s="6">
        <v>10.221</v>
      </c>
      <c r="AK170" s="6">
        <v>3.0878999999999999</v>
      </c>
      <c r="AL170" s="6">
        <v>123</v>
      </c>
      <c r="AO170" s="17">
        <v>168</v>
      </c>
      <c r="AP170" s="6">
        <v>1.1408199999999999</v>
      </c>
      <c r="AQ170" s="19">
        <v>-2.1166</v>
      </c>
      <c r="AR170" s="6">
        <v>0.57630000000000003</v>
      </c>
      <c r="AS170" s="6">
        <v>123</v>
      </c>
      <c r="AU170" s="17">
        <v>168</v>
      </c>
      <c r="AV170" s="6">
        <v>0.59985999999999995</v>
      </c>
      <c r="AW170" s="19">
        <v>-2.1166</v>
      </c>
      <c r="AX170" s="6">
        <v>0.57630000000000003</v>
      </c>
      <c r="AY170" s="6">
        <v>123</v>
      </c>
    </row>
    <row r="171" spans="1:51" x14ac:dyDescent="0.25">
      <c r="A171" s="34" t="s">
        <v>97</v>
      </c>
      <c r="B171" s="35">
        <v>2</v>
      </c>
      <c r="C171" s="35">
        <v>4</v>
      </c>
      <c r="D171" s="35">
        <v>3</v>
      </c>
      <c r="E171" s="35">
        <v>16</v>
      </c>
      <c r="F171" s="2">
        <v>62.3</v>
      </c>
      <c r="G171">
        <v>71.303515666489631</v>
      </c>
      <c r="H171" t="s">
        <v>12</v>
      </c>
      <c r="AB171" s="17">
        <v>169</v>
      </c>
      <c r="AC171" s="6">
        <v>3.1944599999999999</v>
      </c>
      <c r="AD171" s="19">
        <v>-5.2698999999999998</v>
      </c>
      <c r="AE171" s="6">
        <v>3.0691999999999999</v>
      </c>
      <c r="AF171" s="6">
        <v>123</v>
      </c>
      <c r="AH171" s="17">
        <v>169</v>
      </c>
      <c r="AI171" s="6">
        <v>6.0751999999999997</v>
      </c>
      <c r="AJ171" s="19">
        <v>-5.2698999999999998</v>
      </c>
      <c r="AK171" s="6">
        <v>3.0691999999999999</v>
      </c>
      <c r="AL171" s="6">
        <v>123</v>
      </c>
      <c r="AO171" s="17">
        <v>169</v>
      </c>
      <c r="AP171" s="6">
        <v>1.1422399999999999</v>
      </c>
      <c r="AQ171" s="19">
        <v>-3.1995</v>
      </c>
      <c r="AR171" s="6">
        <v>0.57709999999999995</v>
      </c>
      <c r="AS171" s="6">
        <v>123</v>
      </c>
      <c r="AU171" s="17">
        <v>169</v>
      </c>
      <c r="AV171" s="6">
        <v>0.60060999999999998</v>
      </c>
      <c r="AW171" s="19">
        <v>-3.1995</v>
      </c>
      <c r="AX171" s="6">
        <v>0.57709999999999995</v>
      </c>
      <c r="AY171" s="6">
        <v>123</v>
      </c>
    </row>
    <row r="172" spans="1:51" x14ac:dyDescent="0.25">
      <c r="A172" s="34" t="s">
        <v>97</v>
      </c>
      <c r="B172" s="35">
        <v>3</v>
      </c>
      <c r="C172" s="35">
        <v>14</v>
      </c>
      <c r="D172" s="35">
        <v>5</v>
      </c>
      <c r="E172" s="35">
        <v>16</v>
      </c>
      <c r="F172" s="2">
        <v>61.7</v>
      </c>
      <c r="G172">
        <v>70.616083086053422</v>
      </c>
      <c r="H172" t="s">
        <v>12</v>
      </c>
      <c r="AB172" s="17">
        <v>170</v>
      </c>
      <c r="AC172" s="6">
        <v>3.1951499999999999</v>
      </c>
      <c r="AD172" s="6">
        <v>3.726</v>
      </c>
      <c r="AE172" s="6">
        <v>3.0697999999999999</v>
      </c>
      <c r="AF172" s="6">
        <v>123</v>
      </c>
      <c r="AH172" s="17">
        <v>170</v>
      </c>
      <c r="AI172" s="6">
        <v>6.0766</v>
      </c>
      <c r="AJ172" s="6">
        <v>3.726</v>
      </c>
      <c r="AK172" s="6">
        <v>3.0697999999999999</v>
      </c>
      <c r="AL172" s="6">
        <v>123</v>
      </c>
      <c r="AO172" s="17">
        <v>170</v>
      </c>
      <c r="AP172" s="6">
        <v>1.1496599999999999</v>
      </c>
      <c r="AQ172" s="19">
        <v>-3.29E-3</v>
      </c>
      <c r="AR172" s="6">
        <v>0.58079999999999998</v>
      </c>
      <c r="AS172" s="6">
        <v>123</v>
      </c>
      <c r="AU172" s="17">
        <v>170</v>
      </c>
      <c r="AV172" s="6">
        <v>0.60450999999999999</v>
      </c>
      <c r="AW172" s="19">
        <v>-3.29E-3</v>
      </c>
      <c r="AX172" s="6">
        <v>0.58079999999999998</v>
      </c>
      <c r="AY172" s="6">
        <v>123</v>
      </c>
    </row>
    <row r="173" spans="1:51" x14ac:dyDescent="0.25">
      <c r="A173" s="34" t="s">
        <v>97</v>
      </c>
      <c r="B173" s="35">
        <v>1</v>
      </c>
      <c r="C173" s="35">
        <v>21</v>
      </c>
      <c r="D173" s="35">
        <v>2</v>
      </c>
      <c r="E173" s="35">
        <v>11</v>
      </c>
      <c r="F173" s="2">
        <v>61.3</v>
      </c>
      <c r="G173">
        <v>63.320388559872875</v>
      </c>
      <c r="H173">
        <v>10.6</v>
      </c>
      <c r="AB173" s="17">
        <v>171</v>
      </c>
      <c r="AC173" s="6">
        <v>3.2007599999999998</v>
      </c>
      <c r="AD173" s="6">
        <v>9.6954999999999991</v>
      </c>
      <c r="AE173" s="6">
        <v>3.0752000000000002</v>
      </c>
      <c r="AF173" s="6">
        <v>123</v>
      </c>
      <c r="AH173" s="17">
        <v>171</v>
      </c>
      <c r="AI173" s="6">
        <v>6.0872000000000002</v>
      </c>
      <c r="AJ173" s="6">
        <v>9.6954999999999991</v>
      </c>
      <c r="AK173" s="6">
        <v>3.0752000000000002</v>
      </c>
      <c r="AL173" s="6">
        <v>123</v>
      </c>
      <c r="AO173" s="17">
        <v>171</v>
      </c>
      <c r="AP173" s="6">
        <v>1.1437200000000001</v>
      </c>
      <c r="AQ173" s="6">
        <v>1.1894</v>
      </c>
      <c r="AR173" s="6">
        <v>0.57779999999999998</v>
      </c>
      <c r="AS173" s="6">
        <v>123</v>
      </c>
      <c r="AU173" s="17">
        <v>171</v>
      </c>
      <c r="AV173" s="6">
        <v>0.60138999999999998</v>
      </c>
      <c r="AW173" s="6">
        <v>1.1894</v>
      </c>
      <c r="AX173" s="6">
        <v>0.57779999999999998</v>
      </c>
      <c r="AY173" s="6">
        <v>123</v>
      </c>
    </row>
    <row r="174" spans="1:51" x14ac:dyDescent="0.25">
      <c r="A174" s="34" t="s">
        <v>97</v>
      </c>
      <c r="B174" s="35">
        <v>2</v>
      </c>
      <c r="C174" s="35">
        <v>1</v>
      </c>
      <c r="D174" s="35">
        <v>4</v>
      </c>
      <c r="E174" s="35">
        <v>11</v>
      </c>
      <c r="F174" s="2">
        <v>61.5</v>
      </c>
      <c r="G174">
        <v>70.221895973154361</v>
      </c>
      <c r="H174" t="s">
        <v>12</v>
      </c>
      <c r="AB174" s="17">
        <v>172</v>
      </c>
      <c r="AC174" s="6">
        <v>3.2006199999999998</v>
      </c>
      <c r="AD174" s="19">
        <v>-4.2611999999999997</v>
      </c>
      <c r="AE174" s="6">
        <v>3.0750999999999999</v>
      </c>
      <c r="AF174" s="6">
        <v>123</v>
      </c>
      <c r="AH174" s="17">
        <v>172</v>
      </c>
      <c r="AI174" s="6">
        <v>6.0869999999999997</v>
      </c>
      <c r="AJ174" s="19">
        <v>-4.2611999999999997</v>
      </c>
      <c r="AK174" s="6">
        <v>3.0750999999999999</v>
      </c>
      <c r="AL174" s="6">
        <v>123</v>
      </c>
      <c r="AO174" s="17">
        <v>172</v>
      </c>
      <c r="AP174" s="6">
        <v>1.14157</v>
      </c>
      <c r="AQ174" s="19">
        <v>-3.8132000000000001</v>
      </c>
      <c r="AR174" s="6">
        <v>0.57669999999999999</v>
      </c>
      <c r="AS174" s="6">
        <v>123</v>
      </c>
      <c r="AU174" s="17">
        <v>172</v>
      </c>
      <c r="AV174" s="6">
        <v>0.60026000000000002</v>
      </c>
      <c r="AW174" s="19">
        <v>-3.8132000000000001</v>
      </c>
      <c r="AX174" s="6">
        <v>0.57669999999999999</v>
      </c>
      <c r="AY174" s="6">
        <v>123</v>
      </c>
    </row>
    <row r="175" spans="1:51" x14ac:dyDescent="0.25">
      <c r="A175" s="34" t="s">
        <v>97</v>
      </c>
      <c r="B175" s="35">
        <v>3</v>
      </c>
      <c r="C175" s="35">
        <v>4</v>
      </c>
      <c r="D175" s="35">
        <v>5</v>
      </c>
      <c r="E175" s="35">
        <v>11</v>
      </c>
      <c r="F175" s="2">
        <v>61.7</v>
      </c>
      <c r="G175">
        <v>76.298219584569722</v>
      </c>
      <c r="H175" t="s">
        <v>12</v>
      </c>
      <c r="AB175" s="17">
        <v>173</v>
      </c>
      <c r="AC175" s="6">
        <v>3.1984300000000001</v>
      </c>
      <c r="AD175" s="6">
        <v>4.2793000000000001</v>
      </c>
      <c r="AE175" s="6">
        <v>3.073</v>
      </c>
      <c r="AF175" s="6">
        <v>123</v>
      </c>
      <c r="AH175" s="17">
        <v>173</v>
      </c>
      <c r="AI175" s="6">
        <v>6.0827999999999998</v>
      </c>
      <c r="AJ175" s="6">
        <v>4.2793000000000001</v>
      </c>
      <c r="AK175" s="6">
        <v>3.073</v>
      </c>
      <c r="AL175" s="6">
        <v>123</v>
      </c>
      <c r="AO175" s="17">
        <v>173</v>
      </c>
      <c r="AP175" s="6">
        <v>1.13845</v>
      </c>
      <c r="AQ175" s="19">
        <v>-2.3342000000000001</v>
      </c>
      <c r="AR175" s="6">
        <v>0.57509999999999994</v>
      </c>
      <c r="AS175" s="6">
        <v>123</v>
      </c>
      <c r="AU175" s="17">
        <v>173</v>
      </c>
      <c r="AV175" s="6">
        <v>0.59862000000000004</v>
      </c>
      <c r="AW175" s="19">
        <v>-2.3342000000000001</v>
      </c>
      <c r="AX175" s="6">
        <v>0.57509999999999994</v>
      </c>
      <c r="AY175" s="6">
        <v>123</v>
      </c>
    </row>
    <row r="176" spans="1:51" x14ac:dyDescent="0.25">
      <c r="A176" s="34" t="s">
        <v>97</v>
      </c>
      <c r="B176" s="35">
        <v>1</v>
      </c>
      <c r="C176" s="35">
        <v>12</v>
      </c>
      <c r="D176" s="35">
        <v>1</v>
      </c>
      <c r="E176" s="35">
        <v>1</v>
      </c>
      <c r="F176" s="2">
        <v>60.2</v>
      </c>
      <c r="G176">
        <v>84.050057142857142</v>
      </c>
      <c r="H176">
        <v>9.8000000000000007</v>
      </c>
      <c r="AB176" s="17">
        <v>174</v>
      </c>
      <c r="AC176" s="6">
        <v>3.2056200000000001</v>
      </c>
      <c r="AD176" s="19">
        <v>-0.81879999999999997</v>
      </c>
      <c r="AE176" s="6">
        <v>3.0798999999999999</v>
      </c>
      <c r="AF176" s="6">
        <v>123</v>
      </c>
      <c r="AH176" s="17">
        <v>174</v>
      </c>
      <c r="AI176" s="6">
        <v>6.0964999999999998</v>
      </c>
      <c r="AJ176" s="19">
        <v>-0.81879999999999997</v>
      </c>
      <c r="AK176" s="6">
        <v>3.0798999999999999</v>
      </c>
      <c r="AL176" s="6">
        <v>123</v>
      </c>
      <c r="AO176" s="17">
        <v>174</v>
      </c>
      <c r="AP176" s="6">
        <v>1.1407799999999999</v>
      </c>
      <c r="AQ176" s="19">
        <v>-2.7644000000000002</v>
      </c>
      <c r="AR176" s="6">
        <v>0.57630000000000003</v>
      </c>
      <c r="AS176" s="6">
        <v>123</v>
      </c>
      <c r="AU176" s="17">
        <v>174</v>
      </c>
      <c r="AV176" s="6">
        <v>0.59984000000000004</v>
      </c>
      <c r="AW176" s="19">
        <v>-2.7644000000000002</v>
      </c>
      <c r="AX176" s="6">
        <v>0.57630000000000003</v>
      </c>
      <c r="AY176" s="6">
        <v>123</v>
      </c>
    </row>
    <row r="177" spans="1:51" x14ac:dyDescent="0.25">
      <c r="A177" s="34" t="s">
        <v>97</v>
      </c>
      <c r="B177" s="35">
        <v>2</v>
      </c>
      <c r="C177" s="35">
        <v>14</v>
      </c>
      <c r="D177" s="35">
        <v>3</v>
      </c>
      <c r="E177" s="35">
        <v>1</v>
      </c>
      <c r="F177" s="2">
        <v>60.4</v>
      </c>
      <c r="G177">
        <v>75.911964949548576</v>
      </c>
      <c r="H177" t="s">
        <v>12</v>
      </c>
      <c r="AB177" s="17">
        <v>175</v>
      </c>
      <c r="AC177" s="6">
        <v>3.1943700000000002</v>
      </c>
      <c r="AD177" s="19">
        <v>-9.4207999999999998</v>
      </c>
      <c r="AE177" s="6">
        <v>3.0691000000000002</v>
      </c>
      <c r="AF177" s="6">
        <v>123</v>
      </c>
      <c r="AH177" s="17">
        <v>175</v>
      </c>
      <c r="AI177" s="6">
        <v>6.0750999999999999</v>
      </c>
      <c r="AJ177" s="19">
        <v>-9.4207999999999998</v>
      </c>
      <c r="AK177" s="6">
        <v>3.0691000000000002</v>
      </c>
      <c r="AL177" s="6">
        <v>123</v>
      </c>
      <c r="AO177" s="17">
        <v>175</v>
      </c>
      <c r="AP177" s="6">
        <v>1.13764</v>
      </c>
      <c r="AQ177" s="19">
        <v>-3.6339999999999999</v>
      </c>
      <c r="AR177" s="6">
        <v>0.57469999999999999</v>
      </c>
      <c r="AS177" s="6">
        <v>123</v>
      </c>
      <c r="AU177" s="17">
        <v>175</v>
      </c>
      <c r="AV177" s="6">
        <v>0.59819</v>
      </c>
      <c r="AW177" s="19">
        <v>-3.6339999999999999</v>
      </c>
      <c r="AX177" s="6">
        <v>0.57469999999999999</v>
      </c>
      <c r="AY177" s="6">
        <v>123</v>
      </c>
    </row>
    <row r="178" spans="1:51" x14ac:dyDescent="0.25">
      <c r="A178" s="34" t="s">
        <v>97</v>
      </c>
      <c r="B178" s="35">
        <v>3</v>
      </c>
      <c r="C178" s="35">
        <v>16</v>
      </c>
      <c r="D178" s="35">
        <v>5</v>
      </c>
      <c r="E178" s="35">
        <v>1</v>
      </c>
      <c r="F178" s="2">
        <v>59.9</v>
      </c>
      <c r="G178">
        <v>81.859025010597705</v>
      </c>
      <c r="H178" t="s">
        <v>12</v>
      </c>
      <c r="AB178" s="17">
        <v>176</v>
      </c>
      <c r="AC178" s="6">
        <v>3.1853600000000002</v>
      </c>
      <c r="AD178" s="19">
        <v>-4.8811</v>
      </c>
      <c r="AE178" s="6">
        <v>3.0604</v>
      </c>
      <c r="AF178" s="6">
        <v>123</v>
      </c>
      <c r="AH178" s="17">
        <v>176</v>
      </c>
      <c r="AI178" s="6">
        <v>6.0579000000000001</v>
      </c>
      <c r="AJ178" s="19">
        <v>-4.8811</v>
      </c>
      <c r="AK178" s="6">
        <v>3.0604</v>
      </c>
      <c r="AL178" s="6">
        <v>123</v>
      </c>
      <c r="AO178" s="17">
        <v>176</v>
      </c>
      <c r="AP178" s="6">
        <v>1.14005</v>
      </c>
      <c r="AQ178" s="19">
        <v>-1.5045999999999999</v>
      </c>
      <c r="AR178" s="6">
        <v>0.57589999999999997</v>
      </c>
      <c r="AS178" s="6">
        <v>123</v>
      </c>
      <c r="AU178" s="17">
        <v>176</v>
      </c>
      <c r="AV178" s="6">
        <v>0.59945999999999999</v>
      </c>
      <c r="AW178" s="19">
        <v>-1.5045999999999999</v>
      </c>
      <c r="AX178" s="6">
        <v>0.57589999999999997</v>
      </c>
      <c r="AY178" s="6">
        <v>123</v>
      </c>
    </row>
    <row r="179" spans="1:51" x14ac:dyDescent="0.25">
      <c r="A179" s="34" t="s">
        <v>97</v>
      </c>
      <c r="B179" s="35">
        <v>1</v>
      </c>
      <c r="C179" s="35">
        <v>10</v>
      </c>
      <c r="D179" s="35">
        <v>2</v>
      </c>
      <c r="E179" s="35">
        <v>17</v>
      </c>
      <c r="F179" s="2">
        <v>61.4</v>
      </c>
      <c r="G179">
        <v>79.741499349992779</v>
      </c>
      <c r="H179">
        <v>9.8000000000000007</v>
      </c>
      <c r="AB179" s="17">
        <v>177</v>
      </c>
      <c r="AC179" s="6">
        <v>3.21183</v>
      </c>
      <c r="AD179" s="19">
        <v>-4.0735000000000001</v>
      </c>
      <c r="AE179" s="6">
        <v>3.0859000000000001</v>
      </c>
      <c r="AF179" s="6">
        <v>123</v>
      </c>
      <c r="AH179" s="17">
        <v>177</v>
      </c>
      <c r="AI179" s="6">
        <v>6.1082999999999998</v>
      </c>
      <c r="AJ179" s="19">
        <v>-4.0735000000000001</v>
      </c>
      <c r="AK179" s="6">
        <v>3.0859000000000001</v>
      </c>
      <c r="AL179" s="6">
        <v>123</v>
      </c>
      <c r="AO179" s="17">
        <v>177</v>
      </c>
      <c r="AP179" s="6">
        <v>1.14707</v>
      </c>
      <c r="AQ179" s="19">
        <v>-4.1069000000000004</v>
      </c>
      <c r="AR179" s="6">
        <v>0.57950000000000002</v>
      </c>
      <c r="AS179" s="6">
        <v>123</v>
      </c>
      <c r="AU179" s="17">
        <v>177</v>
      </c>
      <c r="AV179" s="6">
        <v>0.60314999999999996</v>
      </c>
      <c r="AW179" s="19">
        <v>-4.1069000000000004</v>
      </c>
      <c r="AX179" s="6">
        <v>0.57950000000000002</v>
      </c>
      <c r="AY179" s="6">
        <v>123</v>
      </c>
    </row>
    <row r="180" spans="1:51" x14ac:dyDescent="0.25">
      <c r="A180" s="34" t="s">
        <v>97</v>
      </c>
      <c r="B180" s="35">
        <v>2</v>
      </c>
      <c r="C180" s="35">
        <v>21</v>
      </c>
      <c r="D180" s="35">
        <v>4</v>
      </c>
      <c r="E180" s="35">
        <v>17</v>
      </c>
      <c r="F180" s="2">
        <v>60.8</v>
      </c>
      <c r="G180">
        <v>73.083831255992337</v>
      </c>
      <c r="H180" t="s">
        <v>12</v>
      </c>
      <c r="AB180" s="17">
        <v>178</v>
      </c>
      <c r="AC180" s="6">
        <v>3.2117200000000001</v>
      </c>
      <c r="AD180" s="19">
        <v>-5.8544999999999998</v>
      </c>
      <c r="AE180" s="6">
        <v>3.0857999999999999</v>
      </c>
      <c r="AF180" s="6">
        <v>123</v>
      </c>
      <c r="AH180" s="17">
        <v>178</v>
      </c>
      <c r="AI180" s="6">
        <v>6.1081000000000003</v>
      </c>
      <c r="AJ180" s="19">
        <v>-5.8544999999999998</v>
      </c>
      <c r="AK180" s="6">
        <v>3.0857999999999999</v>
      </c>
      <c r="AL180" s="6">
        <v>123</v>
      </c>
      <c r="AO180" s="17">
        <v>178</v>
      </c>
      <c r="AP180" s="6">
        <v>1.13957</v>
      </c>
      <c r="AQ180" s="19">
        <v>-2.2682000000000002</v>
      </c>
      <c r="AR180" s="6">
        <v>0.57569999999999999</v>
      </c>
      <c r="AS180" s="6">
        <v>123</v>
      </c>
      <c r="AU180" s="17">
        <v>178</v>
      </c>
      <c r="AV180" s="6">
        <v>0.59919999999999995</v>
      </c>
      <c r="AW180" s="19">
        <v>-2.2682000000000002</v>
      </c>
      <c r="AX180" s="6">
        <v>0.57569999999999999</v>
      </c>
      <c r="AY180" s="6">
        <v>123</v>
      </c>
    </row>
    <row r="181" spans="1:51" x14ac:dyDescent="0.25">
      <c r="A181" s="34" t="s">
        <v>97</v>
      </c>
      <c r="B181" s="35">
        <v>3</v>
      </c>
      <c r="C181" s="35">
        <v>15</v>
      </c>
      <c r="D181" s="35">
        <v>6</v>
      </c>
      <c r="E181" s="35">
        <v>17</v>
      </c>
      <c r="F181" s="2">
        <v>60.6</v>
      </c>
      <c r="G181">
        <v>80.589738699218003</v>
      </c>
      <c r="H181" t="s">
        <v>12</v>
      </c>
      <c r="AB181" s="17">
        <v>179</v>
      </c>
      <c r="AC181" s="6">
        <v>3.2224599999999999</v>
      </c>
      <c r="AD181" s="6">
        <v>4.0879000000000003</v>
      </c>
      <c r="AE181" s="6">
        <v>3.0960999999999999</v>
      </c>
      <c r="AF181" s="6">
        <v>123</v>
      </c>
      <c r="AH181" s="17">
        <v>179</v>
      </c>
      <c r="AI181" s="6">
        <v>6.1284999999999998</v>
      </c>
      <c r="AJ181" s="6">
        <v>4.0879000000000003</v>
      </c>
      <c r="AK181" s="6">
        <v>3.0960999999999999</v>
      </c>
      <c r="AL181" s="6">
        <v>123</v>
      </c>
      <c r="AO181" s="17">
        <v>179</v>
      </c>
      <c r="AP181" s="6">
        <v>1.15283</v>
      </c>
      <c r="AQ181" s="19">
        <v>-1.7248000000000001</v>
      </c>
      <c r="AR181" s="6">
        <v>0.58240000000000003</v>
      </c>
      <c r="AS181" s="6">
        <v>123</v>
      </c>
      <c r="AU181" s="17">
        <v>179</v>
      </c>
      <c r="AV181" s="6">
        <v>0.60618000000000005</v>
      </c>
      <c r="AW181" s="19">
        <v>-1.7248000000000001</v>
      </c>
      <c r="AX181" s="6">
        <v>0.58240000000000003</v>
      </c>
      <c r="AY181" s="6">
        <v>123</v>
      </c>
    </row>
    <row r="182" spans="1:51" x14ac:dyDescent="0.25">
      <c r="A182" s="34" t="s">
        <v>97</v>
      </c>
      <c r="B182" s="35">
        <v>1</v>
      </c>
      <c r="C182" s="35">
        <v>7</v>
      </c>
      <c r="D182" s="35">
        <v>2</v>
      </c>
      <c r="E182" s="35">
        <v>12</v>
      </c>
      <c r="F182" s="2">
        <v>56.1</v>
      </c>
      <c r="G182">
        <v>67.975566950743882</v>
      </c>
      <c r="H182">
        <v>10</v>
      </c>
      <c r="AB182" s="17">
        <v>180</v>
      </c>
      <c r="AC182" s="6">
        <v>3.2193399999999999</v>
      </c>
      <c r="AD182" s="19">
        <v>-7.4656000000000002</v>
      </c>
      <c r="AE182" s="6">
        <v>3.0931000000000002</v>
      </c>
      <c r="AF182" s="6">
        <v>123</v>
      </c>
      <c r="AH182" s="17">
        <v>180</v>
      </c>
      <c r="AI182" s="6">
        <v>6.1224999999999996</v>
      </c>
      <c r="AJ182" s="19">
        <v>-7.4656000000000002</v>
      </c>
      <c r="AK182" s="6">
        <v>3.0931000000000002</v>
      </c>
      <c r="AL182" s="6">
        <v>123</v>
      </c>
      <c r="AO182" s="17">
        <v>180</v>
      </c>
      <c r="AP182" s="6">
        <v>1.1563000000000001</v>
      </c>
      <c r="AQ182" s="19">
        <v>-2.4060000000000001</v>
      </c>
      <c r="AR182" s="6">
        <v>0.58420000000000005</v>
      </c>
      <c r="AS182" s="6">
        <v>123</v>
      </c>
      <c r="AU182" s="17">
        <v>180</v>
      </c>
      <c r="AV182" s="6">
        <v>0.60799999999999998</v>
      </c>
      <c r="AW182" s="19">
        <v>-2.4060000000000001</v>
      </c>
      <c r="AX182" s="6">
        <v>0.58420000000000005</v>
      </c>
      <c r="AY182" s="6">
        <v>123</v>
      </c>
    </row>
    <row r="183" spans="1:51" x14ac:dyDescent="0.25">
      <c r="A183" s="34" t="s">
        <v>97</v>
      </c>
      <c r="B183" s="35">
        <v>2</v>
      </c>
      <c r="C183" s="35">
        <v>4</v>
      </c>
      <c r="D183" s="35">
        <v>4</v>
      </c>
      <c r="E183" s="35">
        <v>12</v>
      </c>
      <c r="F183" s="2">
        <v>60</v>
      </c>
      <c r="G183">
        <v>68.994837008628949</v>
      </c>
      <c r="H183" t="s">
        <v>12</v>
      </c>
      <c r="AB183" s="17">
        <v>181</v>
      </c>
      <c r="AC183" s="6">
        <v>3.2009300000000001</v>
      </c>
      <c r="AD183" s="19">
        <v>-3.7938000000000001</v>
      </c>
      <c r="AE183" s="6">
        <v>3.0754000000000001</v>
      </c>
      <c r="AF183" s="6">
        <v>123</v>
      </c>
      <c r="AH183" s="17">
        <v>181</v>
      </c>
      <c r="AI183" s="6">
        <v>6.0875000000000004</v>
      </c>
      <c r="AJ183" s="19">
        <v>-3.7938000000000001</v>
      </c>
      <c r="AK183" s="6">
        <v>3.0754000000000001</v>
      </c>
      <c r="AL183" s="6">
        <v>123</v>
      </c>
      <c r="AO183" s="17">
        <v>181</v>
      </c>
      <c r="AP183" s="6">
        <v>1.1422600000000001</v>
      </c>
      <c r="AQ183" s="19">
        <v>-2.5225</v>
      </c>
      <c r="AR183" s="6">
        <v>0.57709999999999995</v>
      </c>
      <c r="AS183" s="6">
        <v>123</v>
      </c>
      <c r="AU183" s="17">
        <v>181</v>
      </c>
      <c r="AV183" s="6">
        <v>0.60062000000000004</v>
      </c>
      <c r="AW183" s="19">
        <v>-2.5225</v>
      </c>
      <c r="AX183" s="6">
        <v>0.57709999999999995</v>
      </c>
      <c r="AY183" s="6">
        <v>123</v>
      </c>
    </row>
    <row r="184" spans="1:51" x14ac:dyDescent="0.25">
      <c r="A184" s="34" t="s">
        <v>97</v>
      </c>
      <c r="B184" s="35">
        <v>3</v>
      </c>
      <c r="C184" s="35">
        <v>10</v>
      </c>
      <c r="D184" s="35">
        <v>5</v>
      </c>
      <c r="E184" s="35">
        <v>12</v>
      </c>
      <c r="F184" s="2">
        <v>60.5</v>
      </c>
      <c r="G184">
        <v>72.425604069520972</v>
      </c>
      <c r="H184" t="s">
        <v>12</v>
      </c>
      <c r="AB184" s="17">
        <v>182</v>
      </c>
      <c r="AC184" s="6">
        <v>3.2138800000000001</v>
      </c>
      <c r="AD184" s="19">
        <v>-1.3076000000000001</v>
      </c>
      <c r="AE184" s="6">
        <v>3.0878000000000001</v>
      </c>
      <c r="AF184" s="6">
        <v>123</v>
      </c>
      <c r="AH184" s="17">
        <v>182</v>
      </c>
      <c r="AI184" s="6">
        <v>6.1121999999999996</v>
      </c>
      <c r="AJ184" s="19">
        <v>-1.3076000000000001</v>
      </c>
      <c r="AK184" s="6">
        <v>3.0878000000000001</v>
      </c>
      <c r="AL184" s="6">
        <v>123</v>
      </c>
      <c r="AO184" s="17">
        <v>182</v>
      </c>
      <c r="AP184" s="6">
        <v>1.1463699999999999</v>
      </c>
      <c r="AQ184" s="19">
        <v>-3.0550999999999999</v>
      </c>
      <c r="AR184" s="6">
        <v>0.57909999999999995</v>
      </c>
      <c r="AS184" s="6">
        <v>123</v>
      </c>
      <c r="AU184" s="17">
        <v>182</v>
      </c>
      <c r="AV184" s="6">
        <v>0.60277999999999998</v>
      </c>
      <c r="AW184" s="19">
        <v>-3.0550999999999999</v>
      </c>
      <c r="AX184" s="6">
        <v>0.57909999999999995</v>
      </c>
      <c r="AY184" s="6">
        <v>123</v>
      </c>
    </row>
    <row r="185" spans="1:51" x14ac:dyDescent="0.25">
      <c r="A185" s="34" t="s">
        <v>97</v>
      </c>
      <c r="B185" s="35">
        <v>1</v>
      </c>
      <c r="C185" s="35">
        <v>18</v>
      </c>
      <c r="D185" s="35">
        <v>1</v>
      </c>
      <c r="E185" s="35">
        <v>13</v>
      </c>
      <c r="F185" s="2">
        <v>60.4</v>
      </c>
      <c r="G185">
        <v>70.031185714285698</v>
      </c>
      <c r="H185">
        <v>9.1999999999999993</v>
      </c>
      <c r="AB185" s="17">
        <v>183</v>
      </c>
      <c r="AC185" s="6">
        <v>3.2298499999999999</v>
      </c>
      <c r="AD185" s="19">
        <v>-0.62139999999999995</v>
      </c>
      <c r="AE185" s="6">
        <v>3.1032000000000002</v>
      </c>
      <c r="AF185" s="6">
        <v>123</v>
      </c>
      <c r="AH185" s="17">
        <v>183</v>
      </c>
      <c r="AI185" s="6">
        <v>6.1425000000000001</v>
      </c>
      <c r="AJ185" s="19">
        <v>-0.62139999999999995</v>
      </c>
      <c r="AK185" s="6">
        <v>3.1032000000000002</v>
      </c>
      <c r="AL185" s="6">
        <v>123</v>
      </c>
      <c r="AO185" s="17">
        <v>183</v>
      </c>
      <c r="AP185" s="6">
        <v>1.14656</v>
      </c>
      <c r="AQ185" s="19">
        <v>-2.9895</v>
      </c>
      <c r="AR185" s="6">
        <v>0.57920000000000005</v>
      </c>
      <c r="AS185" s="6">
        <v>123</v>
      </c>
      <c r="AU185" s="17">
        <v>183</v>
      </c>
      <c r="AV185" s="6">
        <v>0.60287999999999997</v>
      </c>
      <c r="AW185" s="19">
        <v>-2.9895</v>
      </c>
      <c r="AX185" s="6">
        <v>0.57920000000000005</v>
      </c>
      <c r="AY185" s="6">
        <v>123</v>
      </c>
    </row>
    <row r="186" spans="1:51" x14ac:dyDescent="0.25">
      <c r="A186" s="34" t="s">
        <v>97</v>
      </c>
      <c r="B186" s="35">
        <v>2</v>
      </c>
      <c r="C186" s="35">
        <v>8</v>
      </c>
      <c r="D186" s="35">
        <v>4</v>
      </c>
      <c r="E186" s="35">
        <v>13</v>
      </c>
      <c r="F186" s="2">
        <v>61.8</v>
      </c>
      <c r="G186">
        <v>72.336727708533076</v>
      </c>
      <c r="H186" t="s">
        <v>12</v>
      </c>
      <c r="AB186" s="17">
        <v>184</v>
      </c>
      <c r="AC186" s="6">
        <v>3.2132800000000001</v>
      </c>
      <c r="AD186" s="19">
        <v>-5.6925999999999997</v>
      </c>
      <c r="AE186" s="6">
        <v>3.0872999999999999</v>
      </c>
      <c r="AF186" s="6">
        <v>123</v>
      </c>
      <c r="AH186" s="17">
        <v>184</v>
      </c>
      <c r="AI186" s="6">
        <v>6.1109999999999998</v>
      </c>
      <c r="AJ186" s="19">
        <v>-5.6925999999999997</v>
      </c>
      <c r="AK186" s="6">
        <v>3.0872999999999999</v>
      </c>
      <c r="AL186" s="6">
        <v>123</v>
      </c>
      <c r="AO186" s="17">
        <v>184</v>
      </c>
      <c r="AP186" s="6">
        <v>1.14723</v>
      </c>
      <c r="AQ186" s="19">
        <v>-1.9328000000000001</v>
      </c>
      <c r="AR186" s="6">
        <v>0.5796</v>
      </c>
      <c r="AS186" s="6">
        <v>123</v>
      </c>
      <c r="AU186" s="17">
        <v>184</v>
      </c>
      <c r="AV186" s="6">
        <v>0.60323000000000004</v>
      </c>
      <c r="AW186" s="19">
        <v>-1.9328000000000001</v>
      </c>
      <c r="AX186" s="6">
        <v>0.5796</v>
      </c>
      <c r="AY186" s="6">
        <v>123</v>
      </c>
    </row>
    <row r="187" spans="1:51" x14ac:dyDescent="0.25">
      <c r="A187" s="34" t="s">
        <v>97</v>
      </c>
      <c r="B187" s="35">
        <v>3</v>
      </c>
      <c r="C187" s="35">
        <v>11</v>
      </c>
      <c r="D187" s="35">
        <v>5</v>
      </c>
      <c r="E187" s="35">
        <v>13</v>
      </c>
      <c r="F187" s="2">
        <v>60.1</v>
      </c>
      <c r="G187">
        <v>64.588278931750736</v>
      </c>
      <c r="H187" t="s">
        <v>12</v>
      </c>
      <c r="AB187" s="17">
        <v>185</v>
      </c>
      <c r="AC187" s="6">
        <v>3.2248800000000002</v>
      </c>
      <c r="AD187" s="19">
        <v>-1.1569</v>
      </c>
      <c r="AE187" s="6">
        <v>3.0983999999999998</v>
      </c>
      <c r="AF187" s="6">
        <v>123</v>
      </c>
      <c r="AH187" s="17">
        <v>185</v>
      </c>
      <c r="AI187" s="6">
        <v>6.1330999999999998</v>
      </c>
      <c r="AJ187" s="19">
        <v>-1.1569</v>
      </c>
      <c r="AK187" s="6">
        <v>3.0983999999999998</v>
      </c>
      <c r="AL187" s="6">
        <v>123</v>
      </c>
      <c r="AO187" s="17">
        <v>185</v>
      </c>
      <c r="AP187" s="6">
        <v>1.15465</v>
      </c>
      <c r="AQ187" s="19">
        <v>-2.3540999999999999</v>
      </c>
      <c r="AR187" s="6">
        <v>0.58330000000000004</v>
      </c>
      <c r="AS187" s="6">
        <v>123</v>
      </c>
      <c r="AU187" s="17">
        <v>185</v>
      </c>
      <c r="AV187" s="6">
        <v>0.60712999999999995</v>
      </c>
      <c r="AW187" s="19">
        <v>-2.3540999999999999</v>
      </c>
      <c r="AX187" s="6">
        <v>0.58330000000000004</v>
      </c>
      <c r="AY187" s="6">
        <v>123</v>
      </c>
    </row>
    <row r="188" spans="1:51" x14ac:dyDescent="0.25">
      <c r="A188" s="34" t="s">
        <v>97</v>
      </c>
      <c r="B188" s="35">
        <v>1</v>
      </c>
      <c r="C188" s="35">
        <v>3</v>
      </c>
      <c r="D188" s="35">
        <v>2</v>
      </c>
      <c r="E188" s="35">
        <v>2</v>
      </c>
      <c r="F188" s="2">
        <v>59.8</v>
      </c>
      <c r="G188">
        <v>82.267813086812055</v>
      </c>
      <c r="H188">
        <v>9.1</v>
      </c>
      <c r="AB188" s="17">
        <v>186</v>
      </c>
      <c r="AC188" s="6">
        <v>3.2512699999999999</v>
      </c>
      <c r="AD188" s="19">
        <v>-10.469099999999999</v>
      </c>
      <c r="AE188" s="6">
        <v>3.1238000000000001</v>
      </c>
      <c r="AF188" s="6">
        <v>123</v>
      </c>
      <c r="AH188" s="17">
        <v>186</v>
      </c>
      <c r="AI188" s="6">
        <v>6.1833</v>
      </c>
      <c r="AJ188" s="19">
        <v>-10.469099999999999</v>
      </c>
      <c r="AK188" s="6">
        <v>3.1238000000000001</v>
      </c>
      <c r="AL188" s="6">
        <v>123</v>
      </c>
      <c r="AO188" s="17">
        <v>186</v>
      </c>
      <c r="AP188" s="6">
        <v>1.16414</v>
      </c>
      <c r="AQ188" s="19">
        <v>-2.5535999999999999</v>
      </c>
      <c r="AR188" s="6">
        <v>0.58809999999999996</v>
      </c>
      <c r="AS188" s="6">
        <v>123</v>
      </c>
      <c r="AU188" s="17">
        <v>186</v>
      </c>
      <c r="AV188" s="6">
        <v>0.61212999999999995</v>
      </c>
      <c r="AW188" s="19">
        <v>-2.5535999999999999</v>
      </c>
      <c r="AX188" s="6">
        <v>0.58809999999999996</v>
      </c>
      <c r="AY188" s="6">
        <v>123</v>
      </c>
    </row>
    <row r="189" spans="1:51" x14ac:dyDescent="0.25">
      <c r="A189" s="34" t="s">
        <v>97</v>
      </c>
      <c r="B189" s="35">
        <v>2</v>
      </c>
      <c r="C189" s="35">
        <v>1</v>
      </c>
      <c r="D189" s="35">
        <v>3</v>
      </c>
      <c r="E189" s="35">
        <v>2</v>
      </c>
      <c r="F189" s="2">
        <v>61.1</v>
      </c>
      <c r="G189">
        <v>78.331784386617088</v>
      </c>
      <c r="H189" t="s">
        <v>12</v>
      </c>
      <c r="AB189" s="17">
        <v>187</v>
      </c>
      <c r="AC189" s="6">
        <v>3.2478699999999998</v>
      </c>
      <c r="AD189" s="19">
        <v>-2.3260999999999998</v>
      </c>
      <c r="AE189" s="6">
        <v>3.1204999999999998</v>
      </c>
      <c r="AF189" s="6">
        <v>123</v>
      </c>
      <c r="AH189" s="17">
        <v>187</v>
      </c>
      <c r="AI189" s="6">
        <v>6.1768000000000001</v>
      </c>
      <c r="AJ189" s="19">
        <v>-2.3260999999999998</v>
      </c>
      <c r="AK189" s="6">
        <v>3.1204999999999998</v>
      </c>
      <c r="AL189" s="6">
        <v>123</v>
      </c>
      <c r="AO189" s="17">
        <v>187</v>
      </c>
      <c r="AP189" s="6">
        <v>1.1434899999999999</v>
      </c>
      <c r="AQ189" s="19">
        <v>-2.6337000000000002</v>
      </c>
      <c r="AR189" s="6">
        <v>0.57769999999999999</v>
      </c>
      <c r="AS189" s="6">
        <v>123</v>
      </c>
      <c r="AU189" s="17">
        <v>187</v>
      </c>
      <c r="AV189" s="6">
        <v>0.60126999999999997</v>
      </c>
      <c r="AW189" s="19">
        <v>-2.6337000000000002</v>
      </c>
      <c r="AX189" s="6">
        <v>0.57769999999999999</v>
      </c>
      <c r="AY189" s="6">
        <v>123</v>
      </c>
    </row>
    <row r="190" spans="1:51" x14ac:dyDescent="0.25">
      <c r="A190" s="34" t="s">
        <v>97</v>
      </c>
      <c r="B190" s="35">
        <v>3</v>
      </c>
      <c r="C190" s="35">
        <v>21</v>
      </c>
      <c r="D190" s="35">
        <v>6</v>
      </c>
      <c r="E190" s="35">
        <v>2</v>
      </c>
      <c r="F190" s="2">
        <v>60.1</v>
      </c>
      <c r="G190">
        <v>82.979485027655912</v>
      </c>
      <c r="H190" t="s">
        <v>12</v>
      </c>
      <c r="AB190" s="17">
        <v>188</v>
      </c>
      <c r="AC190" s="6">
        <v>3.2063799999999998</v>
      </c>
      <c r="AD190" s="6">
        <v>0.26240000000000002</v>
      </c>
      <c r="AE190" s="6">
        <v>3.0806</v>
      </c>
      <c r="AF190" s="6">
        <v>123</v>
      </c>
      <c r="AH190" s="17">
        <v>188</v>
      </c>
      <c r="AI190" s="6">
        <v>6.0979000000000001</v>
      </c>
      <c r="AJ190" s="6">
        <v>0.26240000000000002</v>
      </c>
      <c r="AK190" s="6">
        <v>3.0806</v>
      </c>
      <c r="AL190" s="6">
        <v>123</v>
      </c>
      <c r="AO190" s="17">
        <v>188</v>
      </c>
      <c r="AP190" s="6">
        <v>1.14202</v>
      </c>
      <c r="AQ190" s="19">
        <v>-0.7752</v>
      </c>
      <c r="AR190" s="6">
        <v>0.57689999999999997</v>
      </c>
      <c r="AS190" s="6">
        <v>123</v>
      </c>
      <c r="AU190" s="17">
        <v>188</v>
      </c>
      <c r="AV190" s="6">
        <v>0.60050000000000003</v>
      </c>
      <c r="AW190" s="19">
        <v>-0.7752</v>
      </c>
      <c r="AX190" s="6">
        <v>0.57689999999999997</v>
      </c>
      <c r="AY190" s="6">
        <v>123</v>
      </c>
    </row>
    <row r="191" spans="1:51" x14ac:dyDescent="0.25">
      <c r="A191" s="34" t="s">
        <v>97</v>
      </c>
      <c r="B191" s="35">
        <v>1</v>
      </c>
      <c r="C191" s="35">
        <v>7</v>
      </c>
      <c r="D191" s="35">
        <v>1</v>
      </c>
      <c r="E191" s="35">
        <v>9</v>
      </c>
      <c r="F191" s="2">
        <v>56.4</v>
      </c>
      <c r="G191">
        <v>73.927542857142853</v>
      </c>
      <c r="H191">
        <v>10.9</v>
      </c>
      <c r="AB191" s="17">
        <v>189</v>
      </c>
      <c r="AC191" s="6">
        <v>3.2066699999999999</v>
      </c>
      <c r="AD191" s="6">
        <v>1.4282999999999999</v>
      </c>
      <c r="AE191" s="6">
        <v>3.0809000000000002</v>
      </c>
      <c r="AF191" s="6">
        <v>123</v>
      </c>
      <c r="AH191" s="17">
        <v>189</v>
      </c>
      <c r="AI191" s="6">
        <v>6.0984999999999996</v>
      </c>
      <c r="AJ191" s="6">
        <v>1.4282999999999999</v>
      </c>
      <c r="AK191" s="6">
        <v>3.0809000000000002</v>
      </c>
      <c r="AL191" s="6">
        <v>123</v>
      </c>
      <c r="AO191" s="17">
        <v>189</v>
      </c>
      <c r="AP191" s="6">
        <v>1.14635</v>
      </c>
      <c r="AQ191" s="19">
        <v>-2.3005</v>
      </c>
      <c r="AR191" s="6">
        <v>0.57909999999999995</v>
      </c>
      <c r="AS191" s="6">
        <v>123</v>
      </c>
      <c r="AU191" s="17">
        <v>189</v>
      </c>
      <c r="AV191" s="6">
        <v>0.60277000000000003</v>
      </c>
      <c r="AW191" s="19">
        <v>-2.3005</v>
      </c>
      <c r="AX191" s="6">
        <v>0.57909999999999995</v>
      </c>
      <c r="AY191" s="6">
        <v>123</v>
      </c>
    </row>
    <row r="192" spans="1:51" x14ac:dyDescent="0.25">
      <c r="A192" s="34" t="s">
        <v>97</v>
      </c>
      <c r="B192" s="35">
        <v>2</v>
      </c>
      <c r="C192" s="35">
        <v>13</v>
      </c>
      <c r="D192" s="35">
        <v>4</v>
      </c>
      <c r="E192" s="35">
        <v>9</v>
      </c>
      <c r="F192" s="2">
        <v>57.6</v>
      </c>
      <c r="G192">
        <v>73.087627996164898</v>
      </c>
      <c r="H192" t="s">
        <v>12</v>
      </c>
      <c r="AB192" s="17">
        <v>190</v>
      </c>
      <c r="AC192" s="6">
        <v>3.2006700000000001</v>
      </c>
      <c r="AD192" s="6">
        <v>6.6471</v>
      </c>
      <c r="AE192" s="6">
        <v>3.0750999999999999</v>
      </c>
      <c r="AF192" s="6">
        <v>123</v>
      </c>
      <c r="AH192" s="17">
        <v>190</v>
      </c>
      <c r="AI192" s="6">
        <v>6.0869999999999997</v>
      </c>
      <c r="AJ192" s="6">
        <v>6.6471</v>
      </c>
      <c r="AK192" s="6">
        <v>3.0750999999999999</v>
      </c>
      <c r="AL192" s="6">
        <v>123</v>
      </c>
      <c r="AO192" s="17">
        <v>190</v>
      </c>
      <c r="AP192" s="6">
        <v>1.1417200000000001</v>
      </c>
      <c r="AQ192" s="19">
        <v>-2.2536</v>
      </c>
      <c r="AR192" s="6">
        <v>0.57679999999999998</v>
      </c>
      <c r="AS192" s="6">
        <v>123</v>
      </c>
      <c r="AU192" s="17">
        <v>190</v>
      </c>
      <c r="AV192" s="6">
        <v>0.60033000000000003</v>
      </c>
      <c r="AW192" s="19">
        <v>-2.2536</v>
      </c>
      <c r="AX192" s="6">
        <v>0.57679999999999998</v>
      </c>
      <c r="AY192" s="6">
        <v>123</v>
      </c>
    </row>
    <row r="193" spans="1:51" x14ac:dyDescent="0.25">
      <c r="A193" s="34" t="s">
        <v>97</v>
      </c>
      <c r="B193" s="35">
        <v>3</v>
      </c>
      <c r="C193" s="35">
        <v>15</v>
      </c>
      <c r="D193" s="35">
        <v>5</v>
      </c>
      <c r="E193" s="35">
        <v>9</v>
      </c>
      <c r="F193" s="2">
        <v>58.1</v>
      </c>
      <c r="G193">
        <v>71.359597286986002</v>
      </c>
      <c r="H193" t="s">
        <v>12</v>
      </c>
      <c r="AB193" s="17">
        <v>191</v>
      </c>
      <c r="AC193" s="6">
        <v>3.2010299999999998</v>
      </c>
      <c r="AD193" s="6">
        <v>3.7959999999999998</v>
      </c>
      <c r="AE193" s="6">
        <v>3.0754999999999999</v>
      </c>
      <c r="AF193" s="6">
        <v>123</v>
      </c>
      <c r="AH193" s="17">
        <v>191</v>
      </c>
      <c r="AI193" s="6">
        <v>6.0876999999999999</v>
      </c>
      <c r="AJ193" s="6">
        <v>3.7959999999999998</v>
      </c>
      <c r="AK193" s="6">
        <v>3.0754999999999999</v>
      </c>
      <c r="AL193" s="6">
        <v>123</v>
      </c>
      <c r="AO193" s="17">
        <v>191</v>
      </c>
      <c r="AP193" s="6">
        <v>1.14438</v>
      </c>
      <c r="AQ193" s="19">
        <v>-1.9894000000000001</v>
      </c>
      <c r="AR193" s="6">
        <v>0.57809999999999995</v>
      </c>
      <c r="AS193" s="6">
        <v>123</v>
      </c>
      <c r="AU193" s="17">
        <v>191</v>
      </c>
      <c r="AV193" s="6">
        <v>0.60174000000000005</v>
      </c>
      <c r="AW193" s="19">
        <v>-1.9894000000000001</v>
      </c>
      <c r="AX193" s="6">
        <v>0.57809999999999995</v>
      </c>
      <c r="AY193" s="6">
        <v>123</v>
      </c>
    </row>
    <row r="194" spans="1:51" x14ac:dyDescent="0.25">
      <c r="A194" s="34" t="s">
        <v>97</v>
      </c>
      <c r="B194" s="35">
        <v>1</v>
      </c>
      <c r="C194" s="35">
        <v>4</v>
      </c>
      <c r="D194" s="35">
        <v>2</v>
      </c>
      <c r="E194" s="35">
        <v>3</v>
      </c>
      <c r="F194" s="2">
        <v>60.4</v>
      </c>
      <c r="G194">
        <v>67.804203380037563</v>
      </c>
      <c r="H194">
        <v>10</v>
      </c>
      <c r="AB194" s="17">
        <v>192</v>
      </c>
      <c r="AC194" s="6">
        <v>3.20695</v>
      </c>
      <c r="AD194" s="19">
        <v>-7.9035000000000002</v>
      </c>
      <c r="AE194" s="6">
        <v>3.0811999999999999</v>
      </c>
      <c r="AF194" s="6">
        <v>123</v>
      </c>
      <c r="AH194" s="17">
        <v>192</v>
      </c>
      <c r="AI194" s="6">
        <v>6.0990000000000002</v>
      </c>
      <c r="AJ194" s="19">
        <v>-7.9035000000000002</v>
      </c>
      <c r="AK194" s="6">
        <v>3.0811999999999999</v>
      </c>
      <c r="AL194" s="6">
        <v>123</v>
      </c>
      <c r="AO194" s="17">
        <v>192</v>
      </c>
      <c r="AP194" s="6">
        <v>1.14436</v>
      </c>
      <c r="AQ194" s="19">
        <v>-4.1151</v>
      </c>
      <c r="AR194" s="6">
        <v>0.57809999999999995</v>
      </c>
      <c r="AS194" s="6">
        <v>123</v>
      </c>
      <c r="AU194" s="17">
        <v>192</v>
      </c>
      <c r="AV194" s="6">
        <v>0.60172000000000003</v>
      </c>
      <c r="AW194" s="19">
        <v>-4.1151</v>
      </c>
      <c r="AX194" s="6">
        <v>0.57809999999999995</v>
      </c>
      <c r="AY194" s="6">
        <v>123</v>
      </c>
    </row>
    <row r="195" spans="1:51" x14ac:dyDescent="0.25">
      <c r="A195" s="34" t="s">
        <v>97</v>
      </c>
      <c r="B195" s="35">
        <v>2</v>
      </c>
      <c r="C195" s="35">
        <v>15</v>
      </c>
      <c r="D195" s="35">
        <v>3</v>
      </c>
      <c r="E195" s="35">
        <v>3</v>
      </c>
      <c r="F195" s="2">
        <v>60.9</v>
      </c>
      <c r="G195">
        <v>68.853106744556555</v>
      </c>
      <c r="H195" t="s">
        <v>12</v>
      </c>
      <c r="AB195" s="17">
        <v>193</v>
      </c>
      <c r="AC195" s="6">
        <v>3.1896200000000001</v>
      </c>
      <c r="AD195" s="19">
        <v>-3.6438000000000001</v>
      </c>
      <c r="AE195" s="6">
        <v>3.0644999999999998</v>
      </c>
      <c r="AF195" s="6">
        <v>123</v>
      </c>
      <c r="AH195" s="17">
        <v>193</v>
      </c>
      <c r="AI195" s="6">
        <v>6.0659999999999998</v>
      </c>
      <c r="AJ195" s="19">
        <v>-3.6438000000000001</v>
      </c>
      <c r="AK195" s="6">
        <v>3.0644999999999998</v>
      </c>
      <c r="AL195" s="6">
        <v>123</v>
      </c>
      <c r="AO195" s="17">
        <v>193</v>
      </c>
      <c r="AP195" s="6">
        <v>1.14103</v>
      </c>
      <c r="AQ195" s="19">
        <v>-2.6764000000000001</v>
      </c>
      <c r="AR195" s="6">
        <v>0.57640000000000002</v>
      </c>
      <c r="AS195" s="6">
        <v>123</v>
      </c>
      <c r="AU195" s="17">
        <v>193</v>
      </c>
      <c r="AV195" s="6">
        <v>0.59997</v>
      </c>
      <c r="AW195" s="19">
        <v>-2.6764000000000001</v>
      </c>
      <c r="AX195" s="6">
        <v>0.57640000000000002</v>
      </c>
      <c r="AY195" s="6">
        <v>123</v>
      </c>
    </row>
    <row r="196" spans="1:51" x14ac:dyDescent="0.25">
      <c r="A196" s="34" t="s">
        <v>97</v>
      </c>
      <c r="B196" s="35">
        <v>3</v>
      </c>
      <c r="C196" s="35">
        <v>12</v>
      </c>
      <c r="D196" s="35">
        <v>6</v>
      </c>
      <c r="E196" s="35">
        <v>3</v>
      </c>
      <c r="F196" s="2">
        <v>58.6</v>
      </c>
      <c r="G196">
        <v>70.020974156017544</v>
      </c>
      <c r="H196" t="s">
        <v>12</v>
      </c>
      <c r="AB196" s="17">
        <v>194</v>
      </c>
      <c r="AC196" s="6">
        <v>3.2193900000000002</v>
      </c>
      <c r="AD196" s="19">
        <v>-2.5444</v>
      </c>
      <c r="AE196" s="6">
        <v>3.0931000000000002</v>
      </c>
      <c r="AF196" s="6">
        <v>123</v>
      </c>
      <c r="AH196" s="17">
        <v>194</v>
      </c>
      <c r="AI196" s="6">
        <v>6.1227</v>
      </c>
      <c r="AJ196" s="19">
        <v>-2.5444</v>
      </c>
      <c r="AK196" s="6">
        <v>3.0931000000000002</v>
      </c>
      <c r="AL196" s="6">
        <v>123</v>
      </c>
      <c r="AO196" s="17">
        <v>194</v>
      </c>
      <c r="AP196" s="6">
        <v>1.14432</v>
      </c>
      <c r="AQ196" s="19">
        <v>-2.0066999999999999</v>
      </c>
      <c r="AR196" s="6">
        <v>0.57809999999999995</v>
      </c>
      <c r="AS196" s="6">
        <v>123</v>
      </c>
      <c r="AU196" s="17">
        <v>194</v>
      </c>
      <c r="AV196" s="6">
        <v>0.60170000000000001</v>
      </c>
      <c r="AW196" s="19">
        <v>-2.0066999999999999</v>
      </c>
      <c r="AX196" s="6">
        <v>0.57809999999999995</v>
      </c>
      <c r="AY196" s="6">
        <v>123</v>
      </c>
    </row>
    <row r="197" spans="1:51" x14ac:dyDescent="0.25">
      <c r="A197" s="34" t="s">
        <v>97</v>
      </c>
      <c r="B197" s="35">
        <v>1</v>
      </c>
      <c r="C197" s="35">
        <v>19</v>
      </c>
      <c r="D197" s="35">
        <v>1</v>
      </c>
      <c r="E197" s="35">
        <v>10</v>
      </c>
      <c r="F197" s="2">
        <v>58.3</v>
      </c>
      <c r="G197">
        <v>67.385245714285702</v>
      </c>
      <c r="H197">
        <v>10.9</v>
      </c>
      <c r="AB197" s="17">
        <v>195</v>
      </c>
      <c r="AC197" s="6">
        <v>3.22648</v>
      </c>
      <c r="AD197" s="19">
        <v>-6.6920000000000002</v>
      </c>
      <c r="AE197" s="6">
        <v>3.0998999999999999</v>
      </c>
      <c r="AF197" s="6">
        <v>123</v>
      </c>
      <c r="AH197" s="17">
        <v>195</v>
      </c>
      <c r="AI197" s="6">
        <v>6.1360999999999999</v>
      </c>
      <c r="AJ197" s="19">
        <v>-6.6920000000000002</v>
      </c>
      <c r="AK197" s="6">
        <v>3.0998999999999999</v>
      </c>
      <c r="AL197" s="6">
        <v>123</v>
      </c>
      <c r="AO197" s="17">
        <v>195</v>
      </c>
      <c r="AP197" s="6">
        <v>1.1576299999999999</v>
      </c>
      <c r="AQ197" s="19">
        <v>-2.9481999999999999</v>
      </c>
      <c r="AR197" s="6">
        <v>0.58479999999999999</v>
      </c>
      <c r="AS197" s="6">
        <v>123</v>
      </c>
      <c r="AU197" s="17">
        <v>195</v>
      </c>
      <c r="AV197" s="6">
        <v>0.60870000000000002</v>
      </c>
      <c r="AW197" s="19">
        <v>-2.9481999999999999</v>
      </c>
      <c r="AX197" s="6">
        <v>0.58479999999999999</v>
      </c>
      <c r="AY197" s="6">
        <v>123</v>
      </c>
    </row>
    <row r="198" spans="1:51" x14ac:dyDescent="0.25">
      <c r="A198" s="34" t="s">
        <v>97</v>
      </c>
      <c r="B198" s="35">
        <v>2</v>
      </c>
      <c r="C198" s="35">
        <v>16</v>
      </c>
      <c r="D198" s="35">
        <v>4</v>
      </c>
      <c r="E198" s="35">
        <v>10</v>
      </c>
      <c r="F198" s="2">
        <v>58.6</v>
      </c>
      <c r="G198">
        <v>64.38521476510067</v>
      </c>
      <c r="H198" t="s">
        <v>12</v>
      </c>
      <c r="AB198" s="17">
        <v>196</v>
      </c>
      <c r="AC198" s="6">
        <v>3.1991800000000001</v>
      </c>
      <c r="AD198" s="6">
        <v>2.3534000000000002</v>
      </c>
      <c r="AE198" s="6">
        <v>3.0737000000000001</v>
      </c>
      <c r="AF198" s="6">
        <v>123</v>
      </c>
      <c r="AH198" s="17">
        <v>196</v>
      </c>
      <c r="AI198" s="6">
        <v>6.0842000000000001</v>
      </c>
      <c r="AJ198" s="6">
        <v>2.3534000000000002</v>
      </c>
      <c r="AK198" s="6">
        <v>3.0737000000000001</v>
      </c>
      <c r="AL198" s="6">
        <v>123</v>
      </c>
      <c r="AO198" s="17">
        <v>196</v>
      </c>
      <c r="AP198" s="6">
        <v>1.1410899999999999</v>
      </c>
      <c r="AQ198" s="19">
        <v>-3.5003000000000002</v>
      </c>
      <c r="AR198" s="6">
        <v>0.57650000000000001</v>
      </c>
      <c r="AS198" s="6">
        <v>123</v>
      </c>
      <c r="AU198" s="17">
        <v>196</v>
      </c>
      <c r="AV198" s="6">
        <v>0.60001000000000004</v>
      </c>
      <c r="AW198" s="19">
        <v>-3.5003000000000002</v>
      </c>
      <c r="AX198" s="6">
        <v>0.57650000000000001</v>
      </c>
      <c r="AY198" s="6">
        <v>123</v>
      </c>
    </row>
    <row r="199" spans="1:51" x14ac:dyDescent="0.25">
      <c r="A199" s="34" t="s">
        <v>97</v>
      </c>
      <c r="B199" s="35">
        <v>3</v>
      </c>
      <c r="C199" s="35">
        <v>18</v>
      </c>
      <c r="D199" s="35">
        <v>6</v>
      </c>
      <c r="E199" s="35">
        <v>10</v>
      </c>
      <c r="F199" s="2">
        <v>58.1</v>
      </c>
      <c r="G199">
        <v>68.818123211901579</v>
      </c>
      <c r="H199" t="s">
        <v>12</v>
      </c>
      <c r="AB199" s="17">
        <v>197</v>
      </c>
      <c r="AC199" s="6">
        <v>3.2074699999999998</v>
      </c>
      <c r="AD199" s="19">
        <v>-3.8691</v>
      </c>
      <c r="AE199" s="6">
        <v>3.0817000000000001</v>
      </c>
      <c r="AF199" s="6">
        <v>123</v>
      </c>
      <c r="AH199" s="17">
        <v>197</v>
      </c>
      <c r="AI199" s="6">
        <v>6.1</v>
      </c>
      <c r="AJ199" s="19">
        <v>-3.8691</v>
      </c>
      <c r="AK199" s="6">
        <v>3.0817000000000001</v>
      </c>
      <c r="AL199" s="6">
        <v>123</v>
      </c>
      <c r="AO199" s="17">
        <v>197</v>
      </c>
      <c r="AP199" s="6">
        <v>1.14001</v>
      </c>
      <c r="AQ199" s="19">
        <v>-3.4449999999999998</v>
      </c>
      <c r="AR199" s="6">
        <v>0.57589999999999997</v>
      </c>
      <c r="AS199" s="6">
        <v>123</v>
      </c>
      <c r="AU199" s="17">
        <v>197</v>
      </c>
      <c r="AV199" s="6">
        <v>0.59943999999999997</v>
      </c>
      <c r="AW199" s="19">
        <v>-3.4449999999999998</v>
      </c>
      <c r="AX199" s="6">
        <v>0.57589999999999997</v>
      </c>
      <c r="AY199" s="6">
        <v>123</v>
      </c>
    </row>
    <row r="200" spans="1:51" x14ac:dyDescent="0.25">
      <c r="A200" s="34" t="s">
        <v>97</v>
      </c>
      <c r="B200" s="35">
        <v>1</v>
      </c>
      <c r="C200" s="35">
        <v>10</v>
      </c>
      <c r="D200" s="35">
        <v>1</v>
      </c>
      <c r="E200" s="35">
        <v>4</v>
      </c>
      <c r="F200" s="2">
        <v>57.4</v>
      </c>
      <c r="G200">
        <v>84.207137142857135</v>
      </c>
      <c r="H200">
        <v>9.5</v>
      </c>
      <c r="AB200" s="17">
        <v>198</v>
      </c>
      <c r="AC200" s="6">
        <v>3.1991800000000001</v>
      </c>
      <c r="AD200" s="19">
        <v>-2.0202</v>
      </c>
      <c r="AE200" s="6">
        <v>3.0737000000000001</v>
      </c>
      <c r="AF200" s="6">
        <v>123</v>
      </c>
      <c r="AH200" s="17">
        <v>198</v>
      </c>
      <c r="AI200" s="6">
        <v>6.0842000000000001</v>
      </c>
      <c r="AJ200" s="19">
        <v>-2.0202</v>
      </c>
      <c r="AK200" s="6">
        <v>3.0737000000000001</v>
      </c>
      <c r="AL200" s="6">
        <v>123</v>
      </c>
      <c r="AO200" s="17">
        <v>198</v>
      </c>
      <c r="AP200" s="6">
        <v>1.14184</v>
      </c>
      <c r="AQ200" s="19">
        <v>-3.9047000000000001</v>
      </c>
      <c r="AR200" s="6">
        <v>0.57689999999999997</v>
      </c>
      <c r="AS200" s="6">
        <v>123</v>
      </c>
      <c r="AU200" s="17">
        <v>198</v>
      </c>
      <c r="AV200" s="6">
        <v>0.60040000000000004</v>
      </c>
      <c r="AW200" s="19">
        <v>-3.9047000000000001</v>
      </c>
      <c r="AX200" s="6">
        <v>0.57689999999999997</v>
      </c>
      <c r="AY200" s="6">
        <v>123</v>
      </c>
    </row>
    <row r="201" spans="1:51" x14ac:dyDescent="0.25">
      <c r="A201" s="34" t="s">
        <v>97</v>
      </c>
      <c r="B201" s="35">
        <v>2</v>
      </c>
      <c r="C201" s="35">
        <v>7</v>
      </c>
      <c r="D201" s="35">
        <v>3</v>
      </c>
      <c r="E201" s="35">
        <v>4</v>
      </c>
      <c r="F201" s="2">
        <v>56.4</v>
      </c>
      <c r="G201">
        <v>76.858231545406269</v>
      </c>
      <c r="H201" t="s">
        <v>12</v>
      </c>
      <c r="AB201" s="17">
        <v>199</v>
      </c>
      <c r="AC201" s="6">
        <v>3.24552</v>
      </c>
      <c r="AD201" s="6">
        <v>4.9324000000000003</v>
      </c>
      <c r="AE201" s="6">
        <v>3.1181999999999999</v>
      </c>
      <c r="AF201" s="6">
        <v>123</v>
      </c>
      <c r="AH201" s="17">
        <v>199</v>
      </c>
      <c r="AI201" s="6">
        <v>6.1722999999999999</v>
      </c>
      <c r="AJ201" s="6">
        <v>4.9324000000000003</v>
      </c>
      <c r="AK201" s="6">
        <v>3.1181999999999999</v>
      </c>
      <c r="AL201" s="6">
        <v>123</v>
      </c>
      <c r="AO201" s="17">
        <v>199</v>
      </c>
      <c r="AP201" s="6">
        <v>1.1662300000000001</v>
      </c>
      <c r="AQ201" s="19">
        <v>-1.5994999999999999</v>
      </c>
      <c r="AR201" s="6">
        <v>0.58919999999999995</v>
      </c>
      <c r="AS201" s="6">
        <v>123</v>
      </c>
      <c r="AU201" s="17">
        <v>199</v>
      </c>
      <c r="AV201" s="6">
        <v>0.61321999999999999</v>
      </c>
      <c r="AW201" s="19">
        <v>-1.5994999999999999</v>
      </c>
      <c r="AX201" s="6">
        <v>0.58919999999999995</v>
      </c>
      <c r="AY201" s="6">
        <v>123</v>
      </c>
    </row>
    <row r="202" spans="1:51" x14ac:dyDescent="0.25">
      <c r="A202" s="34" t="s">
        <v>97</v>
      </c>
      <c r="B202" s="35">
        <v>3</v>
      </c>
      <c r="C202" s="35">
        <v>3</v>
      </c>
      <c r="D202" s="35">
        <v>5</v>
      </c>
      <c r="E202" s="35">
        <v>4</v>
      </c>
      <c r="F202" s="2">
        <v>56.9</v>
      </c>
      <c r="G202">
        <v>80.092123781263226</v>
      </c>
      <c r="H202" t="s">
        <v>12</v>
      </c>
      <c r="AB202" s="17">
        <v>200</v>
      </c>
      <c r="AC202" s="6">
        <v>3.2173400000000001</v>
      </c>
      <c r="AD202" s="19">
        <v>-1.3953</v>
      </c>
      <c r="AE202" s="6">
        <v>3.0912000000000002</v>
      </c>
      <c r="AF202" s="6">
        <v>123</v>
      </c>
      <c r="AH202" s="17">
        <v>200</v>
      </c>
      <c r="AI202" s="6">
        <v>6.1188000000000002</v>
      </c>
      <c r="AJ202" s="19">
        <v>-1.3953</v>
      </c>
      <c r="AK202" s="6">
        <v>3.0912000000000002</v>
      </c>
      <c r="AL202" s="6">
        <v>123</v>
      </c>
      <c r="AO202" s="17">
        <v>200</v>
      </c>
      <c r="AP202" s="6">
        <v>1.1431899999999999</v>
      </c>
      <c r="AQ202" s="19">
        <v>-3.9619</v>
      </c>
      <c r="AR202" s="6">
        <v>0.57750000000000001</v>
      </c>
      <c r="AS202" s="6">
        <v>123</v>
      </c>
      <c r="AU202" s="17">
        <v>200</v>
      </c>
      <c r="AV202" s="6">
        <v>0.60111000000000003</v>
      </c>
      <c r="AW202" s="19">
        <v>-3.9619</v>
      </c>
      <c r="AX202" s="6">
        <v>0.57750000000000001</v>
      </c>
      <c r="AY202" s="6">
        <v>123</v>
      </c>
    </row>
    <row r="203" spans="1:51" x14ac:dyDescent="0.25">
      <c r="A203" s="34" t="s">
        <v>97</v>
      </c>
      <c r="B203" s="35">
        <v>1</v>
      </c>
      <c r="C203" s="35">
        <v>12</v>
      </c>
      <c r="D203" s="35">
        <v>2</v>
      </c>
      <c r="E203" s="35">
        <v>5</v>
      </c>
      <c r="F203" s="2">
        <v>59.5</v>
      </c>
      <c r="G203">
        <v>83.243226924743595</v>
      </c>
      <c r="H203">
        <v>10.4</v>
      </c>
      <c r="AB203" s="17">
        <v>201</v>
      </c>
      <c r="AC203" s="6">
        <v>3.2289400000000001</v>
      </c>
      <c r="AD203" s="6">
        <v>9.3943999999999992</v>
      </c>
      <c r="AE203" s="6">
        <v>3.1023000000000001</v>
      </c>
      <c r="AF203" s="6">
        <v>123</v>
      </c>
      <c r="AH203" s="17">
        <v>201</v>
      </c>
      <c r="AI203" s="6">
        <v>6.1407999999999996</v>
      </c>
      <c r="AJ203" s="6">
        <v>9.3943999999999992</v>
      </c>
      <c r="AK203" s="6">
        <v>3.1023000000000001</v>
      </c>
      <c r="AL203" s="6">
        <v>123</v>
      </c>
      <c r="AO203" s="17">
        <v>201</v>
      </c>
      <c r="AP203" s="6">
        <v>1.15412</v>
      </c>
      <c r="AQ203" s="19">
        <v>-1.2849999999999999</v>
      </c>
      <c r="AR203" s="6">
        <v>0.58309999999999995</v>
      </c>
      <c r="AS203" s="6">
        <v>123</v>
      </c>
      <c r="AU203" s="17">
        <v>201</v>
      </c>
      <c r="AV203" s="6">
        <v>0.60685999999999996</v>
      </c>
      <c r="AW203" s="19">
        <v>-1.2849999999999999</v>
      </c>
      <c r="AX203" s="6">
        <v>0.58309999999999995</v>
      </c>
      <c r="AY203" s="6">
        <v>123</v>
      </c>
    </row>
    <row r="204" spans="1:51" x14ac:dyDescent="0.25">
      <c r="A204" s="34" t="s">
        <v>97</v>
      </c>
      <c r="B204" s="35">
        <v>2</v>
      </c>
      <c r="C204" s="35">
        <v>5</v>
      </c>
      <c r="D204" s="35">
        <v>3</v>
      </c>
      <c r="E204" s="35">
        <v>5</v>
      </c>
      <c r="F204" s="2">
        <v>60.7</v>
      </c>
      <c r="G204">
        <v>84.341232076473702</v>
      </c>
      <c r="H204" t="s">
        <v>12</v>
      </c>
      <c r="AB204" s="17">
        <v>202</v>
      </c>
      <c r="AC204" s="6">
        <v>3.1937600000000002</v>
      </c>
      <c r="AD204" s="6">
        <v>7.1673999999999998</v>
      </c>
      <c r="AE204" s="6">
        <v>3.0684999999999998</v>
      </c>
      <c r="AF204" s="6">
        <v>123</v>
      </c>
      <c r="AH204" s="17">
        <v>202</v>
      </c>
      <c r="AI204" s="6">
        <v>6.0739000000000001</v>
      </c>
      <c r="AJ204" s="6">
        <v>7.1673999999999998</v>
      </c>
      <c r="AK204" s="6">
        <v>3.0684999999999998</v>
      </c>
      <c r="AL204" s="6">
        <v>123</v>
      </c>
      <c r="AO204" s="17">
        <v>202</v>
      </c>
      <c r="AP204" s="6">
        <v>1.1336599999999999</v>
      </c>
      <c r="AQ204" s="19">
        <v>-1.4879</v>
      </c>
      <c r="AR204" s="6">
        <v>0.57269999999999999</v>
      </c>
      <c r="AS204" s="6">
        <v>123</v>
      </c>
      <c r="AU204" s="17">
        <v>202</v>
      </c>
      <c r="AV204" s="6">
        <v>0.59609999999999996</v>
      </c>
      <c r="AW204" s="19">
        <v>-1.4879</v>
      </c>
      <c r="AX204" s="6">
        <v>0.57269999999999999</v>
      </c>
      <c r="AY204" s="6">
        <v>123</v>
      </c>
    </row>
    <row r="205" spans="1:51" x14ac:dyDescent="0.25">
      <c r="A205" s="34" t="s">
        <v>97</v>
      </c>
      <c r="B205" s="35">
        <v>3</v>
      </c>
      <c r="C205" s="35">
        <v>7</v>
      </c>
      <c r="D205" s="35">
        <v>5</v>
      </c>
      <c r="E205" s="35">
        <v>5</v>
      </c>
      <c r="F205" s="2">
        <v>58</v>
      </c>
      <c r="G205">
        <v>85.566850360322164</v>
      </c>
      <c r="H205" t="s">
        <v>12</v>
      </c>
      <c r="AB205" s="17">
        <v>203</v>
      </c>
      <c r="AC205" s="6">
        <v>3.2139899999999999</v>
      </c>
      <c r="AD205" s="19">
        <v>-1.7828999999999999</v>
      </c>
      <c r="AE205" s="6">
        <v>3.0878999999999999</v>
      </c>
      <c r="AF205" s="6">
        <v>123</v>
      </c>
      <c r="AH205" s="17">
        <v>203</v>
      </c>
      <c r="AI205" s="6">
        <v>6.1124000000000001</v>
      </c>
      <c r="AJ205" s="19">
        <v>-1.7828999999999999</v>
      </c>
      <c r="AK205" s="6">
        <v>3.0878999999999999</v>
      </c>
      <c r="AL205" s="6">
        <v>123</v>
      </c>
      <c r="AO205" s="17">
        <v>203</v>
      </c>
      <c r="AP205" s="6">
        <v>1.1437900000000001</v>
      </c>
      <c r="AQ205" s="19">
        <v>-2.8321000000000001</v>
      </c>
      <c r="AR205" s="6">
        <v>0.57779999999999998</v>
      </c>
      <c r="AS205" s="6">
        <v>123</v>
      </c>
      <c r="AU205" s="17">
        <v>203</v>
      </c>
      <c r="AV205" s="6">
        <v>0.60141999999999995</v>
      </c>
      <c r="AW205" s="19">
        <v>-2.8321000000000001</v>
      </c>
      <c r="AX205" s="6">
        <v>0.57779999999999998</v>
      </c>
      <c r="AY205" s="6">
        <v>123</v>
      </c>
    </row>
    <row r="206" spans="1:51" x14ac:dyDescent="0.25">
      <c r="A206" s="34" t="s">
        <v>97</v>
      </c>
      <c r="B206" s="35">
        <v>1</v>
      </c>
      <c r="C206" s="35">
        <v>1</v>
      </c>
      <c r="D206" s="35">
        <v>2</v>
      </c>
      <c r="E206" s="35">
        <v>6</v>
      </c>
      <c r="F206" s="2">
        <v>62.1</v>
      </c>
      <c r="G206">
        <v>62.140863787375409</v>
      </c>
      <c r="H206">
        <v>10.9</v>
      </c>
      <c r="AB206" s="17">
        <v>204</v>
      </c>
      <c r="AC206" s="6">
        <v>3.2154099999999999</v>
      </c>
      <c r="AD206" s="6">
        <v>0.68440000000000001</v>
      </c>
      <c r="AE206" s="6">
        <v>3.0893000000000002</v>
      </c>
      <c r="AF206" s="6">
        <v>123</v>
      </c>
      <c r="AH206" s="17">
        <v>204</v>
      </c>
      <c r="AI206" s="6">
        <v>6.1151</v>
      </c>
      <c r="AJ206" s="6">
        <v>0.68440000000000001</v>
      </c>
      <c r="AK206" s="6">
        <v>3.0893000000000002</v>
      </c>
      <c r="AL206" s="6">
        <v>123</v>
      </c>
      <c r="AO206" s="17">
        <v>204</v>
      </c>
      <c r="AP206" s="6">
        <v>1.1458699999999999</v>
      </c>
      <c r="AQ206" s="19">
        <v>-2.6215000000000002</v>
      </c>
      <c r="AR206" s="6">
        <v>0.57889999999999997</v>
      </c>
      <c r="AS206" s="6">
        <v>123</v>
      </c>
      <c r="AU206" s="17">
        <v>204</v>
      </c>
      <c r="AV206" s="6">
        <v>0.60251999999999994</v>
      </c>
      <c r="AW206" s="19">
        <v>-2.6215000000000002</v>
      </c>
      <c r="AX206" s="6">
        <v>0.57889999999999997</v>
      </c>
      <c r="AY206" s="6">
        <v>123</v>
      </c>
    </row>
    <row r="207" spans="1:51" x14ac:dyDescent="0.25">
      <c r="A207" s="34" t="s">
        <v>97</v>
      </c>
      <c r="B207" s="35">
        <v>2</v>
      </c>
      <c r="C207" s="35">
        <v>13</v>
      </c>
      <c r="D207" s="35">
        <v>3</v>
      </c>
      <c r="E207" s="35">
        <v>6</v>
      </c>
      <c r="F207" s="2">
        <v>62.2</v>
      </c>
      <c r="G207">
        <v>56.063069569835363</v>
      </c>
      <c r="H207" t="s">
        <v>12</v>
      </c>
      <c r="AB207" s="17">
        <v>205</v>
      </c>
      <c r="AC207" s="6">
        <v>5.1238799999999998</v>
      </c>
      <c r="AD207" s="6">
        <v>9.64</v>
      </c>
      <c r="AE207" s="6">
        <v>4.9229000000000003</v>
      </c>
      <c r="AF207" s="6">
        <v>123</v>
      </c>
      <c r="AH207" s="17">
        <v>205</v>
      </c>
      <c r="AI207" s="6">
        <v>9.7446000000000002</v>
      </c>
      <c r="AJ207" s="6">
        <v>9.64</v>
      </c>
      <c r="AK207" s="6">
        <v>4.9229000000000003</v>
      </c>
      <c r="AL207" s="6">
        <v>123</v>
      </c>
      <c r="AO207" s="17">
        <v>205</v>
      </c>
      <c r="AP207" s="6">
        <v>1.82094</v>
      </c>
      <c r="AQ207" s="19">
        <v>-2.1042000000000001</v>
      </c>
      <c r="AR207" s="6">
        <v>0.91990000000000005</v>
      </c>
      <c r="AS207" s="6">
        <v>123</v>
      </c>
      <c r="AU207" s="17">
        <v>205</v>
      </c>
      <c r="AV207" s="6">
        <v>0.95748</v>
      </c>
      <c r="AW207" s="19">
        <v>-2.1042000000000001</v>
      </c>
      <c r="AX207" s="6">
        <v>0.91990000000000005</v>
      </c>
      <c r="AY207" s="6">
        <v>123</v>
      </c>
    </row>
    <row r="208" spans="1:51" x14ac:dyDescent="0.25">
      <c r="A208" s="34" t="s">
        <v>97</v>
      </c>
      <c r="B208" s="35">
        <v>3</v>
      </c>
      <c r="C208" s="35">
        <v>2</v>
      </c>
      <c r="D208" s="35">
        <v>6</v>
      </c>
      <c r="E208" s="35">
        <v>6</v>
      </c>
      <c r="F208" s="2">
        <v>61.4</v>
      </c>
      <c r="G208">
        <v>57.299530802975397</v>
      </c>
      <c r="H208" t="s">
        <v>12</v>
      </c>
      <c r="AB208" s="17">
        <v>206</v>
      </c>
      <c r="AC208" s="6">
        <v>3.2194400000000001</v>
      </c>
      <c r="AD208" s="6">
        <v>10.8935</v>
      </c>
      <c r="AE208" s="6">
        <v>3.0931999999999999</v>
      </c>
      <c r="AF208" s="6">
        <v>123</v>
      </c>
      <c r="AH208" s="17">
        <v>206</v>
      </c>
      <c r="AI208" s="6">
        <v>6.1227999999999998</v>
      </c>
      <c r="AJ208" s="6">
        <v>10.8935</v>
      </c>
      <c r="AK208" s="6">
        <v>3.0931999999999999</v>
      </c>
      <c r="AL208" s="6">
        <v>123</v>
      </c>
      <c r="AO208" s="17">
        <v>206</v>
      </c>
      <c r="AP208" s="6">
        <v>1.14645</v>
      </c>
      <c r="AQ208" s="19">
        <v>-0.1671</v>
      </c>
      <c r="AR208" s="6">
        <v>0.57920000000000005</v>
      </c>
      <c r="AS208" s="6">
        <v>123</v>
      </c>
      <c r="AU208" s="17">
        <v>206</v>
      </c>
      <c r="AV208" s="6">
        <v>0.60282000000000002</v>
      </c>
      <c r="AW208" s="19">
        <v>-0.1671</v>
      </c>
      <c r="AX208" s="6">
        <v>0.57920000000000005</v>
      </c>
      <c r="AY208" s="6">
        <v>123</v>
      </c>
    </row>
    <row r="209" spans="1:51" x14ac:dyDescent="0.25">
      <c r="A209" s="34" t="s">
        <v>97</v>
      </c>
      <c r="B209" s="35">
        <v>1</v>
      </c>
      <c r="C209" s="35">
        <v>8</v>
      </c>
      <c r="D209" s="35">
        <v>2</v>
      </c>
      <c r="E209" s="35">
        <v>8</v>
      </c>
      <c r="F209" s="2">
        <v>61.9</v>
      </c>
      <c r="G209">
        <v>82.458148201646679</v>
      </c>
      <c r="H209">
        <v>9.6</v>
      </c>
      <c r="AB209" s="17">
        <v>207</v>
      </c>
      <c r="AC209" s="6">
        <v>3.2075499999999999</v>
      </c>
      <c r="AD209" s="19">
        <v>-4.5972999999999997</v>
      </c>
      <c r="AE209" s="6">
        <v>3.0817000000000001</v>
      </c>
      <c r="AF209" s="6">
        <v>123</v>
      </c>
      <c r="AH209" s="17">
        <v>207</v>
      </c>
      <c r="AI209" s="6">
        <v>6.1001000000000003</v>
      </c>
      <c r="AJ209" s="19">
        <v>-4.5972999999999997</v>
      </c>
      <c r="AK209" s="6">
        <v>3.0817000000000001</v>
      </c>
      <c r="AL209" s="6">
        <v>123</v>
      </c>
      <c r="AO209" s="17">
        <v>207</v>
      </c>
      <c r="AP209" s="6">
        <v>1.14194</v>
      </c>
      <c r="AQ209" s="19">
        <v>-1.2499</v>
      </c>
      <c r="AR209" s="6">
        <v>0.57689999999999997</v>
      </c>
      <c r="AS209" s="6">
        <v>123</v>
      </c>
      <c r="AU209" s="17">
        <v>207</v>
      </c>
      <c r="AV209" s="6">
        <v>0.60045000000000004</v>
      </c>
      <c r="AW209" s="19">
        <v>-1.2499</v>
      </c>
      <c r="AX209" s="6">
        <v>0.57689999999999997</v>
      </c>
      <c r="AY209" s="6">
        <v>123</v>
      </c>
    </row>
    <row r="210" spans="1:51" x14ac:dyDescent="0.25">
      <c r="A210" s="34" t="s">
        <v>97</v>
      </c>
      <c r="B210" s="35">
        <v>2</v>
      </c>
      <c r="C210" s="35">
        <v>17</v>
      </c>
      <c r="D210" s="35">
        <v>4</v>
      </c>
      <c r="E210" s="35">
        <v>8</v>
      </c>
      <c r="F210" s="2">
        <v>61.1</v>
      </c>
      <c r="G210">
        <v>79.414325982742085</v>
      </c>
      <c r="H210" t="s">
        <v>12</v>
      </c>
      <c r="AB210" s="17">
        <v>208</v>
      </c>
      <c r="AC210" s="6">
        <v>3.18316</v>
      </c>
      <c r="AD210" s="6">
        <v>4.3985000000000003</v>
      </c>
      <c r="AE210" s="6">
        <v>3.0583</v>
      </c>
      <c r="AF210" s="6">
        <v>123</v>
      </c>
      <c r="AH210" s="17">
        <v>208</v>
      </c>
      <c r="AI210" s="6">
        <v>6.0537000000000001</v>
      </c>
      <c r="AJ210" s="6">
        <v>4.3985000000000003</v>
      </c>
      <c r="AK210" s="6">
        <v>3.0583</v>
      </c>
      <c r="AL210" s="6">
        <v>123</v>
      </c>
      <c r="AO210" s="17">
        <v>208</v>
      </c>
      <c r="AP210" s="6">
        <v>1.14364</v>
      </c>
      <c r="AQ210" s="6">
        <v>1.9462999999999999</v>
      </c>
      <c r="AR210" s="6">
        <v>0.57779999999999998</v>
      </c>
      <c r="AS210" s="6">
        <v>123</v>
      </c>
      <c r="AU210" s="17">
        <v>208</v>
      </c>
      <c r="AV210" s="6">
        <v>0.60135000000000005</v>
      </c>
      <c r="AW210" s="6">
        <v>1.9462999999999999</v>
      </c>
      <c r="AX210" s="6">
        <v>0.57779999999999998</v>
      </c>
      <c r="AY210" s="6">
        <v>123</v>
      </c>
    </row>
    <row r="211" spans="1:51" x14ac:dyDescent="0.25">
      <c r="A211" s="34" t="s">
        <v>97</v>
      </c>
      <c r="B211" s="35">
        <v>3</v>
      </c>
      <c r="C211" s="35">
        <v>10</v>
      </c>
      <c r="D211" s="35">
        <v>6</v>
      </c>
      <c r="E211" s="35">
        <v>8</v>
      </c>
      <c r="F211" s="2">
        <v>61.1</v>
      </c>
      <c r="G211">
        <v>82.103156589738703</v>
      </c>
      <c r="H211" t="s">
        <v>12</v>
      </c>
      <c r="AB211" s="17">
        <v>209</v>
      </c>
      <c r="AC211" s="6">
        <v>3.1998000000000002</v>
      </c>
      <c r="AD211" s="6">
        <v>10.3681</v>
      </c>
      <c r="AE211" s="6">
        <v>3.0743</v>
      </c>
      <c r="AF211" s="6">
        <v>123</v>
      </c>
      <c r="AH211" s="17">
        <v>209</v>
      </c>
      <c r="AI211" s="6">
        <v>6.0853999999999999</v>
      </c>
      <c r="AJ211" s="6">
        <v>10.3681</v>
      </c>
      <c r="AK211" s="6">
        <v>3.0743</v>
      </c>
      <c r="AL211" s="6">
        <v>123</v>
      </c>
      <c r="AO211" s="17">
        <v>209</v>
      </c>
      <c r="AP211" s="6">
        <v>1.1352899999999999</v>
      </c>
      <c r="AQ211" s="6">
        <v>3.1389999999999998</v>
      </c>
      <c r="AR211" s="6">
        <v>0.57350000000000001</v>
      </c>
      <c r="AS211" s="6">
        <v>123</v>
      </c>
      <c r="AU211" s="17">
        <v>209</v>
      </c>
      <c r="AV211" s="6">
        <v>0.59696000000000005</v>
      </c>
      <c r="AW211" s="6">
        <v>3.1389999999999998</v>
      </c>
      <c r="AX211" s="6">
        <v>0.57350000000000001</v>
      </c>
      <c r="AY211" s="6">
        <v>123</v>
      </c>
    </row>
    <row r="212" spans="1:51" x14ac:dyDescent="0.25">
      <c r="A212" s="34" t="s">
        <v>97</v>
      </c>
      <c r="B212" s="35">
        <v>1</v>
      </c>
      <c r="C212" s="35">
        <v>13</v>
      </c>
      <c r="D212" s="35">
        <v>2</v>
      </c>
      <c r="E212" s="35">
        <v>42</v>
      </c>
      <c r="F212" s="2">
        <v>61.8</v>
      </c>
      <c r="G212">
        <v>78.362296692185438</v>
      </c>
      <c r="H212">
        <v>10.199999999999999</v>
      </c>
      <c r="AB212" s="17">
        <v>210</v>
      </c>
      <c r="AC212" s="6">
        <v>3.21652</v>
      </c>
      <c r="AD212" s="19">
        <v>-3.5886999999999998</v>
      </c>
      <c r="AE212" s="6">
        <v>3.0903999999999998</v>
      </c>
      <c r="AF212" s="6">
        <v>123</v>
      </c>
      <c r="AH212" s="17">
        <v>210</v>
      </c>
      <c r="AI212" s="6">
        <v>6.1172000000000004</v>
      </c>
      <c r="AJ212" s="19">
        <v>-3.5886999999999998</v>
      </c>
      <c r="AK212" s="6">
        <v>3.0903999999999998</v>
      </c>
      <c r="AL212" s="6">
        <v>123</v>
      </c>
      <c r="AO212" s="17">
        <v>210</v>
      </c>
      <c r="AP212" s="6">
        <v>1.14445</v>
      </c>
      <c r="AQ212" s="19">
        <v>-1.8636999999999999</v>
      </c>
      <c r="AR212" s="6">
        <v>0.57820000000000005</v>
      </c>
      <c r="AS212" s="6">
        <v>123</v>
      </c>
      <c r="AU212" s="17">
        <v>210</v>
      </c>
      <c r="AV212" s="6">
        <v>0.60177000000000003</v>
      </c>
      <c r="AW212" s="19">
        <v>-1.8636999999999999</v>
      </c>
      <c r="AX212" s="6">
        <v>0.57820000000000005</v>
      </c>
      <c r="AY212" s="6">
        <v>123</v>
      </c>
    </row>
    <row r="213" spans="1:51" x14ac:dyDescent="0.25">
      <c r="A213" s="34" t="s">
        <v>97</v>
      </c>
      <c r="B213" s="35">
        <v>2</v>
      </c>
      <c r="C213" s="35">
        <v>3</v>
      </c>
      <c r="D213" s="35">
        <v>4</v>
      </c>
      <c r="E213" s="35">
        <v>42</v>
      </c>
      <c r="F213" s="2">
        <v>62.5</v>
      </c>
      <c r="G213">
        <v>72.419022051773723</v>
      </c>
      <c r="H213" t="s">
        <v>12</v>
      </c>
      <c r="AB213" s="17">
        <v>211</v>
      </c>
      <c r="AC213" s="6">
        <v>3.2061500000000001</v>
      </c>
      <c r="AD213" s="6">
        <v>4.9519000000000002</v>
      </c>
      <c r="AE213" s="6">
        <v>3.0804</v>
      </c>
      <c r="AF213" s="6">
        <v>123</v>
      </c>
      <c r="AH213" s="17">
        <v>211</v>
      </c>
      <c r="AI213" s="6">
        <v>6.0975000000000001</v>
      </c>
      <c r="AJ213" s="6">
        <v>4.9519000000000002</v>
      </c>
      <c r="AK213" s="6">
        <v>3.0804</v>
      </c>
      <c r="AL213" s="6">
        <v>123</v>
      </c>
      <c r="AO213" s="17">
        <v>211</v>
      </c>
      <c r="AP213" s="6">
        <v>1.14097</v>
      </c>
      <c r="AQ213" s="19">
        <v>-0.3846</v>
      </c>
      <c r="AR213" s="6">
        <v>0.57640000000000002</v>
      </c>
      <c r="AS213" s="6">
        <v>123</v>
      </c>
      <c r="AU213" s="17">
        <v>211</v>
      </c>
      <c r="AV213" s="6">
        <v>0.59994000000000003</v>
      </c>
      <c r="AW213" s="19">
        <v>-0.3846</v>
      </c>
      <c r="AX213" s="6">
        <v>0.57640000000000002</v>
      </c>
      <c r="AY213" s="6">
        <v>123</v>
      </c>
    </row>
    <row r="214" spans="1:51" x14ac:dyDescent="0.25">
      <c r="A214" s="34" t="s">
        <v>97</v>
      </c>
      <c r="B214" s="35">
        <v>3</v>
      </c>
      <c r="C214" s="35">
        <v>5</v>
      </c>
      <c r="D214" s="35">
        <v>5</v>
      </c>
      <c r="E214" s="35">
        <v>42</v>
      </c>
      <c r="F214" s="2">
        <v>62</v>
      </c>
      <c r="G214">
        <v>74.389936413734631</v>
      </c>
      <c r="H214" t="s">
        <v>12</v>
      </c>
      <c r="AB214" s="17">
        <v>212</v>
      </c>
      <c r="AC214" s="6">
        <v>3.2033499999999999</v>
      </c>
      <c r="AD214" s="19">
        <v>-0.14630000000000001</v>
      </c>
      <c r="AE214" s="6">
        <v>3.0777000000000001</v>
      </c>
      <c r="AF214" s="6">
        <v>123</v>
      </c>
      <c r="AH214" s="17">
        <v>212</v>
      </c>
      <c r="AI214" s="6">
        <v>6.0921000000000003</v>
      </c>
      <c r="AJ214" s="19">
        <v>-0.14630000000000001</v>
      </c>
      <c r="AK214" s="6">
        <v>3.0777000000000001</v>
      </c>
      <c r="AL214" s="6">
        <v>123</v>
      </c>
      <c r="AO214" s="17">
        <v>212</v>
      </c>
      <c r="AP214" s="6">
        <v>1.1409400000000001</v>
      </c>
      <c r="AQ214" s="19">
        <v>-0.81489999999999996</v>
      </c>
      <c r="AR214" s="6">
        <v>0.57640000000000002</v>
      </c>
      <c r="AS214" s="6">
        <v>123</v>
      </c>
      <c r="AU214" s="17">
        <v>212</v>
      </c>
      <c r="AV214" s="6">
        <v>0.59992000000000001</v>
      </c>
      <c r="AW214" s="19">
        <v>-0.81489999999999996</v>
      </c>
      <c r="AX214" s="6">
        <v>0.57640000000000002</v>
      </c>
      <c r="AY214" s="6">
        <v>123</v>
      </c>
    </row>
    <row r="215" spans="1:51" x14ac:dyDescent="0.25">
      <c r="A215" s="34" t="s">
        <v>97</v>
      </c>
      <c r="B215" s="35">
        <v>1</v>
      </c>
      <c r="C215" s="35">
        <v>9</v>
      </c>
      <c r="D215" s="35">
        <v>1</v>
      </c>
      <c r="E215" s="35">
        <v>44</v>
      </c>
      <c r="F215" s="2">
        <v>59.2</v>
      </c>
      <c r="G215">
        <v>73.805160000000001</v>
      </c>
      <c r="H215">
        <v>9.8000000000000007</v>
      </c>
      <c r="AB215" s="17">
        <v>213</v>
      </c>
      <c r="AC215" s="6">
        <v>3.2117499999999999</v>
      </c>
      <c r="AD215" s="19">
        <v>-8.7483000000000004</v>
      </c>
      <c r="AE215" s="6">
        <v>3.0857999999999999</v>
      </c>
      <c r="AF215" s="6">
        <v>123</v>
      </c>
      <c r="AH215" s="17">
        <v>213</v>
      </c>
      <c r="AI215" s="6">
        <v>6.1081000000000003</v>
      </c>
      <c r="AJ215" s="19">
        <v>-8.7483000000000004</v>
      </c>
      <c r="AK215" s="6">
        <v>3.0857999999999999</v>
      </c>
      <c r="AL215" s="6">
        <v>123</v>
      </c>
      <c r="AO215" s="17">
        <v>213</v>
      </c>
      <c r="AP215" s="6">
        <v>1.1451499999999999</v>
      </c>
      <c r="AQ215" s="19">
        <v>-1.6843999999999999</v>
      </c>
      <c r="AR215" s="6">
        <v>0.57850000000000001</v>
      </c>
      <c r="AS215" s="6">
        <v>123</v>
      </c>
      <c r="AU215" s="17">
        <v>213</v>
      </c>
      <c r="AV215" s="6">
        <v>0.60214000000000001</v>
      </c>
      <c r="AW215" s="19">
        <v>-1.6843999999999999</v>
      </c>
      <c r="AX215" s="6">
        <v>0.57850000000000001</v>
      </c>
      <c r="AY215" s="6">
        <v>123</v>
      </c>
    </row>
    <row r="216" spans="1:51" x14ac:dyDescent="0.25">
      <c r="A216" s="34" t="s">
        <v>97</v>
      </c>
      <c r="B216" s="35">
        <v>2</v>
      </c>
      <c r="C216" s="35">
        <v>12</v>
      </c>
      <c r="D216" s="35">
        <v>3</v>
      </c>
      <c r="E216" s="35">
        <v>44</v>
      </c>
      <c r="F216" s="2">
        <v>58.8</v>
      </c>
      <c r="G216">
        <v>68.378252788104092</v>
      </c>
      <c r="H216" t="s">
        <v>12</v>
      </c>
      <c r="AB216" s="17">
        <v>214</v>
      </c>
      <c r="AC216" s="6">
        <v>3.20363</v>
      </c>
      <c r="AD216" s="19">
        <v>-4.2085999999999997</v>
      </c>
      <c r="AE216" s="6">
        <v>3.0779999999999998</v>
      </c>
      <c r="AF216" s="6">
        <v>123</v>
      </c>
      <c r="AH216" s="17">
        <v>214</v>
      </c>
      <c r="AI216" s="6">
        <v>6.0926999999999998</v>
      </c>
      <c r="AJ216" s="19">
        <v>-4.2085999999999997</v>
      </c>
      <c r="AK216" s="6">
        <v>3.0779999999999998</v>
      </c>
      <c r="AL216" s="6">
        <v>123</v>
      </c>
      <c r="AO216" s="17">
        <v>214</v>
      </c>
      <c r="AP216" s="6">
        <v>1.14079</v>
      </c>
      <c r="AQ216" s="6">
        <v>0.44500000000000001</v>
      </c>
      <c r="AR216" s="6">
        <v>0.57630000000000003</v>
      </c>
      <c r="AS216" s="6">
        <v>123</v>
      </c>
      <c r="AU216" s="17">
        <v>214</v>
      </c>
      <c r="AV216" s="6">
        <v>0.59984000000000004</v>
      </c>
      <c r="AW216" s="6">
        <v>0.44500000000000001</v>
      </c>
      <c r="AX216" s="6">
        <v>0.57630000000000003</v>
      </c>
      <c r="AY216" s="6">
        <v>123</v>
      </c>
    </row>
    <row r="217" spans="1:51" x14ac:dyDescent="0.25">
      <c r="A217" s="34" t="s">
        <v>97</v>
      </c>
      <c r="B217" s="35">
        <v>3</v>
      </c>
      <c r="C217" s="35">
        <v>13</v>
      </c>
      <c r="D217" s="35">
        <v>6</v>
      </c>
      <c r="E217" s="35">
        <v>44</v>
      </c>
      <c r="F217" s="2">
        <v>58.4</v>
      </c>
      <c r="G217">
        <v>72.277836162502382</v>
      </c>
      <c r="H217" t="s">
        <v>12</v>
      </c>
      <c r="AB217" s="17">
        <v>215</v>
      </c>
      <c r="AC217" s="6">
        <v>3.1910799999999999</v>
      </c>
      <c r="AD217" s="19">
        <v>-3.4009999999999998</v>
      </c>
      <c r="AE217" s="6">
        <v>3.0659000000000001</v>
      </c>
      <c r="AF217" s="6">
        <v>123</v>
      </c>
      <c r="AH217" s="17">
        <v>215</v>
      </c>
      <c r="AI217" s="6">
        <v>6.0688000000000004</v>
      </c>
      <c r="AJ217" s="19">
        <v>-3.4009999999999998</v>
      </c>
      <c r="AK217" s="6">
        <v>3.0659000000000001</v>
      </c>
      <c r="AL217" s="6">
        <v>123</v>
      </c>
      <c r="AO217" s="17">
        <v>215</v>
      </c>
      <c r="AP217" s="6">
        <v>1.13503</v>
      </c>
      <c r="AQ217" s="19">
        <v>-2.1574</v>
      </c>
      <c r="AR217" s="6">
        <v>0.57340000000000002</v>
      </c>
      <c r="AS217" s="6">
        <v>123</v>
      </c>
      <c r="AU217" s="17">
        <v>215</v>
      </c>
      <c r="AV217" s="6">
        <v>0.59682000000000002</v>
      </c>
      <c r="AW217" s="19">
        <v>-2.1574</v>
      </c>
      <c r="AX217" s="6">
        <v>0.57340000000000002</v>
      </c>
      <c r="AY217" s="6">
        <v>123</v>
      </c>
    </row>
    <row r="218" spans="1:51" x14ac:dyDescent="0.25">
      <c r="A218" s="34" t="s">
        <v>97</v>
      </c>
      <c r="B218" s="35">
        <v>1</v>
      </c>
      <c r="C218" s="35">
        <v>6</v>
      </c>
      <c r="D218" s="35">
        <v>1</v>
      </c>
      <c r="E218" s="35">
        <v>43</v>
      </c>
      <c r="F218" s="2">
        <v>57.3</v>
      </c>
      <c r="G218">
        <v>80.889788571428554</v>
      </c>
      <c r="H218">
        <v>10.6</v>
      </c>
      <c r="AB218" s="17">
        <v>216</v>
      </c>
      <c r="AC218" s="6">
        <v>3.2035100000000001</v>
      </c>
      <c r="AD218" s="19">
        <v>-5.1820000000000004</v>
      </c>
      <c r="AE218" s="6">
        <v>3.0779000000000001</v>
      </c>
      <c r="AF218" s="6">
        <v>123</v>
      </c>
      <c r="AH218" s="17">
        <v>216</v>
      </c>
      <c r="AI218" s="6">
        <v>6.0923999999999996</v>
      </c>
      <c r="AJ218" s="19">
        <v>-5.1820000000000004</v>
      </c>
      <c r="AK218" s="6">
        <v>3.0779000000000001</v>
      </c>
      <c r="AL218" s="6">
        <v>123</v>
      </c>
      <c r="AO218" s="17">
        <v>216</v>
      </c>
      <c r="AP218" s="6">
        <v>1.1350199999999999</v>
      </c>
      <c r="AQ218" s="19">
        <v>-0.31859999999999999</v>
      </c>
      <c r="AR218" s="6">
        <v>0.57340000000000002</v>
      </c>
      <c r="AS218" s="6">
        <v>123</v>
      </c>
      <c r="AU218" s="17">
        <v>216</v>
      </c>
      <c r="AV218" s="6">
        <v>0.59680999999999995</v>
      </c>
      <c r="AW218" s="19">
        <v>-0.31859999999999999</v>
      </c>
      <c r="AX218" s="6">
        <v>0.57340000000000002</v>
      </c>
      <c r="AY218" s="6">
        <v>123</v>
      </c>
    </row>
    <row r="219" spans="1:51" x14ac:dyDescent="0.25">
      <c r="A219" s="34" t="s">
        <v>97</v>
      </c>
      <c r="B219" s="35">
        <v>2</v>
      </c>
      <c r="C219" s="35">
        <v>12</v>
      </c>
      <c r="D219" s="35">
        <v>4</v>
      </c>
      <c r="E219" s="35">
        <v>43</v>
      </c>
      <c r="F219" s="2">
        <v>59.2</v>
      </c>
      <c r="G219">
        <v>72.208635186960663</v>
      </c>
      <c r="H219" t="s">
        <v>12</v>
      </c>
      <c r="AB219" s="17">
        <v>217</v>
      </c>
      <c r="AC219" s="6">
        <v>3.2309299999999999</v>
      </c>
      <c r="AD219" s="6">
        <v>4.7605000000000004</v>
      </c>
      <c r="AE219" s="6">
        <v>3.1042000000000001</v>
      </c>
      <c r="AF219" s="6">
        <v>123</v>
      </c>
      <c r="AH219" s="17">
        <v>217</v>
      </c>
      <c r="AI219" s="6">
        <v>6.1445999999999996</v>
      </c>
      <c r="AJ219" s="6">
        <v>4.7605000000000004</v>
      </c>
      <c r="AK219" s="6">
        <v>3.1042000000000001</v>
      </c>
      <c r="AL219" s="6">
        <v>123</v>
      </c>
      <c r="AO219" s="17">
        <v>217</v>
      </c>
      <c r="AP219" s="6">
        <v>1.1558900000000001</v>
      </c>
      <c r="AQ219" s="6">
        <v>0.22470000000000001</v>
      </c>
      <c r="AR219" s="6">
        <v>0.58389999999999997</v>
      </c>
      <c r="AS219" s="6">
        <v>123</v>
      </c>
      <c r="AU219" s="17">
        <v>217</v>
      </c>
      <c r="AV219" s="6">
        <v>0.60779000000000005</v>
      </c>
      <c r="AW219" s="6">
        <v>0.22470000000000001</v>
      </c>
      <c r="AX219" s="6">
        <v>0.58389999999999997</v>
      </c>
      <c r="AY219" s="6">
        <v>123</v>
      </c>
    </row>
    <row r="220" spans="1:51" x14ac:dyDescent="0.25">
      <c r="A220" s="34" t="s">
        <v>97</v>
      </c>
      <c r="B220" s="35">
        <v>3</v>
      </c>
      <c r="C220" s="35">
        <v>1</v>
      </c>
      <c r="D220" s="35">
        <v>5</v>
      </c>
      <c r="E220" s="35">
        <v>43</v>
      </c>
      <c r="F220" s="2">
        <v>59.8</v>
      </c>
      <c r="G220">
        <v>72.670411191182694</v>
      </c>
      <c r="H220" t="s">
        <v>12</v>
      </c>
      <c r="AB220" s="17">
        <v>218</v>
      </c>
      <c r="AC220" s="6">
        <v>3.2164799999999998</v>
      </c>
      <c r="AD220" s="19">
        <v>-6.7930999999999999</v>
      </c>
      <c r="AE220" s="6">
        <v>3.0903</v>
      </c>
      <c r="AF220" s="6">
        <v>123</v>
      </c>
      <c r="AH220" s="17">
        <v>218</v>
      </c>
      <c r="AI220" s="6">
        <v>6.1170999999999998</v>
      </c>
      <c r="AJ220" s="19">
        <v>-6.7930999999999999</v>
      </c>
      <c r="AK220" s="6">
        <v>3.0903</v>
      </c>
      <c r="AL220" s="6">
        <v>123</v>
      </c>
      <c r="AO220" s="17">
        <v>218</v>
      </c>
      <c r="AP220" s="6">
        <v>1.1568400000000001</v>
      </c>
      <c r="AQ220" s="19">
        <v>-0.45650000000000002</v>
      </c>
      <c r="AR220" s="6">
        <v>0.58440000000000003</v>
      </c>
      <c r="AS220" s="6">
        <v>123</v>
      </c>
      <c r="AU220" s="17">
        <v>218</v>
      </c>
      <c r="AV220" s="6">
        <v>0.60829</v>
      </c>
      <c r="AW220" s="19">
        <v>-0.45650000000000002</v>
      </c>
      <c r="AX220" s="6">
        <v>0.58440000000000003</v>
      </c>
      <c r="AY220" s="6">
        <v>123</v>
      </c>
    </row>
    <row r="221" spans="1:51" x14ac:dyDescent="0.25">
      <c r="A221" s="34" t="s">
        <v>97</v>
      </c>
      <c r="B221" s="35">
        <v>1</v>
      </c>
      <c r="C221" s="35">
        <v>11</v>
      </c>
      <c r="D221" s="35">
        <v>2</v>
      </c>
      <c r="E221" s="35">
        <v>27</v>
      </c>
      <c r="F221" s="2">
        <v>61.1</v>
      </c>
      <c r="G221">
        <v>74.49620106890076</v>
      </c>
      <c r="H221">
        <v>10.5</v>
      </c>
      <c r="AB221" s="17">
        <v>219</v>
      </c>
      <c r="AC221" s="6">
        <v>3.1837</v>
      </c>
      <c r="AD221" s="19">
        <v>-3.1212</v>
      </c>
      <c r="AE221" s="6">
        <v>3.0588000000000002</v>
      </c>
      <c r="AF221" s="6">
        <v>123</v>
      </c>
      <c r="AH221" s="17">
        <v>219</v>
      </c>
      <c r="AI221" s="6">
        <v>6.0548000000000002</v>
      </c>
      <c r="AJ221" s="19">
        <v>-3.1212</v>
      </c>
      <c r="AK221" s="6">
        <v>3.0588000000000002</v>
      </c>
      <c r="AL221" s="6">
        <v>123</v>
      </c>
      <c r="AO221" s="17">
        <v>219</v>
      </c>
      <c r="AP221" s="6">
        <v>1.1362300000000001</v>
      </c>
      <c r="AQ221" s="19">
        <v>-0.57299999999999995</v>
      </c>
      <c r="AR221" s="6">
        <v>0.57399999999999995</v>
      </c>
      <c r="AS221" s="6">
        <v>123</v>
      </c>
      <c r="AU221" s="17">
        <v>219</v>
      </c>
      <c r="AV221" s="6">
        <v>0.59745000000000004</v>
      </c>
      <c r="AW221" s="19">
        <v>-0.57299999999999995</v>
      </c>
      <c r="AX221" s="6">
        <v>0.57399999999999995</v>
      </c>
      <c r="AY221" s="6">
        <v>123</v>
      </c>
    </row>
    <row r="222" spans="1:51" x14ac:dyDescent="0.25">
      <c r="A222" s="34" t="s">
        <v>97</v>
      </c>
      <c r="B222" s="35">
        <v>2</v>
      </c>
      <c r="C222" s="35">
        <v>18</v>
      </c>
      <c r="D222" s="35">
        <v>3</v>
      </c>
      <c r="E222" s="35">
        <v>27</v>
      </c>
      <c r="F222" s="2">
        <v>60.6</v>
      </c>
      <c r="G222">
        <v>73.774190122145498</v>
      </c>
      <c r="H222" t="s">
        <v>12</v>
      </c>
      <c r="AB222" s="17">
        <v>220</v>
      </c>
      <c r="AC222" s="6">
        <v>3.2088399999999999</v>
      </c>
      <c r="AD222" s="19">
        <v>-0.6351</v>
      </c>
      <c r="AE222" s="6">
        <v>3.0830000000000002</v>
      </c>
      <c r="AF222" s="6">
        <v>123</v>
      </c>
      <c r="AH222" s="17">
        <v>220</v>
      </c>
      <c r="AI222" s="6">
        <v>6.1025999999999998</v>
      </c>
      <c r="AJ222" s="19">
        <v>-0.6351</v>
      </c>
      <c r="AK222" s="6">
        <v>3.0830000000000002</v>
      </c>
      <c r="AL222" s="6">
        <v>123</v>
      </c>
      <c r="AO222" s="17">
        <v>220</v>
      </c>
      <c r="AP222" s="6">
        <v>1.14374</v>
      </c>
      <c r="AQ222" s="19">
        <v>-1.1054999999999999</v>
      </c>
      <c r="AR222" s="6">
        <v>0.57779999999999998</v>
      </c>
      <c r="AS222" s="6">
        <v>123</v>
      </c>
      <c r="AU222" s="17">
        <v>220</v>
      </c>
      <c r="AV222" s="6">
        <v>0.60140000000000005</v>
      </c>
      <c r="AW222" s="19">
        <v>-1.1054999999999999</v>
      </c>
      <c r="AX222" s="6">
        <v>0.57779999999999998</v>
      </c>
      <c r="AY222" s="6">
        <v>123</v>
      </c>
    </row>
    <row r="223" spans="1:51" x14ac:dyDescent="0.25">
      <c r="A223" s="34" t="s">
        <v>97</v>
      </c>
      <c r="B223" s="35">
        <v>3</v>
      </c>
      <c r="C223" s="35">
        <v>17</v>
      </c>
      <c r="D223" s="35">
        <v>6</v>
      </c>
      <c r="E223" s="35">
        <v>27</v>
      </c>
      <c r="F223" s="2">
        <v>58</v>
      </c>
      <c r="G223" t="s">
        <v>12</v>
      </c>
      <c r="H223" t="s">
        <v>12</v>
      </c>
      <c r="AB223" s="17">
        <v>221</v>
      </c>
      <c r="AC223" s="6">
        <v>3.2094299999999998</v>
      </c>
      <c r="AD223" s="6">
        <v>5.11E-2</v>
      </c>
      <c r="AE223" s="6">
        <v>3.0836000000000001</v>
      </c>
      <c r="AF223" s="6">
        <v>123</v>
      </c>
      <c r="AH223" s="17">
        <v>221</v>
      </c>
      <c r="AI223" s="6">
        <v>6.1036999999999999</v>
      </c>
      <c r="AJ223" s="6">
        <v>5.11E-2</v>
      </c>
      <c r="AK223" s="6">
        <v>3.0836000000000001</v>
      </c>
      <c r="AL223" s="6">
        <v>123</v>
      </c>
      <c r="AO223" s="17">
        <v>221</v>
      </c>
      <c r="AP223" s="6">
        <v>1.1363099999999999</v>
      </c>
      <c r="AQ223" s="19">
        <v>-1.04</v>
      </c>
      <c r="AR223" s="6">
        <v>0.57410000000000005</v>
      </c>
      <c r="AS223" s="6">
        <v>123</v>
      </c>
      <c r="AU223" s="17">
        <v>221</v>
      </c>
      <c r="AV223" s="6">
        <v>0.59748999999999997</v>
      </c>
      <c r="AW223" s="19">
        <v>-1.04</v>
      </c>
      <c r="AX223" s="6">
        <v>0.57410000000000005</v>
      </c>
      <c r="AY223" s="6">
        <v>123</v>
      </c>
    </row>
    <row r="224" spans="1:51" x14ac:dyDescent="0.25">
      <c r="A224" s="34" t="s">
        <v>97</v>
      </c>
      <c r="B224" s="35">
        <v>1</v>
      </c>
      <c r="C224" s="35">
        <v>20</v>
      </c>
      <c r="D224" s="35">
        <v>2</v>
      </c>
      <c r="E224" s="35">
        <v>31</v>
      </c>
      <c r="F224" s="2">
        <v>58.3</v>
      </c>
      <c r="G224">
        <v>62.957021522461361</v>
      </c>
      <c r="H224">
        <v>10.1</v>
      </c>
      <c r="AB224" s="17">
        <v>222</v>
      </c>
      <c r="AC224" s="6">
        <v>3.19638</v>
      </c>
      <c r="AD224" s="19">
        <v>-5.0201000000000002</v>
      </c>
      <c r="AE224" s="6">
        <v>3.0710000000000002</v>
      </c>
      <c r="AF224" s="6">
        <v>123</v>
      </c>
      <c r="AH224" s="17">
        <v>222</v>
      </c>
      <c r="AI224" s="6">
        <v>6.0789</v>
      </c>
      <c r="AJ224" s="19">
        <v>-5.0201000000000002</v>
      </c>
      <c r="AK224" s="6">
        <v>3.0710000000000002</v>
      </c>
      <c r="AL224" s="6">
        <v>123</v>
      </c>
      <c r="AO224" s="17">
        <v>222</v>
      </c>
      <c r="AP224" s="6">
        <v>1.1429499999999999</v>
      </c>
      <c r="AQ224" s="6">
        <v>1.6760000000000001E-2</v>
      </c>
      <c r="AR224" s="6">
        <v>0.57740000000000002</v>
      </c>
      <c r="AS224" s="6">
        <v>123</v>
      </c>
      <c r="AU224" s="17">
        <v>222</v>
      </c>
      <c r="AV224" s="6">
        <v>0.60097999999999996</v>
      </c>
      <c r="AW224" s="6">
        <v>1.6760000000000001E-2</v>
      </c>
      <c r="AX224" s="6">
        <v>0.57740000000000002</v>
      </c>
      <c r="AY224" s="6">
        <v>123</v>
      </c>
    </row>
    <row r="225" spans="1:51" x14ac:dyDescent="0.25">
      <c r="A225" s="34" t="s">
        <v>97</v>
      </c>
      <c r="B225" s="35">
        <v>2</v>
      </c>
      <c r="C225" s="35">
        <v>15</v>
      </c>
      <c r="D225" s="35">
        <v>4</v>
      </c>
      <c r="E225" s="35">
        <v>31</v>
      </c>
      <c r="F225" s="2">
        <v>60.1</v>
      </c>
      <c r="G225">
        <v>65.286608341323117</v>
      </c>
      <c r="H225" t="s">
        <v>12</v>
      </c>
      <c r="AB225" s="17">
        <v>223</v>
      </c>
      <c r="AC225" s="6">
        <v>3.2184499999999998</v>
      </c>
      <c r="AD225" s="19">
        <v>-0.48430000000000001</v>
      </c>
      <c r="AE225" s="6">
        <v>3.0922000000000001</v>
      </c>
      <c r="AF225" s="6">
        <v>123</v>
      </c>
      <c r="AH225" s="17">
        <v>223</v>
      </c>
      <c r="AI225" s="6">
        <v>6.1208999999999998</v>
      </c>
      <c r="AJ225" s="19">
        <v>-0.48430000000000001</v>
      </c>
      <c r="AK225" s="6">
        <v>3.0922000000000001</v>
      </c>
      <c r="AL225" s="6">
        <v>123</v>
      </c>
      <c r="AO225" s="17">
        <v>223</v>
      </c>
      <c r="AP225" s="6">
        <v>1.1501300000000001</v>
      </c>
      <c r="AQ225" s="19">
        <v>-0.40450000000000003</v>
      </c>
      <c r="AR225" s="6">
        <v>0.58099999999999996</v>
      </c>
      <c r="AS225" s="6">
        <v>123</v>
      </c>
      <c r="AU225" s="17">
        <v>223</v>
      </c>
      <c r="AV225" s="6">
        <v>0.60475999999999996</v>
      </c>
      <c r="AW225" s="19">
        <v>-0.40450000000000003</v>
      </c>
      <c r="AX225" s="6">
        <v>0.58099999999999996</v>
      </c>
      <c r="AY225" s="6">
        <v>123</v>
      </c>
    </row>
    <row r="226" spans="1:51" x14ac:dyDescent="0.25">
      <c r="A226" s="34" t="s">
        <v>97</v>
      </c>
      <c r="B226" s="35">
        <v>3</v>
      </c>
      <c r="C226" s="35">
        <v>8</v>
      </c>
      <c r="D226" s="35">
        <v>5</v>
      </c>
      <c r="E226" s="35">
        <v>31</v>
      </c>
      <c r="F226" s="2">
        <v>59.3</v>
      </c>
      <c r="G226">
        <v>69.896769817719374</v>
      </c>
      <c r="H226" t="s">
        <v>12</v>
      </c>
      <c r="AB226" s="17">
        <v>224</v>
      </c>
      <c r="AC226" s="6">
        <v>3.2465899999999999</v>
      </c>
      <c r="AD226" s="19">
        <v>-9.7965999999999998</v>
      </c>
      <c r="AE226" s="6">
        <v>3.1193</v>
      </c>
      <c r="AF226" s="6">
        <v>123</v>
      </c>
      <c r="AH226" s="17">
        <v>224</v>
      </c>
      <c r="AI226" s="6">
        <v>6.1744000000000003</v>
      </c>
      <c r="AJ226" s="19">
        <v>-9.7965999999999998</v>
      </c>
      <c r="AK226" s="6">
        <v>3.1193</v>
      </c>
      <c r="AL226" s="6">
        <v>123</v>
      </c>
      <c r="AO226" s="17">
        <v>224</v>
      </c>
      <c r="AP226" s="6">
        <v>1.1662699999999999</v>
      </c>
      <c r="AQ226" s="19">
        <v>-0.60409999999999997</v>
      </c>
      <c r="AR226" s="6">
        <v>0.58919999999999995</v>
      </c>
      <c r="AS226" s="6">
        <v>123</v>
      </c>
      <c r="AU226" s="17">
        <v>224</v>
      </c>
      <c r="AV226" s="6">
        <v>0.61324999999999996</v>
      </c>
      <c r="AW226" s="19">
        <v>-0.60409999999999997</v>
      </c>
      <c r="AX226" s="6">
        <v>0.58919999999999995</v>
      </c>
      <c r="AY226" s="6">
        <v>123</v>
      </c>
    </row>
    <row r="227" spans="1:51" x14ac:dyDescent="0.25">
      <c r="A227" s="34" t="s">
        <v>97</v>
      </c>
      <c r="B227" s="35">
        <v>1</v>
      </c>
      <c r="C227" s="35">
        <v>20</v>
      </c>
      <c r="D227" s="35">
        <v>1</v>
      </c>
      <c r="E227" s="35">
        <v>23</v>
      </c>
      <c r="F227" s="2">
        <v>60.3</v>
      </c>
      <c r="G227">
        <v>75.803027142857133</v>
      </c>
      <c r="H227">
        <v>10.199999999999999</v>
      </c>
      <c r="AB227" s="17">
        <v>225</v>
      </c>
      <c r="AC227" s="6">
        <v>3.22173</v>
      </c>
      <c r="AD227" s="19">
        <v>-1.6536</v>
      </c>
      <c r="AE227" s="6">
        <v>3.0954000000000002</v>
      </c>
      <c r="AF227" s="6">
        <v>123</v>
      </c>
      <c r="AH227" s="17">
        <v>225</v>
      </c>
      <c r="AI227" s="6">
        <v>6.1271000000000004</v>
      </c>
      <c r="AJ227" s="19">
        <v>-1.6536</v>
      </c>
      <c r="AK227" s="6">
        <v>3.0954000000000002</v>
      </c>
      <c r="AL227" s="6">
        <v>123</v>
      </c>
      <c r="AO227" s="17">
        <v>225</v>
      </c>
      <c r="AP227" s="6">
        <v>1.13855</v>
      </c>
      <c r="AQ227" s="19">
        <v>-0.68420000000000003</v>
      </c>
      <c r="AR227" s="6">
        <v>0.57520000000000004</v>
      </c>
      <c r="AS227" s="6">
        <v>123</v>
      </c>
      <c r="AU227" s="17">
        <v>225</v>
      </c>
      <c r="AV227" s="6">
        <v>0.59867000000000004</v>
      </c>
      <c r="AW227" s="19">
        <v>-0.68420000000000003</v>
      </c>
      <c r="AX227" s="6">
        <v>0.57520000000000004</v>
      </c>
      <c r="AY227" s="6">
        <v>123</v>
      </c>
    </row>
    <row r="228" spans="1:51" x14ac:dyDescent="0.25">
      <c r="A228" s="34" t="s">
        <v>97</v>
      </c>
      <c r="B228" s="35">
        <v>2</v>
      </c>
      <c r="C228" s="35">
        <v>19</v>
      </c>
      <c r="D228" s="35">
        <v>3</v>
      </c>
      <c r="E228" s="35">
        <v>23</v>
      </c>
      <c r="F228" s="2">
        <v>61.1</v>
      </c>
      <c r="G228">
        <v>71.091492299522045</v>
      </c>
      <c r="H228" t="s">
        <v>12</v>
      </c>
      <c r="AB228" s="17">
        <v>226</v>
      </c>
      <c r="AC228" s="6">
        <v>3.2051400000000001</v>
      </c>
      <c r="AD228" s="6">
        <v>0.93489999999999995</v>
      </c>
      <c r="AE228" s="6">
        <v>3.0794000000000001</v>
      </c>
      <c r="AF228" s="6">
        <v>123</v>
      </c>
      <c r="AH228" s="17">
        <v>226</v>
      </c>
      <c r="AI228" s="6">
        <v>6.0955000000000004</v>
      </c>
      <c r="AJ228" s="6">
        <v>0.93489999999999995</v>
      </c>
      <c r="AK228" s="6">
        <v>3.0794000000000001</v>
      </c>
      <c r="AL228" s="6">
        <v>123</v>
      </c>
      <c r="AO228" s="17">
        <v>226</v>
      </c>
      <c r="AP228" s="6">
        <v>1.1404700000000001</v>
      </c>
      <c r="AQ228" s="6">
        <v>1.1742999999999999</v>
      </c>
      <c r="AR228" s="6">
        <v>0.57620000000000005</v>
      </c>
      <c r="AS228" s="6">
        <v>123</v>
      </c>
      <c r="AU228" s="17">
        <v>226</v>
      </c>
      <c r="AV228" s="6">
        <v>0.59967999999999999</v>
      </c>
      <c r="AW228" s="6">
        <v>1.1742999999999999</v>
      </c>
      <c r="AX228" s="6">
        <v>0.57620000000000005</v>
      </c>
      <c r="AY228" s="6">
        <v>123</v>
      </c>
    </row>
    <row r="229" spans="1:51" x14ac:dyDescent="0.25">
      <c r="A229" s="34" t="s">
        <v>97</v>
      </c>
      <c r="B229" s="35">
        <v>3</v>
      </c>
      <c r="C229" s="35">
        <v>4</v>
      </c>
      <c r="D229" s="35">
        <v>6</v>
      </c>
      <c r="E229" s="35">
        <v>23</v>
      </c>
      <c r="F229" s="2">
        <v>60.2</v>
      </c>
      <c r="G229">
        <v>78.079759202746516</v>
      </c>
      <c r="H229" t="s">
        <v>12</v>
      </c>
      <c r="AB229" s="17">
        <v>227</v>
      </c>
      <c r="AC229" s="6">
        <v>3.1894</v>
      </c>
      <c r="AD229" s="6">
        <v>2.1008</v>
      </c>
      <c r="AE229" s="6">
        <v>3.0642999999999998</v>
      </c>
      <c r="AF229" s="6">
        <v>123</v>
      </c>
      <c r="AH229" s="17">
        <v>227</v>
      </c>
      <c r="AI229" s="6">
        <v>6.0655999999999999</v>
      </c>
      <c r="AJ229" s="6">
        <v>2.1008</v>
      </c>
      <c r="AK229" s="6">
        <v>3.0642999999999998</v>
      </c>
      <c r="AL229" s="6">
        <v>123</v>
      </c>
      <c r="AO229" s="17">
        <v>227</v>
      </c>
      <c r="AP229" s="6">
        <v>1.1405000000000001</v>
      </c>
      <c r="AQ229" s="19">
        <v>-0.35099999999999998</v>
      </c>
      <c r="AR229" s="6">
        <v>0.57620000000000005</v>
      </c>
      <c r="AS229" s="6">
        <v>123</v>
      </c>
      <c r="AU229" s="17">
        <v>227</v>
      </c>
      <c r="AV229" s="6">
        <v>0.59970000000000001</v>
      </c>
      <c r="AW229" s="19">
        <v>-0.35099999999999998</v>
      </c>
      <c r="AX229" s="6">
        <v>0.57620000000000005</v>
      </c>
      <c r="AY229" s="6">
        <v>123</v>
      </c>
    </row>
    <row r="230" spans="1:51" x14ac:dyDescent="0.25">
      <c r="A230" s="34" t="s">
        <v>97</v>
      </c>
      <c r="B230" s="35">
        <v>1</v>
      </c>
      <c r="C230" s="35">
        <v>3</v>
      </c>
      <c r="D230" s="35">
        <v>1</v>
      </c>
      <c r="E230" s="35">
        <v>28</v>
      </c>
      <c r="F230" s="2">
        <v>59</v>
      </c>
      <c r="G230">
        <v>83.327168571428558</v>
      </c>
      <c r="H230">
        <v>9</v>
      </c>
      <c r="AB230" s="17">
        <v>228</v>
      </c>
      <c r="AC230" s="6">
        <v>3.18743</v>
      </c>
      <c r="AD230" s="6">
        <v>7.3196000000000003</v>
      </c>
      <c r="AE230" s="6">
        <v>3.0623999999999998</v>
      </c>
      <c r="AF230" s="6">
        <v>123</v>
      </c>
      <c r="AH230" s="17">
        <v>228</v>
      </c>
      <c r="AI230" s="6">
        <v>6.0618999999999996</v>
      </c>
      <c r="AJ230" s="6">
        <v>7.3196000000000003</v>
      </c>
      <c r="AK230" s="6">
        <v>3.0623999999999998</v>
      </c>
      <c r="AL230" s="6">
        <v>123</v>
      </c>
      <c r="AO230" s="17">
        <v>228</v>
      </c>
      <c r="AP230" s="6">
        <v>1.13622</v>
      </c>
      <c r="AQ230" s="19">
        <v>-0.30409999999999998</v>
      </c>
      <c r="AR230" s="6">
        <v>0.57399999999999995</v>
      </c>
      <c r="AS230" s="6">
        <v>123</v>
      </c>
      <c r="AU230" s="17">
        <v>228</v>
      </c>
      <c r="AV230" s="6">
        <v>0.59743999999999997</v>
      </c>
      <c r="AW230" s="19">
        <v>-0.30409999999999998</v>
      </c>
      <c r="AX230" s="6">
        <v>0.57399999999999995</v>
      </c>
      <c r="AY230" s="6">
        <v>123</v>
      </c>
    </row>
    <row r="231" spans="1:51" x14ac:dyDescent="0.25">
      <c r="A231" s="34" t="s">
        <v>97</v>
      </c>
      <c r="B231" s="35">
        <v>2</v>
      </c>
      <c r="C231" s="35">
        <v>16</v>
      </c>
      <c r="D231" s="35">
        <v>3</v>
      </c>
      <c r="E231" s="35">
        <v>28</v>
      </c>
      <c r="F231" s="2">
        <v>58.5</v>
      </c>
      <c r="G231">
        <v>77.406787041954331</v>
      </c>
      <c r="H231" t="s">
        <v>12</v>
      </c>
      <c r="AB231" s="17">
        <v>229</v>
      </c>
      <c r="AC231" s="6">
        <v>3.1949100000000001</v>
      </c>
      <c r="AD231" s="6">
        <v>4.4684999999999997</v>
      </c>
      <c r="AE231" s="6">
        <v>3.0695999999999999</v>
      </c>
      <c r="AF231" s="6">
        <v>123</v>
      </c>
      <c r="AH231" s="17">
        <v>229</v>
      </c>
      <c r="AI231" s="6">
        <v>6.0761000000000003</v>
      </c>
      <c r="AJ231" s="6">
        <v>4.4684999999999997</v>
      </c>
      <c r="AK231" s="6">
        <v>3.0695999999999999</v>
      </c>
      <c r="AL231" s="6">
        <v>123</v>
      </c>
      <c r="AO231" s="17">
        <v>229</v>
      </c>
      <c r="AP231" s="6">
        <v>1.14018</v>
      </c>
      <c r="AQ231" s="19">
        <v>-3.9899999999999998E-2</v>
      </c>
      <c r="AR231" s="6">
        <v>0.57599999999999996</v>
      </c>
      <c r="AS231" s="6">
        <v>123</v>
      </c>
      <c r="AU231" s="17">
        <v>229</v>
      </c>
      <c r="AV231" s="6">
        <v>0.59952000000000005</v>
      </c>
      <c r="AW231" s="19">
        <v>-3.9899999999999998E-2</v>
      </c>
      <c r="AX231" s="6">
        <v>0.57599999999999996</v>
      </c>
      <c r="AY231" s="6">
        <v>123</v>
      </c>
    </row>
    <row r="232" spans="1:51" x14ac:dyDescent="0.25">
      <c r="A232" s="34" t="s">
        <v>97</v>
      </c>
      <c r="B232" s="35">
        <v>3</v>
      </c>
      <c r="C232" s="35">
        <v>7</v>
      </c>
      <c r="D232" s="35">
        <v>6</v>
      </c>
      <c r="E232" s="35">
        <v>28</v>
      </c>
      <c r="F232" s="2">
        <v>56.2</v>
      </c>
      <c r="G232">
        <v>78.902084207514775</v>
      </c>
      <c r="H232" t="s">
        <v>12</v>
      </c>
      <c r="AB232" s="17">
        <v>230</v>
      </c>
      <c r="AC232" s="6">
        <v>3.21407</v>
      </c>
      <c r="AD232" s="19">
        <v>-7.2309999999999999</v>
      </c>
      <c r="AE232" s="6">
        <v>3.0880000000000001</v>
      </c>
      <c r="AF232" s="6">
        <v>123</v>
      </c>
      <c r="AH232" s="17">
        <v>230</v>
      </c>
      <c r="AI232" s="6">
        <v>6.1124999999999998</v>
      </c>
      <c r="AJ232" s="19">
        <v>-7.2309999999999999</v>
      </c>
      <c r="AK232" s="6">
        <v>3.0880000000000001</v>
      </c>
      <c r="AL232" s="6">
        <v>123</v>
      </c>
      <c r="AO232" s="17">
        <v>230</v>
      </c>
      <c r="AP232" s="6">
        <v>1.1444300000000001</v>
      </c>
      <c r="AQ232" s="19">
        <v>-2.1656</v>
      </c>
      <c r="AR232" s="6">
        <v>0.57820000000000005</v>
      </c>
      <c r="AS232" s="6">
        <v>123</v>
      </c>
      <c r="AU232" s="17">
        <v>230</v>
      </c>
      <c r="AV232" s="6">
        <v>0.60175999999999996</v>
      </c>
      <c r="AW232" s="19">
        <v>-2.1656</v>
      </c>
      <c r="AX232" s="6">
        <v>0.57820000000000005</v>
      </c>
      <c r="AY232" s="6">
        <v>123</v>
      </c>
    </row>
    <row r="233" spans="1:51" x14ac:dyDescent="0.25">
      <c r="A233" s="34" t="s">
        <v>97</v>
      </c>
      <c r="B233" s="35">
        <v>1</v>
      </c>
      <c r="C233" s="35">
        <v>13</v>
      </c>
      <c r="D233" s="35">
        <v>1</v>
      </c>
      <c r="E233" s="35">
        <v>46</v>
      </c>
      <c r="F233" s="2">
        <v>57.2</v>
      </c>
      <c r="G233">
        <v>70.873817142857135</v>
      </c>
      <c r="H233">
        <v>10.7</v>
      </c>
      <c r="AB233" s="17">
        <v>231</v>
      </c>
      <c r="AC233" s="6">
        <v>3.20797</v>
      </c>
      <c r="AD233" s="19">
        <v>-2.9712999999999998</v>
      </c>
      <c r="AE233" s="6">
        <v>3.0821999999999998</v>
      </c>
      <c r="AF233" s="6">
        <v>123</v>
      </c>
      <c r="AH233" s="17">
        <v>231</v>
      </c>
      <c r="AI233" s="6">
        <v>6.1009000000000002</v>
      </c>
      <c r="AJ233" s="19">
        <v>-2.9712999999999998</v>
      </c>
      <c r="AK233" s="6">
        <v>3.0821999999999998</v>
      </c>
      <c r="AL233" s="6">
        <v>123</v>
      </c>
      <c r="AO233" s="17">
        <v>231</v>
      </c>
      <c r="AP233" s="6">
        <v>1.1432899999999999</v>
      </c>
      <c r="AQ233" s="19">
        <v>-0.72689999999999999</v>
      </c>
      <c r="AR233" s="6">
        <v>0.5776</v>
      </c>
      <c r="AS233" s="6">
        <v>123</v>
      </c>
      <c r="AU233" s="17">
        <v>231</v>
      </c>
      <c r="AV233" s="6">
        <v>0.60116000000000003</v>
      </c>
      <c r="AW233" s="19">
        <v>-0.72689999999999999</v>
      </c>
      <c r="AX233" s="6">
        <v>0.5776</v>
      </c>
      <c r="AY233" s="6">
        <v>123</v>
      </c>
    </row>
    <row r="234" spans="1:51" x14ac:dyDescent="0.25">
      <c r="A234" s="34" t="s">
        <v>97</v>
      </c>
      <c r="B234" s="35">
        <v>2</v>
      </c>
      <c r="C234" s="35">
        <v>21</v>
      </c>
      <c r="D234" s="35">
        <v>3</v>
      </c>
      <c r="E234" s="35">
        <v>46</v>
      </c>
      <c r="F234" s="2">
        <v>59.6</v>
      </c>
      <c r="G234">
        <v>61.422634094530004</v>
      </c>
      <c r="H234" t="s">
        <v>12</v>
      </c>
      <c r="AB234" s="17">
        <v>232</v>
      </c>
      <c r="AC234" s="6">
        <v>3.2193999999999998</v>
      </c>
      <c r="AD234" s="19">
        <v>-1.8718999999999999</v>
      </c>
      <c r="AE234" s="6">
        <v>3.0931000000000002</v>
      </c>
      <c r="AF234" s="6">
        <v>123</v>
      </c>
      <c r="AH234" s="17">
        <v>232</v>
      </c>
      <c r="AI234" s="6">
        <v>6.1227</v>
      </c>
      <c r="AJ234" s="19">
        <v>-1.8718999999999999</v>
      </c>
      <c r="AK234" s="6">
        <v>3.0931000000000002</v>
      </c>
      <c r="AL234" s="6">
        <v>123</v>
      </c>
      <c r="AO234" s="17">
        <v>232</v>
      </c>
      <c r="AP234" s="6">
        <v>1.1426099999999999</v>
      </c>
      <c r="AQ234" s="19">
        <v>-5.713E-2</v>
      </c>
      <c r="AR234" s="6">
        <v>0.57720000000000005</v>
      </c>
      <c r="AS234" s="6">
        <v>123</v>
      </c>
      <c r="AU234" s="17">
        <v>232</v>
      </c>
      <c r="AV234" s="6">
        <v>0.6008</v>
      </c>
      <c r="AW234" s="19">
        <v>-5.713E-2</v>
      </c>
      <c r="AX234" s="6">
        <v>0.57720000000000005</v>
      </c>
      <c r="AY234" s="6">
        <v>123</v>
      </c>
    </row>
    <row r="235" spans="1:51" x14ac:dyDescent="0.25">
      <c r="A235" s="34" t="s">
        <v>97</v>
      </c>
      <c r="B235" s="35">
        <v>3</v>
      </c>
      <c r="C235" s="35">
        <v>6</v>
      </c>
      <c r="D235" s="35">
        <v>6</v>
      </c>
      <c r="E235" s="35">
        <v>46</v>
      </c>
      <c r="F235" s="2">
        <v>57.7</v>
      </c>
      <c r="G235">
        <v>70.705599847415598</v>
      </c>
      <c r="H235" t="s">
        <v>12</v>
      </c>
      <c r="AB235" s="17">
        <v>233</v>
      </c>
      <c r="AC235" s="6">
        <v>3.2263700000000002</v>
      </c>
      <c r="AD235" s="19">
        <v>-6.0194999999999999</v>
      </c>
      <c r="AE235" s="6">
        <v>3.0998000000000001</v>
      </c>
      <c r="AF235" s="6">
        <v>123</v>
      </c>
      <c r="AH235" s="17">
        <v>233</v>
      </c>
      <c r="AI235" s="6">
        <v>6.1359000000000004</v>
      </c>
      <c r="AJ235" s="19">
        <v>-6.0194999999999999</v>
      </c>
      <c r="AK235" s="6">
        <v>3.0998000000000001</v>
      </c>
      <c r="AL235" s="6">
        <v>123</v>
      </c>
      <c r="AO235" s="17">
        <v>233</v>
      </c>
      <c r="AP235" s="6">
        <v>1.15561</v>
      </c>
      <c r="AQ235" s="19">
        <v>-0.99860000000000004</v>
      </c>
      <c r="AR235" s="6">
        <v>0.58379999999999999</v>
      </c>
      <c r="AS235" s="6">
        <v>123</v>
      </c>
      <c r="AU235" s="17">
        <v>233</v>
      </c>
      <c r="AV235" s="6">
        <v>0.60763999999999996</v>
      </c>
      <c r="AW235" s="19">
        <v>-0.99860000000000004</v>
      </c>
      <c r="AX235" s="6">
        <v>0.58379999999999999</v>
      </c>
      <c r="AY235" s="6">
        <v>123</v>
      </c>
    </row>
    <row r="236" spans="1:51" x14ac:dyDescent="0.25">
      <c r="A236" s="34" t="s">
        <v>97</v>
      </c>
      <c r="B236" s="35">
        <v>1</v>
      </c>
      <c r="C236" s="35">
        <v>16</v>
      </c>
      <c r="D236" s="35">
        <v>2</v>
      </c>
      <c r="E236" s="35">
        <v>45</v>
      </c>
      <c r="F236" s="2">
        <v>60</v>
      </c>
      <c r="G236">
        <v>71.733982377581967</v>
      </c>
      <c r="H236">
        <v>10.5</v>
      </c>
      <c r="AB236" s="17">
        <v>234</v>
      </c>
      <c r="AC236" s="6">
        <v>3.2037599999999999</v>
      </c>
      <c r="AD236" s="6">
        <v>3.0259</v>
      </c>
      <c r="AE236" s="6">
        <v>3.0781000000000001</v>
      </c>
      <c r="AF236" s="6">
        <v>123</v>
      </c>
      <c r="AH236" s="17">
        <v>234</v>
      </c>
      <c r="AI236" s="6">
        <v>6.0929000000000002</v>
      </c>
      <c r="AJ236" s="6">
        <v>3.0259</v>
      </c>
      <c r="AK236" s="6">
        <v>3.0781000000000001</v>
      </c>
      <c r="AL236" s="6">
        <v>123</v>
      </c>
      <c r="AO236" s="17">
        <v>234</v>
      </c>
      <c r="AP236" s="6">
        <v>1.13893</v>
      </c>
      <c r="AQ236" s="19">
        <v>-1.5508</v>
      </c>
      <c r="AR236" s="6">
        <v>0.57540000000000002</v>
      </c>
      <c r="AS236" s="6">
        <v>123</v>
      </c>
      <c r="AU236" s="17">
        <v>234</v>
      </c>
      <c r="AV236" s="6">
        <v>0.59887000000000001</v>
      </c>
      <c r="AW236" s="19">
        <v>-1.5508</v>
      </c>
      <c r="AX236" s="6">
        <v>0.57540000000000002</v>
      </c>
      <c r="AY236" s="6">
        <v>123</v>
      </c>
    </row>
    <row r="237" spans="1:51" x14ac:dyDescent="0.25">
      <c r="A237" s="34" t="s">
        <v>97</v>
      </c>
      <c r="B237" s="35">
        <v>2</v>
      </c>
      <c r="C237" s="35">
        <v>3</v>
      </c>
      <c r="D237" s="35">
        <v>3</v>
      </c>
      <c r="E237" s="35">
        <v>45</v>
      </c>
      <c r="F237" s="2">
        <v>60.4</v>
      </c>
      <c r="G237">
        <v>66.372586298459893</v>
      </c>
      <c r="H237" t="s">
        <v>12</v>
      </c>
      <c r="AB237" s="17">
        <v>235</v>
      </c>
      <c r="AC237" s="6">
        <v>3.2033999999999998</v>
      </c>
      <c r="AD237" s="19">
        <v>-3.1966000000000001</v>
      </c>
      <c r="AE237" s="6">
        <v>3.0777999999999999</v>
      </c>
      <c r="AF237" s="6">
        <v>123</v>
      </c>
      <c r="AH237" s="17">
        <v>235</v>
      </c>
      <c r="AI237" s="6">
        <v>6.0922000000000001</v>
      </c>
      <c r="AJ237" s="19">
        <v>-3.1966000000000001</v>
      </c>
      <c r="AK237" s="6">
        <v>3.0777999999999999</v>
      </c>
      <c r="AL237" s="6">
        <v>123</v>
      </c>
      <c r="AO237" s="17">
        <v>235</v>
      </c>
      <c r="AP237" s="6">
        <v>1.14134</v>
      </c>
      <c r="AQ237" s="19">
        <v>-1.4954000000000001</v>
      </c>
      <c r="AR237" s="6">
        <v>0.5766</v>
      </c>
      <c r="AS237" s="6">
        <v>123</v>
      </c>
      <c r="AU237" s="17">
        <v>235</v>
      </c>
      <c r="AV237" s="6">
        <v>0.60014000000000001</v>
      </c>
      <c r="AW237" s="19">
        <v>-1.4954000000000001</v>
      </c>
      <c r="AX237" s="6">
        <v>0.5766</v>
      </c>
      <c r="AY237" s="6">
        <v>123</v>
      </c>
    </row>
    <row r="238" spans="1:51" x14ac:dyDescent="0.25">
      <c r="A238" s="34" t="s">
        <v>97</v>
      </c>
      <c r="B238" s="35">
        <v>3</v>
      </c>
      <c r="C238" s="35">
        <v>18</v>
      </c>
      <c r="D238" s="35">
        <v>5</v>
      </c>
      <c r="E238" s="35">
        <v>45</v>
      </c>
      <c r="F238" s="2">
        <v>59.5</v>
      </c>
      <c r="G238">
        <v>72.220059347181007</v>
      </c>
      <c r="H238" t="s">
        <v>12</v>
      </c>
      <c r="AB238" s="17">
        <v>236</v>
      </c>
      <c r="AC238" s="6">
        <v>3.1972499999999999</v>
      </c>
      <c r="AD238" s="19">
        <v>-1.3476999999999999</v>
      </c>
      <c r="AE238" s="6">
        <v>3.0718999999999999</v>
      </c>
      <c r="AF238" s="6">
        <v>123</v>
      </c>
      <c r="AH238" s="17">
        <v>236</v>
      </c>
      <c r="AI238" s="6">
        <v>6.0805999999999996</v>
      </c>
      <c r="AJ238" s="19">
        <v>-1.3476999999999999</v>
      </c>
      <c r="AK238" s="6">
        <v>3.0718999999999999</v>
      </c>
      <c r="AL238" s="6">
        <v>123</v>
      </c>
      <c r="AO238" s="17">
        <v>236</v>
      </c>
      <c r="AP238" s="6">
        <v>1.1407700000000001</v>
      </c>
      <c r="AQ238" s="19">
        <v>-1.9552</v>
      </c>
      <c r="AR238" s="6">
        <v>0.57630000000000003</v>
      </c>
      <c r="AS238" s="6">
        <v>123</v>
      </c>
      <c r="AU238" s="17">
        <v>236</v>
      </c>
      <c r="AV238" s="6">
        <v>0.59982999999999997</v>
      </c>
      <c r="AW238" s="19">
        <v>-1.9552</v>
      </c>
      <c r="AX238" s="6">
        <v>0.57630000000000003</v>
      </c>
      <c r="AY238" s="6">
        <v>123</v>
      </c>
    </row>
    <row r="239" spans="1:51" x14ac:dyDescent="0.25">
      <c r="A239" s="34" t="s">
        <v>97</v>
      </c>
      <c r="B239" s="35">
        <v>1</v>
      </c>
      <c r="C239" s="35">
        <v>1</v>
      </c>
      <c r="D239" s="35">
        <v>1</v>
      </c>
      <c r="E239" s="35">
        <v>24</v>
      </c>
      <c r="F239" s="2" t="s">
        <v>12</v>
      </c>
      <c r="G239" t="s">
        <v>12</v>
      </c>
      <c r="H239" t="s">
        <v>12</v>
      </c>
      <c r="AB239" s="17">
        <v>237</v>
      </c>
      <c r="AC239" s="6">
        <v>3.2401499999999999</v>
      </c>
      <c r="AD239" s="6">
        <v>5.6050000000000004</v>
      </c>
      <c r="AE239" s="6">
        <v>3.1131000000000002</v>
      </c>
      <c r="AF239" s="6">
        <v>123</v>
      </c>
      <c r="AH239" s="17">
        <v>237</v>
      </c>
      <c r="AI239" s="6">
        <v>6.1620999999999997</v>
      </c>
      <c r="AJ239" s="6">
        <v>5.6050000000000004</v>
      </c>
      <c r="AK239" s="6">
        <v>3.1131000000000002</v>
      </c>
      <c r="AL239" s="6">
        <v>123</v>
      </c>
      <c r="AO239" s="17">
        <v>237</v>
      </c>
      <c r="AP239" s="6">
        <v>1.16225</v>
      </c>
      <c r="AQ239" s="6">
        <v>0.35</v>
      </c>
      <c r="AR239" s="6">
        <v>0.58720000000000006</v>
      </c>
      <c r="AS239" s="6">
        <v>123</v>
      </c>
      <c r="AU239" s="17">
        <v>237</v>
      </c>
      <c r="AV239" s="6">
        <v>0.61112999999999995</v>
      </c>
      <c r="AW239" s="6">
        <v>0.35</v>
      </c>
      <c r="AX239" s="6">
        <v>0.58720000000000006</v>
      </c>
      <c r="AY239" s="6">
        <v>123</v>
      </c>
    </row>
    <row r="240" spans="1:51" x14ac:dyDescent="0.25">
      <c r="A240" s="34" t="s">
        <v>97</v>
      </c>
      <c r="B240" s="35">
        <v>2</v>
      </c>
      <c r="C240" s="35">
        <v>10</v>
      </c>
      <c r="D240" s="35">
        <v>3</v>
      </c>
      <c r="E240" s="35">
        <v>24</v>
      </c>
      <c r="F240" s="2">
        <v>59.7</v>
      </c>
      <c r="G240">
        <v>78.11694105151355</v>
      </c>
      <c r="H240" t="s">
        <v>12</v>
      </c>
      <c r="AB240" s="17">
        <v>238</v>
      </c>
      <c r="AC240" s="6">
        <v>3.2165499999999998</v>
      </c>
      <c r="AD240" s="19">
        <v>-0.7228</v>
      </c>
      <c r="AE240" s="6">
        <v>3.0903999999999998</v>
      </c>
      <c r="AF240" s="6">
        <v>123</v>
      </c>
      <c r="AH240" s="17">
        <v>238</v>
      </c>
      <c r="AI240" s="6">
        <v>6.1173000000000002</v>
      </c>
      <c r="AJ240" s="19">
        <v>-0.7228</v>
      </c>
      <c r="AK240" s="6">
        <v>3.0903999999999998</v>
      </c>
      <c r="AL240" s="6">
        <v>123</v>
      </c>
      <c r="AO240" s="17">
        <v>238</v>
      </c>
      <c r="AP240" s="6">
        <v>1.1478200000000001</v>
      </c>
      <c r="AQ240" s="19">
        <v>-2.0123000000000002</v>
      </c>
      <c r="AR240" s="6">
        <v>0.57989999999999997</v>
      </c>
      <c r="AS240" s="6">
        <v>123</v>
      </c>
      <c r="AU240" s="17">
        <v>238</v>
      </c>
      <c r="AV240" s="6">
        <v>0.60353999999999997</v>
      </c>
      <c r="AW240" s="19">
        <v>-2.0123000000000002</v>
      </c>
      <c r="AX240" s="6">
        <v>0.57989999999999997</v>
      </c>
      <c r="AY240" s="6">
        <v>123</v>
      </c>
    </row>
    <row r="241" spans="1:51" x14ac:dyDescent="0.25">
      <c r="A241" s="34" t="s">
        <v>97</v>
      </c>
      <c r="B241" s="35">
        <v>3</v>
      </c>
      <c r="C241" s="35">
        <v>6</v>
      </c>
      <c r="D241" s="35">
        <v>5</v>
      </c>
      <c r="E241" s="35">
        <v>24</v>
      </c>
      <c r="F241" s="2">
        <v>57.2</v>
      </c>
      <c r="G241">
        <v>89.908096651123358</v>
      </c>
      <c r="H241">
        <v>8.3000000000000007</v>
      </c>
      <c r="AB241" s="17">
        <v>239</v>
      </c>
      <c r="AC241" s="6">
        <v>3.22898</v>
      </c>
      <c r="AD241" s="6">
        <v>10.0669</v>
      </c>
      <c r="AE241" s="6">
        <v>3.1023000000000001</v>
      </c>
      <c r="AF241" s="6">
        <v>123</v>
      </c>
      <c r="AH241" s="17">
        <v>239</v>
      </c>
      <c r="AI241" s="6">
        <v>6.1409000000000002</v>
      </c>
      <c r="AJ241" s="6">
        <v>10.0669</v>
      </c>
      <c r="AK241" s="6">
        <v>3.1023000000000001</v>
      </c>
      <c r="AL241" s="6">
        <v>123</v>
      </c>
      <c r="AO241" s="17">
        <v>239</v>
      </c>
      <c r="AP241" s="6">
        <v>1.1519900000000001</v>
      </c>
      <c r="AQ241" s="6">
        <v>0.66459999999999997</v>
      </c>
      <c r="AR241" s="6">
        <v>0.58199999999999996</v>
      </c>
      <c r="AS241" s="6">
        <v>123</v>
      </c>
      <c r="AU241" s="17">
        <v>239</v>
      </c>
      <c r="AV241" s="6">
        <v>0.60572999999999999</v>
      </c>
      <c r="AW241" s="6">
        <v>0.66459999999999997</v>
      </c>
      <c r="AX241" s="6">
        <v>0.58199999999999996</v>
      </c>
      <c r="AY241" s="6">
        <v>123</v>
      </c>
    </row>
    <row r="242" spans="1:51" x14ac:dyDescent="0.25">
      <c r="A242" s="34" t="s">
        <v>97</v>
      </c>
      <c r="B242" s="35">
        <v>1</v>
      </c>
      <c r="C242" s="35">
        <v>11</v>
      </c>
      <c r="D242" s="35">
        <v>1</v>
      </c>
      <c r="E242" s="35">
        <v>33</v>
      </c>
      <c r="F242" s="2">
        <v>59.4</v>
      </c>
      <c r="G242">
        <v>81.085808571428558</v>
      </c>
      <c r="H242">
        <v>9.6999999999999993</v>
      </c>
      <c r="AB242" s="17">
        <v>240</v>
      </c>
      <c r="AC242" s="6">
        <v>3.2042999999999999</v>
      </c>
      <c r="AD242" s="6">
        <v>7.8399000000000001</v>
      </c>
      <c r="AE242" s="6">
        <v>3.0785999999999998</v>
      </c>
      <c r="AF242" s="6">
        <v>123</v>
      </c>
      <c r="AH242" s="17">
        <v>240</v>
      </c>
      <c r="AI242" s="6">
        <v>6.0940000000000003</v>
      </c>
      <c r="AJ242" s="6">
        <v>7.8399000000000001</v>
      </c>
      <c r="AK242" s="6">
        <v>3.0785999999999998</v>
      </c>
      <c r="AL242" s="6">
        <v>123</v>
      </c>
      <c r="AO242" s="17">
        <v>240</v>
      </c>
      <c r="AP242" s="6">
        <v>1.14005</v>
      </c>
      <c r="AQ242" s="6">
        <v>0.4617</v>
      </c>
      <c r="AR242" s="6">
        <v>0.57589999999999997</v>
      </c>
      <c r="AS242" s="6">
        <v>123</v>
      </c>
      <c r="AU242" s="17">
        <v>240</v>
      </c>
      <c r="AV242" s="6">
        <v>0.59945999999999999</v>
      </c>
      <c r="AW242" s="6">
        <v>0.4617</v>
      </c>
      <c r="AX242" s="6">
        <v>0.57589999999999997</v>
      </c>
      <c r="AY242" s="6">
        <v>123</v>
      </c>
    </row>
    <row r="243" spans="1:51" x14ac:dyDescent="0.25">
      <c r="A243" s="34" t="s">
        <v>97</v>
      </c>
      <c r="B243" s="35">
        <v>2</v>
      </c>
      <c r="C243" s="35">
        <v>14</v>
      </c>
      <c r="D243" s="35">
        <v>4</v>
      </c>
      <c r="E243" s="35">
        <v>33</v>
      </c>
      <c r="F243" s="2">
        <v>60.6</v>
      </c>
      <c r="G243">
        <v>79.523909395973149</v>
      </c>
      <c r="H243" t="s">
        <v>12</v>
      </c>
      <c r="AB243" s="17">
        <v>241</v>
      </c>
      <c r="AC243" s="6">
        <v>3.2079599999999999</v>
      </c>
      <c r="AD243" s="19">
        <v>-1.1103000000000001</v>
      </c>
      <c r="AE243" s="6">
        <v>3.0821000000000001</v>
      </c>
      <c r="AF243" s="6">
        <v>123</v>
      </c>
      <c r="AH243" s="17">
        <v>241</v>
      </c>
      <c r="AI243" s="6">
        <v>6.1009000000000002</v>
      </c>
      <c r="AJ243" s="19">
        <v>-1.1103000000000001</v>
      </c>
      <c r="AK243" s="6">
        <v>3.0821000000000001</v>
      </c>
      <c r="AL243" s="6">
        <v>123</v>
      </c>
      <c r="AO243" s="17">
        <v>241</v>
      </c>
      <c r="AP243" s="6">
        <v>1.14005</v>
      </c>
      <c r="AQ243" s="19">
        <v>-0.88260000000000005</v>
      </c>
      <c r="AR243" s="6">
        <v>0.57589999999999997</v>
      </c>
      <c r="AS243" s="6">
        <v>123</v>
      </c>
      <c r="AU243" s="17">
        <v>241</v>
      </c>
      <c r="AV243" s="6">
        <v>0.59945999999999999</v>
      </c>
      <c r="AW243" s="19">
        <v>-0.88260000000000005</v>
      </c>
      <c r="AX243" s="6">
        <v>0.57589999999999997</v>
      </c>
      <c r="AY243" s="6">
        <v>123</v>
      </c>
    </row>
    <row r="244" spans="1:51" x14ac:dyDescent="0.25">
      <c r="A244" s="34" t="s">
        <v>97</v>
      </c>
      <c r="B244" s="35">
        <v>3</v>
      </c>
      <c r="C244" s="35">
        <v>12</v>
      </c>
      <c r="D244" s="35">
        <v>5</v>
      </c>
      <c r="E244" s="35">
        <v>33</v>
      </c>
      <c r="F244" s="2">
        <v>61.5</v>
      </c>
      <c r="G244">
        <v>74.75504874947012</v>
      </c>
      <c r="H244" t="s">
        <v>12</v>
      </c>
      <c r="AB244" s="17">
        <v>242</v>
      </c>
      <c r="AC244" s="6">
        <v>3.20364</v>
      </c>
      <c r="AD244" s="6">
        <v>1.357</v>
      </c>
      <c r="AE244" s="6">
        <v>3.0779999999999998</v>
      </c>
      <c r="AF244" s="6">
        <v>123</v>
      </c>
      <c r="AH244" s="17">
        <v>242</v>
      </c>
      <c r="AI244" s="6">
        <v>6.0926999999999998</v>
      </c>
      <c r="AJ244" s="6">
        <v>1.357</v>
      </c>
      <c r="AK244" s="6">
        <v>3.0779999999999998</v>
      </c>
      <c r="AL244" s="6">
        <v>123</v>
      </c>
      <c r="AO244" s="17">
        <v>242</v>
      </c>
      <c r="AP244" s="6">
        <v>1.1426400000000001</v>
      </c>
      <c r="AQ244" s="19">
        <v>-0.67190000000000005</v>
      </c>
      <c r="AR244" s="6">
        <v>0.57730000000000004</v>
      </c>
      <c r="AS244" s="6">
        <v>123</v>
      </c>
      <c r="AU244" s="17">
        <v>242</v>
      </c>
      <c r="AV244" s="6">
        <v>0.60082000000000002</v>
      </c>
      <c r="AW244" s="19">
        <v>-0.67190000000000005</v>
      </c>
      <c r="AX244" s="6">
        <v>0.57730000000000004</v>
      </c>
      <c r="AY244" s="6">
        <v>123</v>
      </c>
    </row>
    <row r="245" spans="1:51" x14ac:dyDescent="0.25">
      <c r="A245" s="34" t="s">
        <v>97</v>
      </c>
      <c r="B245" s="35">
        <v>1</v>
      </c>
      <c r="C245" s="35">
        <v>5</v>
      </c>
      <c r="D245" s="35">
        <v>2</v>
      </c>
      <c r="E245" s="35">
        <v>25</v>
      </c>
      <c r="F245" s="2">
        <v>60.2</v>
      </c>
      <c r="G245">
        <v>70.828114979055314</v>
      </c>
      <c r="H245">
        <v>10.6</v>
      </c>
      <c r="AB245" s="17">
        <v>243</v>
      </c>
      <c r="AC245" s="6">
        <v>5.1190199999999999</v>
      </c>
      <c r="AD245" s="6">
        <v>10.3126</v>
      </c>
      <c r="AE245" s="6">
        <v>4.9183000000000003</v>
      </c>
      <c r="AF245" s="6">
        <v>123</v>
      </c>
      <c r="AH245" s="17">
        <v>243</v>
      </c>
      <c r="AI245" s="6">
        <v>9.7354000000000003</v>
      </c>
      <c r="AJ245" s="6">
        <v>10.3126</v>
      </c>
      <c r="AK245" s="6">
        <v>4.9183000000000003</v>
      </c>
      <c r="AL245" s="6">
        <v>123</v>
      </c>
      <c r="AO245" s="17">
        <v>243</v>
      </c>
      <c r="AP245" s="6">
        <v>1.82135</v>
      </c>
      <c r="AQ245" s="19">
        <v>-0.1547</v>
      </c>
      <c r="AR245" s="6">
        <v>0.92010000000000003</v>
      </c>
      <c r="AS245" s="6">
        <v>123</v>
      </c>
      <c r="AU245" s="17">
        <v>243</v>
      </c>
      <c r="AV245" s="6">
        <v>0.9577</v>
      </c>
      <c r="AW245" s="19">
        <v>-0.1547</v>
      </c>
      <c r="AX245" s="6">
        <v>0.92010000000000003</v>
      </c>
      <c r="AY245" s="6">
        <v>123</v>
      </c>
    </row>
    <row r="246" spans="1:51" x14ac:dyDescent="0.25">
      <c r="A246" s="34" t="s">
        <v>97</v>
      </c>
      <c r="B246" s="35">
        <v>2</v>
      </c>
      <c r="C246" s="35">
        <v>11</v>
      </c>
      <c r="D246" s="35">
        <v>3</v>
      </c>
      <c r="E246" s="35">
        <v>25</v>
      </c>
      <c r="F246" s="2">
        <v>60.4</v>
      </c>
      <c r="G246">
        <v>67.685353159851289</v>
      </c>
      <c r="H246" t="s">
        <v>12</v>
      </c>
      <c r="AB246" s="17">
        <v>244</v>
      </c>
      <c r="AC246" s="6">
        <v>3.20479</v>
      </c>
      <c r="AD246" s="19">
        <v>-15.4908</v>
      </c>
      <c r="AE246" s="6">
        <v>3.0790999999999999</v>
      </c>
      <c r="AF246" s="6">
        <v>123</v>
      </c>
      <c r="AH246" s="17">
        <v>244</v>
      </c>
      <c r="AI246" s="6">
        <v>6.0949</v>
      </c>
      <c r="AJ246" s="19">
        <v>-15.4908</v>
      </c>
      <c r="AK246" s="6">
        <v>3.0790999999999999</v>
      </c>
      <c r="AL246" s="6">
        <v>123</v>
      </c>
      <c r="AO246" s="17">
        <v>244</v>
      </c>
      <c r="AP246" s="6">
        <v>1.1428400000000001</v>
      </c>
      <c r="AQ246" s="19">
        <v>-1.0829</v>
      </c>
      <c r="AR246" s="6">
        <v>0.57740000000000002</v>
      </c>
      <c r="AS246" s="6">
        <v>123</v>
      </c>
      <c r="AU246" s="17">
        <v>244</v>
      </c>
      <c r="AV246" s="6">
        <v>0.60092000000000001</v>
      </c>
      <c r="AW246" s="19">
        <v>-1.0829</v>
      </c>
      <c r="AX246" s="6">
        <v>0.57740000000000002</v>
      </c>
      <c r="AY246" s="6">
        <v>123</v>
      </c>
    </row>
    <row r="247" spans="1:51" x14ac:dyDescent="0.25">
      <c r="A247" s="34" t="s">
        <v>97</v>
      </c>
      <c r="B247" s="35">
        <v>3</v>
      </c>
      <c r="C247" s="35">
        <v>9</v>
      </c>
      <c r="D247" s="35">
        <v>5</v>
      </c>
      <c r="E247" s="35">
        <v>25</v>
      </c>
      <c r="F247" s="2">
        <v>60</v>
      </c>
      <c r="G247">
        <v>75.803476049173383</v>
      </c>
      <c r="H247" t="s">
        <v>12</v>
      </c>
      <c r="AB247" s="17">
        <v>245</v>
      </c>
      <c r="AC247" s="6">
        <v>3.21949</v>
      </c>
      <c r="AD247" s="19">
        <v>-6.4950000000000001</v>
      </c>
      <c r="AE247" s="6">
        <v>3.0931999999999999</v>
      </c>
      <c r="AF247" s="6">
        <v>123</v>
      </c>
      <c r="AH247" s="17">
        <v>245</v>
      </c>
      <c r="AI247" s="6">
        <v>6.1227999999999998</v>
      </c>
      <c r="AJ247" s="19">
        <v>-6.4950000000000001</v>
      </c>
      <c r="AK247" s="6">
        <v>3.0931999999999999</v>
      </c>
      <c r="AL247" s="6">
        <v>123</v>
      </c>
      <c r="AO247" s="17">
        <v>245</v>
      </c>
      <c r="AP247" s="6">
        <v>1.1525300000000001</v>
      </c>
      <c r="AQ247" s="6">
        <v>2.1133000000000002</v>
      </c>
      <c r="AR247" s="6">
        <v>0.58220000000000005</v>
      </c>
      <c r="AS247" s="6">
        <v>123</v>
      </c>
      <c r="AU247" s="17">
        <v>245</v>
      </c>
      <c r="AV247" s="6">
        <v>0.60602</v>
      </c>
      <c r="AW247" s="6">
        <v>2.1133000000000002</v>
      </c>
      <c r="AX247" s="6">
        <v>0.58220000000000005</v>
      </c>
      <c r="AY247" s="6">
        <v>123</v>
      </c>
    </row>
    <row r="248" spans="1:51" x14ac:dyDescent="0.25">
      <c r="A248" s="34" t="s">
        <v>97</v>
      </c>
      <c r="B248" s="35">
        <v>1</v>
      </c>
      <c r="C248" s="35">
        <v>18</v>
      </c>
      <c r="D248" s="35">
        <v>2</v>
      </c>
      <c r="E248" s="35">
        <v>34</v>
      </c>
      <c r="F248" s="2">
        <v>60.9</v>
      </c>
      <c r="G248">
        <v>77.255607395637725</v>
      </c>
      <c r="H248">
        <v>9.9</v>
      </c>
      <c r="AB248" s="17">
        <v>246</v>
      </c>
      <c r="AC248" s="6">
        <v>3.2129300000000001</v>
      </c>
      <c r="AD248" s="19">
        <v>-0.52539999999999998</v>
      </c>
      <c r="AE248" s="6">
        <v>3.0869</v>
      </c>
      <c r="AF248" s="6">
        <v>123</v>
      </c>
      <c r="AH248" s="17">
        <v>246</v>
      </c>
      <c r="AI248" s="6">
        <v>6.1104000000000003</v>
      </c>
      <c r="AJ248" s="19">
        <v>-0.52539999999999998</v>
      </c>
      <c r="AK248" s="6">
        <v>3.0869</v>
      </c>
      <c r="AL248" s="6">
        <v>123</v>
      </c>
      <c r="AO248" s="17">
        <v>246</v>
      </c>
      <c r="AP248" s="6">
        <v>1.14384</v>
      </c>
      <c r="AQ248" s="6">
        <v>3.3060999999999998</v>
      </c>
      <c r="AR248" s="6">
        <v>0.57789999999999997</v>
      </c>
      <c r="AS248" s="6">
        <v>123</v>
      </c>
      <c r="AU248" s="17">
        <v>246</v>
      </c>
      <c r="AV248" s="6">
        <v>0.60145000000000004</v>
      </c>
      <c r="AW248" s="6">
        <v>3.3060999999999998</v>
      </c>
      <c r="AX248" s="6">
        <v>0.57789999999999997</v>
      </c>
      <c r="AY248" s="6">
        <v>123</v>
      </c>
    </row>
    <row r="249" spans="1:51" x14ac:dyDescent="0.25">
      <c r="A249" s="34" t="s">
        <v>97</v>
      </c>
      <c r="B249" s="35">
        <v>2</v>
      </c>
      <c r="C249" s="35">
        <v>19</v>
      </c>
      <c r="D249" s="35">
        <v>4</v>
      </c>
      <c r="E249" s="35">
        <v>34</v>
      </c>
      <c r="F249" s="2">
        <v>60</v>
      </c>
      <c r="G249">
        <v>74.215592042185989</v>
      </c>
      <c r="H249" t="s">
        <v>12</v>
      </c>
      <c r="AB249" s="17">
        <v>247</v>
      </c>
      <c r="AC249" s="6">
        <v>3.2273299999999998</v>
      </c>
      <c r="AD249" s="19">
        <v>-14.482200000000001</v>
      </c>
      <c r="AE249" s="6">
        <v>3.1008</v>
      </c>
      <c r="AF249" s="6">
        <v>123</v>
      </c>
      <c r="AH249" s="17">
        <v>247</v>
      </c>
      <c r="AI249" s="6">
        <v>6.1378000000000004</v>
      </c>
      <c r="AJ249" s="19">
        <v>-14.482200000000001</v>
      </c>
      <c r="AK249" s="6">
        <v>3.1008</v>
      </c>
      <c r="AL249" s="6">
        <v>123</v>
      </c>
      <c r="AO249" s="17">
        <v>247</v>
      </c>
      <c r="AP249" s="6">
        <v>1.1434299999999999</v>
      </c>
      <c r="AQ249" s="19">
        <v>-1.6966000000000001</v>
      </c>
      <c r="AR249" s="6">
        <v>0.57769999999999999</v>
      </c>
      <c r="AS249" s="6">
        <v>123</v>
      </c>
      <c r="AU249" s="17">
        <v>247</v>
      </c>
      <c r="AV249" s="6">
        <v>0.60123000000000004</v>
      </c>
      <c r="AW249" s="19">
        <v>-1.6966000000000001</v>
      </c>
      <c r="AX249" s="6">
        <v>0.57769999999999999</v>
      </c>
      <c r="AY249" s="6">
        <v>123</v>
      </c>
    </row>
    <row r="250" spans="1:51" x14ac:dyDescent="0.25">
      <c r="A250" s="34" t="s">
        <v>97</v>
      </c>
      <c r="B250" s="35">
        <v>3</v>
      </c>
      <c r="C250" s="35">
        <v>21</v>
      </c>
      <c r="D250" s="35">
        <v>5</v>
      </c>
      <c r="E250" s="35">
        <v>34</v>
      </c>
      <c r="F250" s="2">
        <v>60</v>
      </c>
      <c r="G250">
        <v>74.657498940228919</v>
      </c>
      <c r="H250" t="s">
        <v>12</v>
      </c>
      <c r="AB250" s="17">
        <v>248</v>
      </c>
      <c r="AC250" s="6">
        <v>3.2203499999999998</v>
      </c>
      <c r="AD250" s="19">
        <v>-5.9416000000000002</v>
      </c>
      <c r="AE250" s="6">
        <v>3.0939999999999999</v>
      </c>
      <c r="AF250" s="6">
        <v>123</v>
      </c>
      <c r="AH250" s="17">
        <v>248</v>
      </c>
      <c r="AI250" s="6">
        <v>6.1245000000000003</v>
      </c>
      <c r="AJ250" s="19">
        <v>-5.9416000000000002</v>
      </c>
      <c r="AK250" s="6">
        <v>3.0939999999999999</v>
      </c>
      <c r="AL250" s="6">
        <v>123</v>
      </c>
      <c r="AO250" s="17">
        <v>248</v>
      </c>
      <c r="AP250" s="6">
        <v>1.14499</v>
      </c>
      <c r="AQ250" s="19">
        <v>-0.2175</v>
      </c>
      <c r="AR250" s="6">
        <v>0.57840000000000003</v>
      </c>
      <c r="AS250" s="6">
        <v>123</v>
      </c>
      <c r="AU250" s="17">
        <v>248</v>
      </c>
      <c r="AV250" s="6">
        <v>0.60206000000000004</v>
      </c>
      <c r="AW250" s="19">
        <v>-0.2175</v>
      </c>
      <c r="AX250" s="6">
        <v>0.57840000000000003</v>
      </c>
      <c r="AY250" s="6">
        <v>123</v>
      </c>
    </row>
    <row r="251" spans="1:51" x14ac:dyDescent="0.25">
      <c r="A251" s="34" t="s">
        <v>97</v>
      </c>
      <c r="B251" s="35">
        <v>1</v>
      </c>
      <c r="C251" s="35">
        <v>15</v>
      </c>
      <c r="D251" s="35">
        <v>1</v>
      </c>
      <c r="E251" s="35">
        <v>35</v>
      </c>
      <c r="F251" s="2">
        <v>60.7</v>
      </c>
      <c r="G251">
        <v>76.461989999999986</v>
      </c>
      <c r="H251">
        <v>10.3</v>
      </c>
      <c r="AB251" s="17">
        <v>249</v>
      </c>
      <c r="AC251" s="6">
        <v>3.21759</v>
      </c>
      <c r="AD251" s="19">
        <v>-11.0398</v>
      </c>
      <c r="AE251" s="6">
        <v>3.0914000000000001</v>
      </c>
      <c r="AF251" s="6">
        <v>123</v>
      </c>
      <c r="AH251" s="17">
        <v>249</v>
      </c>
      <c r="AI251" s="6">
        <v>6.1192000000000002</v>
      </c>
      <c r="AJ251" s="19">
        <v>-11.0398</v>
      </c>
      <c r="AK251" s="6">
        <v>3.0914000000000001</v>
      </c>
      <c r="AL251" s="6">
        <v>123</v>
      </c>
      <c r="AO251" s="17">
        <v>249</v>
      </c>
      <c r="AP251" s="6">
        <v>1.1426799999999999</v>
      </c>
      <c r="AQ251" s="19">
        <v>-0.64780000000000004</v>
      </c>
      <c r="AR251" s="6">
        <v>0.57730000000000004</v>
      </c>
      <c r="AS251" s="6">
        <v>123</v>
      </c>
      <c r="AU251" s="17">
        <v>249</v>
      </c>
      <c r="AV251" s="6">
        <v>0.60084000000000004</v>
      </c>
      <c r="AW251" s="19">
        <v>-0.64780000000000004</v>
      </c>
      <c r="AX251" s="6">
        <v>0.57730000000000004</v>
      </c>
      <c r="AY251" s="6">
        <v>123</v>
      </c>
    </row>
    <row r="252" spans="1:51" x14ac:dyDescent="0.25">
      <c r="A252" s="34" t="s">
        <v>97</v>
      </c>
      <c r="B252" s="35">
        <v>2</v>
      </c>
      <c r="C252" s="35">
        <v>6</v>
      </c>
      <c r="D252" s="35">
        <v>3</v>
      </c>
      <c r="E252" s="35">
        <v>35</v>
      </c>
      <c r="F252" s="2" t="s">
        <v>12</v>
      </c>
      <c r="G252" t="s">
        <v>12</v>
      </c>
      <c r="H252" t="s">
        <v>12</v>
      </c>
      <c r="AB252" s="17">
        <v>250</v>
      </c>
      <c r="AC252" s="6">
        <v>3.1990500000000002</v>
      </c>
      <c r="AD252" s="19">
        <v>-19.6418</v>
      </c>
      <c r="AE252" s="6">
        <v>3.0735999999999999</v>
      </c>
      <c r="AF252" s="6">
        <v>123</v>
      </c>
      <c r="AH252" s="17">
        <v>250</v>
      </c>
      <c r="AI252" s="6">
        <v>6.0839999999999996</v>
      </c>
      <c r="AJ252" s="19">
        <v>-19.6418</v>
      </c>
      <c r="AK252" s="6">
        <v>3.0735999999999999</v>
      </c>
      <c r="AL252" s="6">
        <v>123</v>
      </c>
      <c r="AO252" s="17">
        <v>250</v>
      </c>
      <c r="AP252" s="6">
        <v>1.1389100000000001</v>
      </c>
      <c r="AQ252" s="19">
        <v>-1.5173000000000001</v>
      </c>
      <c r="AR252" s="6">
        <v>0.57540000000000002</v>
      </c>
      <c r="AS252" s="6">
        <v>123</v>
      </c>
      <c r="AU252" s="17">
        <v>250</v>
      </c>
      <c r="AV252" s="6">
        <v>0.59885999999999995</v>
      </c>
      <c r="AW252" s="19">
        <v>-1.5173000000000001</v>
      </c>
      <c r="AX252" s="6">
        <v>0.57540000000000002</v>
      </c>
      <c r="AY252" s="6">
        <v>123</v>
      </c>
    </row>
    <row r="253" spans="1:51" x14ac:dyDescent="0.25">
      <c r="A253" s="34" t="s">
        <v>97</v>
      </c>
      <c r="B253" s="35">
        <v>3</v>
      </c>
      <c r="C253" s="35">
        <v>20</v>
      </c>
      <c r="D253" s="35">
        <v>5</v>
      </c>
      <c r="E253" s="35">
        <v>35</v>
      </c>
      <c r="F253" s="2">
        <v>61.1</v>
      </c>
      <c r="G253">
        <v>77.71269181856718</v>
      </c>
      <c r="H253" t="s">
        <v>12</v>
      </c>
      <c r="AB253" s="17">
        <v>251</v>
      </c>
      <c r="AC253" s="6">
        <v>3.21787</v>
      </c>
      <c r="AD253" s="19">
        <v>-15.1021</v>
      </c>
      <c r="AE253" s="6">
        <v>3.0916999999999999</v>
      </c>
      <c r="AF253" s="6">
        <v>123</v>
      </c>
      <c r="AH253" s="17">
        <v>251</v>
      </c>
      <c r="AI253" s="6">
        <v>6.1197999999999997</v>
      </c>
      <c r="AJ253" s="19">
        <v>-15.1021</v>
      </c>
      <c r="AK253" s="6">
        <v>3.0916999999999999</v>
      </c>
      <c r="AL253" s="6">
        <v>123</v>
      </c>
      <c r="AO253" s="17">
        <v>251</v>
      </c>
      <c r="AP253" s="6">
        <v>1.14781</v>
      </c>
      <c r="AQ253" s="6">
        <v>0.61209999999999998</v>
      </c>
      <c r="AR253" s="6">
        <v>0.57989999999999997</v>
      </c>
      <c r="AS253" s="6">
        <v>123</v>
      </c>
      <c r="AU253" s="17">
        <v>251</v>
      </c>
      <c r="AV253" s="6">
        <v>0.60353999999999997</v>
      </c>
      <c r="AW253" s="6">
        <v>0.61209999999999998</v>
      </c>
      <c r="AX253" s="6">
        <v>0.57989999999999997</v>
      </c>
      <c r="AY253" s="6">
        <v>123</v>
      </c>
    </row>
    <row r="254" spans="1:51" x14ac:dyDescent="0.25">
      <c r="A254" s="34" t="s">
        <v>97</v>
      </c>
      <c r="B254" s="35">
        <v>1</v>
      </c>
      <c r="C254" s="35">
        <v>14</v>
      </c>
      <c r="D254" s="35">
        <v>1</v>
      </c>
      <c r="E254" s="35">
        <v>26</v>
      </c>
      <c r="F254" s="2">
        <v>60.1</v>
      </c>
      <c r="G254">
        <v>80.864472857142829</v>
      </c>
      <c r="H254">
        <v>9.4</v>
      </c>
      <c r="AB254" s="17">
        <v>252</v>
      </c>
      <c r="AC254" s="6">
        <v>3.2043599999999999</v>
      </c>
      <c r="AD254" s="19">
        <v>-14.294499999999999</v>
      </c>
      <c r="AE254" s="6">
        <v>3.0787</v>
      </c>
      <c r="AF254" s="6">
        <v>123</v>
      </c>
      <c r="AH254" s="17">
        <v>252</v>
      </c>
      <c r="AI254" s="6">
        <v>6.0941000000000001</v>
      </c>
      <c r="AJ254" s="19">
        <v>-14.294499999999999</v>
      </c>
      <c r="AK254" s="6">
        <v>3.0787</v>
      </c>
      <c r="AL254" s="6">
        <v>123</v>
      </c>
      <c r="AO254" s="17">
        <v>252</v>
      </c>
      <c r="AP254" s="6">
        <v>1.1405799999999999</v>
      </c>
      <c r="AQ254" s="19">
        <v>-1.9903</v>
      </c>
      <c r="AR254" s="6">
        <v>0.57620000000000005</v>
      </c>
      <c r="AS254" s="6">
        <v>123</v>
      </c>
      <c r="AU254" s="17">
        <v>252</v>
      </c>
      <c r="AV254" s="6">
        <v>0.59974000000000005</v>
      </c>
      <c r="AW254" s="19">
        <v>-1.9903</v>
      </c>
      <c r="AX254" s="6">
        <v>0.57620000000000005</v>
      </c>
      <c r="AY254" s="6">
        <v>123</v>
      </c>
    </row>
    <row r="255" spans="1:51" x14ac:dyDescent="0.25">
      <c r="A255" s="34" t="s">
        <v>97</v>
      </c>
      <c r="B255" s="35">
        <v>2</v>
      </c>
      <c r="C255" s="35">
        <v>20</v>
      </c>
      <c r="D255" s="35">
        <v>4</v>
      </c>
      <c r="E255" s="35">
        <v>26</v>
      </c>
      <c r="F255" s="2" t="s">
        <v>12</v>
      </c>
      <c r="G255" t="s">
        <v>12</v>
      </c>
      <c r="H255" t="s">
        <v>12</v>
      </c>
      <c r="AB255" s="17">
        <v>253</v>
      </c>
      <c r="AC255" s="6">
        <v>3.2154400000000001</v>
      </c>
      <c r="AD255" s="19">
        <v>-16.075500000000002</v>
      </c>
      <c r="AE255" s="6">
        <v>3.0893000000000002</v>
      </c>
      <c r="AF255" s="6">
        <v>123</v>
      </c>
      <c r="AH255" s="17">
        <v>253</v>
      </c>
      <c r="AI255" s="6">
        <v>6.1151</v>
      </c>
      <c r="AJ255" s="19">
        <v>-16.075500000000002</v>
      </c>
      <c r="AK255" s="6">
        <v>3.0893000000000002</v>
      </c>
      <c r="AL255" s="6">
        <v>123</v>
      </c>
      <c r="AO255" s="17">
        <v>253</v>
      </c>
      <c r="AP255" s="6">
        <v>1.1446700000000001</v>
      </c>
      <c r="AQ255" s="19">
        <v>-0.15160000000000001</v>
      </c>
      <c r="AR255" s="6">
        <v>0.57830000000000004</v>
      </c>
      <c r="AS255" s="6">
        <v>123</v>
      </c>
      <c r="AU255" s="17">
        <v>253</v>
      </c>
      <c r="AV255" s="6">
        <v>0.60189000000000004</v>
      </c>
      <c r="AW255" s="19">
        <v>-0.15160000000000001</v>
      </c>
      <c r="AX255" s="6">
        <v>0.57830000000000004</v>
      </c>
      <c r="AY255" s="6">
        <v>123</v>
      </c>
    </row>
    <row r="256" spans="1:51" x14ac:dyDescent="0.25">
      <c r="A256" s="34" t="s">
        <v>97</v>
      </c>
      <c r="B256" s="35">
        <v>3</v>
      </c>
      <c r="C256" s="35">
        <v>3</v>
      </c>
      <c r="D256" s="35">
        <v>6</v>
      </c>
      <c r="E256" s="35">
        <v>26</v>
      </c>
      <c r="F256" s="2">
        <v>60</v>
      </c>
      <c r="G256">
        <v>79.668942399389664</v>
      </c>
      <c r="H256" t="s">
        <v>12</v>
      </c>
      <c r="AB256" s="17">
        <v>254</v>
      </c>
      <c r="AC256" s="6">
        <v>3.2318500000000001</v>
      </c>
      <c r="AD256" s="19">
        <v>-6.133</v>
      </c>
      <c r="AE256" s="6">
        <v>3.1051000000000002</v>
      </c>
      <c r="AF256" s="6">
        <v>123</v>
      </c>
      <c r="AH256" s="17">
        <v>254</v>
      </c>
      <c r="AI256" s="6">
        <v>6.1463999999999999</v>
      </c>
      <c r="AJ256" s="19">
        <v>-6.133</v>
      </c>
      <c r="AK256" s="6">
        <v>3.1051000000000002</v>
      </c>
      <c r="AL256" s="6">
        <v>123</v>
      </c>
      <c r="AO256" s="17">
        <v>254</v>
      </c>
      <c r="AP256" s="6">
        <v>1.1526799999999999</v>
      </c>
      <c r="AQ256" s="6">
        <v>0.39179999999999998</v>
      </c>
      <c r="AR256" s="6">
        <v>0.58230000000000004</v>
      </c>
      <c r="AS256" s="6">
        <v>123</v>
      </c>
      <c r="AU256" s="17">
        <v>254</v>
      </c>
      <c r="AV256" s="6">
        <v>0.60609999999999997</v>
      </c>
      <c r="AW256" s="6">
        <v>0.39179999999999998</v>
      </c>
      <c r="AX256" s="6">
        <v>0.58230000000000004</v>
      </c>
      <c r="AY256" s="6">
        <v>123</v>
      </c>
    </row>
    <row r="257" spans="1:51" x14ac:dyDescent="0.25">
      <c r="A257" s="34" t="s">
        <v>97</v>
      </c>
      <c r="B257" s="35">
        <v>1</v>
      </c>
      <c r="C257" s="35">
        <v>16</v>
      </c>
      <c r="D257" s="35">
        <v>1</v>
      </c>
      <c r="E257" s="35">
        <v>36</v>
      </c>
      <c r="F257" s="2">
        <v>59.7</v>
      </c>
      <c r="G257">
        <v>79.529999999999987</v>
      </c>
      <c r="H257">
        <v>10.4</v>
      </c>
      <c r="AB257" s="17">
        <v>255</v>
      </c>
      <c r="AC257" s="6">
        <v>3.2323400000000002</v>
      </c>
      <c r="AD257" s="19">
        <v>-17.686599999999999</v>
      </c>
      <c r="AE257" s="6">
        <v>3.1055999999999999</v>
      </c>
      <c r="AF257" s="6">
        <v>123</v>
      </c>
      <c r="AH257" s="17">
        <v>255</v>
      </c>
      <c r="AI257" s="6">
        <v>6.1473000000000004</v>
      </c>
      <c r="AJ257" s="19">
        <v>-17.686599999999999</v>
      </c>
      <c r="AK257" s="6">
        <v>3.1055999999999999</v>
      </c>
      <c r="AL257" s="6">
        <v>123</v>
      </c>
      <c r="AO257" s="17">
        <v>255</v>
      </c>
      <c r="AP257" s="6">
        <v>1.15709</v>
      </c>
      <c r="AQ257" s="19">
        <v>-0.28939999999999999</v>
      </c>
      <c r="AR257" s="6">
        <v>0.58460000000000001</v>
      </c>
      <c r="AS257" s="6">
        <v>123</v>
      </c>
      <c r="AU257" s="17">
        <v>255</v>
      </c>
      <c r="AV257" s="6">
        <v>0.60841999999999996</v>
      </c>
      <c r="AW257" s="19">
        <v>-0.28939999999999999</v>
      </c>
      <c r="AX257" s="6">
        <v>0.58460000000000001</v>
      </c>
      <c r="AY257" s="6">
        <v>123</v>
      </c>
    </row>
    <row r="258" spans="1:51" x14ac:dyDescent="0.25">
      <c r="A258" s="34" t="s">
        <v>97</v>
      </c>
      <c r="B258" s="35">
        <v>2</v>
      </c>
      <c r="C258" s="35">
        <v>5</v>
      </c>
      <c r="D258" s="35">
        <v>4</v>
      </c>
      <c r="E258" s="35">
        <v>36</v>
      </c>
      <c r="F258" s="2">
        <v>58.7</v>
      </c>
      <c r="G258">
        <v>72.088895493767978</v>
      </c>
      <c r="H258" t="s">
        <v>12</v>
      </c>
      <c r="AB258" s="17">
        <v>256</v>
      </c>
      <c r="AC258" s="6">
        <v>3.2164999999999999</v>
      </c>
      <c r="AD258" s="19">
        <v>-14.014699999999999</v>
      </c>
      <c r="AE258" s="6">
        <v>3.0903</v>
      </c>
      <c r="AF258" s="6">
        <v>123</v>
      </c>
      <c r="AH258" s="17">
        <v>256</v>
      </c>
      <c r="AI258" s="6">
        <v>6.1170999999999998</v>
      </c>
      <c r="AJ258" s="19">
        <v>-14.014699999999999</v>
      </c>
      <c r="AK258" s="6">
        <v>3.0903</v>
      </c>
      <c r="AL258" s="6">
        <v>123</v>
      </c>
      <c r="AO258" s="17">
        <v>256</v>
      </c>
      <c r="AP258" s="6">
        <v>1.1412199999999999</v>
      </c>
      <c r="AQ258" s="19">
        <v>-0.40589999999999998</v>
      </c>
      <c r="AR258" s="6">
        <v>0.57650000000000001</v>
      </c>
      <c r="AS258" s="6">
        <v>123</v>
      </c>
      <c r="AU258" s="17">
        <v>256</v>
      </c>
      <c r="AV258" s="6">
        <v>0.60006999999999999</v>
      </c>
      <c r="AW258" s="19">
        <v>-0.40589999999999998</v>
      </c>
      <c r="AX258" s="6">
        <v>0.57650000000000001</v>
      </c>
      <c r="AY258" s="6">
        <v>123</v>
      </c>
    </row>
    <row r="259" spans="1:51" x14ac:dyDescent="0.25">
      <c r="A259" s="34" t="s">
        <v>97</v>
      </c>
      <c r="B259" s="35">
        <v>3</v>
      </c>
      <c r="C259" s="35">
        <v>19</v>
      </c>
      <c r="D259" s="35">
        <v>5</v>
      </c>
      <c r="E259" s="35">
        <v>36</v>
      </c>
      <c r="F259" s="2">
        <v>60.8</v>
      </c>
      <c r="G259">
        <v>75.260330648579881</v>
      </c>
      <c r="H259" t="s">
        <v>12</v>
      </c>
      <c r="AB259" s="17">
        <v>257</v>
      </c>
      <c r="AC259" s="6">
        <v>3.21319</v>
      </c>
      <c r="AD259" s="19">
        <v>-11.528600000000001</v>
      </c>
      <c r="AE259" s="6">
        <v>3.0872000000000002</v>
      </c>
      <c r="AF259" s="6">
        <v>123</v>
      </c>
      <c r="AH259" s="17">
        <v>257</v>
      </c>
      <c r="AI259" s="6">
        <v>6.1109</v>
      </c>
      <c r="AJ259" s="19">
        <v>-11.528600000000001</v>
      </c>
      <c r="AK259" s="6">
        <v>3.0872000000000002</v>
      </c>
      <c r="AL259" s="6">
        <v>123</v>
      </c>
      <c r="AO259" s="17">
        <v>257</v>
      </c>
      <c r="AP259" s="6">
        <v>1.1455299999999999</v>
      </c>
      <c r="AQ259" s="19">
        <v>-0.93840000000000001</v>
      </c>
      <c r="AR259" s="6">
        <v>0.57869999999999999</v>
      </c>
      <c r="AS259" s="6">
        <v>123</v>
      </c>
      <c r="AU259" s="17">
        <v>257</v>
      </c>
      <c r="AV259" s="6">
        <v>0.60233999999999999</v>
      </c>
      <c r="AW259" s="19">
        <v>-0.93840000000000001</v>
      </c>
      <c r="AX259" s="6">
        <v>0.57869999999999999</v>
      </c>
      <c r="AY259" s="6">
        <v>123</v>
      </c>
    </row>
    <row r="260" spans="1:51" x14ac:dyDescent="0.25">
      <c r="A260" s="31" t="s">
        <v>132</v>
      </c>
      <c r="B260" s="32">
        <v>1</v>
      </c>
      <c r="C260" s="32">
        <v>1</v>
      </c>
      <c r="D260" s="32">
        <v>1</v>
      </c>
      <c r="E260" s="32">
        <v>3</v>
      </c>
      <c r="F260" s="2">
        <v>61</v>
      </c>
      <c r="G260">
        <v>71.551067450942568</v>
      </c>
      <c r="H260">
        <v>10.1</v>
      </c>
      <c r="AB260" s="17">
        <v>258</v>
      </c>
      <c r="AC260" s="6">
        <v>3.2318600000000002</v>
      </c>
      <c r="AD260" s="19">
        <v>-10.8424</v>
      </c>
      <c r="AE260" s="6">
        <v>3.1051000000000002</v>
      </c>
      <c r="AF260" s="6">
        <v>123</v>
      </c>
      <c r="AH260" s="17">
        <v>258</v>
      </c>
      <c r="AI260" s="6">
        <v>6.1463999999999999</v>
      </c>
      <c r="AJ260" s="19">
        <v>-10.8424</v>
      </c>
      <c r="AK260" s="6">
        <v>3.1051000000000002</v>
      </c>
      <c r="AL260" s="6">
        <v>123</v>
      </c>
      <c r="AO260" s="17">
        <v>258</v>
      </c>
      <c r="AP260" s="6">
        <v>1.14554</v>
      </c>
      <c r="AQ260" s="19">
        <v>-0.87290000000000001</v>
      </c>
      <c r="AR260" s="6">
        <v>0.57869999999999999</v>
      </c>
      <c r="AS260" s="6">
        <v>123</v>
      </c>
      <c r="AU260" s="17">
        <v>258</v>
      </c>
      <c r="AV260" s="6">
        <v>0.60235000000000005</v>
      </c>
      <c r="AW260" s="19">
        <v>-0.87290000000000001</v>
      </c>
      <c r="AX260" s="6">
        <v>0.57869999999999999</v>
      </c>
      <c r="AY260" s="6">
        <v>123</v>
      </c>
    </row>
    <row r="261" spans="1:51" x14ac:dyDescent="0.25">
      <c r="A261" s="31" t="s">
        <v>132</v>
      </c>
      <c r="B261" s="32">
        <v>1</v>
      </c>
      <c r="C261" s="32">
        <v>2</v>
      </c>
      <c r="D261" s="32">
        <v>1</v>
      </c>
      <c r="E261" s="32">
        <v>45</v>
      </c>
      <c r="F261" s="2">
        <v>59.4</v>
      </c>
      <c r="G261">
        <v>71.440759847644742</v>
      </c>
      <c r="H261">
        <v>10.199999999999999</v>
      </c>
      <c r="AB261" s="17">
        <v>259</v>
      </c>
      <c r="AC261" s="6">
        <v>3.23055</v>
      </c>
      <c r="AD261" s="19">
        <v>-15.913600000000001</v>
      </c>
      <c r="AE261" s="6">
        <v>3.1038000000000001</v>
      </c>
      <c r="AF261" s="6">
        <v>123</v>
      </c>
      <c r="AH261" s="17">
        <v>259</v>
      </c>
      <c r="AI261" s="6">
        <v>6.1439000000000004</v>
      </c>
      <c r="AJ261" s="19">
        <v>-15.913600000000001</v>
      </c>
      <c r="AK261" s="6">
        <v>3.1038000000000001</v>
      </c>
      <c r="AL261" s="6">
        <v>123</v>
      </c>
      <c r="AO261" s="17">
        <v>259</v>
      </c>
      <c r="AP261" s="6">
        <v>1.15099</v>
      </c>
      <c r="AQ261" s="6">
        <v>0.18379999999999999</v>
      </c>
      <c r="AR261" s="6">
        <v>0.58150000000000002</v>
      </c>
      <c r="AS261" s="6">
        <v>123</v>
      </c>
      <c r="AU261" s="17">
        <v>259</v>
      </c>
      <c r="AV261" s="6">
        <v>0.60521000000000003</v>
      </c>
      <c r="AW261" s="6">
        <v>0.18379999999999999</v>
      </c>
      <c r="AX261" s="6">
        <v>0.58150000000000002</v>
      </c>
      <c r="AY261" s="6">
        <v>123</v>
      </c>
    </row>
    <row r="262" spans="1:51" x14ac:dyDescent="0.25">
      <c r="A262" s="31" t="s">
        <v>132</v>
      </c>
      <c r="B262" s="32">
        <v>1</v>
      </c>
      <c r="C262" s="32">
        <v>3</v>
      </c>
      <c r="D262" s="32">
        <v>1</v>
      </c>
      <c r="E262" s="32">
        <v>44</v>
      </c>
      <c r="F262" s="2">
        <v>58.2</v>
      </c>
      <c r="G262">
        <v>63.527251337929712</v>
      </c>
      <c r="H262">
        <v>10.3</v>
      </c>
      <c r="AB262" s="17">
        <v>260</v>
      </c>
      <c r="AC262" s="6">
        <v>3.2226499999999998</v>
      </c>
      <c r="AD262" s="19">
        <v>-11.377800000000001</v>
      </c>
      <c r="AE262" s="6">
        <v>3.0962999999999998</v>
      </c>
      <c r="AF262" s="6">
        <v>123</v>
      </c>
      <c r="AH262" s="17">
        <v>260</v>
      </c>
      <c r="AI262" s="6">
        <v>6.1288999999999998</v>
      </c>
      <c r="AJ262" s="19">
        <v>-11.377800000000001</v>
      </c>
      <c r="AK262" s="6">
        <v>3.0962999999999998</v>
      </c>
      <c r="AL262" s="6">
        <v>123</v>
      </c>
      <c r="AO262" s="17">
        <v>260</v>
      </c>
      <c r="AP262" s="6">
        <v>1.1505399999999999</v>
      </c>
      <c r="AQ262" s="19">
        <v>-0.2374</v>
      </c>
      <c r="AR262" s="6">
        <v>0.58120000000000005</v>
      </c>
      <c r="AS262" s="6">
        <v>123</v>
      </c>
      <c r="AU262" s="17">
        <v>260</v>
      </c>
      <c r="AV262" s="6">
        <v>0.60497000000000001</v>
      </c>
      <c r="AW262" s="19">
        <v>-0.2374</v>
      </c>
      <c r="AX262" s="6">
        <v>0.58120000000000005</v>
      </c>
      <c r="AY262" s="6">
        <v>123</v>
      </c>
    </row>
    <row r="263" spans="1:51" x14ac:dyDescent="0.25">
      <c r="A263" s="31" t="s">
        <v>132</v>
      </c>
      <c r="B263" s="32">
        <v>1</v>
      </c>
      <c r="C263" s="32">
        <v>4</v>
      </c>
      <c r="D263" s="32">
        <v>1</v>
      </c>
      <c r="E263" s="32">
        <v>31</v>
      </c>
      <c r="F263" s="2">
        <v>60</v>
      </c>
      <c r="G263">
        <v>63.805812641627689</v>
      </c>
      <c r="H263">
        <v>10.5</v>
      </c>
      <c r="AB263" s="17">
        <v>261</v>
      </c>
      <c r="AC263" s="6">
        <v>3.23942</v>
      </c>
      <c r="AD263" s="19">
        <v>-20.690100000000001</v>
      </c>
      <c r="AE263" s="6">
        <v>3.1124000000000001</v>
      </c>
      <c r="AF263" s="6">
        <v>123</v>
      </c>
      <c r="AH263" s="17">
        <v>261</v>
      </c>
      <c r="AI263" s="6">
        <v>6.1608000000000001</v>
      </c>
      <c r="AJ263" s="19">
        <v>-20.690100000000001</v>
      </c>
      <c r="AK263" s="6">
        <v>3.1124000000000001</v>
      </c>
      <c r="AL263" s="6">
        <v>123</v>
      </c>
      <c r="AO263" s="17">
        <v>261</v>
      </c>
      <c r="AP263" s="6">
        <v>1.1608099999999999</v>
      </c>
      <c r="AQ263" s="19">
        <v>-0.437</v>
      </c>
      <c r="AR263" s="6">
        <v>0.58640000000000003</v>
      </c>
      <c r="AS263" s="6">
        <v>123</v>
      </c>
      <c r="AU263" s="17">
        <v>261</v>
      </c>
      <c r="AV263" s="6">
        <v>0.61036999999999997</v>
      </c>
      <c r="AW263" s="19">
        <v>-0.437</v>
      </c>
      <c r="AX263" s="6">
        <v>0.58640000000000003</v>
      </c>
      <c r="AY263" s="6">
        <v>123</v>
      </c>
    </row>
    <row r="264" spans="1:51" x14ac:dyDescent="0.25">
      <c r="A264" s="31" t="s">
        <v>132</v>
      </c>
      <c r="B264" s="32">
        <v>1</v>
      </c>
      <c r="C264" s="32">
        <v>5</v>
      </c>
      <c r="D264" s="32">
        <v>1</v>
      </c>
      <c r="E264" s="32">
        <v>22</v>
      </c>
      <c r="F264" s="2">
        <v>59.6</v>
      </c>
      <c r="G264">
        <v>69.452072706234034</v>
      </c>
      <c r="H264">
        <v>9.9</v>
      </c>
      <c r="AB264" s="17">
        <v>262</v>
      </c>
      <c r="AC264" s="6">
        <v>3.2454000000000001</v>
      </c>
      <c r="AD264" s="19">
        <v>-12.5471</v>
      </c>
      <c r="AE264" s="6">
        <v>3.1181000000000001</v>
      </c>
      <c r="AF264" s="6">
        <v>123</v>
      </c>
      <c r="AH264" s="17">
        <v>262</v>
      </c>
      <c r="AI264" s="6">
        <v>6.1721000000000004</v>
      </c>
      <c r="AJ264" s="19">
        <v>-12.5471</v>
      </c>
      <c r="AK264" s="6">
        <v>3.1181000000000001</v>
      </c>
      <c r="AL264" s="6">
        <v>123</v>
      </c>
      <c r="AO264" s="17">
        <v>262</v>
      </c>
      <c r="AP264" s="6">
        <v>1.14113</v>
      </c>
      <c r="AQ264" s="19">
        <v>-0.5171</v>
      </c>
      <c r="AR264" s="6">
        <v>0.57650000000000001</v>
      </c>
      <c r="AS264" s="6">
        <v>123</v>
      </c>
      <c r="AU264" s="17">
        <v>262</v>
      </c>
      <c r="AV264" s="6">
        <v>0.60002999999999995</v>
      </c>
      <c r="AW264" s="19">
        <v>-0.5171</v>
      </c>
      <c r="AX264" s="6">
        <v>0.57650000000000001</v>
      </c>
      <c r="AY264" s="6">
        <v>123</v>
      </c>
    </row>
    <row r="265" spans="1:51" x14ac:dyDescent="0.25">
      <c r="A265" s="31" t="s">
        <v>132</v>
      </c>
      <c r="B265" s="32">
        <v>1</v>
      </c>
      <c r="C265" s="32">
        <v>6</v>
      </c>
      <c r="D265" s="32">
        <v>1</v>
      </c>
      <c r="E265" s="32">
        <v>23</v>
      </c>
      <c r="F265" s="2">
        <v>60.6</v>
      </c>
      <c r="G265">
        <v>64.391287787474084</v>
      </c>
      <c r="H265">
        <v>10.5</v>
      </c>
      <c r="AB265" s="17">
        <v>263</v>
      </c>
      <c r="AC265" s="6">
        <v>3.2115399999999998</v>
      </c>
      <c r="AD265" s="19">
        <v>-9.9586000000000006</v>
      </c>
      <c r="AE265" s="6">
        <v>3.0855999999999999</v>
      </c>
      <c r="AF265" s="6">
        <v>123</v>
      </c>
      <c r="AH265" s="17">
        <v>263</v>
      </c>
      <c r="AI265" s="6">
        <v>6.1077000000000004</v>
      </c>
      <c r="AJ265" s="19">
        <v>-9.9586000000000006</v>
      </c>
      <c r="AK265" s="6">
        <v>3.0855999999999999</v>
      </c>
      <c r="AL265" s="6">
        <v>123</v>
      </c>
      <c r="AO265" s="17">
        <v>263</v>
      </c>
      <c r="AP265" s="6">
        <v>1.1421699999999999</v>
      </c>
      <c r="AQ265" s="6">
        <v>1.3413999999999999</v>
      </c>
      <c r="AR265" s="6">
        <v>0.57699999999999996</v>
      </c>
      <c r="AS265" s="6">
        <v>123</v>
      </c>
      <c r="AU265" s="17">
        <v>263</v>
      </c>
      <c r="AV265" s="6">
        <v>0.60057000000000005</v>
      </c>
      <c r="AW265" s="6">
        <v>1.3413999999999999</v>
      </c>
      <c r="AX265" s="6">
        <v>0.57699999999999996</v>
      </c>
      <c r="AY265" s="6">
        <v>123</v>
      </c>
    </row>
    <row r="266" spans="1:51" x14ac:dyDescent="0.25">
      <c r="A266" s="31" t="s">
        <v>132</v>
      </c>
      <c r="B266" s="32">
        <v>1</v>
      </c>
      <c r="C266" s="32">
        <v>7</v>
      </c>
      <c r="D266" s="32">
        <v>1</v>
      </c>
      <c r="E266" s="32">
        <v>25</v>
      </c>
      <c r="F266" s="2">
        <v>59.5</v>
      </c>
      <c r="G266">
        <v>69.700276746540652</v>
      </c>
      <c r="H266">
        <v>10.3</v>
      </c>
      <c r="AB266" s="17">
        <v>264</v>
      </c>
      <c r="AC266" s="6">
        <v>3.22099</v>
      </c>
      <c r="AD266" s="19">
        <v>-8.7927</v>
      </c>
      <c r="AE266" s="6">
        <v>3.0947</v>
      </c>
      <c r="AF266" s="6">
        <v>123</v>
      </c>
      <c r="AH266" s="17">
        <v>264</v>
      </c>
      <c r="AI266" s="6">
        <v>6.1257000000000001</v>
      </c>
      <c r="AJ266" s="19">
        <v>-8.7927</v>
      </c>
      <c r="AK266" s="6">
        <v>3.0947</v>
      </c>
      <c r="AL266" s="6">
        <v>123</v>
      </c>
      <c r="AO266" s="17">
        <v>264</v>
      </c>
      <c r="AP266" s="6">
        <v>1.1475</v>
      </c>
      <c r="AQ266" s="19">
        <v>-0.18390000000000001</v>
      </c>
      <c r="AR266" s="6">
        <v>0.57969999999999999</v>
      </c>
      <c r="AS266" s="6">
        <v>123</v>
      </c>
      <c r="AU266" s="17">
        <v>264</v>
      </c>
      <c r="AV266" s="6">
        <v>0.60336999999999996</v>
      </c>
      <c r="AW266" s="19">
        <v>-0.18390000000000001</v>
      </c>
      <c r="AX266" s="6">
        <v>0.57969999999999999</v>
      </c>
      <c r="AY266" s="6">
        <v>123</v>
      </c>
    </row>
    <row r="267" spans="1:51" x14ac:dyDescent="0.25">
      <c r="A267" s="31" t="s">
        <v>132</v>
      </c>
      <c r="B267" s="32">
        <v>1</v>
      </c>
      <c r="C267" s="32">
        <v>8</v>
      </c>
      <c r="D267" s="32">
        <v>1</v>
      </c>
      <c r="E267" s="32">
        <v>37</v>
      </c>
      <c r="F267" s="2">
        <v>60.6</v>
      </c>
      <c r="G267">
        <v>66.983397136107229</v>
      </c>
      <c r="H267">
        <v>9.1</v>
      </c>
      <c r="AB267" s="17">
        <v>265</v>
      </c>
      <c r="AC267" s="6">
        <v>3.2185299999999999</v>
      </c>
      <c r="AD267" s="19">
        <v>-3.5739000000000001</v>
      </c>
      <c r="AE267" s="6">
        <v>3.0922999999999998</v>
      </c>
      <c r="AF267" s="6">
        <v>123</v>
      </c>
      <c r="AH267" s="17">
        <v>265</v>
      </c>
      <c r="AI267" s="6">
        <v>6.1210000000000004</v>
      </c>
      <c r="AJ267" s="19">
        <v>-3.5739000000000001</v>
      </c>
      <c r="AK267" s="6">
        <v>3.0922999999999998</v>
      </c>
      <c r="AL267" s="6">
        <v>123</v>
      </c>
      <c r="AO267" s="17">
        <v>265</v>
      </c>
      <c r="AP267" s="6">
        <v>1.14656</v>
      </c>
      <c r="AQ267" s="19">
        <v>-0.13700000000000001</v>
      </c>
      <c r="AR267" s="6">
        <v>0.57920000000000005</v>
      </c>
      <c r="AS267" s="6">
        <v>123</v>
      </c>
      <c r="AU267" s="17">
        <v>265</v>
      </c>
      <c r="AV267" s="6">
        <v>0.60287999999999997</v>
      </c>
      <c r="AW267" s="19">
        <v>-0.13700000000000001</v>
      </c>
      <c r="AX267" s="6">
        <v>0.57920000000000005</v>
      </c>
      <c r="AY267" s="6">
        <v>123</v>
      </c>
    </row>
    <row r="268" spans="1:51" x14ac:dyDescent="0.25">
      <c r="A268" s="31" t="s">
        <v>132</v>
      </c>
      <c r="B268" s="32">
        <v>1</v>
      </c>
      <c r="C268" s="32">
        <v>9</v>
      </c>
      <c r="D268" s="32">
        <v>1</v>
      </c>
      <c r="E268" s="32">
        <v>17</v>
      </c>
      <c r="F268" s="2">
        <v>56.4</v>
      </c>
      <c r="G268">
        <v>65.139813895183451</v>
      </c>
      <c r="H268" t="s">
        <v>12</v>
      </c>
      <c r="AB268" s="17">
        <v>266</v>
      </c>
      <c r="AC268" s="6">
        <v>3.2166199999999998</v>
      </c>
      <c r="AD268" s="19">
        <v>-6.4249999999999998</v>
      </c>
      <c r="AE268" s="6">
        <v>3.0905</v>
      </c>
      <c r="AF268" s="6">
        <v>123</v>
      </c>
      <c r="AH268" s="17">
        <v>266</v>
      </c>
      <c r="AI268" s="6">
        <v>6.1173999999999999</v>
      </c>
      <c r="AJ268" s="19">
        <v>-6.4249999999999998</v>
      </c>
      <c r="AK268" s="6">
        <v>3.0905</v>
      </c>
      <c r="AL268" s="6">
        <v>123</v>
      </c>
      <c r="AO268" s="17">
        <v>266</v>
      </c>
      <c r="AP268" s="6">
        <v>1.14917</v>
      </c>
      <c r="AQ268" s="6">
        <v>0.12720000000000001</v>
      </c>
      <c r="AR268" s="6">
        <v>0.5806</v>
      </c>
      <c r="AS268" s="6">
        <v>123</v>
      </c>
      <c r="AU268" s="17">
        <v>266</v>
      </c>
      <c r="AV268" s="6">
        <v>0.60424999999999995</v>
      </c>
      <c r="AW268" s="6">
        <v>0.12720000000000001</v>
      </c>
      <c r="AX268" s="6">
        <v>0.5806</v>
      </c>
      <c r="AY268" s="6">
        <v>123</v>
      </c>
    </row>
    <row r="269" spans="1:51" x14ac:dyDescent="0.25">
      <c r="A269" s="31" t="s">
        <v>132</v>
      </c>
      <c r="B269" s="32">
        <v>1</v>
      </c>
      <c r="C269" s="32">
        <v>10</v>
      </c>
      <c r="D269" s="32">
        <v>1</v>
      </c>
      <c r="E269" s="32">
        <v>42</v>
      </c>
      <c r="F269" s="2">
        <v>61.8</v>
      </c>
      <c r="G269">
        <v>64.004805457788919</v>
      </c>
      <c r="H269">
        <v>9.6</v>
      </c>
      <c r="AB269" s="17">
        <v>267</v>
      </c>
      <c r="AC269" s="6">
        <v>3.2031100000000001</v>
      </c>
      <c r="AD269" s="19">
        <v>-18.124500000000001</v>
      </c>
      <c r="AE269" s="6">
        <v>3.0775000000000001</v>
      </c>
      <c r="AF269" s="6">
        <v>123</v>
      </c>
      <c r="AH269" s="17">
        <v>267</v>
      </c>
      <c r="AI269" s="6">
        <v>6.0917000000000003</v>
      </c>
      <c r="AJ269" s="19">
        <v>-18.124500000000001</v>
      </c>
      <c r="AK269" s="6">
        <v>3.0775000000000001</v>
      </c>
      <c r="AL269" s="6">
        <v>123</v>
      </c>
      <c r="AO269" s="17">
        <v>267</v>
      </c>
      <c r="AP269" s="6">
        <v>1.1421699999999999</v>
      </c>
      <c r="AQ269" s="19">
        <v>-1.9984999999999999</v>
      </c>
      <c r="AR269" s="6">
        <v>0.57699999999999996</v>
      </c>
      <c r="AS269" s="6">
        <v>123</v>
      </c>
      <c r="AU269" s="17">
        <v>267</v>
      </c>
      <c r="AV269" s="6">
        <v>0.60057000000000005</v>
      </c>
      <c r="AW269" s="19">
        <v>-1.9984999999999999</v>
      </c>
      <c r="AX269" s="6">
        <v>0.57699999999999996</v>
      </c>
      <c r="AY269" s="6">
        <v>123</v>
      </c>
    </row>
    <row r="270" spans="1:51" x14ac:dyDescent="0.25">
      <c r="A270" s="31" t="s">
        <v>132</v>
      </c>
      <c r="B270" s="32">
        <v>1</v>
      </c>
      <c r="C270" s="32">
        <v>11</v>
      </c>
      <c r="D270" s="32">
        <v>1</v>
      </c>
      <c r="E270" s="32">
        <v>27</v>
      </c>
      <c r="F270" s="2">
        <v>61.8</v>
      </c>
      <c r="G270">
        <v>61.50753869148064</v>
      </c>
      <c r="H270">
        <v>10.8</v>
      </c>
      <c r="AB270" s="17">
        <v>268</v>
      </c>
      <c r="AC270" s="6">
        <v>3.2174</v>
      </c>
      <c r="AD270" s="19">
        <v>-13.864800000000001</v>
      </c>
      <c r="AE270" s="6">
        <v>3.0912000000000002</v>
      </c>
      <c r="AF270" s="6">
        <v>123</v>
      </c>
      <c r="AH270" s="17">
        <v>268</v>
      </c>
      <c r="AI270" s="6">
        <v>6.1189</v>
      </c>
      <c r="AJ270" s="19">
        <v>-13.864800000000001</v>
      </c>
      <c r="AK270" s="6">
        <v>3.0912000000000002</v>
      </c>
      <c r="AL270" s="6">
        <v>123</v>
      </c>
      <c r="AO270" s="17">
        <v>268</v>
      </c>
      <c r="AP270" s="6">
        <v>1.14483</v>
      </c>
      <c r="AQ270" s="19">
        <v>-0.55979999999999996</v>
      </c>
      <c r="AR270" s="6">
        <v>0.57840000000000003</v>
      </c>
      <c r="AS270" s="6">
        <v>123</v>
      </c>
      <c r="AU270" s="17">
        <v>268</v>
      </c>
      <c r="AV270" s="6">
        <v>0.60197000000000001</v>
      </c>
      <c r="AW270" s="19">
        <v>-0.55979999999999996</v>
      </c>
      <c r="AX270" s="6">
        <v>0.57840000000000003</v>
      </c>
      <c r="AY270" s="6">
        <v>123</v>
      </c>
    </row>
    <row r="271" spans="1:51" x14ac:dyDescent="0.25">
      <c r="A271" s="31" t="s">
        <v>132</v>
      </c>
      <c r="B271" s="32">
        <v>1</v>
      </c>
      <c r="C271" s="32">
        <v>12</v>
      </c>
      <c r="D271" s="32">
        <v>1</v>
      </c>
      <c r="E271" s="32">
        <v>28</v>
      </c>
      <c r="F271" s="2">
        <v>58.7</v>
      </c>
      <c r="G271">
        <v>65.198428233932788</v>
      </c>
      <c r="H271">
        <v>10.3</v>
      </c>
      <c r="AB271" s="17">
        <v>269</v>
      </c>
      <c r="AC271" s="6">
        <v>3.22458</v>
      </c>
      <c r="AD271" s="19">
        <v>-12.7654</v>
      </c>
      <c r="AE271" s="6">
        <v>3.0981000000000001</v>
      </c>
      <c r="AF271" s="6">
        <v>123</v>
      </c>
      <c r="AH271" s="17">
        <v>269</v>
      </c>
      <c r="AI271" s="6">
        <v>6.1325000000000003</v>
      </c>
      <c r="AJ271" s="19">
        <v>-12.7654</v>
      </c>
      <c r="AK271" s="6">
        <v>3.0981000000000001</v>
      </c>
      <c r="AL271" s="6">
        <v>123</v>
      </c>
      <c r="AO271" s="17">
        <v>269</v>
      </c>
      <c r="AP271" s="6">
        <v>1.14347</v>
      </c>
      <c r="AQ271" s="6">
        <v>0.11</v>
      </c>
      <c r="AR271" s="6">
        <v>0.57769999999999999</v>
      </c>
      <c r="AS271" s="6">
        <v>123</v>
      </c>
      <c r="AU271" s="17">
        <v>269</v>
      </c>
      <c r="AV271" s="6">
        <v>0.60126000000000002</v>
      </c>
      <c r="AW271" s="6">
        <v>0.11</v>
      </c>
      <c r="AX271" s="6">
        <v>0.57769999999999999</v>
      </c>
      <c r="AY271" s="6">
        <v>123</v>
      </c>
    </row>
    <row r="272" spans="1:51" x14ac:dyDescent="0.25">
      <c r="A272" s="31" t="s">
        <v>132</v>
      </c>
      <c r="B272" s="32">
        <v>1</v>
      </c>
      <c r="C272" s="32">
        <v>13</v>
      </c>
      <c r="D272" s="32">
        <v>1</v>
      </c>
      <c r="E272" s="32">
        <v>9</v>
      </c>
      <c r="F272" s="2">
        <v>59.1</v>
      </c>
      <c r="G272">
        <v>61.132273275155484</v>
      </c>
      <c r="H272">
        <v>10.3</v>
      </c>
      <c r="AB272" s="17">
        <v>270</v>
      </c>
      <c r="AC272" s="6">
        <v>3.2404799999999998</v>
      </c>
      <c r="AD272" s="19">
        <v>-16.913</v>
      </c>
      <c r="AE272" s="6">
        <v>3.1133999999999999</v>
      </c>
      <c r="AF272" s="6">
        <v>123</v>
      </c>
      <c r="AH272" s="17">
        <v>270</v>
      </c>
      <c r="AI272" s="6">
        <v>6.1627999999999998</v>
      </c>
      <c r="AJ272" s="19">
        <v>-16.913</v>
      </c>
      <c r="AK272" s="6">
        <v>3.1133999999999999</v>
      </c>
      <c r="AL272" s="6">
        <v>123</v>
      </c>
      <c r="AO272" s="17">
        <v>270</v>
      </c>
      <c r="AP272" s="6">
        <v>1.15961</v>
      </c>
      <c r="AQ272" s="19">
        <v>-0.83150000000000002</v>
      </c>
      <c r="AR272" s="6">
        <v>0.58579999999999999</v>
      </c>
      <c r="AS272" s="6">
        <v>123</v>
      </c>
      <c r="AU272" s="17">
        <v>270</v>
      </c>
      <c r="AV272" s="6">
        <v>0.60973999999999995</v>
      </c>
      <c r="AW272" s="19">
        <v>-0.83150000000000002</v>
      </c>
      <c r="AX272" s="6">
        <v>0.58579999999999999</v>
      </c>
      <c r="AY272" s="6">
        <v>123</v>
      </c>
    </row>
    <row r="273" spans="1:51" x14ac:dyDescent="0.25">
      <c r="A273" s="31" t="s">
        <v>132</v>
      </c>
      <c r="B273" s="32">
        <v>1</v>
      </c>
      <c r="C273" s="32">
        <v>14</v>
      </c>
      <c r="D273" s="32">
        <v>1</v>
      </c>
      <c r="E273" s="32">
        <v>5</v>
      </c>
      <c r="F273" s="2">
        <v>60.5</v>
      </c>
      <c r="G273">
        <v>61.341910226122167</v>
      </c>
      <c r="H273">
        <v>9.6</v>
      </c>
      <c r="AB273" s="17">
        <v>271</v>
      </c>
      <c r="AC273" s="6">
        <v>3.20811</v>
      </c>
      <c r="AD273" s="19">
        <v>-7.8676000000000004</v>
      </c>
      <c r="AE273" s="6">
        <v>3.0823</v>
      </c>
      <c r="AF273" s="6">
        <v>123</v>
      </c>
      <c r="AH273" s="17">
        <v>271</v>
      </c>
      <c r="AI273" s="6">
        <v>6.1012000000000004</v>
      </c>
      <c r="AJ273" s="19">
        <v>-7.8676000000000004</v>
      </c>
      <c r="AK273" s="6">
        <v>3.0823</v>
      </c>
      <c r="AL273" s="6">
        <v>123</v>
      </c>
      <c r="AO273" s="17">
        <v>271</v>
      </c>
      <c r="AP273" s="6">
        <v>1.1432899999999999</v>
      </c>
      <c r="AQ273" s="19">
        <v>-1.3836999999999999</v>
      </c>
      <c r="AR273" s="6">
        <v>0.5776</v>
      </c>
      <c r="AS273" s="6">
        <v>123</v>
      </c>
      <c r="AU273" s="17">
        <v>271</v>
      </c>
      <c r="AV273" s="6">
        <v>0.60116000000000003</v>
      </c>
      <c r="AW273" s="19">
        <v>-1.3836999999999999</v>
      </c>
      <c r="AX273" s="6">
        <v>0.5776</v>
      </c>
      <c r="AY273" s="6">
        <v>123</v>
      </c>
    </row>
    <row r="274" spans="1:51" x14ac:dyDescent="0.25">
      <c r="A274" s="31" t="s">
        <v>132</v>
      </c>
      <c r="B274" s="32">
        <v>1</v>
      </c>
      <c r="C274" s="32">
        <v>15</v>
      </c>
      <c r="D274" s="32">
        <v>1</v>
      </c>
      <c r="E274" s="32">
        <v>30</v>
      </c>
      <c r="F274" s="2">
        <v>61.3</v>
      </c>
      <c r="G274">
        <v>58.526464972759271</v>
      </c>
      <c r="H274">
        <v>10.3</v>
      </c>
      <c r="AB274" s="17">
        <v>272</v>
      </c>
      <c r="AC274" s="6">
        <v>3.2059799999999998</v>
      </c>
      <c r="AD274" s="19">
        <v>-14.0901</v>
      </c>
      <c r="AE274" s="6">
        <v>3.0802</v>
      </c>
      <c r="AF274" s="6">
        <v>123</v>
      </c>
      <c r="AH274" s="17">
        <v>272</v>
      </c>
      <c r="AI274" s="6">
        <v>6.0972</v>
      </c>
      <c r="AJ274" s="19">
        <v>-14.0901</v>
      </c>
      <c r="AK274" s="6">
        <v>3.0802</v>
      </c>
      <c r="AL274" s="6">
        <v>123</v>
      </c>
      <c r="AO274" s="17">
        <v>272</v>
      </c>
      <c r="AP274" s="6">
        <v>1.13924</v>
      </c>
      <c r="AQ274" s="19">
        <v>-1.3283</v>
      </c>
      <c r="AR274" s="6">
        <v>0.57550000000000001</v>
      </c>
      <c r="AS274" s="6">
        <v>123</v>
      </c>
      <c r="AU274" s="17">
        <v>272</v>
      </c>
      <c r="AV274" s="6">
        <v>0.59902999999999995</v>
      </c>
      <c r="AW274" s="19">
        <v>-1.3283</v>
      </c>
      <c r="AX274" s="6">
        <v>0.57550000000000001</v>
      </c>
      <c r="AY274" s="6">
        <v>123</v>
      </c>
    </row>
    <row r="275" spans="1:51" x14ac:dyDescent="0.25">
      <c r="A275" s="31" t="s">
        <v>132</v>
      </c>
      <c r="B275" s="32">
        <v>1</v>
      </c>
      <c r="C275" s="32">
        <v>16</v>
      </c>
      <c r="D275" s="32">
        <v>1</v>
      </c>
      <c r="E275" s="32">
        <v>14</v>
      </c>
      <c r="F275" s="2">
        <v>61.5</v>
      </c>
      <c r="G275">
        <v>62.580352924159875</v>
      </c>
      <c r="H275">
        <v>10.199999999999999</v>
      </c>
      <c r="AB275" s="17">
        <v>273</v>
      </c>
      <c r="AC275" s="6">
        <v>3.2056499999999999</v>
      </c>
      <c r="AD275" s="19">
        <v>-12.241199999999999</v>
      </c>
      <c r="AE275" s="6">
        <v>3.0798999999999999</v>
      </c>
      <c r="AF275" s="6">
        <v>123</v>
      </c>
      <c r="AH275" s="17">
        <v>273</v>
      </c>
      <c r="AI275" s="6">
        <v>6.0964999999999998</v>
      </c>
      <c r="AJ275" s="19">
        <v>-12.241199999999999</v>
      </c>
      <c r="AK275" s="6">
        <v>3.0798999999999999</v>
      </c>
      <c r="AL275" s="6">
        <v>123</v>
      </c>
      <c r="AO275" s="17">
        <v>273</v>
      </c>
      <c r="AP275" s="6">
        <v>1.14147</v>
      </c>
      <c r="AQ275" s="19">
        <v>-1.7881</v>
      </c>
      <c r="AR275" s="6">
        <v>0.57669999999999999</v>
      </c>
      <c r="AS275" s="6">
        <v>123</v>
      </c>
      <c r="AU275" s="17">
        <v>273</v>
      </c>
      <c r="AV275" s="6">
        <v>0.60019999999999996</v>
      </c>
      <c r="AW275" s="19">
        <v>-1.7881</v>
      </c>
      <c r="AX275" s="6">
        <v>0.57669999999999999</v>
      </c>
      <c r="AY275" s="6">
        <v>123</v>
      </c>
    </row>
    <row r="276" spans="1:51" x14ac:dyDescent="0.25">
      <c r="A276" s="31" t="s">
        <v>132</v>
      </c>
      <c r="B276" s="32">
        <v>1</v>
      </c>
      <c r="C276" s="32">
        <v>17</v>
      </c>
      <c r="D276" s="32">
        <v>1</v>
      </c>
      <c r="E276" s="32">
        <v>29</v>
      </c>
      <c r="F276" s="2">
        <v>61.5</v>
      </c>
      <c r="G276">
        <v>61.129361650836508</v>
      </c>
      <c r="H276">
        <v>10.1</v>
      </c>
      <c r="AB276" s="17">
        <v>274</v>
      </c>
      <c r="AC276" s="6">
        <v>3.2524199999999999</v>
      </c>
      <c r="AD276" s="19">
        <v>-5.2885</v>
      </c>
      <c r="AE276" s="6">
        <v>3.1248999999999998</v>
      </c>
      <c r="AF276" s="6">
        <v>123</v>
      </c>
      <c r="AH276" s="17">
        <v>274</v>
      </c>
      <c r="AI276" s="6">
        <v>6.1855000000000002</v>
      </c>
      <c r="AJ276" s="19">
        <v>-5.2885</v>
      </c>
      <c r="AK276" s="6">
        <v>3.1248999999999998</v>
      </c>
      <c r="AL276" s="6">
        <v>123</v>
      </c>
      <c r="AO276" s="17">
        <v>274</v>
      </c>
      <c r="AP276" s="6">
        <v>1.1639999999999999</v>
      </c>
      <c r="AQ276" s="6">
        <v>0.5171</v>
      </c>
      <c r="AR276" s="6">
        <v>0.58799999999999997</v>
      </c>
      <c r="AS276" s="6">
        <v>123</v>
      </c>
      <c r="AU276" s="17">
        <v>274</v>
      </c>
      <c r="AV276" s="6">
        <v>0.61204999999999998</v>
      </c>
      <c r="AW276" s="6">
        <v>0.5171</v>
      </c>
      <c r="AX276" s="6">
        <v>0.58799999999999997</v>
      </c>
      <c r="AY276" s="6">
        <v>123</v>
      </c>
    </row>
    <row r="277" spans="1:51" x14ac:dyDescent="0.25">
      <c r="A277" s="31" t="s">
        <v>132</v>
      </c>
      <c r="B277" s="32">
        <v>1</v>
      </c>
      <c r="C277" s="32">
        <v>18</v>
      </c>
      <c r="D277" s="32">
        <v>1</v>
      </c>
      <c r="E277" s="32">
        <v>21</v>
      </c>
      <c r="F277" s="2">
        <v>62.1</v>
      </c>
      <c r="G277">
        <v>62.610996576828498</v>
      </c>
      <c r="H277">
        <v>10.3</v>
      </c>
      <c r="AB277" s="17">
        <v>275</v>
      </c>
      <c r="AC277" s="6">
        <v>3.22872</v>
      </c>
      <c r="AD277" s="19">
        <v>-11.616300000000001</v>
      </c>
      <c r="AE277" s="6">
        <v>3.1021000000000001</v>
      </c>
      <c r="AF277" s="6">
        <v>123</v>
      </c>
      <c r="AH277" s="17">
        <v>275</v>
      </c>
      <c r="AI277" s="6">
        <v>6.1403999999999996</v>
      </c>
      <c r="AJ277" s="19">
        <v>-11.616300000000001</v>
      </c>
      <c r="AK277" s="6">
        <v>3.1021000000000001</v>
      </c>
      <c r="AL277" s="6">
        <v>123</v>
      </c>
      <c r="AO277" s="17">
        <v>275</v>
      </c>
      <c r="AP277" s="6">
        <v>1.1482600000000001</v>
      </c>
      <c r="AQ277" s="19">
        <v>-1.8452</v>
      </c>
      <c r="AR277" s="6">
        <v>0.58009999999999995</v>
      </c>
      <c r="AS277" s="6">
        <v>123</v>
      </c>
      <c r="AU277" s="17">
        <v>275</v>
      </c>
      <c r="AV277" s="6">
        <v>0.60377000000000003</v>
      </c>
      <c r="AW277" s="19">
        <v>-1.8452</v>
      </c>
      <c r="AX277" s="6">
        <v>0.58009999999999995</v>
      </c>
      <c r="AY277" s="6">
        <v>123</v>
      </c>
    </row>
    <row r="278" spans="1:51" x14ac:dyDescent="0.25">
      <c r="A278" s="31" t="s">
        <v>132</v>
      </c>
      <c r="B278" s="32">
        <v>1</v>
      </c>
      <c r="C278" s="32">
        <v>19</v>
      </c>
      <c r="D278" s="32">
        <v>1</v>
      </c>
      <c r="E278" s="32">
        <v>12</v>
      </c>
      <c r="F278" s="2">
        <v>61.7</v>
      </c>
      <c r="G278">
        <v>56.831088182826285</v>
      </c>
      <c r="H278">
        <v>9.6999999999999993</v>
      </c>
      <c r="AB278" s="17">
        <v>276</v>
      </c>
      <c r="AC278" s="6">
        <v>3.2242700000000002</v>
      </c>
      <c r="AD278" s="19">
        <v>-0.8266</v>
      </c>
      <c r="AE278" s="6">
        <v>3.0977999999999999</v>
      </c>
      <c r="AF278" s="6">
        <v>123</v>
      </c>
      <c r="AH278" s="17">
        <v>276</v>
      </c>
      <c r="AI278" s="6">
        <v>6.1318999999999999</v>
      </c>
      <c r="AJ278" s="19">
        <v>-0.8266</v>
      </c>
      <c r="AK278" s="6">
        <v>3.0977999999999999</v>
      </c>
      <c r="AL278" s="6">
        <v>123</v>
      </c>
      <c r="AO278" s="17">
        <v>276</v>
      </c>
      <c r="AP278" s="6">
        <v>1.15259</v>
      </c>
      <c r="AQ278" s="6">
        <v>0.83169999999999999</v>
      </c>
      <c r="AR278" s="6">
        <v>0.58230000000000004</v>
      </c>
      <c r="AS278" s="6">
        <v>123</v>
      </c>
      <c r="AU278" s="17">
        <v>276</v>
      </c>
      <c r="AV278" s="6">
        <v>0.60604999999999998</v>
      </c>
      <c r="AW278" s="6">
        <v>0.83169999999999999</v>
      </c>
      <c r="AX278" s="6">
        <v>0.58230000000000004</v>
      </c>
      <c r="AY278" s="6">
        <v>123</v>
      </c>
    </row>
    <row r="279" spans="1:51" x14ac:dyDescent="0.25">
      <c r="A279" s="31" t="s">
        <v>132</v>
      </c>
      <c r="B279" s="32">
        <v>1</v>
      </c>
      <c r="C279" s="32">
        <v>20</v>
      </c>
      <c r="D279" s="32">
        <v>1</v>
      </c>
      <c r="E279" s="32">
        <v>41</v>
      </c>
      <c r="F279" s="2">
        <v>60.8</v>
      </c>
      <c r="G279">
        <v>61.60352683091461</v>
      </c>
      <c r="H279">
        <v>10.1</v>
      </c>
      <c r="AB279" s="17">
        <v>277</v>
      </c>
      <c r="AC279" s="6">
        <v>3.2044800000000002</v>
      </c>
      <c r="AD279" s="19">
        <v>-3.0535999999999999</v>
      </c>
      <c r="AE279" s="6">
        <v>3.0788000000000002</v>
      </c>
      <c r="AF279" s="6">
        <v>123</v>
      </c>
      <c r="AH279" s="17">
        <v>277</v>
      </c>
      <c r="AI279" s="6">
        <v>6.0942999999999996</v>
      </c>
      <c r="AJ279" s="19">
        <v>-3.0535999999999999</v>
      </c>
      <c r="AK279" s="6">
        <v>3.0788000000000002</v>
      </c>
      <c r="AL279" s="6">
        <v>123</v>
      </c>
      <c r="AO279" s="17">
        <v>277</v>
      </c>
      <c r="AP279" s="6">
        <v>1.1425099999999999</v>
      </c>
      <c r="AQ279" s="6">
        <v>0.62880000000000003</v>
      </c>
      <c r="AR279" s="6">
        <v>0.57720000000000005</v>
      </c>
      <c r="AS279" s="6">
        <v>123</v>
      </c>
      <c r="AU279" s="17">
        <v>277</v>
      </c>
      <c r="AV279" s="6">
        <v>0.60075000000000001</v>
      </c>
      <c r="AW279" s="6">
        <v>0.62880000000000003</v>
      </c>
      <c r="AX279" s="6">
        <v>0.57720000000000005</v>
      </c>
      <c r="AY279" s="6">
        <v>123</v>
      </c>
    </row>
    <row r="280" spans="1:51" x14ac:dyDescent="0.25">
      <c r="A280" s="31" t="s">
        <v>132</v>
      </c>
      <c r="B280" s="32">
        <v>1</v>
      </c>
      <c r="C280" s="32">
        <v>21</v>
      </c>
      <c r="D280" s="32">
        <v>1</v>
      </c>
      <c r="E280" s="32">
        <v>2</v>
      </c>
      <c r="F280" s="2">
        <v>62.8</v>
      </c>
      <c r="G280">
        <v>69.994684923581303</v>
      </c>
      <c r="H280">
        <v>9.9</v>
      </c>
      <c r="AB280" s="17">
        <v>278</v>
      </c>
      <c r="AC280" s="6">
        <v>3.20703</v>
      </c>
      <c r="AD280" s="19">
        <v>-12.0038</v>
      </c>
      <c r="AE280" s="6">
        <v>3.0811999999999999</v>
      </c>
      <c r="AF280" s="6">
        <v>123</v>
      </c>
      <c r="AH280" s="17">
        <v>278</v>
      </c>
      <c r="AI280" s="6">
        <v>6.0991</v>
      </c>
      <c r="AJ280" s="19">
        <v>-12.0038</v>
      </c>
      <c r="AK280" s="6">
        <v>3.0811999999999999</v>
      </c>
      <c r="AL280" s="6">
        <v>123</v>
      </c>
      <c r="AO280" s="17">
        <v>278</v>
      </c>
      <c r="AP280" s="6">
        <v>1.1370899999999999</v>
      </c>
      <c r="AQ280" s="19">
        <v>-0.71550000000000002</v>
      </c>
      <c r="AR280" s="6">
        <v>0.57450000000000001</v>
      </c>
      <c r="AS280" s="6">
        <v>123</v>
      </c>
      <c r="AU280" s="17">
        <v>278</v>
      </c>
      <c r="AV280" s="6">
        <v>0.59789999999999999</v>
      </c>
      <c r="AW280" s="19">
        <v>-0.71550000000000002</v>
      </c>
      <c r="AX280" s="6">
        <v>0.57450000000000001</v>
      </c>
      <c r="AY280" s="6">
        <v>123</v>
      </c>
    </row>
    <row r="281" spans="1:51" x14ac:dyDescent="0.25">
      <c r="A281" s="31" t="s">
        <v>132</v>
      </c>
      <c r="B281" s="32">
        <v>1</v>
      </c>
      <c r="C281" s="32">
        <v>21</v>
      </c>
      <c r="D281" s="32">
        <v>2</v>
      </c>
      <c r="E281" s="32">
        <v>6</v>
      </c>
      <c r="F281" s="2">
        <v>60.4</v>
      </c>
      <c r="G281">
        <v>55.558660623885054</v>
      </c>
      <c r="H281">
        <v>12</v>
      </c>
      <c r="AB281" s="17">
        <v>279</v>
      </c>
      <c r="AC281" s="6">
        <v>3.2130100000000001</v>
      </c>
      <c r="AD281" s="19">
        <v>-9.5365000000000002</v>
      </c>
      <c r="AE281" s="6">
        <v>3.0870000000000002</v>
      </c>
      <c r="AF281" s="6">
        <v>123</v>
      </c>
      <c r="AH281" s="17">
        <v>279</v>
      </c>
      <c r="AI281" s="6">
        <v>6.1105</v>
      </c>
      <c r="AJ281" s="19">
        <v>-9.5365000000000002</v>
      </c>
      <c r="AK281" s="6">
        <v>3.0870000000000002</v>
      </c>
      <c r="AL281" s="6">
        <v>123</v>
      </c>
      <c r="AO281" s="17">
        <v>279</v>
      </c>
      <c r="AP281" s="6">
        <v>1.1409</v>
      </c>
      <c r="AQ281" s="19">
        <v>-0.50480000000000003</v>
      </c>
      <c r="AR281" s="6">
        <v>0.57640000000000002</v>
      </c>
      <c r="AS281" s="6">
        <v>123</v>
      </c>
      <c r="AU281" s="17">
        <v>279</v>
      </c>
      <c r="AV281" s="6">
        <v>0.59989999999999999</v>
      </c>
      <c r="AW281" s="19">
        <v>-0.50480000000000003</v>
      </c>
      <c r="AX281" s="6">
        <v>0.57640000000000002</v>
      </c>
      <c r="AY281" s="6">
        <v>123</v>
      </c>
    </row>
    <row r="282" spans="1:51" x14ac:dyDescent="0.25">
      <c r="A282" s="31" t="s">
        <v>132</v>
      </c>
      <c r="B282" s="32">
        <v>1</v>
      </c>
      <c r="C282" s="32">
        <v>20</v>
      </c>
      <c r="D282" s="32">
        <v>2</v>
      </c>
      <c r="E282" s="32">
        <v>16</v>
      </c>
      <c r="F282" s="2">
        <v>60.3</v>
      </c>
      <c r="G282">
        <v>65.030413191263676</v>
      </c>
      <c r="H282" t="s">
        <v>12</v>
      </c>
      <c r="AB282" s="17">
        <v>280</v>
      </c>
      <c r="AC282" s="6">
        <v>5.1143700000000001</v>
      </c>
      <c r="AD282" s="19">
        <v>-0.58089999999999997</v>
      </c>
      <c r="AE282" s="6">
        <v>4.9138000000000002</v>
      </c>
      <c r="AF282" s="6">
        <v>123</v>
      </c>
      <c r="AH282" s="17">
        <v>280</v>
      </c>
      <c r="AI282" s="6">
        <v>9.7264999999999997</v>
      </c>
      <c r="AJ282" s="19">
        <v>-0.58089999999999997</v>
      </c>
      <c r="AK282" s="6">
        <v>4.9138000000000002</v>
      </c>
      <c r="AL282" s="6">
        <v>123</v>
      </c>
      <c r="AO282" s="17">
        <v>280</v>
      </c>
      <c r="AP282" s="6">
        <v>1.8148200000000001</v>
      </c>
      <c r="AQ282" s="6">
        <v>1.242E-2</v>
      </c>
      <c r="AR282" s="6">
        <v>0.91679999999999995</v>
      </c>
      <c r="AS282" s="6">
        <v>123</v>
      </c>
      <c r="AU282" s="17">
        <v>280</v>
      </c>
      <c r="AV282" s="6">
        <v>0.95426</v>
      </c>
      <c r="AW282" s="6">
        <v>1.242E-2</v>
      </c>
      <c r="AX282" s="6">
        <v>0.91679999999999995</v>
      </c>
      <c r="AY282" s="6">
        <v>123</v>
      </c>
    </row>
    <row r="283" spans="1:51" x14ac:dyDescent="0.25">
      <c r="A283" s="31" t="s">
        <v>132</v>
      </c>
      <c r="B283" s="32">
        <v>1</v>
      </c>
      <c r="C283" s="32">
        <v>19</v>
      </c>
      <c r="D283" s="32">
        <v>2</v>
      </c>
      <c r="E283" s="32">
        <v>36</v>
      </c>
      <c r="F283" s="2">
        <v>63</v>
      </c>
      <c r="G283">
        <v>68.556151583819499</v>
      </c>
      <c r="H283">
        <v>10.4</v>
      </c>
      <c r="AB283" s="17">
        <v>281</v>
      </c>
      <c r="AC283" s="6">
        <v>3.2108400000000001</v>
      </c>
      <c r="AD283" s="6">
        <v>8.9957999999999991</v>
      </c>
      <c r="AE283" s="6">
        <v>3.0849000000000002</v>
      </c>
      <c r="AF283" s="6">
        <v>123</v>
      </c>
      <c r="AH283" s="17">
        <v>281</v>
      </c>
      <c r="AI283" s="6">
        <v>6.1063999999999998</v>
      </c>
      <c r="AJ283" s="6">
        <v>8.9957999999999991</v>
      </c>
      <c r="AK283" s="6">
        <v>3.0849000000000002</v>
      </c>
      <c r="AL283" s="6">
        <v>123</v>
      </c>
      <c r="AO283" s="17">
        <v>281</v>
      </c>
      <c r="AP283" s="6">
        <v>1.1577900000000001</v>
      </c>
      <c r="AQ283" s="6">
        <v>3.1962000000000002</v>
      </c>
      <c r="AR283" s="6">
        <v>0.58489999999999998</v>
      </c>
      <c r="AS283" s="6">
        <v>123</v>
      </c>
      <c r="AU283" s="17">
        <v>281</v>
      </c>
      <c r="AV283" s="6">
        <v>0.60879000000000005</v>
      </c>
      <c r="AW283" s="6">
        <v>3.1962000000000002</v>
      </c>
      <c r="AX283" s="6">
        <v>0.58489999999999998</v>
      </c>
      <c r="AY283" s="6">
        <v>123</v>
      </c>
    </row>
    <row r="284" spans="1:51" x14ac:dyDescent="0.25">
      <c r="A284" s="31" t="s">
        <v>132</v>
      </c>
      <c r="B284" s="32">
        <v>1</v>
      </c>
      <c r="C284" s="32">
        <v>18</v>
      </c>
      <c r="D284" s="32">
        <v>2</v>
      </c>
      <c r="E284" s="32">
        <v>26</v>
      </c>
      <c r="F284" s="2">
        <v>61.7</v>
      </c>
      <c r="G284">
        <v>73.96046044067306</v>
      </c>
      <c r="H284" t="s">
        <v>12</v>
      </c>
      <c r="AB284" s="17">
        <v>282</v>
      </c>
      <c r="AC284" s="6">
        <v>3.1947899999999998</v>
      </c>
      <c r="AD284" s="6">
        <v>14.965400000000001</v>
      </c>
      <c r="AE284" s="6">
        <v>3.0695000000000001</v>
      </c>
      <c r="AF284" s="6">
        <v>123</v>
      </c>
      <c r="AH284" s="17">
        <v>282</v>
      </c>
      <c r="AI284" s="6">
        <v>6.0758999999999999</v>
      </c>
      <c r="AJ284" s="6">
        <v>14.965400000000001</v>
      </c>
      <c r="AK284" s="6">
        <v>3.0695000000000001</v>
      </c>
      <c r="AL284" s="6">
        <v>123</v>
      </c>
      <c r="AO284" s="17">
        <v>282</v>
      </c>
      <c r="AP284" s="6">
        <v>1.13876</v>
      </c>
      <c r="AQ284" s="6">
        <v>4.3888999999999996</v>
      </c>
      <c r="AR284" s="6">
        <v>0.57530000000000003</v>
      </c>
      <c r="AS284" s="6">
        <v>123</v>
      </c>
      <c r="AU284" s="17">
        <v>282</v>
      </c>
      <c r="AV284" s="6">
        <v>0.59877999999999998</v>
      </c>
      <c r="AW284" s="6">
        <v>4.3888999999999996</v>
      </c>
      <c r="AX284" s="6">
        <v>0.57530000000000003</v>
      </c>
      <c r="AY284" s="6">
        <v>123</v>
      </c>
    </row>
    <row r="285" spans="1:51" x14ac:dyDescent="0.25">
      <c r="A285" s="31" t="s">
        <v>132</v>
      </c>
      <c r="B285" s="32">
        <v>1</v>
      </c>
      <c r="C285" s="32">
        <v>17</v>
      </c>
      <c r="D285" s="32">
        <v>2</v>
      </c>
      <c r="E285" s="32">
        <v>43</v>
      </c>
      <c r="F285" s="2">
        <v>61.7</v>
      </c>
      <c r="G285">
        <v>62.377493852755407</v>
      </c>
      <c r="H285">
        <v>10.3</v>
      </c>
      <c r="AB285" s="17">
        <v>283</v>
      </c>
      <c r="AC285" s="6">
        <v>3.2131500000000002</v>
      </c>
      <c r="AD285" s="6">
        <v>1.0085999999999999</v>
      </c>
      <c r="AE285" s="6">
        <v>3.0871</v>
      </c>
      <c r="AF285" s="6">
        <v>123</v>
      </c>
      <c r="AH285" s="17">
        <v>283</v>
      </c>
      <c r="AI285" s="6">
        <v>6.1108000000000002</v>
      </c>
      <c r="AJ285" s="6">
        <v>1.0085999999999999</v>
      </c>
      <c r="AK285" s="6">
        <v>3.0871</v>
      </c>
      <c r="AL285" s="6">
        <v>123</v>
      </c>
      <c r="AO285" s="17">
        <v>283</v>
      </c>
      <c r="AP285" s="6">
        <v>1.14405</v>
      </c>
      <c r="AQ285" s="19">
        <v>-0.61370000000000002</v>
      </c>
      <c r="AR285" s="6">
        <v>0.57799999999999996</v>
      </c>
      <c r="AS285" s="6">
        <v>123</v>
      </c>
      <c r="AU285" s="17">
        <v>283</v>
      </c>
      <c r="AV285" s="6">
        <v>0.60155999999999998</v>
      </c>
      <c r="AW285" s="19">
        <v>-0.61370000000000002</v>
      </c>
      <c r="AX285" s="6">
        <v>0.57799999999999996</v>
      </c>
      <c r="AY285" s="6">
        <v>123</v>
      </c>
    </row>
    <row r="286" spans="1:51" x14ac:dyDescent="0.25">
      <c r="A286" s="31" t="s">
        <v>132</v>
      </c>
      <c r="B286" s="32">
        <v>1</v>
      </c>
      <c r="C286" s="32">
        <v>16</v>
      </c>
      <c r="D286" s="32">
        <v>2</v>
      </c>
      <c r="E286" s="32">
        <v>1</v>
      </c>
      <c r="F286" s="2">
        <v>61.9</v>
      </c>
      <c r="G286">
        <v>69.084826189672626</v>
      </c>
      <c r="H286">
        <v>10.1</v>
      </c>
      <c r="AB286" s="17">
        <v>284</v>
      </c>
      <c r="AC286" s="6">
        <v>3.1840600000000001</v>
      </c>
      <c r="AD286" s="6">
        <v>9.5492000000000008</v>
      </c>
      <c r="AE286" s="6">
        <v>3.0592000000000001</v>
      </c>
      <c r="AF286" s="6">
        <v>123</v>
      </c>
      <c r="AH286" s="17">
        <v>284</v>
      </c>
      <c r="AI286" s="6">
        <v>6.0555000000000003</v>
      </c>
      <c r="AJ286" s="6">
        <v>9.5492000000000008</v>
      </c>
      <c r="AK286" s="6">
        <v>3.0592000000000001</v>
      </c>
      <c r="AL286" s="6">
        <v>123</v>
      </c>
      <c r="AO286" s="17">
        <v>284</v>
      </c>
      <c r="AP286" s="6">
        <v>1.13235</v>
      </c>
      <c r="AQ286" s="6">
        <v>0.86529999999999996</v>
      </c>
      <c r="AR286" s="6">
        <v>0.57210000000000005</v>
      </c>
      <c r="AS286" s="6">
        <v>123</v>
      </c>
      <c r="AU286" s="17">
        <v>284</v>
      </c>
      <c r="AV286" s="6">
        <v>0.59540999999999999</v>
      </c>
      <c r="AW286" s="6">
        <v>0.86529999999999996</v>
      </c>
      <c r="AX286" s="6">
        <v>0.57210000000000005</v>
      </c>
      <c r="AY286" s="6">
        <v>123</v>
      </c>
    </row>
    <row r="287" spans="1:51" x14ac:dyDescent="0.25">
      <c r="A287" s="31" t="s">
        <v>132</v>
      </c>
      <c r="B287" s="32">
        <v>1</v>
      </c>
      <c r="C287" s="32">
        <v>15</v>
      </c>
      <c r="D287" s="32">
        <v>2</v>
      </c>
      <c r="E287" s="32">
        <v>10</v>
      </c>
      <c r="F287" s="2">
        <v>56.3</v>
      </c>
      <c r="G287">
        <v>58.640877489031382</v>
      </c>
      <c r="H287">
        <v>10</v>
      </c>
      <c r="AB287" s="17">
        <v>285</v>
      </c>
      <c r="AC287" s="6">
        <v>3.20336</v>
      </c>
      <c r="AD287" s="6">
        <v>4.4509999999999996</v>
      </c>
      <c r="AE287" s="6">
        <v>3.0777000000000001</v>
      </c>
      <c r="AF287" s="6">
        <v>123</v>
      </c>
      <c r="AH287" s="17">
        <v>285</v>
      </c>
      <c r="AI287" s="6">
        <v>6.0922000000000001</v>
      </c>
      <c r="AJ287" s="6">
        <v>4.4509999999999996</v>
      </c>
      <c r="AK287" s="6">
        <v>3.0777000000000001</v>
      </c>
      <c r="AL287" s="6">
        <v>123</v>
      </c>
      <c r="AO287" s="17">
        <v>285</v>
      </c>
      <c r="AP287" s="6">
        <v>1.13992</v>
      </c>
      <c r="AQ287" s="6">
        <v>0.43509999999999999</v>
      </c>
      <c r="AR287" s="6">
        <v>0.57589999999999997</v>
      </c>
      <c r="AS287" s="6">
        <v>123</v>
      </c>
      <c r="AU287" s="17">
        <v>285</v>
      </c>
      <c r="AV287" s="6">
        <v>0.59938999999999998</v>
      </c>
      <c r="AW287" s="6">
        <v>0.43509999999999999</v>
      </c>
      <c r="AX287" s="6">
        <v>0.57589999999999997</v>
      </c>
      <c r="AY287" s="6">
        <v>123</v>
      </c>
    </row>
    <row r="288" spans="1:51" x14ac:dyDescent="0.25">
      <c r="A288" s="31" t="s">
        <v>132</v>
      </c>
      <c r="B288" s="32">
        <v>1</v>
      </c>
      <c r="C288" s="32">
        <v>14</v>
      </c>
      <c r="D288" s="32">
        <v>2</v>
      </c>
      <c r="E288" s="32">
        <v>34</v>
      </c>
      <c r="F288" s="2">
        <v>59.3</v>
      </c>
      <c r="G288">
        <v>61.827865098114842</v>
      </c>
      <c r="H288">
        <v>10.5</v>
      </c>
      <c r="AB288" s="17">
        <v>286</v>
      </c>
      <c r="AC288" s="6">
        <v>3.1992799999999999</v>
      </c>
      <c r="AD288" s="19">
        <v>-4.1509999999999998</v>
      </c>
      <c r="AE288" s="6">
        <v>3.0737999999999999</v>
      </c>
      <c r="AF288" s="6">
        <v>123</v>
      </c>
      <c r="AH288" s="17">
        <v>286</v>
      </c>
      <c r="AI288" s="6">
        <v>6.0843999999999996</v>
      </c>
      <c r="AJ288" s="19">
        <v>-4.1509999999999998</v>
      </c>
      <c r="AK288" s="6">
        <v>3.0737999999999999</v>
      </c>
      <c r="AL288" s="6">
        <v>123</v>
      </c>
      <c r="AO288" s="17">
        <v>286</v>
      </c>
      <c r="AP288" s="6">
        <v>1.1368799999999999</v>
      </c>
      <c r="AQ288" s="19">
        <v>-0.4345</v>
      </c>
      <c r="AR288" s="6">
        <v>0.57430000000000003</v>
      </c>
      <c r="AS288" s="6">
        <v>123</v>
      </c>
      <c r="AU288" s="17">
        <v>286</v>
      </c>
      <c r="AV288" s="6">
        <v>0.59779000000000004</v>
      </c>
      <c r="AW288" s="19">
        <v>-0.4345</v>
      </c>
      <c r="AX288" s="6">
        <v>0.57430000000000003</v>
      </c>
      <c r="AY288" s="6">
        <v>123</v>
      </c>
    </row>
    <row r="289" spans="1:51" x14ac:dyDescent="0.25">
      <c r="A289" s="31" t="s">
        <v>132</v>
      </c>
      <c r="B289" s="32">
        <v>1</v>
      </c>
      <c r="C289" s="32">
        <v>13</v>
      </c>
      <c r="D289" s="32">
        <v>2</v>
      </c>
      <c r="E289" s="32">
        <v>20</v>
      </c>
      <c r="F289" s="2">
        <v>60.4</v>
      </c>
      <c r="G289">
        <v>67.245920640277703</v>
      </c>
      <c r="H289">
        <v>10.3</v>
      </c>
      <c r="AB289" s="17">
        <v>287</v>
      </c>
      <c r="AC289" s="6">
        <v>3.1929599999999998</v>
      </c>
      <c r="AD289" s="6">
        <v>0.38869999999999999</v>
      </c>
      <c r="AE289" s="6">
        <v>3.0676999999999999</v>
      </c>
      <c r="AF289" s="6">
        <v>123</v>
      </c>
      <c r="AH289" s="17">
        <v>287</v>
      </c>
      <c r="AI289" s="6">
        <v>6.0724</v>
      </c>
      <c r="AJ289" s="6">
        <v>0.38869999999999999</v>
      </c>
      <c r="AK289" s="6">
        <v>3.0676999999999999</v>
      </c>
      <c r="AL289" s="6">
        <v>123</v>
      </c>
      <c r="AO289" s="17">
        <v>287</v>
      </c>
      <c r="AP289" s="6">
        <v>1.1362399999999999</v>
      </c>
      <c r="AQ289" s="6">
        <v>1.6949000000000001</v>
      </c>
      <c r="AR289" s="6">
        <v>0.57399999999999995</v>
      </c>
      <c r="AS289" s="6">
        <v>123</v>
      </c>
      <c r="AU289" s="17">
        <v>287</v>
      </c>
      <c r="AV289" s="6">
        <v>0.59745000000000004</v>
      </c>
      <c r="AW289" s="6">
        <v>1.6949000000000001</v>
      </c>
      <c r="AX289" s="6">
        <v>0.57399999999999995</v>
      </c>
      <c r="AY289" s="6">
        <v>123</v>
      </c>
    </row>
    <row r="290" spans="1:51" x14ac:dyDescent="0.25">
      <c r="A290" s="31" t="s">
        <v>132</v>
      </c>
      <c r="B290" s="32">
        <v>1</v>
      </c>
      <c r="C290" s="32">
        <v>12</v>
      </c>
      <c r="D290" s="32">
        <v>2</v>
      </c>
      <c r="E290" s="32">
        <v>24</v>
      </c>
      <c r="F290" s="2">
        <v>60.7</v>
      </c>
      <c r="G290">
        <v>64.116831396750399</v>
      </c>
      <c r="H290">
        <v>10.1</v>
      </c>
      <c r="AB290" s="17">
        <v>288</v>
      </c>
      <c r="AC290" s="6">
        <v>3.2069399999999999</v>
      </c>
      <c r="AD290" s="6">
        <v>1.1962999999999999</v>
      </c>
      <c r="AE290" s="6">
        <v>3.0811999999999999</v>
      </c>
      <c r="AF290" s="6">
        <v>123</v>
      </c>
      <c r="AH290" s="17">
        <v>288</v>
      </c>
      <c r="AI290" s="6">
        <v>6.0990000000000002</v>
      </c>
      <c r="AJ290" s="6">
        <v>1.1962999999999999</v>
      </c>
      <c r="AK290" s="6">
        <v>3.0811999999999999</v>
      </c>
      <c r="AL290" s="6">
        <v>123</v>
      </c>
      <c r="AO290" s="17">
        <v>288</v>
      </c>
      <c r="AP290" s="6">
        <v>1.1422399999999999</v>
      </c>
      <c r="AQ290" s="19">
        <v>-0.90749999999999997</v>
      </c>
      <c r="AR290" s="6">
        <v>0.57709999999999995</v>
      </c>
      <c r="AS290" s="6">
        <v>123</v>
      </c>
      <c r="AU290" s="17">
        <v>288</v>
      </c>
      <c r="AV290" s="6">
        <v>0.60060999999999998</v>
      </c>
      <c r="AW290" s="19">
        <v>-0.90749999999999997</v>
      </c>
      <c r="AX290" s="6">
        <v>0.57709999999999995</v>
      </c>
      <c r="AY290" s="6">
        <v>123</v>
      </c>
    </row>
    <row r="291" spans="1:51" x14ac:dyDescent="0.25">
      <c r="A291" s="31" t="s">
        <v>132</v>
      </c>
      <c r="B291" s="32">
        <v>1</v>
      </c>
      <c r="C291" s="32">
        <v>11</v>
      </c>
      <c r="D291" s="32">
        <v>2</v>
      </c>
      <c r="E291" s="32">
        <v>35</v>
      </c>
      <c r="F291" s="2">
        <v>61.4</v>
      </c>
      <c r="G291">
        <v>60.12986307314015</v>
      </c>
      <c r="H291">
        <v>9.9</v>
      </c>
      <c r="AB291" s="17">
        <v>289</v>
      </c>
      <c r="AC291" s="6">
        <v>3.2098399999999998</v>
      </c>
      <c r="AD291" s="19">
        <v>-0.5847</v>
      </c>
      <c r="AE291" s="6">
        <v>3.0840000000000001</v>
      </c>
      <c r="AF291" s="6">
        <v>123</v>
      </c>
      <c r="AH291" s="17">
        <v>289</v>
      </c>
      <c r="AI291" s="6">
        <v>6.1044999999999998</v>
      </c>
      <c r="AJ291" s="19">
        <v>-0.5847</v>
      </c>
      <c r="AK291" s="6">
        <v>3.0840000000000001</v>
      </c>
      <c r="AL291" s="6">
        <v>123</v>
      </c>
      <c r="AO291" s="17">
        <v>289</v>
      </c>
      <c r="AP291" s="6">
        <v>1.14009</v>
      </c>
      <c r="AQ291" s="6">
        <v>0.93130000000000002</v>
      </c>
      <c r="AR291" s="6">
        <v>0.57599999999999996</v>
      </c>
      <c r="AS291" s="6">
        <v>123</v>
      </c>
      <c r="AU291" s="17">
        <v>289</v>
      </c>
      <c r="AV291" s="6">
        <v>0.59948000000000001</v>
      </c>
      <c r="AW291" s="6">
        <v>0.93130000000000002</v>
      </c>
      <c r="AX291" s="6">
        <v>0.57599999999999996</v>
      </c>
      <c r="AY291" s="6">
        <v>123</v>
      </c>
    </row>
    <row r="292" spans="1:51" x14ac:dyDescent="0.25">
      <c r="A292" s="31" t="s">
        <v>132</v>
      </c>
      <c r="B292" s="32">
        <v>1</v>
      </c>
      <c r="C292" s="32">
        <v>10</v>
      </c>
      <c r="D292" s="32">
        <v>2</v>
      </c>
      <c r="E292" s="32">
        <v>46</v>
      </c>
      <c r="F292" s="2">
        <v>61.7</v>
      </c>
      <c r="G292">
        <v>57.761137360782989</v>
      </c>
      <c r="H292">
        <v>10.5</v>
      </c>
      <c r="AB292" s="17">
        <v>290</v>
      </c>
      <c r="AC292" s="6">
        <v>3.2193700000000001</v>
      </c>
      <c r="AD292" s="6">
        <v>9.3577999999999992</v>
      </c>
      <c r="AE292" s="6">
        <v>3.0931000000000002</v>
      </c>
      <c r="AF292" s="6">
        <v>123</v>
      </c>
      <c r="AH292" s="17">
        <v>290</v>
      </c>
      <c r="AI292" s="6">
        <v>6.1226000000000003</v>
      </c>
      <c r="AJ292" s="6">
        <v>9.3577999999999992</v>
      </c>
      <c r="AK292" s="6">
        <v>3.0931000000000002</v>
      </c>
      <c r="AL292" s="6">
        <v>123</v>
      </c>
      <c r="AO292" s="17">
        <v>290</v>
      </c>
      <c r="AP292" s="6">
        <v>1.1531499999999999</v>
      </c>
      <c r="AQ292" s="6">
        <v>1.4746999999999999</v>
      </c>
      <c r="AR292" s="6">
        <v>0.58260000000000001</v>
      </c>
      <c r="AS292" s="6">
        <v>123</v>
      </c>
      <c r="AU292" s="17">
        <v>290</v>
      </c>
      <c r="AV292" s="6">
        <v>0.60634999999999994</v>
      </c>
      <c r="AW292" s="6">
        <v>1.4746999999999999</v>
      </c>
      <c r="AX292" s="6">
        <v>0.58260000000000001</v>
      </c>
      <c r="AY292" s="6">
        <v>123</v>
      </c>
    </row>
    <row r="293" spans="1:51" x14ac:dyDescent="0.25">
      <c r="A293" s="31" t="s">
        <v>132</v>
      </c>
      <c r="B293" s="32">
        <v>1</v>
      </c>
      <c r="C293" s="32">
        <v>9</v>
      </c>
      <c r="D293" s="32">
        <v>2</v>
      </c>
      <c r="E293" s="32">
        <v>40</v>
      </c>
      <c r="F293" s="2">
        <v>62</v>
      </c>
      <c r="G293">
        <v>66.934424569692879</v>
      </c>
      <c r="H293" t="s">
        <v>12</v>
      </c>
      <c r="AB293" s="17">
        <v>291</v>
      </c>
      <c r="AC293" s="6">
        <v>3.2073700000000001</v>
      </c>
      <c r="AD293" s="19">
        <v>-2.1958000000000002</v>
      </c>
      <c r="AE293" s="6">
        <v>3.0815999999999999</v>
      </c>
      <c r="AF293" s="6">
        <v>123</v>
      </c>
      <c r="AH293" s="17">
        <v>291</v>
      </c>
      <c r="AI293" s="6">
        <v>6.0998000000000001</v>
      </c>
      <c r="AJ293" s="19">
        <v>-2.1958000000000002</v>
      </c>
      <c r="AK293" s="6">
        <v>3.0815999999999999</v>
      </c>
      <c r="AL293" s="6">
        <v>123</v>
      </c>
      <c r="AO293" s="17">
        <v>291</v>
      </c>
      <c r="AP293" s="6">
        <v>1.1553500000000001</v>
      </c>
      <c r="AQ293" s="6">
        <v>0.79349999999999998</v>
      </c>
      <c r="AR293" s="6">
        <v>0.5837</v>
      </c>
      <c r="AS293" s="6">
        <v>123</v>
      </c>
      <c r="AU293" s="17">
        <v>291</v>
      </c>
      <c r="AV293" s="6">
        <v>0.60750000000000004</v>
      </c>
      <c r="AW293" s="6">
        <v>0.79349999999999998</v>
      </c>
      <c r="AX293" s="6">
        <v>0.5837</v>
      </c>
      <c r="AY293" s="6">
        <v>123</v>
      </c>
    </row>
    <row r="294" spans="1:51" x14ac:dyDescent="0.25">
      <c r="A294" s="31" t="s">
        <v>132</v>
      </c>
      <c r="B294" s="32">
        <v>1</v>
      </c>
      <c r="C294" s="32">
        <v>8</v>
      </c>
      <c r="D294" s="32">
        <v>2</v>
      </c>
      <c r="E294" s="32">
        <v>18</v>
      </c>
      <c r="F294" s="2">
        <v>58.3</v>
      </c>
      <c r="G294">
        <v>58.466752808447026</v>
      </c>
      <c r="H294">
        <v>10.4</v>
      </c>
      <c r="AB294" s="17">
        <v>292</v>
      </c>
      <c r="AC294" s="6">
        <v>3.1997599999999999</v>
      </c>
      <c r="AD294" s="6">
        <v>1.4761</v>
      </c>
      <c r="AE294" s="6">
        <v>3.0743</v>
      </c>
      <c r="AF294" s="6">
        <v>123</v>
      </c>
      <c r="AH294" s="17">
        <v>292</v>
      </c>
      <c r="AI294" s="6">
        <v>6.0853000000000002</v>
      </c>
      <c r="AJ294" s="6">
        <v>1.4761</v>
      </c>
      <c r="AK294" s="6">
        <v>3.0743</v>
      </c>
      <c r="AL294" s="6">
        <v>123</v>
      </c>
      <c r="AO294" s="17">
        <v>292</v>
      </c>
      <c r="AP294" s="6">
        <v>1.14334</v>
      </c>
      <c r="AQ294" s="6">
        <v>0.67700000000000005</v>
      </c>
      <c r="AR294" s="6">
        <v>0.5776</v>
      </c>
      <c r="AS294" s="6">
        <v>123</v>
      </c>
      <c r="AU294" s="17">
        <v>292</v>
      </c>
      <c r="AV294" s="6">
        <v>0.60118000000000005</v>
      </c>
      <c r="AW294" s="6">
        <v>0.67700000000000005</v>
      </c>
      <c r="AX294" s="6">
        <v>0.5776</v>
      </c>
      <c r="AY294" s="6">
        <v>123</v>
      </c>
    </row>
    <row r="295" spans="1:51" x14ac:dyDescent="0.25">
      <c r="A295" s="31" t="s">
        <v>132</v>
      </c>
      <c r="B295" s="32">
        <v>2</v>
      </c>
      <c r="C295" s="32">
        <v>7</v>
      </c>
      <c r="D295" s="32">
        <v>2</v>
      </c>
      <c r="E295" s="32">
        <v>20</v>
      </c>
      <c r="F295" s="2">
        <v>60.2</v>
      </c>
      <c r="G295">
        <v>74.722876428330352</v>
      </c>
      <c r="H295">
        <v>10.199999999999999</v>
      </c>
      <c r="AB295" s="17">
        <v>293</v>
      </c>
      <c r="AC295" s="6">
        <v>3.1954099999999999</v>
      </c>
      <c r="AD295" s="6">
        <v>3.9622999999999999</v>
      </c>
      <c r="AE295" s="6">
        <v>3.0701000000000001</v>
      </c>
      <c r="AF295" s="6">
        <v>123</v>
      </c>
      <c r="AH295" s="17">
        <v>293</v>
      </c>
      <c r="AI295" s="6">
        <v>6.077</v>
      </c>
      <c r="AJ295" s="6">
        <v>3.9622999999999999</v>
      </c>
      <c r="AK295" s="6">
        <v>3.0701000000000001</v>
      </c>
      <c r="AL295" s="6">
        <v>123</v>
      </c>
      <c r="AO295" s="17">
        <v>293</v>
      </c>
      <c r="AP295" s="6">
        <v>1.1387400000000001</v>
      </c>
      <c r="AQ295" s="6">
        <v>0.1444</v>
      </c>
      <c r="AR295" s="6">
        <v>0.57530000000000003</v>
      </c>
      <c r="AS295" s="6">
        <v>123</v>
      </c>
      <c r="AU295" s="17">
        <v>293</v>
      </c>
      <c r="AV295" s="6">
        <v>0.59877000000000002</v>
      </c>
      <c r="AW295" s="6">
        <v>0.1444</v>
      </c>
      <c r="AX295" s="6">
        <v>0.57530000000000003</v>
      </c>
      <c r="AY295" s="6">
        <v>123</v>
      </c>
    </row>
    <row r="296" spans="1:51" x14ac:dyDescent="0.25">
      <c r="A296" s="31" t="s">
        <v>132</v>
      </c>
      <c r="B296" s="32">
        <v>1</v>
      </c>
      <c r="C296" s="32">
        <v>6</v>
      </c>
      <c r="D296" s="32">
        <v>2</v>
      </c>
      <c r="E296" s="32">
        <v>13</v>
      </c>
      <c r="F296" s="2">
        <v>62.5</v>
      </c>
      <c r="G296">
        <v>68.634144930331232</v>
      </c>
      <c r="H296">
        <v>9.4</v>
      </c>
      <c r="AB296" s="17">
        <v>294</v>
      </c>
      <c r="AC296" s="6">
        <v>3.2117399999999998</v>
      </c>
      <c r="AD296" s="6">
        <v>4.6483999999999996</v>
      </c>
      <c r="AE296" s="6">
        <v>3.0857999999999999</v>
      </c>
      <c r="AF296" s="6">
        <v>123</v>
      </c>
      <c r="AH296" s="17">
        <v>294</v>
      </c>
      <c r="AI296" s="6">
        <v>6.1081000000000003</v>
      </c>
      <c r="AJ296" s="6">
        <v>4.6483999999999996</v>
      </c>
      <c r="AK296" s="6">
        <v>3.0857999999999999</v>
      </c>
      <c r="AL296" s="6">
        <v>123</v>
      </c>
      <c r="AO296" s="17">
        <v>294</v>
      </c>
      <c r="AP296" s="6">
        <v>1.1372500000000001</v>
      </c>
      <c r="AQ296" s="6">
        <v>0.21</v>
      </c>
      <c r="AR296" s="6">
        <v>0.57450000000000001</v>
      </c>
      <c r="AS296" s="6">
        <v>123</v>
      </c>
      <c r="AU296" s="17">
        <v>294</v>
      </c>
      <c r="AV296" s="6">
        <v>0.59797999999999996</v>
      </c>
      <c r="AW296" s="6">
        <v>0.21</v>
      </c>
      <c r="AX296" s="6">
        <v>0.57450000000000001</v>
      </c>
      <c r="AY296" s="6">
        <v>123</v>
      </c>
    </row>
    <row r="297" spans="1:51" x14ac:dyDescent="0.25">
      <c r="A297" s="31" t="s">
        <v>132</v>
      </c>
      <c r="B297" s="32">
        <v>1</v>
      </c>
      <c r="C297" s="32">
        <v>5</v>
      </c>
      <c r="D297" s="32">
        <v>2</v>
      </c>
      <c r="E297" s="32">
        <v>15</v>
      </c>
      <c r="F297" s="2">
        <v>60.4</v>
      </c>
      <c r="G297">
        <v>67.885332433344587</v>
      </c>
      <c r="H297">
        <v>9.3000000000000007</v>
      </c>
      <c r="AB297" s="17">
        <v>295</v>
      </c>
      <c r="AC297" s="6">
        <v>3.2222499999999998</v>
      </c>
      <c r="AD297" s="19">
        <v>-0.42280000000000001</v>
      </c>
      <c r="AE297" s="6">
        <v>3.0958999999999999</v>
      </c>
      <c r="AF297" s="6">
        <v>123</v>
      </c>
      <c r="AH297" s="17">
        <v>295</v>
      </c>
      <c r="AI297" s="6">
        <v>6.1280999999999999</v>
      </c>
      <c r="AJ297" s="19">
        <v>-0.42280000000000001</v>
      </c>
      <c r="AK297" s="6">
        <v>3.0958999999999999</v>
      </c>
      <c r="AL297" s="6">
        <v>123</v>
      </c>
      <c r="AO297" s="17">
        <v>295</v>
      </c>
      <c r="AP297" s="6">
        <v>1.1505300000000001</v>
      </c>
      <c r="AQ297" s="6">
        <v>1.2666999999999999</v>
      </c>
      <c r="AR297" s="6">
        <v>0.58120000000000005</v>
      </c>
      <c r="AS297" s="6">
        <v>123</v>
      </c>
      <c r="AU297" s="17">
        <v>295</v>
      </c>
      <c r="AV297" s="6">
        <v>0.60497000000000001</v>
      </c>
      <c r="AW297" s="6">
        <v>1.2666999999999999</v>
      </c>
      <c r="AX297" s="6">
        <v>0.58120000000000005</v>
      </c>
      <c r="AY297" s="6">
        <v>123</v>
      </c>
    </row>
    <row r="298" spans="1:51" x14ac:dyDescent="0.25">
      <c r="A298" s="31" t="s">
        <v>132</v>
      </c>
      <c r="B298" s="32">
        <v>1</v>
      </c>
      <c r="C298" s="32">
        <v>4</v>
      </c>
      <c r="D298" s="32">
        <v>2</v>
      </c>
      <c r="E298" s="32">
        <v>11</v>
      </c>
      <c r="F298" s="2">
        <v>61.3</v>
      </c>
      <c r="G298">
        <v>65.447968757533403</v>
      </c>
      <c r="H298">
        <v>9.5</v>
      </c>
      <c r="AB298" s="17">
        <v>296</v>
      </c>
      <c r="AC298" s="6">
        <v>3.2074699999999998</v>
      </c>
      <c r="AD298" s="6">
        <v>4.1130000000000004</v>
      </c>
      <c r="AE298" s="6">
        <v>3.0817000000000001</v>
      </c>
      <c r="AF298" s="6">
        <v>123</v>
      </c>
      <c r="AH298" s="17">
        <v>296</v>
      </c>
      <c r="AI298" s="6">
        <v>6.1</v>
      </c>
      <c r="AJ298" s="6">
        <v>4.1130000000000004</v>
      </c>
      <c r="AK298" s="6">
        <v>3.0817000000000001</v>
      </c>
      <c r="AL298" s="6">
        <v>123</v>
      </c>
      <c r="AO298" s="17">
        <v>296</v>
      </c>
      <c r="AP298" s="6">
        <v>1.14937</v>
      </c>
      <c r="AQ298" s="6">
        <v>0.84540000000000004</v>
      </c>
      <c r="AR298" s="6">
        <v>0.58069999999999999</v>
      </c>
      <c r="AS298" s="6">
        <v>123</v>
      </c>
      <c r="AU298" s="17">
        <v>296</v>
      </c>
      <c r="AV298" s="6">
        <v>0.60436000000000001</v>
      </c>
      <c r="AW298" s="6">
        <v>0.84540000000000004</v>
      </c>
      <c r="AX298" s="6">
        <v>0.58069999999999999</v>
      </c>
      <c r="AY298" s="6">
        <v>123</v>
      </c>
    </row>
    <row r="299" spans="1:51" x14ac:dyDescent="0.25">
      <c r="A299" s="31" t="s">
        <v>132</v>
      </c>
      <c r="B299" s="32">
        <v>1</v>
      </c>
      <c r="C299" s="32">
        <v>3</v>
      </c>
      <c r="D299" s="32">
        <v>2</v>
      </c>
      <c r="E299" s="32">
        <v>4</v>
      </c>
      <c r="F299" s="2">
        <v>54.5</v>
      </c>
      <c r="G299">
        <v>65.799654790029408</v>
      </c>
      <c r="H299">
        <v>9.6999999999999993</v>
      </c>
      <c r="AB299" s="17">
        <v>297</v>
      </c>
      <c r="AC299" s="6">
        <v>3.25</v>
      </c>
      <c r="AD299" s="19">
        <v>-5.1992000000000003</v>
      </c>
      <c r="AE299" s="6">
        <v>3.1225000000000001</v>
      </c>
      <c r="AF299" s="6">
        <v>123</v>
      </c>
      <c r="AH299" s="17">
        <v>297</v>
      </c>
      <c r="AI299" s="6">
        <v>6.1809000000000003</v>
      </c>
      <c r="AJ299" s="19">
        <v>-5.1992000000000003</v>
      </c>
      <c r="AK299" s="6">
        <v>3.1225000000000001</v>
      </c>
      <c r="AL299" s="6">
        <v>123</v>
      </c>
      <c r="AO299" s="17">
        <v>297</v>
      </c>
      <c r="AP299" s="6">
        <v>1.1684000000000001</v>
      </c>
      <c r="AQ299" s="6">
        <v>0.64590000000000003</v>
      </c>
      <c r="AR299" s="6">
        <v>0.59030000000000005</v>
      </c>
      <c r="AS299" s="6">
        <v>123</v>
      </c>
      <c r="AU299" s="17">
        <v>297</v>
      </c>
      <c r="AV299" s="6">
        <v>0.61436999999999997</v>
      </c>
      <c r="AW299" s="6">
        <v>0.64590000000000003</v>
      </c>
      <c r="AX299" s="6">
        <v>0.59030000000000005</v>
      </c>
      <c r="AY299" s="6">
        <v>123</v>
      </c>
    </row>
    <row r="300" spans="1:51" x14ac:dyDescent="0.25">
      <c r="A300" s="31" t="s">
        <v>132</v>
      </c>
      <c r="B300" s="32">
        <v>1</v>
      </c>
      <c r="C300" s="32">
        <v>2</v>
      </c>
      <c r="D300" s="32">
        <v>2</v>
      </c>
      <c r="E300" s="32">
        <v>8</v>
      </c>
      <c r="F300" s="2">
        <v>60.9</v>
      </c>
      <c r="G300">
        <v>66.08375295308808</v>
      </c>
      <c r="H300">
        <v>9.1999999999999993</v>
      </c>
      <c r="AB300" s="17">
        <v>298</v>
      </c>
      <c r="AC300" s="6">
        <v>3.2288199999999998</v>
      </c>
      <c r="AD300" s="6">
        <v>2.9437000000000002</v>
      </c>
      <c r="AE300" s="6">
        <v>3.1021999999999998</v>
      </c>
      <c r="AF300" s="6">
        <v>123</v>
      </c>
      <c r="AH300" s="17">
        <v>298</v>
      </c>
      <c r="AI300" s="6">
        <v>6.1406000000000001</v>
      </c>
      <c r="AJ300" s="6">
        <v>2.9437000000000002</v>
      </c>
      <c r="AK300" s="6">
        <v>3.1021999999999998</v>
      </c>
      <c r="AL300" s="6">
        <v>123</v>
      </c>
      <c r="AO300" s="17">
        <v>298</v>
      </c>
      <c r="AP300" s="6">
        <v>1.1364300000000001</v>
      </c>
      <c r="AQ300" s="6">
        <v>0.56579999999999997</v>
      </c>
      <c r="AR300" s="6">
        <v>0.57410000000000005</v>
      </c>
      <c r="AS300" s="6">
        <v>123</v>
      </c>
      <c r="AU300" s="17">
        <v>298</v>
      </c>
      <c r="AV300" s="6">
        <v>0.59755000000000003</v>
      </c>
      <c r="AW300" s="6">
        <v>0.56579999999999997</v>
      </c>
      <c r="AX300" s="6">
        <v>0.57410000000000005</v>
      </c>
      <c r="AY300" s="6">
        <v>123</v>
      </c>
    </row>
    <row r="301" spans="1:51" x14ac:dyDescent="0.25">
      <c r="A301" s="31" t="s">
        <v>132</v>
      </c>
      <c r="B301" s="32">
        <v>1</v>
      </c>
      <c r="C301" s="32">
        <v>1</v>
      </c>
      <c r="D301" s="32">
        <v>2</v>
      </c>
      <c r="E301" s="32">
        <v>33</v>
      </c>
      <c r="F301" s="2">
        <v>58</v>
      </c>
      <c r="G301">
        <v>64.775192613663762</v>
      </c>
      <c r="H301">
        <v>10.1</v>
      </c>
      <c r="AB301" s="17">
        <v>299</v>
      </c>
      <c r="AC301" s="6">
        <v>3.2046700000000001</v>
      </c>
      <c r="AD301" s="6">
        <v>5.5321999999999996</v>
      </c>
      <c r="AE301" s="6">
        <v>3.0790000000000002</v>
      </c>
      <c r="AF301" s="6">
        <v>123</v>
      </c>
      <c r="AH301" s="17">
        <v>299</v>
      </c>
      <c r="AI301" s="6">
        <v>6.0946999999999996</v>
      </c>
      <c r="AJ301" s="6">
        <v>5.5321999999999996</v>
      </c>
      <c r="AK301" s="6">
        <v>3.0790000000000002</v>
      </c>
      <c r="AL301" s="6">
        <v>123</v>
      </c>
      <c r="AO301" s="17">
        <v>299</v>
      </c>
      <c r="AP301" s="6">
        <v>1.1372899999999999</v>
      </c>
      <c r="AQ301" s="6">
        <v>2.4243000000000001</v>
      </c>
      <c r="AR301" s="6">
        <v>0.5746</v>
      </c>
      <c r="AS301" s="6">
        <v>123</v>
      </c>
      <c r="AU301" s="17">
        <v>299</v>
      </c>
      <c r="AV301" s="6">
        <v>0.59801000000000004</v>
      </c>
      <c r="AW301" s="6">
        <v>2.4243000000000001</v>
      </c>
      <c r="AX301" s="6">
        <v>0.5746</v>
      </c>
      <c r="AY301" s="6">
        <v>123</v>
      </c>
    </row>
    <row r="302" spans="1:51" x14ac:dyDescent="0.25">
      <c r="A302" s="31" t="s">
        <v>132</v>
      </c>
      <c r="B302" s="32">
        <v>2</v>
      </c>
      <c r="C302" s="32">
        <v>1</v>
      </c>
      <c r="D302" s="32">
        <v>3</v>
      </c>
      <c r="E302" s="32">
        <v>9</v>
      </c>
      <c r="F302" s="2">
        <v>57.2</v>
      </c>
      <c r="G302">
        <v>74.446428571428569</v>
      </c>
      <c r="H302" t="s">
        <v>12</v>
      </c>
      <c r="AB302" s="17">
        <v>300</v>
      </c>
      <c r="AC302" s="6">
        <v>3.2034099999999999</v>
      </c>
      <c r="AD302" s="6">
        <v>6.6981000000000002</v>
      </c>
      <c r="AE302" s="6">
        <v>3.0777999999999999</v>
      </c>
      <c r="AF302" s="6">
        <v>123</v>
      </c>
      <c r="AH302" s="17">
        <v>300</v>
      </c>
      <c r="AI302" s="6">
        <v>6.0922999999999998</v>
      </c>
      <c r="AJ302" s="6">
        <v>6.6981000000000002</v>
      </c>
      <c r="AK302" s="6">
        <v>3.0777999999999999</v>
      </c>
      <c r="AL302" s="6">
        <v>123</v>
      </c>
      <c r="AO302" s="17">
        <v>300</v>
      </c>
      <c r="AP302" s="6">
        <v>1.13924</v>
      </c>
      <c r="AQ302" s="6">
        <v>0.89900000000000002</v>
      </c>
      <c r="AR302" s="6">
        <v>0.57550000000000001</v>
      </c>
      <c r="AS302" s="6">
        <v>123</v>
      </c>
      <c r="AU302" s="17">
        <v>300</v>
      </c>
      <c r="AV302" s="6">
        <v>0.59902999999999995</v>
      </c>
      <c r="AW302" s="6">
        <v>0.89900000000000002</v>
      </c>
      <c r="AX302" s="6">
        <v>0.57550000000000001</v>
      </c>
      <c r="AY302" s="6">
        <v>123</v>
      </c>
    </row>
    <row r="303" spans="1:51" x14ac:dyDescent="0.25">
      <c r="A303" s="31" t="s">
        <v>132</v>
      </c>
      <c r="B303" s="32">
        <v>2</v>
      </c>
      <c r="C303" s="32">
        <v>2</v>
      </c>
      <c r="D303" s="32">
        <v>3</v>
      </c>
      <c r="E303" s="32">
        <v>34</v>
      </c>
      <c r="F303" s="2">
        <v>57.4</v>
      </c>
      <c r="G303">
        <v>79.170843373493952</v>
      </c>
      <c r="H303" t="s">
        <v>12</v>
      </c>
      <c r="AB303" s="17">
        <v>301</v>
      </c>
      <c r="AC303" s="6">
        <v>3.19903</v>
      </c>
      <c r="AD303" s="6">
        <v>11.9169</v>
      </c>
      <c r="AE303" s="6">
        <v>3.0735999999999999</v>
      </c>
      <c r="AF303" s="6">
        <v>123</v>
      </c>
      <c r="AH303" s="17">
        <v>301</v>
      </c>
      <c r="AI303" s="6">
        <v>6.0838999999999999</v>
      </c>
      <c r="AJ303" s="6">
        <v>11.9169</v>
      </c>
      <c r="AK303" s="6">
        <v>3.0735999999999999</v>
      </c>
      <c r="AL303" s="6">
        <v>123</v>
      </c>
      <c r="AO303" s="17">
        <v>301</v>
      </c>
      <c r="AP303" s="6">
        <v>1.1432599999999999</v>
      </c>
      <c r="AQ303" s="6">
        <v>0.94589999999999996</v>
      </c>
      <c r="AR303" s="6">
        <v>0.5776</v>
      </c>
      <c r="AS303" s="6">
        <v>123</v>
      </c>
      <c r="AU303" s="17">
        <v>301</v>
      </c>
      <c r="AV303" s="6">
        <v>0.60114999999999996</v>
      </c>
      <c r="AW303" s="6">
        <v>0.94589999999999996</v>
      </c>
      <c r="AX303" s="6">
        <v>0.5776</v>
      </c>
      <c r="AY303" s="6">
        <v>123</v>
      </c>
    </row>
    <row r="304" spans="1:51" x14ac:dyDescent="0.25">
      <c r="A304" s="31" t="s">
        <v>132</v>
      </c>
      <c r="B304" s="32">
        <v>2</v>
      </c>
      <c r="C304" s="32">
        <v>3</v>
      </c>
      <c r="D304" s="32">
        <v>3</v>
      </c>
      <c r="E304" s="32">
        <v>27</v>
      </c>
      <c r="F304" s="2">
        <v>58.8</v>
      </c>
      <c r="G304" t="s">
        <v>12</v>
      </c>
      <c r="H304" t="s">
        <v>12</v>
      </c>
      <c r="AB304" s="17">
        <v>302</v>
      </c>
      <c r="AC304" s="6">
        <v>3.1933199999999999</v>
      </c>
      <c r="AD304" s="6">
        <v>9.0658999999999992</v>
      </c>
      <c r="AE304" s="6">
        <v>3.0680999999999998</v>
      </c>
      <c r="AF304" s="6">
        <v>123</v>
      </c>
      <c r="AH304" s="17">
        <v>302</v>
      </c>
      <c r="AI304" s="6">
        <v>6.0731000000000002</v>
      </c>
      <c r="AJ304" s="6">
        <v>9.0658999999999992</v>
      </c>
      <c r="AK304" s="6">
        <v>3.0680999999999998</v>
      </c>
      <c r="AL304" s="6">
        <v>123</v>
      </c>
      <c r="AO304" s="17">
        <v>302</v>
      </c>
      <c r="AP304" s="6">
        <v>1.13381</v>
      </c>
      <c r="AQ304" s="6">
        <v>1.2101</v>
      </c>
      <c r="AR304" s="6">
        <v>0.57279999999999998</v>
      </c>
      <c r="AS304" s="6">
        <v>123</v>
      </c>
      <c r="AU304" s="17">
        <v>302</v>
      </c>
      <c r="AV304" s="6">
        <v>0.59618000000000004</v>
      </c>
      <c r="AW304" s="6">
        <v>1.2101</v>
      </c>
      <c r="AX304" s="6">
        <v>0.57279999999999998</v>
      </c>
      <c r="AY304" s="6">
        <v>123</v>
      </c>
    </row>
    <row r="305" spans="1:51" x14ac:dyDescent="0.25">
      <c r="A305" s="31" t="s">
        <v>132</v>
      </c>
      <c r="B305" s="32">
        <v>2</v>
      </c>
      <c r="C305" s="32">
        <v>4</v>
      </c>
      <c r="D305" s="32">
        <v>3</v>
      </c>
      <c r="E305" s="32">
        <v>12</v>
      </c>
      <c r="F305" s="2">
        <v>60</v>
      </c>
      <c r="G305">
        <v>58.588016351118753</v>
      </c>
      <c r="H305" t="s">
        <v>12</v>
      </c>
      <c r="AB305" s="17">
        <v>303</v>
      </c>
      <c r="AC305" s="6">
        <v>3.19536</v>
      </c>
      <c r="AD305" s="19">
        <v>-2.6337000000000002</v>
      </c>
      <c r="AE305" s="6">
        <v>3.07</v>
      </c>
      <c r="AF305" s="6">
        <v>123</v>
      </c>
      <c r="AH305" s="17">
        <v>303</v>
      </c>
      <c r="AI305" s="6">
        <v>6.077</v>
      </c>
      <c r="AJ305" s="19">
        <v>-2.6337000000000002</v>
      </c>
      <c r="AK305" s="6">
        <v>3.07</v>
      </c>
      <c r="AL305" s="6">
        <v>123</v>
      </c>
      <c r="AO305" s="17">
        <v>303</v>
      </c>
      <c r="AP305" s="6">
        <v>1.1393500000000001</v>
      </c>
      <c r="AQ305" s="19">
        <v>-0.91559999999999997</v>
      </c>
      <c r="AR305" s="6">
        <v>0.5756</v>
      </c>
      <c r="AS305" s="6">
        <v>123</v>
      </c>
      <c r="AU305" s="17">
        <v>303</v>
      </c>
      <c r="AV305" s="6">
        <v>0.59909000000000001</v>
      </c>
      <c r="AW305" s="19">
        <v>-0.91559999999999997</v>
      </c>
      <c r="AX305" s="6">
        <v>0.5756</v>
      </c>
      <c r="AY305" s="6">
        <v>123</v>
      </c>
    </row>
    <row r="306" spans="1:51" x14ac:dyDescent="0.25">
      <c r="A306" s="31" t="s">
        <v>132</v>
      </c>
      <c r="B306" s="32">
        <v>2</v>
      </c>
      <c r="C306" s="32">
        <v>5</v>
      </c>
      <c r="D306" s="32">
        <v>3</v>
      </c>
      <c r="E306" s="32">
        <v>8</v>
      </c>
      <c r="F306" s="2">
        <v>62.1</v>
      </c>
      <c r="G306">
        <v>72.684487951807228</v>
      </c>
      <c r="H306" t="s">
        <v>12</v>
      </c>
      <c r="AB306" s="17">
        <v>304</v>
      </c>
      <c r="AC306" s="6">
        <v>3.19217</v>
      </c>
      <c r="AD306" s="6">
        <v>1.6261000000000001</v>
      </c>
      <c r="AE306" s="6">
        <v>3.0670000000000002</v>
      </c>
      <c r="AF306" s="6">
        <v>123</v>
      </c>
      <c r="AH306" s="17">
        <v>304</v>
      </c>
      <c r="AI306" s="6">
        <v>6.0709</v>
      </c>
      <c r="AJ306" s="6">
        <v>1.6261000000000001</v>
      </c>
      <c r="AK306" s="6">
        <v>3.0670000000000002</v>
      </c>
      <c r="AL306" s="6">
        <v>123</v>
      </c>
      <c r="AO306" s="17">
        <v>304</v>
      </c>
      <c r="AP306" s="6">
        <v>1.1391500000000001</v>
      </c>
      <c r="AQ306" s="6">
        <v>0.52310000000000001</v>
      </c>
      <c r="AR306" s="6">
        <v>0.57550000000000001</v>
      </c>
      <c r="AS306" s="6">
        <v>123</v>
      </c>
      <c r="AU306" s="17">
        <v>304</v>
      </c>
      <c r="AV306" s="6">
        <v>0.59897999999999996</v>
      </c>
      <c r="AW306" s="6">
        <v>0.52310000000000001</v>
      </c>
      <c r="AX306" s="6">
        <v>0.57550000000000001</v>
      </c>
      <c r="AY306" s="6">
        <v>123</v>
      </c>
    </row>
    <row r="307" spans="1:51" x14ac:dyDescent="0.25">
      <c r="A307" s="31" t="s">
        <v>132</v>
      </c>
      <c r="B307" s="32">
        <v>2</v>
      </c>
      <c r="C307" s="32">
        <v>6</v>
      </c>
      <c r="D307" s="32">
        <v>3</v>
      </c>
      <c r="E307" s="32">
        <v>21</v>
      </c>
      <c r="F307" s="2">
        <v>61.3</v>
      </c>
      <c r="G307">
        <v>66.596385542168662</v>
      </c>
      <c r="H307" t="s">
        <v>12</v>
      </c>
      <c r="AB307" s="17">
        <v>305</v>
      </c>
      <c r="AC307" s="6">
        <v>3.1995499999999999</v>
      </c>
      <c r="AD307" s="6">
        <v>2.7254999999999998</v>
      </c>
      <c r="AE307" s="6">
        <v>3.0741000000000001</v>
      </c>
      <c r="AF307" s="6">
        <v>123</v>
      </c>
      <c r="AH307" s="17">
        <v>305</v>
      </c>
      <c r="AI307" s="6">
        <v>6.0849000000000002</v>
      </c>
      <c r="AJ307" s="6">
        <v>2.7254999999999998</v>
      </c>
      <c r="AK307" s="6">
        <v>3.0741000000000001</v>
      </c>
      <c r="AL307" s="6">
        <v>123</v>
      </c>
      <c r="AO307" s="17">
        <v>305</v>
      </c>
      <c r="AP307" s="6">
        <v>1.1350800000000001</v>
      </c>
      <c r="AQ307" s="6">
        <v>1.1928000000000001</v>
      </c>
      <c r="AR307" s="6">
        <v>0.57340000000000002</v>
      </c>
      <c r="AS307" s="6">
        <v>123</v>
      </c>
      <c r="AU307" s="17">
        <v>305</v>
      </c>
      <c r="AV307" s="6">
        <v>0.59684000000000004</v>
      </c>
      <c r="AW307" s="6">
        <v>1.1928000000000001</v>
      </c>
      <c r="AX307" s="6">
        <v>0.57340000000000002</v>
      </c>
      <c r="AY307" s="6">
        <v>123</v>
      </c>
    </row>
    <row r="308" spans="1:51" x14ac:dyDescent="0.25">
      <c r="A308" s="31" t="s">
        <v>132</v>
      </c>
      <c r="B308" s="32">
        <v>1</v>
      </c>
      <c r="C308" s="32">
        <v>7</v>
      </c>
      <c r="D308" s="32">
        <v>3</v>
      </c>
      <c r="E308" s="32">
        <v>32</v>
      </c>
      <c r="F308" s="2">
        <v>62.1</v>
      </c>
      <c r="G308">
        <v>70.347319277108426</v>
      </c>
      <c r="H308" t="s">
        <v>12</v>
      </c>
      <c r="AB308" s="17">
        <v>306</v>
      </c>
      <c r="AC308" s="6">
        <v>3.2310400000000001</v>
      </c>
      <c r="AD308" s="19">
        <v>-1.4220999999999999</v>
      </c>
      <c r="AE308" s="6">
        <v>3.1042999999999998</v>
      </c>
      <c r="AF308" s="6">
        <v>123</v>
      </c>
      <c r="AH308" s="17">
        <v>306</v>
      </c>
      <c r="AI308" s="6">
        <v>6.1448</v>
      </c>
      <c r="AJ308" s="19">
        <v>-1.4220999999999999</v>
      </c>
      <c r="AK308" s="6">
        <v>3.1042999999999998</v>
      </c>
      <c r="AL308" s="6">
        <v>123</v>
      </c>
      <c r="AO308" s="17">
        <v>306</v>
      </c>
      <c r="AP308" s="6">
        <v>1.15673</v>
      </c>
      <c r="AQ308" s="6">
        <v>0.25130000000000002</v>
      </c>
      <c r="AR308" s="6">
        <v>0.58440000000000003</v>
      </c>
      <c r="AS308" s="6">
        <v>123</v>
      </c>
      <c r="AU308" s="17">
        <v>306</v>
      </c>
      <c r="AV308" s="6">
        <v>0.60823000000000005</v>
      </c>
      <c r="AW308" s="6">
        <v>0.25130000000000002</v>
      </c>
      <c r="AX308" s="6">
        <v>0.58440000000000003</v>
      </c>
      <c r="AY308" s="6">
        <v>123</v>
      </c>
    </row>
    <row r="309" spans="1:51" x14ac:dyDescent="0.25">
      <c r="A309" s="31" t="s">
        <v>132</v>
      </c>
      <c r="B309" s="32">
        <v>2</v>
      </c>
      <c r="C309" s="32">
        <v>8</v>
      </c>
      <c r="D309" s="32">
        <v>3</v>
      </c>
      <c r="E309" s="32">
        <v>4</v>
      </c>
      <c r="F309" s="2">
        <v>58.9</v>
      </c>
      <c r="G309">
        <v>69.882706540447487</v>
      </c>
      <c r="H309" t="s">
        <v>12</v>
      </c>
      <c r="AB309" s="17">
        <v>307</v>
      </c>
      <c r="AC309" s="6">
        <v>3.2071499999999999</v>
      </c>
      <c r="AD309" s="6">
        <v>7.6233000000000004</v>
      </c>
      <c r="AE309" s="6">
        <v>3.0813999999999999</v>
      </c>
      <c r="AF309" s="6">
        <v>123</v>
      </c>
      <c r="AH309" s="17">
        <v>307</v>
      </c>
      <c r="AI309" s="6">
        <v>6.0994000000000002</v>
      </c>
      <c r="AJ309" s="6">
        <v>7.6233000000000004</v>
      </c>
      <c r="AK309" s="6">
        <v>3.0813999999999999</v>
      </c>
      <c r="AL309" s="6">
        <v>123</v>
      </c>
      <c r="AO309" s="17">
        <v>307</v>
      </c>
      <c r="AP309" s="6">
        <v>1.14374</v>
      </c>
      <c r="AQ309" s="19">
        <v>-0.30080000000000001</v>
      </c>
      <c r="AR309" s="6">
        <v>0.57779999999999998</v>
      </c>
      <c r="AS309" s="6">
        <v>123</v>
      </c>
      <c r="AU309" s="17">
        <v>307</v>
      </c>
      <c r="AV309" s="6">
        <v>0.60140000000000005</v>
      </c>
      <c r="AW309" s="19">
        <v>-0.30080000000000001</v>
      </c>
      <c r="AX309" s="6">
        <v>0.57779999999999998</v>
      </c>
      <c r="AY309" s="6">
        <v>123</v>
      </c>
    </row>
    <row r="310" spans="1:51" x14ac:dyDescent="0.25">
      <c r="A310" s="31" t="s">
        <v>132</v>
      </c>
      <c r="B310" s="32">
        <v>2</v>
      </c>
      <c r="C310" s="32">
        <v>9</v>
      </c>
      <c r="D310" s="32">
        <v>3</v>
      </c>
      <c r="E310" s="32">
        <v>30</v>
      </c>
      <c r="F310" s="2">
        <v>61.4</v>
      </c>
      <c r="G310">
        <v>66.803463855421668</v>
      </c>
      <c r="H310" t="s">
        <v>12</v>
      </c>
      <c r="AB310" s="17">
        <v>308</v>
      </c>
      <c r="AC310" s="6">
        <v>3.1933199999999999</v>
      </c>
      <c r="AD310" s="6">
        <v>1.4008</v>
      </c>
      <c r="AE310" s="6">
        <v>3.0680999999999998</v>
      </c>
      <c r="AF310" s="6">
        <v>123</v>
      </c>
      <c r="AH310" s="17">
        <v>308</v>
      </c>
      <c r="AI310" s="6">
        <v>6.0731000000000002</v>
      </c>
      <c r="AJ310" s="6">
        <v>1.4008</v>
      </c>
      <c r="AK310" s="6">
        <v>3.0680999999999998</v>
      </c>
      <c r="AL310" s="6">
        <v>123</v>
      </c>
      <c r="AO310" s="17">
        <v>308</v>
      </c>
      <c r="AP310" s="6">
        <v>1.1375299999999999</v>
      </c>
      <c r="AQ310" s="19">
        <v>-0.2455</v>
      </c>
      <c r="AR310" s="6">
        <v>0.57469999999999999</v>
      </c>
      <c r="AS310" s="6">
        <v>123</v>
      </c>
      <c r="AU310" s="17">
        <v>308</v>
      </c>
      <c r="AV310" s="6">
        <v>0.59813000000000005</v>
      </c>
      <c r="AW310" s="19">
        <v>-0.2455</v>
      </c>
      <c r="AX310" s="6">
        <v>0.57469999999999999</v>
      </c>
      <c r="AY310" s="6">
        <v>123</v>
      </c>
    </row>
    <row r="311" spans="1:51" x14ac:dyDescent="0.25">
      <c r="A311" s="31" t="s">
        <v>132</v>
      </c>
      <c r="B311" s="32">
        <v>2</v>
      </c>
      <c r="C311" s="32">
        <v>10</v>
      </c>
      <c r="D311" s="32">
        <v>3</v>
      </c>
      <c r="E311" s="32">
        <v>22</v>
      </c>
      <c r="F311" s="2">
        <v>61.6</v>
      </c>
      <c r="G311">
        <v>69.439724612736669</v>
      </c>
      <c r="H311" t="s">
        <v>12</v>
      </c>
      <c r="AB311" s="17">
        <v>309</v>
      </c>
      <c r="AC311" s="6">
        <v>3.2086399999999999</v>
      </c>
      <c r="AD311" s="6">
        <v>3.2496999999999998</v>
      </c>
      <c r="AE311" s="6">
        <v>3.0828000000000002</v>
      </c>
      <c r="AF311" s="6">
        <v>123</v>
      </c>
      <c r="AH311" s="17">
        <v>309</v>
      </c>
      <c r="AI311" s="6">
        <v>6.1021999999999998</v>
      </c>
      <c r="AJ311" s="6">
        <v>3.2496999999999998</v>
      </c>
      <c r="AK311" s="6">
        <v>3.0828000000000002</v>
      </c>
      <c r="AL311" s="6">
        <v>123</v>
      </c>
      <c r="AO311" s="17">
        <v>309</v>
      </c>
      <c r="AP311" s="6">
        <v>1.1474299999999999</v>
      </c>
      <c r="AQ311" s="19">
        <v>-0.70520000000000005</v>
      </c>
      <c r="AR311" s="6">
        <v>0.57969999999999999</v>
      </c>
      <c r="AS311" s="6">
        <v>123</v>
      </c>
      <c r="AU311" s="17">
        <v>309</v>
      </c>
      <c r="AV311" s="6">
        <v>0.60333999999999999</v>
      </c>
      <c r="AW311" s="19">
        <v>-0.70520000000000005</v>
      </c>
      <c r="AX311" s="6">
        <v>0.57969999999999999</v>
      </c>
      <c r="AY311" s="6">
        <v>123</v>
      </c>
    </row>
    <row r="312" spans="1:51" x14ac:dyDescent="0.25">
      <c r="A312" s="31" t="s">
        <v>132</v>
      </c>
      <c r="B312" s="32">
        <v>2</v>
      </c>
      <c r="C312" s="32">
        <v>11</v>
      </c>
      <c r="D312" s="32">
        <v>3</v>
      </c>
      <c r="E312" s="32">
        <v>36</v>
      </c>
      <c r="F312" s="2">
        <v>63.2</v>
      </c>
      <c r="G312">
        <v>68.643029259896736</v>
      </c>
      <c r="H312" t="s">
        <v>12</v>
      </c>
      <c r="AB312" s="17">
        <v>310</v>
      </c>
      <c r="AC312" s="6">
        <v>3.2422200000000001</v>
      </c>
      <c r="AD312" s="6">
        <v>10.202299999999999</v>
      </c>
      <c r="AE312" s="6">
        <v>3.1151</v>
      </c>
      <c r="AF312" s="6">
        <v>123</v>
      </c>
      <c r="AH312" s="17">
        <v>310</v>
      </c>
      <c r="AI312" s="6">
        <v>6.1661000000000001</v>
      </c>
      <c r="AJ312" s="6">
        <v>10.202299999999999</v>
      </c>
      <c r="AK312" s="6">
        <v>3.1151</v>
      </c>
      <c r="AL312" s="6">
        <v>123</v>
      </c>
      <c r="AO312" s="17">
        <v>310</v>
      </c>
      <c r="AP312" s="6">
        <v>1.15791</v>
      </c>
      <c r="AQ312" s="6">
        <v>1.6</v>
      </c>
      <c r="AR312" s="6">
        <v>0.58499999999999996</v>
      </c>
      <c r="AS312" s="6">
        <v>123</v>
      </c>
      <c r="AU312" s="17">
        <v>310</v>
      </c>
      <c r="AV312" s="6">
        <v>0.60885</v>
      </c>
      <c r="AW312" s="6">
        <v>1.6</v>
      </c>
      <c r="AX312" s="6">
        <v>0.58499999999999996</v>
      </c>
      <c r="AY312" s="6">
        <v>123</v>
      </c>
    </row>
    <row r="313" spans="1:51" x14ac:dyDescent="0.25">
      <c r="A313" s="31" t="s">
        <v>132</v>
      </c>
      <c r="B313" s="32">
        <v>2</v>
      </c>
      <c r="C313" s="32">
        <v>12</v>
      </c>
      <c r="D313" s="32">
        <v>3</v>
      </c>
      <c r="E313" s="32">
        <v>18</v>
      </c>
      <c r="F313" s="2">
        <v>59.5</v>
      </c>
      <c r="G313">
        <v>58.011084337349388</v>
      </c>
      <c r="H313" t="s">
        <v>12</v>
      </c>
      <c r="AB313" s="17">
        <v>311</v>
      </c>
      <c r="AC313" s="6">
        <v>3.2127500000000002</v>
      </c>
      <c r="AD313" s="6">
        <v>3.8744999999999998</v>
      </c>
      <c r="AE313" s="6">
        <v>3.0867</v>
      </c>
      <c r="AF313" s="6">
        <v>123</v>
      </c>
      <c r="AH313" s="17">
        <v>311</v>
      </c>
      <c r="AI313" s="6">
        <v>6.11</v>
      </c>
      <c r="AJ313" s="6">
        <v>3.8744999999999998</v>
      </c>
      <c r="AK313" s="6">
        <v>3.0867</v>
      </c>
      <c r="AL313" s="6">
        <v>123</v>
      </c>
      <c r="AO313" s="17">
        <v>311</v>
      </c>
      <c r="AP313" s="6">
        <v>1.1515</v>
      </c>
      <c r="AQ313" s="19">
        <v>-0.76239999999999997</v>
      </c>
      <c r="AR313" s="6">
        <v>0.58169999999999999</v>
      </c>
      <c r="AS313" s="6">
        <v>123</v>
      </c>
      <c r="AU313" s="17">
        <v>311</v>
      </c>
      <c r="AV313" s="6">
        <v>0.60548000000000002</v>
      </c>
      <c r="AW313" s="19">
        <v>-0.76239999999999997</v>
      </c>
      <c r="AX313" s="6">
        <v>0.58169999999999999</v>
      </c>
      <c r="AY313" s="6">
        <v>123</v>
      </c>
    </row>
    <row r="314" spans="1:51" x14ac:dyDescent="0.25">
      <c r="A314" s="31" t="s">
        <v>132</v>
      </c>
      <c r="B314" s="32">
        <v>2</v>
      </c>
      <c r="C314" s="32">
        <v>13</v>
      </c>
      <c r="D314" s="32">
        <v>3</v>
      </c>
      <c r="E314" s="32">
        <v>44</v>
      </c>
      <c r="F314" s="2">
        <v>60.9</v>
      </c>
      <c r="G314">
        <v>70.986445783132538</v>
      </c>
      <c r="H314" t="s">
        <v>12</v>
      </c>
      <c r="AB314" s="17">
        <v>312</v>
      </c>
      <c r="AC314" s="6">
        <v>3.23461</v>
      </c>
      <c r="AD314" s="6">
        <v>14.664300000000001</v>
      </c>
      <c r="AE314" s="6">
        <v>3.1076999999999999</v>
      </c>
      <c r="AF314" s="6">
        <v>123</v>
      </c>
      <c r="AH314" s="17">
        <v>312</v>
      </c>
      <c r="AI314" s="6">
        <v>6.1516000000000002</v>
      </c>
      <c r="AJ314" s="6">
        <v>14.664300000000001</v>
      </c>
      <c r="AK314" s="6">
        <v>3.1076999999999999</v>
      </c>
      <c r="AL314" s="6">
        <v>123</v>
      </c>
      <c r="AO314" s="17">
        <v>312</v>
      </c>
      <c r="AP314" s="6">
        <v>1.15811</v>
      </c>
      <c r="AQ314" s="6">
        <v>1.9145000000000001</v>
      </c>
      <c r="AR314" s="6">
        <v>0.58509999999999995</v>
      </c>
      <c r="AS314" s="6">
        <v>123</v>
      </c>
      <c r="AU314" s="17">
        <v>312</v>
      </c>
      <c r="AV314" s="6">
        <v>0.60894999999999999</v>
      </c>
      <c r="AW314" s="6">
        <v>1.9145000000000001</v>
      </c>
      <c r="AX314" s="6">
        <v>0.58509999999999995</v>
      </c>
      <c r="AY314" s="6">
        <v>123</v>
      </c>
    </row>
    <row r="315" spans="1:51" x14ac:dyDescent="0.25">
      <c r="A315" s="31" t="s">
        <v>132</v>
      </c>
      <c r="B315" s="32">
        <v>2</v>
      </c>
      <c r="C315" s="32">
        <v>14</v>
      </c>
      <c r="D315" s="32">
        <v>3</v>
      </c>
      <c r="E315" s="32">
        <v>23</v>
      </c>
      <c r="F315" s="2">
        <v>61.8</v>
      </c>
      <c r="G315">
        <v>70.543653184165223</v>
      </c>
      <c r="H315" t="s">
        <v>12</v>
      </c>
      <c r="AB315" s="17">
        <v>313</v>
      </c>
      <c r="AC315" s="6">
        <v>3.2060200000000001</v>
      </c>
      <c r="AD315" s="6">
        <v>12.437200000000001</v>
      </c>
      <c r="AE315" s="6">
        <v>3.0802999999999998</v>
      </c>
      <c r="AF315" s="6">
        <v>123</v>
      </c>
      <c r="AH315" s="17">
        <v>313</v>
      </c>
      <c r="AI315" s="6">
        <v>6.0972</v>
      </c>
      <c r="AJ315" s="6">
        <v>12.437200000000001</v>
      </c>
      <c r="AK315" s="6">
        <v>3.0802999999999998</v>
      </c>
      <c r="AL315" s="6">
        <v>123</v>
      </c>
      <c r="AO315" s="17">
        <v>313</v>
      </c>
      <c r="AP315" s="6">
        <v>1.1476900000000001</v>
      </c>
      <c r="AQ315" s="6">
        <v>1.7116</v>
      </c>
      <c r="AR315" s="6">
        <v>0.57979999999999998</v>
      </c>
      <c r="AS315" s="6">
        <v>123</v>
      </c>
      <c r="AU315" s="17">
        <v>313</v>
      </c>
      <c r="AV315" s="6">
        <v>0.60346999999999995</v>
      </c>
      <c r="AW315" s="6">
        <v>1.7116</v>
      </c>
      <c r="AX315" s="6">
        <v>0.57979999999999998</v>
      </c>
      <c r="AY315" s="6">
        <v>123</v>
      </c>
    </row>
    <row r="316" spans="1:51" x14ac:dyDescent="0.25">
      <c r="A316" s="31" t="s">
        <v>132</v>
      </c>
      <c r="B316" s="32">
        <v>2</v>
      </c>
      <c r="C316" s="32">
        <v>15</v>
      </c>
      <c r="D316" s="32">
        <v>3</v>
      </c>
      <c r="E316" s="32">
        <v>5</v>
      </c>
      <c r="F316" s="2">
        <v>60.4</v>
      </c>
      <c r="G316">
        <v>72.141824440619615</v>
      </c>
      <c r="H316" t="s">
        <v>12</v>
      </c>
      <c r="AB316" s="17">
        <v>314</v>
      </c>
      <c r="AC316" s="6">
        <v>3.2101000000000002</v>
      </c>
      <c r="AD316" s="6">
        <v>3.4870000000000001</v>
      </c>
      <c r="AE316" s="6">
        <v>3.0842000000000001</v>
      </c>
      <c r="AF316" s="6">
        <v>123</v>
      </c>
      <c r="AH316" s="17">
        <v>314</v>
      </c>
      <c r="AI316" s="6">
        <v>6.1050000000000004</v>
      </c>
      <c r="AJ316" s="6">
        <v>3.4870000000000001</v>
      </c>
      <c r="AK316" s="6">
        <v>3.0842000000000001</v>
      </c>
      <c r="AL316" s="6">
        <v>123</v>
      </c>
      <c r="AO316" s="17">
        <v>314</v>
      </c>
      <c r="AP316" s="6">
        <v>1.14171</v>
      </c>
      <c r="AQ316" s="6">
        <v>0.36730000000000002</v>
      </c>
      <c r="AR316" s="6">
        <v>0.57679999999999998</v>
      </c>
      <c r="AS316" s="6">
        <v>123</v>
      </c>
      <c r="AU316" s="17">
        <v>314</v>
      </c>
      <c r="AV316" s="6">
        <v>0.60033000000000003</v>
      </c>
      <c r="AW316" s="6">
        <v>0.36730000000000002</v>
      </c>
      <c r="AX316" s="6">
        <v>0.57679999999999998</v>
      </c>
      <c r="AY316" s="6">
        <v>123</v>
      </c>
    </row>
    <row r="317" spans="1:51" x14ac:dyDescent="0.25">
      <c r="A317" s="31" t="s">
        <v>132</v>
      </c>
      <c r="B317" s="32">
        <v>2</v>
      </c>
      <c r="C317" s="32">
        <v>16</v>
      </c>
      <c r="D317" s="32">
        <v>3</v>
      </c>
      <c r="E317" s="32">
        <v>46</v>
      </c>
      <c r="F317" s="2">
        <v>60.9</v>
      </c>
      <c r="G317">
        <v>64.033347676419965</v>
      </c>
      <c r="H317" t="s">
        <v>12</v>
      </c>
      <c r="AB317" s="17">
        <v>315</v>
      </c>
      <c r="AC317" s="6">
        <v>3.2126999999999999</v>
      </c>
      <c r="AD317" s="6">
        <v>5.9542999999999999</v>
      </c>
      <c r="AE317" s="6">
        <v>3.0867</v>
      </c>
      <c r="AF317" s="6">
        <v>123</v>
      </c>
      <c r="AH317" s="17">
        <v>315</v>
      </c>
      <c r="AI317" s="6">
        <v>6.1098999999999997</v>
      </c>
      <c r="AJ317" s="6">
        <v>5.9542999999999999</v>
      </c>
      <c r="AK317" s="6">
        <v>3.0867</v>
      </c>
      <c r="AL317" s="6">
        <v>123</v>
      </c>
      <c r="AO317" s="17">
        <v>315</v>
      </c>
      <c r="AP317" s="6">
        <v>1.1456</v>
      </c>
      <c r="AQ317" s="6">
        <v>0.57799999999999996</v>
      </c>
      <c r="AR317" s="6">
        <v>0.57879999999999998</v>
      </c>
      <c r="AS317" s="6">
        <v>123</v>
      </c>
      <c r="AU317" s="17">
        <v>315</v>
      </c>
      <c r="AV317" s="6">
        <v>0.60238000000000003</v>
      </c>
      <c r="AW317" s="6">
        <v>0.57799999999999996</v>
      </c>
      <c r="AX317" s="6">
        <v>0.57879999999999998</v>
      </c>
      <c r="AY317" s="6">
        <v>123</v>
      </c>
    </row>
    <row r="318" spans="1:51" x14ac:dyDescent="0.25">
      <c r="A318" s="31" t="s">
        <v>132</v>
      </c>
      <c r="B318" s="32">
        <v>2</v>
      </c>
      <c r="C318" s="32">
        <v>17</v>
      </c>
      <c r="D318" s="32">
        <v>3</v>
      </c>
      <c r="E318" s="32">
        <v>24</v>
      </c>
      <c r="F318" s="2">
        <v>61.5</v>
      </c>
      <c r="G318">
        <v>69.816867469879497</v>
      </c>
      <c r="H318" t="s">
        <v>12</v>
      </c>
      <c r="AB318" s="17">
        <v>316</v>
      </c>
      <c r="AC318" s="6">
        <v>5.1216799999999996</v>
      </c>
      <c r="AD318" s="6">
        <v>14.9099</v>
      </c>
      <c r="AE318" s="6">
        <v>4.9207999999999998</v>
      </c>
      <c r="AF318" s="6">
        <v>123</v>
      </c>
      <c r="AH318" s="17">
        <v>316</v>
      </c>
      <c r="AI318" s="6">
        <v>9.7403999999999993</v>
      </c>
      <c r="AJ318" s="6">
        <v>14.9099</v>
      </c>
      <c r="AK318" s="6">
        <v>4.9207999999999998</v>
      </c>
      <c r="AL318" s="6">
        <v>123</v>
      </c>
      <c r="AO318" s="17">
        <v>316</v>
      </c>
      <c r="AP318" s="6">
        <v>1.81989</v>
      </c>
      <c r="AQ318" s="6">
        <v>1.0952999999999999</v>
      </c>
      <c r="AR318" s="6">
        <v>0.9194</v>
      </c>
      <c r="AS318" s="6">
        <v>123</v>
      </c>
      <c r="AU318" s="17">
        <v>316</v>
      </c>
      <c r="AV318" s="6">
        <v>0.95692999999999995</v>
      </c>
      <c r="AW318" s="6">
        <v>1.0952999999999999</v>
      </c>
      <c r="AX318" s="6">
        <v>0.9194</v>
      </c>
      <c r="AY318" s="6">
        <v>123</v>
      </c>
    </row>
    <row r="319" spans="1:51" x14ac:dyDescent="0.25">
      <c r="A319" s="31" t="s">
        <v>132</v>
      </c>
      <c r="B319" s="32">
        <v>2</v>
      </c>
      <c r="C319" s="32">
        <v>18</v>
      </c>
      <c r="D319" s="32">
        <v>3</v>
      </c>
      <c r="E319" s="32">
        <v>11</v>
      </c>
      <c r="F319" s="2">
        <v>58.3</v>
      </c>
      <c r="G319">
        <v>72.277099827882964</v>
      </c>
      <c r="H319" t="s">
        <v>12</v>
      </c>
      <c r="AB319" s="17">
        <v>317</v>
      </c>
      <c r="AC319" s="6">
        <v>3.2096300000000002</v>
      </c>
      <c r="AD319" s="6">
        <v>5.9695999999999998</v>
      </c>
      <c r="AE319" s="6">
        <v>3.0838000000000001</v>
      </c>
      <c r="AF319" s="6">
        <v>123</v>
      </c>
      <c r="AH319" s="17">
        <v>317</v>
      </c>
      <c r="AI319" s="6">
        <v>6.1040999999999999</v>
      </c>
      <c r="AJ319" s="6">
        <v>5.9695999999999998</v>
      </c>
      <c r="AK319" s="6">
        <v>3.0838000000000001</v>
      </c>
      <c r="AL319" s="6">
        <v>123</v>
      </c>
      <c r="AO319" s="17">
        <v>317</v>
      </c>
      <c r="AP319" s="6">
        <v>1.1564700000000001</v>
      </c>
      <c r="AQ319" s="6">
        <v>1.1927000000000001</v>
      </c>
      <c r="AR319" s="6">
        <v>0.58420000000000005</v>
      </c>
      <c r="AS319" s="6">
        <v>123</v>
      </c>
      <c r="AU319" s="17">
        <v>317</v>
      </c>
      <c r="AV319" s="6">
        <v>0.60809000000000002</v>
      </c>
      <c r="AW319" s="6">
        <v>1.1927000000000001</v>
      </c>
      <c r="AX319" s="6">
        <v>0.58420000000000005</v>
      </c>
      <c r="AY319" s="6">
        <v>123</v>
      </c>
    </row>
    <row r="320" spans="1:51" x14ac:dyDescent="0.25">
      <c r="A320" s="31" t="s">
        <v>132</v>
      </c>
      <c r="B320" s="32">
        <v>2</v>
      </c>
      <c r="C320" s="32">
        <v>19</v>
      </c>
      <c r="D320" s="32">
        <v>3</v>
      </c>
      <c r="E320" s="32">
        <v>40</v>
      </c>
      <c r="F320" s="2">
        <v>61.4</v>
      </c>
      <c r="G320">
        <v>74.680959552495693</v>
      </c>
      <c r="H320" t="s">
        <v>12</v>
      </c>
      <c r="AB320" s="17">
        <v>318</v>
      </c>
      <c r="AC320" s="6">
        <v>3.2107199999999998</v>
      </c>
      <c r="AD320" s="19">
        <v>-7.9871999999999996</v>
      </c>
      <c r="AE320" s="6">
        <v>3.0848</v>
      </c>
      <c r="AF320" s="6">
        <v>123</v>
      </c>
      <c r="AH320" s="17">
        <v>318</v>
      </c>
      <c r="AI320" s="6">
        <v>6.1062000000000003</v>
      </c>
      <c r="AJ320" s="19">
        <v>-7.9871999999999996</v>
      </c>
      <c r="AK320" s="6">
        <v>3.0848</v>
      </c>
      <c r="AL320" s="6">
        <v>123</v>
      </c>
      <c r="AO320" s="17">
        <v>318</v>
      </c>
      <c r="AP320" s="6">
        <v>1.15076</v>
      </c>
      <c r="AQ320" s="19">
        <v>-3.8098999999999998</v>
      </c>
      <c r="AR320" s="6">
        <v>0.58140000000000003</v>
      </c>
      <c r="AS320" s="6">
        <v>123</v>
      </c>
      <c r="AU320" s="17">
        <v>318</v>
      </c>
      <c r="AV320" s="6">
        <v>0.60509000000000002</v>
      </c>
      <c r="AW320" s="19">
        <v>-3.8098999999999998</v>
      </c>
      <c r="AX320" s="6">
        <v>0.58140000000000003</v>
      </c>
      <c r="AY320" s="6">
        <v>123</v>
      </c>
    </row>
    <row r="321" spans="1:51" x14ac:dyDescent="0.25">
      <c r="A321" s="31" t="s">
        <v>132</v>
      </c>
      <c r="B321" s="32">
        <v>2</v>
      </c>
      <c r="C321" s="32">
        <v>20</v>
      </c>
      <c r="D321" s="32">
        <v>3</v>
      </c>
      <c r="E321" s="32">
        <v>6</v>
      </c>
      <c r="F321" s="2">
        <v>56.3</v>
      </c>
      <c r="G321">
        <v>62.276140275387256</v>
      </c>
      <c r="H321" t="s">
        <v>12</v>
      </c>
      <c r="AB321" s="17">
        <v>319</v>
      </c>
      <c r="AC321" s="6">
        <v>3.2111700000000001</v>
      </c>
      <c r="AD321" s="6">
        <v>0.5534</v>
      </c>
      <c r="AE321" s="6">
        <v>3.0851999999999999</v>
      </c>
      <c r="AF321" s="6">
        <v>123</v>
      </c>
      <c r="AH321" s="17">
        <v>319</v>
      </c>
      <c r="AI321" s="6">
        <v>6.1070000000000002</v>
      </c>
      <c r="AJ321" s="6">
        <v>0.5534</v>
      </c>
      <c r="AK321" s="6">
        <v>3.0851999999999999</v>
      </c>
      <c r="AL321" s="6">
        <v>123</v>
      </c>
      <c r="AO321" s="17">
        <v>319</v>
      </c>
      <c r="AP321" s="6">
        <v>1.1502300000000001</v>
      </c>
      <c r="AQ321" s="19">
        <v>-2.3309000000000002</v>
      </c>
      <c r="AR321" s="6">
        <v>0.58109999999999995</v>
      </c>
      <c r="AS321" s="6">
        <v>123</v>
      </c>
      <c r="AU321" s="17">
        <v>319</v>
      </c>
      <c r="AV321" s="6">
        <v>0.60480999999999996</v>
      </c>
      <c r="AW321" s="19">
        <v>-2.3309000000000002</v>
      </c>
      <c r="AX321" s="6">
        <v>0.58109999999999995</v>
      </c>
      <c r="AY321" s="6">
        <v>123</v>
      </c>
    </row>
    <row r="322" spans="1:51" x14ac:dyDescent="0.25">
      <c r="A322" s="31" t="s">
        <v>132</v>
      </c>
      <c r="B322" s="32">
        <v>2</v>
      </c>
      <c r="C322" s="32">
        <v>21</v>
      </c>
      <c r="D322" s="32">
        <v>3</v>
      </c>
      <c r="E322" s="32">
        <v>45</v>
      </c>
      <c r="F322" s="2">
        <v>60.9</v>
      </c>
      <c r="G322">
        <v>74.72838640275387</v>
      </c>
      <c r="H322" t="s">
        <v>12</v>
      </c>
      <c r="AB322" s="17">
        <v>320</v>
      </c>
      <c r="AC322" s="6">
        <v>3.2071499999999999</v>
      </c>
      <c r="AD322" s="19">
        <v>-4.5448000000000004</v>
      </c>
      <c r="AE322" s="6">
        <v>3.0813999999999999</v>
      </c>
      <c r="AF322" s="6">
        <v>123</v>
      </c>
      <c r="AH322" s="17">
        <v>320</v>
      </c>
      <c r="AI322" s="6">
        <v>6.0994000000000002</v>
      </c>
      <c r="AJ322" s="19">
        <v>-4.5448000000000004</v>
      </c>
      <c r="AK322" s="6">
        <v>3.0813999999999999</v>
      </c>
      <c r="AL322" s="6">
        <v>123</v>
      </c>
      <c r="AO322" s="17">
        <v>320</v>
      </c>
      <c r="AP322" s="6">
        <v>1.1538200000000001</v>
      </c>
      <c r="AQ322" s="19">
        <v>-2.7610999999999999</v>
      </c>
      <c r="AR322" s="6">
        <v>0.58289999999999997</v>
      </c>
      <c r="AS322" s="6">
        <v>123</v>
      </c>
      <c r="AU322" s="17">
        <v>320</v>
      </c>
      <c r="AV322" s="6">
        <v>0.60670000000000002</v>
      </c>
      <c r="AW322" s="19">
        <v>-2.7610999999999999</v>
      </c>
      <c r="AX322" s="6">
        <v>0.58289999999999997</v>
      </c>
      <c r="AY322" s="6">
        <v>123</v>
      </c>
    </row>
    <row r="323" spans="1:51" x14ac:dyDescent="0.25">
      <c r="A323" s="31" t="s">
        <v>132</v>
      </c>
      <c r="B323" s="32">
        <v>2</v>
      </c>
      <c r="C323" s="32">
        <v>21</v>
      </c>
      <c r="D323" s="32">
        <v>4</v>
      </c>
      <c r="E323" s="32">
        <v>33</v>
      </c>
      <c r="F323" s="2">
        <v>61.2</v>
      </c>
      <c r="G323">
        <v>66.897787735619303</v>
      </c>
      <c r="H323" t="s">
        <v>12</v>
      </c>
      <c r="AB323" s="17">
        <v>321</v>
      </c>
      <c r="AC323" s="6">
        <v>3.2099500000000001</v>
      </c>
      <c r="AD323" s="19">
        <v>-13.146800000000001</v>
      </c>
      <c r="AE323" s="6">
        <v>3.0840999999999998</v>
      </c>
      <c r="AF323" s="6">
        <v>123</v>
      </c>
      <c r="AH323" s="17">
        <v>321</v>
      </c>
      <c r="AI323" s="6">
        <v>6.1047000000000002</v>
      </c>
      <c r="AJ323" s="19">
        <v>-13.146800000000001</v>
      </c>
      <c r="AK323" s="6">
        <v>3.0840999999999998</v>
      </c>
      <c r="AL323" s="6">
        <v>123</v>
      </c>
      <c r="AO323" s="17">
        <v>321</v>
      </c>
      <c r="AP323" s="6">
        <v>1.1549799999999999</v>
      </c>
      <c r="AQ323" s="19">
        <v>-3.6307</v>
      </c>
      <c r="AR323" s="6">
        <v>0.58350000000000002</v>
      </c>
      <c r="AS323" s="6">
        <v>123</v>
      </c>
      <c r="AU323" s="17">
        <v>321</v>
      </c>
      <c r="AV323" s="6">
        <v>0.60731000000000002</v>
      </c>
      <c r="AW323" s="19">
        <v>-3.6307</v>
      </c>
      <c r="AX323" s="6">
        <v>0.58350000000000002</v>
      </c>
      <c r="AY323" s="6">
        <v>123</v>
      </c>
    </row>
    <row r="324" spans="1:51" x14ac:dyDescent="0.25">
      <c r="A324" s="31" t="s">
        <v>132</v>
      </c>
      <c r="B324" s="32">
        <v>2</v>
      </c>
      <c r="C324" s="32">
        <v>20</v>
      </c>
      <c r="D324" s="32">
        <v>4</v>
      </c>
      <c r="E324" s="32">
        <v>1</v>
      </c>
      <c r="F324" s="2">
        <v>61.4</v>
      </c>
      <c r="G324">
        <v>63.577760459792508</v>
      </c>
      <c r="H324" t="s">
        <v>12</v>
      </c>
      <c r="AB324" s="17">
        <v>322</v>
      </c>
      <c r="AC324" s="6">
        <v>3.2099899999999999</v>
      </c>
      <c r="AD324" s="19">
        <v>-8.6071000000000009</v>
      </c>
      <c r="AE324" s="6">
        <v>3.0840999999999998</v>
      </c>
      <c r="AF324" s="6">
        <v>123</v>
      </c>
      <c r="AH324" s="17">
        <v>322</v>
      </c>
      <c r="AI324" s="6">
        <v>6.1048</v>
      </c>
      <c r="AJ324" s="19">
        <v>-8.6071000000000009</v>
      </c>
      <c r="AK324" s="6">
        <v>3.0840999999999998</v>
      </c>
      <c r="AL324" s="6">
        <v>123</v>
      </c>
      <c r="AO324" s="17">
        <v>322</v>
      </c>
      <c r="AP324" s="6">
        <v>1.1549199999999999</v>
      </c>
      <c r="AQ324" s="19">
        <v>-1.5013000000000001</v>
      </c>
      <c r="AR324" s="6">
        <v>0.58350000000000002</v>
      </c>
      <c r="AS324" s="6">
        <v>123</v>
      </c>
      <c r="AU324" s="17">
        <v>322</v>
      </c>
      <c r="AV324" s="6">
        <v>0.60728000000000004</v>
      </c>
      <c r="AW324" s="19">
        <v>-1.5013000000000001</v>
      </c>
      <c r="AX324" s="6">
        <v>0.58350000000000002</v>
      </c>
      <c r="AY324" s="6">
        <v>123</v>
      </c>
    </row>
    <row r="325" spans="1:51" x14ac:dyDescent="0.25">
      <c r="A325" s="31" t="s">
        <v>132</v>
      </c>
      <c r="B325" s="32">
        <v>2</v>
      </c>
      <c r="C325" s="32">
        <v>19</v>
      </c>
      <c r="D325" s="32">
        <v>4</v>
      </c>
      <c r="E325" s="32">
        <v>31</v>
      </c>
      <c r="F325" s="2">
        <v>61.8</v>
      </c>
      <c r="G325">
        <v>57.785023622814272</v>
      </c>
      <c r="H325" t="s">
        <v>12</v>
      </c>
      <c r="AB325" s="17">
        <v>323</v>
      </c>
      <c r="AC325" s="6">
        <v>3.2012900000000002</v>
      </c>
      <c r="AD325" s="19">
        <v>-7.7995000000000001</v>
      </c>
      <c r="AE325" s="6">
        <v>3.0756999999999999</v>
      </c>
      <c r="AF325" s="6">
        <v>123</v>
      </c>
      <c r="AH325" s="17">
        <v>323</v>
      </c>
      <c r="AI325" s="6">
        <v>6.0881999999999996</v>
      </c>
      <c r="AJ325" s="19">
        <v>-7.7995000000000001</v>
      </c>
      <c r="AK325" s="6">
        <v>3.0756999999999999</v>
      </c>
      <c r="AL325" s="6">
        <v>123</v>
      </c>
      <c r="AO325" s="17">
        <v>323</v>
      </c>
      <c r="AP325" s="6">
        <v>1.1495</v>
      </c>
      <c r="AQ325" s="19">
        <v>-4.1036999999999999</v>
      </c>
      <c r="AR325" s="6">
        <v>0.58069999999999999</v>
      </c>
      <c r="AS325" s="6">
        <v>123</v>
      </c>
      <c r="AU325" s="17">
        <v>323</v>
      </c>
      <c r="AV325" s="6">
        <v>0.60443000000000002</v>
      </c>
      <c r="AW325" s="19">
        <v>-4.1036999999999999</v>
      </c>
      <c r="AX325" s="6">
        <v>0.58069999999999999</v>
      </c>
      <c r="AY325" s="6">
        <v>123</v>
      </c>
    </row>
    <row r="326" spans="1:51" x14ac:dyDescent="0.25">
      <c r="A326" s="31" t="s">
        <v>132</v>
      </c>
      <c r="B326" s="32">
        <v>2</v>
      </c>
      <c r="C326" s="32">
        <v>18</v>
      </c>
      <c r="D326" s="32">
        <v>4</v>
      </c>
      <c r="E326" s="32">
        <v>37</v>
      </c>
      <c r="F326" s="2">
        <v>60.8</v>
      </c>
      <c r="G326">
        <v>65.795821440748142</v>
      </c>
      <c r="H326" t="s">
        <v>12</v>
      </c>
      <c r="AB326" s="17">
        <v>324</v>
      </c>
      <c r="AC326" s="6">
        <v>3.2093099999999999</v>
      </c>
      <c r="AD326" s="19">
        <v>-9.5805000000000007</v>
      </c>
      <c r="AE326" s="6">
        <v>3.0834000000000001</v>
      </c>
      <c r="AF326" s="6">
        <v>123</v>
      </c>
      <c r="AH326" s="17">
        <v>324</v>
      </c>
      <c r="AI326" s="6">
        <v>6.1035000000000004</v>
      </c>
      <c r="AJ326" s="19">
        <v>-9.5805000000000007</v>
      </c>
      <c r="AK326" s="6">
        <v>3.0834000000000001</v>
      </c>
      <c r="AL326" s="6">
        <v>123</v>
      </c>
      <c r="AO326" s="17">
        <v>324</v>
      </c>
      <c r="AP326" s="6">
        <v>1.15174</v>
      </c>
      <c r="AQ326" s="19">
        <v>-2.2648999999999999</v>
      </c>
      <c r="AR326" s="6">
        <v>0.58179999999999998</v>
      </c>
      <c r="AS326" s="6">
        <v>123</v>
      </c>
      <c r="AU326" s="17">
        <v>324</v>
      </c>
      <c r="AV326" s="6">
        <v>0.60560000000000003</v>
      </c>
      <c r="AW326" s="19">
        <v>-2.2648999999999999</v>
      </c>
      <c r="AX326" s="6">
        <v>0.58179999999999998</v>
      </c>
      <c r="AY326" s="6">
        <v>123</v>
      </c>
    </row>
    <row r="327" spans="1:51" x14ac:dyDescent="0.25">
      <c r="A327" s="31" t="s">
        <v>132</v>
      </c>
      <c r="B327" s="32">
        <v>2</v>
      </c>
      <c r="C327" s="32">
        <v>17</v>
      </c>
      <c r="D327" s="32">
        <v>4</v>
      </c>
      <c r="E327" s="32">
        <v>13</v>
      </c>
      <c r="F327" s="2">
        <v>62.2</v>
      </c>
      <c r="G327">
        <v>63.881111002873702</v>
      </c>
      <c r="H327" t="s">
        <v>12</v>
      </c>
      <c r="AB327" s="17">
        <v>325</v>
      </c>
      <c r="AC327" s="6">
        <v>3.2234500000000001</v>
      </c>
      <c r="AD327" s="6">
        <v>0.36199999999999999</v>
      </c>
      <c r="AE327" s="6">
        <v>3.097</v>
      </c>
      <c r="AF327" s="6">
        <v>123</v>
      </c>
      <c r="AH327" s="17">
        <v>325</v>
      </c>
      <c r="AI327" s="6">
        <v>6.1303999999999998</v>
      </c>
      <c r="AJ327" s="6">
        <v>0.36199999999999999</v>
      </c>
      <c r="AK327" s="6">
        <v>3.097</v>
      </c>
      <c r="AL327" s="6">
        <v>123</v>
      </c>
      <c r="AO327" s="17">
        <v>325</v>
      </c>
      <c r="AP327" s="6">
        <v>1.16554</v>
      </c>
      <c r="AQ327" s="19">
        <v>-1.7215</v>
      </c>
      <c r="AR327" s="6">
        <v>0.58879999999999999</v>
      </c>
      <c r="AS327" s="6">
        <v>123</v>
      </c>
      <c r="AU327" s="17">
        <v>325</v>
      </c>
      <c r="AV327" s="6">
        <v>0.61285999999999996</v>
      </c>
      <c r="AW327" s="19">
        <v>-1.7215</v>
      </c>
      <c r="AX327" s="6">
        <v>0.58879999999999999</v>
      </c>
      <c r="AY327" s="6">
        <v>123</v>
      </c>
    </row>
    <row r="328" spans="1:51" x14ac:dyDescent="0.25">
      <c r="A328" s="31" t="s">
        <v>132</v>
      </c>
      <c r="B328" s="32">
        <v>2</v>
      </c>
      <c r="C328" s="32">
        <v>16</v>
      </c>
      <c r="D328" s="32">
        <v>4</v>
      </c>
      <c r="E328" s="32">
        <v>3</v>
      </c>
      <c r="F328" s="2">
        <v>61.8</v>
      </c>
      <c r="G328">
        <v>66.534596463883872</v>
      </c>
      <c r="H328" t="s">
        <v>12</v>
      </c>
      <c r="AB328" s="17">
        <v>326</v>
      </c>
      <c r="AC328" s="6">
        <v>3.2189999999999999</v>
      </c>
      <c r="AD328" s="19">
        <v>-11.191599999999999</v>
      </c>
      <c r="AE328" s="6">
        <v>3.0928</v>
      </c>
      <c r="AF328" s="6">
        <v>123</v>
      </c>
      <c r="AH328" s="17">
        <v>326</v>
      </c>
      <c r="AI328" s="6">
        <v>6.1219000000000001</v>
      </c>
      <c r="AJ328" s="19">
        <v>-11.191599999999999</v>
      </c>
      <c r="AK328" s="6">
        <v>3.0928</v>
      </c>
      <c r="AL328" s="6">
        <v>123</v>
      </c>
      <c r="AO328" s="17">
        <v>326</v>
      </c>
      <c r="AP328" s="6">
        <v>1.1632400000000001</v>
      </c>
      <c r="AQ328" s="19">
        <v>-2.4026999999999998</v>
      </c>
      <c r="AR328" s="6">
        <v>0.5877</v>
      </c>
      <c r="AS328" s="6">
        <v>123</v>
      </c>
      <c r="AU328" s="17">
        <v>326</v>
      </c>
      <c r="AV328" s="6">
        <v>0.61165000000000003</v>
      </c>
      <c r="AW328" s="19">
        <v>-2.4026999999999998</v>
      </c>
      <c r="AX328" s="6">
        <v>0.5877</v>
      </c>
      <c r="AY328" s="6">
        <v>123</v>
      </c>
    </row>
    <row r="329" spans="1:51" x14ac:dyDescent="0.25">
      <c r="A329" s="31" t="s">
        <v>132</v>
      </c>
      <c r="B329" s="32">
        <v>2</v>
      </c>
      <c r="C329" s="32">
        <v>15</v>
      </c>
      <c r="D329" s="32">
        <v>4</v>
      </c>
      <c r="E329" s="32">
        <v>15</v>
      </c>
      <c r="F329" s="2">
        <v>61.8</v>
      </c>
      <c r="G329">
        <v>69.395812673518094</v>
      </c>
      <c r="H329" t="s">
        <v>12</v>
      </c>
      <c r="AB329" s="17">
        <v>327</v>
      </c>
      <c r="AC329" s="6">
        <v>3.1974300000000002</v>
      </c>
      <c r="AD329" s="19">
        <v>-7.5197000000000003</v>
      </c>
      <c r="AE329" s="6">
        <v>3.0720000000000001</v>
      </c>
      <c r="AF329" s="6">
        <v>123</v>
      </c>
      <c r="AH329" s="17">
        <v>327</v>
      </c>
      <c r="AI329" s="6">
        <v>6.0808999999999997</v>
      </c>
      <c r="AJ329" s="19">
        <v>-7.5197000000000003</v>
      </c>
      <c r="AK329" s="6">
        <v>3.0720000000000001</v>
      </c>
      <c r="AL329" s="6">
        <v>123</v>
      </c>
      <c r="AO329" s="17">
        <v>327</v>
      </c>
      <c r="AP329" s="6">
        <v>1.1501999999999999</v>
      </c>
      <c r="AQ329" s="19">
        <v>-2.5192000000000001</v>
      </c>
      <c r="AR329" s="6">
        <v>0.58109999999999995</v>
      </c>
      <c r="AS329" s="6">
        <v>123</v>
      </c>
      <c r="AU329" s="17">
        <v>327</v>
      </c>
      <c r="AV329" s="6">
        <v>0.60479000000000005</v>
      </c>
      <c r="AW329" s="19">
        <v>-2.5192000000000001</v>
      </c>
      <c r="AX329" s="6">
        <v>0.58109999999999995</v>
      </c>
      <c r="AY329" s="6">
        <v>123</v>
      </c>
    </row>
    <row r="330" spans="1:51" x14ac:dyDescent="0.25">
      <c r="A330" s="31" t="s">
        <v>132</v>
      </c>
      <c r="B330" s="32">
        <v>2</v>
      </c>
      <c r="C330" s="32">
        <v>14</v>
      </c>
      <c r="D330" s="32">
        <v>4</v>
      </c>
      <c r="E330" s="32">
        <v>43</v>
      </c>
      <c r="F330" s="2">
        <v>61.5</v>
      </c>
      <c r="G330">
        <v>65.229576737616284</v>
      </c>
      <c r="H330" t="s">
        <v>12</v>
      </c>
      <c r="AB330" s="17">
        <v>328</v>
      </c>
      <c r="AC330" s="6">
        <v>3.2187199999999998</v>
      </c>
      <c r="AD330" s="19">
        <v>-5.0335999999999999</v>
      </c>
      <c r="AE330" s="6">
        <v>3.0924999999999998</v>
      </c>
      <c r="AF330" s="6">
        <v>123</v>
      </c>
      <c r="AH330" s="17">
        <v>328</v>
      </c>
      <c r="AI330" s="6">
        <v>6.1214000000000004</v>
      </c>
      <c r="AJ330" s="19">
        <v>-5.0335999999999999</v>
      </c>
      <c r="AK330" s="6">
        <v>3.0924999999999998</v>
      </c>
      <c r="AL330" s="6">
        <v>123</v>
      </c>
      <c r="AO330" s="17">
        <v>328</v>
      </c>
      <c r="AP330" s="6">
        <v>1.1584099999999999</v>
      </c>
      <c r="AQ330" s="19">
        <v>-3.0518000000000001</v>
      </c>
      <c r="AR330" s="6">
        <v>0.58520000000000005</v>
      </c>
      <c r="AS330" s="6">
        <v>123</v>
      </c>
      <c r="AU330" s="17">
        <v>328</v>
      </c>
      <c r="AV330" s="6">
        <v>0.60911000000000004</v>
      </c>
      <c r="AW330" s="19">
        <v>-3.0518000000000001</v>
      </c>
      <c r="AX330" s="6">
        <v>0.58520000000000005</v>
      </c>
      <c r="AY330" s="6">
        <v>123</v>
      </c>
    </row>
    <row r="331" spans="1:51" x14ac:dyDescent="0.25">
      <c r="A331" s="31" t="s">
        <v>132</v>
      </c>
      <c r="B331" s="32">
        <v>2</v>
      </c>
      <c r="C331" s="32">
        <v>13</v>
      </c>
      <c r="D331" s="32">
        <v>4</v>
      </c>
      <c r="E331" s="32">
        <v>42</v>
      </c>
      <c r="F331" s="2">
        <v>62.9</v>
      </c>
      <c r="G331">
        <v>67.349510496322637</v>
      </c>
      <c r="H331" t="s">
        <v>12</v>
      </c>
      <c r="AB331" s="17">
        <v>329</v>
      </c>
      <c r="AC331" s="6">
        <v>3.2309800000000002</v>
      </c>
      <c r="AD331" s="19">
        <v>-4.3474000000000004</v>
      </c>
      <c r="AE331" s="6">
        <v>3.1042999999999998</v>
      </c>
      <c r="AF331" s="6">
        <v>123</v>
      </c>
      <c r="AH331" s="17">
        <v>329</v>
      </c>
      <c r="AI331" s="6">
        <v>6.1447000000000003</v>
      </c>
      <c r="AJ331" s="19">
        <v>-4.3474000000000004</v>
      </c>
      <c r="AK331" s="6">
        <v>3.1042999999999998</v>
      </c>
      <c r="AL331" s="6">
        <v>123</v>
      </c>
      <c r="AO331" s="17">
        <v>329</v>
      </c>
      <c r="AP331" s="6">
        <v>1.1513899999999999</v>
      </c>
      <c r="AQ331" s="19">
        <v>-2.9862000000000002</v>
      </c>
      <c r="AR331" s="6">
        <v>0.58169999999999999</v>
      </c>
      <c r="AS331" s="6">
        <v>123</v>
      </c>
      <c r="AU331" s="17">
        <v>329</v>
      </c>
      <c r="AV331" s="6">
        <v>0.60541999999999996</v>
      </c>
      <c r="AW331" s="19">
        <v>-2.9862000000000002</v>
      </c>
      <c r="AX331" s="6">
        <v>0.58169999999999999</v>
      </c>
      <c r="AY331" s="6">
        <v>123</v>
      </c>
    </row>
    <row r="332" spans="1:51" x14ac:dyDescent="0.25">
      <c r="A332" s="31" t="s">
        <v>132</v>
      </c>
      <c r="B332" s="32">
        <v>2</v>
      </c>
      <c r="C332" s="32">
        <v>12</v>
      </c>
      <c r="D332" s="32">
        <v>4</v>
      </c>
      <c r="E332" s="32">
        <v>25</v>
      </c>
      <c r="F332" s="2">
        <v>61.4</v>
      </c>
      <c r="G332">
        <v>66.989067751205482</v>
      </c>
      <c r="H332" t="s">
        <v>12</v>
      </c>
      <c r="AB332" s="17">
        <v>330</v>
      </c>
      <c r="AC332" s="6">
        <v>3.2246999999999999</v>
      </c>
      <c r="AD332" s="19">
        <v>-9.4185999999999996</v>
      </c>
      <c r="AE332" s="6">
        <v>3.0981999999999998</v>
      </c>
      <c r="AF332" s="6">
        <v>123</v>
      </c>
      <c r="AH332" s="17">
        <v>330</v>
      </c>
      <c r="AI332" s="6">
        <v>6.1326999999999998</v>
      </c>
      <c r="AJ332" s="19">
        <v>-9.4185999999999996</v>
      </c>
      <c r="AK332" s="6">
        <v>3.0981999999999998</v>
      </c>
      <c r="AL332" s="6">
        <v>123</v>
      </c>
      <c r="AO332" s="17">
        <v>330</v>
      </c>
      <c r="AP332" s="6">
        <v>1.1651199999999999</v>
      </c>
      <c r="AQ332" s="19">
        <v>-1.9295</v>
      </c>
      <c r="AR332" s="6">
        <v>0.58860000000000001</v>
      </c>
      <c r="AS332" s="6">
        <v>123</v>
      </c>
      <c r="AU332" s="17">
        <v>330</v>
      </c>
      <c r="AV332" s="6">
        <v>0.61263999999999996</v>
      </c>
      <c r="AW332" s="19">
        <v>-1.9295</v>
      </c>
      <c r="AX332" s="6">
        <v>0.58860000000000001</v>
      </c>
      <c r="AY332" s="6">
        <v>123</v>
      </c>
    </row>
    <row r="333" spans="1:51" x14ac:dyDescent="0.25">
      <c r="A333" s="31" t="s">
        <v>132</v>
      </c>
      <c r="B333" s="32">
        <v>2</v>
      </c>
      <c r="C333" s="32">
        <v>11</v>
      </c>
      <c r="D333" s="32">
        <v>4</v>
      </c>
      <c r="E333" s="32">
        <v>10</v>
      </c>
      <c r="F333" s="2">
        <v>57.6</v>
      </c>
      <c r="G333">
        <v>58.04092591690614</v>
      </c>
      <c r="H333" t="s">
        <v>12</v>
      </c>
      <c r="AB333" s="17">
        <v>331</v>
      </c>
      <c r="AC333" s="6">
        <v>3.2265899999999998</v>
      </c>
      <c r="AD333" s="19">
        <v>-4.8827999999999996</v>
      </c>
      <c r="AE333" s="6">
        <v>3.1</v>
      </c>
      <c r="AF333" s="6">
        <v>123</v>
      </c>
      <c r="AH333" s="17">
        <v>331</v>
      </c>
      <c r="AI333" s="6">
        <v>6.1363000000000003</v>
      </c>
      <c r="AJ333" s="19">
        <v>-4.8827999999999996</v>
      </c>
      <c r="AK333" s="6">
        <v>3.1</v>
      </c>
      <c r="AL333" s="6">
        <v>123</v>
      </c>
      <c r="AO333" s="17">
        <v>331</v>
      </c>
      <c r="AP333" s="6">
        <v>1.16601</v>
      </c>
      <c r="AQ333" s="19">
        <v>-2.3508</v>
      </c>
      <c r="AR333" s="6">
        <v>0.58909999999999996</v>
      </c>
      <c r="AS333" s="6">
        <v>123</v>
      </c>
      <c r="AU333" s="17">
        <v>331</v>
      </c>
      <c r="AV333" s="6">
        <v>0.61311000000000004</v>
      </c>
      <c r="AW333" s="19">
        <v>-2.3508</v>
      </c>
      <c r="AX333" s="6">
        <v>0.58909999999999996</v>
      </c>
      <c r="AY333" s="6">
        <v>123</v>
      </c>
    </row>
    <row r="334" spans="1:51" x14ac:dyDescent="0.25">
      <c r="A334" s="31" t="s">
        <v>132</v>
      </c>
      <c r="B334" s="32">
        <v>2</v>
      </c>
      <c r="C334" s="32">
        <v>10</v>
      </c>
      <c r="D334" s="32">
        <v>4</v>
      </c>
      <c r="E334" s="32">
        <v>32</v>
      </c>
      <c r="F334" s="2">
        <v>64.5</v>
      </c>
      <c r="G334">
        <v>69.225066484827806</v>
      </c>
      <c r="H334" t="s">
        <v>12</v>
      </c>
      <c r="AB334" s="17">
        <v>332</v>
      </c>
      <c r="AC334" s="6">
        <v>3.2389700000000001</v>
      </c>
      <c r="AD334" s="19">
        <v>-14.1951</v>
      </c>
      <c r="AE334" s="6">
        <v>3.1118999999999999</v>
      </c>
      <c r="AF334" s="6">
        <v>123</v>
      </c>
      <c r="AH334" s="17">
        <v>332</v>
      </c>
      <c r="AI334" s="6">
        <v>6.1599000000000004</v>
      </c>
      <c r="AJ334" s="19">
        <v>-14.1951</v>
      </c>
      <c r="AK334" s="6">
        <v>3.1118999999999999</v>
      </c>
      <c r="AL334" s="6">
        <v>123</v>
      </c>
      <c r="AO334" s="17">
        <v>332</v>
      </c>
      <c r="AP334" s="6">
        <v>1.17326</v>
      </c>
      <c r="AQ334" s="19">
        <v>-2.5503</v>
      </c>
      <c r="AR334" s="6">
        <v>0.5927</v>
      </c>
      <c r="AS334" s="6">
        <v>123</v>
      </c>
      <c r="AU334" s="17">
        <v>332</v>
      </c>
      <c r="AV334" s="6">
        <v>0.61692000000000002</v>
      </c>
      <c r="AW334" s="19">
        <v>-2.5503</v>
      </c>
      <c r="AX334" s="6">
        <v>0.5927</v>
      </c>
      <c r="AY334" s="6">
        <v>123</v>
      </c>
    </row>
    <row r="335" spans="1:51" x14ac:dyDescent="0.25">
      <c r="A335" s="31" t="s">
        <v>132</v>
      </c>
      <c r="B335" s="32">
        <v>2</v>
      </c>
      <c r="C335" s="32">
        <v>9</v>
      </c>
      <c r="D335" s="32">
        <v>4</v>
      </c>
      <c r="E335" s="32">
        <v>28</v>
      </c>
      <c r="F335" s="2">
        <v>59.7</v>
      </c>
      <c r="G335">
        <v>69.421224489795932</v>
      </c>
      <c r="H335" t="s">
        <v>12</v>
      </c>
      <c r="AB335" s="17">
        <v>333</v>
      </c>
      <c r="AC335" s="6">
        <v>3.2439499999999999</v>
      </c>
      <c r="AD335" s="19">
        <v>-6.0521000000000003</v>
      </c>
      <c r="AE335" s="6">
        <v>3.1166999999999998</v>
      </c>
      <c r="AF335" s="6">
        <v>123</v>
      </c>
      <c r="AH335" s="17">
        <v>333</v>
      </c>
      <c r="AI335" s="6">
        <v>6.1694000000000004</v>
      </c>
      <c r="AJ335" s="19">
        <v>-6.0521000000000003</v>
      </c>
      <c r="AK335" s="6">
        <v>3.1166999999999998</v>
      </c>
      <c r="AL335" s="6">
        <v>123</v>
      </c>
      <c r="AO335" s="17">
        <v>333</v>
      </c>
      <c r="AP335" s="6">
        <v>1.15415</v>
      </c>
      <c r="AQ335" s="19">
        <v>-2.6303999999999998</v>
      </c>
      <c r="AR335" s="6">
        <v>0.58309999999999995</v>
      </c>
      <c r="AS335" s="6">
        <v>123</v>
      </c>
      <c r="AU335" s="17">
        <v>333</v>
      </c>
      <c r="AV335" s="6">
        <v>0.60687000000000002</v>
      </c>
      <c r="AW335" s="19">
        <v>-2.6303999999999998</v>
      </c>
      <c r="AX335" s="6">
        <v>0.58309999999999995</v>
      </c>
      <c r="AY335" s="6">
        <v>123</v>
      </c>
    </row>
    <row r="336" spans="1:51" x14ac:dyDescent="0.25">
      <c r="A336" s="31" t="s">
        <v>132</v>
      </c>
      <c r="B336" s="32">
        <v>2</v>
      </c>
      <c r="C336" s="32">
        <v>8</v>
      </c>
      <c r="D336" s="32">
        <v>4</v>
      </c>
      <c r="E336" s="32">
        <v>17</v>
      </c>
      <c r="F336" s="2">
        <v>60.8</v>
      </c>
      <c r="G336">
        <v>67.26734401636547</v>
      </c>
      <c r="H336" t="s">
        <v>12</v>
      </c>
      <c r="AB336" s="17">
        <v>334</v>
      </c>
      <c r="AC336" s="6">
        <v>3.1946699999999999</v>
      </c>
      <c r="AD336" s="19">
        <v>-3.4636</v>
      </c>
      <c r="AE336" s="6">
        <v>3.0693999999999999</v>
      </c>
      <c r="AF336" s="6">
        <v>123</v>
      </c>
      <c r="AH336" s="17">
        <v>334</v>
      </c>
      <c r="AI336" s="6">
        <v>6.0755999999999997</v>
      </c>
      <c r="AJ336" s="19">
        <v>-3.4636</v>
      </c>
      <c r="AK336" s="6">
        <v>3.0693999999999999</v>
      </c>
      <c r="AL336" s="6">
        <v>123</v>
      </c>
      <c r="AO336" s="17">
        <v>334</v>
      </c>
      <c r="AP336" s="6">
        <v>1.1516999999999999</v>
      </c>
      <c r="AQ336" s="19">
        <v>-0.77190000000000003</v>
      </c>
      <c r="AR336" s="6">
        <v>0.58179999999999998</v>
      </c>
      <c r="AS336" s="6">
        <v>123</v>
      </c>
      <c r="AU336" s="17">
        <v>334</v>
      </c>
      <c r="AV336" s="6">
        <v>0.60558999999999996</v>
      </c>
      <c r="AW336" s="19">
        <v>-0.77190000000000003</v>
      </c>
      <c r="AX336" s="6">
        <v>0.58179999999999998</v>
      </c>
      <c r="AY336" s="6">
        <v>123</v>
      </c>
    </row>
    <row r="337" spans="1:51" x14ac:dyDescent="0.25">
      <c r="A337" s="31" t="s">
        <v>132</v>
      </c>
      <c r="B337" s="32">
        <v>2</v>
      </c>
      <c r="C337" s="32">
        <v>7</v>
      </c>
      <c r="D337" s="32">
        <v>4</v>
      </c>
      <c r="E337" s="32">
        <v>29</v>
      </c>
      <c r="F337" s="2">
        <v>60.8</v>
      </c>
      <c r="G337">
        <v>62.499662948711709</v>
      </c>
      <c r="H337" t="s">
        <v>12</v>
      </c>
      <c r="AB337" s="17">
        <v>335</v>
      </c>
      <c r="AC337" s="6">
        <v>3.1925300000000001</v>
      </c>
      <c r="AD337" s="19">
        <v>-2.2976999999999999</v>
      </c>
      <c r="AE337" s="6">
        <v>3.0672999999999999</v>
      </c>
      <c r="AF337" s="6">
        <v>123</v>
      </c>
      <c r="AH337" s="17">
        <v>335</v>
      </c>
      <c r="AI337" s="6">
        <v>6.0716000000000001</v>
      </c>
      <c r="AJ337" s="19">
        <v>-2.2976999999999999</v>
      </c>
      <c r="AK337" s="6">
        <v>3.0672999999999999</v>
      </c>
      <c r="AL337" s="6">
        <v>123</v>
      </c>
      <c r="AO337" s="17">
        <v>335</v>
      </c>
      <c r="AP337" s="6">
        <v>1.1555800000000001</v>
      </c>
      <c r="AQ337" s="19">
        <v>-2.2972000000000001</v>
      </c>
      <c r="AR337" s="6">
        <v>0.58379999999999999</v>
      </c>
      <c r="AS337" s="6">
        <v>123</v>
      </c>
      <c r="AU337" s="17">
        <v>335</v>
      </c>
      <c r="AV337" s="6">
        <v>0.60762000000000005</v>
      </c>
      <c r="AW337" s="19">
        <v>-2.2972000000000001</v>
      </c>
      <c r="AX337" s="6">
        <v>0.58379999999999999</v>
      </c>
      <c r="AY337" s="6">
        <v>123</v>
      </c>
    </row>
    <row r="338" spans="1:51" x14ac:dyDescent="0.25">
      <c r="A338" s="31" t="s">
        <v>132</v>
      </c>
      <c r="B338" s="32">
        <v>2</v>
      </c>
      <c r="C338" s="32">
        <v>6</v>
      </c>
      <c r="D338" s="32">
        <v>4</v>
      </c>
      <c r="E338" s="32">
        <v>35</v>
      </c>
      <c r="F338" s="2">
        <v>61.5</v>
      </c>
      <c r="G338">
        <v>72.233208319127172</v>
      </c>
      <c r="H338" t="s">
        <v>12</v>
      </c>
      <c r="AB338" s="17">
        <v>336</v>
      </c>
      <c r="AC338" s="6">
        <v>3.1974900000000002</v>
      </c>
      <c r="AD338" s="6">
        <v>2.9211</v>
      </c>
      <c r="AE338" s="6">
        <v>3.0720999999999998</v>
      </c>
      <c r="AF338" s="6">
        <v>123</v>
      </c>
      <c r="AH338" s="17">
        <v>336</v>
      </c>
      <c r="AI338" s="6">
        <v>6.0810000000000004</v>
      </c>
      <c r="AJ338" s="6">
        <v>2.9211</v>
      </c>
      <c r="AK338" s="6">
        <v>3.0720999999999998</v>
      </c>
      <c r="AL338" s="6">
        <v>123</v>
      </c>
      <c r="AO338" s="17">
        <v>336</v>
      </c>
      <c r="AP338" s="6">
        <v>1.1518999999999999</v>
      </c>
      <c r="AQ338" s="19">
        <v>-2.2503000000000002</v>
      </c>
      <c r="AR338" s="6">
        <v>0.58189999999999997</v>
      </c>
      <c r="AS338" s="6">
        <v>123</v>
      </c>
      <c r="AU338" s="17">
        <v>336</v>
      </c>
      <c r="AV338" s="6">
        <v>0.60568999999999995</v>
      </c>
      <c r="AW338" s="19">
        <v>-2.2503000000000002</v>
      </c>
      <c r="AX338" s="6">
        <v>0.58189999999999997</v>
      </c>
      <c r="AY338" s="6">
        <v>123</v>
      </c>
    </row>
    <row r="339" spans="1:51" x14ac:dyDescent="0.25">
      <c r="A339" s="31" t="s">
        <v>132</v>
      </c>
      <c r="B339" s="32">
        <v>2</v>
      </c>
      <c r="C339" s="32">
        <v>5</v>
      </c>
      <c r="D339" s="32">
        <v>4</v>
      </c>
      <c r="E339" s="32">
        <v>41</v>
      </c>
      <c r="F339" s="2">
        <v>57.7</v>
      </c>
      <c r="G339">
        <v>63.945195070868444</v>
      </c>
      <c r="H339" t="s">
        <v>12</v>
      </c>
      <c r="AB339" s="17">
        <v>337</v>
      </c>
      <c r="AC339" s="6">
        <v>3.2100499999999998</v>
      </c>
      <c r="AD339" s="6">
        <v>7.0029999999999995E-2</v>
      </c>
      <c r="AE339" s="6">
        <v>3.0842000000000001</v>
      </c>
      <c r="AF339" s="6">
        <v>123</v>
      </c>
      <c r="AH339" s="17">
        <v>337</v>
      </c>
      <c r="AI339" s="6">
        <v>6.1048999999999998</v>
      </c>
      <c r="AJ339" s="6">
        <v>7.0029999999999995E-2</v>
      </c>
      <c r="AK339" s="6">
        <v>3.0842000000000001</v>
      </c>
      <c r="AL339" s="6">
        <v>123</v>
      </c>
      <c r="AO339" s="17">
        <v>337</v>
      </c>
      <c r="AP339" s="6">
        <v>1.15571</v>
      </c>
      <c r="AQ339" s="19">
        <v>-1.9862</v>
      </c>
      <c r="AR339" s="6">
        <v>0.58389999999999997</v>
      </c>
      <c r="AS339" s="6">
        <v>123</v>
      </c>
      <c r="AU339" s="17">
        <v>337</v>
      </c>
      <c r="AV339" s="6">
        <v>0.60768999999999995</v>
      </c>
      <c r="AW339" s="19">
        <v>-1.9862</v>
      </c>
      <c r="AX339" s="6">
        <v>0.58389999999999997</v>
      </c>
      <c r="AY339" s="6">
        <v>123</v>
      </c>
    </row>
    <row r="340" spans="1:51" x14ac:dyDescent="0.25">
      <c r="A340" s="31" t="s">
        <v>132</v>
      </c>
      <c r="B340" s="32">
        <v>2</v>
      </c>
      <c r="C340" s="32">
        <v>4</v>
      </c>
      <c r="D340" s="32">
        <v>4</v>
      </c>
      <c r="E340" s="32">
        <v>16</v>
      </c>
      <c r="F340" s="2">
        <v>59.8</v>
      </c>
      <c r="G340">
        <v>66.248171058399492</v>
      </c>
      <c r="H340" t="s">
        <v>12</v>
      </c>
      <c r="AB340" s="17">
        <v>338</v>
      </c>
      <c r="AC340" s="6">
        <v>3.2123499999999998</v>
      </c>
      <c r="AD340" s="19">
        <v>-11.6295</v>
      </c>
      <c r="AE340" s="6">
        <v>3.0863999999999998</v>
      </c>
      <c r="AF340" s="6">
        <v>123</v>
      </c>
      <c r="AH340" s="17">
        <v>338</v>
      </c>
      <c r="AI340" s="6">
        <v>6.1093000000000002</v>
      </c>
      <c r="AJ340" s="19">
        <v>-11.6295</v>
      </c>
      <c r="AK340" s="6">
        <v>3.0863999999999998</v>
      </c>
      <c r="AL340" s="6">
        <v>123</v>
      </c>
      <c r="AO340" s="17">
        <v>338</v>
      </c>
      <c r="AP340" s="6">
        <v>1.1573100000000001</v>
      </c>
      <c r="AQ340" s="19">
        <v>-4.1117999999999997</v>
      </c>
      <c r="AR340" s="6">
        <v>0.5847</v>
      </c>
      <c r="AS340" s="6">
        <v>123</v>
      </c>
      <c r="AU340" s="17">
        <v>338</v>
      </c>
      <c r="AV340" s="6">
        <v>0.60853000000000002</v>
      </c>
      <c r="AW340" s="19">
        <v>-4.1117999999999997</v>
      </c>
      <c r="AX340" s="6">
        <v>0.5847</v>
      </c>
      <c r="AY340" s="6">
        <v>123</v>
      </c>
    </row>
    <row r="341" spans="1:51" x14ac:dyDescent="0.25">
      <c r="A341" s="31" t="s">
        <v>132</v>
      </c>
      <c r="B341" s="32">
        <v>2</v>
      </c>
      <c r="C341" s="32">
        <v>3</v>
      </c>
      <c r="D341" s="32">
        <v>4</v>
      </c>
      <c r="E341" s="32">
        <v>26</v>
      </c>
      <c r="F341" s="2" t="s">
        <v>12</v>
      </c>
      <c r="G341" t="s">
        <v>12</v>
      </c>
      <c r="H341" t="s">
        <v>12</v>
      </c>
      <c r="AB341" s="17">
        <v>339</v>
      </c>
      <c r="AC341" s="6">
        <v>3.1932</v>
      </c>
      <c r="AD341" s="19">
        <v>-7.3697999999999997</v>
      </c>
      <c r="AE341" s="6">
        <v>3.0680000000000001</v>
      </c>
      <c r="AF341" s="6">
        <v>123</v>
      </c>
      <c r="AH341" s="17">
        <v>339</v>
      </c>
      <c r="AI341" s="6">
        <v>6.0728</v>
      </c>
      <c r="AJ341" s="19">
        <v>-7.3697999999999997</v>
      </c>
      <c r="AK341" s="6">
        <v>3.0680000000000001</v>
      </c>
      <c r="AL341" s="6">
        <v>123</v>
      </c>
      <c r="AO341" s="17">
        <v>339</v>
      </c>
      <c r="AP341" s="6">
        <v>1.1457599999999999</v>
      </c>
      <c r="AQ341" s="19">
        <v>-2.6730999999999998</v>
      </c>
      <c r="AR341" s="6">
        <v>0.57879999999999998</v>
      </c>
      <c r="AS341" s="6">
        <v>123</v>
      </c>
      <c r="AU341" s="17">
        <v>339</v>
      </c>
      <c r="AV341" s="6">
        <v>0.60246</v>
      </c>
      <c r="AW341" s="19">
        <v>-2.6730999999999998</v>
      </c>
      <c r="AX341" s="6">
        <v>0.57879999999999998</v>
      </c>
      <c r="AY341" s="6">
        <v>123</v>
      </c>
    </row>
    <row r="342" spans="1:51" x14ac:dyDescent="0.25">
      <c r="A342" s="31" t="s">
        <v>132</v>
      </c>
      <c r="B342" s="32">
        <v>2</v>
      </c>
      <c r="C342" s="32">
        <v>2</v>
      </c>
      <c r="D342" s="32">
        <v>4</v>
      </c>
      <c r="E342" s="32">
        <v>14</v>
      </c>
      <c r="F342" s="2">
        <v>62.1</v>
      </c>
      <c r="G342">
        <v>70.813618430665827</v>
      </c>
      <c r="H342" t="s">
        <v>12</v>
      </c>
      <c r="AB342" s="17">
        <v>340</v>
      </c>
      <c r="AC342" s="6">
        <v>3.2000099999999998</v>
      </c>
      <c r="AD342" s="19">
        <v>-6.2704000000000004</v>
      </c>
      <c r="AE342" s="6">
        <v>3.0745</v>
      </c>
      <c r="AF342" s="6">
        <v>123</v>
      </c>
      <c r="AH342" s="17">
        <v>340</v>
      </c>
      <c r="AI342" s="6">
        <v>6.0857999999999999</v>
      </c>
      <c r="AJ342" s="19">
        <v>-6.2704000000000004</v>
      </c>
      <c r="AK342" s="6">
        <v>3.0745</v>
      </c>
      <c r="AL342" s="6">
        <v>123</v>
      </c>
      <c r="AO342" s="17">
        <v>340</v>
      </c>
      <c r="AP342" s="6">
        <v>1.14618</v>
      </c>
      <c r="AQ342" s="19">
        <v>-2.0034000000000001</v>
      </c>
      <c r="AR342" s="6">
        <v>0.57899999999999996</v>
      </c>
      <c r="AS342" s="6">
        <v>123</v>
      </c>
      <c r="AU342" s="17">
        <v>340</v>
      </c>
      <c r="AV342" s="6">
        <v>0.60267999999999999</v>
      </c>
      <c r="AW342" s="19">
        <v>-2.0034000000000001</v>
      </c>
      <c r="AX342" s="6">
        <v>0.57899999999999996</v>
      </c>
      <c r="AY342" s="6">
        <v>123</v>
      </c>
    </row>
    <row r="343" spans="1:51" x14ac:dyDescent="0.25">
      <c r="A343" s="31" t="s">
        <v>132</v>
      </c>
      <c r="B343" s="32">
        <v>2</v>
      </c>
      <c r="C343" s="32">
        <v>1</v>
      </c>
      <c r="D343" s="32">
        <v>4</v>
      </c>
      <c r="E343" s="32">
        <v>2</v>
      </c>
      <c r="F343" s="2">
        <v>58.7</v>
      </c>
      <c r="G343">
        <v>67.883399736983094</v>
      </c>
      <c r="H343" t="s">
        <v>12</v>
      </c>
      <c r="AB343" s="17">
        <v>341</v>
      </c>
      <c r="AC343" s="6">
        <v>3.2233700000000001</v>
      </c>
      <c r="AD343" s="19">
        <v>-10.417999999999999</v>
      </c>
      <c r="AE343" s="6">
        <v>3.097</v>
      </c>
      <c r="AF343" s="6">
        <v>123</v>
      </c>
      <c r="AH343" s="17">
        <v>341</v>
      </c>
      <c r="AI343" s="6">
        <v>6.1302000000000003</v>
      </c>
      <c r="AJ343" s="19">
        <v>-10.417999999999999</v>
      </c>
      <c r="AK343" s="6">
        <v>3.097</v>
      </c>
      <c r="AL343" s="6">
        <v>123</v>
      </c>
      <c r="AO343" s="17">
        <v>341</v>
      </c>
      <c r="AP343" s="6">
        <v>1.1643699999999999</v>
      </c>
      <c r="AQ343" s="19">
        <v>-2.9449000000000001</v>
      </c>
      <c r="AR343" s="6">
        <v>0.58819999999999995</v>
      </c>
      <c r="AS343" s="6">
        <v>123</v>
      </c>
      <c r="AU343" s="17">
        <v>341</v>
      </c>
      <c r="AV343" s="6">
        <v>0.61224000000000001</v>
      </c>
      <c r="AW343" s="19">
        <v>-2.9449000000000001</v>
      </c>
      <c r="AX343" s="6">
        <v>0.58819999999999995</v>
      </c>
      <c r="AY343" s="6">
        <v>123</v>
      </c>
    </row>
    <row r="344" spans="1:51" x14ac:dyDescent="0.25">
      <c r="A344" s="31" t="s">
        <v>132</v>
      </c>
      <c r="B344" s="32">
        <v>3</v>
      </c>
      <c r="C344" s="32">
        <v>1</v>
      </c>
      <c r="D344" s="32">
        <v>5</v>
      </c>
      <c r="E344" s="32">
        <v>34</v>
      </c>
      <c r="F344" s="2">
        <v>58.7</v>
      </c>
      <c r="G344">
        <v>68.320857333587625</v>
      </c>
      <c r="H344" t="s">
        <v>12</v>
      </c>
      <c r="AB344" s="17">
        <v>342</v>
      </c>
      <c r="AC344" s="6">
        <v>3.21306</v>
      </c>
      <c r="AD344" s="19">
        <v>-1.3726</v>
      </c>
      <c r="AE344" s="6">
        <v>3.0870000000000002</v>
      </c>
      <c r="AF344" s="6">
        <v>123</v>
      </c>
      <c r="AH344" s="17">
        <v>342</v>
      </c>
      <c r="AI344" s="6">
        <v>6.1105999999999998</v>
      </c>
      <c r="AJ344" s="19">
        <v>-1.3726</v>
      </c>
      <c r="AK344" s="6">
        <v>3.0870000000000002</v>
      </c>
      <c r="AL344" s="6">
        <v>123</v>
      </c>
      <c r="AO344" s="17">
        <v>342</v>
      </c>
      <c r="AP344" s="6">
        <v>1.1544300000000001</v>
      </c>
      <c r="AQ344" s="19">
        <v>-3.4969999999999999</v>
      </c>
      <c r="AR344" s="6">
        <v>0.58320000000000005</v>
      </c>
      <c r="AS344" s="6">
        <v>123</v>
      </c>
      <c r="AU344" s="17">
        <v>342</v>
      </c>
      <c r="AV344" s="6">
        <v>0.60702</v>
      </c>
      <c r="AW344" s="19">
        <v>-3.4969999999999999</v>
      </c>
      <c r="AX344" s="6">
        <v>0.58320000000000005</v>
      </c>
      <c r="AY344" s="6">
        <v>123</v>
      </c>
    </row>
    <row r="345" spans="1:51" x14ac:dyDescent="0.25">
      <c r="A345" s="31" t="s">
        <v>132</v>
      </c>
      <c r="B345" s="32">
        <v>3</v>
      </c>
      <c r="C345" s="32">
        <v>2</v>
      </c>
      <c r="D345" s="32">
        <v>5</v>
      </c>
      <c r="E345" s="32">
        <v>27</v>
      </c>
      <c r="F345" s="2">
        <v>60.8</v>
      </c>
      <c r="G345">
        <v>60.150761014686246</v>
      </c>
      <c r="H345" t="s">
        <v>12</v>
      </c>
      <c r="AB345" s="17">
        <v>343</v>
      </c>
      <c r="AC345" s="6">
        <v>3.21096</v>
      </c>
      <c r="AD345" s="19">
        <v>-7.5951000000000004</v>
      </c>
      <c r="AE345" s="6">
        <v>3.085</v>
      </c>
      <c r="AF345" s="6">
        <v>123</v>
      </c>
      <c r="AH345" s="17">
        <v>343</v>
      </c>
      <c r="AI345" s="6">
        <v>6.1066000000000003</v>
      </c>
      <c r="AJ345" s="19">
        <v>-7.5951000000000004</v>
      </c>
      <c r="AK345" s="6">
        <v>3.085</v>
      </c>
      <c r="AL345" s="6">
        <v>123</v>
      </c>
      <c r="AO345" s="17">
        <v>343</v>
      </c>
      <c r="AP345" s="6">
        <v>1.1556999999999999</v>
      </c>
      <c r="AQ345" s="19">
        <v>-3.4417</v>
      </c>
      <c r="AR345" s="6">
        <v>0.58389999999999997</v>
      </c>
      <c r="AS345" s="6">
        <v>123</v>
      </c>
      <c r="AU345" s="17">
        <v>343</v>
      </c>
      <c r="AV345" s="6">
        <v>0.60768999999999995</v>
      </c>
      <c r="AW345" s="19">
        <v>-3.4417</v>
      </c>
      <c r="AX345" s="6">
        <v>0.58389999999999997</v>
      </c>
      <c r="AY345" s="6">
        <v>123</v>
      </c>
    </row>
    <row r="346" spans="1:51" x14ac:dyDescent="0.25">
      <c r="A346" s="31" t="s">
        <v>132</v>
      </c>
      <c r="B346" s="32">
        <v>3</v>
      </c>
      <c r="C346" s="32">
        <v>3</v>
      </c>
      <c r="D346" s="32">
        <v>5</v>
      </c>
      <c r="E346" s="32">
        <v>20</v>
      </c>
      <c r="F346" s="2">
        <v>61.9</v>
      </c>
      <c r="G346">
        <v>73.600259393477018</v>
      </c>
      <c r="H346" t="s">
        <v>12</v>
      </c>
      <c r="AB346" s="17">
        <v>344</v>
      </c>
      <c r="AC346" s="6">
        <v>3.2075900000000002</v>
      </c>
      <c r="AD346" s="19">
        <v>-5.7462</v>
      </c>
      <c r="AE346" s="6">
        <v>3.0817999999999999</v>
      </c>
      <c r="AF346" s="6">
        <v>123</v>
      </c>
      <c r="AH346" s="17">
        <v>344</v>
      </c>
      <c r="AI346" s="6">
        <v>6.1002000000000001</v>
      </c>
      <c r="AJ346" s="19">
        <v>-5.7462</v>
      </c>
      <c r="AK346" s="6">
        <v>3.0817999999999999</v>
      </c>
      <c r="AL346" s="6">
        <v>123</v>
      </c>
      <c r="AO346" s="17">
        <v>344</v>
      </c>
      <c r="AP346" s="6">
        <v>1.1536</v>
      </c>
      <c r="AQ346" s="19">
        <v>-3.9014000000000002</v>
      </c>
      <c r="AR346" s="6">
        <v>0.58279999999999998</v>
      </c>
      <c r="AS346" s="6">
        <v>123</v>
      </c>
      <c r="AU346" s="17">
        <v>344</v>
      </c>
      <c r="AV346" s="6">
        <v>0.60658000000000001</v>
      </c>
      <c r="AW346" s="19">
        <v>-3.9014000000000002</v>
      </c>
      <c r="AX346" s="6">
        <v>0.58279999999999998</v>
      </c>
      <c r="AY346" s="6">
        <v>123</v>
      </c>
    </row>
    <row r="347" spans="1:51" x14ac:dyDescent="0.25">
      <c r="A347" s="31" t="s">
        <v>132</v>
      </c>
      <c r="B347" s="32">
        <v>3</v>
      </c>
      <c r="C347" s="32">
        <v>4</v>
      </c>
      <c r="D347" s="32">
        <v>5</v>
      </c>
      <c r="E347" s="32">
        <v>8</v>
      </c>
      <c r="F347" s="2">
        <v>62.1</v>
      </c>
      <c r="G347">
        <v>68.342383177570085</v>
      </c>
      <c r="H347" t="s">
        <v>12</v>
      </c>
      <c r="AB347" s="17">
        <v>345</v>
      </c>
      <c r="AC347" s="6">
        <v>3.2410000000000001</v>
      </c>
      <c r="AD347" s="6">
        <v>1.2063999999999999</v>
      </c>
      <c r="AE347" s="6">
        <v>3.1139000000000001</v>
      </c>
      <c r="AF347" s="6">
        <v>123</v>
      </c>
      <c r="AH347" s="17">
        <v>345</v>
      </c>
      <c r="AI347" s="6">
        <v>6.1638000000000002</v>
      </c>
      <c r="AJ347" s="6">
        <v>1.2063999999999999</v>
      </c>
      <c r="AK347" s="6">
        <v>3.1139000000000001</v>
      </c>
      <c r="AL347" s="6">
        <v>123</v>
      </c>
      <c r="AO347" s="17">
        <v>345</v>
      </c>
      <c r="AP347" s="6">
        <v>1.1700699999999999</v>
      </c>
      <c r="AQ347" s="19">
        <v>-1.5962000000000001</v>
      </c>
      <c r="AR347" s="6">
        <v>0.59109999999999996</v>
      </c>
      <c r="AS347" s="6">
        <v>123</v>
      </c>
      <c r="AU347" s="17">
        <v>345</v>
      </c>
      <c r="AV347" s="6">
        <v>0.61524000000000001</v>
      </c>
      <c r="AW347" s="19">
        <v>-1.5962000000000001</v>
      </c>
      <c r="AX347" s="6">
        <v>0.59109999999999996</v>
      </c>
      <c r="AY347" s="6">
        <v>123</v>
      </c>
    </row>
    <row r="348" spans="1:51" x14ac:dyDescent="0.25">
      <c r="A348" s="31" t="s">
        <v>132</v>
      </c>
      <c r="B348" s="32">
        <v>3</v>
      </c>
      <c r="C348" s="32">
        <v>5</v>
      </c>
      <c r="D348" s="32">
        <v>5</v>
      </c>
      <c r="E348" s="32">
        <v>23</v>
      </c>
      <c r="F348" s="2">
        <v>61.1</v>
      </c>
      <c r="G348">
        <v>68.768840358573328</v>
      </c>
      <c r="H348" t="s">
        <v>12</v>
      </c>
      <c r="AB348" s="17">
        <v>346</v>
      </c>
      <c r="AC348" s="6">
        <v>3.2313900000000002</v>
      </c>
      <c r="AD348" s="19">
        <v>-5.1212999999999997</v>
      </c>
      <c r="AE348" s="6">
        <v>3.1046999999999998</v>
      </c>
      <c r="AF348" s="6">
        <v>123</v>
      </c>
      <c r="AH348" s="17">
        <v>346</v>
      </c>
      <c r="AI348" s="6">
        <v>6.1455000000000002</v>
      </c>
      <c r="AJ348" s="19">
        <v>-5.1212999999999997</v>
      </c>
      <c r="AK348" s="6">
        <v>3.1046999999999998</v>
      </c>
      <c r="AL348" s="6">
        <v>123</v>
      </c>
      <c r="AO348" s="17">
        <v>346</v>
      </c>
      <c r="AP348" s="6">
        <v>1.1569799999999999</v>
      </c>
      <c r="AQ348" s="19">
        <v>-3.9586000000000001</v>
      </c>
      <c r="AR348" s="6">
        <v>0.58450000000000002</v>
      </c>
      <c r="AS348" s="6">
        <v>123</v>
      </c>
      <c r="AU348" s="17">
        <v>346</v>
      </c>
      <c r="AV348" s="6">
        <v>0.60836000000000001</v>
      </c>
      <c r="AW348" s="19">
        <v>-3.9586000000000001</v>
      </c>
      <c r="AX348" s="6">
        <v>0.58450000000000002</v>
      </c>
      <c r="AY348" s="6">
        <v>123</v>
      </c>
    </row>
    <row r="349" spans="1:51" x14ac:dyDescent="0.25">
      <c r="A349" s="31" t="s">
        <v>132</v>
      </c>
      <c r="B349" s="32">
        <v>3</v>
      </c>
      <c r="C349" s="32">
        <v>6</v>
      </c>
      <c r="D349" s="32">
        <v>5</v>
      </c>
      <c r="E349" s="32">
        <v>37</v>
      </c>
      <c r="F349" s="2">
        <v>61.3</v>
      </c>
      <c r="G349">
        <v>70.220890711424772</v>
      </c>
      <c r="H349" t="s">
        <v>12</v>
      </c>
      <c r="AB349" s="17">
        <v>347</v>
      </c>
      <c r="AC349" s="6">
        <v>3.21373</v>
      </c>
      <c r="AD349" s="6">
        <v>5.6684000000000001</v>
      </c>
      <c r="AE349" s="6">
        <v>3.0876999999999999</v>
      </c>
      <c r="AF349" s="6">
        <v>123</v>
      </c>
      <c r="AH349" s="17">
        <v>347</v>
      </c>
      <c r="AI349" s="6">
        <v>6.1119000000000003</v>
      </c>
      <c r="AJ349" s="6">
        <v>5.6684000000000001</v>
      </c>
      <c r="AK349" s="6">
        <v>3.0876999999999999</v>
      </c>
      <c r="AL349" s="6">
        <v>123</v>
      </c>
      <c r="AO349" s="17">
        <v>347</v>
      </c>
      <c r="AP349" s="6">
        <v>1.1604000000000001</v>
      </c>
      <c r="AQ349" s="19">
        <v>-1.2817000000000001</v>
      </c>
      <c r="AR349" s="6">
        <v>0.58620000000000005</v>
      </c>
      <c r="AS349" s="6">
        <v>123</v>
      </c>
      <c r="AU349" s="17">
        <v>347</v>
      </c>
      <c r="AV349" s="6">
        <v>0.61016000000000004</v>
      </c>
      <c r="AW349" s="19">
        <v>-1.2817000000000001</v>
      </c>
      <c r="AX349" s="6">
        <v>0.58620000000000005</v>
      </c>
      <c r="AY349" s="6">
        <v>123</v>
      </c>
    </row>
    <row r="350" spans="1:51" x14ac:dyDescent="0.25">
      <c r="A350" s="31" t="s">
        <v>132</v>
      </c>
      <c r="B350" s="32">
        <v>3</v>
      </c>
      <c r="C350" s="32">
        <v>7</v>
      </c>
      <c r="D350" s="32">
        <v>5</v>
      </c>
      <c r="E350" s="32">
        <v>26</v>
      </c>
      <c r="F350" s="2">
        <v>61.7</v>
      </c>
      <c r="G350">
        <v>77.090844936105285</v>
      </c>
      <c r="H350" t="s">
        <v>12</v>
      </c>
      <c r="AB350" s="17">
        <v>348</v>
      </c>
      <c r="AC350" s="6">
        <v>3.2016300000000002</v>
      </c>
      <c r="AD350" s="6">
        <v>3.4413999999999998</v>
      </c>
      <c r="AE350" s="6">
        <v>3.0760999999999998</v>
      </c>
      <c r="AF350" s="6">
        <v>123</v>
      </c>
      <c r="AH350" s="17">
        <v>348</v>
      </c>
      <c r="AI350" s="6">
        <v>6.0888999999999998</v>
      </c>
      <c r="AJ350" s="6">
        <v>3.4413999999999998</v>
      </c>
      <c r="AK350" s="6">
        <v>3.0760999999999998</v>
      </c>
      <c r="AL350" s="6">
        <v>123</v>
      </c>
      <c r="AO350" s="17">
        <v>348</v>
      </c>
      <c r="AP350" s="6">
        <v>1.1483399999999999</v>
      </c>
      <c r="AQ350" s="19">
        <v>-1.4845999999999999</v>
      </c>
      <c r="AR350" s="6">
        <v>0.58009999999999995</v>
      </c>
      <c r="AS350" s="6">
        <v>123</v>
      </c>
      <c r="AU350" s="17">
        <v>348</v>
      </c>
      <c r="AV350" s="6">
        <v>0.60380999999999996</v>
      </c>
      <c r="AW350" s="19">
        <v>-1.4845999999999999</v>
      </c>
      <c r="AX350" s="6">
        <v>0.58009999999999995</v>
      </c>
      <c r="AY350" s="6">
        <v>123</v>
      </c>
    </row>
    <row r="351" spans="1:51" x14ac:dyDescent="0.25">
      <c r="A351" s="31" t="s">
        <v>132</v>
      </c>
      <c r="B351" s="32">
        <v>3</v>
      </c>
      <c r="C351" s="32">
        <v>8</v>
      </c>
      <c r="D351" s="32">
        <v>5</v>
      </c>
      <c r="E351" s="32">
        <v>13</v>
      </c>
      <c r="F351" s="2">
        <v>62.9</v>
      </c>
      <c r="G351">
        <v>66.590387182910547</v>
      </c>
      <c r="H351" t="s">
        <v>12</v>
      </c>
      <c r="AB351" s="17">
        <v>349</v>
      </c>
      <c r="AC351" s="6">
        <v>3.21387</v>
      </c>
      <c r="AD351" s="19">
        <v>-5.5088999999999997</v>
      </c>
      <c r="AE351" s="6">
        <v>3.0878000000000001</v>
      </c>
      <c r="AF351" s="6">
        <v>123</v>
      </c>
      <c r="AH351" s="17">
        <v>349</v>
      </c>
      <c r="AI351" s="6">
        <v>6.1121999999999996</v>
      </c>
      <c r="AJ351" s="19">
        <v>-5.5088999999999997</v>
      </c>
      <c r="AK351" s="6">
        <v>3.0878000000000001</v>
      </c>
      <c r="AL351" s="6">
        <v>123</v>
      </c>
      <c r="AO351" s="17">
        <v>349</v>
      </c>
      <c r="AP351" s="6">
        <v>1.1553199999999999</v>
      </c>
      <c r="AQ351" s="19">
        <v>-2.8289</v>
      </c>
      <c r="AR351" s="6">
        <v>0.5837</v>
      </c>
      <c r="AS351" s="6">
        <v>123</v>
      </c>
      <c r="AU351" s="17">
        <v>349</v>
      </c>
      <c r="AV351" s="6">
        <v>0.60748999999999997</v>
      </c>
      <c r="AW351" s="19">
        <v>-2.8289</v>
      </c>
      <c r="AX351" s="6">
        <v>0.5837</v>
      </c>
      <c r="AY351" s="6">
        <v>123</v>
      </c>
    </row>
    <row r="352" spans="1:51" x14ac:dyDescent="0.25">
      <c r="A352" s="31" t="s">
        <v>132</v>
      </c>
      <c r="B352" s="32">
        <v>3</v>
      </c>
      <c r="C352" s="32">
        <v>9</v>
      </c>
      <c r="D352" s="32">
        <v>5</v>
      </c>
      <c r="E352" s="32">
        <v>3</v>
      </c>
      <c r="F352" s="2">
        <v>63.4</v>
      </c>
      <c r="G352">
        <v>65.452585828724011</v>
      </c>
      <c r="H352" t="s">
        <v>12</v>
      </c>
      <c r="AB352" s="17">
        <v>350</v>
      </c>
      <c r="AC352" s="6">
        <v>3.2148599999999998</v>
      </c>
      <c r="AD352" s="19">
        <v>-3.0415000000000001</v>
      </c>
      <c r="AE352" s="6">
        <v>3.0888</v>
      </c>
      <c r="AF352" s="6">
        <v>123</v>
      </c>
      <c r="AH352" s="17">
        <v>350</v>
      </c>
      <c r="AI352" s="6">
        <v>6.1139999999999999</v>
      </c>
      <c r="AJ352" s="19">
        <v>-3.0415000000000001</v>
      </c>
      <c r="AK352" s="6">
        <v>3.0888</v>
      </c>
      <c r="AL352" s="6">
        <v>123</v>
      </c>
      <c r="AO352" s="17">
        <v>350</v>
      </c>
      <c r="AP352" s="6">
        <v>1.1543099999999999</v>
      </c>
      <c r="AQ352" s="19">
        <v>-2.6181999999999999</v>
      </c>
      <c r="AR352" s="6">
        <v>0.58320000000000005</v>
      </c>
      <c r="AS352" s="6">
        <v>123</v>
      </c>
      <c r="AU352" s="17">
        <v>350</v>
      </c>
      <c r="AV352" s="6">
        <v>0.60696000000000006</v>
      </c>
      <c r="AW352" s="19">
        <v>-2.6181999999999999</v>
      </c>
      <c r="AX352" s="6">
        <v>0.58320000000000005</v>
      </c>
      <c r="AY352" s="6">
        <v>123</v>
      </c>
    </row>
    <row r="353" spans="1:51" x14ac:dyDescent="0.25">
      <c r="A353" s="31" t="s">
        <v>132</v>
      </c>
      <c r="B353" s="32">
        <v>3</v>
      </c>
      <c r="C353" s="32">
        <v>10</v>
      </c>
      <c r="D353" s="32">
        <v>5</v>
      </c>
      <c r="E353" s="32">
        <v>5</v>
      </c>
      <c r="F353" s="2">
        <v>62.2</v>
      </c>
      <c r="G353">
        <v>65.055490654205599</v>
      </c>
      <c r="H353" t="s">
        <v>12</v>
      </c>
      <c r="AB353" s="17">
        <v>351</v>
      </c>
      <c r="AC353" s="6">
        <v>5.1202100000000002</v>
      </c>
      <c r="AD353" s="6">
        <v>5.9141000000000004</v>
      </c>
      <c r="AE353" s="6">
        <v>4.9194000000000004</v>
      </c>
      <c r="AF353" s="6">
        <v>123</v>
      </c>
      <c r="AH353" s="17">
        <v>351</v>
      </c>
      <c r="AI353" s="6">
        <v>9.7376000000000005</v>
      </c>
      <c r="AJ353" s="6">
        <v>5.9141000000000004</v>
      </c>
      <c r="AK353" s="6">
        <v>4.9194000000000004</v>
      </c>
      <c r="AL353" s="6">
        <v>123</v>
      </c>
      <c r="AO353" s="17">
        <v>351</v>
      </c>
      <c r="AP353" s="6">
        <v>1.81779</v>
      </c>
      <c r="AQ353" s="19">
        <v>-2.1009000000000002</v>
      </c>
      <c r="AR353" s="6">
        <v>0.91830000000000001</v>
      </c>
      <c r="AS353" s="6">
        <v>123</v>
      </c>
      <c r="AU353" s="17">
        <v>351</v>
      </c>
      <c r="AV353" s="6">
        <v>0.95582</v>
      </c>
      <c r="AW353" s="19">
        <v>-2.1009000000000002</v>
      </c>
      <c r="AX353" s="6">
        <v>0.91830000000000001</v>
      </c>
      <c r="AY353" s="6">
        <v>123</v>
      </c>
    </row>
    <row r="354" spans="1:51" x14ac:dyDescent="0.25">
      <c r="A354" s="31" t="s">
        <v>132</v>
      </c>
      <c r="B354" s="32">
        <v>3</v>
      </c>
      <c r="C354" s="32">
        <v>11</v>
      </c>
      <c r="D354" s="32">
        <v>5</v>
      </c>
      <c r="E354" s="32">
        <v>29</v>
      </c>
      <c r="F354" s="2">
        <v>62</v>
      </c>
      <c r="G354">
        <v>62.430423421705129</v>
      </c>
      <c r="H354" t="s">
        <v>12</v>
      </c>
      <c r="AB354" s="17">
        <v>352</v>
      </c>
      <c r="AC354" s="6">
        <v>3.2167400000000002</v>
      </c>
      <c r="AD354" s="19">
        <v>-13.956799999999999</v>
      </c>
      <c r="AE354" s="6">
        <v>3.0905999999999998</v>
      </c>
      <c r="AF354" s="6">
        <v>123</v>
      </c>
      <c r="AH354" s="17">
        <v>352</v>
      </c>
      <c r="AI354" s="6">
        <v>6.1176000000000004</v>
      </c>
      <c r="AJ354" s="19">
        <v>-13.956799999999999</v>
      </c>
      <c r="AK354" s="6">
        <v>3.0905999999999998</v>
      </c>
      <c r="AL354" s="6">
        <v>123</v>
      </c>
      <c r="AO354" s="17">
        <v>352</v>
      </c>
      <c r="AP354" s="6">
        <v>1.14561</v>
      </c>
      <c r="AQ354" s="19">
        <v>-5.0026999999999999</v>
      </c>
      <c r="AR354" s="6">
        <v>0.57879999999999998</v>
      </c>
      <c r="AS354" s="6">
        <v>123</v>
      </c>
      <c r="AU354" s="17">
        <v>352</v>
      </c>
      <c r="AV354" s="6">
        <v>0.60238000000000003</v>
      </c>
      <c r="AW354" s="19">
        <v>-5.0026999999999999</v>
      </c>
      <c r="AX354" s="6">
        <v>0.57879999999999998</v>
      </c>
      <c r="AY354" s="6">
        <v>123</v>
      </c>
    </row>
    <row r="355" spans="1:51" x14ac:dyDescent="0.25">
      <c r="A355" s="31" t="s">
        <v>132</v>
      </c>
      <c r="B355" s="32">
        <v>3</v>
      </c>
      <c r="C355" s="32">
        <v>12</v>
      </c>
      <c r="D355" s="32">
        <v>5</v>
      </c>
      <c r="E355" s="32">
        <v>9</v>
      </c>
      <c r="F355" s="2" t="s">
        <v>12</v>
      </c>
      <c r="G355">
        <v>60.12399532710279</v>
      </c>
      <c r="H355" t="s">
        <v>12</v>
      </c>
      <c r="AB355" s="17">
        <v>353</v>
      </c>
      <c r="AC355" s="6">
        <v>3.1977699999999998</v>
      </c>
      <c r="AD355" s="19">
        <v>-5.4161999999999999</v>
      </c>
      <c r="AE355" s="6">
        <v>3.0722999999999998</v>
      </c>
      <c r="AF355" s="6">
        <v>123</v>
      </c>
      <c r="AH355" s="17">
        <v>353</v>
      </c>
      <c r="AI355" s="6">
        <v>6.0815000000000001</v>
      </c>
      <c r="AJ355" s="19">
        <v>-5.4161999999999999</v>
      </c>
      <c r="AK355" s="6">
        <v>3.0722999999999998</v>
      </c>
      <c r="AL355" s="6">
        <v>123</v>
      </c>
      <c r="AO355" s="17">
        <v>353</v>
      </c>
      <c r="AP355" s="6">
        <v>1.1411899999999999</v>
      </c>
      <c r="AQ355" s="19">
        <v>-3.5236000000000001</v>
      </c>
      <c r="AR355" s="6">
        <v>0.57650000000000001</v>
      </c>
      <c r="AS355" s="6">
        <v>123</v>
      </c>
      <c r="AU355" s="17">
        <v>353</v>
      </c>
      <c r="AV355" s="6">
        <v>0.60006000000000004</v>
      </c>
      <c r="AW355" s="19">
        <v>-3.5236000000000001</v>
      </c>
      <c r="AX355" s="6">
        <v>0.57650000000000001</v>
      </c>
      <c r="AY355" s="6">
        <v>123</v>
      </c>
    </row>
    <row r="356" spans="1:51" x14ac:dyDescent="0.25">
      <c r="A356" s="31" t="s">
        <v>132</v>
      </c>
      <c r="B356" s="32">
        <v>3</v>
      </c>
      <c r="C356" s="32">
        <v>13</v>
      </c>
      <c r="D356" s="32">
        <v>5</v>
      </c>
      <c r="E356" s="32">
        <v>4</v>
      </c>
      <c r="F356" s="2">
        <v>58.7</v>
      </c>
      <c r="G356">
        <v>64.97859240892619</v>
      </c>
      <c r="H356" t="s">
        <v>12</v>
      </c>
      <c r="AB356" s="17">
        <v>354</v>
      </c>
      <c r="AC356" s="6">
        <v>3.1920799999999998</v>
      </c>
      <c r="AD356" s="19">
        <v>-10.5144</v>
      </c>
      <c r="AE356" s="6">
        <v>3.0669</v>
      </c>
      <c r="AF356" s="6">
        <v>123</v>
      </c>
      <c r="AH356" s="17">
        <v>354</v>
      </c>
      <c r="AI356" s="6">
        <v>6.0707000000000004</v>
      </c>
      <c r="AJ356" s="19">
        <v>-10.5144</v>
      </c>
      <c r="AK356" s="6">
        <v>3.0669</v>
      </c>
      <c r="AL356" s="6">
        <v>123</v>
      </c>
      <c r="AO356" s="17">
        <v>354</v>
      </c>
      <c r="AP356" s="6">
        <v>1.13541</v>
      </c>
      <c r="AQ356" s="19">
        <v>-3.9539</v>
      </c>
      <c r="AR356" s="6">
        <v>0.5736</v>
      </c>
      <c r="AS356" s="6">
        <v>123</v>
      </c>
      <c r="AU356" s="17">
        <v>354</v>
      </c>
      <c r="AV356" s="6">
        <v>0.59702</v>
      </c>
      <c r="AW356" s="19">
        <v>-3.9539</v>
      </c>
      <c r="AX356" s="6">
        <v>0.5736</v>
      </c>
      <c r="AY356" s="6">
        <v>123</v>
      </c>
    </row>
    <row r="357" spans="1:51" x14ac:dyDescent="0.25">
      <c r="A357" s="31" t="s">
        <v>132</v>
      </c>
      <c r="B357" s="32">
        <v>3</v>
      </c>
      <c r="C357" s="32">
        <v>14</v>
      </c>
      <c r="D357" s="32">
        <v>5</v>
      </c>
      <c r="E357" s="32">
        <v>14</v>
      </c>
      <c r="F357" s="2">
        <v>62.3</v>
      </c>
      <c r="G357">
        <v>66.783930955559782</v>
      </c>
      <c r="H357" t="s">
        <v>12</v>
      </c>
      <c r="AB357" s="17">
        <v>355</v>
      </c>
      <c r="AC357" s="6">
        <v>3.2006700000000001</v>
      </c>
      <c r="AD357" s="19">
        <v>-19.116399999999999</v>
      </c>
      <c r="AE357" s="6">
        <v>3.0750999999999999</v>
      </c>
      <c r="AF357" s="6">
        <v>123</v>
      </c>
      <c r="AH357" s="17">
        <v>355</v>
      </c>
      <c r="AI357" s="6">
        <v>6.0871000000000004</v>
      </c>
      <c r="AJ357" s="19">
        <v>-19.116399999999999</v>
      </c>
      <c r="AK357" s="6">
        <v>3.0750999999999999</v>
      </c>
      <c r="AL357" s="6">
        <v>123</v>
      </c>
      <c r="AO357" s="17">
        <v>355</v>
      </c>
      <c r="AP357" s="6">
        <v>1.1427700000000001</v>
      </c>
      <c r="AQ357" s="19">
        <v>-4.8234000000000004</v>
      </c>
      <c r="AR357" s="6">
        <v>0.57730000000000004</v>
      </c>
      <c r="AS357" s="6">
        <v>123</v>
      </c>
      <c r="AU357" s="17">
        <v>355</v>
      </c>
      <c r="AV357" s="6">
        <v>0.60089000000000004</v>
      </c>
      <c r="AW357" s="19">
        <v>-4.8234000000000004</v>
      </c>
      <c r="AX357" s="6">
        <v>0.57730000000000004</v>
      </c>
      <c r="AY357" s="6">
        <v>123</v>
      </c>
    </row>
    <row r="358" spans="1:51" x14ac:dyDescent="0.25">
      <c r="A358" s="31" t="s">
        <v>132</v>
      </c>
      <c r="B358" s="32">
        <v>3</v>
      </c>
      <c r="C358" s="32">
        <v>15</v>
      </c>
      <c r="D358" s="32">
        <v>5</v>
      </c>
      <c r="E358" s="32">
        <v>24</v>
      </c>
      <c r="F358" s="2">
        <v>61</v>
      </c>
      <c r="G358">
        <v>66.521938775510208</v>
      </c>
      <c r="H358" t="s">
        <v>12</v>
      </c>
      <c r="AB358" s="17">
        <v>356</v>
      </c>
      <c r="AC358" s="6">
        <v>3.1983100000000002</v>
      </c>
      <c r="AD358" s="19">
        <v>-14.576700000000001</v>
      </c>
      <c r="AE358" s="6">
        <v>3.0729000000000002</v>
      </c>
      <c r="AF358" s="6">
        <v>123</v>
      </c>
      <c r="AH358" s="17">
        <v>356</v>
      </c>
      <c r="AI358" s="6">
        <v>6.0826000000000002</v>
      </c>
      <c r="AJ358" s="19">
        <v>-14.576700000000001</v>
      </c>
      <c r="AK358" s="6">
        <v>3.0729000000000002</v>
      </c>
      <c r="AL358" s="6">
        <v>123</v>
      </c>
      <c r="AO358" s="17">
        <v>356</v>
      </c>
      <c r="AP358" s="6">
        <v>1.1407400000000001</v>
      </c>
      <c r="AQ358" s="19">
        <v>-2.694</v>
      </c>
      <c r="AR358" s="6">
        <v>0.57630000000000003</v>
      </c>
      <c r="AS358" s="6">
        <v>123</v>
      </c>
      <c r="AU358" s="17">
        <v>356</v>
      </c>
      <c r="AV358" s="6">
        <v>0.59982000000000002</v>
      </c>
      <c r="AW358" s="19">
        <v>-2.694</v>
      </c>
      <c r="AX358" s="6">
        <v>0.57630000000000003</v>
      </c>
      <c r="AY358" s="6">
        <v>123</v>
      </c>
    </row>
    <row r="359" spans="1:51" x14ac:dyDescent="0.25">
      <c r="A359" s="31" t="s">
        <v>132</v>
      </c>
      <c r="B359" s="32">
        <v>3</v>
      </c>
      <c r="C359" s="32">
        <v>16</v>
      </c>
      <c r="D359" s="32">
        <v>5</v>
      </c>
      <c r="E359" s="32">
        <v>41</v>
      </c>
      <c r="F359" s="2">
        <v>61.3</v>
      </c>
      <c r="G359">
        <v>64.274753957657822</v>
      </c>
      <c r="H359" t="s">
        <v>12</v>
      </c>
      <c r="AB359" s="17">
        <v>357</v>
      </c>
      <c r="AC359" s="6">
        <v>3.2054800000000001</v>
      </c>
      <c r="AD359" s="19">
        <v>-13.769</v>
      </c>
      <c r="AE359" s="6">
        <v>3.0798000000000001</v>
      </c>
      <c r="AF359" s="6">
        <v>123</v>
      </c>
      <c r="AH359" s="17">
        <v>357</v>
      </c>
      <c r="AI359" s="6">
        <v>6.0961999999999996</v>
      </c>
      <c r="AJ359" s="19">
        <v>-13.769</v>
      </c>
      <c r="AK359" s="6">
        <v>3.0798000000000001</v>
      </c>
      <c r="AL359" s="6">
        <v>123</v>
      </c>
      <c r="AO359" s="17">
        <v>357</v>
      </c>
      <c r="AP359" s="6">
        <v>1.14269</v>
      </c>
      <c r="AQ359" s="19">
        <v>-5.2964000000000002</v>
      </c>
      <c r="AR359" s="6">
        <v>0.57730000000000004</v>
      </c>
      <c r="AS359" s="6">
        <v>123</v>
      </c>
      <c r="AU359" s="17">
        <v>357</v>
      </c>
      <c r="AV359" s="6">
        <v>0.60085</v>
      </c>
      <c r="AW359" s="19">
        <v>-5.2964000000000002</v>
      </c>
      <c r="AX359" s="6">
        <v>0.57730000000000004</v>
      </c>
      <c r="AY359" s="6">
        <v>123</v>
      </c>
    </row>
    <row r="360" spans="1:51" x14ac:dyDescent="0.25">
      <c r="A360" s="31" t="s">
        <v>132</v>
      </c>
      <c r="B360" s="32">
        <v>3</v>
      </c>
      <c r="C360" s="32">
        <v>17</v>
      </c>
      <c r="D360" s="32">
        <v>5</v>
      </c>
      <c r="E360" s="32">
        <v>25</v>
      </c>
      <c r="F360" s="2">
        <v>60.4</v>
      </c>
      <c r="G360">
        <v>68.051406637421323</v>
      </c>
      <c r="H360" t="s">
        <v>12</v>
      </c>
      <c r="AB360" s="17">
        <v>358</v>
      </c>
      <c r="AC360" s="6">
        <v>3.2093799999999999</v>
      </c>
      <c r="AD360" s="19">
        <v>-15.55</v>
      </c>
      <c r="AE360" s="6">
        <v>3.0834999999999999</v>
      </c>
      <c r="AF360" s="6">
        <v>123</v>
      </c>
      <c r="AH360" s="17">
        <v>358</v>
      </c>
      <c r="AI360" s="6">
        <v>6.1036000000000001</v>
      </c>
      <c r="AJ360" s="19">
        <v>-15.55</v>
      </c>
      <c r="AK360" s="6">
        <v>3.0834999999999999</v>
      </c>
      <c r="AL360" s="6">
        <v>123</v>
      </c>
      <c r="AO360" s="17">
        <v>358</v>
      </c>
      <c r="AP360" s="6">
        <v>1.1410499999999999</v>
      </c>
      <c r="AQ360" s="19">
        <v>-3.4575999999999998</v>
      </c>
      <c r="AR360" s="6">
        <v>0.57650000000000001</v>
      </c>
      <c r="AS360" s="6">
        <v>123</v>
      </c>
      <c r="AU360" s="17">
        <v>358</v>
      </c>
      <c r="AV360" s="6">
        <v>0.59999000000000002</v>
      </c>
      <c r="AW360" s="19">
        <v>-3.4575999999999998</v>
      </c>
      <c r="AX360" s="6">
        <v>0.57650000000000001</v>
      </c>
      <c r="AY360" s="6">
        <v>123</v>
      </c>
    </row>
    <row r="361" spans="1:51" x14ac:dyDescent="0.25">
      <c r="A361" s="31" t="s">
        <v>132</v>
      </c>
      <c r="B361" s="32">
        <v>3</v>
      </c>
      <c r="C361" s="32">
        <v>18</v>
      </c>
      <c r="D361" s="32">
        <v>5</v>
      </c>
      <c r="E361" s="32">
        <v>30</v>
      </c>
      <c r="F361" s="2">
        <v>61.2</v>
      </c>
      <c r="G361">
        <v>61.069669082586302</v>
      </c>
      <c r="H361" t="s">
        <v>12</v>
      </c>
      <c r="AB361" s="17">
        <v>359</v>
      </c>
      <c r="AC361" s="6">
        <v>3.22478</v>
      </c>
      <c r="AD361" s="19">
        <v>-5.6075999999999997</v>
      </c>
      <c r="AE361" s="6">
        <v>3.0983000000000001</v>
      </c>
      <c r="AF361" s="6">
        <v>123</v>
      </c>
      <c r="AH361" s="17">
        <v>359</v>
      </c>
      <c r="AI361" s="6">
        <v>6.1329000000000002</v>
      </c>
      <c r="AJ361" s="19">
        <v>-5.6075999999999997</v>
      </c>
      <c r="AK361" s="6">
        <v>3.0983000000000001</v>
      </c>
      <c r="AL361" s="6">
        <v>123</v>
      </c>
      <c r="AO361" s="17">
        <v>359</v>
      </c>
      <c r="AP361" s="6">
        <v>1.15252</v>
      </c>
      <c r="AQ361" s="19">
        <v>-2.9142000000000001</v>
      </c>
      <c r="AR361" s="6">
        <v>0.58220000000000005</v>
      </c>
      <c r="AS361" s="6">
        <v>123</v>
      </c>
      <c r="AU361" s="17">
        <v>359</v>
      </c>
      <c r="AV361" s="6">
        <v>0.60602</v>
      </c>
      <c r="AW361" s="19">
        <v>-2.9142000000000001</v>
      </c>
      <c r="AX361" s="6">
        <v>0.58220000000000005</v>
      </c>
      <c r="AY361" s="6">
        <v>123</v>
      </c>
    </row>
    <row r="362" spans="1:51" x14ac:dyDescent="0.25">
      <c r="A362" s="31" t="s">
        <v>132</v>
      </c>
      <c r="B362" s="32">
        <v>3</v>
      </c>
      <c r="C362" s="32">
        <v>19</v>
      </c>
      <c r="D362" s="32">
        <v>5</v>
      </c>
      <c r="E362" s="32">
        <v>1</v>
      </c>
      <c r="F362" s="12">
        <v>59.9</v>
      </c>
      <c r="G362">
        <v>67.374097844745378</v>
      </c>
      <c r="H362" t="s">
        <v>12</v>
      </c>
      <c r="AB362" s="17">
        <v>360</v>
      </c>
      <c r="AC362" s="6">
        <v>3.2096100000000001</v>
      </c>
      <c r="AD362" s="19">
        <v>-17.161100000000001</v>
      </c>
      <c r="AE362" s="6">
        <v>3.0836999999999999</v>
      </c>
      <c r="AF362" s="6">
        <v>123</v>
      </c>
      <c r="AH362" s="17">
        <v>360</v>
      </c>
      <c r="AI362" s="6">
        <v>6.1040999999999999</v>
      </c>
      <c r="AJ362" s="19">
        <v>-17.161100000000001</v>
      </c>
      <c r="AK362" s="6">
        <v>3.0836999999999999</v>
      </c>
      <c r="AL362" s="6">
        <v>123</v>
      </c>
      <c r="AO362" s="17">
        <v>360</v>
      </c>
      <c r="AP362" s="6">
        <v>1.1523600000000001</v>
      </c>
      <c r="AQ362" s="19">
        <v>-3.5954999999999999</v>
      </c>
      <c r="AR362" s="6">
        <v>0.58220000000000005</v>
      </c>
      <c r="AS362" s="6">
        <v>123</v>
      </c>
      <c r="AU362" s="17">
        <v>360</v>
      </c>
      <c r="AV362" s="6">
        <v>0.60592999999999997</v>
      </c>
      <c r="AW362" s="19">
        <v>-3.5954999999999999</v>
      </c>
      <c r="AX362" s="6">
        <v>0.58220000000000005</v>
      </c>
      <c r="AY362" s="6">
        <v>123</v>
      </c>
    </row>
    <row r="363" spans="1:51" x14ac:dyDescent="0.25">
      <c r="A363" s="31" t="s">
        <v>132</v>
      </c>
      <c r="B363" s="32">
        <v>3</v>
      </c>
      <c r="C363" s="32">
        <v>20</v>
      </c>
      <c r="D363" s="32">
        <v>5</v>
      </c>
      <c r="E363" s="32">
        <v>35</v>
      </c>
      <c r="F363" s="12">
        <v>60.6</v>
      </c>
      <c r="G363">
        <v>65.262016021361802</v>
      </c>
      <c r="H363" t="s">
        <v>12</v>
      </c>
      <c r="AB363" s="17">
        <v>361</v>
      </c>
      <c r="AC363" s="6">
        <v>3.1836099999999998</v>
      </c>
      <c r="AD363" s="19">
        <v>-13.4893</v>
      </c>
      <c r="AE363" s="6">
        <v>3.0588000000000002</v>
      </c>
      <c r="AF363" s="6">
        <v>123</v>
      </c>
      <c r="AH363" s="17">
        <v>361</v>
      </c>
      <c r="AI363" s="6">
        <v>6.0545999999999998</v>
      </c>
      <c r="AJ363" s="19">
        <v>-13.4893</v>
      </c>
      <c r="AK363" s="6">
        <v>3.0588000000000002</v>
      </c>
      <c r="AL363" s="6">
        <v>123</v>
      </c>
      <c r="AO363" s="17">
        <v>361</v>
      </c>
      <c r="AP363" s="6">
        <v>1.13398</v>
      </c>
      <c r="AQ363" s="19">
        <v>-3.7120000000000002</v>
      </c>
      <c r="AR363" s="6">
        <v>0.57289999999999996</v>
      </c>
      <c r="AS363" s="6">
        <v>123</v>
      </c>
      <c r="AU363" s="17">
        <v>361</v>
      </c>
      <c r="AV363" s="6">
        <v>0.59626999999999997</v>
      </c>
      <c r="AW363" s="19">
        <v>-3.7120000000000002</v>
      </c>
      <c r="AX363" s="6">
        <v>0.57289999999999996</v>
      </c>
      <c r="AY363" s="6">
        <v>123</v>
      </c>
    </row>
    <row r="364" spans="1:51" x14ac:dyDescent="0.25">
      <c r="A364" s="31" t="s">
        <v>132</v>
      </c>
      <c r="B364" s="32">
        <v>3</v>
      </c>
      <c r="C364" s="32">
        <v>21</v>
      </c>
      <c r="D364" s="32">
        <v>5</v>
      </c>
      <c r="E364" s="32">
        <v>11</v>
      </c>
      <c r="F364" s="12">
        <v>63</v>
      </c>
      <c r="G364">
        <v>69.602022696929239</v>
      </c>
      <c r="H364" t="s">
        <v>12</v>
      </c>
      <c r="AB364" s="17">
        <v>362</v>
      </c>
      <c r="AC364" s="6">
        <v>3.20411</v>
      </c>
      <c r="AD364" s="19">
        <v>-11.0031</v>
      </c>
      <c r="AE364" s="6">
        <v>3.0783999999999998</v>
      </c>
      <c r="AF364" s="6">
        <v>123</v>
      </c>
      <c r="AH364" s="17">
        <v>362</v>
      </c>
      <c r="AI364" s="6">
        <v>6.0936000000000003</v>
      </c>
      <c r="AJ364" s="19">
        <v>-11.0031</v>
      </c>
      <c r="AK364" s="6">
        <v>3.0783999999999998</v>
      </c>
      <c r="AL364" s="6">
        <v>123</v>
      </c>
      <c r="AO364" s="17">
        <v>362</v>
      </c>
      <c r="AP364" s="6">
        <v>1.1382699999999999</v>
      </c>
      <c r="AQ364" s="19">
        <v>-4.2445000000000004</v>
      </c>
      <c r="AR364" s="6">
        <v>0.57499999999999996</v>
      </c>
      <c r="AS364" s="6">
        <v>123</v>
      </c>
      <c r="AU364" s="17">
        <v>362</v>
      </c>
      <c r="AV364" s="6">
        <v>0.59852000000000005</v>
      </c>
      <c r="AW364" s="19">
        <v>-4.2445000000000004</v>
      </c>
      <c r="AX364" s="6">
        <v>0.57499999999999996</v>
      </c>
      <c r="AY364" s="6">
        <v>123</v>
      </c>
    </row>
    <row r="365" spans="1:51" x14ac:dyDescent="0.25">
      <c r="A365" s="31" t="s">
        <v>132</v>
      </c>
      <c r="B365" s="32">
        <v>3</v>
      </c>
      <c r="C365" s="32">
        <v>21</v>
      </c>
      <c r="D365" s="32">
        <v>6</v>
      </c>
      <c r="E365" s="32">
        <v>42</v>
      </c>
      <c r="F365" s="12">
        <v>62.1</v>
      </c>
      <c r="G365">
        <v>59.414300158890647</v>
      </c>
      <c r="H365" t="s">
        <v>12</v>
      </c>
      <c r="AB365" s="17">
        <v>363</v>
      </c>
      <c r="AC365" s="6">
        <v>3.2136100000000001</v>
      </c>
      <c r="AD365" s="19">
        <v>-10.317</v>
      </c>
      <c r="AE365" s="6">
        <v>3.0876000000000001</v>
      </c>
      <c r="AF365" s="6">
        <v>123</v>
      </c>
      <c r="AH365" s="17">
        <v>363</v>
      </c>
      <c r="AI365" s="6">
        <v>6.1116999999999999</v>
      </c>
      <c r="AJ365" s="19">
        <v>-10.317</v>
      </c>
      <c r="AK365" s="6">
        <v>3.0876000000000001</v>
      </c>
      <c r="AL365" s="6">
        <v>123</v>
      </c>
      <c r="AO365" s="17">
        <v>363</v>
      </c>
      <c r="AP365" s="6">
        <v>1.13805</v>
      </c>
      <c r="AQ365" s="19">
        <v>-4.1788999999999996</v>
      </c>
      <c r="AR365" s="6">
        <v>0.57489999999999997</v>
      </c>
      <c r="AS365" s="6">
        <v>123</v>
      </c>
      <c r="AU365" s="17">
        <v>363</v>
      </c>
      <c r="AV365" s="6">
        <v>0.59841</v>
      </c>
      <c r="AW365" s="19">
        <v>-4.1788999999999996</v>
      </c>
      <c r="AX365" s="6">
        <v>0.57489999999999997</v>
      </c>
      <c r="AY365" s="6">
        <v>123</v>
      </c>
    </row>
    <row r="366" spans="1:51" x14ac:dyDescent="0.25">
      <c r="A366" s="31" t="s">
        <v>132</v>
      </c>
      <c r="B366" s="32">
        <v>3</v>
      </c>
      <c r="C366" s="32">
        <v>20</v>
      </c>
      <c r="D366" s="32">
        <v>6</v>
      </c>
      <c r="E366" s="32">
        <v>36</v>
      </c>
      <c r="F366" s="12">
        <v>62.5</v>
      </c>
      <c r="G366">
        <v>59.229351437238179</v>
      </c>
      <c r="H366" t="s">
        <v>12</v>
      </c>
      <c r="AB366" s="17">
        <v>364</v>
      </c>
      <c r="AC366" s="6">
        <v>3.2019199999999999</v>
      </c>
      <c r="AD366" s="19">
        <v>-15.388199999999999</v>
      </c>
      <c r="AE366" s="6">
        <v>3.0762999999999998</v>
      </c>
      <c r="AF366" s="6">
        <v>123</v>
      </c>
      <c r="AH366" s="17">
        <v>364</v>
      </c>
      <c r="AI366" s="6">
        <v>6.0894000000000004</v>
      </c>
      <c r="AJ366" s="19">
        <v>-15.388199999999999</v>
      </c>
      <c r="AK366" s="6">
        <v>3.0762999999999998</v>
      </c>
      <c r="AL366" s="6">
        <v>123</v>
      </c>
      <c r="AO366" s="17">
        <v>364</v>
      </c>
      <c r="AP366" s="6">
        <v>1.1457999999999999</v>
      </c>
      <c r="AQ366" s="19">
        <v>-3.1221999999999999</v>
      </c>
      <c r="AR366" s="6">
        <v>0.57889999999999997</v>
      </c>
      <c r="AS366" s="6">
        <v>123</v>
      </c>
      <c r="AU366" s="17">
        <v>364</v>
      </c>
      <c r="AV366" s="6">
        <v>0.60248000000000002</v>
      </c>
      <c r="AW366" s="19">
        <v>-3.1221999999999999</v>
      </c>
      <c r="AX366" s="6">
        <v>0.57889999999999997</v>
      </c>
      <c r="AY366" s="6">
        <v>123</v>
      </c>
    </row>
    <row r="367" spans="1:51" x14ac:dyDescent="0.25">
      <c r="A367" s="31" t="s">
        <v>132</v>
      </c>
      <c r="B367" s="32">
        <v>3</v>
      </c>
      <c r="C367" s="32">
        <v>19</v>
      </c>
      <c r="D367" s="32">
        <v>6</v>
      </c>
      <c r="E367" s="32">
        <v>15</v>
      </c>
      <c r="F367" s="12">
        <v>61.1</v>
      </c>
      <c r="G367">
        <v>61.38271703018922</v>
      </c>
      <c r="H367" t="s">
        <v>12</v>
      </c>
      <c r="AB367" s="17">
        <v>365</v>
      </c>
      <c r="AC367" s="6">
        <v>3.2159800000000001</v>
      </c>
      <c r="AD367" s="19">
        <v>-10.852399999999999</v>
      </c>
      <c r="AE367" s="6">
        <v>3.0897999999999999</v>
      </c>
      <c r="AF367" s="6">
        <v>123</v>
      </c>
      <c r="AH367" s="17">
        <v>365</v>
      </c>
      <c r="AI367" s="6">
        <v>6.1162000000000001</v>
      </c>
      <c r="AJ367" s="19">
        <v>-10.852399999999999</v>
      </c>
      <c r="AK367" s="6">
        <v>3.0897999999999999</v>
      </c>
      <c r="AL367" s="6">
        <v>123</v>
      </c>
      <c r="AO367" s="17">
        <v>365</v>
      </c>
      <c r="AP367" s="6">
        <v>1.15141</v>
      </c>
      <c r="AQ367" s="19">
        <v>-3.5434999999999999</v>
      </c>
      <c r="AR367" s="6">
        <v>0.58169999999999999</v>
      </c>
      <c r="AS367" s="6">
        <v>123</v>
      </c>
      <c r="AU367" s="17">
        <v>365</v>
      </c>
      <c r="AV367" s="6">
        <v>0.60543000000000002</v>
      </c>
      <c r="AW367" s="19">
        <v>-3.5434999999999999</v>
      </c>
      <c r="AX367" s="6">
        <v>0.58169999999999999</v>
      </c>
      <c r="AY367" s="6">
        <v>123</v>
      </c>
    </row>
    <row r="368" spans="1:51" x14ac:dyDescent="0.25">
      <c r="A368" s="31" t="s">
        <v>132</v>
      </c>
      <c r="B368" s="32">
        <v>3</v>
      </c>
      <c r="C368" s="32">
        <v>18</v>
      </c>
      <c r="D368" s="32">
        <v>6</v>
      </c>
      <c r="E368" s="32">
        <v>33</v>
      </c>
      <c r="F368" s="12">
        <v>60.2</v>
      </c>
      <c r="G368">
        <v>60.644113823486919</v>
      </c>
      <c r="H368" t="s">
        <v>12</v>
      </c>
      <c r="AB368" s="17">
        <v>366</v>
      </c>
      <c r="AC368" s="6">
        <v>3.2451400000000001</v>
      </c>
      <c r="AD368" s="19">
        <v>-20.1646</v>
      </c>
      <c r="AE368" s="6">
        <v>3.1179000000000001</v>
      </c>
      <c r="AF368" s="6">
        <v>123</v>
      </c>
      <c r="AH368" s="17">
        <v>366</v>
      </c>
      <c r="AI368" s="6">
        <v>6.1715999999999998</v>
      </c>
      <c r="AJ368" s="19">
        <v>-20.1646</v>
      </c>
      <c r="AK368" s="6">
        <v>3.1179000000000001</v>
      </c>
      <c r="AL368" s="6">
        <v>123</v>
      </c>
      <c r="AO368" s="17">
        <v>366</v>
      </c>
      <c r="AP368" s="6">
        <v>1.16476</v>
      </c>
      <c r="AQ368" s="19">
        <v>-3.7431000000000001</v>
      </c>
      <c r="AR368" s="6">
        <v>0.58840000000000003</v>
      </c>
      <c r="AS368" s="6">
        <v>123</v>
      </c>
      <c r="AU368" s="17">
        <v>366</v>
      </c>
      <c r="AV368" s="6">
        <v>0.61245000000000005</v>
      </c>
      <c r="AW368" s="19">
        <v>-3.7431000000000001</v>
      </c>
      <c r="AX368" s="6">
        <v>0.58840000000000003</v>
      </c>
      <c r="AY368" s="6">
        <v>123</v>
      </c>
    </row>
    <row r="369" spans="1:51" x14ac:dyDescent="0.25">
      <c r="A369" s="31" t="s">
        <v>132</v>
      </c>
      <c r="B369" s="32">
        <v>3</v>
      </c>
      <c r="C369" s="32">
        <v>17</v>
      </c>
      <c r="D369" s="32">
        <v>6</v>
      </c>
      <c r="E369" s="32">
        <v>16</v>
      </c>
      <c r="F369" s="12">
        <v>61.1</v>
      </c>
      <c r="G369">
        <v>65.457976310847897</v>
      </c>
      <c r="H369" t="s">
        <v>12</v>
      </c>
      <c r="AB369" s="17">
        <v>367</v>
      </c>
      <c r="AC369" s="6">
        <v>3.2342300000000002</v>
      </c>
      <c r="AD369" s="19">
        <v>-12.021699999999999</v>
      </c>
      <c r="AE369" s="6">
        <v>3.1074000000000002</v>
      </c>
      <c r="AF369" s="6">
        <v>123</v>
      </c>
      <c r="AH369" s="17">
        <v>367</v>
      </c>
      <c r="AI369" s="6">
        <v>6.1509</v>
      </c>
      <c r="AJ369" s="19">
        <v>-12.021699999999999</v>
      </c>
      <c r="AK369" s="6">
        <v>3.1074000000000002</v>
      </c>
      <c r="AL369" s="6">
        <v>123</v>
      </c>
      <c r="AO369" s="17">
        <v>367</v>
      </c>
      <c r="AP369" s="6">
        <v>1.13303</v>
      </c>
      <c r="AQ369" s="19">
        <v>-3.8231999999999999</v>
      </c>
      <c r="AR369" s="6">
        <v>0.57240000000000002</v>
      </c>
      <c r="AS369" s="6">
        <v>123</v>
      </c>
      <c r="AU369" s="17">
        <v>367</v>
      </c>
      <c r="AV369" s="6">
        <v>0.59575999999999996</v>
      </c>
      <c r="AW369" s="19">
        <v>-3.8231999999999999</v>
      </c>
      <c r="AX369" s="6">
        <v>0.57240000000000002</v>
      </c>
      <c r="AY369" s="6">
        <v>123</v>
      </c>
    </row>
    <row r="370" spans="1:51" x14ac:dyDescent="0.25">
      <c r="A370" s="31" t="s">
        <v>132</v>
      </c>
      <c r="B370" s="32">
        <v>3</v>
      </c>
      <c r="C370" s="32">
        <v>16</v>
      </c>
      <c r="D370" s="32">
        <v>6</v>
      </c>
      <c r="E370" s="32">
        <v>40</v>
      </c>
      <c r="F370" s="12">
        <v>62.3</v>
      </c>
      <c r="G370">
        <v>63.585942510472336</v>
      </c>
      <c r="H370">
        <v>9.1999999999999993</v>
      </c>
      <c r="AB370" s="17">
        <v>368</v>
      </c>
      <c r="AC370" s="6">
        <v>3.1919400000000002</v>
      </c>
      <c r="AD370" s="19">
        <v>-9.4331999999999994</v>
      </c>
      <c r="AE370" s="6">
        <v>3.0668000000000002</v>
      </c>
      <c r="AF370" s="6">
        <v>123</v>
      </c>
      <c r="AH370" s="17">
        <v>368</v>
      </c>
      <c r="AI370" s="6">
        <v>6.0704000000000002</v>
      </c>
      <c r="AJ370" s="19">
        <v>-9.4331999999999994</v>
      </c>
      <c r="AK370" s="6">
        <v>3.0668000000000002</v>
      </c>
      <c r="AL370" s="6">
        <v>123</v>
      </c>
      <c r="AO370" s="17">
        <v>368</v>
      </c>
      <c r="AP370" s="6">
        <v>1.13463</v>
      </c>
      <c r="AQ370" s="19">
        <v>-1.9645999999999999</v>
      </c>
      <c r="AR370" s="6">
        <v>0.57320000000000004</v>
      </c>
      <c r="AS370" s="6">
        <v>123</v>
      </c>
      <c r="AU370" s="17">
        <v>368</v>
      </c>
      <c r="AV370" s="6">
        <v>0.59660999999999997</v>
      </c>
      <c r="AW370" s="19">
        <v>-1.9645999999999999</v>
      </c>
      <c r="AX370" s="6">
        <v>0.57320000000000004</v>
      </c>
      <c r="AY370" s="6">
        <v>123</v>
      </c>
    </row>
    <row r="371" spans="1:51" x14ac:dyDescent="0.25">
      <c r="A371" s="31" t="s">
        <v>132</v>
      </c>
      <c r="B371" s="32">
        <v>3</v>
      </c>
      <c r="C371" s="32">
        <v>15</v>
      </c>
      <c r="D371" s="32">
        <v>6</v>
      </c>
      <c r="E371" s="32">
        <v>17</v>
      </c>
      <c r="F371" s="12">
        <v>61.1</v>
      </c>
      <c r="G371">
        <v>66.074551495016607</v>
      </c>
      <c r="H371">
        <v>9.5</v>
      </c>
      <c r="AB371" s="17">
        <v>369</v>
      </c>
      <c r="AC371" s="6">
        <v>3.20669</v>
      </c>
      <c r="AD371" s="19">
        <v>-8.2673000000000005</v>
      </c>
      <c r="AE371" s="6">
        <v>3.0809000000000002</v>
      </c>
      <c r="AF371" s="6">
        <v>123</v>
      </c>
      <c r="AH371" s="17">
        <v>369</v>
      </c>
      <c r="AI371" s="6">
        <v>6.0984999999999996</v>
      </c>
      <c r="AJ371" s="19">
        <v>-8.2673000000000005</v>
      </c>
      <c r="AK371" s="6">
        <v>3.0809000000000002</v>
      </c>
      <c r="AL371" s="6">
        <v>123</v>
      </c>
      <c r="AO371" s="17">
        <v>369</v>
      </c>
      <c r="AP371" s="6">
        <v>1.14232</v>
      </c>
      <c r="AQ371" s="19">
        <v>-3.49</v>
      </c>
      <c r="AR371" s="6">
        <v>0.57709999999999995</v>
      </c>
      <c r="AS371" s="6">
        <v>123</v>
      </c>
      <c r="AU371" s="17">
        <v>369</v>
      </c>
      <c r="AV371" s="6">
        <v>0.60065000000000002</v>
      </c>
      <c r="AW371" s="19">
        <v>-3.49</v>
      </c>
      <c r="AX371" s="6">
        <v>0.57709999999999995</v>
      </c>
      <c r="AY371" s="6">
        <v>123</v>
      </c>
    </row>
    <row r="372" spans="1:51" x14ac:dyDescent="0.25">
      <c r="A372" s="31" t="s">
        <v>132</v>
      </c>
      <c r="B372" s="32">
        <v>3</v>
      </c>
      <c r="C372" s="32">
        <v>14</v>
      </c>
      <c r="D372" s="32">
        <v>6</v>
      </c>
      <c r="E372" s="32">
        <v>21</v>
      </c>
      <c r="F372" s="12">
        <v>61.8</v>
      </c>
      <c r="G372">
        <v>61.879218546872728</v>
      </c>
      <c r="H372" t="s">
        <v>12</v>
      </c>
      <c r="AB372" s="17">
        <v>370</v>
      </c>
      <c r="AC372" s="6">
        <v>3.1894499999999999</v>
      </c>
      <c r="AD372" s="19">
        <v>-3.0485000000000002</v>
      </c>
      <c r="AE372" s="6">
        <v>3.0644</v>
      </c>
      <c r="AF372" s="6">
        <v>123</v>
      </c>
      <c r="AH372" s="17">
        <v>370</v>
      </c>
      <c r="AI372" s="6">
        <v>6.0656999999999996</v>
      </c>
      <c r="AJ372" s="19">
        <v>-3.0485000000000002</v>
      </c>
      <c r="AK372" s="6">
        <v>3.0644</v>
      </c>
      <c r="AL372" s="6">
        <v>123</v>
      </c>
      <c r="AO372" s="17">
        <v>370</v>
      </c>
      <c r="AP372" s="6">
        <v>1.13175</v>
      </c>
      <c r="AQ372" s="19">
        <v>-3.4430999999999998</v>
      </c>
      <c r="AR372" s="6">
        <v>0.57179999999999997</v>
      </c>
      <c r="AS372" s="6">
        <v>123</v>
      </c>
      <c r="AU372" s="17">
        <v>370</v>
      </c>
      <c r="AV372" s="6">
        <v>0.59509000000000001</v>
      </c>
      <c r="AW372" s="19">
        <v>-3.4430999999999998</v>
      </c>
      <c r="AX372" s="6">
        <v>0.57179999999999997</v>
      </c>
      <c r="AY372" s="6">
        <v>123</v>
      </c>
    </row>
    <row r="373" spans="1:51" x14ac:dyDescent="0.25">
      <c r="A373" s="31" t="s">
        <v>132</v>
      </c>
      <c r="B373" s="32">
        <v>3</v>
      </c>
      <c r="C373" s="32">
        <v>13</v>
      </c>
      <c r="D373" s="32">
        <v>6</v>
      </c>
      <c r="E373" s="32">
        <v>2</v>
      </c>
      <c r="F373" s="12">
        <v>61.8</v>
      </c>
      <c r="G373">
        <v>67.247355192835471</v>
      </c>
      <c r="H373" t="s">
        <v>12</v>
      </c>
      <c r="AB373" s="17">
        <v>371</v>
      </c>
      <c r="AC373" s="6">
        <v>3.1836600000000002</v>
      </c>
      <c r="AD373" s="19">
        <v>-5.8994999999999997</v>
      </c>
      <c r="AE373" s="6">
        <v>3.0588000000000002</v>
      </c>
      <c r="AF373" s="6">
        <v>123</v>
      </c>
      <c r="AH373" s="17">
        <v>371</v>
      </c>
      <c r="AI373" s="6">
        <v>6.0547000000000004</v>
      </c>
      <c r="AJ373" s="19">
        <v>-5.8994999999999997</v>
      </c>
      <c r="AK373" s="6">
        <v>3.0588000000000002</v>
      </c>
      <c r="AL373" s="6">
        <v>123</v>
      </c>
      <c r="AO373" s="17">
        <v>371</v>
      </c>
      <c r="AP373" s="6">
        <v>1.1369499999999999</v>
      </c>
      <c r="AQ373" s="19">
        <v>-3.1789000000000001</v>
      </c>
      <c r="AR373" s="6">
        <v>0.57440000000000002</v>
      </c>
      <c r="AS373" s="6">
        <v>123</v>
      </c>
      <c r="AU373" s="17">
        <v>371</v>
      </c>
      <c r="AV373" s="6">
        <v>0.59782999999999997</v>
      </c>
      <c r="AW373" s="19">
        <v>-3.1789000000000001</v>
      </c>
      <c r="AX373" s="6">
        <v>0.57440000000000002</v>
      </c>
      <c r="AY373" s="6">
        <v>123</v>
      </c>
    </row>
    <row r="374" spans="1:51" x14ac:dyDescent="0.25">
      <c r="A374" s="31" t="s">
        <v>132</v>
      </c>
      <c r="B374" s="32">
        <v>3</v>
      </c>
      <c r="C374" s="32">
        <v>12</v>
      </c>
      <c r="D374" s="32">
        <v>6</v>
      </c>
      <c r="E374" s="32">
        <v>43</v>
      </c>
      <c r="F374" s="12" t="s">
        <v>12</v>
      </c>
      <c r="G374">
        <v>62.125038278203078</v>
      </c>
      <c r="H374" t="s">
        <v>12</v>
      </c>
      <c r="AB374" s="17">
        <v>372</v>
      </c>
      <c r="AC374" s="6">
        <v>3.1862599999999999</v>
      </c>
      <c r="AD374" s="19">
        <v>-17.5991</v>
      </c>
      <c r="AE374" s="6">
        <v>3.0613000000000001</v>
      </c>
      <c r="AF374" s="6">
        <v>123</v>
      </c>
      <c r="AH374" s="17">
        <v>372</v>
      </c>
      <c r="AI374" s="6">
        <v>6.0595999999999997</v>
      </c>
      <c r="AJ374" s="19">
        <v>-17.5991</v>
      </c>
      <c r="AK374" s="6">
        <v>3.0613000000000001</v>
      </c>
      <c r="AL374" s="6">
        <v>123</v>
      </c>
      <c r="AO374" s="17">
        <v>372</v>
      </c>
      <c r="AP374" s="6">
        <v>1.1351</v>
      </c>
      <c r="AQ374" s="19">
        <v>-5.3045</v>
      </c>
      <c r="AR374" s="6">
        <v>0.57340000000000002</v>
      </c>
      <c r="AS374" s="6">
        <v>123</v>
      </c>
      <c r="AU374" s="17">
        <v>372</v>
      </c>
      <c r="AV374" s="6">
        <v>0.59685999999999995</v>
      </c>
      <c r="AW374" s="19">
        <v>-5.3045</v>
      </c>
      <c r="AX374" s="6">
        <v>0.57340000000000002</v>
      </c>
      <c r="AY374" s="6">
        <v>123</v>
      </c>
    </row>
    <row r="375" spans="1:51" x14ac:dyDescent="0.25">
      <c r="A375" s="31" t="s">
        <v>132</v>
      </c>
      <c r="B375" s="32">
        <v>3</v>
      </c>
      <c r="C375" s="32">
        <v>11</v>
      </c>
      <c r="D375" s="32">
        <v>6</v>
      </c>
      <c r="E375" s="32">
        <v>44</v>
      </c>
      <c r="F375" s="12">
        <v>60.6</v>
      </c>
      <c r="G375">
        <v>56.145283836487067</v>
      </c>
      <c r="H375" t="s">
        <v>12</v>
      </c>
      <c r="AB375" s="17">
        <v>373</v>
      </c>
      <c r="AC375" s="6">
        <v>3.2034699999999998</v>
      </c>
      <c r="AD375" s="19">
        <v>-13.3393</v>
      </c>
      <c r="AE375" s="6">
        <v>3.0777999999999999</v>
      </c>
      <c r="AF375" s="6">
        <v>123</v>
      </c>
      <c r="AH375" s="17">
        <v>373</v>
      </c>
      <c r="AI375" s="6">
        <v>6.0923999999999996</v>
      </c>
      <c r="AJ375" s="19">
        <v>-13.3393</v>
      </c>
      <c r="AK375" s="6">
        <v>3.0777999999999999</v>
      </c>
      <c r="AL375" s="6">
        <v>123</v>
      </c>
      <c r="AO375" s="17">
        <v>373</v>
      </c>
      <c r="AP375" s="6">
        <v>1.1431100000000001</v>
      </c>
      <c r="AQ375" s="19">
        <v>-3.8658000000000001</v>
      </c>
      <c r="AR375" s="6">
        <v>0.57750000000000001</v>
      </c>
      <c r="AS375" s="6">
        <v>123</v>
      </c>
      <c r="AU375" s="17">
        <v>373</v>
      </c>
      <c r="AV375" s="6">
        <v>0.60106000000000004</v>
      </c>
      <c r="AW375" s="19">
        <v>-3.8658000000000001</v>
      </c>
      <c r="AX375" s="6">
        <v>0.57750000000000001</v>
      </c>
      <c r="AY375" s="6">
        <v>123</v>
      </c>
    </row>
    <row r="376" spans="1:51" x14ac:dyDescent="0.25">
      <c r="A376" s="31" t="s">
        <v>132</v>
      </c>
      <c r="B376" s="32">
        <v>3</v>
      </c>
      <c r="C376" s="32">
        <v>10</v>
      </c>
      <c r="D376" s="32">
        <v>6</v>
      </c>
      <c r="E376" s="32">
        <v>10</v>
      </c>
      <c r="F376" s="12">
        <v>58.8</v>
      </c>
      <c r="G376">
        <v>52.194721941354892</v>
      </c>
      <c r="H376" t="s">
        <v>12</v>
      </c>
      <c r="AB376" s="17">
        <v>374</v>
      </c>
      <c r="AC376" s="6">
        <v>3.20533</v>
      </c>
      <c r="AD376" s="19">
        <v>-12.2399</v>
      </c>
      <c r="AE376" s="6">
        <v>3.0796000000000001</v>
      </c>
      <c r="AF376" s="6">
        <v>123</v>
      </c>
      <c r="AH376" s="17">
        <v>374</v>
      </c>
      <c r="AI376" s="6">
        <v>6.0959000000000003</v>
      </c>
      <c r="AJ376" s="19">
        <v>-12.2399</v>
      </c>
      <c r="AK376" s="6">
        <v>3.0796000000000001</v>
      </c>
      <c r="AL376" s="6">
        <v>123</v>
      </c>
      <c r="AO376" s="17">
        <v>374</v>
      </c>
      <c r="AP376" s="6">
        <v>1.1387700000000001</v>
      </c>
      <c r="AQ376" s="19">
        <v>-3.1960999999999999</v>
      </c>
      <c r="AR376" s="6">
        <v>0.57530000000000003</v>
      </c>
      <c r="AS376" s="6">
        <v>123</v>
      </c>
      <c r="AU376" s="17">
        <v>374</v>
      </c>
      <c r="AV376" s="6">
        <v>0.59877999999999998</v>
      </c>
      <c r="AW376" s="19">
        <v>-3.1960999999999999</v>
      </c>
      <c r="AX376" s="6">
        <v>0.57530000000000003</v>
      </c>
      <c r="AY376" s="6">
        <v>123</v>
      </c>
    </row>
    <row r="377" spans="1:51" x14ac:dyDescent="0.25">
      <c r="A377" s="31" t="s">
        <v>132</v>
      </c>
      <c r="B377" s="32">
        <v>3</v>
      </c>
      <c r="C377" s="32">
        <v>9</v>
      </c>
      <c r="D377" s="32">
        <v>6</v>
      </c>
      <c r="E377" s="32">
        <v>46</v>
      </c>
      <c r="F377" s="12">
        <v>62.2</v>
      </c>
      <c r="G377">
        <v>60.862334248158312</v>
      </c>
      <c r="H377" t="s">
        <v>12</v>
      </c>
      <c r="AB377" s="17">
        <v>375</v>
      </c>
      <c r="AC377" s="6">
        <v>3.2257899999999999</v>
      </c>
      <c r="AD377" s="19">
        <v>-16.387499999999999</v>
      </c>
      <c r="AE377" s="6">
        <v>3.0992999999999999</v>
      </c>
      <c r="AF377" s="6">
        <v>123</v>
      </c>
      <c r="AH377" s="17">
        <v>375</v>
      </c>
      <c r="AI377" s="6">
        <v>6.1348000000000003</v>
      </c>
      <c r="AJ377" s="19">
        <v>-16.387499999999999</v>
      </c>
      <c r="AK377" s="6">
        <v>3.0992999999999999</v>
      </c>
      <c r="AL377" s="6">
        <v>123</v>
      </c>
      <c r="AO377" s="17">
        <v>375</v>
      </c>
      <c r="AP377" s="6">
        <v>1.1550100000000001</v>
      </c>
      <c r="AQ377" s="19">
        <v>-4.1375999999999999</v>
      </c>
      <c r="AR377" s="6">
        <v>0.58350000000000002</v>
      </c>
      <c r="AS377" s="6">
        <v>123</v>
      </c>
      <c r="AU377" s="17">
        <v>375</v>
      </c>
      <c r="AV377" s="6">
        <v>0.60731999999999997</v>
      </c>
      <c r="AW377" s="19">
        <v>-4.1375999999999999</v>
      </c>
      <c r="AX377" s="6">
        <v>0.58350000000000002</v>
      </c>
      <c r="AY377" s="6">
        <v>123</v>
      </c>
    </row>
    <row r="378" spans="1:51" x14ac:dyDescent="0.25">
      <c r="A378" s="31" t="s">
        <v>132</v>
      </c>
      <c r="B378" s="32">
        <v>3</v>
      </c>
      <c r="C378" s="32">
        <v>8</v>
      </c>
      <c r="D378" s="32">
        <v>6</v>
      </c>
      <c r="E378" s="32">
        <v>31</v>
      </c>
      <c r="F378" s="12">
        <v>59.9</v>
      </c>
      <c r="G378">
        <v>58.02890076556406</v>
      </c>
      <c r="H378" t="s">
        <v>12</v>
      </c>
      <c r="AB378" s="17">
        <v>376</v>
      </c>
      <c r="AC378" s="6">
        <v>3.2006399999999999</v>
      </c>
      <c r="AD378" s="19">
        <v>-7.3421000000000003</v>
      </c>
      <c r="AE378" s="6">
        <v>3.0750999999999999</v>
      </c>
      <c r="AF378" s="6">
        <v>123</v>
      </c>
      <c r="AH378" s="17">
        <v>376</v>
      </c>
      <c r="AI378" s="6">
        <v>6.0869999999999997</v>
      </c>
      <c r="AJ378" s="19">
        <v>-7.3421000000000003</v>
      </c>
      <c r="AK378" s="6">
        <v>3.0750999999999999</v>
      </c>
      <c r="AL378" s="6">
        <v>123</v>
      </c>
      <c r="AO378" s="17">
        <v>376</v>
      </c>
      <c r="AP378" s="6">
        <v>1.13479</v>
      </c>
      <c r="AQ378" s="19">
        <v>-4.6897000000000002</v>
      </c>
      <c r="AR378" s="6">
        <v>0.57330000000000003</v>
      </c>
      <c r="AS378" s="6">
        <v>123</v>
      </c>
      <c r="AU378" s="17">
        <v>376</v>
      </c>
      <c r="AV378" s="6">
        <v>0.59669000000000005</v>
      </c>
      <c r="AW378" s="19">
        <v>-4.6897000000000002</v>
      </c>
      <c r="AX378" s="6">
        <v>0.57330000000000003</v>
      </c>
      <c r="AY378" s="6">
        <v>123</v>
      </c>
    </row>
    <row r="379" spans="1:51" x14ac:dyDescent="0.25">
      <c r="A379" s="31" t="s">
        <v>132</v>
      </c>
      <c r="B379" s="32">
        <v>3</v>
      </c>
      <c r="C379" s="32">
        <v>7</v>
      </c>
      <c r="D379" s="32">
        <v>6</v>
      </c>
      <c r="E379" s="32">
        <v>18</v>
      </c>
      <c r="F379" s="12">
        <v>60.1</v>
      </c>
      <c r="G379">
        <v>55.67223458038422</v>
      </c>
      <c r="H379" t="s">
        <v>12</v>
      </c>
      <c r="AB379" s="17">
        <v>377</v>
      </c>
      <c r="AC379" s="6">
        <v>3.1947700000000001</v>
      </c>
      <c r="AD379" s="19">
        <v>-13.5646</v>
      </c>
      <c r="AE379" s="6">
        <v>3.0695000000000001</v>
      </c>
      <c r="AF379" s="6">
        <v>123</v>
      </c>
      <c r="AH379" s="17">
        <v>377</v>
      </c>
      <c r="AI379" s="6">
        <v>6.0758000000000001</v>
      </c>
      <c r="AJ379" s="19">
        <v>-13.5646</v>
      </c>
      <c r="AK379" s="6">
        <v>3.0695000000000001</v>
      </c>
      <c r="AL379" s="6">
        <v>123</v>
      </c>
      <c r="AO379" s="17">
        <v>377</v>
      </c>
      <c r="AP379" s="6">
        <v>1.1376299999999999</v>
      </c>
      <c r="AQ379" s="19">
        <v>-4.6344000000000003</v>
      </c>
      <c r="AR379" s="6">
        <v>0.57469999999999999</v>
      </c>
      <c r="AS379" s="6">
        <v>123</v>
      </c>
      <c r="AU379" s="17">
        <v>377</v>
      </c>
      <c r="AV379" s="6">
        <v>0.59818000000000005</v>
      </c>
      <c r="AW379" s="19">
        <v>-4.6344000000000003</v>
      </c>
      <c r="AX379" s="6">
        <v>0.57469999999999999</v>
      </c>
      <c r="AY379" s="6">
        <v>123</v>
      </c>
    </row>
    <row r="380" spans="1:51" x14ac:dyDescent="0.25">
      <c r="A380" s="31" t="s">
        <v>132</v>
      </c>
      <c r="B380" s="32">
        <v>3</v>
      </c>
      <c r="C380" s="32">
        <v>6</v>
      </c>
      <c r="D380" s="32">
        <v>6</v>
      </c>
      <c r="E380" s="32">
        <v>12</v>
      </c>
      <c r="F380" s="12">
        <v>60.9</v>
      </c>
      <c r="G380">
        <v>57.695564061822907</v>
      </c>
      <c r="H380" t="s">
        <v>12</v>
      </c>
      <c r="AB380" s="17">
        <v>378</v>
      </c>
      <c r="AC380" s="6">
        <v>3.2006199999999998</v>
      </c>
      <c r="AD380" s="19">
        <v>-11.7157</v>
      </c>
      <c r="AE380" s="6">
        <v>3.0750999999999999</v>
      </c>
      <c r="AF380" s="6">
        <v>123</v>
      </c>
      <c r="AH380" s="17">
        <v>378</v>
      </c>
      <c r="AI380" s="6">
        <v>6.0869999999999997</v>
      </c>
      <c r="AJ380" s="19">
        <v>-11.7157</v>
      </c>
      <c r="AK380" s="6">
        <v>3.0750999999999999</v>
      </c>
      <c r="AL380" s="6">
        <v>123</v>
      </c>
      <c r="AO380" s="17">
        <v>378</v>
      </c>
      <c r="AP380" s="6">
        <v>1.1395</v>
      </c>
      <c r="AQ380" s="19">
        <v>-5.0941999999999998</v>
      </c>
      <c r="AR380" s="6">
        <v>0.57569999999999999</v>
      </c>
      <c r="AS380" s="6">
        <v>123</v>
      </c>
      <c r="AU380" s="17">
        <v>378</v>
      </c>
      <c r="AV380" s="6">
        <v>0.59916999999999998</v>
      </c>
      <c r="AW380" s="19">
        <v>-5.0941999999999998</v>
      </c>
      <c r="AX380" s="6">
        <v>0.57569999999999999</v>
      </c>
      <c r="AY380" s="6">
        <v>123</v>
      </c>
    </row>
    <row r="381" spans="1:51" x14ac:dyDescent="0.25">
      <c r="A381" s="31" t="s">
        <v>132</v>
      </c>
      <c r="B381" s="32">
        <v>3</v>
      </c>
      <c r="C381" s="32">
        <v>5</v>
      </c>
      <c r="D381" s="32">
        <v>6</v>
      </c>
      <c r="E381" s="32">
        <v>45</v>
      </c>
      <c r="F381" s="12">
        <v>59.7</v>
      </c>
      <c r="G381">
        <v>62.506995522172467</v>
      </c>
      <c r="H381" t="s">
        <v>12</v>
      </c>
      <c r="AB381" s="17">
        <v>379</v>
      </c>
      <c r="AC381" s="6">
        <v>3.2415500000000002</v>
      </c>
      <c r="AD381" s="19">
        <v>-4.7630999999999997</v>
      </c>
      <c r="AE381" s="6">
        <v>3.1143999999999998</v>
      </c>
      <c r="AF381" s="6">
        <v>123</v>
      </c>
      <c r="AH381" s="17">
        <v>379</v>
      </c>
      <c r="AI381" s="6">
        <v>6.1647999999999996</v>
      </c>
      <c r="AJ381" s="19">
        <v>-4.7630999999999997</v>
      </c>
      <c r="AK381" s="6">
        <v>3.1143999999999998</v>
      </c>
      <c r="AL381" s="6">
        <v>123</v>
      </c>
      <c r="AO381" s="17">
        <v>379</v>
      </c>
      <c r="AP381" s="6">
        <v>1.16062</v>
      </c>
      <c r="AQ381" s="19">
        <v>-2.7890000000000001</v>
      </c>
      <c r="AR381" s="6">
        <v>0.58630000000000004</v>
      </c>
      <c r="AS381" s="6">
        <v>123</v>
      </c>
      <c r="AU381" s="17">
        <v>379</v>
      </c>
      <c r="AV381" s="6">
        <v>0.61026999999999998</v>
      </c>
      <c r="AW381" s="19">
        <v>-2.7890000000000001</v>
      </c>
      <c r="AX381" s="6">
        <v>0.58630000000000004</v>
      </c>
      <c r="AY381" s="6">
        <v>123</v>
      </c>
    </row>
    <row r="382" spans="1:51" x14ac:dyDescent="0.25">
      <c r="A382" s="31" t="s">
        <v>132</v>
      </c>
      <c r="B382" s="32">
        <v>3</v>
      </c>
      <c r="C382" s="32">
        <v>4</v>
      </c>
      <c r="D382" s="32">
        <v>6</v>
      </c>
      <c r="E382" s="32">
        <v>28</v>
      </c>
      <c r="F382" s="12">
        <v>56.9</v>
      </c>
      <c r="G382">
        <v>64.925581395348829</v>
      </c>
      <c r="H382" t="s">
        <v>12</v>
      </c>
      <c r="AB382" s="17">
        <v>380</v>
      </c>
      <c r="AC382" s="6">
        <v>3.22336</v>
      </c>
      <c r="AD382" s="19">
        <v>-11.0909</v>
      </c>
      <c r="AE382" s="6">
        <v>3.0969000000000002</v>
      </c>
      <c r="AF382" s="6">
        <v>123</v>
      </c>
      <c r="AH382" s="17">
        <v>380</v>
      </c>
      <c r="AI382" s="6">
        <v>6.1302000000000003</v>
      </c>
      <c r="AJ382" s="19">
        <v>-11.0909</v>
      </c>
      <c r="AK382" s="6">
        <v>3.0969000000000002</v>
      </c>
      <c r="AL382" s="6">
        <v>123</v>
      </c>
      <c r="AO382" s="17">
        <v>380</v>
      </c>
      <c r="AP382" s="6">
        <v>1.15126</v>
      </c>
      <c r="AQ382" s="19">
        <v>-5.1513</v>
      </c>
      <c r="AR382" s="6">
        <v>0.58160000000000001</v>
      </c>
      <c r="AS382" s="6">
        <v>123</v>
      </c>
      <c r="AU382" s="17">
        <v>380</v>
      </c>
      <c r="AV382" s="6">
        <v>0.60535000000000005</v>
      </c>
      <c r="AW382" s="19">
        <v>-5.1513</v>
      </c>
      <c r="AX382" s="6">
        <v>0.58160000000000001</v>
      </c>
      <c r="AY382" s="6">
        <v>123</v>
      </c>
    </row>
    <row r="383" spans="1:51" x14ac:dyDescent="0.25">
      <c r="A383" s="31" t="s">
        <v>132</v>
      </c>
      <c r="B383" s="32">
        <v>3</v>
      </c>
      <c r="C383" s="32">
        <v>3</v>
      </c>
      <c r="D383" s="32">
        <v>6</v>
      </c>
      <c r="E383" s="32">
        <v>32</v>
      </c>
      <c r="F383" s="12">
        <v>62.4</v>
      </c>
      <c r="G383">
        <v>64.47198035533728</v>
      </c>
      <c r="H383" t="s">
        <v>12</v>
      </c>
      <c r="AB383" s="17">
        <v>381</v>
      </c>
      <c r="AC383" s="6">
        <v>3.22126</v>
      </c>
      <c r="AD383" s="19">
        <v>-0.30109999999999998</v>
      </c>
      <c r="AE383" s="6">
        <v>3.0949</v>
      </c>
      <c r="AF383" s="6">
        <v>123</v>
      </c>
      <c r="AH383" s="17">
        <v>381</v>
      </c>
      <c r="AI383" s="6">
        <v>6.1261999999999999</v>
      </c>
      <c r="AJ383" s="19">
        <v>-0.30109999999999998</v>
      </c>
      <c r="AK383" s="6">
        <v>3.0949</v>
      </c>
      <c r="AL383" s="6">
        <v>123</v>
      </c>
      <c r="AO383" s="17">
        <v>381</v>
      </c>
      <c r="AP383" s="6">
        <v>1.1518699999999999</v>
      </c>
      <c r="AQ383" s="19">
        <v>-2.4744000000000002</v>
      </c>
      <c r="AR383" s="6">
        <v>0.58189999999999997</v>
      </c>
      <c r="AS383" s="6">
        <v>123</v>
      </c>
      <c r="AU383" s="17">
        <v>381</v>
      </c>
      <c r="AV383" s="6">
        <v>0.60567000000000004</v>
      </c>
      <c r="AW383" s="19">
        <v>-2.4744000000000002</v>
      </c>
      <c r="AX383" s="6">
        <v>0.58189999999999997</v>
      </c>
      <c r="AY383" s="6">
        <v>123</v>
      </c>
    </row>
    <row r="384" spans="1:51" x14ac:dyDescent="0.25">
      <c r="A384" s="31" t="s">
        <v>132</v>
      </c>
      <c r="B384" s="32">
        <v>3</v>
      </c>
      <c r="C384" s="32">
        <v>2</v>
      </c>
      <c r="D384" s="32">
        <v>6</v>
      </c>
      <c r="E384" s="32">
        <v>22</v>
      </c>
      <c r="F384" s="12">
        <v>55.6</v>
      </c>
      <c r="G384">
        <v>59.78610429004766</v>
      </c>
      <c r="H384" t="s">
        <v>12</v>
      </c>
      <c r="AB384" s="17">
        <v>382</v>
      </c>
      <c r="AC384" s="6">
        <v>3.1955399999999998</v>
      </c>
      <c r="AD384" s="19">
        <v>-2.5282</v>
      </c>
      <c r="AE384" s="6">
        <v>3.0701999999999998</v>
      </c>
      <c r="AF384" s="6">
        <v>123</v>
      </c>
      <c r="AH384" s="17">
        <v>382</v>
      </c>
      <c r="AI384" s="6">
        <v>6.0773000000000001</v>
      </c>
      <c r="AJ384" s="19">
        <v>-2.5282</v>
      </c>
      <c r="AK384" s="6">
        <v>3.0701999999999998</v>
      </c>
      <c r="AL384" s="6">
        <v>123</v>
      </c>
      <c r="AO384" s="17">
        <v>382</v>
      </c>
      <c r="AP384" s="6">
        <v>1.1377999999999999</v>
      </c>
      <c r="AQ384" s="19">
        <v>-2.6772999999999998</v>
      </c>
      <c r="AR384" s="6">
        <v>0.57479999999999998</v>
      </c>
      <c r="AS384" s="6">
        <v>123</v>
      </c>
      <c r="AU384" s="17">
        <v>382</v>
      </c>
      <c r="AV384" s="6">
        <v>0.59828000000000003</v>
      </c>
      <c r="AW384" s="19">
        <v>-2.6772999999999998</v>
      </c>
      <c r="AX384" s="6">
        <v>0.57479999999999998</v>
      </c>
      <c r="AY384" s="6">
        <v>123</v>
      </c>
    </row>
    <row r="385" spans="1:51" x14ac:dyDescent="0.25">
      <c r="A385" s="31" t="s">
        <v>132</v>
      </c>
      <c r="B385" s="32">
        <v>3</v>
      </c>
      <c r="C385" s="32">
        <v>1</v>
      </c>
      <c r="D385" s="32">
        <v>6</v>
      </c>
      <c r="E385" s="32">
        <v>6</v>
      </c>
      <c r="F385" s="12">
        <v>57.3</v>
      </c>
      <c r="G385">
        <v>55.881445904954496</v>
      </c>
      <c r="H385" t="s">
        <v>12</v>
      </c>
      <c r="AB385" s="17">
        <v>383</v>
      </c>
      <c r="AC385" s="6">
        <v>3.20729</v>
      </c>
      <c r="AD385" s="19">
        <v>-11.478400000000001</v>
      </c>
      <c r="AE385" s="6">
        <v>3.0815000000000001</v>
      </c>
      <c r="AF385" s="6">
        <v>123</v>
      </c>
      <c r="AH385" s="17">
        <v>383</v>
      </c>
      <c r="AI385" s="6">
        <v>6.0995999999999997</v>
      </c>
      <c r="AJ385" s="19">
        <v>-11.478400000000001</v>
      </c>
      <c r="AK385" s="6">
        <v>3.0815000000000001</v>
      </c>
      <c r="AL385" s="6">
        <v>123</v>
      </c>
      <c r="AO385" s="17">
        <v>383</v>
      </c>
      <c r="AP385" s="6">
        <v>1.1396599999999999</v>
      </c>
      <c r="AQ385" s="19">
        <v>-4.0216000000000003</v>
      </c>
      <c r="AR385" s="6">
        <v>0.57569999999999999</v>
      </c>
      <c r="AS385" s="6">
        <v>123</v>
      </c>
      <c r="AU385" s="17">
        <v>383</v>
      </c>
      <c r="AV385" s="6">
        <v>0.59924999999999995</v>
      </c>
      <c r="AW385" s="19">
        <v>-4.0216000000000003</v>
      </c>
      <c r="AX385" s="6">
        <v>0.57569999999999999</v>
      </c>
      <c r="AY385" s="6">
        <v>123</v>
      </c>
    </row>
    <row r="386" spans="1:51" x14ac:dyDescent="0.25">
      <c r="A386" s="31" t="s">
        <v>13</v>
      </c>
      <c r="B386" s="32">
        <v>1</v>
      </c>
      <c r="C386" s="36">
        <v>7</v>
      </c>
      <c r="D386" s="36">
        <v>2</v>
      </c>
      <c r="E386" s="32">
        <v>30</v>
      </c>
      <c r="F386" s="12">
        <v>57.2</v>
      </c>
      <c r="G386">
        <v>62.851799999999983</v>
      </c>
      <c r="H386">
        <v>13.890599999999999</v>
      </c>
      <c r="AB386" s="17">
        <v>384</v>
      </c>
      <c r="AC386" s="6">
        <v>3.2016399999999998</v>
      </c>
      <c r="AD386" s="19">
        <v>-9.0111000000000008</v>
      </c>
      <c r="AE386" s="6">
        <v>3.0760999999999998</v>
      </c>
      <c r="AF386" s="6">
        <v>123</v>
      </c>
      <c r="AH386" s="17">
        <v>384</v>
      </c>
      <c r="AI386" s="6">
        <v>6.0888999999999998</v>
      </c>
      <c r="AJ386" s="19">
        <v>-9.0111000000000008</v>
      </c>
      <c r="AK386" s="6">
        <v>3.0760999999999998</v>
      </c>
      <c r="AL386" s="6">
        <v>123</v>
      </c>
      <c r="AO386" s="17">
        <v>384</v>
      </c>
      <c r="AP386" s="6">
        <v>1.14055</v>
      </c>
      <c r="AQ386" s="19">
        <v>-3.8109000000000002</v>
      </c>
      <c r="AR386" s="6">
        <v>0.57620000000000005</v>
      </c>
      <c r="AS386" s="6">
        <v>123</v>
      </c>
      <c r="AU386" s="17">
        <v>384</v>
      </c>
      <c r="AV386" s="6">
        <v>0.59972000000000003</v>
      </c>
      <c r="AW386" s="19">
        <v>-3.8109000000000002</v>
      </c>
      <c r="AX386" s="6">
        <v>0.57620000000000005</v>
      </c>
      <c r="AY386" s="6">
        <v>123</v>
      </c>
    </row>
    <row r="387" spans="1:51" x14ac:dyDescent="0.25">
      <c r="A387" s="31" t="s">
        <v>13</v>
      </c>
      <c r="B387" s="32">
        <v>2</v>
      </c>
      <c r="C387" s="36">
        <v>3</v>
      </c>
      <c r="D387" s="36">
        <v>3</v>
      </c>
      <c r="E387" s="32">
        <v>30</v>
      </c>
      <c r="F387" s="12">
        <v>57.9</v>
      </c>
      <c r="G387">
        <v>67.114959999999996</v>
      </c>
      <c r="H387">
        <v>14.070600000000001</v>
      </c>
      <c r="AB387" s="17">
        <v>385</v>
      </c>
      <c r="AC387" s="6">
        <v>5.1165500000000002</v>
      </c>
      <c r="AD387" s="19">
        <v>-5.5489999999999998E-2</v>
      </c>
      <c r="AE387" s="6">
        <v>4.9158999999999997</v>
      </c>
      <c r="AF387" s="6">
        <v>123</v>
      </c>
      <c r="AH387" s="17">
        <v>385</v>
      </c>
      <c r="AI387" s="6">
        <v>9.7307000000000006</v>
      </c>
      <c r="AJ387" s="19">
        <v>-5.5489999999999998E-2</v>
      </c>
      <c r="AK387" s="6">
        <v>4.9158999999999997</v>
      </c>
      <c r="AL387" s="6">
        <v>123</v>
      </c>
      <c r="AO387" s="17">
        <v>385</v>
      </c>
      <c r="AP387" s="6">
        <v>1.81877</v>
      </c>
      <c r="AQ387" s="19">
        <v>-3.2936999999999999</v>
      </c>
      <c r="AR387" s="6">
        <v>0.91879999999999995</v>
      </c>
      <c r="AS387" s="6">
        <v>123</v>
      </c>
      <c r="AU387" s="17">
        <v>385</v>
      </c>
      <c r="AV387" s="6">
        <v>0.95633999999999997</v>
      </c>
      <c r="AW387" s="19">
        <v>-3.2936999999999999</v>
      </c>
      <c r="AX387" s="6">
        <v>0.91879999999999995</v>
      </c>
      <c r="AY387" s="6">
        <v>123</v>
      </c>
    </row>
    <row r="388" spans="1:51" x14ac:dyDescent="0.25">
      <c r="A388" s="31" t="s">
        <v>13</v>
      </c>
      <c r="B388" s="32">
        <v>3</v>
      </c>
      <c r="C388" s="36">
        <v>16</v>
      </c>
      <c r="D388" s="36">
        <v>6</v>
      </c>
      <c r="E388" s="32">
        <v>30</v>
      </c>
      <c r="F388" s="12">
        <v>56.4</v>
      </c>
      <c r="G388">
        <v>60.80415</v>
      </c>
      <c r="H388">
        <v>13.890599999999999</v>
      </c>
      <c r="AB388" s="17">
        <v>386</v>
      </c>
      <c r="AC388" s="6">
        <v>3.2062499999999998</v>
      </c>
      <c r="AD388" s="6">
        <v>8.5404999999999998</v>
      </c>
      <c r="AE388" s="6">
        <v>3.0804999999999998</v>
      </c>
      <c r="AF388" s="6">
        <v>123</v>
      </c>
      <c r="AH388" s="17">
        <v>386</v>
      </c>
      <c r="AI388" s="6">
        <v>6.0976999999999997</v>
      </c>
      <c r="AJ388" s="6">
        <v>8.5404999999999998</v>
      </c>
      <c r="AK388" s="6">
        <v>3.0804999999999998</v>
      </c>
      <c r="AL388" s="6">
        <v>123</v>
      </c>
      <c r="AO388" s="17">
        <v>386</v>
      </c>
      <c r="AP388" s="6">
        <v>1.13626</v>
      </c>
      <c r="AQ388" s="6">
        <v>1.4791000000000001</v>
      </c>
      <c r="AR388" s="6">
        <v>0.57399999999999995</v>
      </c>
      <c r="AS388" s="6">
        <v>123</v>
      </c>
      <c r="AU388" s="17">
        <v>386</v>
      </c>
      <c r="AV388" s="6">
        <v>0.59745999999999999</v>
      </c>
      <c r="AW388" s="6">
        <v>1.4791000000000001</v>
      </c>
      <c r="AX388" s="6">
        <v>0.57399999999999995</v>
      </c>
      <c r="AY388" s="6">
        <v>123</v>
      </c>
    </row>
    <row r="389" spans="1:51" x14ac:dyDescent="0.25">
      <c r="A389" s="31" t="s">
        <v>13</v>
      </c>
      <c r="B389" s="32">
        <v>1</v>
      </c>
      <c r="C389" s="36">
        <v>9</v>
      </c>
      <c r="D389" s="36">
        <v>2</v>
      </c>
      <c r="E389" s="32">
        <v>37</v>
      </c>
      <c r="F389" s="12">
        <v>59.2</v>
      </c>
      <c r="G389">
        <v>68.603040000000007</v>
      </c>
      <c r="H389">
        <v>13.3506</v>
      </c>
      <c r="AB389" s="17">
        <v>387</v>
      </c>
      <c r="AC389" s="6">
        <v>3.1956699999999998</v>
      </c>
      <c r="AD389" s="6">
        <v>3.4424000000000001</v>
      </c>
      <c r="AE389" s="6">
        <v>3.0703</v>
      </c>
      <c r="AF389" s="6">
        <v>123</v>
      </c>
      <c r="AH389" s="17">
        <v>387</v>
      </c>
      <c r="AI389" s="6">
        <v>6.0774999999999997</v>
      </c>
      <c r="AJ389" s="6">
        <v>3.4424000000000001</v>
      </c>
      <c r="AK389" s="6">
        <v>3.0703</v>
      </c>
      <c r="AL389" s="6">
        <v>123</v>
      </c>
      <c r="AO389" s="17">
        <v>387</v>
      </c>
      <c r="AP389" s="6">
        <v>1.13951</v>
      </c>
      <c r="AQ389" s="6">
        <v>1.0488</v>
      </c>
      <c r="AR389" s="6">
        <v>0.57569999999999999</v>
      </c>
      <c r="AS389" s="6">
        <v>123</v>
      </c>
      <c r="AU389" s="17">
        <v>387</v>
      </c>
      <c r="AV389" s="6">
        <v>0.59916999999999998</v>
      </c>
      <c r="AW389" s="6">
        <v>1.0488</v>
      </c>
      <c r="AX389" s="6">
        <v>0.57569999999999999</v>
      </c>
      <c r="AY389" s="6">
        <v>123</v>
      </c>
    </row>
    <row r="390" spans="1:51" x14ac:dyDescent="0.25">
      <c r="A390" s="31" t="s">
        <v>13</v>
      </c>
      <c r="B390" s="32">
        <v>2</v>
      </c>
      <c r="C390" s="36">
        <v>4</v>
      </c>
      <c r="D390" s="36">
        <v>3</v>
      </c>
      <c r="E390" s="32">
        <v>37</v>
      </c>
      <c r="F390" s="12">
        <v>58.7</v>
      </c>
      <c r="G390">
        <v>72.454139999999981</v>
      </c>
      <c r="H390">
        <v>14.2506</v>
      </c>
      <c r="AB390" s="17">
        <v>388</v>
      </c>
      <c r="AC390" s="6">
        <v>3.2216</v>
      </c>
      <c r="AD390" s="19">
        <v>-5.1596000000000002</v>
      </c>
      <c r="AE390" s="6">
        <v>3.0952000000000002</v>
      </c>
      <c r="AF390" s="6">
        <v>123</v>
      </c>
      <c r="AH390" s="17">
        <v>388</v>
      </c>
      <c r="AI390" s="6">
        <v>6.1268000000000002</v>
      </c>
      <c r="AJ390" s="19">
        <v>-5.1596000000000002</v>
      </c>
      <c r="AK390" s="6">
        <v>3.0952000000000002</v>
      </c>
      <c r="AL390" s="6">
        <v>123</v>
      </c>
      <c r="AO390" s="17">
        <v>388</v>
      </c>
      <c r="AP390" s="6">
        <v>1.14479</v>
      </c>
      <c r="AQ390" s="6">
        <v>0.1792</v>
      </c>
      <c r="AR390" s="6">
        <v>0.57830000000000004</v>
      </c>
      <c r="AS390" s="6">
        <v>123</v>
      </c>
      <c r="AU390" s="17">
        <v>388</v>
      </c>
      <c r="AV390" s="6">
        <v>0.60194999999999999</v>
      </c>
      <c r="AW390" s="6">
        <v>0.1792</v>
      </c>
      <c r="AX390" s="6">
        <v>0.57830000000000004</v>
      </c>
      <c r="AY390" s="6">
        <v>123</v>
      </c>
    </row>
    <row r="391" spans="1:51" x14ac:dyDescent="0.25">
      <c r="A391" s="31" t="s">
        <v>13</v>
      </c>
      <c r="B391" s="32">
        <v>3</v>
      </c>
      <c r="C391" s="36">
        <v>10</v>
      </c>
      <c r="D391" s="36">
        <v>6</v>
      </c>
      <c r="E391" s="32">
        <v>37</v>
      </c>
      <c r="F391" s="12">
        <v>58.7</v>
      </c>
      <c r="G391">
        <v>60.074629999999999</v>
      </c>
      <c r="H391">
        <v>14.610600000000002</v>
      </c>
      <c r="AB391" s="17">
        <v>389</v>
      </c>
      <c r="AC391" s="6">
        <v>3.19807</v>
      </c>
      <c r="AD391" s="19">
        <v>-0.61990000000000001</v>
      </c>
      <c r="AE391" s="6">
        <v>3.0726</v>
      </c>
      <c r="AF391" s="6">
        <v>123</v>
      </c>
      <c r="AH391" s="17">
        <v>389</v>
      </c>
      <c r="AI391" s="6">
        <v>6.0820999999999996</v>
      </c>
      <c r="AJ391" s="19">
        <v>-0.61990000000000001</v>
      </c>
      <c r="AK391" s="6">
        <v>3.0726</v>
      </c>
      <c r="AL391" s="6">
        <v>123</v>
      </c>
      <c r="AO391" s="17">
        <v>389</v>
      </c>
      <c r="AP391" s="6">
        <v>1.14171</v>
      </c>
      <c r="AQ391" s="6">
        <v>2.3086000000000002</v>
      </c>
      <c r="AR391" s="6">
        <v>0.57679999999999998</v>
      </c>
      <c r="AS391" s="6">
        <v>123</v>
      </c>
      <c r="AU391" s="17">
        <v>389</v>
      </c>
      <c r="AV391" s="6">
        <v>0.60033000000000003</v>
      </c>
      <c r="AW391" s="6">
        <v>2.3086000000000002</v>
      </c>
      <c r="AX391" s="6">
        <v>0.57679999999999998</v>
      </c>
      <c r="AY391" s="6">
        <v>123</v>
      </c>
    </row>
    <row r="392" spans="1:51" x14ac:dyDescent="0.25">
      <c r="A392" s="31" t="s">
        <v>13</v>
      </c>
      <c r="B392" s="32">
        <v>1</v>
      </c>
      <c r="C392" s="36">
        <v>11</v>
      </c>
      <c r="D392" s="36">
        <v>1</v>
      </c>
      <c r="E392" s="32">
        <v>40</v>
      </c>
      <c r="F392" s="12">
        <v>58.7</v>
      </c>
      <c r="G392">
        <v>80.600849999999994</v>
      </c>
      <c r="H392">
        <v>12.630600000000001</v>
      </c>
      <c r="AB392" s="17">
        <v>390</v>
      </c>
      <c r="AC392" s="6">
        <v>3.2170399999999999</v>
      </c>
      <c r="AD392" s="6">
        <v>0.18770000000000001</v>
      </c>
      <c r="AE392" s="6">
        <v>3.0909</v>
      </c>
      <c r="AF392" s="6">
        <v>123</v>
      </c>
      <c r="AH392" s="17">
        <v>390</v>
      </c>
      <c r="AI392" s="6">
        <v>6.1181999999999999</v>
      </c>
      <c r="AJ392" s="6">
        <v>0.18770000000000001</v>
      </c>
      <c r="AK392" s="6">
        <v>3.0909</v>
      </c>
      <c r="AL392" s="6">
        <v>123</v>
      </c>
      <c r="AO392" s="17">
        <v>390</v>
      </c>
      <c r="AP392" s="6">
        <v>1.1411500000000001</v>
      </c>
      <c r="AQ392" s="19">
        <v>-0.29370000000000002</v>
      </c>
      <c r="AR392" s="6">
        <v>0.57650000000000001</v>
      </c>
      <c r="AS392" s="6">
        <v>123</v>
      </c>
      <c r="AU392" s="17">
        <v>390</v>
      </c>
      <c r="AV392" s="6">
        <v>0.60004000000000002</v>
      </c>
      <c r="AW392" s="19">
        <v>-0.29370000000000002</v>
      </c>
      <c r="AX392" s="6">
        <v>0.57650000000000001</v>
      </c>
      <c r="AY392" s="6">
        <v>123</v>
      </c>
    </row>
    <row r="393" spans="1:51" x14ac:dyDescent="0.25">
      <c r="A393" s="31" t="s">
        <v>13</v>
      </c>
      <c r="B393" s="32">
        <v>2</v>
      </c>
      <c r="C393" s="36">
        <v>16</v>
      </c>
      <c r="D393" s="36">
        <v>4</v>
      </c>
      <c r="E393" s="32">
        <v>40</v>
      </c>
      <c r="F393" s="12">
        <v>59.1</v>
      </c>
      <c r="G393">
        <v>62.79619499999999</v>
      </c>
      <c r="H393">
        <v>13.980600000000001</v>
      </c>
      <c r="AB393" s="17">
        <v>391</v>
      </c>
      <c r="AC393" s="6">
        <v>3.2280899999999999</v>
      </c>
      <c r="AD393" s="19">
        <v>-1.5932999999999999</v>
      </c>
      <c r="AE393" s="6">
        <v>3.1015000000000001</v>
      </c>
      <c r="AF393" s="6">
        <v>123</v>
      </c>
      <c r="AH393" s="17">
        <v>391</v>
      </c>
      <c r="AI393" s="6">
        <v>6.1391999999999998</v>
      </c>
      <c r="AJ393" s="19">
        <v>-1.5932999999999999</v>
      </c>
      <c r="AK393" s="6">
        <v>3.1015000000000001</v>
      </c>
      <c r="AL393" s="6">
        <v>123</v>
      </c>
      <c r="AO393" s="17">
        <v>391</v>
      </c>
      <c r="AP393" s="6">
        <v>1.14523</v>
      </c>
      <c r="AQ393" s="6">
        <v>1.5449999999999999</v>
      </c>
      <c r="AR393" s="6">
        <v>0.5786</v>
      </c>
      <c r="AS393" s="6">
        <v>123</v>
      </c>
      <c r="AU393" s="17">
        <v>391</v>
      </c>
      <c r="AV393" s="6">
        <v>0.60218000000000005</v>
      </c>
      <c r="AW393" s="6">
        <v>1.5449999999999999</v>
      </c>
      <c r="AX393" s="6">
        <v>0.5786</v>
      </c>
      <c r="AY393" s="6">
        <v>123</v>
      </c>
    </row>
    <row r="394" spans="1:51" x14ac:dyDescent="0.25">
      <c r="A394" s="31" t="s">
        <v>13</v>
      </c>
      <c r="B394" s="32">
        <v>3</v>
      </c>
      <c r="C394" s="36">
        <v>3</v>
      </c>
      <c r="D394" s="36">
        <v>5</v>
      </c>
      <c r="E394" s="32">
        <v>40</v>
      </c>
      <c r="F394" s="12">
        <v>59</v>
      </c>
      <c r="G394">
        <v>60.678639999999994</v>
      </c>
      <c r="H394">
        <v>13.710599999999999</v>
      </c>
      <c r="AB394" s="17">
        <v>392</v>
      </c>
      <c r="AC394" s="6">
        <v>3.2329300000000001</v>
      </c>
      <c r="AD394" s="6">
        <v>8.3491999999999997</v>
      </c>
      <c r="AE394" s="6">
        <v>3.1061000000000001</v>
      </c>
      <c r="AF394" s="6">
        <v>123</v>
      </c>
      <c r="AH394" s="17">
        <v>392</v>
      </c>
      <c r="AI394" s="6">
        <v>6.1483999999999996</v>
      </c>
      <c r="AJ394" s="6">
        <v>8.3491999999999997</v>
      </c>
      <c r="AK394" s="6">
        <v>3.1061000000000001</v>
      </c>
      <c r="AL394" s="6">
        <v>123</v>
      </c>
      <c r="AO394" s="17">
        <v>392</v>
      </c>
      <c r="AP394" s="6">
        <v>1.1548700000000001</v>
      </c>
      <c r="AQ394" s="6">
        <v>2.0884</v>
      </c>
      <c r="AR394" s="6">
        <v>0.58340000000000003</v>
      </c>
      <c r="AS394" s="6">
        <v>123</v>
      </c>
      <c r="AU394" s="17">
        <v>392</v>
      </c>
      <c r="AV394" s="6">
        <v>0.60724999999999996</v>
      </c>
      <c r="AW394" s="6">
        <v>2.0884</v>
      </c>
      <c r="AX394" s="6">
        <v>0.58340000000000003</v>
      </c>
      <c r="AY394" s="6">
        <v>123</v>
      </c>
    </row>
    <row r="395" spans="1:51" x14ac:dyDescent="0.25">
      <c r="A395" s="31" t="s">
        <v>13</v>
      </c>
      <c r="B395" s="32">
        <v>1</v>
      </c>
      <c r="C395" s="36">
        <v>21</v>
      </c>
      <c r="D395" s="36">
        <v>1</v>
      </c>
      <c r="E395" s="32">
        <v>41</v>
      </c>
      <c r="F395" s="12" t="s">
        <v>12</v>
      </c>
      <c r="G395" t="s">
        <v>12</v>
      </c>
      <c r="H395">
        <v>14.3406</v>
      </c>
      <c r="AB395" s="17">
        <v>393</v>
      </c>
      <c r="AC395" s="6">
        <v>3.2123699999999999</v>
      </c>
      <c r="AD395" s="19">
        <v>-3.2044000000000001</v>
      </c>
      <c r="AE395" s="6">
        <v>3.0863999999999998</v>
      </c>
      <c r="AF395" s="6">
        <v>123</v>
      </c>
      <c r="AH395" s="17">
        <v>393</v>
      </c>
      <c r="AI395" s="6">
        <v>6.1093000000000002</v>
      </c>
      <c r="AJ395" s="19">
        <v>-3.2044000000000001</v>
      </c>
      <c r="AK395" s="6">
        <v>3.0863999999999998</v>
      </c>
      <c r="AL395" s="6">
        <v>123</v>
      </c>
      <c r="AO395" s="17">
        <v>393</v>
      </c>
      <c r="AP395" s="6">
        <v>1.1494</v>
      </c>
      <c r="AQ395" s="6">
        <v>1.4072</v>
      </c>
      <c r="AR395" s="6">
        <v>0.58069999999999999</v>
      </c>
      <c r="AS395" s="6">
        <v>123</v>
      </c>
      <c r="AU395" s="17">
        <v>393</v>
      </c>
      <c r="AV395" s="6">
        <v>0.60436999999999996</v>
      </c>
      <c r="AW395" s="6">
        <v>1.4072</v>
      </c>
      <c r="AX395" s="6">
        <v>0.58069999999999999</v>
      </c>
      <c r="AY395" s="6">
        <v>123</v>
      </c>
    </row>
    <row r="396" spans="1:51" x14ac:dyDescent="0.25">
      <c r="A396" s="31" t="s">
        <v>13</v>
      </c>
      <c r="B396" s="32">
        <v>2</v>
      </c>
      <c r="C396" s="36">
        <v>18</v>
      </c>
      <c r="D396" s="36">
        <v>3</v>
      </c>
      <c r="E396" s="32">
        <v>41</v>
      </c>
      <c r="F396" s="12">
        <v>56.9</v>
      </c>
      <c r="G396">
        <v>68.888819999999996</v>
      </c>
      <c r="H396">
        <v>14.610600000000002</v>
      </c>
      <c r="AB396" s="17">
        <v>394</v>
      </c>
      <c r="AC396" s="6">
        <v>3.2179199999999999</v>
      </c>
      <c r="AD396" s="6">
        <v>0.46750000000000003</v>
      </c>
      <c r="AE396" s="6">
        <v>3.0916999999999999</v>
      </c>
      <c r="AF396" s="6">
        <v>123</v>
      </c>
      <c r="AH396" s="17">
        <v>394</v>
      </c>
      <c r="AI396" s="6">
        <v>6.1197999999999997</v>
      </c>
      <c r="AJ396" s="6">
        <v>0.46750000000000003</v>
      </c>
      <c r="AK396" s="6">
        <v>3.0916999999999999</v>
      </c>
      <c r="AL396" s="6">
        <v>123</v>
      </c>
      <c r="AO396" s="17">
        <v>394</v>
      </c>
      <c r="AP396" s="6">
        <v>1.1413</v>
      </c>
      <c r="AQ396" s="6">
        <v>1.2907</v>
      </c>
      <c r="AR396" s="6">
        <v>0.5766</v>
      </c>
      <c r="AS396" s="6">
        <v>123</v>
      </c>
      <c r="AU396" s="17">
        <v>394</v>
      </c>
      <c r="AV396" s="6">
        <v>0.60011000000000003</v>
      </c>
      <c r="AW396" s="6">
        <v>1.2907</v>
      </c>
      <c r="AX396" s="6">
        <v>0.5766</v>
      </c>
      <c r="AY396" s="6">
        <v>123</v>
      </c>
    </row>
    <row r="397" spans="1:51" x14ac:dyDescent="0.25">
      <c r="A397" s="31" t="s">
        <v>13</v>
      </c>
      <c r="B397" s="32">
        <v>3</v>
      </c>
      <c r="C397" s="36">
        <v>13</v>
      </c>
      <c r="D397" s="36">
        <v>6</v>
      </c>
      <c r="E397" s="32">
        <v>41</v>
      </c>
      <c r="F397" s="12">
        <v>56.5</v>
      </c>
      <c r="G397">
        <v>60.607634999999995</v>
      </c>
      <c r="H397">
        <v>14.610600000000002</v>
      </c>
      <c r="AB397" s="17">
        <v>395</v>
      </c>
      <c r="AC397" s="6">
        <v>3.2229700000000001</v>
      </c>
      <c r="AD397" s="6">
        <v>2.9535999999999998</v>
      </c>
      <c r="AE397" s="6">
        <v>3.0966</v>
      </c>
      <c r="AF397" s="6">
        <v>123</v>
      </c>
      <c r="AH397" s="17">
        <v>395</v>
      </c>
      <c r="AI397" s="6">
        <v>6.1295000000000002</v>
      </c>
      <c r="AJ397" s="6">
        <v>2.9535999999999998</v>
      </c>
      <c r="AK397" s="6">
        <v>3.0966</v>
      </c>
      <c r="AL397" s="6">
        <v>123</v>
      </c>
      <c r="AO397" s="17">
        <v>395</v>
      </c>
      <c r="AP397" s="6">
        <v>1.14825</v>
      </c>
      <c r="AQ397" s="6">
        <v>0.7581</v>
      </c>
      <c r="AR397" s="6">
        <v>0.58009999999999995</v>
      </c>
      <c r="AS397" s="6">
        <v>123</v>
      </c>
      <c r="AU397" s="17">
        <v>395</v>
      </c>
      <c r="AV397" s="6">
        <v>0.60377000000000003</v>
      </c>
      <c r="AW397" s="6">
        <v>0.7581</v>
      </c>
      <c r="AX397" s="6">
        <v>0.58009999999999995</v>
      </c>
      <c r="AY397" s="6">
        <v>123</v>
      </c>
    </row>
    <row r="398" spans="1:51" x14ac:dyDescent="0.25">
      <c r="A398" s="31" t="s">
        <v>13</v>
      </c>
      <c r="B398" s="32">
        <v>1</v>
      </c>
      <c r="C398" s="36">
        <v>1</v>
      </c>
      <c r="D398" s="36">
        <v>2</v>
      </c>
      <c r="E398" s="32">
        <v>20</v>
      </c>
      <c r="F398" s="12">
        <v>56.9</v>
      </c>
      <c r="G398">
        <v>64.377224999999996</v>
      </c>
      <c r="H398">
        <v>14.2506</v>
      </c>
      <c r="AB398" s="17">
        <v>396</v>
      </c>
      <c r="AC398" s="6">
        <v>3.2410000000000001</v>
      </c>
      <c r="AD398" s="6">
        <v>3.6398000000000001</v>
      </c>
      <c r="AE398" s="6">
        <v>3.1139000000000001</v>
      </c>
      <c r="AF398" s="6">
        <v>123</v>
      </c>
      <c r="AH398" s="17">
        <v>396</v>
      </c>
      <c r="AI398" s="6">
        <v>6.1638000000000002</v>
      </c>
      <c r="AJ398" s="6">
        <v>3.6398000000000001</v>
      </c>
      <c r="AK398" s="6">
        <v>3.1139000000000001</v>
      </c>
      <c r="AL398" s="6">
        <v>123</v>
      </c>
      <c r="AO398" s="17">
        <v>396</v>
      </c>
      <c r="AP398" s="6">
        <v>1.14106</v>
      </c>
      <c r="AQ398" s="6">
        <v>0.82369999999999999</v>
      </c>
      <c r="AR398" s="6">
        <v>0.57650000000000001</v>
      </c>
      <c r="AS398" s="6">
        <v>123</v>
      </c>
      <c r="AU398" s="17">
        <v>396</v>
      </c>
      <c r="AV398" s="6">
        <v>0.59999000000000002</v>
      </c>
      <c r="AW398" s="6">
        <v>0.82369999999999999</v>
      </c>
      <c r="AX398" s="6">
        <v>0.57650000000000001</v>
      </c>
      <c r="AY398" s="6">
        <v>123</v>
      </c>
    </row>
    <row r="399" spans="1:51" x14ac:dyDescent="0.25">
      <c r="A399" s="31" t="s">
        <v>13</v>
      </c>
      <c r="B399" s="32">
        <v>2</v>
      </c>
      <c r="C399" s="36">
        <v>16</v>
      </c>
      <c r="D399" s="36">
        <v>3</v>
      </c>
      <c r="E399" s="32">
        <v>20</v>
      </c>
      <c r="F399" s="12">
        <v>57.1</v>
      </c>
      <c r="G399">
        <v>79.025759999999991</v>
      </c>
      <c r="H399">
        <v>13.980600000000001</v>
      </c>
      <c r="AB399" s="17">
        <v>397</v>
      </c>
      <c r="AC399" s="6">
        <v>3.21129</v>
      </c>
      <c r="AD399" s="19">
        <v>-1.4314</v>
      </c>
      <c r="AE399" s="6">
        <v>3.0853000000000002</v>
      </c>
      <c r="AF399" s="6">
        <v>123</v>
      </c>
      <c r="AH399" s="17">
        <v>397</v>
      </c>
      <c r="AI399" s="6">
        <v>6.1071999999999997</v>
      </c>
      <c r="AJ399" s="19">
        <v>-1.4314</v>
      </c>
      <c r="AK399" s="6">
        <v>3.0853000000000002</v>
      </c>
      <c r="AL399" s="6">
        <v>123</v>
      </c>
      <c r="AO399" s="17">
        <v>397</v>
      </c>
      <c r="AP399" s="6">
        <v>1.1480900000000001</v>
      </c>
      <c r="AQ399" s="6">
        <v>1.8804000000000001</v>
      </c>
      <c r="AR399" s="6">
        <v>0.57999999999999996</v>
      </c>
      <c r="AS399" s="6">
        <v>123</v>
      </c>
      <c r="AU399" s="17">
        <v>397</v>
      </c>
      <c r="AV399" s="6">
        <v>0.60367999999999999</v>
      </c>
      <c r="AW399" s="6">
        <v>1.8804000000000001</v>
      </c>
      <c r="AX399" s="6">
        <v>0.57999999999999996</v>
      </c>
      <c r="AY399" s="6">
        <v>123</v>
      </c>
    </row>
    <row r="400" spans="1:51" x14ac:dyDescent="0.25">
      <c r="A400" s="31" t="s">
        <v>13</v>
      </c>
      <c r="B400" s="32">
        <v>3</v>
      </c>
      <c r="C400" s="36">
        <v>21</v>
      </c>
      <c r="D400" s="36">
        <v>6</v>
      </c>
      <c r="E400" s="32">
        <v>20</v>
      </c>
      <c r="F400" s="12">
        <v>56.9</v>
      </c>
      <c r="G400">
        <v>83.401064999999988</v>
      </c>
      <c r="H400">
        <v>13.710599999999999</v>
      </c>
      <c r="AB400" s="17">
        <v>398</v>
      </c>
      <c r="AC400" s="6">
        <v>3.2380300000000002</v>
      </c>
      <c r="AD400" s="6">
        <v>3.1044</v>
      </c>
      <c r="AE400" s="6">
        <v>3.1110000000000002</v>
      </c>
      <c r="AF400" s="6">
        <v>123</v>
      </c>
      <c r="AH400" s="17">
        <v>398</v>
      </c>
      <c r="AI400" s="6">
        <v>6.1581000000000001</v>
      </c>
      <c r="AJ400" s="6">
        <v>3.1044</v>
      </c>
      <c r="AK400" s="6">
        <v>3.1110000000000002</v>
      </c>
      <c r="AL400" s="6">
        <v>123</v>
      </c>
      <c r="AO400" s="17">
        <v>398</v>
      </c>
      <c r="AP400" s="6">
        <v>1.1549700000000001</v>
      </c>
      <c r="AQ400" s="6">
        <v>1.4592000000000001</v>
      </c>
      <c r="AR400" s="6">
        <v>0.58350000000000002</v>
      </c>
      <c r="AS400" s="6">
        <v>123</v>
      </c>
      <c r="AU400" s="17">
        <v>398</v>
      </c>
      <c r="AV400" s="6">
        <v>0.60729999999999995</v>
      </c>
      <c r="AW400" s="6">
        <v>1.4592000000000001</v>
      </c>
      <c r="AX400" s="6">
        <v>0.58350000000000002</v>
      </c>
      <c r="AY400" s="6">
        <v>123</v>
      </c>
    </row>
    <row r="401" spans="1:51" x14ac:dyDescent="0.25">
      <c r="A401" s="31" t="s">
        <v>13</v>
      </c>
      <c r="B401" s="32">
        <v>1</v>
      </c>
      <c r="C401" s="36">
        <v>14</v>
      </c>
      <c r="D401" s="36">
        <v>2</v>
      </c>
      <c r="E401" s="32">
        <v>32</v>
      </c>
      <c r="F401" s="12">
        <v>59.3</v>
      </c>
      <c r="G401">
        <v>74.324249999999992</v>
      </c>
      <c r="H401">
        <v>14.3406</v>
      </c>
      <c r="AB401" s="17">
        <v>399</v>
      </c>
      <c r="AC401" s="6">
        <v>3.2591000000000001</v>
      </c>
      <c r="AD401" s="19">
        <v>-6.2079000000000004</v>
      </c>
      <c r="AE401" s="6">
        <v>3.1313</v>
      </c>
      <c r="AF401" s="6">
        <v>123</v>
      </c>
      <c r="AH401" s="17">
        <v>399</v>
      </c>
      <c r="AI401" s="6">
        <v>6.1981999999999999</v>
      </c>
      <c r="AJ401" s="19">
        <v>-6.2079000000000004</v>
      </c>
      <c r="AK401" s="6">
        <v>3.1313</v>
      </c>
      <c r="AL401" s="6">
        <v>123</v>
      </c>
      <c r="AO401" s="17">
        <v>399</v>
      </c>
      <c r="AP401" s="6">
        <v>1.1639999999999999</v>
      </c>
      <c r="AQ401" s="6">
        <v>1.2596000000000001</v>
      </c>
      <c r="AR401" s="6">
        <v>0.58799999999999997</v>
      </c>
      <c r="AS401" s="6">
        <v>123</v>
      </c>
      <c r="AU401" s="17">
        <v>399</v>
      </c>
      <c r="AV401" s="6">
        <v>0.61204999999999998</v>
      </c>
      <c r="AW401" s="6">
        <v>1.2596000000000001</v>
      </c>
      <c r="AX401" s="6">
        <v>0.58799999999999997</v>
      </c>
      <c r="AY401" s="6">
        <v>123</v>
      </c>
    </row>
    <row r="402" spans="1:51" x14ac:dyDescent="0.25">
      <c r="A402" s="31" t="s">
        <v>13</v>
      </c>
      <c r="B402" s="32">
        <v>2</v>
      </c>
      <c r="C402" s="36">
        <v>11</v>
      </c>
      <c r="D402" s="36">
        <v>4</v>
      </c>
      <c r="E402" s="32">
        <v>32</v>
      </c>
      <c r="F402" s="12">
        <v>58.9</v>
      </c>
      <c r="G402">
        <v>75.469239999999999</v>
      </c>
      <c r="H402">
        <v>15.240600000000001</v>
      </c>
      <c r="AB402" s="17">
        <v>400</v>
      </c>
      <c r="AC402" s="6">
        <v>3.2468900000000001</v>
      </c>
      <c r="AD402" s="6">
        <v>1.9351</v>
      </c>
      <c r="AE402" s="6">
        <v>3.1194999999999999</v>
      </c>
      <c r="AF402" s="6">
        <v>123</v>
      </c>
      <c r="AH402" s="17">
        <v>400</v>
      </c>
      <c r="AI402" s="6">
        <v>6.1749999999999998</v>
      </c>
      <c r="AJ402" s="6">
        <v>1.9351</v>
      </c>
      <c r="AK402" s="6">
        <v>3.1194999999999999</v>
      </c>
      <c r="AL402" s="6">
        <v>123</v>
      </c>
      <c r="AO402" s="17">
        <v>400</v>
      </c>
      <c r="AP402" s="6">
        <v>1.1441399999999999</v>
      </c>
      <c r="AQ402" s="6">
        <v>1.1795</v>
      </c>
      <c r="AR402" s="6">
        <v>0.57799999999999996</v>
      </c>
      <c r="AS402" s="6">
        <v>123</v>
      </c>
      <c r="AU402" s="17">
        <v>400</v>
      </c>
      <c r="AV402" s="6">
        <v>0.60160999999999998</v>
      </c>
      <c r="AW402" s="6">
        <v>1.1795</v>
      </c>
      <c r="AX402" s="6">
        <v>0.57799999999999996</v>
      </c>
      <c r="AY402" s="6">
        <v>123</v>
      </c>
    </row>
    <row r="403" spans="1:51" x14ac:dyDescent="0.25">
      <c r="A403" s="31" t="s">
        <v>13</v>
      </c>
      <c r="B403" s="32">
        <v>3</v>
      </c>
      <c r="C403" s="36">
        <v>9</v>
      </c>
      <c r="D403" s="36">
        <v>6</v>
      </c>
      <c r="E403" s="32">
        <v>32</v>
      </c>
      <c r="F403" s="12">
        <v>59</v>
      </c>
      <c r="G403">
        <v>79.609529999999992</v>
      </c>
      <c r="H403">
        <v>15.150600000000001</v>
      </c>
      <c r="AB403" s="17">
        <v>401</v>
      </c>
      <c r="AC403" s="6">
        <v>3.2181899999999999</v>
      </c>
      <c r="AD403" s="6">
        <v>4.5236000000000001</v>
      </c>
      <c r="AE403" s="6">
        <v>3.0920000000000001</v>
      </c>
      <c r="AF403" s="6">
        <v>123</v>
      </c>
      <c r="AH403" s="17">
        <v>401</v>
      </c>
      <c r="AI403" s="6">
        <v>6.1204000000000001</v>
      </c>
      <c r="AJ403" s="6">
        <v>4.5236000000000001</v>
      </c>
      <c r="AK403" s="6">
        <v>3.0920000000000001</v>
      </c>
      <c r="AL403" s="6">
        <v>123</v>
      </c>
      <c r="AO403" s="17">
        <v>401</v>
      </c>
      <c r="AP403" s="6">
        <v>1.14238</v>
      </c>
      <c r="AQ403" s="6">
        <v>3.0379999999999998</v>
      </c>
      <c r="AR403" s="6">
        <v>0.57709999999999995</v>
      </c>
      <c r="AS403" s="6">
        <v>123</v>
      </c>
      <c r="AU403" s="17">
        <v>401</v>
      </c>
      <c r="AV403" s="6">
        <v>0.60067999999999999</v>
      </c>
      <c r="AW403" s="6">
        <v>3.0379999999999998</v>
      </c>
      <c r="AX403" s="6">
        <v>0.57709999999999995</v>
      </c>
      <c r="AY403" s="6">
        <v>123</v>
      </c>
    </row>
    <row r="404" spans="1:51" x14ac:dyDescent="0.25">
      <c r="A404" s="31" t="s">
        <v>13</v>
      </c>
      <c r="B404" s="32">
        <v>1</v>
      </c>
      <c r="C404" s="36">
        <v>6</v>
      </c>
      <c r="D404" s="36">
        <v>2</v>
      </c>
      <c r="E404" s="32">
        <v>21</v>
      </c>
      <c r="F404" s="12">
        <v>57.6</v>
      </c>
      <c r="G404">
        <v>71.420359999999988</v>
      </c>
      <c r="H404">
        <v>13.980600000000001</v>
      </c>
      <c r="AB404" s="17">
        <v>402</v>
      </c>
      <c r="AC404" s="6">
        <v>3.22289</v>
      </c>
      <c r="AD404" s="6">
        <v>5.6894999999999998</v>
      </c>
      <c r="AE404" s="6">
        <v>3.0964999999999998</v>
      </c>
      <c r="AF404" s="6">
        <v>123</v>
      </c>
      <c r="AH404" s="17">
        <v>402</v>
      </c>
      <c r="AI404" s="6">
        <v>6.1292999999999997</v>
      </c>
      <c r="AJ404" s="6">
        <v>5.6894999999999998</v>
      </c>
      <c r="AK404" s="6">
        <v>3.0964999999999998</v>
      </c>
      <c r="AL404" s="6">
        <v>123</v>
      </c>
      <c r="AO404" s="17">
        <v>402</v>
      </c>
      <c r="AP404" s="6">
        <v>1.1489100000000001</v>
      </c>
      <c r="AQ404" s="6">
        <v>1.5126999999999999</v>
      </c>
      <c r="AR404" s="6">
        <v>0.58040000000000003</v>
      </c>
      <c r="AS404" s="6">
        <v>123</v>
      </c>
      <c r="AU404" s="17">
        <v>402</v>
      </c>
      <c r="AV404" s="6">
        <v>0.60411000000000004</v>
      </c>
      <c r="AW404" s="6">
        <v>1.5126999999999999</v>
      </c>
      <c r="AX404" s="6">
        <v>0.58040000000000003</v>
      </c>
      <c r="AY404" s="6">
        <v>123</v>
      </c>
    </row>
    <row r="405" spans="1:51" x14ac:dyDescent="0.25">
      <c r="A405" s="31" t="s">
        <v>13</v>
      </c>
      <c r="B405" s="32">
        <v>2</v>
      </c>
      <c r="C405" s="36">
        <v>5</v>
      </c>
      <c r="D405" s="36">
        <v>3</v>
      </c>
      <c r="E405" s="32">
        <v>21</v>
      </c>
      <c r="F405" s="12">
        <v>58.3</v>
      </c>
      <c r="G405">
        <v>77.82929</v>
      </c>
      <c r="H405">
        <v>13.2606</v>
      </c>
      <c r="AB405" s="17">
        <v>403</v>
      </c>
      <c r="AC405" s="6">
        <v>3.2152799999999999</v>
      </c>
      <c r="AD405" s="6">
        <v>10.908300000000001</v>
      </c>
      <c r="AE405" s="6">
        <v>3.0891999999999999</v>
      </c>
      <c r="AF405" s="6">
        <v>123</v>
      </c>
      <c r="AH405" s="17">
        <v>403</v>
      </c>
      <c r="AI405" s="6">
        <v>6.1147999999999998</v>
      </c>
      <c r="AJ405" s="6">
        <v>10.908300000000001</v>
      </c>
      <c r="AK405" s="6">
        <v>3.0891999999999999</v>
      </c>
      <c r="AL405" s="6">
        <v>123</v>
      </c>
      <c r="AO405" s="17">
        <v>403</v>
      </c>
      <c r="AP405" s="6">
        <v>1.14086</v>
      </c>
      <c r="AQ405" s="6">
        <v>1.5596000000000001</v>
      </c>
      <c r="AR405" s="6">
        <v>0.57640000000000002</v>
      </c>
      <c r="AS405" s="6">
        <v>123</v>
      </c>
      <c r="AU405" s="17">
        <v>403</v>
      </c>
      <c r="AV405" s="6">
        <v>0.59987999999999997</v>
      </c>
      <c r="AW405" s="6">
        <v>1.5596000000000001</v>
      </c>
      <c r="AX405" s="6">
        <v>0.57640000000000002</v>
      </c>
      <c r="AY405" s="6">
        <v>123</v>
      </c>
    </row>
    <row r="406" spans="1:51" x14ac:dyDescent="0.25">
      <c r="A406" s="31" t="s">
        <v>13</v>
      </c>
      <c r="B406" s="32">
        <v>3</v>
      </c>
      <c r="C406" s="36">
        <v>18</v>
      </c>
      <c r="D406" s="36">
        <v>6</v>
      </c>
      <c r="E406" s="32">
        <v>21</v>
      </c>
      <c r="F406" s="12">
        <v>57.2</v>
      </c>
      <c r="G406">
        <v>77.774234999999976</v>
      </c>
      <c r="H406">
        <v>14.2506</v>
      </c>
      <c r="AB406" s="17">
        <v>404</v>
      </c>
      <c r="AC406" s="6">
        <v>3.20642</v>
      </c>
      <c r="AD406" s="6">
        <v>8.0571999999999999</v>
      </c>
      <c r="AE406" s="6">
        <v>3.0807000000000002</v>
      </c>
      <c r="AF406" s="6">
        <v>123</v>
      </c>
      <c r="AH406" s="17">
        <v>404</v>
      </c>
      <c r="AI406" s="6">
        <v>6.0979999999999999</v>
      </c>
      <c r="AJ406" s="6">
        <v>8.0571999999999999</v>
      </c>
      <c r="AK406" s="6">
        <v>3.0807000000000002</v>
      </c>
      <c r="AL406" s="6">
        <v>123</v>
      </c>
      <c r="AO406" s="17">
        <v>404</v>
      </c>
      <c r="AP406" s="6">
        <v>1.14293</v>
      </c>
      <c r="AQ406" s="6">
        <v>1.8238000000000001</v>
      </c>
      <c r="AR406" s="6">
        <v>0.57740000000000002</v>
      </c>
      <c r="AS406" s="6">
        <v>123</v>
      </c>
      <c r="AU406" s="17">
        <v>404</v>
      </c>
      <c r="AV406" s="6">
        <v>0.60097</v>
      </c>
      <c r="AW406" s="6">
        <v>1.8238000000000001</v>
      </c>
      <c r="AX406" s="6">
        <v>0.57740000000000002</v>
      </c>
      <c r="AY406" s="6">
        <v>123</v>
      </c>
    </row>
    <row r="407" spans="1:51" x14ac:dyDescent="0.25">
      <c r="A407" s="31" t="s">
        <v>13</v>
      </c>
      <c r="B407" s="32">
        <v>1</v>
      </c>
      <c r="C407" s="36">
        <v>16</v>
      </c>
      <c r="D407" s="36">
        <v>1</v>
      </c>
      <c r="E407" s="32">
        <v>29</v>
      </c>
      <c r="F407" s="12">
        <v>57.8</v>
      </c>
      <c r="G407">
        <v>64.639574999999994</v>
      </c>
      <c r="H407">
        <v>13.620600000000001</v>
      </c>
      <c r="AB407" s="17">
        <v>405</v>
      </c>
      <c r="AC407" s="6">
        <v>3.2201399999999998</v>
      </c>
      <c r="AD407" s="19">
        <v>-3.6423000000000001</v>
      </c>
      <c r="AE407" s="6">
        <v>3.0937999999999999</v>
      </c>
      <c r="AF407" s="6">
        <v>123</v>
      </c>
      <c r="AH407" s="17">
        <v>405</v>
      </c>
      <c r="AI407" s="6">
        <v>6.1241000000000003</v>
      </c>
      <c r="AJ407" s="19">
        <v>-3.6423000000000001</v>
      </c>
      <c r="AK407" s="6">
        <v>3.0937999999999999</v>
      </c>
      <c r="AL407" s="6">
        <v>123</v>
      </c>
      <c r="AO407" s="17">
        <v>405</v>
      </c>
      <c r="AP407" s="6">
        <v>1.14116</v>
      </c>
      <c r="AQ407" s="19">
        <v>-0.3019</v>
      </c>
      <c r="AR407" s="6">
        <v>0.57650000000000001</v>
      </c>
      <c r="AS407" s="6">
        <v>123</v>
      </c>
      <c r="AU407" s="17">
        <v>405</v>
      </c>
      <c r="AV407" s="6">
        <v>0.60004000000000002</v>
      </c>
      <c r="AW407" s="19">
        <v>-0.3019</v>
      </c>
      <c r="AX407" s="6">
        <v>0.57650000000000001</v>
      </c>
      <c r="AY407" s="6">
        <v>123</v>
      </c>
    </row>
    <row r="408" spans="1:51" x14ac:dyDescent="0.25">
      <c r="A408" s="31" t="s">
        <v>13</v>
      </c>
      <c r="B408" s="32">
        <v>2</v>
      </c>
      <c r="C408" s="36">
        <v>14</v>
      </c>
      <c r="D408" s="36">
        <v>3</v>
      </c>
      <c r="E408" s="32">
        <v>29</v>
      </c>
      <c r="F408" s="12">
        <v>57.5</v>
      </c>
      <c r="G408">
        <v>69.678619999999981</v>
      </c>
      <c r="H408">
        <v>14.070600000000001</v>
      </c>
      <c r="AB408" s="17">
        <v>406</v>
      </c>
      <c r="AC408" s="6">
        <v>3.2028699999999999</v>
      </c>
      <c r="AD408" s="6">
        <v>0.61739999999999995</v>
      </c>
      <c r="AE408" s="6">
        <v>3.0773000000000001</v>
      </c>
      <c r="AF408" s="6">
        <v>123</v>
      </c>
      <c r="AH408" s="17">
        <v>406</v>
      </c>
      <c r="AI408" s="6">
        <v>6.0911999999999997</v>
      </c>
      <c r="AJ408" s="6">
        <v>0.61739999999999995</v>
      </c>
      <c r="AK408" s="6">
        <v>3.0773000000000001</v>
      </c>
      <c r="AL408" s="6">
        <v>123</v>
      </c>
      <c r="AO408" s="17">
        <v>406</v>
      </c>
      <c r="AP408" s="6">
        <v>1.1376999999999999</v>
      </c>
      <c r="AQ408" s="6">
        <v>1.1368</v>
      </c>
      <c r="AR408" s="6">
        <v>0.57479999999999998</v>
      </c>
      <c r="AS408" s="6">
        <v>123</v>
      </c>
      <c r="AU408" s="17">
        <v>406</v>
      </c>
      <c r="AV408" s="6">
        <v>0.59821999999999997</v>
      </c>
      <c r="AW408" s="6">
        <v>1.1368</v>
      </c>
      <c r="AX408" s="6">
        <v>0.57479999999999998</v>
      </c>
      <c r="AY408" s="6">
        <v>123</v>
      </c>
    </row>
    <row r="409" spans="1:51" x14ac:dyDescent="0.25">
      <c r="A409" s="31" t="s">
        <v>13</v>
      </c>
      <c r="B409" s="32">
        <v>3</v>
      </c>
      <c r="C409" s="36">
        <v>21</v>
      </c>
      <c r="D409" s="36">
        <v>5</v>
      </c>
      <c r="E409" s="32">
        <v>29</v>
      </c>
      <c r="F409" s="12">
        <v>57.6</v>
      </c>
      <c r="G409">
        <v>55.23265</v>
      </c>
      <c r="H409">
        <v>13.3506</v>
      </c>
      <c r="AB409" s="17">
        <v>407</v>
      </c>
      <c r="AC409" s="6">
        <v>3.2239800000000001</v>
      </c>
      <c r="AD409" s="6">
        <v>1.7168000000000001</v>
      </c>
      <c r="AE409" s="6">
        <v>3.0975000000000001</v>
      </c>
      <c r="AF409" s="6">
        <v>123</v>
      </c>
      <c r="AH409" s="17">
        <v>407</v>
      </c>
      <c r="AI409" s="6">
        <v>6.1314000000000002</v>
      </c>
      <c r="AJ409" s="6">
        <v>1.7168000000000001</v>
      </c>
      <c r="AK409" s="6">
        <v>3.0975000000000001</v>
      </c>
      <c r="AL409" s="6">
        <v>123</v>
      </c>
      <c r="AO409" s="17">
        <v>407</v>
      </c>
      <c r="AP409" s="6">
        <v>1.14283</v>
      </c>
      <c r="AQ409" s="6">
        <v>1.8065</v>
      </c>
      <c r="AR409" s="6">
        <v>0.57730000000000004</v>
      </c>
      <c r="AS409" s="6">
        <v>123</v>
      </c>
      <c r="AU409" s="17">
        <v>407</v>
      </c>
      <c r="AV409" s="6">
        <v>0.60092000000000001</v>
      </c>
      <c r="AW409" s="6">
        <v>1.8065</v>
      </c>
      <c r="AX409" s="6">
        <v>0.57730000000000004</v>
      </c>
      <c r="AY409" s="6">
        <v>123</v>
      </c>
    </row>
    <row r="410" spans="1:51" x14ac:dyDescent="0.25">
      <c r="A410" s="31" t="s">
        <v>13</v>
      </c>
      <c r="B410" s="32">
        <v>1</v>
      </c>
      <c r="C410" s="36">
        <v>18</v>
      </c>
      <c r="D410" s="36">
        <v>2</v>
      </c>
      <c r="E410" s="32">
        <v>22</v>
      </c>
      <c r="F410" s="12">
        <v>58.7</v>
      </c>
      <c r="G410">
        <v>71.162409999999994</v>
      </c>
      <c r="H410">
        <v>12.720600000000001</v>
      </c>
      <c r="AB410" s="17">
        <v>408</v>
      </c>
      <c r="AC410" s="6">
        <v>3.2278099999999998</v>
      </c>
      <c r="AD410" s="19">
        <v>-2.4308000000000001</v>
      </c>
      <c r="AE410" s="6">
        <v>3.1012</v>
      </c>
      <c r="AF410" s="6">
        <v>123</v>
      </c>
      <c r="AH410" s="17">
        <v>408</v>
      </c>
      <c r="AI410" s="6">
        <v>6.1387</v>
      </c>
      <c r="AJ410" s="19">
        <v>-2.4308000000000001</v>
      </c>
      <c r="AK410" s="6">
        <v>3.1012</v>
      </c>
      <c r="AL410" s="6">
        <v>123</v>
      </c>
      <c r="AO410" s="17">
        <v>408</v>
      </c>
      <c r="AP410" s="6">
        <v>1.1572100000000001</v>
      </c>
      <c r="AQ410" s="6">
        <v>0.86509999999999998</v>
      </c>
      <c r="AR410" s="6">
        <v>0.58460000000000001</v>
      </c>
      <c r="AS410" s="6">
        <v>123</v>
      </c>
      <c r="AU410" s="17">
        <v>408</v>
      </c>
      <c r="AV410" s="6">
        <v>0.60848000000000002</v>
      </c>
      <c r="AW410" s="6">
        <v>0.86509999999999998</v>
      </c>
      <c r="AX410" s="6">
        <v>0.58460000000000001</v>
      </c>
      <c r="AY410" s="6">
        <v>123</v>
      </c>
    </row>
    <row r="411" spans="1:51" x14ac:dyDescent="0.25">
      <c r="A411" s="31" t="s">
        <v>13</v>
      </c>
      <c r="B411" s="32">
        <v>2</v>
      </c>
      <c r="C411" s="36">
        <v>1</v>
      </c>
      <c r="D411" s="36">
        <v>3</v>
      </c>
      <c r="E411" s="32">
        <v>22</v>
      </c>
      <c r="F411" s="12">
        <v>59</v>
      </c>
      <c r="G411">
        <v>71.572050000000004</v>
      </c>
      <c r="H411">
        <v>12.810600000000001</v>
      </c>
      <c r="AB411" s="17">
        <v>409</v>
      </c>
      <c r="AC411" s="6">
        <v>3.2212499999999999</v>
      </c>
      <c r="AD411" s="6">
        <v>6.6146000000000003</v>
      </c>
      <c r="AE411" s="6">
        <v>3.0949</v>
      </c>
      <c r="AF411" s="6">
        <v>123</v>
      </c>
      <c r="AH411" s="17">
        <v>409</v>
      </c>
      <c r="AI411" s="6">
        <v>6.1261999999999999</v>
      </c>
      <c r="AJ411" s="6">
        <v>6.6146000000000003</v>
      </c>
      <c r="AK411" s="6">
        <v>3.0949</v>
      </c>
      <c r="AL411" s="6">
        <v>123</v>
      </c>
      <c r="AO411" s="17">
        <v>409</v>
      </c>
      <c r="AP411" s="6">
        <v>1.14689</v>
      </c>
      <c r="AQ411" s="6">
        <v>0.31290000000000001</v>
      </c>
      <c r="AR411" s="6">
        <v>0.57940000000000003</v>
      </c>
      <c r="AS411" s="6">
        <v>123</v>
      </c>
      <c r="AU411" s="17">
        <v>409</v>
      </c>
      <c r="AV411" s="6">
        <v>0.60306000000000004</v>
      </c>
      <c r="AW411" s="6">
        <v>0.31290000000000001</v>
      </c>
      <c r="AX411" s="6">
        <v>0.57940000000000003</v>
      </c>
      <c r="AY411" s="6">
        <v>123</v>
      </c>
    </row>
    <row r="412" spans="1:51" x14ac:dyDescent="0.25">
      <c r="A412" s="31" t="s">
        <v>13</v>
      </c>
      <c r="B412" s="32">
        <v>3</v>
      </c>
      <c r="C412" s="36">
        <v>7</v>
      </c>
      <c r="D412" s="36">
        <v>5</v>
      </c>
      <c r="E412" s="32">
        <v>22</v>
      </c>
      <c r="F412" s="12">
        <v>58.7</v>
      </c>
      <c r="G412">
        <v>61.910199999999989</v>
      </c>
      <c r="H412">
        <v>13.530600000000002</v>
      </c>
      <c r="AB412" s="17">
        <v>410</v>
      </c>
      <c r="AC412" s="6">
        <v>3.2099199999999999</v>
      </c>
      <c r="AD412" s="6">
        <v>0.3921</v>
      </c>
      <c r="AE412" s="6">
        <v>3.0840000000000001</v>
      </c>
      <c r="AF412" s="6">
        <v>123</v>
      </c>
      <c r="AH412" s="17">
        <v>410</v>
      </c>
      <c r="AI412" s="6">
        <v>6.1045999999999996</v>
      </c>
      <c r="AJ412" s="6">
        <v>0.3921</v>
      </c>
      <c r="AK412" s="6">
        <v>3.0840000000000001</v>
      </c>
      <c r="AL412" s="6">
        <v>123</v>
      </c>
      <c r="AO412" s="17">
        <v>410</v>
      </c>
      <c r="AP412" s="6">
        <v>1.14123</v>
      </c>
      <c r="AQ412" s="6">
        <v>0.36820000000000003</v>
      </c>
      <c r="AR412" s="6">
        <v>0.57650000000000001</v>
      </c>
      <c r="AS412" s="6">
        <v>123</v>
      </c>
      <c r="AU412" s="17">
        <v>410</v>
      </c>
      <c r="AV412" s="6">
        <v>0.60007999999999995</v>
      </c>
      <c r="AW412" s="6">
        <v>0.36820000000000003</v>
      </c>
      <c r="AX412" s="6">
        <v>0.57650000000000001</v>
      </c>
      <c r="AY412" s="6">
        <v>123</v>
      </c>
    </row>
    <row r="413" spans="1:51" x14ac:dyDescent="0.25">
      <c r="A413" s="31" t="s">
        <v>13</v>
      </c>
      <c r="B413" s="32">
        <v>1</v>
      </c>
      <c r="C413" s="36">
        <v>18</v>
      </c>
      <c r="D413" s="36">
        <v>1</v>
      </c>
      <c r="E413" s="32">
        <v>18</v>
      </c>
      <c r="F413" s="12">
        <v>57.8</v>
      </c>
      <c r="G413">
        <v>54.973379999999992</v>
      </c>
      <c r="H413">
        <v>14.4306</v>
      </c>
      <c r="AB413" s="17">
        <v>411</v>
      </c>
      <c r="AC413" s="6">
        <v>3.2077100000000001</v>
      </c>
      <c r="AD413" s="6">
        <v>2.2410000000000001</v>
      </c>
      <c r="AE413" s="6">
        <v>3.0819000000000001</v>
      </c>
      <c r="AF413" s="6">
        <v>123</v>
      </c>
      <c r="AH413" s="17">
        <v>411</v>
      </c>
      <c r="AI413" s="6">
        <v>6.1003999999999996</v>
      </c>
      <c r="AJ413" s="6">
        <v>2.2410000000000001</v>
      </c>
      <c r="AK413" s="6">
        <v>3.0819000000000001</v>
      </c>
      <c r="AL413" s="6">
        <v>123</v>
      </c>
      <c r="AO413" s="17">
        <v>411</v>
      </c>
      <c r="AP413" s="6">
        <v>1.13896</v>
      </c>
      <c r="AQ413" s="19">
        <v>-9.1520000000000004E-2</v>
      </c>
      <c r="AR413" s="6">
        <v>0.57540000000000002</v>
      </c>
      <c r="AS413" s="6">
        <v>123</v>
      </c>
      <c r="AU413" s="17">
        <v>411</v>
      </c>
      <c r="AV413" s="6">
        <v>0.59887999999999997</v>
      </c>
      <c r="AW413" s="19">
        <v>-9.1520000000000004E-2</v>
      </c>
      <c r="AX413" s="6">
        <v>0.57540000000000002</v>
      </c>
      <c r="AY413" s="6">
        <v>123</v>
      </c>
    </row>
    <row r="414" spans="1:51" x14ac:dyDescent="0.25">
      <c r="A414" s="31" t="s">
        <v>13</v>
      </c>
      <c r="B414" s="32">
        <v>2</v>
      </c>
      <c r="C414" s="36">
        <v>6</v>
      </c>
      <c r="D414" s="36">
        <v>4</v>
      </c>
      <c r="E414" s="32">
        <v>18</v>
      </c>
      <c r="F414" s="12">
        <v>56.9</v>
      </c>
      <c r="G414">
        <v>64.671749999999989</v>
      </c>
      <c r="H414">
        <v>14.070600000000001</v>
      </c>
      <c r="AB414" s="17">
        <v>412</v>
      </c>
      <c r="AC414" s="6">
        <v>3.2456999999999998</v>
      </c>
      <c r="AD414" s="6">
        <v>9.1936</v>
      </c>
      <c r="AE414" s="6">
        <v>3.1183999999999998</v>
      </c>
      <c r="AF414" s="6">
        <v>123</v>
      </c>
      <c r="AH414" s="17">
        <v>412</v>
      </c>
      <c r="AI414" s="6">
        <v>6.1726999999999999</v>
      </c>
      <c r="AJ414" s="6">
        <v>9.1936</v>
      </c>
      <c r="AK414" s="6">
        <v>3.1183999999999998</v>
      </c>
      <c r="AL414" s="6">
        <v>123</v>
      </c>
      <c r="AO414" s="17">
        <v>412</v>
      </c>
      <c r="AP414" s="6">
        <v>1.1623000000000001</v>
      </c>
      <c r="AQ414" s="6">
        <v>2.2136999999999998</v>
      </c>
      <c r="AR414" s="6">
        <v>0.58720000000000006</v>
      </c>
      <c r="AS414" s="6">
        <v>123</v>
      </c>
      <c r="AU414" s="17">
        <v>412</v>
      </c>
      <c r="AV414" s="6">
        <v>0.61116000000000004</v>
      </c>
      <c r="AW414" s="6">
        <v>2.2136999999999998</v>
      </c>
      <c r="AX414" s="6">
        <v>0.58720000000000006</v>
      </c>
      <c r="AY414" s="6">
        <v>123</v>
      </c>
    </row>
    <row r="415" spans="1:51" x14ac:dyDescent="0.25">
      <c r="A415" s="31" t="s">
        <v>13</v>
      </c>
      <c r="B415" s="32">
        <v>3</v>
      </c>
      <c r="C415" s="36">
        <v>14</v>
      </c>
      <c r="D415" s="36">
        <v>6</v>
      </c>
      <c r="E415" s="32">
        <v>18</v>
      </c>
      <c r="F415" s="12">
        <v>56.9</v>
      </c>
      <c r="G415">
        <v>59.245339999999992</v>
      </c>
      <c r="H415">
        <v>14.5206</v>
      </c>
      <c r="AB415" s="17">
        <v>413</v>
      </c>
      <c r="AC415" s="6">
        <v>3.2288800000000002</v>
      </c>
      <c r="AD415" s="6">
        <v>2.8658999999999999</v>
      </c>
      <c r="AE415" s="6">
        <v>3.1021999999999998</v>
      </c>
      <c r="AF415" s="6">
        <v>123</v>
      </c>
      <c r="AH415" s="17">
        <v>413</v>
      </c>
      <c r="AI415" s="6">
        <v>6.1406999999999998</v>
      </c>
      <c r="AJ415" s="6">
        <v>2.8658999999999999</v>
      </c>
      <c r="AK415" s="6">
        <v>3.1021999999999998</v>
      </c>
      <c r="AL415" s="6">
        <v>123</v>
      </c>
      <c r="AO415" s="17">
        <v>413</v>
      </c>
      <c r="AP415" s="6">
        <v>1.1464700000000001</v>
      </c>
      <c r="AQ415" s="19">
        <v>-0.14860000000000001</v>
      </c>
      <c r="AR415" s="6">
        <v>0.57920000000000005</v>
      </c>
      <c r="AS415" s="6">
        <v>123</v>
      </c>
      <c r="AU415" s="17">
        <v>413</v>
      </c>
      <c r="AV415" s="6">
        <v>0.60284000000000004</v>
      </c>
      <c r="AW415" s="19">
        <v>-0.14860000000000001</v>
      </c>
      <c r="AX415" s="6">
        <v>0.57920000000000005</v>
      </c>
      <c r="AY415" s="6">
        <v>123</v>
      </c>
    </row>
    <row r="416" spans="1:51" x14ac:dyDescent="0.25">
      <c r="A416" s="31" t="s">
        <v>13</v>
      </c>
      <c r="B416" s="32">
        <v>1</v>
      </c>
      <c r="C416" s="36">
        <v>1</v>
      </c>
      <c r="D416" s="36">
        <v>1</v>
      </c>
      <c r="E416" s="32">
        <v>14</v>
      </c>
      <c r="F416" s="12">
        <v>58.9</v>
      </c>
      <c r="G416">
        <v>76.619784999999993</v>
      </c>
      <c r="H416">
        <v>12.720600000000001</v>
      </c>
      <c r="AB416" s="17">
        <v>414</v>
      </c>
      <c r="AC416" s="6">
        <v>3.23916</v>
      </c>
      <c r="AD416" s="6">
        <v>13.6556</v>
      </c>
      <c r="AE416" s="6">
        <v>3.1120999999999999</v>
      </c>
      <c r="AF416" s="6">
        <v>123</v>
      </c>
      <c r="AH416" s="17">
        <v>414</v>
      </c>
      <c r="AI416" s="6">
        <v>6.1601999999999997</v>
      </c>
      <c r="AJ416" s="6">
        <v>13.6556</v>
      </c>
      <c r="AK416" s="6">
        <v>3.1120999999999999</v>
      </c>
      <c r="AL416" s="6">
        <v>123</v>
      </c>
      <c r="AO416" s="17">
        <v>414</v>
      </c>
      <c r="AP416" s="6">
        <v>1.1478299999999999</v>
      </c>
      <c r="AQ416" s="6">
        <v>2.5282</v>
      </c>
      <c r="AR416" s="6">
        <v>0.57989999999999997</v>
      </c>
      <c r="AS416" s="6">
        <v>123</v>
      </c>
      <c r="AU416" s="17">
        <v>414</v>
      </c>
      <c r="AV416" s="6">
        <v>0.60355000000000003</v>
      </c>
      <c r="AW416" s="6">
        <v>2.5282</v>
      </c>
      <c r="AX416" s="6">
        <v>0.57989999999999997</v>
      </c>
      <c r="AY416" s="6">
        <v>123</v>
      </c>
    </row>
    <row r="417" spans="1:51" x14ac:dyDescent="0.25">
      <c r="A417" s="31" t="s">
        <v>13</v>
      </c>
      <c r="B417" s="32">
        <v>2</v>
      </c>
      <c r="C417" s="36">
        <v>8</v>
      </c>
      <c r="D417" s="36">
        <v>4</v>
      </c>
      <c r="E417" s="32">
        <v>14</v>
      </c>
      <c r="F417" s="12">
        <v>58.4</v>
      </c>
      <c r="G417">
        <v>72.672600000000003</v>
      </c>
      <c r="H417">
        <v>14.070600000000001</v>
      </c>
      <c r="AB417" s="17">
        <v>415</v>
      </c>
      <c r="AC417" s="6">
        <v>3.22383</v>
      </c>
      <c r="AD417" s="6">
        <v>11.428599999999999</v>
      </c>
      <c r="AE417" s="6">
        <v>3.0973999999999999</v>
      </c>
      <c r="AF417" s="6">
        <v>123</v>
      </c>
      <c r="AH417" s="17">
        <v>415</v>
      </c>
      <c r="AI417" s="6">
        <v>6.1311</v>
      </c>
      <c r="AJ417" s="6">
        <v>11.428599999999999</v>
      </c>
      <c r="AK417" s="6">
        <v>3.0973999999999999</v>
      </c>
      <c r="AL417" s="6">
        <v>123</v>
      </c>
      <c r="AO417" s="17">
        <v>415</v>
      </c>
      <c r="AP417" s="6">
        <v>1.1491</v>
      </c>
      <c r="AQ417" s="6">
        <v>2.3252999999999999</v>
      </c>
      <c r="AR417" s="6">
        <v>0.58050000000000002</v>
      </c>
      <c r="AS417" s="6">
        <v>123</v>
      </c>
      <c r="AU417" s="17">
        <v>415</v>
      </c>
      <c r="AV417" s="6">
        <v>0.60421999999999998</v>
      </c>
      <c r="AW417" s="6">
        <v>2.3252999999999999</v>
      </c>
      <c r="AX417" s="6">
        <v>0.58050000000000002</v>
      </c>
      <c r="AY417" s="6">
        <v>123</v>
      </c>
    </row>
    <row r="418" spans="1:51" x14ac:dyDescent="0.25">
      <c r="A418" s="31" t="s">
        <v>13</v>
      </c>
      <c r="B418" s="32">
        <v>3</v>
      </c>
      <c r="C418" s="36">
        <v>9</v>
      </c>
      <c r="D418" s="36">
        <v>5</v>
      </c>
      <c r="E418" s="32">
        <v>14</v>
      </c>
      <c r="F418" s="12">
        <v>59</v>
      </c>
      <c r="G418">
        <v>76.070279999999997</v>
      </c>
      <c r="H418">
        <v>13.2606</v>
      </c>
      <c r="AB418" s="17">
        <v>416</v>
      </c>
      <c r="AC418" s="6">
        <v>3.2193399999999999</v>
      </c>
      <c r="AD418" s="6">
        <v>2.4782999999999999</v>
      </c>
      <c r="AE418" s="6">
        <v>3.0931000000000002</v>
      </c>
      <c r="AF418" s="6">
        <v>123</v>
      </c>
      <c r="AH418" s="17">
        <v>416</v>
      </c>
      <c r="AI418" s="6">
        <v>6.1226000000000003</v>
      </c>
      <c r="AJ418" s="6">
        <v>2.4782999999999999</v>
      </c>
      <c r="AK418" s="6">
        <v>3.0931000000000002</v>
      </c>
      <c r="AL418" s="6">
        <v>123</v>
      </c>
      <c r="AO418" s="17">
        <v>416</v>
      </c>
      <c r="AP418" s="6">
        <v>1.1409100000000001</v>
      </c>
      <c r="AQ418" s="6">
        <v>0.98109999999999997</v>
      </c>
      <c r="AR418" s="6">
        <v>0.57640000000000002</v>
      </c>
      <c r="AS418" s="6">
        <v>123</v>
      </c>
      <c r="AU418" s="17">
        <v>416</v>
      </c>
      <c r="AV418" s="6">
        <v>0.59991000000000005</v>
      </c>
      <c r="AW418" s="6">
        <v>0.98109999999999997</v>
      </c>
      <c r="AX418" s="6">
        <v>0.57640000000000002</v>
      </c>
      <c r="AY418" s="6">
        <v>123</v>
      </c>
    </row>
    <row r="419" spans="1:51" x14ac:dyDescent="0.25">
      <c r="A419" s="31" t="s">
        <v>13</v>
      </c>
      <c r="B419" s="32">
        <v>1</v>
      </c>
      <c r="C419" s="36">
        <v>19</v>
      </c>
      <c r="D419" s="36">
        <v>1</v>
      </c>
      <c r="E419" s="32">
        <v>15</v>
      </c>
      <c r="F419" s="12">
        <v>56.9</v>
      </c>
      <c r="G419">
        <v>72.779849999999982</v>
      </c>
      <c r="H419">
        <v>13.800599999999999</v>
      </c>
      <c r="AB419" s="17">
        <v>417</v>
      </c>
      <c r="AC419" s="6">
        <v>3.2204999999999999</v>
      </c>
      <c r="AD419" s="6">
        <v>4.9457000000000004</v>
      </c>
      <c r="AE419" s="6">
        <v>3.0941999999999998</v>
      </c>
      <c r="AF419" s="6">
        <v>123</v>
      </c>
      <c r="AH419" s="17">
        <v>417</v>
      </c>
      <c r="AI419" s="6">
        <v>6.1247999999999996</v>
      </c>
      <c r="AJ419" s="6">
        <v>4.9457000000000004</v>
      </c>
      <c r="AK419" s="6">
        <v>3.0941999999999998</v>
      </c>
      <c r="AL419" s="6">
        <v>123</v>
      </c>
      <c r="AO419" s="17">
        <v>417</v>
      </c>
      <c r="AP419" s="6">
        <v>1.1432500000000001</v>
      </c>
      <c r="AQ419" s="6">
        <v>1.1918</v>
      </c>
      <c r="AR419" s="6">
        <v>0.5776</v>
      </c>
      <c r="AS419" s="6">
        <v>123</v>
      </c>
      <c r="AU419" s="17">
        <v>417</v>
      </c>
      <c r="AV419" s="6">
        <v>0.60114000000000001</v>
      </c>
      <c r="AW419" s="6">
        <v>1.1918</v>
      </c>
      <c r="AX419" s="6">
        <v>0.5776</v>
      </c>
      <c r="AY419" s="6">
        <v>123</v>
      </c>
    </row>
    <row r="420" spans="1:51" x14ac:dyDescent="0.25">
      <c r="A420" s="31" t="s">
        <v>13</v>
      </c>
      <c r="B420" s="32">
        <v>2</v>
      </c>
      <c r="C420" s="36">
        <v>13</v>
      </c>
      <c r="D420" s="36">
        <v>4</v>
      </c>
      <c r="E420" s="32">
        <v>15</v>
      </c>
      <c r="F420" s="12">
        <v>56.2</v>
      </c>
      <c r="G420">
        <v>68.777005000000003</v>
      </c>
      <c r="H420">
        <v>13.800599999999999</v>
      </c>
      <c r="AB420" s="17">
        <v>418</v>
      </c>
      <c r="AC420" s="6">
        <v>5.1252300000000002</v>
      </c>
      <c r="AD420" s="6">
        <v>13.901300000000001</v>
      </c>
      <c r="AE420" s="6">
        <v>4.9241999999999999</v>
      </c>
      <c r="AF420" s="6">
        <v>123</v>
      </c>
      <c r="AH420" s="17">
        <v>418</v>
      </c>
      <c r="AI420" s="6">
        <v>9.7471999999999994</v>
      </c>
      <c r="AJ420" s="6">
        <v>13.901300000000001</v>
      </c>
      <c r="AK420" s="6">
        <v>4.9241999999999999</v>
      </c>
      <c r="AL420" s="6">
        <v>123</v>
      </c>
      <c r="AO420" s="17">
        <v>418</v>
      </c>
      <c r="AP420" s="6">
        <v>1.81498</v>
      </c>
      <c r="AQ420" s="6">
        <v>1.7090000000000001</v>
      </c>
      <c r="AR420" s="6">
        <v>0.91690000000000005</v>
      </c>
      <c r="AS420" s="6">
        <v>123</v>
      </c>
      <c r="AU420" s="17">
        <v>418</v>
      </c>
      <c r="AV420" s="6">
        <v>0.95435000000000003</v>
      </c>
      <c r="AW420" s="6">
        <v>1.7090000000000001</v>
      </c>
      <c r="AX420" s="6">
        <v>0.91690000000000005</v>
      </c>
      <c r="AY420" s="6">
        <v>123</v>
      </c>
    </row>
    <row r="421" spans="1:51" x14ac:dyDescent="0.25">
      <c r="A421" s="31" t="s">
        <v>13</v>
      </c>
      <c r="B421" s="32">
        <v>3</v>
      </c>
      <c r="C421" s="36">
        <v>14</v>
      </c>
      <c r="D421" s="36">
        <v>5</v>
      </c>
      <c r="E421" s="32">
        <v>15</v>
      </c>
      <c r="F421" s="12">
        <v>56.9</v>
      </c>
      <c r="G421">
        <v>61.942649999999986</v>
      </c>
      <c r="H421">
        <v>13.530600000000002</v>
      </c>
      <c r="AB421" s="17">
        <v>419</v>
      </c>
      <c r="AC421" s="6">
        <v>3.1954600000000002</v>
      </c>
      <c r="AD421" s="19">
        <v>-5.0982000000000003</v>
      </c>
      <c r="AE421" s="6">
        <v>3.0701000000000001</v>
      </c>
      <c r="AF421" s="6">
        <v>123</v>
      </c>
      <c r="AH421" s="17">
        <v>419</v>
      </c>
      <c r="AI421" s="6">
        <v>6.0770999999999997</v>
      </c>
      <c r="AJ421" s="19">
        <v>-5.0982000000000003</v>
      </c>
      <c r="AK421" s="6">
        <v>3.0701000000000001</v>
      </c>
      <c r="AL421" s="6">
        <v>123</v>
      </c>
      <c r="AO421" s="17">
        <v>419</v>
      </c>
      <c r="AP421" s="6">
        <v>1.13289</v>
      </c>
      <c r="AQ421" s="19">
        <v>-0.43030000000000002</v>
      </c>
      <c r="AR421" s="6">
        <v>0.57230000000000003</v>
      </c>
      <c r="AS421" s="6">
        <v>123</v>
      </c>
      <c r="AU421" s="17">
        <v>419</v>
      </c>
      <c r="AV421" s="6">
        <v>0.59569000000000005</v>
      </c>
      <c r="AW421" s="19">
        <v>-0.43030000000000002</v>
      </c>
      <c r="AX421" s="6">
        <v>0.57230000000000003</v>
      </c>
      <c r="AY421" s="6">
        <v>123</v>
      </c>
    </row>
    <row r="422" spans="1:51" x14ac:dyDescent="0.25">
      <c r="A422" s="31" t="s">
        <v>13</v>
      </c>
      <c r="B422" s="32">
        <v>1</v>
      </c>
      <c r="C422" s="36">
        <v>4</v>
      </c>
      <c r="D422" s="36">
        <v>1</v>
      </c>
      <c r="E422" s="32">
        <v>16</v>
      </c>
      <c r="F422" s="12">
        <v>60.3</v>
      </c>
      <c r="G422">
        <v>70.808319999999981</v>
      </c>
      <c r="H422">
        <v>12.900600000000001</v>
      </c>
      <c r="AB422" s="17">
        <v>420</v>
      </c>
      <c r="AC422" s="6">
        <v>3.2103100000000002</v>
      </c>
      <c r="AD422" s="19">
        <v>-13.700100000000001</v>
      </c>
      <c r="AE422" s="6">
        <v>3.0844</v>
      </c>
      <c r="AF422" s="6">
        <v>123</v>
      </c>
      <c r="AH422" s="17">
        <v>420</v>
      </c>
      <c r="AI422" s="6">
        <v>6.1054000000000004</v>
      </c>
      <c r="AJ422" s="19">
        <v>-13.700100000000001</v>
      </c>
      <c r="AK422" s="6">
        <v>3.0844</v>
      </c>
      <c r="AL422" s="6">
        <v>123</v>
      </c>
      <c r="AO422" s="17">
        <v>420</v>
      </c>
      <c r="AP422" s="6">
        <v>1.14066</v>
      </c>
      <c r="AQ422" s="19">
        <v>-1.2998000000000001</v>
      </c>
      <c r="AR422" s="6">
        <v>0.57630000000000003</v>
      </c>
      <c r="AS422" s="6">
        <v>123</v>
      </c>
      <c r="AU422" s="17">
        <v>420</v>
      </c>
      <c r="AV422" s="6">
        <v>0.59977999999999998</v>
      </c>
      <c r="AW422" s="19">
        <v>-1.2998000000000001</v>
      </c>
      <c r="AX422" s="6">
        <v>0.57630000000000003</v>
      </c>
      <c r="AY422" s="6">
        <v>123</v>
      </c>
    </row>
    <row r="423" spans="1:51" x14ac:dyDescent="0.25">
      <c r="A423" s="31" t="s">
        <v>13</v>
      </c>
      <c r="B423" s="32">
        <v>2</v>
      </c>
      <c r="C423" s="36">
        <v>19</v>
      </c>
      <c r="D423" s="36">
        <v>3</v>
      </c>
      <c r="E423" s="32">
        <v>16</v>
      </c>
      <c r="F423" s="12">
        <v>60.4</v>
      </c>
      <c r="G423">
        <v>77.614845000000003</v>
      </c>
      <c r="H423">
        <v>11.640599999999999</v>
      </c>
      <c r="AB423" s="17">
        <v>421</v>
      </c>
      <c r="AC423" s="6">
        <v>3.2094299999999998</v>
      </c>
      <c r="AD423" s="19">
        <v>-9.1605000000000008</v>
      </c>
      <c r="AE423" s="6">
        <v>3.0836000000000001</v>
      </c>
      <c r="AF423" s="6">
        <v>123</v>
      </c>
      <c r="AH423" s="17">
        <v>421</v>
      </c>
      <c r="AI423" s="6">
        <v>6.1036999999999999</v>
      </c>
      <c r="AJ423" s="19">
        <v>-9.1605000000000008</v>
      </c>
      <c r="AK423" s="6">
        <v>3.0836000000000001</v>
      </c>
      <c r="AL423" s="6">
        <v>123</v>
      </c>
      <c r="AO423" s="17">
        <v>421</v>
      </c>
      <c r="AP423" s="6">
        <v>1.1449100000000001</v>
      </c>
      <c r="AQ423" s="6">
        <v>0.8296</v>
      </c>
      <c r="AR423" s="6">
        <v>0.57840000000000003</v>
      </c>
      <c r="AS423" s="6">
        <v>123</v>
      </c>
      <c r="AU423" s="17">
        <v>421</v>
      </c>
      <c r="AV423" s="6">
        <v>0.60201000000000005</v>
      </c>
      <c r="AW423" s="6">
        <v>0.8296</v>
      </c>
      <c r="AX423" s="6">
        <v>0.57840000000000003</v>
      </c>
      <c r="AY423" s="6">
        <v>123</v>
      </c>
    </row>
    <row r="424" spans="1:51" x14ac:dyDescent="0.25">
      <c r="A424" s="31" t="s">
        <v>13</v>
      </c>
      <c r="B424" s="32">
        <v>3</v>
      </c>
      <c r="C424" s="36">
        <v>17</v>
      </c>
      <c r="D424" s="36">
        <v>5</v>
      </c>
      <c r="E424" s="32">
        <v>16</v>
      </c>
      <c r="F424" s="12">
        <v>59.3</v>
      </c>
      <c r="G424">
        <v>66.267299999999992</v>
      </c>
      <c r="H424">
        <v>13.1706</v>
      </c>
      <c r="AB424" s="17">
        <v>422</v>
      </c>
      <c r="AC424" s="6">
        <v>3.1963200000000001</v>
      </c>
      <c r="AD424" s="19">
        <v>-8.3528000000000002</v>
      </c>
      <c r="AE424" s="6">
        <v>3.0710000000000002</v>
      </c>
      <c r="AF424" s="6">
        <v>123</v>
      </c>
      <c r="AH424" s="17">
        <v>422</v>
      </c>
      <c r="AI424" s="6">
        <v>6.0788000000000002</v>
      </c>
      <c r="AJ424" s="19">
        <v>-8.3528000000000002</v>
      </c>
      <c r="AK424" s="6">
        <v>3.0710000000000002</v>
      </c>
      <c r="AL424" s="6">
        <v>123</v>
      </c>
      <c r="AO424" s="17">
        <v>422</v>
      </c>
      <c r="AP424" s="6">
        <v>1.1338600000000001</v>
      </c>
      <c r="AQ424" s="19">
        <v>-1.7727999999999999</v>
      </c>
      <c r="AR424" s="6">
        <v>0.57279999999999998</v>
      </c>
      <c r="AS424" s="6">
        <v>123</v>
      </c>
      <c r="AU424" s="17">
        <v>422</v>
      </c>
      <c r="AV424" s="6">
        <v>0.59619999999999995</v>
      </c>
      <c r="AW424" s="19">
        <v>-1.7727999999999999</v>
      </c>
      <c r="AX424" s="6">
        <v>0.57279999999999998</v>
      </c>
      <c r="AY424" s="6">
        <v>123</v>
      </c>
    </row>
    <row r="425" spans="1:51" x14ac:dyDescent="0.25">
      <c r="A425" s="31" t="s">
        <v>13</v>
      </c>
      <c r="B425" s="32">
        <v>1</v>
      </c>
      <c r="C425" s="36">
        <v>20</v>
      </c>
      <c r="D425" s="36">
        <v>1</v>
      </c>
      <c r="E425" s="32">
        <v>11</v>
      </c>
      <c r="F425" s="12">
        <v>59.7</v>
      </c>
      <c r="G425">
        <v>74.686700000000002</v>
      </c>
      <c r="H425">
        <v>13.620600000000001</v>
      </c>
      <c r="AB425" s="17">
        <v>423</v>
      </c>
      <c r="AC425" s="6">
        <v>3.2179099999999998</v>
      </c>
      <c r="AD425" s="19">
        <v>-10.133800000000001</v>
      </c>
      <c r="AE425" s="6">
        <v>3.0916999999999999</v>
      </c>
      <c r="AF425" s="6">
        <v>123</v>
      </c>
      <c r="AH425" s="17">
        <v>423</v>
      </c>
      <c r="AI425" s="6">
        <v>6.1197999999999997</v>
      </c>
      <c r="AJ425" s="19">
        <v>-10.133800000000001</v>
      </c>
      <c r="AK425" s="6">
        <v>3.0916999999999999</v>
      </c>
      <c r="AL425" s="6">
        <v>123</v>
      </c>
      <c r="AO425" s="17">
        <v>423</v>
      </c>
      <c r="AP425" s="6">
        <v>1.14181</v>
      </c>
      <c r="AQ425" s="6">
        <v>6.5960000000000005E-2</v>
      </c>
      <c r="AR425" s="6">
        <v>0.57679999999999998</v>
      </c>
      <c r="AS425" s="6">
        <v>123</v>
      </c>
      <c r="AU425" s="17">
        <v>423</v>
      </c>
      <c r="AV425" s="6">
        <v>0.60038000000000002</v>
      </c>
      <c r="AW425" s="6">
        <v>6.5960000000000005E-2</v>
      </c>
      <c r="AX425" s="6">
        <v>0.57679999999999998</v>
      </c>
      <c r="AY425" s="6">
        <v>123</v>
      </c>
    </row>
    <row r="426" spans="1:51" x14ac:dyDescent="0.25">
      <c r="A426" s="31" t="s">
        <v>13</v>
      </c>
      <c r="B426" s="32">
        <v>2</v>
      </c>
      <c r="C426" s="36">
        <v>3</v>
      </c>
      <c r="D426" s="36">
        <v>4</v>
      </c>
      <c r="E426" s="32">
        <v>11</v>
      </c>
      <c r="F426" s="12">
        <v>59.1</v>
      </c>
      <c r="G426">
        <v>70.16069499999999</v>
      </c>
      <c r="H426">
        <v>12.990599999999999</v>
      </c>
      <c r="AB426" s="17">
        <v>424</v>
      </c>
      <c r="AC426" s="6">
        <v>3.2267100000000002</v>
      </c>
      <c r="AD426" s="19">
        <v>-0.19139999999999999</v>
      </c>
      <c r="AE426" s="6">
        <v>3.1002000000000001</v>
      </c>
      <c r="AF426" s="6">
        <v>123</v>
      </c>
      <c r="AH426" s="17">
        <v>424</v>
      </c>
      <c r="AI426" s="6">
        <v>6.1365999999999996</v>
      </c>
      <c r="AJ426" s="19">
        <v>-0.19139999999999999</v>
      </c>
      <c r="AK426" s="6">
        <v>3.1002000000000001</v>
      </c>
      <c r="AL426" s="6">
        <v>123</v>
      </c>
      <c r="AO426" s="17">
        <v>424</v>
      </c>
      <c r="AP426" s="6">
        <v>1.15357</v>
      </c>
      <c r="AQ426" s="6">
        <v>0.60929999999999995</v>
      </c>
      <c r="AR426" s="6">
        <v>0.58279999999999998</v>
      </c>
      <c r="AS426" s="6">
        <v>123</v>
      </c>
      <c r="AU426" s="17">
        <v>424</v>
      </c>
      <c r="AV426" s="6">
        <v>0.60657000000000005</v>
      </c>
      <c r="AW426" s="6">
        <v>0.60929999999999995</v>
      </c>
      <c r="AX426" s="6">
        <v>0.58279999999999998</v>
      </c>
      <c r="AY426" s="6">
        <v>123</v>
      </c>
    </row>
    <row r="427" spans="1:51" x14ac:dyDescent="0.25">
      <c r="A427" s="31" t="s">
        <v>13</v>
      </c>
      <c r="B427" s="32">
        <v>3</v>
      </c>
      <c r="C427" s="36">
        <v>11</v>
      </c>
      <c r="D427" s="36">
        <v>6</v>
      </c>
      <c r="E427" s="32">
        <v>11</v>
      </c>
      <c r="F427" s="12">
        <v>58.9</v>
      </c>
      <c r="G427">
        <v>68.628559999999993</v>
      </c>
      <c r="H427">
        <v>13.620600000000001</v>
      </c>
      <c r="AB427" s="17">
        <v>425</v>
      </c>
      <c r="AC427" s="6">
        <v>3.2136999999999998</v>
      </c>
      <c r="AD427" s="19">
        <v>-11.744899999999999</v>
      </c>
      <c r="AE427" s="6">
        <v>3.0876999999999999</v>
      </c>
      <c r="AF427" s="6">
        <v>123</v>
      </c>
      <c r="AH427" s="17">
        <v>425</v>
      </c>
      <c r="AI427" s="6">
        <v>6.1117999999999997</v>
      </c>
      <c r="AJ427" s="19">
        <v>-11.744899999999999</v>
      </c>
      <c r="AK427" s="6">
        <v>3.0876999999999999</v>
      </c>
      <c r="AL427" s="6">
        <v>123</v>
      </c>
      <c r="AO427" s="17">
        <v>425</v>
      </c>
      <c r="AP427" s="6">
        <v>1.1522699999999999</v>
      </c>
      <c r="AQ427" s="19">
        <v>-7.1889999999999996E-2</v>
      </c>
      <c r="AR427" s="6">
        <v>0.58209999999999995</v>
      </c>
      <c r="AS427" s="6">
        <v>123</v>
      </c>
      <c r="AU427" s="17">
        <v>425</v>
      </c>
      <c r="AV427" s="6">
        <v>0.60587999999999997</v>
      </c>
      <c r="AW427" s="19">
        <v>-7.1889999999999996E-2</v>
      </c>
      <c r="AX427" s="6">
        <v>0.58209999999999995</v>
      </c>
      <c r="AY427" s="6">
        <v>123</v>
      </c>
    </row>
    <row r="428" spans="1:51" x14ac:dyDescent="0.25">
      <c r="A428" s="31" t="s">
        <v>13</v>
      </c>
      <c r="B428" s="32">
        <v>1</v>
      </c>
      <c r="C428" s="36">
        <v>4</v>
      </c>
      <c r="D428" s="36">
        <v>2</v>
      </c>
      <c r="E428" s="32">
        <v>1</v>
      </c>
      <c r="F428" s="12">
        <v>57.9</v>
      </c>
      <c r="G428">
        <v>70.231754999999993</v>
      </c>
      <c r="H428">
        <v>13.0806</v>
      </c>
      <c r="AB428" s="17">
        <v>426</v>
      </c>
      <c r="AC428" s="6">
        <v>3.1995800000000001</v>
      </c>
      <c r="AD428" s="19">
        <v>-8.0731000000000002</v>
      </c>
      <c r="AE428" s="6">
        <v>3.0741000000000001</v>
      </c>
      <c r="AF428" s="6">
        <v>123</v>
      </c>
      <c r="AH428" s="17">
        <v>426</v>
      </c>
      <c r="AI428" s="6">
        <v>6.085</v>
      </c>
      <c r="AJ428" s="19">
        <v>-8.0731000000000002</v>
      </c>
      <c r="AK428" s="6">
        <v>3.0741000000000001</v>
      </c>
      <c r="AL428" s="6">
        <v>123</v>
      </c>
      <c r="AO428" s="17">
        <v>426</v>
      </c>
      <c r="AP428" s="6">
        <v>1.1403300000000001</v>
      </c>
      <c r="AQ428" s="19">
        <v>-0.18840000000000001</v>
      </c>
      <c r="AR428" s="6">
        <v>0.57609999999999995</v>
      </c>
      <c r="AS428" s="6">
        <v>123</v>
      </c>
      <c r="AU428" s="17">
        <v>426</v>
      </c>
      <c r="AV428" s="6">
        <v>0.59960999999999998</v>
      </c>
      <c r="AW428" s="19">
        <v>-0.18840000000000001</v>
      </c>
      <c r="AX428" s="6">
        <v>0.57609999999999995</v>
      </c>
      <c r="AY428" s="6">
        <v>123</v>
      </c>
    </row>
    <row r="429" spans="1:51" x14ac:dyDescent="0.25">
      <c r="A429" s="31" t="s">
        <v>13</v>
      </c>
      <c r="B429" s="32">
        <v>2</v>
      </c>
      <c r="C429" s="36">
        <v>10</v>
      </c>
      <c r="D429" s="36">
        <v>4</v>
      </c>
      <c r="E429" s="32">
        <v>1</v>
      </c>
      <c r="F429" s="12">
        <v>57.1</v>
      </c>
      <c r="G429">
        <v>68.552494999999993</v>
      </c>
      <c r="H429">
        <v>13.3506</v>
      </c>
      <c r="AB429" s="17">
        <v>427</v>
      </c>
      <c r="AC429" s="6">
        <v>3.2022400000000002</v>
      </c>
      <c r="AD429" s="19">
        <v>-5.5869</v>
      </c>
      <c r="AE429" s="6">
        <v>3.0766</v>
      </c>
      <c r="AF429" s="6">
        <v>123</v>
      </c>
      <c r="AH429" s="17">
        <v>427</v>
      </c>
      <c r="AI429" s="6">
        <v>6.09</v>
      </c>
      <c r="AJ429" s="19">
        <v>-5.5869</v>
      </c>
      <c r="AK429" s="6">
        <v>3.0766</v>
      </c>
      <c r="AL429" s="6">
        <v>123</v>
      </c>
      <c r="AO429" s="17">
        <v>427</v>
      </c>
      <c r="AP429" s="6">
        <v>1.14185</v>
      </c>
      <c r="AQ429" s="19">
        <v>-0.72089999999999999</v>
      </c>
      <c r="AR429" s="6">
        <v>0.57689999999999997</v>
      </c>
      <c r="AS429" s="6">
        <v>123</v>
      </c>
      <c r="AU429" s="17">
        <v>427</v>
      </c>
      <c r="AV429" s="6">
        <v>0.60040000000000004</v>
      </c>
      <c r="AW429" s="19">
        <v>-0.72089999999999999</v>
      </c>
      <c r="AX429" s="6">
        <v>0.57689999999999997</v>
      </c>
      <c r="AY429" s="6">
        <v>123</v>
      </c>
    </row>
    <row r="430" spans="1:51" x14ac:dyDescent="0.25">
      <c r="A430" s="31" t="s">
        <v>13</v>
      </c>
      <c r="B430" s="32">
        <v>3</v>
      </c>
      <c r="C430" s="36">
        <v>5</v>
      </c>
      <c r="D430" s="36">
        <v>5</v>
      </c>
      <c r="E430" s="32">
        <v>1</v>
      </c>
      <c r="F430" s="12">
        <v>57.6</v>
      </c>
      <c r="G430">
        <v>61.182274999999997</v>
      </c>
      <c r="H430">
        <v>13.710599999999999</v>
      </c>
      <c r="AB430" s="17">
        <v>428</v>
      </c>
      <c r="AC430" s="6">
        <v>3.21997</v>
      </c>
      <c r="AD430" s="19">
        <v>-4.9008000000000003</v>
      </c>
      <c r="AE430" s="6">
        <v>3.0937000000000001</v>
      </c>
      <c r="AF430" s="6">
        <v>123</v>
      </c>
      <c r="AH430" s="17">
        <v>428</v>
      </c>
      <c r="AI430" s="6">
        <v>6.1237000000000004</v>
      </c>
      <c r="AJ430" s="19">
        <v>-4.9008000000000003</v>
      </c>
      <c r="AK430" s="6">
        <v>3.0937000000000001</v>
      </c>
      <c r="AL430" s="6">
        <v>123</v>
      </c>
      <c r="AO430" s="17">
        <v>428</v>
      </c>
      <c r="AP430" s="6">
        <v>1.1400699999999999</v>
      </c>
      <c r="AQ430" s="19">
        <v>-0.65539999999999998</v>
      </c>
      <c r="AR430" s="6">
        <v>0.57599999999999996</v>
      </c>
      <c r="AS430" s="6">
        <v>123</v>
      </c>
      <c r="AU430" s="17">
        <v>428</v>
      </c>
      <c r="AV430" s="6">
        <v>0.59946999999999995</v>
      </c>
      <c r="AW430" s="19">
        <v>-0.65539999999999998</v>
      </c>
      <c r="AX430" s="6">
        <v>0.57599999999999996</v>
      </c>
      <c r="AY430" s="6">
        <v>123</v>
      </c>
    </row>
    <row r="431" spans="1:51" x14ac:dyDescent="0.25">
      <c r="A431" s="31" t="s">
        <v>13</v>
      </c>
      <c r="B431" s="32">
        <v>1</v>
      </c>
      <c r="C431" s="36">
        <v>12</v>
      </c>
      <c r="D431" s="36">
        <v>1</v>
      </c>
      <c r="E431" s="32">
        <v>17</v>
      </c>
      <c r="F431" s="12">
        <v>58.6</v>
      </c>
      <c r="G431">
        <v>83.865704999999991</v>
      </c>
      <c r="H431">
        <v>11.460599999999999</v>
      </c>
      <c r="AB431" s="17">
        <v>429</v>
      </c>
      <c r="AC431" s="6">
        <v>3.2191200000000002</v>
      </c>
      <c r="AD431" s="19">
        <v>-9.9719999999999995</v>
      </c>
      <c r="AE431" s="6">
        <v>3.0929000000000002</v>
      </c>
      <c r="AF431" s="6">
        <v>123</v>
      </c>
      <c r="AH431" s="17">
        <v>429</v>
      </c>
      <c r="AI431" s="6">
        <v>6.1220999999999997</v>
      </c>
      <c r="AJ431" s="19">
        <v>-9.9719999999999995</v>
      </c>
      <c r="AK431" s="6">
        <v>3.0929000000000002</v>
      </c>
      <c r="AL431" s="6">
        <v>123</v>
      </c>
      <c r="AO431" s="17">
        <v>429</v>
      </c>
      <c r="AP431" s="6">
        <v>1.1475200000000001</v>
      </c>
      <c r="AQ431" s="6">
        <v>0.40139999999999998</v>
      </c>
      <c r="AR431" s="6">
        <v>0.57969999999999999</v>
      </c>
      <c r="AS431" s="6">
        <v>123</v>
      </c>
      <c r="AU431" s="17">
        <v>429</v>
      </c>
      <c r="AV431" s="6">
        <v>0.60338000000000003</v>
      </c>
      <c r="AW431" s="6">
        <v>0.40139999999999998</v>
      </c>
      <c r="AX431" s="6">
        <v>0.57969999999999999</v>
      </c>
      <c r="AY431" s="6">
        <v>123</v>
      </c>
    </row>
    <row r="432" spans="1:51" x14ac:dyDescent="0.25">
      <c r="A432" s="31" t="s">
        <v>13</v>
      </c>
      <c r="B432" s="32">
        <v>2</v>
      </c>
      <c r="C432" s="36">
        <v>10</v>
      </c>
      <c r="D432" s="36">
        <v>3</v>
      </c>
      <c r="E432" s="32">
        <v>17</v>
      </c>
      <c r="F432" s="12">
        <v>58.5</v>
      </c>
      <c r="G432">
        <v>82.492409999999992</v>
      </c>
      <c r="H432">
        <v>12.4506</v>
      </c>
      <c r="AB432" s="17">
        <v>430</v>
      </c>
      <c r="AC432" s="6">
        <v>3.2171699999999999</v>
      </c>
      <c r="AD432" s="19">
        <v>-5.4362000000000004</v>
      </c>
      <c r="AE432" s="6">
        <v>3.0910000000000002</v>
      </c>
      <c r="AF432" s="6">
        <v>123</v>
      </c>
      <c r="AH432" s="17">
        <v>430</v>
      </c>
      <c r="AI432" s="6">
        <v>6.1184000000000003</v>
      </c>
      <c r="AJ432" s="19">
        <v>-5.4362000000000004</v>
      </c>
      <c r="AK432" s="6">
        <v>3.0910000000000002</v>
      </c>
      <c r="AL432" s="6">
        <v>123</v>
      </c>
      <c r="AO432" s="17">
        <v>430</v>
      </c>
      <c r="AP432" s="6">
        <v>1.1516999999999999</v>
      </c>
      <c r="AQ432" s="19">
        <v>-1.9900000000000001E-2</v>
      </c>
      <c r="AR432" s="6">
        <v>0.58179999999999998</v>
      </c>
      <c r="AS432" s="6">
        <v>123</v>
      </c>
      <c r="AU432" s="17">
        <v>430</v>
      </c>
      <c r="AV432" s="6">
        <v>0.60558000000000001</v>
      </c>
      <c r="AW432" s="19">
        <v>-1.9900000000000001E-2</v>
      </c>
      <c r="AX432" s="6">
        <v>0.58179999999999998</v>
      </c>
      <c r="AY432" s="6">
        <v>123</v>
      </c>
    </row>
    <row r="433" spans="1:51" x14ac:dyDescent="0.25">
      <c r="A433" s="31" t="s">
        <v>13</v>
      </c>
      <c r="B433" s="32">
        <v>3</v>
      </c>
      <c r="C433" s="36">
        <v>19</v>
      </c>
      <c r="D433" s="36">
        <v>5</v>
      </c>
      <c r="E433" s="32">
        <v>17</v>
      </c>
      <c r="F433" s="12">
        <v>57.6</v>
      </c>
      <c r="G433">
        <v>60.238859999999988</v>
      </c>
      <c r="H433">
        <v>13.1706</v>
      </c>
      <c r="AB433" s="17">
        <v>431</v>
      </c>
      <c r="AC433" s="6">
        <v>3.2545799999999998</v>
      </c>
      <c r="AD433" s="19">
        <v>-14.7484</v>
      </c>
      <c r="AE433" s="6">
        <v>3.1269</v>
      </c>
      <c r="AF433" s="6">
        <v>123</v>
      </c>
      <c r="AH433" s="17">
        <v>431</v>
      </c>
      <c r="AI433" s="6">
        <v>6.1896000000000004</v>
      </c>
      <c r="AJ433" s="19">
        <v>-14.7484</v>
      </c>
      <c r="AK433" s="6">
        <v>3.1269</v>
      </c>
      <c r="AL433" s="6">
        <v>123</v>
      </c>
      <c r="AO433" s="17">
        <v>431</v>
      </c>
      <c r="AP433" s="6">
        <v>1.1678299999999999</v>
      </c>
      <c r="AQ433" s="19">
        <v>-0.2195</v>
      </c>
      <c r="AR433" s="6">
        <v>0.59</v>
      </c>
      <c r="AS433" s="6">
        <v>123</v>
      </c>
      <c r="AU433" s="17">
        <v>431</v>
      </c>
      <c r="AV433" s="6">
        <v>0.61407</v>
      </c>
      <c r="AW433" s="19">
        <v>-0.2195</v>
      </c>
      <c r="AX433" s="6">
        <v>0.59</v>
      </c>
      <c r="AY433" s="6">
        <v>123</v>
      </c>
    </row>
    <row r="434" spans="1:51" x14ac:dyDescent="0.25">
      <c r="A434" s="31" t="s">
        <v>13</v>
      </c>
      <c r="B434" s="32">
        <v>1</v>
      </c>
      <c r="C434" s="36">
        <v>17</v>
      </c>
      <c r="D434" s="36">
        <v>2</v>
      </c>
      <c r="E434" s="32">
        <v>12</v>
      </c>
      <c r="F434" s="12">
        <v>58.3</v>
      </c>
      <c r="G434">
        <v>69.254019999999983</v>
      </c>
      <c r="H434">
        <v>13.2606</v>
      </c>
      <c r="AB434" s="17">
        <v>432</v>
      </c>
      <c r="AC434" s="6">
        <v>3.2353700000000001</v>
      </c>
      <c r="AD434" s="19">
        <v>-6.6055000000000001</v>
      </c>
      <c r="AE434" s="6">
        <v>3.1084999999999998</v>
      </c>
      <c r="AF434" s="6">
        <v>123</v>
      </c>
      <c r="AH434" s="17">
        <v>432</v>
      </c>
      <c r="AI434" s="6">
        <v>6.1529999999999996</v>
      </c>
      <c r="AJ434" s="19">
        <v>-6.6055000000000001</v>
      </c>
      <c r="AK434" s="6">
        <v>3.1084999999999998</v>
      </c>
      <c r="AL434" s="6">
        <v>123</v>
      </c>
      <c r="AO434" s="17">
        <v>432</v>
      </c>
      <c r="AP434" s="6">
        <v>1.1395500000000001</v>
      </c>
      <c r="AQ434" s="19">
        <v>-0.29959999999999998</v>
      </c>
      <c r="AR434" s="6">
        <v>0.57569999999999999</v>
      </c>
      <c r="AS434" s="6">
        <v>123</v>
      </c>
      <c r="AU434" s="17">
        <v>432</v>
      </c>
      <c r="AV434" s="6">
        <v>0.59919</v>
      </c>
      <c r="AW434" s="19">
        <v>-0.29959999999999998</v>
      </c>
      <c r="AX434" s="6">
        <v>0.57569999999999999</v>
      </c>
      <c r="AY434" s="6">
        <v>123</v>
      </c>
    </row>
    <row r="435" spans="1:51" x14ac:dyDescent="0.25">
      <c r="A435" s="31" t="s">
        <v>13</v>
      </c>
      <c r="B435" s="32">
        <v>2</v>
      </c>
      <c r="C435" s="36">
        <v>2</v>
      </c>
      <c r="D435" s="36">
        <v>4</v>
      </c>
      <c r="E435" s="32">
        <v>12</v>
      </c>
      <c r="F435" s="12">
        <v>57.6</v>
      </c>
      <c r="G435">
        <v>60.567044999999986</v>
      </c>
      <c r="H435">
        <v>14.4306</v>
      </c>
      <c r="AB435" s="17">
        <v>433</v>
      </c>
      <c r="AC435" s="6">
        <v>3.2069000000000001</v>
      </c>
      <c r="AD435" s="19">
        <v>-4.0168999999999997</v>
      </c>
      <c r="AE435" s="6">
        <v>3.0811000000000002</v>
      </c>
      <c r="AF435" s="6">
        <v>123</v>
      </c>
      <c r="AH435" s="17">
        <v>433</v>
      </c>
      <c r="AI435" s="6">
        <v>6.0989000000000004</v>
      </c>
      <c r="AJ435" s="19">
        <v>-4.0168999999999997</v>
      </c>
      <c r="AK435" s="6">
        <v>3.0811000000000002</v>
      </c>
      <c r="AL435" s="6">
        <v>123</v>
      </c>
      <c r="AO435" s="17">
        <v>433</v>
      </c>
      <c r="AP435" s="6">
        <v>1.1390199999999999</v>
      </c>
      <c r="AQ435" s="6">
        <v>1.5589999999999999</v>
      </c>
      <c r="AR435" s="6">
        <v>0.57540000000000002</v>
      </c>
      <c r="AS435" s="6">
        <v>123</v>
      </c>
      <c r="AU435" s="17">
        <v>433</v>
      </c>
      <c r="AV435" s="6">
        <v>0.59892000000000001</v>
      </c>
      <c r="AW435" s="6">
        <v>1.5589999999999999</v>
      </c>
      <c r="AX435" s="6">
        <v>0.57540000000000002</v>
      </c>
      <c r="AY435" s="6">
        <v>123</v>
      </c>
    </row>
    <row r="436" spans="1:51" x14ac:dyDescent="0.25">
      <c r="A436" s="31" t="s">
        <v>13</v>
      </c>
      <c r="B436" s="32">
        <v>3</v>
      </c>
      <c r="C436" s="36">
        <v>1</v>
      </c>
      <c r="D436" s="36">
        <v>6</v>
      </c>
      <c r="E436" s="32">
        <v>12</v>
      </c>
      <c r="F436" s="12">
        <v>57.9</v>
      </c>
      <c r="G436">
        <v>53.099199999999996</v>
      </c>
      <c r="H436">
        <v>14.3406</v>
      </c>
      <c r="AB436" s="17">
        <v>434</v>
      </c>
      <c r="AC436" s="6">
        <v>3.2136200000000001</v>
      </c>
      <c r="AD436" s="19">
        <v>-2.8511000000000002</v>
      </c>
      <c r="AE436" s="6">
        <v>3.0876000000000001</v>
      </c>
      <c r="AF436" s="6">
        <v>123</v>
      </c>
      <c r="AH436" s="17">
        <v>434</v>
      </c>
      <c r="AI436" s="6">
        <v>6.1116999999999999</v>
      </c>
      <c r="AJ436" s="19">
        <v>-2.8511000000000002</v>
      </c>
      <c r="AK436" s="6">
        <v>3.0876000000000001</v>
      </c>
      <c r="AL436" s="6">
        <v>123</v>
      </c>
      <c r="AO436" s="17">
        <v>434</v>
      </c>
      <c r="AP436" s="6">
        <v>1.14575</v>
      </c>
      <c r="AQ436" s="6">
        <v>3.3610000000000001E-2</v>
      </c>
      <c r="AR436" s="6">
        <v>0.57879999999999998</v>
      </c>
      <c r="AS436" s="6">
        <v>123</v>
      </c>
      <c r="AU436" s="17">
        <v>434</v>
      </c>
      <c r="AV436" s="6">
        <v>0.60246</v>
      </c>
      <c r="AW436" s="6">
        <v>3.3610000000000001E-2</v>
      </c>
      <c r="AX436" s="6">
        <v>0.57879999999999998</v>
      </c>
      <c r="AY436" s="6">
        <v>123</v>
      </c>
    </row>
    <row r="437" spans="1:51" x14ac:dyDescent="0.25">
      <c r="A437" s="31" t="s">
        <v>13</v>
      </c>
      <c r="B437" s="32">
        <v>1</v>
      </c>
      <c r="C437" s="36">
        <v>17</v>
      </c>
      <c r="D437" s="36">
        <v>1</v>
      </c>
      <c r="E437" s="32">
        <v>13</v>
      </c>
      <c r="F437" s="12">
        <v>57.2</v>
      </c>
      <c r="G437">
        <v>65.387520000000009</v>
      </c>
      <c r="H437">
        <v>13.890599999999999</v>
      </c>
      <c r="AB437" s="17">
        <v>435</v>
      </c>
      <c r="AC437" s="6">
        <v>3.21061</v>
      </c>
      <c r="AD437" s="6">
        <v>2.3677000000000001</v>
      </c>
      <c r="AE437" s="6">
        <v>3.0847000000000002</v>
      </c>
      <c r="AF437" s="6">
        <v>123</v>
      </c>
      <c r="AH437" s="17">
        <v>435</v>
      </c>
      <c r="AI437" s="6">
        <v>6.1059000000000001</v>
      </c>
      <c r="AJ437" s="6">
        <v>2.3677000000000001</v>
      </c>
      <c r="AK437" s="6">
        <v>3.0847000000000002</v>
      </c>
      <c r="AL437" s="6">
        <v>123</v>
      </c>
      <c r="AO437" s="17">
        <v>435</v>
      </c>
      <c r="AP437" s="6">
        <v>1.14479</v>
      </c>
      <c r="AQ437" s="6">
        <v>8.0519999999999994E-2</v>
      </c>
      <c r="AR437" s="6">
        <v>0.57830000000000004</v>
      </c>
      <c r="AS437" s="6">
        <v>123</v>
      </c>
      <c r="AU437" s="17">
        <v>435</v>
      </c>
      <c r="AV437" s="6">
        <v>0.60194999999999999</v>
      </c>
      <c r="AW437" s="6">
        <v>8.0519999999999994E-2</v>
      </c>
      <c r="AX437" s="6">
        <v>0.57830000000000004</v>
      </c>
      <c r="AY437" s="6">
        <v>123</v>
      </c>
    </row>
    <row r="438" spans="1:51" x14ac:dyDescent="0.25">
      <c r="A438" s="31" t="s">
        <v>13</v>
      </c>
      <c r="B438" s="32">
        <v>2</v>
      </c>
      <c r="C438" s="36">
        <v>2</v>
      </c>
      <c r="D438" s="36">
        <v>3</v>
      </c>
      <c r="E438" s="32">
        <v>13</v>
      </c>
      <c r="F438" s="12">
        <v>57.6</v>
      </c>
      <c r="G438">
        <v>78.011559999999989</v>
      </c>
      <c r="H438">
        <v>13.530600000000002</v>
      </c>
      <c r="AB438" s="17">
        <v>436</v>
      </c>
      <c r="AC438" s="6">
        <v>3.19157</v>
      </c>
      <c r="AD438" s="19">
        <v>-0.48330000000000001</v>
      </c>
      <c r="AE438" s="6">
        <v>3.0663999999999998</v>
      </c>
      <c r="AF438" s="6">
        <v>123</v>
      </c>
      <c r="AH438" s="17">
        <v>436</v>
      </c>
      <c r="AI438" s="6">
        <v>6.0697999999999999</v>
      </c>
      <c r="AJ438" s="19">
        <v>-0.48330000000000001</v>
      </c>
      <c r="AK438" s="6">
        <v>3.0663999999999998</v>
      </c>
      <c r="AL438" s="6">
        <v>123</v>
      </c>
      <c r="AO438" s="17">
        <v>436</v>
      </c>
      <c r="AP438" s="6">
        <v>1.13744</v>
      </c>
      <c r="AQ438" s="6">
        <v>0.34470000000000001</v>
      </c>
      <c r="AR438" s="6">
        <v>0.5746</v>
      </c>
      <c r="AS438" s="6">
        <v>123</v>
      </c>
      <c r="AU438" s="17">
        <v>436</v>
      </c>
      <c r="AV438" s="6">
        <v>0.59809000000000001</v>
      </c>
      <c r="AW438" s="6">
        <v>0.34470000000000001</v>
      </c>
      <c r="AX438" s="6">
        <v>0.5746</v>
      </c>
      <c r="AY438" s="6">
        <v>123</v>
      </c>
    </row>
    <row r="439" spans="1:51" x14ac:dyDescent="0.25">
      <c r="A439" s="31" t="s">
        <v>13</v>
      </c>
      <c r="B439" s="32">
        <v>3</v>
      </c>
      <c r="C439" s="36">
        <v>12</v>
      </c>
      <c r="D439" s="36">
        <v>6</v>
      </c>
      <c r="E439" s="32">
        <v>13</v>
      </c>
      <c r="F439" s="12">
        <v>57.2</v>
      </c>
      <c r="G439">
        <v>68.047979999999981</v>
      </c>
      <c r="H439">
        <v>14.070600000000001</v>
      </c>
      <c r="AB439" s="17">
        <v>437</v>
      </c>
      <c r="AC439" s="6">
        <v>3.2076699999999998</v>
      </c>
      <c r="AD439" s="19">
        <v>-12.1829</v>
      </c>
      <c r="AE439" s="6">
        <v>3.0819000000000001</v>
      </c>
      <c r="AF439" s="6">
        <v>123</v>
      </c>
      <c r="AH439" s="17">
        <v>437</v>
      </c>
      <c r="AI439" s="6">
        <v>6.1003999999999996</v>
      </c>
      <c r="AJ439" s="19">
        <v>-12.1829</v>
      </c>
      <c r="AK439" s="6">
        <v>3.0819000000000001</v>
      </c>
      <c r="AL439" s="6">
        <v>123</v>
      </c>
      <c r="AO439" s="17">
        <v>437</v>
      </c>
      <c r="AP439" s="6">
        <v>1.1432100000000001</v>
      </c>
      <c r="AQ439" s="19">
        <v>-1.7808999999999999</v>
      </c>
      <c r="AR439" s="6">
        <v>0.57750000000000001</v>
      </c>
      <c r="AS439" s="6">
        <v>123</v>
      </c>
      <c r="AU439" s="17">
        <v>437</v>
      </c>
      <c r="AV439" s="6">
        <v>0.60111999999999999</v>
      </c>
      <c r="AW439" s="19">
        <v>-1.7808999999999999</v>
      </c>
      <c r="AX439" s="6">
        <v>0.57750000000000001</v>
      </c>
      <c r="AY439" s="6">
        <v>123</v>
      </c>
    </row>
    <row r="440" spans="1:51" x14ac:dyDescent="0.25">
      <c r="A440" s="31" t="s">
        <v>13</v>
      </c>
      <c r="B440" s="32">
        <v>1</v>
      </c>
      <c r="C440" s="36">
        <v>8</v>
      </c>
      <c r="D440" s="36">
        <v>1</v>
      </c>
      <c r="E440" s="32">
        <v>2</v>
      </c>
      <c r="F440" s="12">
        <v>57.6</v>
      </c>
      <c r="G440">
        <v>73.72475</v>
      </c>
      <c r="H440">
        <v>12.900600000000001</v>
      </c>
      <c r="AB440" s="17">
        <v>438</v>
      </c>
      <c r="AC440" s="6">
        <v>3.2108099999999999</v>
      </c>
      <c r="AD440" s="19">
        <v>-7.9230999999999998</v>
      </c>
      <c r="AE440" s="6">
        <v>3.0849000000000002</v>
      </c>
      <c r="AF440" s="6">
        <v>123</v>
      </c>
      <c r="AH440" s="17">
        <v>438</v>
      </c>
      <c r="AI440" s="6">
        <v>6.1063000000000001</v>
      </c>
      <c r="AJ440" s="19">
        <v>-7.9230999999999998</v>
      </c>
      <c r="AK440" s="6">
        <v>3.0849000000000002</v>
      </c>
      <c r="AL440" s="6">
        <v>123</v>
      </c>
      <c r="AO440" s="17">
        <v>438</v>
      </c>
      <c r="AP440" s="6">
        <v>1.1438600000000001</v>
      </c>
      <c r="AQ440" s="19">
        <v>-0.3422</v>
      </c>
      <c r="AR440" s="6">
        <v>0.57789999999999997</v>
      </c>
      <c r="AS440" s="6">
        <v>123</v>
      </c>
      <c r="AU440" s="17">
        <v>438</v>
      </c>
      <c r="AV440" s="6">
        <v>0.60145999999999999</v>
      </c>
      <c r="AW440" s="19">
        <v>-0.3422</v>
      </c>
      <c r="AX440" s="6">
        <v>0.57789999999999997</v>
      </c>
      <c r="AY440" s="6">
        <v>123</v>
      </c>
    </row>
    <row r="441" spans="1:51" x14ac:dyDescent="0.25">
      <c r="A441" s="31" t="s">
        <v>13</v>
      </c>
      <c r="B441" s="32">
        <v>2</v>
      </c>
      <c r="C441" s="36">
        <v>13</v>
      </c>
      <c r="D441" s="36">
        <v>3</v>
      </c>
      <c r="E441" s="32">
        <v>2</v>
      </c>
      <c r="F441" s="12">
        <v>58.9</v>
      </c>
      <c r="G441">
        <v>81.259200000000007</v>
      </c>
      <c r="H441">
        <v>13.0806</v>
      </c>
      <c r="AB441" s="17">
        <v>439</v>
      </c>
      <c r="AC441" s="6">
        <v>3.2138900000000001</v>
      </c>
      <c r="AD441" s="19">
        <v>-6.8236999999999997</v>
      </c>
      <c r="AE441" s="6">
        <v>3.0878000000000001</v>
      </c>
      <c r="AF441" s="6">
        <v>123</v>
      </c>
      <c r="AH441" s="17">
        <v>439</v>
      </c>
      <c r="AI441" s="6">
        <v>6.1121999999999996</v>
      </c>
      <c r="AJ441" s="19">
        <v>-6.8236999999999997</v>
      </c>
      <c r="AK441" s="6">
        <v>3.0878000000000001</v>
      </c>
      <c r="AL441" s="6">
        <v>123</v>
      </c>
      <c r="AO441" s="17">
        <v>439</v>
      </c>
      <c r="AP441" s="6">
        <v>1.1429</v>
      </c>
      <c r="AQ441" s="6">
        <v>0.32750000000000001</v>
      </c>
      <c r="AR441" s="6">
        <v>0.57740000000000002</v>
      </c>
      <c r="AS441" s="6">
        <v>123</v>
      </c>
      <c r="AU441" s="17">
        <v>439</v>
      </c>
      <c r="AV441" s="6">
        <v>0.60094999999999998</v>
      </c>
      <c r="AW441" s="6">
        <v>0.32750000000000001</v>
      </c>
      <c r="AX441" s="6">
        <v>0.57740000000000002</v>
      </c>
      <c r="AY441" s="6">
        <v>123</v>
      </c>
    </row>
    <row r="442" spans="1:51" x14ac:dyDescent="0.25">
      <c r="A442" s="31" t="s">
        <v>13</v>
      </c>
      <c r="B442" s="32">
        <v>3</v>
      </c>
      <c r="C442" s="36">
        <v>3</v>
      </c>
      <c r="D442" s="36">
        <v>6</v>
      </c>
      <c r="E442" s="32">
        <v>2</v>
      </c>
      <c r="F442" s="12">
        <v>57.6</v>
      </c>
      <c r="G442">
        <v>59.835380000000001</v>
      </c>
      <c r="H442">
        <v>13.530600000000002</v>
      </c>
      <c r="AB442" s="17">
        <v>440</v>
      </c>
      <c r="AC442" s="6">
        <v>3.21732</v>
      </c>
      <c r="AD442" s="19">
        <v>-10.971299999999999</v>
      </c>
      <c r="AE442" s="6">
        <v>3.0911</v>
      </c>
      <c r="AF442" s="6">
        <v>123</v>
      </c>
      <c r="AH442" s="17">
        <v>440</v>
      </c>
      <c r="AI442" s="6">
        <v>6.1186999999999996</v>
      </c>
      <c r="AJ442" s="19">
        <v>-10.971299999999999</v>
      </c>
      <c r="AK442" s="6">
        <v>3.0911</v>
      </c>
      <c r="AL442" s="6">
        <v>123</v>
      </c>
      <c r="AO442" s="17">
        <v>440</v>
      </c>
      <c r="AP442" s="6">
        <v>1.14985</v>
      </c>
      <c r="AQ442" s="19">
        <v>-0.61399999999999999</v>
      </c>
      <c r="AR442" s="6">
        <v>0.58089999999999997</v>
      </c>
      <c r="AS442" s="6">
        <v>123</v>
      </c>
      <c r="AU442" s="17">
        <v>440</v>
      </c>
      <c r="AV442" s="6">
        <v>0.60460999999999998</v>
      </c>
      <c r="AW442" s="19">
        <v>-0.61399999999999999</v>
      </c>
      <c r="AX442" s="6">
        <v>0.58089999999999997</v>
      </c>
      <c r="AY442" s="6">
        <v>123</v>
      </c>
    </row>
    <row r="443" spans="1:51" x14ac:dyDescent="0.25">
      <c r="A443" s="31" t="s">
        <v>13</v>
      </c>
      <c r="B443" s="32">
        <v>1</v>
      </c>
      <c r="C443" s="36">
        <v>13</v>
      </c>
      <c r="D443" s="36">
        <v>1</v>
      </c>
      <c r="E443" s="32">
        <v>9</v>
      </c>
      <c r="F443" s="12">
        <v>55.6</v>
      </c>
      <c r="G443">
        <v>68.363514999999992</v>
      </c>
      <c r="H443">
        <v>14.160600000000001</v>
      </c>
      <c r="AB443" s="17">
        <v>441</v>
      </c>
      <c r="AC443" s="6">
        <v>3.19679</v>
      </c>
      <c r="AD443" s="19">
        <v>-1.9258999999999999</v>
      </c>
      <c r="AE443" s="6">
        <v>3.0714000000000001</v>
      </c>
      <c r="AF443" s="6">
        <v>123</v>
      </c>
      <c r="AH443" s="17">
        <v>441</v>
      </c>
      <c r="AI443" s="6">
        <v>6.0796999999999999</v>
      </c>
      <c r="AJ443" s="19">
        <v>-1.9258999999999999</v>
      </c>
      <c r="AK443" s="6">
        <v>3.0714000000000001</v>
      </c>
      <c r="AL443" s="6">
        <v>123</v>
      </c>
      <c r="AO443" s="17">
        <v>441</v>
      </c>
      <c r="AP443" s="6">
        <v>1.13472</v>
      </c>
      <c r="AQ443" s="19">
        <v>-1.1660999999999999</v>
      </c>
      <c r="AR443" s="6">
        <v>0.57330000000000003</v>
      </c>
      <c r="AS443" s="6">
        <v>123</v>
      </c>
      <c r="AU443" s="17">
        <v>441</v>
      </c>
      <c r="AV443" s="6">
        <v>0.59665999999999997</v>
      </c>
      <c r="AW443" s="19">
        <v>-1.1660999999999999</v>
      </c>
      <c r="AX443" s="6">
        <v>0.57330000000000003</v>
      </c>
      <c r="AY443" s="6">
        <v>123</v>
      </c>
    </row>
    <row r="444" spans="1:51" x14ac:dyDescent="0.25">
      <c r="A444" s="31" t="s">
        <v>13</v>
      </c>
      <c r="B444" s="32">
        <v>2</v>
      </c>
      <c r="C444" s="36">
        <v>20</v>
      </c>
      <c r="D444" s="36">
        <v>4</v>
      </c>
      <c r="E444" s="32">
        <v>9</v>
      </c>
      <c r="F444" s="12">
        <v>55.2</v>
      </c>
      <c r="G444">
        <v>63.861270000000005</v>
      </c>
      <c r="H444">
        <v>15.150600000000001</v>
      </c>
      <c r="AB444" s="17">
        <v>442</v>
      </c>
      <c r="AC444" s="6">
        <v>3.20974</v>
      </c>
      <c r="AD444" s="19">
        <v>-8.1484000000000005</v>
      </c>
      <c r="AE444" s="6">
        <v>3.0838000000000001</v>
      </c>
      <c r="AF444" s="6">
        <v>123</v>
      </c>
      <c r="AH444" s="17">
        <v>442</v>
      </c>
      <c r="AI444" s="6">
        <v>6.1043000000000003</v>
      </c>
      <c r="AJ444" s="19">
        <v>-8.1484000000000005</v>
      </c>
      <c r="AK444" s="6">
        <v>3.0838000000000001</v>
      </c>
      <c r="AL444" s="6">
        <v>123</v>
      </c>
      <c r="AO444" s="17">
        <v>442</v>
      </c>
      <c r="AP444" s="6">
        <v>1.1423099999999999</v>
      </c>
      <c r="AQ444" s="19">
        <v>-1.1108</v>
      </c>
      <c r="AR444" s="6">
        <v>0.57709999999999995</v>
      </c>
      <c r="AS444" s="6">
        <v>123</v>
      </c>
      <c r="AU444" s="17">
        <v>442</v>
      </c>
      <c r="AV444" s="6">
        <v>0.60065000000000002</v>
      </c>
      <c r="AW444" s="19">
        <v>-1.1108</v>
      </c>
      <c r="AX444" s="6">
        <v>0.57709999999999995</v>
      </c>
      <c r="AY444" s="6">
        <v>123</v>
      </c>
    </row>
    <row r="445" spans="1:51" x14ac:dyDescent="0.25">
      <c r="A445" s="31" t="s">
        <v>13</v>
      </c>
      <c r="B445" s="32">
        <v>3</v>
      </c>
      <c r="C445" s="36">
        <v>17</v>
      </c>
      <c r="D445" s="36">
        <v>6</v>
      </c>
      <c r="E445" s="32">
        <v>9</v>
      </c>
      <c r="F445" s="12">
        <v>54.8</v>
      </c>
      <c r="G445">
        <v>63.512624999999986</v>
      </c>
      <c r="H445">
        <v>15.240600000000001</v>
      </c>
      <c r="AB445" s="17">
        <v>443</v>
      </c>
      <c r="AC445" s="6">
        <v>3.1981700000000002</v>
      </c>
      <c r="AD445" s="19">
        <v>-6.2995000000000001</v>
      </c>
      <c r="AE445" s="6">
        <v>3.0727000000000002</v>
      </c>
      <c r="AF445" s="6">
        <v>123</v>
      </c>
      <c r="AH445" s="17">
        <v>443</v>
      </c>
      <c r="AI445" s="6">
        <v>6.0823</v>
      </c>
      <c r="AJ445" s="19">
        <v>-6.2995000000000001</v>
      </c>
      <c r="AK445" s="6">
        <v>3.0727000000000002</v>
      </c>
      <c r="AL445" s="6">
        <v>123</v>
      </c>
      <c r="AO445" s="17">
        <v>443</v>
      </c>
      <c r="AP445" s="6">
        <v>1.14039</v>
      </c>
      <c r="AQ445" s="19">
        <v>-1.5706</v>
      </c>
      <c r="AR445" s="6">
        <v>0.57609999999999995</v>
      </c>
      <c r="AS445" s="6">
        <v>123</v>
      </c>
      <c r="AU445" s="17">
        <v>443</v>
      </c>
      <c r="AV445" s="6">
        <v>0.59963999999999995</v>
      </c>
      <c r="AW445" s="19">
        <v>-1.5706</v>
      </c>
      <c r="AX445" s="6">
        <v>0.57609999999999995</v>
      </c>
      <c r="AY445" s="6">
        <v>123</v>
      </c>
    </row>
    <row r="446" spans="1:51" x14ac:dyDescent="0.25">
      <c r="A446" s="31" t="s">
        <v>13</v>
      </c>
      <c r="B446" s="32">
        <v>1</v>
      </c>
      <c r="C446" s="36">
        <v>5</v>
      </c>
      <c r="D446" s="36">
        <v>2</v>
      </c>
      <c r="E446" s="32">
        <v>3</v>
      </c>
      <c r="F446" s="12">
        <v>58.7</v>
      </c>
      <c r="G446">
        <v>64.719269999999995</v>
      </c>
      <c r="H446">
        <v>13.4406</v>
      </c>
      <c r="AB446" s="17">
        <v>444</v>
      </c>
      <c r="AC446" s="6">
        <v>3.2360199999999999</v>
      </c>
      <c r="AD446" s="6">
        <v>0.65310000000000001</v>
      </c>
      <c r="AE446" s="6">
        <v>3.1091000000000002</v>
      </c>
      <c r="AF446" s="6">
        <v>123</v>
      </c>
      <c r="AH446" s="17">
        <v>444</v>
      </c>
      <c r="AI446" s="6">
        <v>6.1543000000000001</v>
      </c>
      <c r="AJ446" s="6">
        <v>0.65310000000000001</v>
      </c>
      <c r="AK446" s="6">
        <v>3.1091000000000002</v>
      </c>
      <c r="AL446" s="6">
        <v>123</v>
      </c>
      <c r="AO446" s="17">
        <v>444</v>
      </c>
      <c r="AP446" s="6">
        <v>1.1599999999999999</v>
      </c>
      <c r="AQ446" s="6">
        <v>0.73460000000000003</v>
      </c>
      <c r="AR446" s="6">
        <v>0.58599999999999997</v>
      </c>
      <c r="AS446" s="6">
        <v>123</v>
      </c>
      <c r="AU446" s="17">
        <v>444</v>
      </c>
      <c r="AV446" s="6">
        <v>0.60994999999999999</v>
      </c>
      <c r="AW446" s="6">
        <v>0.73460000000000003</v>
      </c>
      <c r="AX446" s="6">
        <v>0.58599999999999997</v>
      </c>
      <c r="AY446" s="6">
        <v>123</v>
      </c>
    </row>
    <row r="447" spans="1:51" x14ac:dyDescent="0.25">
      <c r="A447" s="31" t="s">
        <v>13</v>
      </c>
      <c r="B447" s="32">
        <v>2</v>
      </c>
      <c r="C447" s="36">
        <v>15</v>
      </c>
      <c r="D447" s="36">
        <v>3</v>
      </c>
      <c r="E447" s="32">
        <v>3</v>
      </c>
      <c r="F447" s="12">
        <v>58.5</v>
      </c>
      <c r="G447">
        <v>69.90120499999999</v>
      </c>
      <c r="H447">
        <v>14.070600000000001</v>
      </c>
      <c r="AB447" s="17">
        <v>445</v>
      </c>
      <c r="AC447" s="6">
        <v>3.2068599999999998</v>
      </c>
      <c r="AD447" s="19">
        <v>-5.6746999999999996</v>
      </c>
      <c r="AE447" s="6">
        <v>3.0811000000000002</v>
      </c>
      <c r="AF447" s="6">
        <v>123</v>
      </c>
      <c r="AH447" s="17">
        <v>445</v>
      </c>
      <c r="AI447" s="6">
        <v>6.0987999999999998</v>
      </c>
      <c r="AJ447" s="19">
        <v>-5.6746999999999996</v>
      </c>
      <c r="AK447" s="6">
        <v>3.0811000000000002</v>
      </c>
      <c r="AL447" s="6">
        <v>123</v>
      </c>
      <c r="AO447" s="17">
        <v>445</v>
      </c>
      <c r="AP447" s="6">
        <v>1.1439699999999999</v>
      </c>
      <c r="AQ447" s="19">
        <v>-1.6276999999999999</v>
      </c>
      <c r="AR447" s="6">
        <v>0.57789999999999997</v>
      </c>
      <c r="AS447" s="6">
        <v>123</v>
      </c>
      <c r="AU447" s="17">
        <v>445</v>
      </c>
      <c r="AV447" s="6">
        <v>0.60152000000000005</v>
      </c>
      <c r="AW447" s="19">
        <v>-1.6276999999999999</v>
      </c>
      <c r="AX447" s="6">
        <v>0.57789999999999997</v>
      </c>
      <c r="AY447" s="6">
        <v>123</v>
      </c>
    </row>
    <row r="448" spans="1:51" x14ac:dyDescent="0.25">
      <c r="A448" s="31" t="s">
        <v>13</v>
      </c>
      <c r="B448" s="32">
        <v>3</v>
      </c>
      <c r="C448" s="36">
        <v>20</v>
      </c>
      <c r="D448" s="36">
        <v>6</v>
      </c>
      <c r="E448" s="32">
        <v>3</v>
      </c>
      <c r="F448" s="12">
        <v>58.5</v>
      </c>
      <c r="G448">
        <v>68.595559999999992</v>
      </c>
      <c r="H448">
        <v>13.800599999999999</v>
      </c>
      <c r="AB448" s="17">
        <v>446</v>
      </c>
      <c r="AC448" s="6">
        <v>3.2350099999999999</v>
      </c>
      <c r="AD448" s="6">
        <v>5.1151</v>
      </c>
      <c r="AE448" s="6">
        <v>3.1080999999999999</v>
      </c>
      <c r="AF448" s="6">
        <v>123</v>
      </c>
      <c r="AH448" s="17">
        <v>446</v>
      </c>
      <c r="AI448" s="6">
        <v>6.1524000000000001</v>
      </c>
      <c r="AJ448" s="6">
        <v>5.1151</v>
      </c>
      <c r="AK448" s="6">
        <v>3.1080999999999999</v>
      </c>
      <c r="AL448" s="6">
        <v>123</v>
      </c>
      <c r="AO448" s="17">
        <v>446</v>
      </c>
      <c r="AP448" s="6">
        <v>1.1561900000000001</v>
      </c>
      <c r="AQ448" s="6">
        <v>1.0491999999999999</v>
      </c>
      <c r="AR448" s="6">
        <v>0.58409999999999995</v>
      </c>
      <c r="AS448" s="6">
        <v>123</v>
      </c>
      <c r="AU448" s="17">
        <v>446</v>
      </c>
      <c r="AV448" s="6">
        <v>0.60794000000000004</v>
      </c>
      <c r="AW448" s="6">
        <v>1.0491999999999999</v>
      </c>
      <c r="AX448" s="6">
        <v>0.58409999999999995</v>
      </c>
      <c r="AY448" s="6">
        <v>123</v>
      </c>
    </row>
    <row r="449" spans="1:51" x14ac:dyDescent="0.25">
      <c r="A449" s="31" t="s">
        <v>13</v>
      </c>
      <c r="B449" s="32">
        <v>1</v>
      </c>
      <c r="C449" s="36">
        <v>3</v>
      </c>
      <c r="D449" s="36">
        <v>2</v>
      </c>
      <c r="E449" s="32">
        <v>10</v>
      </c>
      <c r="F449" s="12">
        <v>54.4</v>
      </c>
      <c r="G449">
        <v>54.89528</v>
      </c>
      <c r="H449">
        <v>14.7006</v>
      </c>
      <c r="AB449" s="17">
        <v>447</v>
      </c>
      <c r="AC449" s="6">
        <v>3.2080899999999999</v>
      </c>
      <c r="AD449" s="6">
        <v>2.8879999999999999</v>
      </c>
      <c r="AE449" s="6">
        <v>3.0823</v>
      </c>
      <c r="AF449" s="6">
        <v>123</v>
      </c>
      <c r="AH449" s="17">
        <v>447</v>
      </c>
      <c r="AI449" s="6">
        <v>6.1012000000000004</v>
      </c>
      <c r="AJ449" s="6">
        <v>2.8879999999999999</v>
      </c>
      <c r="AK449" s="6">
        <v>3.0823</v>
      </c>
      <c r="AL449" s="6">
        <v>123</v>
      </c>
      <c r="AO449" s="17">
        <v>447</v>
      </c>
      <c r="AP449" s="6">
        <v>1.1438600000000001</v>
      </c>
      <c r="AQ449" s="6">
        <v>0.84630000000000005</v>
      </c>
      <c r="AR449" s="6">
        <v>0.57789999999999997</v>
      </c>
      <c r="AS449" s="6">
        <v>123</v>
      </c>
      <c r="AU449" s="17">
        <v>447</v>
      </c>
      <c r="AV449" s="6">
        <v>0.60145999999999999</v>
      </c>
      <c r="AW449" s="6">
        <v>0.84630000000000005</v>
      </c>
      <c r="AX449" s="6">
        <v>0.57789999999999997</v>
      </c>
      <c r="AY449" s="6">
        <v>123</v>
      </c>
    </row>
    <row r="450" spans="1:51" x14ac:dyDescent="0.25">
      <c r="A450" s="31" t="s">
        <v>13</v>
      </c>
      <c r="B450" s="32">
        <v>2</v>
      </c>
      <c r="C450" s="36">
        <v>6</v>
      </c>
      <c r="D450" s="36">
        <v>3</v>
      </c>
      <c r="E450" s="32">
        <v>10</v>
      </c>
      <c r="F450" s="12">
        <v>53.4</v>
      </c>
      <c r="G450">
        <v>59.206729999999986</v>
      </c>
      <c r="H450">
        <v>15.240600000000001</v>
      </c>
      <c r="AB450" s="17">
        <v>448</v>
      </c>
      <c r="AC450" s="6">
        <v>3.2052</v>
      </c>
      <c r="AD450" s="19">
        <v>-6.0621999999999998</v>
      </c>
      <c r="AE450" s="6">
        <v>3.0794999999999999</v>
      </c>
      <c r="AF450" s="6">
        <v>123</v>
      </c>
      <c r="AH450" s="17">
        <v>448</v>
      </c>
      <c r="AI450" s="6">
        <v>6.0956999999999999</v>
      </c>
      <c r="AJ450" s="19">
        <v>-6.0621999999999998</v>
      </c>
      <c r="AK450" s="6">
        <v>3.0794999999999999</v>
      </c>
      <c r="AL450" s="6">
        <v>123</v>
      </c>
      <c r="AO450" s="17">
        <v>448</v>
      </c>
      <c r="AP450" s="6">
        <v>1.1429100000000001</v>
      </c>
      <c r="AQ450" s="19">
        <v>-0.498</v>
      </c>
      <c r="AR450" s="6">
        <v>0.57740000000000002</v>
      </c>
      <c r="AS450" s="6">
        <v>123</v>
      </c>
      <c r="AU450" s="17">
        <v>448</v>
      </c>
      <c r="AV450" s="6">
        <v>0.60096000000000005</v>
      </c>
      <c r="AW450" s="19">
        <v>-0.498</v>
      </c>
      <c r="AX450" s="6">
        <v>0.57740000000000002</v>
      </c>
      <c r="AY450" s="6">
        <v>123</v>
      </c>
    </row>
    <row r="451" spans="1:51" x14ac:dyDescent="0.25">
      <c r="A451" s="31" t="s">
        <v>13</v>
      </c>
      <c r="B451" s="32">
        <v>3</v>
      </c>
      <c r="C451" s="36">
        <v>12</v>
      </c>
      <c r="D451" s="36">
        <v>5</v>
      </c>
      <c r="E451" s="32">
        <v>10</v>
      </c>
      <c r="F451" s="12">
        <v>54.1</v>
      </c>
      <c r="G451">
        <v>55.525029999999987</v>
      </c>
      <c r="H451">
        <v>15.060600000000003</v>
      </c>
      <c r="AB451" s="17">
        <v>449</v>
      </c>
      <c r="AC451" s="6">
        <v>3.2153999999999998</v>
      </c>
      <c r="AD451" s="19">
        <v>-3.5949</v>
      </c>
      <c r="AE451" s="6">
        <v>3.0893000000000002</v>
      </c>
      <c r="AF451" s="6">
        <v>123</v>
      </c>
      <c r="AH451" s="17">
        <v>449</v>
      </c>
      <c r="AI451" s="6">
        <v>6.1151</v>
      </c>
      <c r="AJ451" s="19">
        <v>-3.5949</v>
      </c>
      <c r="AK451" s="6">
        <v>3.0893000000000002</v>
      </c>
      <c r="AL451" s="6">
        <v>123</v>
      </c>
      <c r="AO451" s="17">
        <v>449</v>
      </c>
      <c r="AP451" s="6">
        <v>1.1440999999999999</v>
      </c>
      <c r="AQ451" s="19">
        <v>-0.2873</v>
      </c>
      <c r="AR451" s="6">
        <v>0.57799999999999996</v>
      </c>
      <c r="AS451" s="6">
        <v>123</v>
      </c>
      <c r="AU451" s="17">
        <v>449</v>
      </c>
      <c r="AV451" s="6">
        <v>0.60158</v>
      </c>
      <c r="AW451" s="19">
        <v>-0.2873</v>
      </c>
      <c r="AX451" s="6">
        <v>0.57799999999999996</v>
      </c>
      <c r="AY451" s="6">
        <v>123</v>
      </c>
    </row>
    <row r="452" spans="1:51" x14ac:dyDescent="0.25">
      <c r="A452" s="31" t="s">
        <v>13</v>
      </c>
      <c r="B452" s="32">
        <v>1</v>
      </c>
      <c r="C452" s="36">
        <v>9</v>
      </c>
      <c r="D452" s="36">
        <v>1</v>
      </c>
      <c r="E452" s="32">
        <v>4</v>
      </c>
      <c r="F452" s="12">
        <v>57</v>
      </c>
      <c r="G452">
        <v>74.826729999999998</v>
      </c>
      <c r="H452">
        <v>12.900600000000001</v>
      </c>
      <c r="AB452" s="17">
        <v>450</v>
      </c>
      <c r="AC452" s="6">
        <v>5.1218300000000001</v>
      </c>
      <c r="AD452" s="6">
        <v>5.3606999999999996</v>
      </c>
      <c r="AE452" s="6">
        <v>4.9210000000000003</v>
      </c>
      <c r="AF452" s="6">
        <v>123</v>
      </c>
      <c r="AH452" s="17">
        <v>450</v>
      </c>
      <c r="AI452" s="6">
        <v>9.7407000000000004</v>
      </c>
      <c r="AJ452" s="6">
        <v>5.3606999999999996</v>
      </c>
      <c r="AK452" s="6">
        <v>4.9210000000000003</v>
      </c>
      <c r="AL452" s="6">
        <v>123</v>
      </c>
      <c r="AO452" s="17">
        <v>450</v>
      </c>
      <c r="AP452" s="6">
        <v>1.8189500000000001</v>
      </c>
      <c r="AQ452" s="6">
        <v>0.22989999999999999</v>
      </c>
      <c r="AR452" s="6">
        <v>0.91890000000000005</v>
      </c>
      <c r="AS452" s="6">
        <v>123</v>
      </c>
      <c r="AU452" s="17">
        <v>450</v>
      </c>
      <c r="AV452" s="6">
        <v>0.95643</v>
      </c>
      <c r="AW452" s="6">
        <v>0.22989999999999999</v>
      </c>
      <c r="AX452" s="6">
        <v>0.91890000000000005</v>
      </c>
      <c r="AY452" s="6">
        <v>123</v>
      </c>
    </row>
    <row r="453" spans="1:51" x14ac:dyDescent="0.25">
      <c r="A453" s="31" t="s">
        <v>13</v>
      </c>
      <c r="B453" s="32">
        <v>2</v>
      </c>
      <c r="C453" s="36">
        <v>7</v>
      </c>
      <c r="D453" s="36">
        <v>3</v>
      </c>
      <c r="E453" s="32">
        <v>4</v>
      </c>
      <c r="F453" s="12">
        <v>56.1</v>
      </c>
      <c r="G453">
        <v>67.366199999999992</v>
      </c>
      <c r="H453">
        <v>13.2606</v>
      </c>
      <c r="AB453" s="17">
        <v>451</v>
      </c>
      <c r="AC453" s="6">
        <v>3.21319</v>
      </c>
      <c r="AD453" s="19">
        <v>-8.6020000000000003</v>
      </c>
      <c r="AE453" s="6">
        <v>3.0872000000000002</v>
      </c>
      <c r="AF453" s="6">
        <v>123</v>
      </c>
      <c r="AH453" s="17">
        <v>451</v>
      </c>
      <c r="AI453" s="6">
        <v>6.1109</v>
      </c>
      <c r="AJ453" s="19">
        <v>-8.6020000000000003</v>
      </c>
      <c r="AK453" s="6">
        <v>3.0872000000000002</v>
      </c>
      <c r="AL453" s="6">
        <v>123</v>
      </c>
      <c r="AO453" s="17">
        <v>451</v>
      </c>
      <c r="AP453" s="6">
        <v>1.1470800000000001</v>
      </c>
      <c r="AQ453" s="19">
        <v>-0.86960000000000004</v>
      </c>
      <c r="AR453" s="6">
        <v>0.57950000000000002</v>
      </c>
      <c r="AS453" s="6">
        <v>123</v>
      </c>
      <c r="AU453" s="17">
        <v>451</v>
      </c>
      <c r="AV453" s="6">
        <v>0.60314999999999996</v>
      </c>
      <c r="AW453" s="19">
        <v>-0.86960000000000004</v>
      </c>
      <c r="AX453" s="6">
        <v>0.57950000000000002</v>
      </c>
      <c r="AY453" s="6">
        <v>123</v>
      </c>
    </row>
    <row r="454" spans="1:51" x14ac:dyDescent="0.25">
      <c r="A454" s="31" t="s">
        <v>13</v>
      </c>
      <c r="B454" s="32">
        <v>3</v>
      </c>
      <c r="C454" s="36">
        <v>2</v>
      </c>
      <c r="D454" s="36">
        <v>6</v>
      </c>
      <c r="E454" s="32">
        <v>4</v>
      </c>
      <c r="F454" s="12">
        <v>55.1</v>
      </c>
      <c r="G454">
        <v>58.226300000000009</v>
      </c>
      <c r="H454">
        <v>13.980600000000001</v>
      </c>
      <c r="AB454" s="17">
        <v>452</v>
      </c>
      <c r="AC454" s="6">
        <v>3.1826699999999999</v>
      </c>
      <c r="AD454" s="19">
        <v>-4.0622999999999996</v>
      </c>
      <c r="AE454" s="6">
        <v>3.0577999999999999</v>
      </c>
      <c r="AF454" s="6">
        <v>123</v>
      </c>
      <c r="AH454" s="17">
        <v>452</v>
      </c>
      <c r="AI454" s="6">
        <v>6.0528000000000004</v>
      </c>
      <c r="AJ454" s="19">
        <v>-4.0622999999999996</v>
      </c>
      <c r="AK454" s="6">
        <v>3.0577999999999999</v>
      </c>
      <c r="AL454" s="6">
        <v>123</v>
      </c>
      <c r="AO454" s="17">
        <v>452</v>
      </c>
      <c r="AP454" s="6">
        <v>1.1358299999999999</v>
      </c>
      <c r="AQ454" s="6">
        <v>1.2599</v>
      </c>
      <c r="AR454" s="6">
        <v>0.57379999999999998</v>
      </c>
      <c r="AS454" s="6">
        <v>123</v>
      </c>
      <c r="AU454" s="17">
        <v>452</v>
      </c>
      <c r="AV454" s="6">
        <v>0.59723999999999999</v>
      </c>
      <c r="AW454" s="6">
        <v>1.2599</v>
      </c>
      <c r="AX454" s="6">
        <v>0.57379999999999998</v>
      </c>
      <c r="AY454" s="6">
        <v>123</v>
      </c>
    </row>
    <row r="455" spans="1:51" x14ac:dyDescent="0.25">
      <c r="A455" s="31" t="s">
        <v>13</v>
      </c>
      <c r="B455" s="32">
        <v>1</v>
      </c>
      <c r="C455" s="36">
        <v>10</v>
      </c>
      <c r="D455" s="36">
        <v>1</v>
      </c>
      <c r="E455" s="32">
        <v>5</v>
      </c>
      <c r="F455" s="12">
        <v>57.4</v>
      </c>
      <c r="G455">
        <v>76.936859999999996</v>
      </c>
      <c r="H455">
        <v>13.0806</v>
      </c>
      <c r="AB455" s="17">
        <v>453</v>
      </c>
      <c r="AC455" s="6">
        <v>3.20607</v>
      </c>
      <c r="AD455" s="19">
        <v>-3.2547000000000001</v>
      </c>
      <c r="AE455" s="6">
        <v>3.0802999999999998</v>
      </c>
      <c r="AF455" s="6">
        <v>123</v>
      </c>
      <c r="AH455" s="17">
        <v>453</v>
      </c>
      <c r="AI455" s="6">
        <v>6.0972999999999997</v>
      </c>
      <c r="AJ455" s="19">
        <v>-3.2547000000000001</v>
      </c>
      <c r="AK455" s="6">
        <v>3.0802999999999998</v>
      </c>
      <c r="AL455" s="6">
        <v>123</v>
      </c>
      <c r="AO455" s="17">
        <v>453</v>
      </c>
      <c r="AP455" s="6">
        <v>1.1406700000000001</v>
      </c>
      <c r="AQ455" s="19">
        <v>-1.3425</v>
      </c>
      <c r="AR455" s="6">
        <v>0.57630000000000003</v>
      </c>
      <c r="AS455" s="6">
        <v>123</v>
      </c>
      <c r="AU455" s="17">
        <v>453</v>
      </c>
      <c r="AV455" s="6">
        <v>0.59977999999999998</v>
      </c>
      <c r="AW455" s="19">
        <v>-1.3425</v>
      </c>
      <c r="AX455" s="6">
        <v>0.57630000000000003</v>
      </c>
      <c r="AY455" s="6">
        <v>123</v>
      </c>
    </row>
    <row r="456" spans="1:51" x14ac:dyDescent="0.25">
      <c r="A456" s="31" t="s">
        <v>13</v>
      </c>
      <c r="B456" s="32">
        <v>2</v>
      </c>
      <c r="C456" s="36">
        <v>20</v>
      </c>
      <c r="D456" s="36">
        <v>3</v>
      </c>
      <c r="E456" s="32">
        <v>5</v>
      </c>
      <c r="F456" s="12">
        <v>57.1</v>
      </c>
      <c r="G456">
        <v>52.842239999999997</v>
      </c>
      <c r="H456">
        <v>13.980600000000001</v>
      </c>
      <c r="AB456" s="17">
        <v>454</v>
      </c>
      <c r="AC456" s="6">
        <v>3.2158699999999998</v>
      </c>
      <c r="AD456" s="19">
        <v>-5.0357000000000003</v>
      </c>
      <c r="AE456" s="6">
        <v>3.0897000000000001</v>
      </c>
      <c r="AF456" s="6">
        <v>123</v>
      </c>
      <c r="AH456" s="17">
        <v>454</v>
      </c>
      <c r="AI456" s="6">
        <v>6.1159999999999997</v>
      </c>
      <c r="AJ456" s="19">
        <v>-5.0357000000000003</v>
      </c>
      <c r="AK456" s="6">
        <v>3.0897000000000001</v>
      </c>
      <c r="AL456" s="6">
        <v>123</v>
      </c>
      <c r="AO456" s="17">
        <v>454</v>
      </c>
      <c r="AP456" s="6">
        <v>1.1426000000000001</v>
      </c>
      <c r="AQ456" s="6">
        <v>0.49619999999999997</v>
      </c>
      <c r="AR456" s="6">
        <v>0.57720000000000005</v>
      </c>
      <c r="AS456" s="6">
        <v>123</v>
      </c>
      <c r="AU456" s="17">
        <v>454</v>
      </c>
      <c r="AV456" s="6">
        <v>0.6008</v>
      </c>
      <c r="AW456" s="6">
        <v>0.49619999999999997</v>
      </c>
      <c r="AX456" s="6">
        <v>0.57720000000000005</v>
      </c>
      <c r="AY456" s="6">
        <v>123</v>
      </c>
    </row>
    <row r="457" spans="1:51" x14ac:dyDescent="0.25">
      <c r="A457" s="31" t="s">
        <v>13</v>
      </c>
      <c r="B457" s="32">
        <v>3</v>
      </c>
      <c r="C457" s="36">
        <v>19</v>
      </c>
      <c r="D457" s="36">
        <v>6</v>
      </c>
      <c r="E457" s="32">
        <v>5</v>
      </c>
      <c r="F457" s="12">
        <v>57.3</v>
      </c>
      <c r="G457">
        <v>67.670459999999991</v>
      </c>
      <c r="H457">
        <v>13.800599999999999</v>
      </c>
      <c r="AB457" s="17">
        <v>455</v>
      </c>
      <c r="AC457" s="6">
        <v>3.2138800000000001</v>
      </c>
      <c r="AD457" s="6">
        <v>4.9067999999999996</v>
      </c>
      <c r="AE457" s="6">
        <v>3.0878000000000001</v>
      </c>
      <c r="AF457" s="6">
        <v>123</v>
      </c>
      <c r="AH457" s="17">
        <v>455</v>
      </c>
      <c r="AI457" s="6">
        <v>6.1121999999999996</v>
      </c>
      <c r="AJ457" s="6">
        <v>4.9067999999999996</v>
      </c>
      <c r="AK457" s="6">
        <v>3.0878000000000001</v>
      </c>
      <c r="AL457" s="6">
        <v>123</v>
      </c>
      <c r="AO457" s="17">
        <v>455</v>
      </c>
      <c r="AP457" s="6">
        <v>1.1499600000000001</v>
      </c>
      <c r="AQ457" s="6">
        <v>1.0396000000000001</v>
      </c>
      <c r="AR457" s="6">
        <v>0.58099999999999996</v>
      </c>
      <c r="AS457" s="6">
        <v>123</v>
      </c>
      <c r="AU457" s="17">
        <v>455</v>
      </c>
      <c r="AV457" s="6">
        <v>0.60467000000000004</v>
      </c>
      <c r="AW457" s="6">
        <v>1.0396000000000001</v>
      </c>
      <c r="AX457" s="6">
        <v>0.58099999999999996</v>
      </c>
      <c r="AY457" s="6">
        <v>123</v>
      </c>
    </row>
    <row r="458" spans="1:51" x14ac:dyDescent="0.25">
      <c r="A458" s="31" t="s">
        <v>13</v>
      </c>
      <c r="B458" s="32">
        <v>1</v>
      </c>
      <c r="C458" s="36">
        <v>2</v>
      </c>
      <c r="D458" s="36">
        <v>1</v>
      </c>
      <c r="E458" s="32">
        <v>6</v>
      </c>
      <c r="F458" s="12">
        <v>57.6</v>
      </c>
      <c r="G458">
        <v>61.439399999999992</v>
      </c>
      <c r="H458">
        <v>14.970600000000001</v>
      </c>
      <c r="AB458" s="17">
        <v>456</v>
      </c>
      <c r="AC458" s="6">
        <v>3.2053500000000001</v>
      </c>
      <c r="AD458" s="19">
        <v>-6.6467999999999998</v>
      </c>
      <c r="AE458" s="6">
        <v>3.0796000000000001</v>
      </c>
      <c r="AF458" s="6">
        <v>123</v>
      </c>
      <c r="AH458" s="17">
        <v>456</v>
      </c>
      <c r="AI458" s="6">
        <v>6.0959000000000003</v>
      </c>
      <c r="AJ458" s="19">
        <v>-6.6467999999999998</v>
      </c>
      <c r="AK458" s="6">
        <v>3.0796000000000001</v>
      </c>
      <c r="AL458" s="6">
        <v>123</v>
      </c>
      <c r="AO458" s="17">
        <v>456</v>
      </c>
      <c r="AP458" s="6">
        <v>1.1528700000000001</v>
      </c>
      <c r="AQ458" s="6">
        <v>0.3584</v>
      </c>
      <c r="AR458" s="6">
        <v>0.58240000000000003</v>
      </c>
      <c r="AS458" s="6">
        <v>123</v>
      </c>
      <c r="AU458" s="17">
        <v>456</v>
      </c>
      <c r="AV458" s="6">
        <v>0.60619999999999996</v>
      </c>
      <c r="AW458" s="6">
        <v>0.3584</v>
      </c>
      <c r="AX458" s="6">
        <v>0.58240000000000003</v>
      </c>
      <c r="AY458" s="6">
        <v>123</v>
      </c>
    </row>
    <row r="459" spans="1:51" x14ac:dyDescent="0.25">
      <c r="A459" s="31" t="s">
        <v>13</v>
      </c>
      <c r="B459" s="32">
        <v>2</v>
      </c>
      <c r="C459" s="36">
        <v>9</v>
      </c>
      <c r="D459" s="36">
        <v>3</v>
      </c>
      <c r="E459" s="32">
        <v>6</v>
      </c>
      <c r="F459" s="12">
        <v>58</v>
      </c>
      <c r="G459">
        <v>62.391559999999998</v>
      </c>
      <c r="H459">
        <v>13.890599999999999</v>
      </c>
      <c r="AB459" s="17">
        <v>457</v>
      </c>
      <c r="AC459" s="6">
        <v>3.2025999999999999</v>
      </c>
      <c r="AD459" s="19">
        <v>-2.9748999999999999</v>
      </c>
      <c r="AE459" s="6">
        <v>3.077</v>
      </c>
      <c r="AF459" s="6">
        <v>123</v>
      </c>
      <c r="AH459" s="17">
        <v>457</v>
      </c>
      <c r="AI459" s="6">
        <v>6.0907</v>
      </c>
      <c r="AJ459" s="19">
        <v>-2.9748999999999999</v>
      </c>
      <c r="AK459" s="6">
        <v>3.077</v>
      </c>
      <c r="AL459" s="6">
        <v>123</v>
      </c>
      <c r="AO459" s="17">
        <v>457</v>
      </c>
      <c r="AP459" s="6">
        <v>1.1371899999999999</v>
      </c>
      <c r="AQ459" s="6">
        <v>0.2419</v>
      </c>
      <c r="AR459" s="6">
        <v>0.57450000000000001</v>
      </c>
      <c r="AS459" s="6">
        <v>123</v>
      </c>
      <c r="AU459" s="17">
        <v>457</v>
      </c>
      <c r="AV459" s="6">
        <v>0.59794999999999998</v>
      </c>
      <c r="AW459" s="6">
        <v>0.2419</v>
      </c>
      <c r="AX459" s="6">
        <v>0.57450000000000001</v>
      </c>
      <c r="AY459" s="6">
        <v>123</v>
      </c>
    </row>
    <row r="460" spans="1:51" x14ac:dyDescent="0.25">
      <c r="A460" s="31" t="s">
        <v>13</v>
      </c>
      <c r="B460" s="32">
        <v>3</v>
      </c>
      <c r="C460" s="36">
        <v>6</v>
      </c>
      <c r="D460" s="36">
        <v>6</v>
      </c>
      <c r="E460" s="32">
        <v>6</v>
      </c>
      <c r="F460" s="12">
        <v>57.6</v>
      </c>
      <c r="G460">
        <v>56.618099999999998</v>
      </c>
      <c r="H460">
        <v>14.7006</v>
      </c>
      <c r="AB460" s="17">
        <v>458</v>
      </c>
      <c r="AC460" s="6">
        <v>3.2024300000000001</v>
      </c>
      <c r="AD460" s="19">
        <v>-0.48870000000000002</v>
      </c>
      <c r="AE460" s="6">
        <v>3.0768</v>
      </c>
      <c r="AF460" s="6">
        <v>123</v>
      </c>
      <c r="AH460" s="17">
        <v>458</v>
      </c>
      <c r="AI460" s="6">
        <v>6.0903999999999998</v>
      </c>
      <c r="AJ460" s="19">
        <v>-0.48870000000000002</v>
      </c>
      <c r="AK460" s="6">
        <v>3.0768</v>
      </c>
      <c r="AL460" s="6">
        <v>123</v>
      </c>
      <c r="AO460" s="17">
        <v>458</v>
      </c>
      <c r="AP460" s="6">
        <v>1.13995</v>
      </c>
      <c r="AQ460" s="19">
        <v>-0.29070000000000001</v>
      </c>
      <c r="AR460" s="6">
        <v>0.57589999999999997</v>
      </c>
      <c r="AS460" s="6">
        <v>123</v>
      </c>
      <c r="AU460" s="17">
        <v>458</v>
      </c>
      <c r="AV460" s="6">
        <v>0.59941</v>
      </c>
      <c r="AW460" s="19">
        <v>-0.29070000000000001</v>
      </c>
      <c r="AX460" s="6">
        <v>0.57589999999999997</v>
      </c>
      <c r="AY460" s="6">
        <v>123</v>
      </c>
    </row>
    <row r="461" spans="1:51" x14ac:dyDescent="0.25">
      <c r="A461" s="31" t="s">
        <v>13</v>
      </c>
      <c r="B461" s="32">
        <v>1</v>
      </c>
      <c r="C461" s="36">
        <v>10</v>
      </c>
      <c r="D461" s="36">
        <v>2</v>
      </c>
      <c r="E461" s="32">
        <v>8</v>
      </c>
      <c r="F461" s="12">
        <v>59</v>
      </c>
      <c r="G461">
        <v>72.662810000000007</v>
      </c>
      <c r="H461">
        <v>12.5406</v>
      </c>
      <c r="AB461" s="17">
        <v>459</v>
      </c>
      <c r="AC461" s="6">
        <v>3.22146</v>
      </c>
      <c r="AD461" s="6">
        <v>0.19739999999999999</v>
      </c>
      <c r="AE461" s="6">
        <v>3.0951</v>
      </c>
      <c r="AF461" s="6">
        <v>123</v>
      </c>
      <c r="AH461" s="17">
        <v>459</v>
      </c>
      <c r="AI461" s="6">
        <v>6.1265999999999998</v>
      </c>
      <c r="AJ461" s="6">
        <v>0.19739999999999999</v>
      </c>
      <c r="AK461" s="6">
        <v>3.0951</v>
      </c>
      <c r="AL461" s="6">
        <v>123</v>
      </c>
      <c r="AO461" s="17">
        <v>459</v>
      </c>
      <c r="AP461" s="6">
        <v>1.13866</v>
      </c>
      <c r="AQ461" s="19">
        <v>-0.22509999999999999</v>
      </c>
      <c r="AR461" s="6">
        <v>0.57520000000000004</v>
      </c>
      <c r="AS461" s="6">
        <v>123</v>
      </c>
      <c r="AU461" s="17">
        <v>459</v>
      </c>
      <c r="AV461" s="6">
        <v>0.59872999999999998</v>
      </c>
      <c r="AW461" s="19">
        <v>-0.22509999999999999</v>
      </c>
      <c r="AX461" s="6">
        <v>0.57520000000000004</v>
      </c>
      <c r="AY461" s="6">
        <v>123</v>
      </c>
    </row>
    <row r="462" spans="1:51" x14ac:dyDescent="0.25">
      <c r="A462" s="31" t="s">
        <v>13</v>
      </c>
      <c r="B462" s="32">
        <v>2</v>
      </c>
      <c r="C462" s="36">
        <v>12</v>
      </c>
      <c r="D462" s="36">
        <v>4</v>
      </c>
      <c r="E462" s="32">
        <v>8</v>
      </c>
      <c r="F462" s="12">
        <v>59.1</v>
      </c>
      <c r="G462">
        <v>72.56832</v>
      </c>
      <c r="H462">
        <v>13.2606</v>
      </c>
      <c r="AB462" s="17">
        <v>460</v>
      </c>
      <c r="AC462" s="6">
        <v>3.2195399999999998</v>
      </c>
      <c r="AD462" s="19">
        <v>-4.8738000000000001</v>
      </c>
      <c r="AE462" s="6">
        <v>3.0933000000000002</v>
      </c>
      <c r="AF462" s="6">
        <v>123</v>
      </c>
      <c r="AH462" s="17">
        <v>460</v>
      </c>
      <c r="AI462" s="6">
        <v>6.1228999999999996</v>
      </c>
      <c r="AJ462" s="19">
        <v>-4.8738000000000001</v>
      </c>
      <c r="AK462" s="6">
        <v>3.0933000000000002</v>
      </c>
      <c r="AL462" s="6">
        <v>123</v>
      </c>
      <c r="AO462" s="17">
        <v>460</v>
      </c>
      <c r="AP462" s="6">
        <v>1.1475299999999999</v>
      </c>
      <c r="AQ462" s="6">
        <v>0.83160000000000001</v>
      </c>
      <c r="AR462" s="6">
        <v>0.57969999999999999</v>
      </c>
      <c r="AS462" s="6">
        <v>123</v>
      </c>
      <c r="AU462" s="17">
        <v>460</v>
      </c>
      <c r="AV462" s="6">
        <v>0.60338999999999998</v>
      </c>
      <c r="AW462" s="6">
        <v>0.83160000000000001</v>
      </c>
      <c r="AX462" s="6">
        <v>0.57969999999999999</v>
      </c>
      <c r="AY462" s="6">
        <v>123</v>
      </c>
    </row>
    <row r="463" spans="1:51" x14ac:dyDescent="0.25">
      <c r="A463" s="31" t="s">
        <v>13</v>
      </c>
      <c r="B463" s="32">
        <v>3</v>
      </c>
      <c r="C463" s="36">
        <v>4</v>
      </c>
      <c r="D463" s="36">
        <v>6</v>
      </c>
      <c r="E463" s="32">
        <v>8</v>
      </c>
      <c r="F463" s="12">
        <v>57.2</v>
      </c>
      <c r="G463">
        <v>71.162520000000001</v>
      </c>
      <c r="H463">
        <v>13.3506</v>
      </c>
      <c r="AB463" s="17">
        <v>461</v>
      </c>
      <c r="AC463" s="6">
        <v>3.2198799999999999</v>
      </c>
      <c r="AD463" s="19">
        <v>-0.33800000000000002</v>
      </c>
      <c r="AE463" s="6">
        <v>3.0935999999999999</v>
      </c>
      <c r="AF463" s="6">
        <v>123</v>
      </c>
      <c r="AH463" s="17">
        <v>461</v>
      </c>
      <c r="AI463" s="6">
        <v>6.1235999999999997</v>
      </c>
      <c r="AJ463" s="19">
        <v>-0.33800000000000002</v>
      </c>
      <c r="AK463" s="6">
        <v>3.0935999999999999</v>
      </c>
      <c r="AL463" s="6">
        <v>123</v>
      </c>
      <c r="AO463" s="17">
        <v>461</v>
      </c>
      <c r="AP463" s="6">
        <v>1.14866</v>
      </c>
      <c r="AQ463" s="6">
        <v>0.41039999999999999</v>
      </c>
      <c r="AR463" s="6">
        <v>0.58030000000000004</v>
      </c>
      <c r="AS463" s="6">
        <v>123</v>
      </c>
      <c r="AU463" s="17">
        <v>461</v>
      </c>
      <c r="AV463" s="6">
        <v>0.60399000000000003</v>
      </c>
      <c r="AW463" s="6">
        <v>0.41039999999999999</v>
      </c>
      <c r="AX463" s="6">
        <v>0.58030000000000004</v>
      </c>
      <c r="AY463" s="6">
        <v>123</v>
      </c>
    </row>
    <row r="464" spans="1:51" x14ac:dyDescent="0.25">
      <c r="A464" s="31" t="s">
        <v>13</v>
      </c>
      <c r="B464" s="32">
        <v>1</v>
      </c>
      <c r="C464" s="36">
        <v>13</v>
      </c>
      <c r="D464" s="36">
        <v>2</v>
      </c>
      <c r="E464" s="32">
        <v>42</v>
      </c>
      <c r="F464" s="12">
        <v>58.8</v>
      </c>
      <c r="G464">
        <v>68.127289999999988</v>
      </c>
      <c r="H464">
        <v>13.530600000000002</v>
      </c>
      <c r="AB464" s="17">
        <v>462</v>
      </c>
      <c r="AC464" s="6">
        <v>3.2359499999999999</v>
      </c>
      <c r="AD464" s="19">
        <v>-9.6502999999999997</v>
      </c>
      <c r="AE464" s="6">
        <v>3.109</v>
      </c>
      <c r="AF464" s="6">
        <v>123</v>
      </c>
      <c r="AH464" s="17">
        <v>462</v>
      </c>
      <c r="AI464" s="6">
        <v>6.1542000000000003</v>
      </c>
      <c r="AJ464" s="19">
        <v>-9.6502999999999997</v>
      </c>
      <c r="AK464" s="6">
        <v>3.109</v>
      </c>
      <c r="AL464" s="6">
        <v>123</v>
      </c>
      <c r="AO464" s="17">
        <v>462</v>
      </c>
      <c r="AP464" s="6">
        <v>1.1629799999999999</v>
      </c>
      <c r="AQ464" s="6">
        <v>0.21079999999999999</v>
      </c>
      <c r="AR464" s="6">
        <v>0.58750000000000002</v>
      </c>
      <c r="AS464" s="6">
        <v>123</v>
      </c>
      <c r="AU464" s="17">
        <v>462</v>
      </c>
      <c r="AV464" s="6">
        <v>0.61151</v>
      </c>
      <c r="AW464" s="6">
        <v>0.21079999999999999</v>
      </c>
      <c r="AX464" s="6">
        <v>0.58750000000000002</v>
      </c>
      <c r="AY464" s="6">
        <v>123</v>
      </c>
    </row>
    <row r="465" spans="1:51" x14ac:dyDescent="0.25">
      <c r="A465" s="31" t="s">
        <v>13</v>
      </c>
      <c r="B465" s="32">
        <v>2</v>
      </c>
      <c r="C465" s="36">
        <v>8</v>
      </c>
      <c r="D465" s="36">
        <v>3</v>
      </c>
      <c r="E465" s="32">
        <v>42</v>
      </c>
      <c r="F465" s="12">
        <v>59.2</v>
      </c>
      <c r="G465">
        <v>70.618019999999987</v>
      </c>
      <c r="H465">
        <v>13.530600000000002</v>
      </c>
      <c r="AB465" s="17">
        <v>463</v>
      </c>
      <c r="AC465" s="6">
        <v>3.2338499999999999</v>
      </c>
      <c r="AD465" s="19">
        <v>-1.5073000000000001</v>
      </c>
      <c r="AE465" s="6">
        <v>3.1070000000000002</v>
      </c>
      <c r="AF465" s="6">
        <v>123</v>
      </c>
      <c r="AH465" s="17">
        <v>463</v>
      </c>
      <c r="AI465" s="6">
        <v>6.1501999999999999</v>
      </c>
      <c r="AJ465" s="19">
        <v>-1.5073000000000001</v>
      </c>
      <c r="AK465" s="6">
        <v>3.1070000000000002</v>
      </c>
      <c r="AL465" s="6">
        <v>123</v>
      </c>
      <c r="AO465" s="17">
        <v>463</v>
      </c>
      <c r="AP465" s="6">
        <v>1.13948</v>
      </c>
      <c r="AQ465" s="6">
        <v>0.13070000000000001</v>
      </c>
      <c r="AR465" s="6">
        <v>0.57569999999999999</v>
      </c>
      <c r="AS465" s="6">
        <v>123</v>
      </c>
      <c r="AU465" s="17">
        <v>463</v>
      </c>
      <c r="AV465" s="6">
        <v>0.59916000000000003</v>
      </c>
      <c r="AW465" s="6">
        <v>0.13070000000000001</v>
      </c>
      <c r="AX465" s="6">
        <v>0.57569999999999999</v>
      </c>
      <c r="AY465" s="6">
        <v>123</v>
      </c>
    </row>
    <row r="466" spans="1:51" x14ac:dyDescent="0.25">
      <c r="A466" s="31" t="s">
        <v>13</v>
      </c>
      <c r="B466" s="32">
        <v>3</v>
      </c>
      <c r="C466" s="36">
        <v>2</v>
      </c>
      <c r="D466" s="36">
        <v>5</v>
      </c>
      <c r="E466" s="32">
        <v>42</v>
      </c>
      <c r="F466" s="12">
        <v>59.3</v>
      </c>
      <c r="G466">
        <v>62.124479999999998</v>
      </c>
      <c r="H466">
        <v>13.710599999999999</v>
      </c>
      <c r="AB466" s="17">
        <v>464</v>
      </c>
      <c r="AC466" s="6">
        <v>3.2017899999999999</v>
      </c>
      <c r="AD466" s="6">
        <v>1.0811999999999999</v>
      </c>
      <c r="AE466" s="6">
        <v>3.0762</v>
      </c>
      <c r="AF466" s="6">
        <v>123</v>
      </c>
      <c r="AH466" s="17">
        <v>464</v>
      </c>
      <c r="AI466" s="6">
        <v>6.0891999999999999</v>
      </c>
      <c r="AJ466" s="6">
        <v>1.0811999999999999</v>
      </c>
      <c r="AK466" s="6">
        <v>3.0762</v>
      </c>
      <c r="AL466" s="6">
        <v>123</v>
      </c>
      <c r="AO466" s="17">
        <v>464</v>
      </c>
      <c r="AP466" s="6">
        <v>1.1422699999999999</v>
      </c>
      <c r="AQ466" s="6">
        <v>1.9892000000000001</v>
      </c>
      <c r="AR466" s="6">
        <v>0.57709999999999995</v>
      </c>
      <c r="AS466" s="6">
        <v>123</v>
      </c>
      <c r="AU466" s="17">
        <v>464</v>
      </c>
      <c r="AV466" s="6">
        <v>0.60063</v>
      </c>
      <c r="AW466" s="6">
        <v>1.9892000000000001</v>
      </c>
      <c r="AX466" s="6">
        <v>0.57709999999999995</v>
      </c>
      <c r="AY466" s="6">
        <v>123</v>
      </c>
    </row>
    <row r="467" spans="1:51" x14ac:dyDescent="0.25">
      <c r="A467" s="31" t="s">
        <v>13</v>
      </c>
      <c r="B467" s="32">
        <v>1</v>
      </c>
      <c r="C467" s="36">
        <v>15</v>
      </c>
      <c r="D467" s="36">
        <v>2</v>
      </c>
      <c r="E467" s="32">
        <v>44</v>
      </c>
      <c r="F467" s="12">
        <v>56.5</v>
      </c>
      <c r="G467">
        <v>61.27319</v>
      </c>
      <c r="H467">
        <v>14.5206</v>
      </c>
      <c r="AB467" s="17">
        <v>465</v>
      </c>
      <c r="AC467" s="6">
        <v>3.20295</v>
      </c>
      <c r="AD467" s="6">
        <v>2.2471000000000001</v>
      </c>
      <c r="AE467" s="6">
        <v>3.0773000000000001</v>
      </c>
      <c r="AF467" s="6">
        <v>123</v>
      </c>
      <c r="AH467" s="17">
        <v>465</v>
      </c>
      <c r="AI467" s="6">
        <v>6.0914000000000001</v>
      </c>
      <c r="AJ467" s="6">
        <v>2.2471000000000001</v>
      </c>
      <c r="AK467" s="6">
        <v>3.0773000000000001</v>
      </c>
      <c r="AL467" s="6">
        <v>123</v>
      </c>
      <c r="AO467" s="17">
        <v>465</v>
      </c>
      <c r="AP467" s="6">
        <v>1.1418200000000001</v>
      </c>
      <c r="AQ467" s="6">
        <v>0.46389999999999998</v>
      </c>
      <c r="AR467" s="6">
        <v>0.57679999999999998</v>
      </c>
      <c r="AS467" s="6">
        <v>123</v>
      </c>
      <c r="AU467" s="17">
        <v>465</v>
      </c>
      <c r="AV467" s="6">
        <v>0.60038999999999998</v>
      </c>
      <c r="AW467" s="6">
        <v>0.46389999999999998</v>
      </c>
      <c r="AX467" s="6">
        <v>0.57679999999999998</v>
      </c>
      <c r="AY467" s="6">
        <v>123</v>
      </c>
    </row>
    <row r="468" spans="1:51" x14ac:dyDescent="0.25">
      <c r="A468" s="31" t="s">
        <v>13</v>
      </c>
      <c r="B468" s="32">
        <v>2</v>
      </c>
      <c r="C468" s="36">
        <v>19</v>
      </c>
      <c r="D468" s="36">
        <v>4</v>
      </c>
      <c r="E468" s="32">
        <v>44</v>
      </c>
      <c r="F468" s="12">
        <v>56.4</v>
      </c>
      <c r="G468">
        <v>50.423724999999997</v>
      </c>
      <c r="H468">
        <v>14.4306</v>
      </c>
      <c r="AB468" s="17">
        <v>466</v>
      </c>
      <c r="AC468" s="6">
        <v>3.1918600000000001</v>
      </c>
      <c r="AD468" s="6">
        <v>7.4659000000000004</v>
      </c>
      <c r="AE468" s="6">
        <v>3.0667</v>
      </c>
      <c r="AF468" s="6">
        <v>123</v>
      </c>
      <c r="AH468" s="17">
        <v>466</v>
      </c>
      <c r="AI468" s="6">
        <v>6.0702999999999996</v>
      </c>
      <c r="AJ468" s="6">
        <v>7.4659000000000004</v>
      </c>
      <c r="AK468" s="6">
        <v>3.0667</v>
      </c>
      <c r="AL468" s="6">
        <v>123</v>
      </c>
      <c r="AO468" s="17">
        <v>466</v>
      </c>
      <c r="AP468" s="6">
        <v>1.14069</v>
      </c>
      <c r="AQ468" s="6">
        <v>0.51080000000000003</v>
      </c>
      <c r="AR468" s="6">
        <v>0.57630000000000003</v>
      </c>
      <c r="AS468" s="6">
        <v>123</v>
      </c>
      <c r="AU468" s="17">
        <v>466</v>
      </c>
      <c r="AV468" s="6">
        <v>0.59979000000000005</v>
      </c>
      <c r="AW468" s="6">
        <v>0.51080000000000003</v>
      </c>
      <c r="AX468" s="6">
        <v>0.57630000000000003</v>
      </c>
      <c r="AY468" s="6">
        <v>123</v>
      </c>
    </row>
    <row r="469" spans="1:51" x14ac:dyDescent="0.25">
      <c r="A469" s="31" t="s">
        <v>13</v>
      </c>
      <c r="B469" s="32">
        <v>3</v>
      </c>
      <c r="C469" s="36">
        <v>1</v>
      </c>
      <c r="D469" s="36">
        <v>5</v>
      </c>
      <c r="E469" s="32">
        <v>44</v>
      </c>
      <c r="F469" s="12">
        <v>57.3</v>
      </c>
      <c r="G469">
        <v>55.182160000000003</v>
      </c>
      <c r="H469">
        <v>14.070600000000001</v>
      </c>
      <c r="AB469" s="17">
        <v>467</v>
      </c>
      <c r="AC469" s="6">
        <v>3.1995300000000002</v>
      </c>
      <c r="AD469" s="6">
        <v>4.6148999999999996</v>
      </c>
      <c r="AE469" s="6">
        <v>3.0739999999999998</v>
      </c>
      <c r="AF469" s="6">
        <v>123</v>
      </c>
      <c r="AH469" s="17">
        <v>467</v>
      </c>
      <c r="AI469" s="6">
        <v>6.0849000000000002</v>
      </c>
      <c r="AJ469" s="6">
        <v>4.6148999999999996</v>
      </c>
      <c r="AK469" s="6">
        <v>3.0739999999999998</v>
      </c>
      <c r="AL469" s="6">
        <v>123</v>
      </c>
      <c r="AO469" s="17">
        <v>467</v>
      </c>
      <c r="AP469" s="6">
        <v>1.13723</v>
      </c>
      <c r="AQ469" s="6">
        <v>0.77500000000000002</v>
      </c>
      <c r="AR469" s="6">
        <v>0.57450000000000001</v>
      </c>
      <c r="AS469" s="6">
        <v>123</v>
      </c>
      <c r="AU469" s="17">
        <v>467</v>
      </c>
      <c r="AV469" s="6">
        <v>0.59797999999999996</v>
      </c>
      <c r="AW469" s="6">
        <v>0.77500000000000002</v>
      </c>
      <c r="AX469" s="6">
        <v>0.57450000000000001</v>
      </c>
      <c r="AY469" s="6">
        <v>123</v>
      </c>
    </row>
    <row r="470" spans="1:51" x14ac:dyDescent="0.25">
      <c r="A470" s="31" t="s">
        <v>13</v>
      </c>
      <c r="B470" s="32">
        <v>1</v>
      </c>
      <c r="C470" s="36">
        <v>15</v>
      </c>
      <c r="D470" s="36">
        <v>1</v>
      </c>
      <c r="E470" s="32">
        <v>43</v>
      </c>
      <c r="F470" s="12">
        <v>54.8</v>
      </c>
      <c r="G470" t="s">
        <v>12</v>
      </c>
      <c r="H470">
        <v>14.970600000000001</v>
      </c>
      <c r="AB470" s="17">
        <v>468</v>
      </c>
      <c r="AC470" s="6">
        <v>3.20309</v>
      </c>
      <c r="AD470" s="19">
        <v>-7.0846999999999998</v>
      </c>
      <c r="AE470" s="6">
        <v>3.0775000000000001</v>
      </c>
      <c r="AF470" s="6">
        <v>123</v>
      </c>
      <c r="AH470" s="17">
        <v>468</v>
      </c>
      <c r="AI470" s="6">
        <v>6.0915999999999997</v>
      </c>
      <c r="AJ470" s="19">
        <v>-7.0846999999999998</v>
      </c>
      <c r="AK470" s="6">
        <v>3.0775000000000001</v>
      </c>
      <c r="AL470" s="6">
        <v>123</v>
      </c>
      <c r="AO470" s="17">
        <v>468</v>
      </c>
      <c r="AP470" s="6">
        <v>1.1412899999999999</v>
      </c>
      <c r="AQ470" s="19">
        <v>-1.3507</v>
      </c>
      <c r="AR470" s="6">
        <v>0.5766</v>
      </c>
      <c r="AS470" s="6">
        <v>123</v>
      </c>
      <c r="AU470" s="17">
        <v>468</v>
      </c>
      <c r="AV470" s="6">
        <v>0.60011000000000003</v>
      </c>
      <c r="AW470" s="19">
        <v>-1.3507</v>
      </c>
      <c r="AX470" s="6">
        <v>0.5766</v>
      </c>
      <c r="AY470" s="6">
        <v>123</v>
      </c>
    </row>
    <row r="471" spans="1:51" x14ac:dyDescent="0.25">
      <c r="A471" s="31" t="s">
        <v>13</v>
      </c>
      <c r="B471" s="32">
        <v>2</v>
      </c>
      <c r="C471" s="36">
        <v>11</v>
      </c>
      <c r="D471" s="36">
        <v>3</v>
      </c>
      <c r="E471" s="32">
        <v>43</v>
      </c>
      <c r="F471" s="12">
        <v>55.9</v>
      </c>
      <c r="G471">
        <v>54.737100000000005</v>
      </c>
      <c r="H471">
        <v>13.980600000000001</v>
      </c>
      <c r="AB471" s="17">
        <v>469</v>
      </c>
      <c r="AC471" s="6">
        <v>3.1952099999999999</v>
      </c>
      <c r="AD471" s="19">
        <v>-2.8249</v>
      </c>
      <c r="AE471" s="6">
        <v>3.0699000000000001</v>
      </c>
      <c r="AF471" s="6">
        <v>123</v>
      </c>
      <c r="AH471" s="17">
        <v>469</v>
      </c>
      <c r="AI471" s="6">
        <v>6.0766999999999998</v>
      </c>
      <c r="AJ471" s="19">
        <v>-2.8249</v>
      </c>
      <c r="AK471" s="6">
        <v>3.0699000000000001</v>
      </c>
      <c r="AL471" s="6">
        <v>123</v>
      </c>
      <c r="AO471" s="17">
        <v>469</v>
      </c>
      <c r="AP471" s="6">
        <v>1.1395900000000001</v>
      </c>
      <c r="AQ471" s="6">
        <v>8.8020000000000001E-2</v>
      </c>
      <c r="AR471" s="6">
        <v>0.57569999999999999</v>
      </c>
      <c r="AS471" s="6">
        <v>123</v>
      </c>
      <c r="AU471" s="17">
        <v>469</v>
      </c>
      <c r="AV471" s="6">
        <v>0.59921999999999997</v>
      </c>
      <c r="AW471" s="6">
        <v>8.8020000000000001E-2</v>
      </c>
      <c r="AX471" s="6">
        <v>0.57569999999999999</v>
      </c>
      <c r="AY471" s="6">
        <v>123</v>
      </c>
    </row>
    <row r="472" spans="1:51" x14ac:dyDescent="0.25">
      <c r="A472" s="31" t="s">
        <v>13</v>
      </c>
      <c r="B472" s="32">
        <v>3</v>
      </c>
      <c r="C472" s="36">
        <v>7</v>
      </c>
      <c r="D472" s="36">
        <v>6</v>
      </c>
      <c r="E472" s="32">
        <v>43</v>
      </c>
      <c r="F472" s="12">
        <v>55.2</v>
      </c>
      <c r="G472">
        <v>47.33014</v>
      </c>
      <c r="H472">
        <v>14.790600000000001</v>
      </c>
      <c r="AB472" s="17">
        <v>470</v>
      </c>
      <c r="AC472" s="6">
        <v>3.2186900000000001</v>
      </c>
      <c r="AD472" s="19">
        <v>-1.7256</v>
      </c>
      <c r="AE472" s="6">
        <v>3.0924999999999998</v>
      </c>
      <c r="AF472" s="6">
        <v>123</v>
      </c>
      <c r="AH472" s="17">
        <v>470</v>
      </c>
      <c r="AI472" s="6">
        <v>6.1212999999999997</v>
      </c>
      <c r="AJ472" s="19">
        <v>-1.7256</v>
      </c>
      <c r="AK472" s="6">
        <v>3.0924999999999998</v>
      </c>
      <c r="AL472" s="6">
        <v>123</v>
      </c>
      <c r="AO472" s="17">
        <v>470</v>
      </c>
      <c r="AP472" s="6">
        <v>1.14316</v>
      </c>
      <c r="AQ472" s="6">
        <v>0.75770000000000004</v>
      </c>
      <c r="AR472" s="6">
        <v>0.57750000000000001</v>
      </c>
      <c r="AS472" s="6">
        <v>123</v>
      </c>
      <c r="AU472" s="17">
        <v>470</v>
      </c>
      <c r="AV472" s="6">
        <v>0.60109000000000001</v>
      </c>
      <c r="AW472" s="6">
        <v>0.75770000000000004</v>
      </c>
      <c r="AX472" s="6">
        <v>0.57750000000000001</v>
      </c>
      <c r="AY472" s="6">
        <v>123</v>
      </c>
    </row>
    <row r="473" spans="1:51" x14ac:dyDescent="0.25">
      <c r="A473" s="31" t="s">
        <v>13</v>
      </c>
      <c r="B473" s="32">
        <v>1</v>
      </c>
      <c r="C473" s="36">
        <v>3</v>
      </c>
      <c r="D473" s="36">
        <v>1</v>
      </c>
      <c r="E473" s="32">
        <v>27</v>
      </c>
      <c r="F473" s="12">
        <v>58.8</v>
      </c>
      <c r="G473">
        <v>73.50007500000001</v>
      </c>
      <c r="H473">
        <v>13.0806</v>
      </c>
      <c r="AB473" s="17">
        <v>471</v>
      </c>
      <c r="AC473" s="6">
        <v>3.2252000000000001</v>
      </c>
      <c r="AD473" s="19">
        <v>-5.8731999999999998</v>
      </c>
      <c r="AE473" s="6">
        <v>3.0987</v>
      </c>
      <c r="AF473" s="6">
        <v>123</v>
      </c>
      <c r="AH473" s="17">
        <v>471</v>
      </c>
      <c r="AI473" s="6">
        <v>6.1337000000000002</v>
      </c>
      <c r="AJ473" s="19">
        <v>-5.8731999999999998</v>
      </c>
      <c r="AK473" s="6">
        <v>3.0987</v>
      </c>
      <c r="AL473" s="6">
        <v>123</v>
      </c>
      <c r="AO473" s="17">
        <v>471</v>
      </c>
      <c r="AP473" s="6">
        <v>1.1541699999999999</v>
      </c>
      <c r="AQ473" s="19">
        <v>-0.1837</v>
      </c>
      <c r="AR473" s="6">
        <v>0.58309999999999995</v>
      </c>
      <c r="AS473" s="6">
        <v>123</v>
      </c>
      <c r="AU473" s="17">
        <v>471</v>
      </c>
      <c r="AV473" s="6">
        <v>0.60687999999999998</v>
      </c>
      <c r="AW473" s="19">
        <v>-0.1837</v>
      </c>
      <c r="AX473" s="6">
        <v>0.58309999999999995</v>
      </c>
      <c r="AY473" s="6">
        <v>123</v>
      </c>
    </row>
    <row r="474" spans="1:51" x14ac:dyDescent="0.25">
      <c r="A474" s="31" t="s">
        <v>13</v>
      </c>
      <c r="B474" s="32">
        <v>2</v>
      </c>
      <c r="C474" s="36">
        <v>21</v>
      </c>
      <c r="D474" s="36">
        <v>3</v>
      </c>
      <c r="E474" s="32">
        <v>27</v>
      </c>
      <c r="F474" s="12">
        <v>58.5</v>
      </c>
      <c r="G474">
        <v>62.228099999999991</v>
      </c>
      <c r="H474">
        <v>12.3606</v>
      </c>
      <c r="AB474" s="17">
        <v>472</v>
      </c>
      <c r="AC474" s="6">
        <v>3.1994600000000002</v>
      </c>
      <c r="AD474" s="6">
        <v>3.1722999999999999</v>
      </c>
      <c r="AE474" s="6">
        <v>3.0739999999999998</v>
      </c>
      <c r="AF474" s="6">
        <v>123</v>
      </c>
      <c r="AH474" s="17">
        <v>472</v>
      </c>
      <c r="AI474" s="6">
        <v>6.0846999999999998</v>
      </c>
      <c r="AJ474" s="6">
        <v>3.1722999999999999</v>
      </c>
      <c r="AK474" s="6">
        <v>3.0739999999999998</v>
      </c>
      <c r="AL474" s="6">
        <v>123</v>
      </c>
      <c r="AO474" s="17">
        <v>472</v>
      </c>
      <c r="AP474" s="6">
        <v>1.13948</v>
      </c>
      <c r="AQ474" s="19">
        <v>-0.7359</v>
      </c>
      <c r="AR474" s="6">
        <v>0.57569999999999999</v>
      </c>
      <c r="AS474" s="6">
        <v>123</v>
      </c>
      <c r="AU474" s="17">
        <v>472</v>
      </c>
      <c r="AV474" s="6">
        <v>0.59916000000000003</v>
      </c>
      <c r="AW474" s="19">
        <v>-0.7359</v>
      </c>
      <c r="AX474" s="6">
        <v>0.57569999999999999</v>
      </c>
      <c r="AY474" s="6">
        <v>123</v>
      </c>
    </row>
    <row r="475" spans="1:51" x14ac:dyDescent="0.25">
      <c r="A475" s="31" t="s">
        <v>13</v>
      </c>
      <c r="B475" s="32">
        <v>3</v>
      </c>
      <c r="C475" s="36">
        <v>6</v>
      </c>
      <c r="D475" s="36">
        <v>5</v>
      </c>
      <c r="E475" s="32">
        <v>27</v>
      </c>
      <c r="F475" s="12">
        <v>58.1</v>
      </c>
      <c r="G475">
        <v>57.820455000000003</v>
      </c>
      <c r="H475">
        <v>14.5206</v>
      </c>
      <c r="AB475" s="17">
        <v>473</v>
      </c>
      <c r="AC475" s="6">
        <v>3.1804399999999999</v>
      </c>
      <c r="AD475" s="19">
        <v>-3.0503</v>
      </c>
      <c r="AE475" s="6">
        <v>3.0556999999999999</v>
      </c>
      <c r="AF475" s="6">
        <v>123</v>
      </c>
      <c r="AH475" s="17">
        <v>473</v>
      </c>
      <c r="AI475" s="6">
        <v>6.0486000000000004</v>
      </c>
      <c r="AJ475" s="19">
        <v>-3.0503</v>
      </c>
      <c r="AK475" s="6">
        <v>3.0556999999999999</v>
      </c>
      <c r="AL475" s="6">
        <v>123</v>
      </c>
      <c r="AO475" s="17">
        <v>473</v>
      </c>
      <c r="AP475" s="6">
        <v>1.13384</v>
      </c>
      <c r="AQ475" s="19">
        <v>-0.68059999999999998</v>
      </c>
      <c r="AR475" s="6">
        <v>0.57279999999999998</v>
      </c>
      <c r="AS475" s="6">
        <v>123</v>
      </c>
      <c r="AU475" s="17">
        <v>473</v>
      </c>
      <c r="AV475" s="6">
        <v>0.59619</v>
      </c>
      <c r="AW475" s="19">
        <v>-0.68059999999999998</v>
      </c>
      <c r="AX475" s="6">
        <v>0.57279999999999998</v>
      </c>
      <c r="AY475" s="6">
        <v>123</v>
      </c>
    </row>
    <row r="476" spans="1:51" x14ac:dyDescent="0.25">
      <c r="A476" s="31" t="s">
        <v>13</v>
      </c>
      <c r="B476" s="32">
        <v>1</v>
      </c>
      <c r="C476" s="36">
        <v>16</v>
      </c>
      <c r="D476" s="36">
        <v>2</v>
      </c>
      <c r="E476" s="32">
        <v>31</v>
      </c>
      <c r="F476" s="12">
        <v>57.1</v>
      </c>
      <c r="G476">
        <v>63.494199999999999</v>
      </c>
      <c r="H476">
        <v>14.3406</v>
      </c>
      <c r="AB476" s="17">
        <v>474</v>
      </c>
      <c r="AC476" s="6">
        <v>3.2000099999999998</v>
      </c>
      <c r="AD476" s="19">
        <v>-1.2014</v>
      </c>
      <c r="AE476" s="6">
        <v>3.0745</v>
      </c>
      <c r="AF476" s="6">
        <v>123</v>
      </c>
      <c r="AH476" s="17">
        <v>474</v>
      </c>
      <c r="AI476" s="6">
        <v>6.0857999999999999</v>
      </c>
      <c r="AJ476" s="19">
        <v>-1.2014</v>
      </c>
      <c r="AK476" s="6">
        <v>3.0745</v>
      </c>
      <c r="AL476" s="6">
        <v>123</v>
      </c>
      <c r="AO476" s="17">
        <v>474</v>
      </c>
      <c r="AP476" s="6">
        <v>1.1438900000000001</v>
      </c>
      <c r="AQ476" s="19">
        <v>-1.1403000000000001</v>
      </c>
      <c r="AR476" s="6">
        <v>0.57789999999999997</v>
      </c>
      <c r="AS476" s="6">
        <v>123</v>
      </c>
      <c r="AU476" s="17">
        <v>474</v>
      </c>
      <c r="AV476" s="6">
        <v>0.60148000000000001</v>
      </c>
      <c r="AW476" s="19">
        <v>-1.1403000000000001</v>
      </c>
      <c r="AX476" s="6">
        <v>0.57789999999999997</v>
      </c>
      <c r="AY476" s="6">
        <v>123</v>
      </c>
    </row>
    <row r="477" spans="1:51" x14ac:dyDescent="0.25">
      <c r="A477" s="31" t="s">
        <v>13</v>
      </c>
      <c r="B477" s="32">
        <v>2</v>
      </c>
      <c r="C477" s="36">
        <v>14</v>
      </c>
      <c r="D477" s="36">
        <v>4</v>
      </c>
      <c r="E477" s="32">
        <v>31</v>
      </c>
      <c r="F477" s="12">
        <v>56.9</v>
      </c>
      <c r="G477">
        <v>56.328799999999994</v>
      </c>
      <c r="H477">
        <v>14.2506</v>
      </c>
      <c r="AB477" s="17">
        <v>475</v>
      </c>
      <c r="AC477" s="6">
        <v>3.2336</v>
      </c>
      <c r="AD477" s="6">
        <v>5.7512999999999996</v>
      </c>
      <c r="AE477" s="6">
        <v>3.1067999999999998</v>
      </c>
      <c r="AF477" s="6">
        <v>123</v>
      </c>
      <c r="AH477" s="17">
        <v>475</v>
      </c>
      <c r="AI477" s="6">
        <v>6.1497000000000002</v>
      </c>
      <c r="AJ477" s="6">
        <v>5.7512999999999996</v>
      </c>
      <c r="AK477" s="6">
        <v>3.1067999999999998</v>
      </c>
      <c r="AL477" s="6">
        <v>123</v>
      </c>
      <c r="AO477" s="17">
        <v>475</v>
      </c>
      <c r="AP477" s="6">
        <v>1.1607099999999999</v>
      </c>
      <c r="AQ477" s="6">
        <v>1.1649</v>
      </c>
      <c r="AR477" s="6">
        <v>0.58640000000000003</v>
      </c>
      <c r="AS477" s="6">
        <v>123</v>
      </c>
      <c r="AU477" s="17">
        <v>475</v>
      </c>
      <c r="AV477" s="6">
        <v>0.61031999999999997</v>
      </c>
      <c r="AW477" s="6">
        <v>1.1649</v>
      </c>
      <c r="AX477" s="6">
        <v>0.58640000000000003</v>
      </c>
      <c r="AY477" s="6">
        <v>123</v>
      </c>
    </row>
    <row r="478" spans="1:51" x14ac:dyDescent="0.25">
      <c r="A478" s="31" t="s">
        <v>13</v>
      </c>
      <c r="B478" s="32">
        <v>3</v>
      </c>
      <c r="C478" s="36">
        <v>4</v>
      </c>
      <c r="D478" s="36">
        <v>5</v>
      </c>
      <c r="E478" s="32">
        <v>31</v>
      </c>
      <c r="F478" s="12">
        <v>57.5</v>
      </c>
      <c r="G478">
        <v>54.189629999999994</v>
      </c>
      <c r="H478">
        <v>14.7006</v>
      </c>
      <c r="AB478" s="17">
        <v>476</v>
      </c>
      <c r="AC478" s="6">
        <v>3.2295199999999999</v>
      </c>
      <c r="AD478" s="19">
        <v>-0.57650000000000001</v>
      </c>
      <c r="AE478" s="6">
        <v>3.1029</v>
      </c>
      <c r="AF478" s="6">
        <v>123</v>
      </c>
      <c r="AH478" s="17">
        <v>476</v>
      </c>
      <c r="AI478" s="6">
        <v>6.1418999999999997</v>
      </c>
      <c r="AJ478" s="19">
        <v>-0.57650000000000001</v>
      </c>
      <c r="AK478" s="6">
        <v>3.1029</v>
      </c>
      <c r="AL478" s="6">
        <v>123</v>
      </c>
      <c r="AO478" s="17">
        <v>476</v>
      </c>
      <c r="AP478" s="6">
        <v>1.1522300000000001</v>
      </c>
      <c r="AQ478" s="19">
        <v>-1.1974</v>
      </c>
      <c r="AR478" s="6">
        <v>0.58209999999999995</v>
      </c>
      <c r="AS478" s="6">
        <v>123</v>
      </c>
      <c r="AU478" s="17">
        <v>476</v>
      </c>
      <c r="AV478" s="6">
        <v>0.60585999999999995</v>
      </c>
      <c r="AW478" s="19">
        <v>-1.1974</v>
      </c>
      <c r="AX478" s="6">
        <v>0.58209999999999995</v>
      </c>
      <c r="AY478" s="6">
        <v>123</v>
      </c>
    </row>
    <row r="479" spans="1:51" x14ac:dyDescent="0.25">
      <c r="A479" s="31" t="s">
        <v>13</v>
      </c>
      <c r="B479" s="32">
        <v>1</v>
      </c>
      <c r="C479" s="36">
        <v>12</v>
      </c>
      <c r="D479" s="36">
        <v>2</v>
      </c>
      <c r="E479" s="32">
        <v>23</v>
      </c>
      <c r="F479" s="12">
        <v>59</v>
      </c>
      <c r="G479">
        <v>67.355199999999982</v>
      </c>
      <c r="H479">
        <v>13.620600000000001</v>
      </c>
      <c r="AB479" s="17">
        <v>477</v>
      </c>
      <c r="AC479" s="6">
        <v>3.22906</v>
      </c>
      <c r="AD479" s="6">
        <v>10.213200000000001</v>
      </c>
      <c r="AE479" s="6">
        <v>3.1023999999999998</v>
      </c>
      <c r="AF479" s="6">
        <v>123</v>
      </c>
      <c r="AH479" s="17">
        <v>477</v>
      </c>
      <c r="AI479" s="6">
        <v>6.141</v>
      </c>
      <c r="AJ479" s="6">
        <v>10.213200000000001</v>
      </c>
      <c r="AK479" s="6">
        <v>3.1023999999999998</v>
      </c>
      <c r="AL479" s="6">
        <v>123</v>
      </c>
      <c r="AO479" s="17">
        <v>477</v>
      </c>
      <c r="AP479" s="6">
        <v>1.15181</v>
      </c>
      <c r="AQ479" s="6">
        <v>1.4794</v>
      </c>
      <c r="AR479" s="6">
        <v>0.58189999999999997</v>
      </c>
      <c r="AS479" s="6">
        <v>123</v>
      </c>
      <c r="AU479" s="17">
        <v>477</v>
      </c>
      <c r="AV479" s="6">
        <v>0.60563999999999996</v>
      </c>
      <c r="AW479" s="6">
        <v>1.4794</v>
      </c>
      <c r="AX479" s="6">
        <v>0.58189999999999997</v>
      </c>
      <c r="AY479" s="6">
        <v>123</v>
      </c>
    </row>
    <row r="480" spans="1:51" x14ac:dyDescent="0.25">
      <c r="A480" s="31" t="s">
        <v>13</v>
      </c>
      <c r="B480" s="32">
        <v>2</v>
      </c>
      <c r="C480" s="36">
        <v>15</v>
      </c>
      <c r="D480" s="36">
        <v>4</v>
      </c>
      <c r="E480" s="32">
        <v>23</v>
      </c>
      <c r="F480" s="12">
        <v>58.2</v>
      </c>
      <c r="G480">
        <v>70.058339999999987</v>
      </c>
      <c r="H480">
        <v>14.160600000000001</v>
      </c>
      <c r="AB480" s="17">
        <v>478</v>
      </c>
      <c r="AC480" s="6">
        <v>3.21014</v>
      </c>
      <c r="AD480" s="6">
        <v>7.9862000000000002</v>
      </c>
      <c r="AE480" s="6">
        <v>3.0842000000000001</v>
      </c>
      <c r="AF480" s="6">
        <v>123</v>
      </c>
      <c r="AH480" s="17">
        <v>478</v>
      </c>
      <c r="AI480" s="6">
        <v>6.1051000000000002</v>
      </c>
      <c r="AJ480" s="6">
        <v>7.9862000000000002</v>
      </c>
      <c r="AK480" s="6">
        <v>3.0842000000000001</v>
      </c>
      <c r="AL480" s="6">
        <v>123</v>
      </c>
      <c r="AO480" s="17">
        <v>478</v>
      </c>
      <c r="AP480" s="6">
        <v>1.14696</v>
      </c>
      <c r="AQ480" s="6">
        <v>1.2766</v>
      </c>
      <c r="AR480" s="6">
        <v>0.57940000000000003</v>
      </c>
      <c r="AS480" s="6">
        <v>123</v>
      </c>
      <c r="AU480" s="17">
        <v>478</v>
      </c>
      <c r="AV480" s="6">
        <v>0.60309000000000001</v>
      </c>
      <c r="AW480" s="6">
        <v>1.2766</v>
      </c>
      <c r="AX480" s="6">
        <v>0.57940000000000003</v>
      </c>
      <c r="AY480" s="6">
        <v>123</v>
      </c>
    </row>
    <row r="481" spans="1:51" x14ac:dyDescent="0.25">
      <c r="A481" s="31" t="s">
        <v>13</v>
      </c>
      <c r="B481" s="32">
        <v>3</v>
      </c>
      <c r="C481" s="36">
        <v>20</v>
      </c>
      <c r="D481" s="36">
        <v>5</v>
      </c>
      <c r="E481" s="32">
        <v>23</v>
      </c>
      <c r="F481" s="12">
        <v>58</v>
      </c>
      <c r="G481" t="s">
        <v>12</v>
      </c>
      <c r="H481">
        <v>14.790600000000001</v>
      </c>
      <c r="AB481" s="17">
        <v>479</v>
      </c>
      <c r="AC481" s="6">
        <v>3.20926</v>
      </c>
      <c r="AD481" s="19">
        <v>-0.96399999999999997</v>
      </c>
      <c r="AE481" s="6">
        <v>3.0834000000000001</v>
      </c>
      <c r="AF481" s="6">
        <v>123</v>
      </c>
      <c r="AH481" s="17">
        <v>479</v>
      </c>
      <c r="AI481" s="6">
        <v>6.1033999999999997</v>
      </c>
      <c r="AJ481" s="19">
        <v>-0.96399999999999997</v>
      </c>
      <c r="AK481" s="6">
        <v>3.0834000000000001</v>
      </c>
      <c r="AL481" s="6">
        <v>123</v>
      </c>
      <c r="AO481" s="17">
        <v>479</v>
      </c>
      <c r="AP481" s="6">
        <v>1.1449</v>
      </c>
      <c r="AQ481" s="19">
        <v>-6.7720000000000002E-2</v>
      </c>
      <c r="AR481" s="6">
        <v>0.57840000000000003</v>
      </c>
      <c r="AS481" s="6">
        <v>123</v>
      </c>
      <c r="AU481" s="17">
        <v>479</v>
      </c>
      <c r="AV481" s="6">
        <v>0.60201000000000005</v>
      </c>
      <c r="AW481" s="19">
        <v>-6.7720000000000002E-2</v>
      </c>
      <c r="AX481" s="6">
        <v>0.57840000000000003</v>
      </c>
      <c r="AY481" s="6">
        <v>123</v>
      </c>
    </row>
    <row r="482" spans="1:51" x14ac:dyDescent="0.25">
      <c r="A482" s="31" t="s">
        <v>13</v>
      </c>
      <c r="B482" s="32">
        <v>1</v>
      </c>
      <c r="C482" s="36">
        <v>14</v>
      </c>
      <c r="D482" s="36">
        <v>1</v>
      </c>
      <c r="E482" s="32">
        <v>28</v>
      </c>
      <c r="F482" s="12">
        <v>56.2</v>
      </c>
      <c r="G482">
        <v>56.801249999999996</v>
      </c>
      <c r="H482">
        <v>14.160600000000001</v>
      </c>
      <c r="AB482" s="17">
        <v>480</v>
      </c>
      <c r="AC482" s="6">
        <v>3.2124100000000002</v>
      </c>
      <c r="AD482" s="6">
        <v>1.5033000000000001</v>
      </c>
      <c r="AE482" s="6">
        <v>3.0863999999999998</v>
      </c>
      <c r="AF482" s="6">
        <v>123</v>
      </c>
      <c r="AH482" s="17">
        <v>480</v>
      </c>
      <c r="AI482" s="6">
        <v>6.1093999999999999</v>
      </c>
      <c r="AJ482" s="6">
        <v>1.5033000000000001</v>
      </c>
      <c r="AK482" s="6">
        <v>3.0863999999999998</v>
      </c>
      <c r="AL482" s="6">
        <v>123</v>
      </c>
      <c r="AO482" s="17">
        <v>480</v>
      </c>
      <c r="AP482" s="6">
        <v>1.14331</v>
      </c>
      <c r="AQ482" s="6">
        <v>0.14299999999999999</v>
      </c>
      <c r="AR482" s="6">
        <v>0.5776</v>
      </c>
      <c r="AS482" s="6">
        <v>123</v>
      </c>
      <c r="AU482" s="17">
        <v>480</v>
      </c>
      <c r="AV482" s="6">
        <v>0.60116999999999998</v>
      </c>
      <c r="AW482" s="6">
        <v>0.14299999999999999</v>
      </c>
      <c r="AX482" s="6">
        <v>0.5776</v>
      </c>
      <c r="AY482" s="6">
        <v>123</v>
      </c>
    </row>
    <row r="483" spans="1:51" x14ac:dyDescent="0.25">
      <c r="A483" s="31" t="s">
        <v>13</v>
      </c>
      <c r="B483" s="32">
        <v>2</v>
      </c>
      <c r="C483" s="36">
        <v>12</v>
      </c>
      <c r="D483" s="36">
        <v>3</v>
      </c>
      <c r="E483" s="32">
        <v>28</v>
      </c>
      <c r="F483" s="12">
        <v>56.9</v>
      </c>
      <c r="G483">
        <v>71.055104999999983</v>
      </c>
      <c r="H483">
        <v>13.710599999999999</v>
      </c>
      <c r="AB483" s="17">
        <v>481</v>
      </c>
      <c r="AC483" s="6">
        <v>5.1195399999999998</v>
      </c>
      <c r="AD483" s="6">
        <v>10.4589</v>
      </c>
      <c r="AE483" s="6">
        <v>4.9187000000000003</v>
      </c>
      <c r="AF483" s="6">
        <v>123</v>
      </c>
      <c r="AH483" s="17">
        <v>481</v>
      </c>
      <c r="AI483" s="6">
        <v>9.7363999999999997</v>
      </c>
      <c r="AJ483" s="6">
        <v>10.4589</v>
      </c>
      <c r="AK483" s="6">
        <v>4.9187000000000003</v>
      </c>
      <c r="AL483" s="6">
        <v>123</v>
      </c>
      <c r="AO483" s="17">
        <v>481</v>
      </c>
      <c r="AP483" s="6">
        <v>1.8185800000000001</v>
      </c>
      <c r="AQ483" s="6">
        <v>0.66020000000000001</v>
      </c>
      <c r="AR483" s="6">
        <v>0.91869999999999996</v>
      </c>
      <c r="AS483" s="6">
        <v>123</v>
      </c>
      <c r="AU483" s="17">
        <v>481</v>
      </c>
      <c r="AV483" s="6">
        <v>0.95623999999999998</v>
      </c>
      <c r="AW483" s="6">
        <v>0.66020000000000001</v>
      </c>
      <c r="AX483" s="6">
        <v>0.91869999999999996</v>
      </c>
      <c r="AY483" s="6">
        <v>123</v>
      </c>
    </row>
    <row r="484" spans="1:51" x14ac:dyDescent="0.25">
      <c r="A484" s="31" t="s">
        <v>13</v>
      </c>
      <c r="B484" s="32">
        <v>3</v>
      </c>
      <c r="C484" s="36">
        <v>11</v>
      </c>
      <c r="D484" s="36">
        <v>5</v>
      </c>
      <c r="E484" s="32">
        <v>28</v>
      </c>
      <c r="F484" s="12">
        <v>56.5</v>
      </c>
      <c r="G484">
        <v>60.86849999999999</v>
      </c>
      <c r="H484">
        <v>13.980600000000001</v>
      </c>
      <c r="AB484" s="17">
        <v>482</v>
      </c>
      <c r="AC484" s="6">
        <v>3.2096300000000002</v>
      </c>
      <c r="AD484" s="6">
        <v>4.5396999999999998</v>
      </c>
      <c r="AE484" s="6">
        <v>3.0836999999999999</v>
      </c>
      <c r="AF484" s="6">
        <v>123</v>
      </c>
      <c r="AH484" s="17">
        <v>482</v>
      </c>
      <c r="AI484" s="6">
        <v>6.1040999999999999</v>
      </c>
      <c r="AJ484" s="6">
        <v>4.5396999999999998</v>
      </c>
      <c r="AK484" s="6">
        <v>3.0836999999999999</v>
      </c>
      <c r="AL484" s="6">
        <v>123</v>
      </c>
      <c r="AO484" s="17">
        <v>482</v>
      </c>
      <c r="AP484" s="6">
        <v>1.14608</v>
      </c>
      <c r="AQ484" s="6">
        <v>2.1294</v>
      </c>
      <c r="AR484" s="6">
        <v>0.57899999999999996</v>
      </c>
      <c r="AS484" s="6">
        <v>123</v>
      </c>
      <c r="AU484" s="17">
        <v>482</v>
      </c>
      <c r="AV484" s="6">
        <v>0.60263</v>
      </c>
      <c r="AW484" s="6">
        <v>2.1294</v>
      </c>
      <c r="AX484" s="6">
        <v>0.57899999999999996</v>
      </c>
      <c r="AY484" s="6">
        <v>123</v>
      </c>
    </row>
    <row r="485" spans="1:51" x14ac:dyDescent="0.25">
      <c r="A485" s="31" t="s">
        <v>13</v>
      </c>
      <c r="B485" s="32">
        <v>1</v>
      </c>
      <c r="C485" s="36">
        <v>6</v>
      </c>
      <c r="D485" s="36">
        <v>1</v>
      </c>
      <c r="E485" s="32">
        <v>46</v>
      </c>
      <c r="F485" s="12">
        <v>58.6</v>
      </c>
      <c r="G485">
        <v>70.985144999999989</v>
      </c>
      <c r="H485">
        <v>13.530600000000002</v>
      </c>
      <c r="AB485" s="17">
        <v>483</v>
      </c>
      <c r="AC485" s="6">
        <v>3.2091599999999998</v>
      </c>
      <c r="AD485" s="6">
        <v>5.3472999999999997</v>
      </c>
      <c r="AE485" s="6">
        <v>3.0832999999999999</v>
      </c>
      <c r="AF485" s="6">
        <v>123</v>
      </c>
      <c r="AH485" s="17">
        <v>483</v>
      </c>
      <c r="AI485" s="6">
        <v>6.1032000000000002</v>
      </c>
      <c r="AJ485" s="6">
        <v>5.3472999999999997</v>
      </c>
      <c r="AK485" s="6">
        <v>3.0832999999999999</v>
      </c>
      <c r="AL485" s="6">
        <v>123</v>
      </c>
      <c r="AO485" s="17">
        <v>483</v>
      </c>
      <c r="AP485" s="6">
        <v>1.1454200000000001</v>
      </c>
      <c r="AQ485" s="19">
        <v>-0.47299999999999998</v>
      </c>
      <c r="AR485" s="6">
        <v>0.57869999999999999</v>
      </c>
      <c r="AS485" s="6">
        <v>123</v>
      </c>
      <c r="AU485" s="17">
        <v>483</v>
      </c>
      <c r="AV485" s="6">
        <v>0.60228000000000004</v>
      </c>
      <c r="AW485" s="19">
        <v>-0.47299999999999998</v>
      </c>
      <c r="AX485" s="6">
        <v>0.57869999999999999</v>
      </c>
      <c r="AY485" s="6">
        <v>123</v>
      </c>
    </row>
    <row r="486" spans="1:51" x14ac:dyDescent="0.25">
      <c r="A486" s="31" t="s">
        <v>13</v>
      </c>
      <c r="B486" s="32">
        <v>2</v>
      </c>
      <c r="C486" s="36">
        <v>17</v>
      </c>
      <c r="D486" s="36">
        <v>3</v>
      </c>
      <c r="E486" s="32">
        <v>46</v>
      </c>
      <c r="F486" s="12">
        <v>58.6</v>
      </c>
      <c r="G486">
        <v>76.976349999999996</v>
      </c>
      <c r="H486">
        <v>12.630600000000001</v>
      </c>
      <c r="AB486" s="17">
        <v>484</v>
      </c>
      <c r="AC486" s="6">
        <v>3.22017</v>
      </c>
      <c r="AD486" s="6">
        <v>3.5663</v>
      </c>
      <c r="AE486" s="6">
        <v>3.0939000000000001</v>
      </c>
      <c r="AF486" s="6">
        <v>123</v>
      </c>
      <c r="AH486" s="17">
        <v>484</v>
      </c>
      <c r="AI486" s="6">
        <v>6.1241000000000003</v>
      </c>
      <c r="AJ486" s="6">
        <v>3.5663</v>
      </c>
      <c r="AK486" s="6">
        <v>3.0939000000000001</v>
      </c>
      <c r="AL486" s="6">
        <v>123</v>
      </c>
      <c r="AO486" s="17">
        <v>484</v>
      </c>
      <c r="AP486" s="6">
        <v>1.1464099999999999</v>
      </c>
      <c r="AQ486" s="6">
        <v>1.3657999999999999</v>
      </c>
      <c r="AR486" s="6">
        <v>0.57920000000000005</v>
      </c>
      <c r="AS486" s="6">
        <v>123</v>
      </c>
      <c r="AU486" s="17">
        <v>484</v>
      </c>
      <c r="AV486" s="6">
        <v>0.6028</v>
      </c>
      <c r="AW486" s="6">
        <v>1.3657999999999999</v>
      </c>
      <c r="AX486" s="6">
        <v>0.57920000000000005</v>
      </c>
      <c r="AY486" s="6">
        <v>123</v>
      </c>
    </row>
    <row r="487" spans="1:51" x14ac:dyDescent="0.25">
      <c r="A487" s="31" t="s">
        <v>13</v>
      </c>
      <c r="B487" s="32">
        <v>3</v>
      </c>
      <c r="C487" s="36">
        <v>8</v>
      </c>
      <c r="D487" s="36">
        <v>5</v>
      </c>
      <c r="E487" s="32">
        <v>46</v>
      </c>
      <c r="F487" s="12">
        <v>58.7</v>
      </c>
      <c r="G487">
        <v>61.46403999999999</v>
      </c>
      <c r="H487">
        <v>13.530600000000002</v>
      </c>
      <c r="AB487" s="17">
        <v>485</v>
      </c>
      <c r="AC487" s="6">
        <v>3.22844</v>
      </c>
      <c r="AD487" s="6">
        <v>13.508800000000001</v>
      </c>
      <c r="AE487" s="6">
        <v>3.1017999999999999</v>
      </c>
      <c r="AF487" s="6">
        <v>123</v>
      </c>
      <c r="AH487" s="17">
        <v>485</v>
      </c>
      <c r="AI487" s="6">
        <v>6.1398999999999999</v>
      </c>
      <c r="AJ487" s="6">
        <v>13.508800000000001</v>
      </c>
      <c r="AK487" s="6">
        <v>3.1017999999999999</v>
      </c>
      <c r="AL487" s="6">
        <v>123</v>
      </c>
      <c r="AO487" s="17">
        <v>485</v>
      </c>
      <c r="AP487" s="6">
        <v>1.15625</v>
      </c>
      <c r="AQ487" s="6">
        <v>1.9092</v>
      </c>
      <c r="AR487" s="6">
        <v>0.58409999999999995</v>
      </c>
      <c r="AS487" s="6">
        <v>123</v>
      </c>
      <c r="AU487" s="17">
        <v>485</v>
      </c>
      <c r="AV487" s="6">
        <v>0.60797000000000001</v>
      </c>
      <c r="AW487" s="6">
        <v>1.9092</v>
      </c>
      <c r="AX487" s="6">
        <v>0.58409999999999995</v>
      </c>
      <c r="AY487" s="6">
        <v>123</v>
      </c>
    </row>
    <row r="488" spans="1:51" x14ac:dyDescent="0.25">
      <c r="A488" s="31" t="s">
        <v>13</v>
      </c>
      <c r="B488" s="32">
        <v>1</v>
      </c>
      <c r="C488" s="36">
        <v>20</v>
      </c>
      <c r="D488" s="36">
        <v>2</v>
      </c>
      <c r="E488" s="32">
        <v>45</v>
      </c>
      <c r="F488" s="12">
        <v>59.5</v>
      </c>
      <c r="G488">
        <v>65.405339999999995</v>
      </c>
      <c r="H488">
        <v>12.4506</v>
      </c>
      <c r="AB488" s="17">
        <v>486</v>
      </c>
      <c r="AC488" s="6">
        <v>3.2247499999999998</v>
      </c>
      <c r="AD488" s="6">
        <v>1.9552</v>
      </c>
      <c r="AE488" s="6">
        <v>3.0983000000000001</v>
      </c>
      <c r="AF488" s="6">
        <v>123</v>
      </c>
      <c r="AH488" s="17">
        <v>486</v>
      </c>
      <c r="AI488" s="6">
        <v>6.1327999999999996</v>
      </c>
      <c r="AJ488" s="6">
        <v>1.9552</v>
      </c>
      <c r="AK488" s="6">
        <v>3.0983000000000001</v>
      </c>
      <c r="AL488" s="6">
        <v>123</v>
      </c>
      <c r="AO488" s="17">
        <v>486</v>
      </c>
      <c r="AP488" s="6">
        <v>1.15591</v>
      </c>
      <c r="AQ488" s="6">
        <v>1.2279</v>
      </c>
      <c r="AR488" s="6">
        <v>0.58399999999999996</v>
      </c>
      <c r="AS488" s="6">
        <v>123</v>
      </c>
      <c r="AU488" s="17">
        <v>486</v>
      </c>
      <c r="AV488" s="6">
        <v>0.60780000000000001</v>
      </c>
      <c r="AW488" s="6">
        <v>1.2279</v>
      </c>
      <c r="AX488" s="6">
        <v>0.58399999999999996</v>
      </c>
      <c r="AY488" s="6">
        <v>123</v>
      </c>
    </row>
    <row r="489" spans="1:51" x14ac:dyDescent="0.25">
      <c r="A489" s="31" t="s">
        <v>13</v>
      </c>
      <c r="B489" s="32">
        <v>2</v>
      </c>
      <c r="C489" s="36">
        <v>9</v>
      </c>
      <c r="D489" s="36">
        <v>4</v>
      </c>
      <c r="E489" s="32">
        <v>45</v>
      </c>
      <c r="F489" s="12">
        <v>58.6</v>
      </c>
      <c r="G489">
        <v>69.913799999999995</v>
      </c>
      <c r="H489">
        <v>13.530600000000002</v>
      </c>
      <c r="AB489" s="17">
        <v>487</v>
      </c>
      <c r="AC489" s="6">
        <v>3.2115100000000001</v>
      </c>
      <c r="AD489" s="6">
        <v>5.6271000000000004</v>
      </c>
      <c r="AE489" s="6">
        <v>3.0855000000000001</v>
      </c>
      <c r="AF489" s="6">
        <v>123</v>
      </c>
      <c r="AH489" s="17">
        <v>487</v>
      </c>
      <c r="AI489" s="6">
        <v>6.1077000000000004</v>
      </c>
      <c r="AJ489" s="6">
        <v>5.6271000000000004</v>
      </c>
      <c r="AK489" s="6">
        <v>3.0855000000000001</v>
      </c>
      <c r="AL489" s="6">
        <v>123</v>
      </c>
      <c r="AO489" s="17">
        <v>487</v>
      </c>
      <c r="AP489" s="6">
        <v>1.14462</v>
      </c>
      <c r="AQ489" s="6">
        <v>1.1113999999999999</v>
      </c>
      <c r="AR489" s="6">
        <v>0.57830000000000004</v>
      </c>
      <c r="AS489" s="6">
        <v>123</v>
      </c>
      <c r="AU489" s="17">
        <v>487</v>
      </c>
      <c r="AV489" s="6">
        <v>0.60185999999999995</v>
      </c>
      <c r="AW489" s="6">
        <v>1.1113999999999999</v>
      </c>
      <c r="AX489" s="6">
        <v>0.57830000000000004</v>
      </c>
      <c r="AY489" s="6">
        <v>123</v>
      </c>
    </row>
    <row r="490" spans="1:51" x14ac:dyDescent="0.25">
      <c r="A490" s="31" t="s">
        <v>13</v>
      </c>
      <c r="B490" s="32">
        <v>3</v>
      </c>
      <c r="C490" s="36">
        <v>15</v>
      </c>
      <c r="D490" s="36">
        <v>6</v>
      </c>
      <c r="E490" s="32">
        <v>45</v>
      </c>
      <c r="F490" s="12">
        <v>58.5</v>
      </c>
      <c r="G490">
        <v>68.811049999999994</v>
      </c>
      <c r="H490">
        <v>13.4406</v>
      </c>
      <c r="AB490" s="17">
        <v>488</v>
      </c>
      <c r="AC490" s="6">
        <v>3.2104499999999998</v>
      </c>
      <c r="AD490" s="6">
        <v>8.1132000000000009</v>
      </c>
      <c r="AE490" s="6">
        <v>3.0844999999999998</v>
      </c>
      <c r="AF490" s="6">
        <v>123</v>
      </c>
      <c r="AH490" s="17">
        <v>488</v>
      </c>
      <c r="AI490" s="6">
        <v>6.1055999999999999</v>
      </c>
      <c r="AJ490" s="6">
        <v>8.1132000000000009</v>
      </c>
      <c r="AK490" s="6">
        <v>3.0844999999999998</v>
      </c>
      <c r="AL490" s="6">
        <v>123</v>
      </c>
      <c r="AO490" s="17">
        <v>488</v>
      </c>
      <c r="AP490" s="6">
        <v>1.13869</v>
      </c>
      <c r="AQ490" s="6">
        <v>0.57889999999999997</v>
      </c>
      <c r="AR490" s="6">
        <v>0.57530000000000003</v>
      </c>
      <c r="AS490" s="6">
        <v>123</v>
      </c>
      <c r="AU490" s="17">
        <v>488</v>
      </c>
      <c r="AV490" s="6">
        <v>0.59874000000000005</v>
      </c>
      <c r="AW490" s="6">
        <v>0.57889999999999997</v>
      </c>
      <c r="AX490" s="6">
        <v>0.57530000000000003</v>
      </c>
      <c r="AY490" s="6">
        <v>123</v>
      </c>
    </row>
    <row r="491" spans="1:51" x14ac:dyDescent="0.25">
      <c r="A491" s="31" t="s">
        <v>13</v>
      </c>
      <c r="B491" s="32">
        <v>1</v>
      </c>
      <c r="C491" s="36">
        <v>2</v>
      </c>
      <c r="D491" s="36">
        <v>2</v>
      </c>
      <c r="E491" s="32">
        <v>24</v>
      </c>
      <c r="F491" s="12">
        <v>57.5</v>
      </c>
      <c r="G491">
        <v>64.414349999999985</v>
      </c>
      <c r="H491">
        <v>12.990599999999999</v>
      </c>
      <c r="AB491" s="17">
        <v>489</v>
      </c>
      <c r="AC491" s="6">
        <v>3.2330800000000002</v>
      </c>
      <c r="AD491" s="6">
        <v>8.7994000000000003</v>
      </c>
      <c r="AE491" s="6">
        <v>3.1063000000000001</v>
      </c>
      <c r="AF491" s="6">
        <v>123</v>
      </c>
      <c r="AH491" s="17">
        <v>489</v>
      </c>
      <c r="AI491" s="6">
        <v>6.1486999999999998</v>
      </c>
      <c r="AJ491" s="6">
        <v>8.7994000000000003</v>
      </c>
      <c r="AK491" s="6">
        <v>3.1063000000000001</v>
      </c>
      <c r="AL491" s="6">
        <v>123</v>
      </c>
      <c r="AO491" s="17">
        <v>489</v>
      </c>
      <c r="AP491" s="6">
        <v>1.1428</v>
      </c>
      <c r="AQ491" s="6">
        <v>0.64449999999999996</v>
      </c>
      <c r="AR491" s="6">
        <v>0.57730000000000004</v>
      </c>
      <c r="AS491" s="6">
        <v>123</v>
      </c>
      <c r="AU491" s="17">
        <v>489</v>
      </c>
      <c r="AV491" s="6">
        <v>0.60089999999999999</v>
      </c>
      <c r="AW491" s="6">
        <v>0.64449999999999996</v>
      </c>
      <c r="AX491" s="6">
        <v>0.57730000000000004</v>
      </c>
      <c r="AY491" s="6">
        <v>123</v>
      </c>
    </row>
    <row r="492" spans="1:51" x14ac:dyDescent="0.25">
      <c r="A492" s="31" t="s">
        <v>13</v>
      </c>
      <c r="B492" s="32">
        <v>2</v>
      </c>
      <c r="C492" s="36">
        <v>4</v>
      </c>
      <c r="D492" s="36">
        <v>4</v>
      </c>
      <c r="E492" s="32">
        <v>24</v>
      </c>
      <c r="F492" s="12">
        <v>57</v>
      </c>
      <c r="G492">
        <v>70.778179999999978</v>
      </c>
      <c r="H492">
        <v>13.710599999999999</v>
      </c>
      <c r="AB492" s="17">
        <v>490</v>
      </c>
      <c r="AC492" s="6">
        <v>3.2218100000000001</v>
      </c>
      <c r="AD492" s="6">
        <v>3.7282000000000002</v>
      </c>
      <c r="AE492" s="6">
        <v>3.0954000000000002</v>
      </c>
      <c r="AF492" s="6">
        <v>123</v>
      </c>
      <c r="AH492" s="17">
        <v>490</v>
      </c>
      <c r="AI492" s="6">
        <v>6.1272000000000002</v>
      </c>
      <c r="AJ492" s="6">
        <v>3.7282000000000002</v>
      </c>
      <c r="AK492" s="6">
        <v>3.0954000000000002</v>
      </c>
      <c r="AL492" s="6">
        <v>123</v>
      </c>
      <c r="AO492" s="17">
        <v>490</v>
      </c>
      <c r="AP492" s="6">
        <v>1.1508100000000001</v>
      </c>
      <c r="AQ492" s="6">
        <v>1.7012</v>
      </c>
      <c r="AR492" s="6">
        <v>0.58140000000000003</v>
      </c>
      <c r="AS492" s="6">
        <v>123</v>
      </c>
      <c r="AU492" s="17">
        <v>490</v>
      </c>
      <c r="AV492" s="6">
        <v>0.60511999999999999</v>
      </c>
      <c r="AW492" s="6">
        <v>1.7012</v>
      </c>
      <c r="AX492" s="6">
        <v>0.58140000000000003</v>
      </c>
      <c r="AY492" s="6">
        <v>123</v>
      </c>
    </row>
    <row r="493" spans="1:51" x14ac:dyDescent="0.25">
      <c r="A493" s="31" t="s">
        <v>13</v>
      </c>
      <c r="B493" s="32">
        <v>3</v>
      </c>
      <c r="C493" s="36">
        <v>13</v>
      </c>
      <c r="D493" s="36">
        <v>5</v>
      </c>
      <c r="E493" s="32">
        <v>24</v>
      </c>
      <c r="F493" s="12">
        <v>57.1</v>
      </c>
      <c r="G493">
        <v>70.728239999999971</v>
      </c>
      <c r="H493">
        <v>13.890599999999999</v>
      </c>
      <c r="AB493" s="17">
        <v>491</v>
      </c>
      <c r="AC493" s="6">
        <v>3.2312699999999999</v>
      </c>
      <c r="AD493" s="6">
        <v>8.2639999999999993</v>
      </c>
      <c r="AE493" s="6">
        <v>3.1044999999999998</v>
      </c>
      <c r="AF493" s="6">
        <v>123</v>
      </c>
      <c r="AH493" s="17">
        <v>491</v>
      </c>
      <c r="AI493" s="6">
        <v>6.1452999999999998</v>
      </c>
      <c r="AJ493" s="6">
        <v>8.2639999999999993</v>
      </c>
      <c r="AK493" s="6">
        <v>3.1044999999999998</v>
      </c>
      <c r="AL493" s="6">
        <v>123</v>
      </c>
      <c r="AO493" s="17">
        <v>491</v>
      </c>
      <c r="AP493" s="6">
        <v>1.1567400000000001</v>
      </c>
      <c r="AQ493" s="6">
        <v>1.2799</v>
      </c>
      <c r="AR493" s="6">
        <v>0.58440000000000003</v>
      </c>
      <c r="AS493" s="6">
        <v>123</v>
      </c>
      <c r="AU493" s="17">
        <v>491</v>
      </c>
      <c r="AV493" s="6">
        <v>0.60823000000000005</v>
      </c>
      <c r="AW493" s="6">
        <v>1.2799</v>
      </c>
      <c r="AX493" s="6">
        <v>0.58440000000000003</v>
      </c>
      <c r="AY493" s="6">
        <v>123</v>
      </c>
    </row>
    <row r="494" spans="1:51" x14ac:dyDescent="0.25">
      <c r="A494" s="31" t="s">
        <v>13</v>
      </c>
      <c r="B494" s="32">
        <v>1</v>
      </c>
      <c r="C494" s="36">
        <v>8</v>
      </c>
      <c r="D494" s="36">
        <v>2</v>
      </c>
      <c r="E494" s="32">
        <v>33</v>
      </c>
      <c r="F494" s="12">
        <v>58</v>
      </c>
      <c r="G494">
        <v>68.951959999999985</v>
      </c>
      <c r="H494">
        <v>12.990599999999999</v>
      </c>
      <c r="AB494" s="17">
        <v>492</v>
      </c>
      <c r="AC494" s="6">
        <v>3.2475999999999998</v>
      </c>
      <c r="AD494" s="19">
        <v>-1.0483</v>
      </c>
      <c r="AE494" s="6">
        <v>3.1202000000000001</v>
      </c>
      <c r="AF494" s="6">
        <v>123</v>
      </c>
      <c r="AH494" s="17">
        <v>492</v>
      </c>
      <c r="AI494" s="6">
        <v>6.1763000000000003</v>
      </c>
      <c r="AJ494" s="19">
        <v>-1.0483</v>
      </c>
      <c r="AK494" s="6">
        <v>3.1202000000000001</v>
      </c>
      <c r="AL494" s="6">
        <v>123</v>
      </c>
      <c r="AO494" s="17">
        <v>492</v>
      </c>
      <c r="AP494" s="6">
        <v>1.16357</v>
      </c>
      <c r="AQ494" s="6">
        <v>1.0803</v>
      </c>
      <c r="AR494" s="6">
        <v>0.58779999999999999</v>
      </c>
      <c r="AS494" s="6">
        <v>123</v>
      </c>
      <c r="AU494" s="17">
        <v>492</v>
      </c>
      <c r="AV494" s="6">
        <v>0.61182999999999998</v>
      </c>
      <c r="AW494" s="6">
        <v>1.0803</v>
      </c>
      <c r="AX494" s="6">
        <v>0.58779999999999999</v>
      </c>
      <c r="AY494" s="6">
        <v>123</v>
      </c>
    </row>
    <row r="495" spans="1:51" x14ac:dyDescent="0.25">
      <c r="A495" s="31" t="s">
        <v>13</v>
      </c>
      <c r="B495" s="32">
        <v>2</v>
      </c>
      <c r="C495" s="36">
        <v>5</v>
      </c>
      <c r="D495" s="36">
        <v>4</v>
      </c>
      <c r="E495" s="32">
        <v>33</v>
      </c>
      <c r="F495" s="12">
        <v>57.8</v>
      </c>
      <c r="G495">
        <v>72.478560000000002</v>
      </c>
      <c r="H495">
        <v>12.5406</v>
      </c>
      <c r="AB495" s="17">
        <v>493</v>
      </c>
      <c r="AC495" s="6">
        <v>3.24213</v>
      </c>
      <c r="AD495" s="6">
        <v>7.0946999999999996</v>
      </c>
      <c r="AE495" s="6">
        <v>3.1150000000000002</v>
      </c>
      <c r="AF495" s="6">
        <v>123</v>
      </c>
      <c r="AH495" s="17">
        <v>493</v>
      </c>
      <c r="AI495" s="6">
        <v>6.1658999999999997</v>
      </c>
      <c r="AJ495" s="6">
        <v>7.0946999999999996</v>
      </c>
      <c r="AK495" s="6">
        <v>3.1150000000000002</v>
      </c>
      <c r="AL495" s="6">
        <v>123</v>
      </c>
      <c r="AO495" s="17">
        <v>493</v>
      </c>
      <c r="AP495" s="6">
        <v>1.1375500000000001</v>
      </c>
      <c r="AQ495" s="6">
        <v>1.0002</v>
      </c>
      <c r="AR495" s="6">
        <v>0.57469999999999999</v>
      </c>
      <c r="AS495" s="6">
        <v>123</v>
      </c>
      <c r="AU495" s="17">
        <v>493</v>
      </c>
      <c r="AV495" s="6">
        <v>0.59814000000000001</v>
      </c>
      <c r="AW495" s="6">
        <v>1.0002</v>
      </c>
      <c r="AX495" s="6">
        <v>0.57469999999999999</v>
      </c>
      <c r="AY495" s="6">
        <v>123</v>
      </c>
    </row>
    <row r="496" spans="1:51" x14ac:dyDescent="0.25">
      <c r="A496" s="31" t="s">
        <v>13</v>
      </c>
      <c r="B496" s="32">
        <v>3</v>
      </c>
      <c r="C496" s="36">
        <v>18</v>
      </c>
      <c r="D496" s="36">
        <v>5</v>
      </c>
      <c r="E496" s="32">
        <v>33</v>
      </c>
      <c r="F496" s="12">
        <v>58</v>
      </c>
      <c r="G496">
        <v>59.103494999999995</v>
      </c>
      <c r="H496">
        <v>13.1706</v>
      </c>
      <c r="AB496" s="17">
        <v>494</v>
      </c>
      <c r="AC496" s="6">
        <v>3.20431</v>
      </c>
      <c r="AD496" s="6">
        <v>9.6831999999999994</v>
      </c>
      <c r="AE496" s="6">
        <v>3.0785999999999998</v>
      </c>
      <c r="AF496" s="6">
        <v>123</v>
      </c>
      <c r="AH496" s="17">
        <v>494</v>
      </c>
      <c r="AI496" s="6">
        <v>6.0940000000000003</v>
      </c>
      <c r="AJ496" s="6">
        <v>9.6831999999999994</v>
      </c>
      <c r="AK496" s="6">
        <v>3.0785999999999998</v>
      </c>
      <c r="AL496" s="6">
        <v>123</v>
      </c>
      <c r="AO496" s="17">
        <v>494</v>
      </c>
      <c r="AP496" s="6">
        <v>1.1422699999999999</v>
      </c>
      <c r="AQ496" s="6">
        <v>2.8588</v>
      </c>
      <c r="AR496" s="6">
        <v>0.57709999999999995</v>
      </c>
      <c r="AS496" s="6">
        <v>123</v>
      </c>
      <c r="AU496" s="17">
        <v>494</v>
      </c>
      <c r="AV496" s="6">
        <v>0.60063</v>
      </c>
      <c r="AW496" s="6">
        <v>2.8588</v>
      </c>
      <c r="AX496" s="6">
        <v>0.57709999999999995</v>
      </c>
      <c r="AY496" s="6">
        <v>123</v>
      </c>
    </row>
    <row r="497" spans="1:51" x14ac:dyDescent="0.25">
      <c r="A497" s="31" t="s">
        <v>13</v>
      </c>
      <c r="B497" s="32">
        <v>1</v>
      </c>
      <c r="C497" s="36">
        <v>11</v>
      </c>
      <c r="D497" s="36">
        <v>2</v>
      </c>
      <c r="E497" s="32">
        <v>25</v>
      </c>
      <c r="F497" s="12">
        <v>57.1</v>
      </c>
      <c r="G497">
        <v>69.505424999999988</v>
      </c>
      <c r="H497">
        <v>13.530600000000002</v>
      </c>
      <c r="AB497" s="17">
        <v>495</v>
      </c>
      <c r="AC497" s="6">
        <v>3.2069399999999999</v>
      </c>
      <c r="AD497" s="6">
        <v>10.8491</v>
      </c>
      <c r="AE497" s="6">
        <v>3.0811999999999999</v>
      </c>
      <c r="AF497" s="6">
        <v>123</v>
      </c>
      <c r="AH497" s="17">
        <v>495</v>
      </c>
      <c r="AI497" s="6">
        <v>6.0990000000000002</v>
      </c>
      <c r="AJ497" s="6">
        <v>10.8491</v>
      </c>
      <c r="AK497" s="6">
        <v>3.0811999999999999</v>
      </c>
      <c r="AL497" s="6">
        <v>123</v>
      </c>
      <c r="AO497" s="17">
        <v>495</v>
      </c>
      <c r="AP497" s="6">
        <v>1.1399300000000001</v>
      </c>
      <c r="AQ497" s="6">
        <v>1.3333999999999999</v>
      </c>
      <c r="AR497" s="6">
        <v>0.57589999999999997</v>
      </c>
      <c r="AS497" s="6">
        <v>123</v>
      </c>
      <c r="AU497" s="17">
        <v>495</v>
      </c>
      <c r="AV497" s="6">
        <v>0.59940000000000004</v>
      </c>
      <c r="AW497" s="6">
        <v>1.3333999999999999</v>
      </c>
      <c r="AX497" s="6">
        <v>0.57589999999999997</v>
      </c>
      <c r="AY497" s="6">
        <v>123</v>
      </c>
    </row>
    <row r="498" spans="1:51" x14ac:dyDescent="0.25">
      <c r="A498" s="31" t="s">
        <v>13</v>
      </c>
      <c r="B498" s="32">
        <v>2</v>
      </c>
      <c r="C498" s="36">
        <v>18</v>
      </c>
      <c r="D498" s="36">
        <v>4</v>
      </c>
      <c r="E498" s="32">
        <v>25</v>
      </c>
      <c r="F498" s="12">
        <v>57.1</v>
      </c>
      <c r="G498">
        <v>62.388480000000001</v>
      </c>
      <c r="H498">
        <v>14.070600000000001</v>
      </c>
      <c r="AB498" s="17">
        <v>496</v>
      </c>
      <c r="AC498" s="6">
        <v>3.2014800000000001</v>
      </c>
      <c r="AD498" s="6">
        <v>16.067900000000002</v>
      </c>
      <c r="AE498" s="6">
        <v>3.0758999999999999</v>
      </c>
      <c r="AF498" s="6">
        <v>123</v>
      </c>
      <c r="AH498" s="17">
        <v>496</v>
      </c>
      <c r="AI498" s="6">
        <v>6.0885999999999996</v>
      </c>
      <c r="AJ498" s="6">
        <v>16.067900000000002</v>
      </c>
      <c r="AK498" s="6">
        <v>3.0758999999999999</v>
      </c>
      <c r="AL498" s="6">
        <v>123</v>
      </c>
      <c r="AO498" s="17">
        <v>496</v>
      </c>
      <c r="AP498" s="6">
        <v>1.1439699999999999</v>
      </c>
      <c r="AQ498" s="6">
        <v>1.3803000000000001</v>
      </c>
      <c r="AR498" s="6">
        <v>0.57789999999999997</v>
      </c>
      <c r="AS498" s="6">
        <v>123</v>
      </c>
      <c r="AU498" s="17">
        <v>496</v>
      </c>
      <c r="AV498" s="6">
        <v>0.60152000000000005</v>
      </c>
      <c r="AW498" s="6">
        <v>1.3803000000000001</v>
      </c>
      <c r="AX498" s="6">
        <v>0.57789999999999997</v>
      </c>
      <c r="AY498" s="6">
        <v>123</v>
      </c>
    </row>
    <row r="499" spans="1:51" x14ac:dyDescent="0.25">
      <c r="A499" s="31" t="s">
        <v>13</v>
      </c>
      <c r="B499" s="32">
        <v>3</v>
      </c>
      <c r="C499" s="36">
        <v>5</v>
      </c>
      <c r="D499" s="36">
        <v>6</v>
      </c>
      <c r="E499" s="32">
        <v>25</v>
      </c>
      <c r="F499" s="12">
        <v>57.3</v>
      </c>
      <c r="G499">
        <v>68.654079999999993</v>
      </c>
      <c r="H499">
        <v>13.710599999999999</v>
      </c>
      <c r="AB499" s="17">
        <v>497</v>
      </c>
      <c r="AC499" s="6">
        <v>3.2050999999999998</v>
      </c>
      <c r="AD499" s="6">
        <v>13.216799999999999</v>
      </c>
      <c r="AE499" s="6">
        <v>3.0794000000000001</v>
      </c>
      <c r="AF499" s="6">
        <v>123</v>
      </c>
      <c r="AH499" s="17">
        <v>497</v>
      </c>
      <c r="AI499" s="6">
        <v>6.0955000000000004</v>
      </c>
      <c r="AJ499" s="6">
        <v>13.216799999999999</v>
      </c>
      <c r="AK499" s="6">
        <v>3.0794000000000001</v>
      </c>
      <c r="AL499" s="6">
        <v>123</v>
      </c>
      <c r="AO499" s="17">
        <v>497</v>
      </c>
      <c r="AP499" s="6">
        <v>1.14483</v>
      </c>
      <c r="AQ499" s="6">
        <v>1.6445000000000001</v>
      </c>
      <c r="AR499" s="6">
        <v>0.57840000000000003</v>
      </c>
      <c r="AS499" s="6">
        <v>123</v>
      </c>
      <c r="AU499" s="17">
        <v>497</v>
      </c>
      <c r="AV499" s="6">
        <v>0.60197000000000001</v>
      </c>
      <c r="AW499" s="6">
        <v>1.6445000000000001</v>
      </c>
      <c r="AX499" s="6">
        <v>0.57840000000000003</v>
      </c>
      <c r="AY499" s="6">
        <v>123</v>
      </c>
    </row>
    <row r="500" spans="1:51" x14ac:dyDescent="0.25">
      <c r="A500" s="31" t="s">
        <v>13</v>
      </c>
      <c r="B500" s="32">
        <v>1</v>
      </c>
      <c r="C500" s="36">
        <v>21</v>
      </c>
      <c r="D500" s="36">
        <v>2</v>
      </c>
      <c r="E500" s="32">
        <v>34</v>
      </c>
      <c r="F500" s="12">
        <v>55.8</v>
      </c>
      <c r="G500">
        <v>57.906089999999999</v>
      </c>
      <c r="H500">
        <v>14.160600000000001</v>
      </c>
      <c r="AB500" s="17">
        <v>498</v>
      </c>
      <c r="AC500" s="6">
        <v>3.2035900000000002</v>
      </c>
      <c r="AD500" s="6">
        <v>1.5173000000000001</v>
      </c>
      <c r="AE500" s="6">
        <v>3.0779000000000001</v>
      </c>
      <c r="AF500" s="6">
        <v>123</v>
      </c>
      <c r="AH500" s="17">
        <v>498</v>
      </c>
      <c r="AI500" s="6">
        <v>6.0926</v>
      </c>
      <c r="AJ500" s="6">
        <v>1.5173000000000001</v>
      </c>
      <c r="AK500" s="6">
        <v>3.0779000000000001</v>
      </c>
      <c r="AL500" s="6">
        <v>123</v>
      </c>
      <c r="AO500" s="17">
        <v>498</v>
      </c>
      <c r="AP500" s="6">
        <v>1.1371</v>
      </c>
      <c r="AQ500" s="19">
        <v>-0.48110000000000003</v>
      </c>
      <c r="AR500" s="6">
        <v>0.57450000000000001</v>
      </c>
      <c r="AS500" s="6">
        <v>123</v>
      </c>
      <c r="AU500" s="17">
        <v>498</v>
      </c>
      <c r="AV500" s="6">
        <v>0.59789999999999999</v>
      </c>
      <c r="AW500" s="19">
        <v>-0.48110000000000003</v>
      </c>
      <c r="AX500" s="6">
        <v>0.57450000000000001</v>
      </c>
      <c r="AY500" s="6">
        <v>123</v>
      </c>
    </row>
    <row r="501" spans="1:51" x14ac:dyDescent="0.25">
      <c r="A501" s="31" t="s">
        <v>13</v>
      </c>
      <c r="B501" s="32">
        <v>2</v>
      </c>
      <c r="C501" s="36">
        <v>7</v>
      </c>
      <c r="D501" s="36">
        <v>4</v>
      </c>
      <c r="E501" s="32">
        <v>34</v>
      </c>
      <c r="F501" s="12">
        <v>57.6</v>
      </c>
      <c r="G501">
        <v>73.418730000000011</v>
      </c>
      <c r="H501">
        <v>12.810600000000001</v>
      </c>
      <c r="AB501" s="17">
        <v>499</v>
      </c>
      <c r="AC501" s="6">
        <v>3.2031700000000001</v>
      </c>
      <c r="AD501" s="6">
        <v>5.7770000000000001</v>
      </c>
      <c r="AE501" s="6">
        <v>3.0775000000000001</v>
      </c>
      <c r="AF501" s="6">
        <v>123</v>
      </c>
      <c r="AH501" s="17">
        <v>499</v>
      </c>
      <c r="AI501" s="6">
        <v>6.0918000000000001</v>
      </c>
      <c r="AJ501" s="6">
        <v>5.7770000000000001</v>
      </c>
      <c r="AK501" s="6">
        <v>3.0775000000000001</v>
      </c>
      <c r="AL501" s="6">
        <v>123</v>
      </c>
      <c r="AO501" s="17">
        <v>499</v>
      </c>
      <c r="AP501" s="6">
        <v>1.1415900000000001</v>
      </c>
      <c r="AQ501" s="6">
        <v>0.95760000000000001</v>
      </c>
      <c r="AR501" s="6">
        <v>0.57669999999999999</v>
      </c>
      <c r="AS501" s="6">
        <v>123</v>
      </c>
      <c r="AU501" s="17">
        <v>499</v>
      </c>
      <c r="AV501" s="6">
        <v>0.60026999999999997</v>
      </c>
      <c r="AW501" s="6">
        <v>0.95760000000000001</v>
      </c>
      <c r="AX501" s="6">
        <v>0.57669999999999999</v>
      </c>
      <c r="AY501" s="6">
        <v>123</v>
      </c>
    </row>
    <row r="502" spans="1:51" x14ac:dyDescent="0.25">
      <c r="A502" s="31" t="s">
        <v>13</v>
      </c>
      <c r="B502" s="32">
        <v>3</v>
      </c>
      <c r="C502" s="36">
        <v>10</v>
      </c>
      <c r="D502" s="36">
        <v>5</v>
      </c>
      <c r="E502" s="32">
        <v>34</v>
      </c>
      <c r="F502" s="12">
        <v>58</v>
      </c>
      <c r="G502">
        <v>63.072074999999991</v>
      </c>
      <c r="H502">
        <v>13.1706</v>
      </c>
      <c r="AB502" s="17">
        <v>500</v>
      </c>
      <c r="AC502" s="6">
        <v>3.1863299999999999</v>
      </c>
      <c r="AD502" s="6">
        <v>6.8764000000000003</v>
      </c>
      <c r="AE502" s="6">
        <v>3.0613999999999999</v>
      </c>
      <c r="AF502" s="6">
        <v>123</v>
      </c>
      <c r="AH502" s="17">
        <v>500</v>
      </c>
      <c r="AI502" s="6">
        <v>6.0598000000000001</v>
      </c>
      <c r="AJ502" s="6">
        <v>6.8764000000000003</v>
      </c>
      <c r="AK502" s="6">
        <v>3.0613999999999999</v>
      </c>
      <c r="AL502" s="6">
        <v>123</v>
      </c>
      <c r="AO502" s="17">
        <v>500</v>
      </c>
      <c r="AP502" s="6">
        <v>1.1311800000000001</v>
      </c>
      <c r="AQ502" s="6">
        <v>1.6273</v>
      </c>
      <c r="AR502" s="6">
        <v>0.57150000000000001</v>
      </c>
      <c r="AS502" s="6">
        <v>123</v>
      </c>
      <c r="AU502" s="17">
        <v>500</v>
      </c>
      <c r="AV502" s="6">
        <v>0.59479000000000004</v>
      </c>
      <c r="AW502" s="6">
        <v>1.6273</v>
      </c>
      <c r="AX502" s="6">
        <v>0.57150000000000001</v>
      </c>
      <c r="AY502" s="6">
        <v>123</v>
      </c>
    </row>
    <row r="503" spans="1:51" x14ac:dyDescent="0.25">
      <c r="A503" s="31" t="s">
        <v>13</v>
      </c>
      <c r="B503" s="32">
        <v>1</v>
      </c>
      <c r="C503" s="36">
        <v>19</v>
      </c>
      <c r="D503" s="36">
        <v>2</v>
      </c>
      <c r="E503" s="32">
        <v>35</v>
      </c>
      <c r="F503" s="12">
        <v>57.4</v>
      </c>
      <c r="G503">
        <v>75.403019999999998</v>
      </c>
      <c r="H503">
        <v>13.800599999999999</v>
      </c>
      <c r="AB503" s="17">
        <v>501</v>
      </c>
      <c r="AC503" s="6">
        <v>3.22607</v>
      </c>
      <c r="AD503" s="6">
        <v>2.7288000000000001</v>
      </c>
      <c r="AE503" s="6">
        <v>3.0994999999999999</v>
      </c>
      <c r="AF503" s="6">
        <v>123</v>
      </c>
      <c r="AH503" s="17">
        <v>501</v>
      </c>
      <c r="AI503" s="6">
        <v>6.1353999999999997</v>
      </c>
      <c r="AJ503" s="6">
        <v>2.7288000000000001</v>
      </c>
      <c r="AK503" s="6">
        <v>3.0994999999999999</v>
      </c>
      <c r="AL503" s="6">
        <v>123</v>
      </c>
      <c r="AO503" s="17">
        <v>501</v>
      </c>
      <c r="AP503" s="6">
        <v>1.15473</v>
      </c>
      <c r="AQ503" s="6">
        <v>0.68579999999999997</v>
      </c>
      <c r="AR503" s="6">
        <v>0.58340000000000003</v>
      </c>
      <c r="AS503" s="6">
        <v>123</v>
      </c>
      <c r="AU503" s="17">
        <v>501</v>
      </c>
      <c r="AV503" s="6">
        <v>0.60718000000000005</v>
      </c>
      <c r="AW503" s="6">
        <v>0.68579999999999997</v>
      </c>
      <c r="AX503" s="6">
        <v>0.58340000000000003</v>
      </c>
      <c r="AY503" s="6">
        <v>123</v>
      </c>
    </row>
    <row r="504" spans="1:51" x14ac:dyDescent="0.25">
      <c r="A504" s="31" t="s">
        <v>13</v>
      </c>
      <c r="B504" s="32">
        <v>2</v>
      </c>
      <c r="C504" s="36">
        <v>1</v>
      </c>
      <c r="D504" s="36">
        <v>4</v>
      </c>
      <c r="E504" s="32">
        <v>35</v>
      </c>
      <c r="F504" s="12">
        <v>58.1</v>
      </c>
      <c r="G504">
        <v>78.254219999999975</v>
      </c>
      <c r="H504">
        <v>13.530600000000002</v>
      </c>
      <c r="AB504" s="17">
        <v>502</v>
      </c>
      <c r="AC504" s="6">
        <v>3.2129799999999999</v>
      </c>
      <c r="AD504" s="6">
        <v>11.7742</v>
      </c>
      <c r="AE504" s="6">
        <v>3.0870000000000002</v>
      </c>
      <c r="AF504" s="6">
        <v>123</v>
      </c>
      <c r="AH504" s="17">
        <v>502</v>
      </c>
      <c r="AI504" s="6">
        <v>6.1105</v>
      </c>
      <c r="AJ504" s="6">
        <v>11.7742</v>
      </c>
      <c r="AK504" s="6">
        <v>3.0870000000000002</v>
      </c>
      <c r="AL504" s="6">
        <v>123</v>
      </c>
      <c r="AO504" s="17">
        <v>502</v>
      </c>
      <c r="AP504" s="6">
        <v>1.14723</v>
      </c>
      <c r="AQ504" s="6">
        <v>0.13370000000000001</v>
      </c>
      <c r="AR504" s="6">
        <v>0.5796</v>
      </c>
      <c r="AS504" s="6">
        <v>123</v>
      </c>
      <c r="AU504" s="17">
        <v>502</v>
      </c>
      <c r="AV504" s="6">
        <v>0.60323000000000004</v>
      </c>
      <c r="AW504" s="6">
        <v>0.13370000000000001</v>
      </c>
      <c r="AX504" s="6">
        <v>0.5796</v>
      </c>
      <c r="AY504" s="6">
        <v>123</v>
      </c>
    </row>
    <row r="505" spans="1:51" x14ac:dyDescent="0.25">
      <c r="A505" s="31" t="s">
        <v>13</v>
      </c>
      <c r="B505" s="32">
        <v>3</v>
      </c>
      <c r="C505" s="36">
        <v>15</v>
      </c>
      <c r="D505" s="36">
        <v>5</v>
      </c>
      <c r="E505" s="32">
        <v>35</v>
      </c>
      <c r="F505" s="12">
        <v>57.7</v>
      </c>
      <c r="G505">
        <v>69.426719999999989</v>
      </c>
      <c r="H505">
        <v>13.980600000000001</v>
      </c>
      <c r="AB505" s="17">
        <v>503</v>
      </c>
      <c r="AC505" s="6">
        <v>3.20363</v>
      </c>
      <c r="AD505" s="6">
        <v>5.5517000000000003</v>
      </c>
      <c r="AE505" s="6">
        <v>3.0779999999999998</v>
      </c>
      <c r="AF505" s="6">
        <v>123</v>
      </c>
      <c r="AH505" s="17">
        <v>503</v>
      </c>
      <c r="AI505" s="6">
        <v>6.0926999999999998</v>
      </c>
      <c r="AJ505" s="6">
        <v>5.5517000000000003</v>
      </c>
      <c r="AK505" s="6">
        <v>3.0779999999999998</v>
      </c>
      <c r="AL505" s="6">
        <v>123</v>
      </c>
      <c r="AO505" s="17">
        <v>503</v>
      </c>
      <c r="AP505" s="6">
        <v>1.14191</v>
      </c>
      <c r="AQ505" s="6">
        <v>0.189</v>
      </c>
      <c r="AR505" s="6">
        <v>0.57689999999999997</v>
      </c>
      <c r="AS505" s="6">
        <v>123</v>
      </c>
      <c r="AU505" s="17">
        <v>503</v>
      </c>
      <c r="AV505" s="6">
        <v>0.60043000000000002</v>
      </c>
      <c r="AW505" s="6">
        <v>0.189</v>
      </c>
      <c r="AX505" s="6">
        <v>0.57689999999999997</v>
      </c>
      <c r="AY505" s="6">
        <v>123</v>
      </c>
    </row>
    <row r="506" spans="1:51" x14ac:dyDescent="0.25">
      <c r="A506" s="31" t="s">
        <v>13</v>
      </c>
      <c r="B506" s="32">
        <v>1</v>
      </c>
      <c r="C506" s="36">
        <v>5</v>
      </c>
      <c r="D506" s="36">
        <v>1</v>
      </c>
      <c r="E506" s="32">
        <v>26</v>
      </c>
      <c r="F506" s="12">
        <v>57</v>
      </c>
      <c r="G506">
        <v>80.176964999999996</v>
      </c>
      <c r="H506">
        <v>13.0806</v>
      </c>
      <c r="AB506" s="17">
        <v>504</v>
      </c>
      <c r="AC506" s="6">
        <v>3.2134800000000001</v>
      </c>
      <c r="AD506" s="6">
        <v>7.4005999999999998</v>
      </c>
      <c r="AE506" s="6">
        <v>3.0874000000000001</v>
      </c>
      <c r="AF506" s="6">
        <v>123</v>
      </c>
      <c r="AH506" s="17">
        <v>504</v>
      </c>
      <c r="AI506" s="6">
        <v>6.1113999999999997</v>
      </c>
      <c r="AJ506" s="6">
        <v>7.4005999999999998</v>
      </c>
      <c r="AK506" s="6">
        <v>3.0874000000000001</v>
      </c>
      <c r="AL506" s="6">
        <v>123</v>
      </c>
      <c r="AO506" s="17">
        <v>504</v>
      </c>
      <c r="AP506" s="6">
        <v>1.1453599999999999</v>
      </c>
      <c r="AQ506" s="19">
        <v>-0.27079999999999999</v>
      </c>
      <c r="AR506" s="6">
        <v>0.5786</v>
      </c>
      <c r="AS506" s="6">
        <v>123</v>
      </c>
      <c r="AU506" s="17">
        <v>504</v>
      </c>
      <c r="AV506" s="6">
        <v>0.60224999999999995</v>
      </c>
      <c r="AW506" s="19">
        <v>-0.27079999999999999</v>
      </c>
      <c r="AX506" s="6">
        <v>0.5786</v>
      </c>
      <c r="AY506" s="6">
        <v>123</v>
      </c>
    </row>
    <row r="507" spans="1:51" x14ac:dyDescent="0.25">
      <c r="A507" s="31" t="s">
        <v>13</v>
      </c>
      <c r="B507" s="32">
        <v>2</v>
      </c>
      <c r="C507" s="36">
        <v>21</v>
      </c>
      <c r="D507" s="36">
        <v>4</v>
      </c>
      <c r="E507" s="32">
        <v>26</v>
      </c>
      <c r="F507" s="12">
        <v>57</v>
      </c>
      <c r="G507">
        <v>82.161254999999997</v>
      </c>
      <c r="H507">
        <v>13.2606</v>
      </c>
      <c r="AB507" s="17">
        <v>505</v>
      </c>
      <c r="AC507" s="6">
        <v>3.2337799999999999</v>
      </c>
      <c r="AD507" s="6">
        <v>14.353199999999999</v>
      </c>
      <c r="AE507" s="6">
        <v>3.1069</v>
      </c>
      <c r="AF507" s="6">
        <v>123</v>
      </c>
      <c r="AH507" s="17">
        <v>505</v>
      </c>
      <c r="AI507" s="6">
        <v>6.15</v>
      </c>
      <c r="AJ507" s="6">
        <v>14.353199999999999</v>
      </c>
      <c r="AK507" s="6">
        <v>3.1069</v>
      </c>
      <c r="AL507" s="6">
        <v>123</v>
      </c>
      <c r="AO507" s="17">
        <v>505</v>
      </c>
      <c r="AP507" s="6">
        <v>1.15804</v>
      </c>
      <c r="AQ507" s="6">
        <v>2.0344000000000002</v>
      </c>
      <c r="AR507" s="6">
        <v>0.58499999999999996</v>
      </c>
      <c r="AS507" s="6">
        <v>123</v>
      </c>
      <c r="AU507" s="17">
        <v>505</v>
      </c>
      <c r="AV507" s="6">
        <v>0.60892000000000002</v>
      </c>
      <c r="AW507" s="6">
        <v>2.0344000000000002</v>
      </c>
      <c r="AX507" s="6">
        <v>0.58499999999999996</v>
      </c>
      <c r="AY507" s="6">
        <v>123</v>
      </c>
    </row>
    <row r="508" spans="1:51" x14ac:dyDescent="0.25">
      <c r="A508" s="31" t="s">
        <v>13</v>
      </c>
      <c r="B508" s="32">
        <v>3</v>
      </c>
      <c r="C508" s="36">
        <v>8</v>
      </c>
      <c r="D508" s="36">
        <v>6</v>
      </c>
      <c r="E508" s="32">
        <v>26</v>
      </c>
      <c r="F508" s="12">
        <v>56.9</v>
      </c>
      <c r="G508">
        <v>78.867249999999999</v>
      </c>
      <c r="H508">
        <v>13.710599999999999</v>
      </c>
      <c r="AB508" s="17">
        <v>506</v>
      </c>
      <c r="AC508" s="6">
        <v>3.2330100000000002</v>
      </c>
      <c r="AD508" s="6">
        <v>8.0254999999999992</v>
      </c>
      <c r="AE508" s="6">
        <v>3.1061999999999999</v>
      </c>
      <c r="AF508" s="6">
        <v>123</v>
      </c>
      <c r="AH508" s="17">
        <v>506</v>
      </c>
      <c r="AI508" s="6">
        <v>6.1486000000000001</v>
      </c>
      <c r="AJ508" s="6">
        <v>8.0254999999999992</v>
      </c>
      <c r="AK508" s="6">
        <v>3.1061999999999999</v>
      </c>
      <c r="AL508" s="6">
        <v>123</v>
      </c>
      <c r="AO508" s="17">
        <v>506</v>
      </c>
      <c r="AP508" s="6">
        <v>1.1518299999999999</v>
      </c>
      <c r="AQ508" s="19">
        <v>-0.32790000000000002</v>
      </c>
      <c r="AR508" s="6">
        <v>0.58189999999999997</v>
      </c>
      <c r="AS508" s="6">
        <v>123</v>
      </c>
      <c r="AU508" s="17">
        <v>506</v>
      </c>
      <c r="AV508" s="6">
        <v>0.60565000000000002</v>
      </c>
      <c r="AW508" s="19">
        <v>-0.32790000000000002</v>
      </c>
      <c r="AX508" s="6">
        <v>0.58189999999999997</v>
      </c>
      <c r="AY508" s="6">
        <v>123</v>
      </c>
    </row>
    <row r="509" spans="1:51" x14ac:dyDescent="0.25">
      <c r="A509" s="31" t="s">
        <v>13</v>
      </c>
      <c r="B509" s="32">
        <v>1</v>
      </c>
      <c r="C509" s="36">
        <v>7</v>
      </c>
      <c r="D509" s="36">
        <v>1</v>
      </c>
      <c r="E509" s="32">
        <v>36</v>
      </c>
      <c r="F509" s="12">
        <v>58.9</v>
      </c>
      <c r="G509">
        <v>59.367879999999985</v>
      </c>
      <c r="H509">
        <v>13.800599999999999</v>
      </c>
      <c r="AB509" s="17">
        <v>507</v>
      </c>
      <c r="AC509" s="6">
        <v>3.23386</v>
      </c>
      <c r="AD509" s="6">
        <v>18.815200000000001</v>
      </c>
      <c r="AE509" s="6">
        <v>3.1070000000000002</v>
      </c>
      <c r="AF509" s="6">
        <v>123</v>
      </c>
      <c r="AH509" s="17">
        <v>507</v>
      </c>
      <c r="AI509" s="6">
        <v>6.1501999999999999</v>
      </c>
      <c r="AJ509" s="6">
        <v>18.815200000000001</v>
      </c>
      <c r="AK509" s="6">
        <v>3.1070000000000002</v>
      </c>
      <c r="AL509" s="6">
        <v>123</v>
      </c>
      <c r="AO509" s="17">
        <v>507</v>
      </c>
      <c r="AP509" s="6">
        <v>1.1507499999999999</v>
      </c>
      <c r="AQ509" s="6">
        <v>2.3490000000000002</v>
      </c>
      <c r="AR509" s="6">
        <v>0.58140000000000003</v>
      </c>
      <c r="AS509" s="6">
        <v>123</v>
      </c>
      <c r="AU509" s="17">
        <v>507</v>
      </c>
      <c r="AV509" s="6">
        <v>0.60507999999999995</v>
      </c>
      <c r="AW509" s="6">
        <v>2.3490000000000002</v>
      </c>
      <c r="AX509" s="6">
        <v>0.58140000000000003</v>
      </c>
      <c r="AY509" s="6">
        <v>123</v>
      </c>
    </row>
    <row r="510" spans="1:51" x14ac:dyDescent="0.25">
      <c r="A510" s="31" t="s">
        <v>13</v>
      </c>
      <c r="B510" s="32">
        <v>2</v>
      </c>
      <c r="C510" s="36">
        <v>17</v>
      </c>
      <c r="D510" s="36">
        <v>4</v>
      </c>
      <c r="E510" s="32">
        <v>36</v>
      </c>
      <c r="F510" s="12">
        <v>58.3</v>
      </c>
      <c r="G510">
        <v>61.585589999999989</v>
      </c>
      <c r="H510">
        <v>13.980600000000001</v>
      </c>
      <c r="AB510" s="17">
        <v>508</v>
      </c>
      <c r="AC510" s="6">
        <v>3.21374</v>
      </c>
      <c r="AD510" s="6">
        <v>16.588200000000001</v>
      </c>
      <c r="AE510" s="6">
        <v>3.0876999999999999</v>
      </c>
      <c r="AF510" s="6">
        <v>123</v>
      </c>
      <c r="AH510" s="17">
        <v>508</v>
      </c>
      <c r="AI510" s="6">
        <v>6.1119000000000003</v>
      </c>
      <c r="AJ510" s="6">
        <v>16.588200000000001</v>
      </c>
      <c r="AK510" s="6">
        <v>3.0876999999999999</v>
      </c>
      <c r="AL510" s="6">
        <v>123</v>
      </c>
      <c r="AO510" s="17">
        <v>508</v>
      </c>
      <c r="AP510" s="6">
        <v>1.14476</v>
      </c>
      <c r="AQ510" s="6">
        <v>2.1461000000000001</v>
      </c>
      <c r="AR510" s="6">
        <v>0.57830000000000004</v>
      </c>
      <c r="AS510" s="6">
        <v>123</v>
      </c>
      <c r="AU510" s="17">
        <v>508</v>
      </c>
      <c r="AV510" s="6">
        <v>0.60192999999999997</v>
      </c>
      <c r="AW510" s="6">
        <v>2.1461000000000001</v>
      </c>
      <c r="AX510" s="6">
        <v>0.57830000000000004</v>
      </c>
      <c r="AY510" s="6">
        <v>123</v>
      </c>
    </row>
    <row r="511" spans="1:51" x14ac:dyDescent="0.25">
      <c r="A511" s="31" t="s">
        <v>13</v>
      </c>
      <c r="B511" s="32">
        <v>3</v>
      </c>
      <c r="C511" s="36">
        <v>16</v>
      </c>
      <c r="D511" s="36">
        <v>5</v>
      </c>
      <c r="E511" s="32">
        <v>36</v>
      </c>
      <c r="F511" s="12">
        <v>58.8</v>
      </c>
      <c r="G511">
        <v>53.317440000000005</v>
      </c>
      <c r="H511">
        <v>14.3406</v>
      </c>
      <c r="AB511" s="17">
        <v>509</v>
      </c>
      <c r="AC511" s="6">
        <v>3.1977500000000001</v>
      </c>
      <c r="AD511" s="6">
        <v>7.6379000000000001</v>
      </c>
      <c r="AE511" s="6">
        <v>3.0722999999999998</v>
      </c>
      <c r="AF511" s="6">
        <v>123</v>
      </c>
      <c r="AH511" s="17">
        <v>509</v>
      </c>
      <c r="AI511" s="6">
        <v>6.0815000000000001</v>
      </c>
      <c r="AJ511" s="6">
        <v>7.6379000000000001</v>
      </c>
      <c r="AK511" s="6">
        <v>3.0722999999999998</v>
      </c>
      <c r="AL511" s="6">
        <v>123</v>
      </c>
      <c r="AO511" s="17">
        <v>509</v>
      </c>
      <c r="AP511" s="6">
        <v>1.1391199999999999</v>
      </c>
      <c r="AQ511" s="6">
        <v>0.80179999999999996</v>
      </c>
      <c r="AR511" s="6">
        <v>0.57550000000000001</v>
      </c>
      <c r="AS511" s="6">
        <v>123</v>
      </c>
      <c r="AU511" s="17">
        <v>509</v>
      </c>
      <c r="AV511" s="6">
        <v>0.59897</v>
      </c>
      <c r="AW511" s="6">
        <v>0.80179999999999996</v>
      </c>
      <c r="AX511" s="6">
        <v>0.57550000000000001</v>
      </c>
      <c r="AY511" s="6">
        <v>123</v>
      </c>
    </row>
    <row r="512" spans="1:51" x14ac:dyDescent="0.25">
      <c r="AB512" s="17">
        <v>510</v>
      </c>
      <c r="AC512" s="6">
        <v>3.2052499999999999</v>
      </c>
      <c r="AD512" s="6">
        <v>10.1053</v>
      </c>
      <c r="AE512" s="6">
        <v>3.0794999999999999</v>
      </c>
      <c r="AF512" s="6">
        <v>123</v>
      </c>
      <c r="AH512" s="17">
        <v>510</v>
      </c>
      <c r="AI512" s="6">
        <v>6.0957999999999997</v>
      </c>
      <c r="AJ512" s="6">
        <v>10.1053</v>
      </c>
      <c r="AK512" s="6">
        <v>3.0794999999999999</v>
      </c>
      <c r="AL512" s="6">
        <v>123</v>
      </c>
      <c r="AO512" s="17">
        <v>510</v>
      </c>
      <c r="AP512" s="6">
        <v>1.1387799999999999</v>
      </c>
      <c r="AQ512" s="6">
        <v>1.0125</v>
      </c>
      <c r="AR512" s="6">
        <v>0.57530000000000003</v>
      </c>
      <c r="AS512" s="6">
        <v>123</v>
      </c>
      <c r="AU512" s="17">
        <v>510</v>
      </c>
      <c r="AV512" s="6">
        <v>0.59879000000000004</v>
      </c>
      <c r="AW512" s="6">
        <v>1.0125</v>
      </c>
      <c r="AX512" s="6">
        <v>0.57530000000000003</v>
      </c>
      <c r="AY512" s="6">
        <v>123</v>
      </c>
    </row>
    <row r="513" spans="28:51" x14ac:dyDescent="0.25">
      <c r="AB513" s="17">
        <v>511</v>
      </c>
      <c r="AC513" s="6">
        <v>5.1189200000000001</v>
      </c>
      <c r="AD513" s="6">
        <v>19.0609</v>
      </c>
      <c r="AE513" s="6">
        <v>4.9181999999999997</v>
      </c>
      <c r="AF513" s="6">
        <v>123</v>
      </c>
      <c r="AH513" s="17">
        <v>511</v>
      </c>
      <c r="AI513" s="6">
        <v>9.7352000000000007</v>
      </c>
      <c r="AJ513" s="6">
        <v>19.0609</v>
      </c>
      <c r="AK513" s="6">
        <v>4.9181999999999997</v>
      </c>
      <c r="AL513" s="6">
        <v>123</v>
      </c>
      <c r="AO513" s="17">
        <v>511</v>
      </c>
      <c r="AP513" s="6">
        <v>1.81246</v>
      </c>
      <c r="AQ513" s="6">
        <v>1.5298</v>
      </c>
      <c r="AR513" s="6">
        <v>0.91559999999999997</v>
      </c>
      <c r="AS513" s="6">
        <v>123</v>
      </c>
      <c r="AU513" s="17">
        <v>511</v>
      </c>
      <c r="AV513" s="6">
        <v>0.95301999999999998</v>
      </c>
      <c r="AW513" s="6">
        <v>1.5298</v>
      </c>
      <c r="AX513" s="6">
        <v>0.91559999999999997</v>
      </c>
      <c r="AY513" s="6">
        <v>123</v>
      </c>
    </row>
    <row r="514" spans="28:51" x14ac:dyDescent="0.25">
      <c r="AB514" s="17">
        <v>512</v>
      </c>
      <c r="AC514" s="6">
        <v>3.20601</v>
      </c>
      <c r="AD514" s="6">
        <v>0.80759999999999998</v>
      </c>
      <c r="AE514" s="6">
        <v>3.0802999999999998</v>
      </c>
      <c r="AF514" s="6">
        <v>123</v>
      </c>
      <c r="AH514" s="17">
        <v>512</v>
      </c>
      <c r="AI514" s="6">
        <v>6.0972</v>
      </c>
      <c r="AJ514" s="6">
        <v>0.80759999999999998</v>
      </c>
      <c r="AK514" s="6">
        <v>3.0802999999999998</v>
      </c>
      <c r="AL514" s="6">
        <v>123</v>
      </c>
      <c r="AO514" s="17">
        <v>512</v>
      </c>
      <c r="AP514" s="6">
        <v>1.1430499999999999</v>
      </c>
      <c r="AQ514" s="19">
        <v>-2.6023999999999998</v>
      </c>
      <c r="AR514" s="6">
        <v>0.57750000000000001</v>
      </c>
      <c r="AS514" s="6">
        <v>123</v>
      </c>
      <c r="AU514" s="17">
        <v>512</v>
      </c>
      <c r="AV514" s="6">
        <v>0.60104000000000002</v>
      </c>
      <c r="AW514" s="19">
        <v>-2.6023999999999998</v>
      </c>
      <c r="AX514" s="6">
        <v>0.57750000000000001</v>
      </c>
      <c r="AY514" s="6">
        <v>123</v>
      </c>
    </row>
    <row r="515" spans="28:51" x14ac:dyDescent="0.25">
      <c r="AB515" s="17">
        <v>513</v>
      </c>
      <c r="AC515" s="6">
        <v>3.2111100000000001</v>
      </c>
      <c r="AD515" s="19">
        <v>-0.97340000000000004</v>
      </c>
      <c r="AE515" s="6">
        <v>3.0851999999999999</v>
      </c>
      <c r="AF515" s="6">
        <v>123</v>
      </c>
      <c r="AH515" s="17">
        <v>513</v>
      </c>
      <c r="AI515" s="6">
        <v>6.1069000000000004</v>
      </c>
      <c r="AJ515" s="19">
        <v>-0.97340000000000004</v>
      </c>
      <c r="AK515" s="6">
        <v>3.0851999999999999</v>
      </c>
      <c r="AL515" s="6">
        <v>123</v>
      </c>
      <c r="AO515" s="17">
        <v>513</v>
      </c>
      <c r="AP515" s="6">
        <v>1.1390100000000001</v>
      </c>
      <c r="AQ515" s="19">
        <v>-0.76359999999999995</v>
      </c>
      <c r="AR515" s="6">
        <v>0.57540000000000002</v>
      </c>
      <c r="AS515" s="6">
        <v>123</v>
      </c>
      <c r="AU515" s="17">
        <v>513</v>
      </c>
      <c r="AV515" s="6">
        <v>0.59891000000000005</v>
      </c>
      <c r="AW515" s="19">
        <v>-0.76359999999999995</v>
      </c>
      <c r="AX515" s="6">
        <v>0.57540000000000002</v>
      </c>
      <c r="AY515" s="6">
        <v>123</v>
      </c>
    </row>
    <row r="516" spans="28:51" x14ac:dyDescent="0.25">
      <c r="AB516" s="17">
        <v>514</v>
      </c>
      <c r="AC516" s="6">
        <v>3.2074199999999999</v>
      </c>
      <c r="AD516" s="6">
        <v>8.9690999999999992</v>
      </c>
      <c r="AE516" s="6">
        <v>3.0815999999999999</v>
      </c>
      <c r="AF516" s="6">
        <v>123</v>
      </c>
      <c r="AH516" s="17">
        <v>514</v>
      </c>
      <c r="AI516" s="6">
        <v>6.0998999999999999</v>
      </c>
      <c r="AJ516" s="6">
        <v>8.9690999999999992</v>
      </c>
      <c r="AK516" s="6">
        <v>3.0815999999999999</v>
      </c>
      <c r="AL516" s="6">
        <v>123</v>
      </c>
      <c r="AO516" s="17">
        <v>514</v>
      </c>
      <c r="AP516" s="6">
        <v>1.14889</v>
      </c>
      <c r="AQ516" s="19">
        <v>-0.22020000000000001</v>
      </c>
      <c r="AR516" s="6">
        <v>0.58040000000000003</v>
      </c>
      <c r="AS516" s="6">
        <v>123</v>
      </c>
      <c r="AU516" s="17">
        <v>514</v>
      </c>
      <c r="AV516" s="6">
        <v>0.60409999999999997</v>
      </c>
      <c r="AW516" s="19">
        <v>-0.22020000000000001</v>
      </c>
      <c r="AX516" s="6">
        <v>0.58040000000000003</v>
      </c>
      <c r="AY516" s="6">
        <v>123</v>
      </c>
    </row>
    <row r="517" spans="28:51" x14ac:dyDescent="0.25">
      <c r="AB517" s="17">
        <v>515</v>
      </c>
      <c r="AC517" s="6">
        <v>3.22044</v>
      </c>
      <c r="AD517" s="19">
        <v>-2.5844999999999998</v>
      </c>
      <c r="AE517" s="6">
        <v>3.0941000000000001</v>
      </c>
      <c r="AF517" s="6">
        <v>123</v>
      </c>
      <c r="AH517" s="17">
        <v>515</v>
      </c>
      <c r="AI517" s="6">
        <v>6.1246</v>
      </c>
      <c r="AJ517" s="19">
        <v>-2.5844999999999998</v>
      </c>
      <c r="AK517" s="6">
        <v>3.0941000000000001</v>
      </c>
      <c r="AL517" s="6">
        <v>123</v>
      </c>
      <c r="AO517" s="17">
        <v>515</v>
      </c>
      <c r="AP517" s="6">
        <v>1.1592499999999999</v>
      </c>
      <c r="AQ517" s="19">
        <v>-0.90149999999999997</v>
      </c>
      <c r="AR517" s="6">
        <v>0.58560000000000001</v>
      </c>
      <c r="AS517" s="6">
        <v>123</v>
      </c>
      <c r="AU517" s="17">
        <v>515</v>
      </c>
      <c r="AV517" s="6">
        <v>0.60955000000000004</v>
      </c>
      <c r="AW517" s="19">
        <v>-0.90149999999999997</v>
      </c>
      <c r="AX517" s="6">
        <v>0.58560000000000001</v>
      </c>
      <c r="AY517" s="6">
        <v>123</v>
      </c>
    </row>
    <row r="518" spans="28:51" x14ac:dyDescent="0.25">
      <c r="AB518" s="17">
        <v>516</v>
      </c>
      <c r="AC518" s="6">
        <v>3.2040600000000001</v>
      </c>
      <c r="AD518" s="6">
        <v>1.0873999999999999</v>
      </c>
      <c r="AE518" s="6">
        <v>3.0783999999999998</v>
      </c>
      <c r="AF518" s="6">
        <v>123</v>
      </c>
      <c r="AH518" s="17">
        <v>516</v>
      </c>
      <c r="AI518" s="6">
        <v>6.0934999999999997</v>
      </c>
      <c r="AJ518" s="6">
        <v>1.0873999999999999</v>
      </c>
      <c r="AK518" s="6">
        <v>3.0783999999999998</v>
      </c>
      <c r="AL518" s="6">
        <v>123</v>
      </c>
      <c r="AO518" s="17">
        <v>516</v>
      </c>
      <c r="AP518" s="6">
        <v>1.1464799999999999</v>
      </c>
      <c r="AQ518" s="19">
        <v>-1.018</v>
      </c>
      <c r="AR518" s="6">
        <v>0.57920000000000005</v>
      </c>
      <c r="AS518" s="6">
        <v>123</v>
      </c>
      <c r="AU518" s="17">
        <v>516</v>
      </c>
      <c r="AV518" s="6">
        <v>0.60284000000000004</v>
      </c>
      <c r="AW518" s="19">
        <v>-1.018</v>
      </c>
      <c r="AX518" s="6">
        <v>0.57920000000000005</v>
      </c>
      <c r="AY518" s="6">
        <v>123</v>
      </c>
    </row>
    <row r="519" spans="28:51" x14ac:dyDescent="0.25">
      <c r="AB519" s="17">
        <v>517</v>
      </c>
      <c r="AC519" s="6">
        <v>3.2044100000000002</v>
      </c>
      <c r="AD519" s="6">
        <v>3.5735999999999999</v>
      </c>
      <c r="AE519" s="6">
        <v>3.0787</v>
      </c>
      <c r="AF519" s="6">
        <v>123</v>
      </c>
      <c r="AH519" s="17">
        <v>517</v>
      </c>
      <c r="AI519" s="6">
        <v>6.0941999999999998</v>
      </c>
      <c r="AJ519" s="6">
        <v>3.5735999999999999</v>
      </c>
      <c r="AK519" s="6">
        <v>3.0787</v>
      </c>
      <c r="AL519" s="6">
        <v>123</v>
      </c>
      <c r="AO519" s="17">
        <v>517</v>
      </c>
      <c r="AP519" s="6">
        <v>1.14097</v>
      </c>
      <c r="AQ519" s="19">
        <v>-1.5505</v>
      </c>
      <c r="AR519" s="6">
        <v>0.57640000000000002</v>
      </c>
      <c r="AS519" s="6">
        <v>123</v>
      </c>
      <c r="AU519" s="17">
        <v>517</v>
      </c>
      <c r="AV519" s="6">
        <v>0.59994000000000003</v>
      </c>
      <c r="AW519" s="19">
        <v>-1.5505</v>
      </c>
      <c r="AX519" s="6">
        <v>0.57640000000000002</v>
      </c>
      <c r="AY519" s="6">
        <v>123</v>
      </c>
    </row>
    <row r="520" spans="28:51" x14ac:dyDescent="0.25">
      <c r="AB520" s="17">
        <v>518</v>
      </c>
      <c r="AC520" s="6">
        <v>3.2252000000000001</v>
      </c>
      <c r="AD520" s="6">
        <v>4.2596999999999996</v>
      </c>
      <c r="AE520" s="6">
        <v>3.0987</v>
      </c>
      <c r="AF520" s="6">
        <v>123</v>
      </c>
      <c r="AH520" s="17">
        <v>518</v>
      </c>
      <c r="AI520" s="6">
        <v>6.1337000000000002</v>
      </c>
      <c r="AJ520" s="6">
        <v>4.2596999999999996</v>
      </c>
      <c r="AK520" s="6">
        <v>3.0987</v>
      </c>
      <c r="AL520" s="6">
        <v>123</v>
      </c>
      <c r="AO520" s="17">
        <v>518</v>
      </c>
      <c r="AP520" s="6">
        <v>1.1422600000000001</v>
      </c>
      <c r="AQ520" s="19">
        <v>-1.4849000000000001</v>
      </c>
      <c r="AR520" s="6">
        <v>0.57709999999999995</v>
      </c>
      <c r="AS520" s="6">
        <v>123</v>
      </c>
      <c r="AU520" s="17">
        <v>518</v>
      </c>
      <c r="AV520" s="6">
        <v>0.60062000000000004</v>
      </c>
      <c r="AW520" s="19">
        <v>-1.4849000000000001</v>
      </c>
      <c r="AX520" s="6">
        <v>0.57709999999999995</v>
      </c>
      <c r="AY520" s="6">
        <v>123</v>
      </c>
    </row>
    <row r="521" spans="28:51" x14ac:dyDescent="0.25">
      <c r="AB521" s="17">
        <v>519</v>
      </c>
      <c r="AC521" s="6">
        <v>3.2061899999999999</v>
      </c>
      <c r="AD521" s="19">
        <v>-0.8115</v>
      </c>
      <c r="AE521" s="6">
        <v>3.0804</v>
      </c>
      <c r="AF521" s="6">
        <v>123</v>
      </c>
      <c r="AH521" s="17">
        <v>519</v>
      </c>
      <c r="AI521" s="6">
        <v>6.0975999999999999</v>
      </c>
      <c r="AJ521" s="19">
        <v>-0.8115</v>
      </c>
      <c r="AK521" s="6">
        <v>3.0804</v>
      </c>
      <c r="AL521" s="6">
        <v>123</v>
      </c>
      <c r="AO521" s="17">
        <v>519</v>
      </c>
      <c r="AP521" s="6">
        <v>1.1427</v>
      </c>
      <c r="AQ521" s="19">
        <v>-0.42820000000000003</v>
      </c>
      <c r="AR521" s="6">
        <v>0.57730000000000004</v>
      </c>
      <c r="AS521" s="6">
        <v>123</v>
      </c>
      <c r="AU521" s="17">
        <v>519</v>
      </c>
      <c r="AV521" s="6">
        <v>0.60085</v>
      </c>
      <c r="AW521" s="19">
        <v>-0.42820000000000003</v>
      </c>
      <c r="AX521" s="6">
        <v>0.57730000000000004</v>
      </c>
      <c r="AY521" s="6">
        <v>123</v>
      </c>
    </row>
    <row r="522" spans="28:51" x14ac:dyDescent="0.25">
      <c r="AB522" s="17">
        <v>520</v>
      </c>
      <c r="AC522" s="6">
        <v>3.2267000000000001</v>
      </c>
      <c r="AD522" s="6">
        <v>3.7242999999999999</v>
      </c>
      <c r="AE522" s="6">
        <v>3.1000999999999999</v>
      </c>
      <c r="AF522" s="6">
        <v>123</v>
      </c>
      <c r="AH522" s="17">
        <v>520</v>
      </c>
      <c r="AI522" s="6">
        <v>6.1365999999999996</v>
      </c>
      <c r="AJ522" s="6">
        <v>3.7242999999999999</v>
      </c>
      <c r="AK522" s="6">
        <v>3.1000999999999999</v>
      </c>
      <c r="AL522" s="6">
        <v>123</v>
      </c>
      <c r="AO522" s="17">
        <v>520</v>
      </c>
      <c r="AP522" s="6">
        <v>1.1573800000000001</v>
      </c>
      <c r="AQ522" s="19">
        <v>-0.84950000000000003</v>
      </c>
      <c r="AR522" s="6">
        <v>0.5847</v>
      </c>
      <c r="AS522" s="6">
        <v>123</v>
      </c>
      <c r="AU522" s="17">
        <v>520</v>
      </c>
      <c r="AV522" s="6">
        <v>0.60857000000000006</v>
      </c>
      <c r="AW522" s="19">
        <v>-0.84950000000000003</v>
      </c>
      <c r="AX522" s="6">
        <v>0.5847</v>
      </c>
      <c r="AY522" s="6">
        <v>123</v>
      </c>
    </row>
    <row r="523" spans="28:51" x14ac:dyDescent="0.25">
      <c r="AB523" s="17">
        <v>521</v>
      </c>
      <c r="AC523" s="6">
        <v>3.2462800000000001</v>
      </c>
      <c r="AD523" s="19">
        <v>-5.5879000000000003</v>
      </c>
      <c r="AE523" s="6">
        <v>3.1190000000000002</v>
      </c>
      <c r="AF523" s="6">
        <v>123</v>
      </c>
      <c r="AH523" s="17">
        <v>521</v>
      </c>
      <c r="AI523" s="6">
        <v>6.1738</v>
      </c>
      <c r="AJ523" s="19">
        <v>-5.5879000000000003</v>
      </c>
      <c r="AK523" s="6">
        <v>3.1190000000000002</v>
      </c>
      <c r="AL523" s="6">
        <v>123</v>
      </c>
      <c r="AO523" s="17">
        <v>521</v>
      </c>
      <c r="AP523" s="6">
        <v>1.1672899999999999</v>
      </c>
      <c r="AQ523" s="19">
        <v>-1.0490999999999999</v>
      </c>
      <c r="AR523" s="6">
        <v>0.5897</v>
      </c>
      <c r="AS523" s="6">
        <v>123</v>
      </c>
      <c r="AU523" s="17">
        <v>521</v>
      </c>
      <c r="AV523" s="6">
        <v>0.61377999999999999</v>
      </c>
      <c r="AW523" s="19">
        <v>-1.0490999999999999</v>
      </c>
      <c r="AX523" s="6">
        <v>0.5897</v>
      </c>
      <c r="AY523" s="6">
        <v>123</v>
      </c>
    </row>
    <row r="524" spans="28:51" x14ac:dyDescent="0.25">
      <c r="AB524" s="17">
        <v>522</v>
      </c>
      <c r="AC524" s="6">
        <v>3.24783</v>
      </c>
      <c r="AD524" s="6">
        <v>2.5550000000000002</v>
      </c>
      <c r="AE524" s="6">
        <v>3.1204999999999998</v>
      </c>
      <c r="AF524" s="6">
        <v>123</v>
      </c>
      <c r="AH524" s="17">
        <v>522</v>
      </c>
      <c r="AI524" s="6">
        <v>6.1767000000000003</v>
      </c>
      <c r="AJ524" s="6">
        <v>2.5550000000000002</v>
      </c>
      <c r="AK524" s="6">
        <v>3.1204999999999998</v>
      </c>
      <c r="AL524" s="6">
        <v>123</v>
      </c>
      <c r="AO524" s="17">
        <v>522</v>
      </c>
      <c r="AP524" s="6">
        <v>1.14706</v>
      </c>
      <c r="AQ524" s="19">
        <v>-1.1292</v>
      </c>
      <c r="AR524" s="6">
        <v>0.57950000000000002</v>
      </c>
      <c r="AS524" s="6">
        <v>123</v>
      </c>
      <c r="AU524" s="17">
        <v>522</v>
      </c>
      <c r="AV524" s="6">
        <v>0.60314000000000001</v>
      </c>
      <c r="AW524" s="19">
        <v>-1.1292</v>
      </c>
      <c r="AX524" s="6">
        <v>0.57950000000000002</v>
      </c>
      <c r="AY524" s="6">
        <v>123</v>
      </c>
    </row>
    <row r="525" spans="28:51" x14ac:dyDescent="0.25">
      <c r="AB525" s="17">
        <v>523</v>
      </c>
      <c r="AC525" s="6">
        <v>3.2123699999999999</v>
      </c>
      <c r="AD525" s="6">
        <v>5.1435000000000004</v>
      </c>
      <c r="AE525" s="6">
        <v>3.0863999999999998</v>
      </c>
      <c r="AF525" s="6">
        <v>123</v>
      </c>
      <c r="AH525" s="17">
        <v>523</v>
      </c>
      <c r="AI525" s="6">
        <v>6.1093000000000002</v>
      </c>
      <c r="AJ525" s="6">
        <v>5.1435000000000004</v>
      </c>
      <c r="AK525" s="6">
        <v>3.0863999999999998</v>
      </c>
      <c r="AL525" s="6">
        <v>123</v>
      </c>
      <c r="AO525" s="17">
        <v>523</v>
      </c>
      <c r="AP525" s="6">
        <v>1.14618</v>
      </c>
      <c r="AQ525" s="6">
        <v>0.72940000000000005</v>
      </c>
      <c r="AR525" s="6">
        <v>0.57899999999999996</v>
      </c>
      <c r="AS525" s="6">
        <v>123</v>
      </c>
      <c r="AU525" s="17">
        <v>523</v>
      </c>
      <c r="AV525" s="6">
        <v>0.60267999999999999</v>
      </c>
      <c r="AW525" s="6">
        <v>0.72940000000000005</v>
      </c>
      <c r="AX525" s="6">
        <v>0.57899999999999996</v>
      </c>
      <c r="AY525" s="6">
        <v>123</v>
      </c>
    </row>
    <row r="526" spans="28:51" x14ac:dyDescent="0.25">
      <c r="AB526" s="17">
        <v>524</v>
      </c>
      <c r="AC526" s="6">
        <v>3.2109800000000002</v>
      </c>
      <c r="AD526" s="6">
        <v>6.3094000000000001</v>
      </c>
      <c r="AE526" s="6">
        <v>3.085</v>
      </c>
      <c r="AF526" s="6">
        <v>123</v>
      </c>
      <c r="AH526" s="17">
        <v>524</v>
      </c>
      <c r="AI526" s="6">
        <v>6.1067</v>
      </c>
      <c r="AJ526" s="6">
        <v>6.3094000000000001</v>
      </c>
      <c r="AK526" s="6">
        <v>3.085</v>
      </c>
      <c r="AL526" s="6">
        <v>123</v>
      </c>
      <c r="AO526" s="17">
        <v>524</v>
      </c>
      <c r="AP526" s="6">
        <v>1.14236</v>
      </c>
      <c r="AQ526" s="19">
        <v>-0.79600000000000004</v>
      </c>
      <c r="AR526" s="6">
        <v>0.57709999999999995</v>
      </c>
      <c r="AS526" s="6">
        <v>123</v>
      </c>
      <c r="AU526" s="17">
        <v>524</v>
      </c>
      <c r="AV526" s="6">
        <v>0.60067000000000004</v>
      </c>
      <c r="AW526" s="19">
        <v>-0.79600000000000004</v>
      </c>
      <c r="AX526" s="6">
        <v>0.57709999999999995</v>
      </c>
      <c r="AY526" s="6">
        <v>123</v>
      </c>
    </row>
    <row r="527" spans="28:51" x14ac:dyDescent="0.25">
      <c r="AB527" s="17">
        <v>525</v>
      </c>
      <c r="AC527" s="6">
        <v>3.2047400000000001</v>
      </c>
      <c r="AD527" s="6">
        <v>11.5282</v>
      </c>
      <c r="AE527" s="6">
        <v>3.0790000000000002</v>
      </c>
      <c r="AF527" s="6">
        <v>123</v>
      </c>
      <c r="AH527" s="17">
        <v>525</v>
      </c>
      <c r="AI527" s="6">
        <v>6.0948000000000002</v>
      </c>
      <c r="AJ527" s="6">
        <v>11.5282</v>
      </c>
      <c r="AK527" s="6">
        <v>3.0790000000000002</v>
      </c>
      <c r="AL527" s="6">
        <v>123</v>
      </c>
      <c r="AO527" s="17">
        <v>525</v>
      </c>
      <c r="AP527" s="6">
        <v>1.1409899999999999</v>
      </c>
      <c r="AQ527" s="19">
        <v>-0.74909999999999999</v>
      </c>
      <c r="AR527" s="6">
        <v>0.57640000000000002</v>
      </c>
      <c r="AS527" s="6">
        <v>123</v>
      </c>
      <c r="AU527" s="17">
        <v>525</v>
      </c>
      <c r="AV527" s="6">
        <v>0.59994999999999998</v>
      </c>
      <c r="AW527" s="19">
        <v>-0.74909999999999999</v>
      </c>
      <c r="AX527" s="6">
        <v>0.57640000000000002</v>
      </c>
      <c r="AY527" s="6">
        <v>123</v>
      </c>
    </row>
    <row r="528" spans="28:51" x14ac:dyDescent="0.25">
      <c r="AB528" s="17">
        <v>526</v>
      </c>
      <c r="AC528" s="6">
        <v>3.1818200000000001</v>
      </c>
      <c r="AD528" s="6">
        <v>8.6771999999999991</v>
      </c>
      <c r="AE528" s="6">
        <v>3.0569999999999999</v>
      </c>
      <c r="AF528" s="6">
        <v>123</v>
      </c>
      <c r="AH528" s="17">
        <v>526</v>
      </c>
      <c r="AI528" s="6">
        <v>6.0511999999999997</v>
      </c>
      <c r="AJ528" s="6">
        <v>8.6771999999999991</v>
      </c>
      <c r="AK528" s="6">
        <v>3.0569999999999999</v>
      </c>
      <c r="AL528" s="6">
        <v>123</v>
      </c>
      <c r="AO528" s="17">
        <v>526</v>
      </c>
      <c r="AP528" s="6">
        <v>1.129</v>
      </c>
      <c r="AQ528" s="19">
        <v>-0.4849</v>
      </c>
      <c r="AR528" s="6">
        <v>0.57040000000000002</v>
      </c>
      <c r="AS528" s="6">
        <v>123</v>
      </c>
      <c r="AU528" s="17">
        <v>526</v>
      </c>
      <c r="AV528" s="6">
        <v>0.59365000000000001</v>
      </c>
      <c r="AW528" s="19">
        <v>-0.4849</v>
      </c>
      <c r="AX528" s="6">
        <v>0.57040000000000002</v>
      </c>
      <c r="AY528" s="6">
        <v>123</v>
      </c>
    </row>
    <row r="529" spans="28:51" x14ac:dyDescent="0.25">
      <c r="AB529" s="17">
        <v>527</v>
      </c>
      <c r="AC529" s="6">
        <v>3.20146</v>
      </c>
      <c r="AD529" s="19">
        <v>-3.0224000000000002</v>
      </c>
      <c r="AE529" s="6">
        <v>3.0758999999999999</v>
      </c>
      <c r="AF529" s="6">
        <v>123</v>
      </c>
      <c r="AH529" s="17">
        <v>527</v>
      </c>
      <c r="AI529" s="6">
        <v>6.0885999999999996</v>
      </c>
      <c r="AJ529" s="19">
        <v>-3.0224000000000002</v>
      </c>
      <c r="AK529" s="6">
        <v>3.0758999999999999</v>
      </c>
      <c r="AL529" s="6">
        <v>123</v>
      </c>
      <c r="AO529" s="17">
        <v>527</v>
      </c>
      <c r="AP529" s="6">
        <v>1.14073</v>
      </c>
      <c r="AQ529" s="19">
        <v>-2.6105</v>
      </c>
      <c r="AR529" s="6">
        <v>0.57630000000000003</v>
      </c>
      <c r="AS529" s="6">
        <v>123</v>
      </c>
      <c r="AU529" s="17">
        <v>527</v>
      </c>
      <c r="AV529" s="6">
        <v>0.59980999999999995</v>
      </c>
      <c r="AW529" s="19">
        <v>-2.6105</v>
      </c>
      <c r="AX529" s="6">
        <v>0.57630000000000003</v>
      </c>
      <c r="AY529" s="6">
        <v>123</v>
      </c>
    </row>
    <row r="530" spans="28:51" x14ac:dyDescent="0.25">
      <c r="AB530" s="17">
        <v>528</v>
      </c>
      <c r="AC530" s="6">
        <v>3.1948599999999998</v>
      </c>
      <c r="AD530" s="6">
        <v>1.2374000000000001</v>
      </c>
      <c r="AE530" s="6">
        <v>3.0695999999999999</v>
      </c>
      <c r="AF530" s="6">
        <v>123</v>
      </c>
      <c r="AH530" s="17">
        <v>528</v>
      </c>
      <c r="AI530" s="6">
        <v>6.0759999999999996</v>
      </c>
      <c r="AJ530" s="6">
        <v>1.2374000000000001</v>
      </c>
      <c r="AK530" s="6">
        <v>3.0695999999999999</v>
      </c>
      <c r="AL530" s="6">
        <v>123</v>
      </c>
      <c r="AO530" s="17">
        <v>528</v>
      </c>
      <c r="AP530" s="6">
        <v>1.14273</v>
      </c>
      <c r="AQ530" s="19">
        <v>-1.1718</v>
      </c>
      <c r="AR530" s="6">
        <v>0.57730000000000004</v>
      </c>
      <c r="AS530" s="6">
        <v>123</v>
      </c>
      <c r="AU530" s="17">
        <v>528</v>
      </c>
      <c r="AV530" s="6">
        <v>0.60087000000000002</v>
      </c>
      <c r="AW530" s="19">
        <v>-1.1718</v>
      </c>
      <c r="AX530" s="6">
        <v>0.57730000000000004</v>
      </c>
      <c r="AY530" s="6">
        <v>123</v>
      </c>
    </row>
    <row r="531" spans="28:51" x14ac:dyDescent="0.25">
      <c r="AB531" s="17">
        <v>529</v>
      </c>
      <c r="AC531" s="6">
        <v>3.2198199999999999</v>
      </c>
      <c r="AD531" s="6">
        <v>2.3368000000000002</v>
      </c>
      <c r="AE531" s="6">
        <v>3.0935000000000001</v>
      </c>
      <c r="AF531" s="6">
        <v>123</v>
      </c>
      <c r="AH531" s="17">
        <v>529</v>
      </c>
      <c r="AI531" s="6">
        <v>6.1234999999999999</v>
      </c>
      <c r="AJ531" s="6">
        <v>2.3368000000000002</v>
      </c>
      <c r="AK531" s="6">
        <v>3.0935000000000001</v>
      </c>
      <c r="AL531" s="6">
        <v>123</v>
      </c>
      <c r="AO531" s="17">
        <v>529</v>
      </c>
      <c r="AP531" s="6">
        <v>1.1471199999999999</v>
      </c>
      <c r="AQ531" s="19">
        <v>-0.50209999999999999</v>
      </c>
      <c r="AR531" s="6">
        <v>0.57950000000000002</v>
      </c>
      <c r="AS531" s="6">
        <v>123</v>
      </c>
      <c r="AU531" s="17">
        <v>529</v>
      </c>
      <c r="AV531" s="6">
        <v>0.60316999999999998</v>
      </c>
      <c r="AW531" s="19">
        <v>-0.50209999999999999</v>
      </c>
      <c r="AX531" s="6">
        <v>0.57950000000000002</v>
      </c>
      <c r="AY531" s="6">
        <v>123</v>
      </c>
    </row>
    <row r="532" spans="28:51" x14ac:dyDescent="0.25">
      <c r="AB532" s="17">
        <v>530</v>
      </c>
      <c r="AC532" s="6">
        <v>3.2065700000000001</v>
      </c>
      <c r="AD532" s="19">
        <v>-1.8109</v>
      </c>
      <c r="AE532" s="6">
        <v>3.0808</v>
      </c>
      <c r="AF532" s="6">
        <v>123</v>
      </c>
      <c r="AH532" s="17">
        <v>530</v>
      </c>
      <c r="AI532" s="6">
        <v>6.0983000000000001</v>
      </c>
      <c r="AJ532" s="19">
        <v>-1.8109</v>
      </c>
      <c r="AK532" s="6">
        <v>3.0808</v>
      </c>
      <c r="AL532" s="6">
        <v>123</v>
      </c>
      <c r="AO532" s="17">
        <v>530</v>
      </c>
      <c r="AP532" s="6">
        <v>1.1410100000000001</v>
      </c>
      <c r="AQ532" s="19">
        <v>-1.4436</v>
      </c>
      <c r="AR532" s="6">
        <v>0.57640000000000002</v>
      </c>
      <c r="AS532" s="6">
        <v>123</v>
      </c>
      <c r="AU532" s="17">
        <v>530</v>
      </c>
      <c r="AV532" s="6">
        <v>0.59996000000000005</v>
      </c>
      <c r="AW532" s="19">
        <v>-1.4436</v>
      </c>
      <c r="AX532" s="6">
        <v>0.57640000000000002</v>
      </c>
      <c r="AY532" s="6">
        <v>123</v>
      </c>
    </row>
    <row r="533" spans="28:51" x14ac:dyDescent="0.25">
      <c r="AB533" s="17">
        <v>531</v>
      </c>
      <c r="AC533" s="6">
        <v>3.1944900000000001</v>
      </c>
      <c r="AD533" s="6">
        <v>7.2346000000000004</v>
      </c>
      <c r="AE533" s="6">
        <v>3.0691999999999999</v>
      </c>
      <c r="AF533" s="6">
        <v>123</v>
      </c>
      <c r="AH533" s="17">
        <v>531</v>
      </c>
      <c r="AI533" s="6">
        <v>6.0753000000000004</v>
      </c>
      <c r="AJ533" s="6">
        <v>7.2346000000000004</v>
      </c>
      <c r="AK533" s="6">
        <v>3.0691999999999999</v>
      </c>
      <c r="AL533" s="6">
        <v>123</v>
      </c>
      <c r="AO533" s="17">
        <v>531</v>
      </c>
      <c r="AP533" s="6">
        <v>1.1408100000000001</v>
      </c>
      <c r="AQ533" s="19">
        <v>-1.9957</v>
      </c>
      <c r="AR533" s="6">
        <v>0.57630000000000003</v>
      </c>
      <c r="AS533" s="6">
        <v>123</v>
      </c>
      <c r="AU533" s="17">
        <v>531</v>
      </c>
      <c r="AV533" s="6">
        <v>0.59985999999999995</v>
      </c>
      <c r="AW533" s="19">
        <v>-1.9957</v>
      </c>
      <c r="AX533" s="6">
        <v>0.57630000000000003</v>
      </c>
      <c r="AY533" s="6">
        <v>123</v>
      </c>
    </row>
    <row r="534" spans="28:51" x14ac:dyDescent="0.25">
      <c r="AB534" s="17">
        <v>532</v>
      </c>
      <c r="AC534" s="6">
        <v>3.20438</v>
      </c>
      <c r="AD534" s="6">
        <v>1.0121</v>
      </c>
      <c r="AE534" s="6">
        <v>3.0787</v>
      </c>
      <c r="AF534" s="6">
        <v>123</v>
      </c>
      <c r="AH534" s="17">
        <v>532</v>
      </c>
      <c r="AI534" s="6">
        <v>6.0941000000000001</v>
      </c>
      <c r="AJ534" s="6">
        <v>1.0121</v>
      </c>
      <c r="AK534" s="6">
        <v>3.0787</v>
      </c>
      <c r="AL534" s="6">
        <v>123</v>
      </c>
      <c r="AO534" s="17">
        <v>532</v>
      </c>
      <c r="AP534" s="6">
        <v>1.1469</v>
      </c>
      <c r="AQ534" s="19">
        <v>-1.9403999999999999</v>
      </c>
      <c r="AR534" s="6">
        <v>0.57940000000000003</v>
      </c>
      <c r="AS534" s="6">
        <v>123</v>
      </c>
      <c r="AU534" s="17">
        <v>532</v>
      </c>
      <c r="AV534" s="6">
        <v>0.60306000000000004</v>
      </c>
      <c r="AW534" s="19">
        <v>-1.9403999999999999</v>
      </c>
      <c r="AX534" s="6">
        <v>0.57940000000000003</v>
      </c>
      <c r="AY534" s="6">
        <v>123</v>
      </c>
    </row>
    <row r="535" spans="28:51" x14ac:dyDescent="0.25">
      <c r="AB535" s="17">
        <v>533</v>
      </c>
      <c r="AC535" s="6">
        <v>3.20628</v>
      </c>
      <c r="AD535" s="6">
        <v>2.8610000000000002</v>
      </c>
      <c r="AE535" s="6">
        <v>3.0804999999999998</v>
      </c>
      <c r="AF535" s="6">
        <v>123</v>
      </c>
      <c r="AH535" s="17">
        <v>533</v>
      </c>
      <c r="AI535" s="6">
        <v>6.0976999999999997</v>
      </c>
      <c r="AJ535" s="6">
        <v>2.8610000000000002</v>
      </c>
      <c r="AK535" s="6">
        <v>3.0804999999999998</v>
      </c>
      <c r="AL535" s="6">
        <v>123</v>
      </c>
      <c r="AO535" s="17">
        <v>533</v>
      </c>
      <c r="AP535" s="6">
        <v>1.1449100000000001</v>
      </c>
      <c r="AQ535" s="19">
        <v>-2.4001999999999999</v>
      </c>
      <c r="AR535" s="6">
        <v>0.57840000000000003</v>
      </c>
      <c r="AS535" s="6">
        <v>123</v>
      </c>
      <c r="AU535" s="17">
        <v>533</v>
      </c>
      <c r="AV535" s="6">
        <v>0.60201000000000005</v>
      </c>
      <c r="AW535" s="19">
        <v>-2.4001999999999999</v>
      </c>
      <c r="AX535" s="6">
        <v>0.57840000000000003</v>
      </c>
      <c r="AY535" s="6">
        <v>123</v>
      </c>
    </row>
    <row r="536" spans="28:51" x14ac:dyDescent="0.25">
      <c r="AB536" s="17">
        <v>534</v>
      </c>
      <c r="AC536" s="6">
        <v>3.2439399999999998</v>
      </c>
      <c r="AD536" s="6">
        <v>9.8135999999999992</v>
      </c>
      <c r="AE536" s="6">
        <v>3.1166999999999998</v>
      </c>
      <c r="AF536" s="6">
        <v>123</v>
      </c>
      <c r="AH536" s="17">
        <v>534</v>
      </c>
      <c r="AI536" s="6">
        <v>6.1692999999999998</v>
      </c>
      <c r="AJ536" s="6">
        <v>9.8135999999999992</v>
      </c>
      <c r="AK536" s="6">
        <v>3.1166999999999998</v>
      </c>
      <c r="AL536" s="6">
        <v>123</v>
      </c>
      <c r="AO536" s="17">
        <v>534</v>
      </c>
      <c r="AP536" s="6">
        <v>1.1635200000000001</v>
      </c>
      <c r="AQ536" s="19">
        <v>-9.4960000000000003E-2</v>
      </c>
      <c r="AR536" s="6">
        <v>0.58779999999999999</v>
      </c>
      <c r="AS536" s="6">
        <v>123</v>
      </c>
      <c r="AU536" s="17">
        <v>534</v>
      </c>
      <c r="AV536" s="6">
        <v>0.61180000000000001</v>
      </c>
      <c r="AW536" s="19">
        <v>-9.4960000000000003E-2</v>
      </c>
      <c r="AX536" s="6">
        <v>0.58779999999999999</v>
      </c>
      <c r="AY536" s="6">
        <v>123</v>
      </c>
    </row>
    <row r="537" spans="28:51" x14ac:dyDescent="0.25">
      <c r="AB537" s="17">
        <v>535</v>
      </c>
      <c r="AC537" s="6">
        <v>3.2232799999999999</v>
      </c>
      <c r="AD537" s="6">
        <v>3.4857999999999998</v>
      </c>
      <c r="AE537" s="6">
        <v>3.0969000000000002</v>
      </c>
      <c r="AF537" s="6">
        <v>123</v>
      </c>
      <c r="AH537" s="17">
        <v>535</v>
      </c>
      <c r="AI537" s="6">
        <v>6.13</v>
      </c>
      <c r="AJ537" s="6">
        <v>3.4857999999999998</v>
      </c>
      <c r="AK537" s="6">
        <v>3.0969000000000002</v>
      </c>
      <c r="AL537" s="6">
        <v>123</v>
      </c>
      <c r="AO537" s="17">
        <v>535</v>
      </c>
      <c r="AP537" s="6">
        <v>1.15188</v>
      </c>
      <c r="AQ537" s="19">
        <v>-2.4573</v>
      </c>
      <c r="AR537" s="6">
        <v>0.58189999999999997</v>
      </c>
      <c r="AS537" s="6">
        <v>123</v>
      </c>
      <c r="AU537" s="17">
        <v>535</v>
      </c>
      <c r="AV537" s="6">
        <v>0.60567000000000004</v>
      </c>
      <c r="AW537" s="19">
        <v>-2.4573</v>
      </c>
      <c r="AX537" s="6">
        <v>0.58189999999999997</v>
      </c>
      <c r="AY537" s="6">
        <v>123</v>
      </c>
    </row>
    <row r="538" spans="28:51" x14ac:dyDescent="0.25">
      <c r="AB538" s="17">
        <v>536</v>
      </c>
      <c r="AC538" s="6">
        <v>3.22438</v>
      </c>
      <c r="AD538" s="6">
        <v>14.275600000000001</v>
      </c>
      <c r="AE538" s="6">
        <v>3.0979000000000001</v>
      </c>
      <c r="AF538" s="6">
        <v>123</v>
      </c>
      <c r="AH538" s="17">
        <v>536</v>
      </c>
      <c r="AI538" s="6">
        <v>6.1321000000000003</v>
      </c>
      <c r="AJ538" s="6">
        <v>14.275600000000001</v>
      </c>
      <c r="AK538" s="6">
        <v>3.0979000000000001</v>
      </c>
      <c r="AL538" s="6">
        <v>123</v>
      </c>
      <c r="AO538" s="17">
        <v>536</v>
      </c>
      <c r="AP538" s="6">
        <v>1.1518200000000001</v>
      </c>
      <c r="AQ538" s="6">
        <v>0.21959999999999999</v>
      </c>
      <c r="AR538" s="6">
        <v>0.58189999999999997</v>
      </c>
      <c r="AS538" s="6">
        <v>123</v>
      </c>
      <c r="AU538" s="17">
        <v>536</v>
      </c>
      <c r="AV538" s="6">
        <v>0.60563999999999996</v>
      </c>
      <c r="AW538" s="6">
        <v>0.21959999999999999</v>
      </c>
      <c r="AX538" s="6">
        <v>0.58189999999999997</v>
      </c>
      <c r="AY538" s="6">
        <v>123</v>
      </c>
    </row>
    <row r="539" spans="28:51" x14ac:dyDescent="0.25">
      <c r="AB539" s="17">
        <v>537</v>
      </c>
      <c r="AC539" s="6">
        <v>3.20418</v>
      </c>
      <c r="AD539" s="6">
        <v>12.048500000000001</v>
      </c>
      <c r="AE539" s="6">
        <v>3.0785</v>
      </c>
      <c r="AF539" s="6">
        <v>123</v>
      </c>
      <c r="AH539" s="17">
        <v>537</v>
      </c>
      <c r="AI539" s="6">
        <v>6.0937000000000001</v>
      </c>
      <c r="AJ539" s="6">
        <v>12.048500000000001</v>
      </c>
      <c r="AK539" s="6">
        <v>3.0785</v>
      </c>
      <c r="AL539" s="6">
        <v>123</v>
      </c>
      <c r="AO539" s="17">
        <v>537</v>
      </c>
      <c r="AP539" s="6">
        <v>1.1444300000000001</v>
      </c>
      <c r="AQ539" s="6">
        <v>1.669E-2</v>
      </c>
      <c r="AR539" s="6">
        <v>0.57820000000000005</v>
      </c>
      <c r="AS539" s="6">
        <v>123</v>
      </c>
      <c r="AU539" s="17">
        <v>537</v>
      </c>
      <c r="AV539" s="6">
        <v>0.60175999999999996</v>
      </c>
      <c r="AW539" s="6">
        <v>1.669E-2</v>
      </c>
      <c r="AX539" s="6">
        <v>0.57820000000000005</v>
      </c>
      <c r="AY539" s="6">
        <v>123</v>
      </c>
    </row>
    <row r="540" spans="28:51" x14ac:dyDescent="0.25">
      <c r="AB540" s="17">
        <v>538</v>
      </c>
      <c r="AC540" s="6">
        <v>3.2041499999999998</v>
      </c>
      <c r="AD540" s="6">
        <v>3.0983000000000001</v>
      </c>
      <c r="AE540" s="6">
        <v>3.0785</v>
      </c>
      <c r="AF540" s="6">
        <v>123</v>
      </c>
      <c r="AH540" s="17">
        <v>538</v>
      </c>
      <c r="AI540" s="6">
        <v>6.0937000000000001</v>
      </c>
      <c r="AJ540" s="6">
        <v>3.0983000000000001</v>
      </c>
      <c r="AK540" s="6">
        <v>3.0785</v>
      </c>
      <c r="AL540" s="6">
        <v>123</v>
      </c>
      <c r="AO540" s="17">
        <v>538</v>
      </c>
      <c r="AP540" s="6">
        <v>1.1453100000000001</v>
      </c>
      <c r="AQ540" s="19">
        <v>-1.3275999999999999</v>
      </c>
      <c r="AR540" s="6">
        <v>0.5786</v>
      </c>
      <c r="AS540" s="6">
        <v>123</v>
      </c>
      <c r="AU540" s="17">
        <v>538</v>
      </c>
      <c r="AV540" s="6">
        <v>0.60221999999999998</v>
      </c>
      <c r="AW540" s="19">
        <v>-1.3275999999999999</v>
      </c>
      <c r="AX540" s="6">
        <v>0.5786</v>
      </c>
      <c r="AY540" s="6">
        <v>123</v>
      </c>
    </row>
    <row r="541" spans="28:51" x14ac:dyDescent="0.25">
      <c r="AB541" s="17">
        <v>539</v>
      </c>
      <c r="AC541" s="6">
        <v>3.2170800000000002</v>
      </c>
      <c r="AD541" s="6">
        <v>5.5655999999999999</v>
      </c>
      <c r="AE541" s="6">
        <v>3.0909</v>
      </c>
      <c r="AF541" s="6">
        <v>123</v>
      </c>
      <c r="AH541" s="17">
        <v>539</v>
      </c>
      <c r="AI541" s="6">
        <v>6.1181999999999999</v>
      </c>
      <c r="AJ541" s="6">
        <v>5.5655999999999999</v>
      </c>
      <c r="AK541" s="6">
        <v>3.0909</v>
      </c>
      <c r="AL541" s="6">
        <v>123</v>
      </c>
      <c r="AO541" s="17">
        <v>539</v>
      </c>
      <c r="AP541" s="6">
        <v>1.1478299999999999</v>
      </c>
      <c r="AQ541" s="19">
        <v>-1.1169</v>
      </c>
      <c r="AR541" s="6">
        <v>0.57989999999999997</v>
      </c>
      <c r="AS541" s="6">
        <v>123</v>
      </c>
      <c r="AU541" s="17">
        <v>539</v>
      </c>
      <c r="AV541" s="6">
        <v>0.60355000000000003</v>
      </c>
      <c r="AW541" s="19">
        <v>-1.1169</v>
      </c>
      <c r="AX541" s="6">
        <v>0.57989999999999997</v>
      </c>
      <c r="AY541" s="6">
        <v>123</v>
      </c>
    </row>
    <row r="542" spans="28:51" x14ac:dyDescent="0.25">
      <c r="AB542" s="17">
        <v>540</v>
      </c>
      <c r="AC542" s="6">
        <v>5.1229199999999997</v>
      </c>
      <c r="AD542" s="6">
        <v>14.5212</v>
      </c>
      <c r="AE542" s="6">
        <v>4.9219999999999997</v>
      </c>
      <c r="AF542" s="6">
        <v>123</v>
      </c>
      <c r="AH542" s="17">
        <v>540</v>
      </c>
      <c r="AI542" s="6">
        <v>9.7428000000000008</v>
      </c>
      <c r="AJ542" s="6">
        <v>14.5212</v>
      </c>
      <c r="AK542" s="6">
        <v>4.9219999999999997</v>
      </c>
      <c r="AL542" s="6">
        <v>123</v>
      </c>
      <c r="AO542" s="17">
        <v>540</v>
      </c>
      <c r="AP542" s="6">
        <v>1.81978</v>
      </c>
      <c r="AQ542" s="19">
        <v>-0.59970000000000001</v>
      </c>
      <c r="AR542" s="6">
        <v>0.91930000000000001</v>
      </c>
      <c r="AS542" s="6">
        <v>123</v>
      </c>
      <c r="AU542" s="17">
        <v>540</v>
      </c>
      <c r="AV542" s="6">
        <v>0.95687</v>
      </c>
      <c r="AW542" s="19">
        <v>-0.59970000000000001</v>
      </c>
      <c r="AX542" s="6">
        <v>0.91930000000000001</v>
      </c>
      <c r="AY542" s="6">
        <v>123</v>
      </c>
    </row>
    <row r="543" spans="28:51" x14ac:dyDescent="0.25">
      <c r="AB543" s="17">
        <v>541</v>
      </c>
      <c r="AC543" s="6">
        <v>3.21427</v>
      </c>
      <c r="AD543" s="19">
        <v>-1.7809999999999999</v>
      </c>
      <c r="AE543" s="6">
        <v>3.0882000000000001</v>
      </c>
      <c r="AF543" s="6">
        <v>123</v>
      </c>
      <c r="AH543" s="17">
        <v>541</v>
      </c>
      <c r="AI543" s="6">
        <v>6.1128999999999998</v>
      </c>
      <c r="AJ543" s="19">
        <v>-1.7809999999999999</v>
      </c>
      <c r="AK543" s="6">
        <v>3.0882000000000001</v>
      </c>
      <c r="AL543" s="6">
        <v>123</v>
      </c>
      <c r="AO543" s="17">
        <v>541</v>
      </c>
      <c r="AP543" s="6">
        <v>1.1431</v>
      </c>
      <c r="AQ543" s="6">
        <v>1.8388</v>
      </c>
      <c r="AR543" s="6">
        <v>0.57750000000000001</v>
      </c>
      <c r="AS543" s="6">
        <v>123</v>
      </c>
      <c r="AU543" s="17">
        <v>541</v>
      </c>
      <c r="AV543" s="6">
        <v>0.60106000000000004</v>
      </c>
      <c r="AW543" s="6">
        <v>1.8388</v>
      </c>
      <c r="AX543" s="6">
        <v>0.57750000000000001</v>
      </c>
      <c r="AY543" s="6">
        <v>123</v>
      </c>
    </row>
    <row r="544" spans="28:51" x14ac:dyDescent="0.25">
      <c r="AB544" s="17">
        <v>542</v>
      </c>
      <c r="AC544" s="6">
        <v>3.2296999999999998</v>
      </c>
      <c r="AD544" s="6">
        <v>8.1615000000000002</v>
      </c>
      <c r="AE544" s="6">
        <v>3.1030000000000002</v>
      </c>
      <c r="AF544" s="6">
        <v>123</v>
      </c>
      <c r="AH544" s="17">
        <v>542</v>
      </c>
      <c r="AI544" s="6">
        <v>6.1422999999999996</v>
      </c>
      <c r="AJ544" s="6">
        <v>8.1615000000000002</v>
      </c>
      <c r="AK544" s="6">
        <v>3.1030000000000002</v>
      </c>
      <c r="AL544" s="6">
        <v>123</v>
      </c>
      <c r="AO544" s="17">
        <v>542</v>
      </c>
      <c r="AP544" s="6">
        <v>1.15554</v>
      </c>
      <c r="AQ544" s="6">
        <v>2.3820999999999999</v>
      </c>
      <c r="AR544" s="6">
        <v>0.58379999999999999</v>
      </c>
      <c r="AS544" s="6">
        <v>123</v>
      </c>
      <c r="AU544" s="17">
        <v>542</v>
      </c>
      <c r="AV544" s="6">
        <v>0.60760000000000003</v>
      </c>
      <c r="AW544" s="6">
        <v>2.3820999999999999</v>
      </c>
      <c r="AX544" s="6">
        <v>0.58379999999999999</v>
      </c>
      <c r="AY544" s="6">
        <v>123</v>
      </c>
    </row>
    <row r="545" spans="28:51" x14ac:dyDescent="0.25">
      <c r="AB545" s="17">
        <v>543</v>
      </c>
      <c r="AC545" s="6">
        <v>3.21014</v>
      </c>
      <c r="AD545" s="19">
        <v>-3.3921000000000001</v>
      </c>
      <c r="AE545" s="6">
        <v>3.0842000000000001</v>
      </c>
      <c r="AF545" s="6">
        <v>123</v>
      </c>
      <c r="AH545" s="17">
        <v>543</v>
      </c>
      <c r="AI545" s="6">
        <v>6.1051000000000002</v>
      </c>
      <c r="AJ545" s="19">
        <v>-3.3921000000000001</v>
      </c>
      <c r="AK545" s="6">
        <v>3.0842000000000001</v>
      </c>
      <c r="AL545" s="6">
        <v>123</v>
      </c>
      <c r="AO545" s="17">
        <v>543</v>
      </c>
      <c r="AP545" s="6">
        <v>1.1488400000000001</v>
      </c>
      <c r="AQ545" s="6">
        <v>1.7009000000000001</v>
      </c>
      <c r="AR545" s="6">
        <v>0.58040000000000003</v>
      </c>
      <c r="AS545" s="6">
        <v>123</v>
      </c>
      <c r="AU545" s="17">
        <v>543</v>
      </c>
      <c r="AV545" s="6">
        <v>0.60407999999999995</v>
      </c>
      <c r="AW545" s="6">
        <v>1.7009000000000001</v>
      </c>
      <c r="AX545" s="6">
        <v>0.58040000000000003</v>
      </c>
      <c r="AY545" s="6">
        <v>123</v>
      </c>
    </row>
    <row r="546" spans="28:51" x14ac:dyDescent="0.25">
      <c r="AB546" s="17">
        <v>544</v>
      </c>
      <c r="AC546" s="6">
        <v>3.2014300000000002</v>
      </c>
      <c r="AD546" s="6">
        <v>0.27979999999999999</v>
      </c>
      <c r="AE546" s="6">
        <v>3.0758999999999999</v>
      </c>
      <c r="AF546" s="6">
        <v>123</v>
      </c>
      <c r="AH546" s="17">
        <v>544</v>
      </c>
      <c r="AI546" s="6">
        <v>6.0884999999999998</v>
      </c>
      <c r="AJ546" s="6">
        <v>0.27979999999999999</v>
      </c>
      <c r="AK546" s="6">
        <v>3.0758999999999999</v>
      </c>
      <c r="AL546" s="6">
        <v>123</v>
      </c>
      <c r="AO546" s="17">
        <v>544</v>
      </c>
      <c r="AP546" s="6">
        <v>1.14253</v>
      </c>
      <c r="AQ546" s="6">
        <v>1.5844</v>
      </c>
      <c r="AR546" s="6">
        <v>0.57720000000000005</v>
      </c>
      <c r="AS546" s="6">
        <v>123</v>
      </c>
      <c r="AU546" s="17">
        <v>544</v>
      </c>
      <c r="AV546" s="6">
        <v>0.60075999999999996</v>
      </c>
      <c r="AW546" s="6">
        <v>1.5844</v>
      </c>
      <c r="AX546" s="6">
        <v>0.57720000000000005</v>
      </c>
      <c r="AY546" s="6">
        <v>123</v>
      </c>
    </row>
    <row r="547" spans="28:51" x14ac:dyDescent="0.25">
      <c r="AB547" s="17">
        <v>545</v>
      </c>
      <c r="AC547" s="6">
        <v>3.2141299999999999</v>
      </c>
      <c r="AD547" s="6">
        <v>2.7658999999999998</v>
      </c>
      <c r="AE547" s="6">
        <v>3.0880999999999998</v>
      </c>
      <c r="AF547" s="6">
        <v>123</v>
      </c>
      <c r="AH547" s="17">
        <v>545</v>
      </c>
      <c r="AI547" s="6">
        <v>6.1125999999999996</v>
      </c>
      <c r="AJ547" s="6">
        <v>2.7658999999999998</v>
      </c>
      <c r="AK547" s="6">
        <v>3.0880999999999998</v>
      </c>
      <c r="AL547" s="6">
        <v>123</v>
      </c>
      <c r="AO547" s="17">
        <v>545</v>
      </c>
      <c r="AP547" s="6">
        <v>1.14655</v>
      </c>
      <c r="AQ547" s="6">
        <v>1.0519000000000001</v>
      </c>
      <c r="AR547" s="6">
        <v>0.57920000000000005</v>
      </c>
      <c r="AS547" s="6">
        <v>123</v>
      </c>
      <c r="AU547" s="17">
        <v>545</v>
      </c>
      <c r="AV547" s="6">
        <v>0.60287000000000002</v>
      </c>
      <c r="AW547" s="6">
        <v>1.0519000000000001</v>
      </c>
      <c r="AX547" s="6">
        <v>0.57920000000000005</v>
      </c>
      <c r="AY547" s="6">
        <v>123</v>
      </c>
    </row>
    <row r="548" spans="28:51" x14ac:dyDescent="0.25">
      <c r="AB548" s="17">
        <v>546</v>
      </c>
      <c r="AC548" s="6">
        <v>3.2320700000000002</v>
      </c>
      <c r="AD548" s="6">
        <v>3.4521000000000002</v>
      </c>
      <c r="AE548" s="6">
        <v>3.1053000000000002</v>
      </c>
      <c r="AF548" s="6">
        <v>123</v>
      </c>
      <c r="AH548" s="17">
        <v>546</v>
      </c>
      <c r="AI548" s="6">
        <v>6.1467999999999998</v>
      </c>
      <c r="AJ548" s="6">
        <v>3.4521000000000002</v>
      </c>
      <c r="AK548" s="6">
        <v>3.1053000000000002</v>
      </c>
      <c r="AL548" s="6">
        <v>123</v>
      </c>
      <c r="AO548" s="17">
        <v>546</v>
      </c>
      <c r="AP548" s="6">
        <v>1.1451100000000001</v>
      </c>
      <c r="AQ548" s="6">
        <v>1.1173999999999999</v>
      </c>
      <c r="AR548" s="6">
        <v>0.57850000000000001</v>
      </c>
      <c r="AS548" s="6">
        <v>123</v>
      </c>
      <c r="AU548" s="17">
        <v>546</v>
      </c>
      <c r="AV548" s="6">
        <v>0.60211999999999999</v>
      </c>
      <c r="AW548" s="6">
        <v>1.1173999999999999</v>
      </c>
      <c r="AX548" s="6">
        <v>0.57850000000000001</v>
      </c>
      <c r="AY548" s="6">
        <v>123</v>
      </c>
    </row>
    <row r="549" spans="28:51" x14ac:dyDescent="0.25">
      <c r="AB549" s="17">
        <v>547</v>
      </c>
      <c r="AC549" s="6">
        <v>3.2223000000000002</v>
      </c>
      <c r="AD549" s="19">
        <v>-1.6191</v>
      </c>
      <c r="AE549" s="6">
        <v>3.0958999999999999</v>
      </c>
      <c r="AF549" s="6">
        <v>123</v>
      </c>
      <c r="AH549" s="17">
        <v>547</v>
      </c>
      <c r="AI549" s="6">
        <v>6.1281999999999996</v>
      </c>
      <c r="AJ549" s="19">
        <v>-1.6191</v>
      </c>
      <c r="AK549" s="6">
        <v>3.0958999999999999</v>
      </c>
      <c r="AL549" s="6">
        <v>123</v>
      </c>
      <c r="AO549" s="17">
        <v>547</v>
      </c>
      <c r="AP549" s="6">
        <v>1.15069</v>
      </c>
      <c r="AQ549" s="6">
        <v>2.1741999999999999</v>
      </c>
      <c r="AR549" s="6">
        <v>0.58130000000000004</v>
      </c>
      <c r="AS549" s="6">
        <v>123</v>
      </c>
      <c r="AU549" s="17">
        <v>547</v>
      </c>
      <c r="AV549" s="6">
        <v>0.60504999999999998</v>
      </c>
      <c r="AW549" s="6">
        <v>2.1741999999999999</v>
      </c>
      <c r="AX549" s="6">
        <v>0.58130000000000004</v>
      </c>
      <c r="AY549" s="6">
        <v>123</v>
      </c>
    </row>
    <row r="550" spans="28:51" x14ac:dyDescent="0.25">
      <c r="AB550" s="17">
        <v>548</v>
      </c>
      <c r="AC550" s="6">
        <v>3.22627</v>
      </c>
      <c r="AD550" s="6">
        <v>2.9165999999999999</v>
      </c>
      <c r="AE550" s="6">
        <v>3.0996999999999999</v>
      </c>
      <c r="AF550" s="6">
        <v>123</v>
      </c>
      <c r="AH550" s="17">
        <v>548</v>
      </c>
      <c r="AI550" s="6">
        <v>6.1356999999999999</v>
      </c>
      <c r="AJ550" s="6">
        <v>2.9165999999999999</v>
      </c>
      <c r="AK550" s="6">
        <v>3.0996999999999999</v>
      </c>
      <c r="AL550" s="6">
        <v>123</v>
      </c>
      <c r="AO550" s="17">
        <v>548</v>
      </c>
      <c r="AP550" s="6">
        <v>1.14811</v>
      </c>
      <c r="AQ550" s="6">
        <v>1.7528999999999999</v>
      </c>
      <c r="AR550" s="6">
        <v>0.57999999999999996</v>
      </c>
      <c r="AS550" s="6">
        <v>123</v>
      </c>
      <c r="AU550" s="17">
        <v>548</v>
      </c>
      <c r="AV550" s="6">
        <v>0.60368999999999995</v>
      </c>
      <c r="AW550" s="6">
        <v>1.7528999999999999</v>
      </c>
      <c r="AX550" s="6">
        <v>0.57999999999999996</v>
      </c>
      <c r="AY550" s="6">
        <v>123</v>
      </c>
    </row>
    <row r="551" spans="28:51" x14ac:dyDescent="0.25">
      <c r="AB551" s="17">
        <v>549</v>
      </c>
      <c r="AC551" s="6">
        <v>3.2379500000000001</v>
      </c>
      <c r="AD551" s="19">
        <v>-6.3956</v>
      </c>
      <c r="AE551" s="6">
        <v>3.1110000000000002</v>
      </c>
      <c r="AF551" s="6">
        <v>123</v>
      </c>
      <c r="AH551" s="17">
        <v>549</v>
      </c>
      <c r="AI551" s="6">
        <v>6.1578999999999997</v>
      </c>
      <c r="AJ551" s="19">
        <v>-6.3956</v>
      </c>
      <c r="AK551" s="6">
        <v>3.1110000000000002</v>
      </c>
      <c r="AL551" s="6">
        <v>123</v>
      </c>
      <c r="AO551" s="17">
        <v>549</v>
      </c>
      <c r="AP551" s="6">
        <v>1.16194</v>
      </c>
      <c r="AQ551" s="6">
        <v>1.5532999999999999</v>
      </c>
      <c r="AR551" s="6">
        <v>0.58699999999999997</v>
      </c>
      <c r="AS551" s="6">
        <v>123</v>
      </c>
      <c r="AU551" s="17">
        <v>549</v>
      </c>
      <c r="AV551" s="6">
        <v>0.61097000000000001</v>
      </c>
      <c r="AW551" s="6">
        <v>1.5532999999999999</v>
      </c>
      <c r="AX551" s="6">
        <v>0.58699999999999997</v>
      </c>
      <c r="AY551" s="6">
        <v>123</v>
      </c>
    </row>
    <row r="552" spans="28:51" x14ac:dyDescent="0.25">
      <c r="AB552" s="17">
        <v>550</v>
      </c>
      <c r="AC552" s="6">
        <v>3.2255799999999999</v>
      </c>
      <c r="AD552" s="6">
        <v>1.7474000000000001</v>
      </c>
      <c r="AE552" s="6">
        <v>3.0991</v>
      </c>
      <c r="AF552" s="6">
        <v>123</v>
      </c>
      <c r="AH552" s="17">
        <v>550</v>
      </c>
      <c r="AI552" s="6">
        <v>6.1344000000000003</v>
      </c>
      <c r="AJ552" s="6">
        <v>1.7474000000000001</v>
      </c>
      <c r="AK552" s="6">
        <v>3.0991</v>
      </c>
      <c r="AL552" s="6">
        <v>123</v>
      </c>
      <c r="AO552" s="17">
        <v>550</v>
      </c>
      <c r="AP552" s="6">
        <v>1.1399699999999999</v>
      </c>
      <c r="AQ552" s="6">
        <v>1.4732000000000001</v>
      </c>
      <c r="AR552" s="6">
        <v>0.57589999999999997</v>
      </c>
      <c r="AS552" s="6">
        <v>123</v>
      </c>
      <c r="AU552" s="17">
        <v>550</v>
      </c>
      <c r="AV552" s="6">
        <v>0.59941999999999995</v>
      </c>
      <c r="AW552" s="6">
        <v>1.4732000000000001</v>
      </c>
      <c r="AX552" s="6">
        <v>0.57589999999999997</v>
      </c>
      <c r="AY552" s="6">
        <v>123</v>
      </c>
    </row>
    <row r="553" spans="28:51" x14ac:dyDescent="0.25">
      <c r="AB553" s="17">
        <v>551</v>
      </c>
      <c r="AC553" s="6">
        <v>3.2072699999999998</v>
      </c>
      <c r="AD553" s="6">
        <v>4.3358999999999996</v>
      </c>
      <c r="AE553" s="6">
        <v>3.0815000000000001</v>
      </c>
      <c r="AF553" s="6">
        <v>123</v>
      </c>
      <c r="AH553" s="17">
        <v>551</v>
      </c>
      <c r="AI553" s="6">
        <v>6.0995999999999997</v>
      </c>
      <c r="AJ553" s="6">
        <v>4.3358999999999996</v>
      </c>
      <c r="AK553" s="6">
        <v>3.0815000000000001</v>
      </c>
      <c r="AL553" s="6">
        <v>123</v>
      </c>
      <c r="AO553" s="17">
        <v>551</v>
      </c>
      <c r="AP553" s="6">
        <v>1.1410100000000001</v>
      </c>
      <c r="AQ553" s="6">
        <v>3.3317999999999999</v>
      </c>
      <c r="AR553" s="6">
        <v>0.57640000000000002</v>
      </c>
      <c r="AS553" s="6">
        <v>123</v>
      </c>
      <c r="AU553" s="17">
        <v>551</v>
      </c>
      <c r="AV553" s="6">
        <v>0.59996000000000005</v>
      </c>
      <c r="AW553" s="6">
        <v>3.3317999999999999</v>
      </c>
      <c r="AX553" s="6">
        <v>0.57640000000000002</v>
      </c>
      <c r="AY553" s="6">
        <v>123</v>
      </c>
    </row>
    <row r="554" spans="28:51" x14ac:dyDescent="0.25">
      <c r="AB554" s="17">
        <v>552</v>
      </c>
      <c r="AC554" s="6">
        <v>3.2097600000000002</v>
      </c>
      <c r="AD554" s="6">
        <v>5.5018000000000002</v>
      </c>
      <c r="AE554" s="6">
        <v>3.0838999999999999</v>
      </c>
      <c r="AF554" s="6">
        <v>123</v>
      </c>
      <c r="AH554" s="17">
        <v>552</v>
      </c>
      <c r="AI554" s="6">
        <v>6.1043000000000003</v>
      </c>
      <c r="AJ554" s="6">
        <v>5.5018000000000002</v>
      </c>
      <c r="AK554" s="6">
        <v>3.0838999999999999</v>
      </c>
      <c r="AL554" s="6">
        <v>123</v>
      </c>
      <c r="AO554" s="17">
        <v>552</v>
      </c>
      <c r="AP554" s="6">
        <v>1.14408</v>
      </c>
      <c r="AQ554" s="6">
        <v>1.8064</v>
      </c>
      <c r="AR554" s="6">
        <v>0.57799999999999996</v>
      </c>
      <c r="AS554" s="6">
        <v>123</v>
      </c>
      <c r="AU554" s="17">
        <v>552</v>
      </c>
      <c r="AV554" s="6">
        <v>0.60158</v>
      </c>
      <c r="AW554" s="6">
        <v>1.8064</v>
      </c>
      <c r="AX554" s="6">
        <v>0.57799999999999996</v>
      </c>
      <c r="AY554" s="6">
        <v>123</v>
      </c>
    </row>
    <row r="555" spans="28:51" x14ac:dyDescent="0.25">
      <c r="AB555" s="17">
        <v>553</v>
      </c>
      <c r="AC555" s="6">
        <v>3.2100900000000001</v>
      </c>
      <c r="AD555" s="6">
        <v>10.720599999999999</v>
      </c>
      <c r="AE555" s="6">
        <v>3.0842000000000001</v>
      </c>
      <c r="AF555" s="6">
        <v>123</v>
      </c>
      <c r="AH555" s="17">
        <v>553</v>
      </c>
      <c r="AI555" s="6">
        <v>6.1050000000000004</v>
      </c>
      <c r="AJ555" s="6">
        <v>10.720599999999999</v>
      </c>
      <c r="AK555" s="6">
        <v>3.0842000000000001</v>
      </c>
      <c r="AL555" s="6">
        <v>123</v>
      </c>
      <c r="AO555" s="17">
        <v>553</v>
      </c>
      <c r="AP555" s="6">
        <v>1.1430899999999999</v>
      </c>
      <c r="AQ555" s="6">
        <v>1.8532999999999999</v>
      </c>
      <c r="AR555" s="6">
        <v>0.57750000000000001</v>
      </c>
      <c r="AS555" s="6">
        <v>123</v>
      </c>
      <c r="AU555" s="17">
        <v>553</v>
      </c>
      <c r="AV555" s="6">
        <v>0.60104999999999997</v>
      </c>
      <c r="AW555" s="6">
        <v>1.8532999999999999</v>
      </c>
      <c r="AX555" s="6">
        <v>0.57750000000000001</v>
      </c>
      <c r="AY555" s="6">
        <v>123</v>
      </c>
    </row>
    <row r="556" spans="28:51" x14ac:dyDescent="0.25">
      <c r="AB556" s="17">
        <v>554</v>
      </c>
      <c r="AC556" s="6">
        <v>3.19936</v>
      </c>
      <c r="AD556" s="6">
        <v>7.8695000000000004</v>
      </c>
      <c r="AE556" s="6">
        <v>3.0739000000000001</v>
      </c>
      <c r="AF556" s="6">
        <v>123</v>
      </c>
      <c r="AH556" s="17">
        <v>554</v>
      </c>
      <c r="AI556" s="6">
        <v>6.0846</v>
      </c>
      <c r="AJ556" s="6">
        <v>7.8695000000000004</v>
      </c>
      <c r="AK556" s="6">
        <v>3.0739000000000001</v>
      </c>
      <c r="AL556" s="6">
        <v>123</v>
      </c>
      <c r="AO556" s="17">
        <v>554</v>
      </c>
      <c r="AP556" s="6">
        <v>1.14272</v>
      </c>
      <c r="AQ556" s="6">
        <v>2.1175000000000002</v>
      </c>
      <c r="AR556" s="6">
        <v>0.57730000000000004</v>
      </c>
      <c r="AS556" s="6">
        <v>123</v>
      </c>
      <c r="AU556" s="17">
        <v>554</v>
      </c>
      <c r="AV556" s="6">
        <v>0.60085999999999995</v>
      </c>
      <c r="AW556" s="6">
        <v>2.1175000000000002</v>
      </c>
      <c r="AX556" s="6">
        <v>0.57730000000000004</v>
      </c>
      <c r="AY556" s="6">
        <v>123</v>
      </c>
    </row>
    <row r="557" spans="28:51" x14ac:dyDescent="0.25">
      <c r="AB557" s="17">
        <v>555</v>
      </c>
      <c r="AC557" s="6">
        <v>3.2034099999999999</v>
      </c>
      <c r="AD557" s="19">
        <v>-3.83</v>
      </c>
      <c r="AE557" s="6">
        <v>3.0777999999999999</v>
      </c>
      <c r="AF557" s="6">
        <v>123</v>
      </c>
      <c r="AH557" s="17">
        <v>555</v>
      </c>
      <c r="AI557" s="6">
        <v>6.0922999999999998</v>
      </c>
      <c r="AJ557" s="19">
        <v>-3.83</v>
      </c>
      <c r="AK557" s="6">
        <v>3.0777999999999999</v>
      </c>
      <c r="AL557" s="6">
        <v>123</v>
      </c>
      <c r="AO557" s="17">
        <v>555</v>
      </c>
      <c r="AP557" s="6">
        <v>1.1413899999999999</v>
      </c>
      <c r="AQ557" s="19">
        <v>-8.1499999999999993E-3</v>
      </c>
      <c r="AR557" s="6">
        <v>0.5766</v>
      </c>
      <c r="AS557" s="6">
        <v>123</v>
      </c>
      <c r="AU557" s="17">
        <v>555</v>
      </c>
      <c r="AV557" s="6">
        <v>0.60016000000000003</v>
      </c>
      <c r="AW557" s="19">
        <v>-8.1499999999999993E-3</v>
      </c>
      <c r="AX557" s="6">
        <v>0.5766</v>
      </c>
      <c r="AY557" s="6">
        <v>123</v>
      </c>
    </row>
    <row r="558" spans="28:51" x14ac:dyDescent="0.25">
      <c r="AB558" s="17">
        <v>556</v>
      </c>
      <c r="AC558" s="6">
        <v>3.1915399999999998</v>
      </c>
      <c r="AD558" s="6">
        <v>0.42970000000000003</v>
      </c>
      <c r="AE558" s="6">
        <v>3.0663999999999998</v>
      </c>
      <c r="AF558" s="6">
        <v>123</v>
      </c>
      <c r="AH558" s="17">
        <v>556</v>
      </c>
      <c r="AI558" s="6">
        <v>6.0697000000000001</v>
      </c>
      <c r="AJ558" s="6">
        <v>0.42970000000000003</v>
      </c>
      <c r="AK558" s="6">
        <v>3.0663999999999998</v>
      </c>
      <c r="AL558" s="6">
        <v>123</v>
      </c>
      <c r="AO558" s="17">
        <v>556</v>
      </c>
      <c r="AP558" s="6">
        <v>1.1353899999999999</v>
      </c>
      <c r="AQ558" s="6">
        <v>1.4305000000000001</v>
      </c>
      <c r="AR558" s="6">
        <v>0.5736</v>
      </c>
      <c r="AS558" s="6">
        <v>123</v>
      </c>
      <c r="AU558" s="17">
        <v>556</v>
      </c>
      <c r="AV558" s="6">
        <v>0.59699999999999998</v>
      </c>
      <c r="AW558" s="6">
        <v>1.4305000000000001</v>
      </c>
      <c r="AX558" s="6">
        <v>0.5736</v>
      </c>
      <c r="AY558" s="6">
        <v>123</v>
      </c>
    </row>
    <row r="559" spans="28:51" x14ac:dyDescent="0.25">
      <c r="AB559" s="17">
        <v>557</v>
      </c>
      <c r="AC559" s="6">
        <v>3.2203300000000001</v>
      </c>
      <c r="AD559" s="6">
        <v>1.5290999999999999</v>
      </c>
      <c r="AE559" s="6">
        <v>3.0939999999999999</v>
      </c>
      <c r="AF559" s="6">
        <v>123</v>
      </c>
      <c r="AH559" s="17">
        <v>557</v>
      </c>
      <c r="AI559" s="6">
        <v>6.1243999999999996</v>
      </c>
      <c r="AJ559" s="6">
        <v>1.5290999999999999</v>
      </c>
      <c r="AK559" s="6">
        <v>3.0939999999999999</v>
      </c>
      <c r="AL559" s="6">
        <v>123</v>
      </c>
      <c r="AO559" s="17">
        <v>557</v>
      </c>
      <c r="AP559" s="6">
        <v>1.1453500000000001</v>
      </c>
      <c r="AQ559" s="6">
        <v>2.1002999999999998</v>
      </c>
      <c r="AR559" s="6">
        <v>0.5786</v>
      </c>
      <c r="AS559" s="6">
        <v>123</v>
      </c>
      <c r="AU559" s="17">
        <v>557</v>
      </c>
      <c r="AV559" s="6">
        <v>0.60224999999999995</v>
      </c>
      <c r="AW559" s="6">
        <v>2.1002999999999998</v>
      </c>
      <c r="AX559" s="6">
        <v>0.5786</v>
      </c>
      <c r="AY559" s="6">
        <v>123</v>
      </c>
    </row>
    <row r="560" spans="28:51" x14ac:dyDescent="0.25">
      <c r="AB560" s="17">
        <v>558</v>
      </c>
      <c r="AC560" s="6">
        <v>3.2264699999999999</v>
      </c>
      <c r="AD560" s="19">
        <v>-2.6185</v>
      </c>
      <c r="AE560" s="6">
        <v>3.0998999999999999</v>
      </c>
      <c r="AF560" s="6">
        <v>123</v>
      </c>
      <c r="AH560" s="17">
        <v>558</v>
      </c>
      <c r="AI560" s="6">
        <v>6.1360999999999999</v>
      </c>
      <c r="AJ560" s="19">
        <v>-2.6185</v>
      </c>
      <c r="AK560" s="6">
        <v>3.0998999999999999</v>
      </c>
      <c r="AL560" s="6">
        <v>123</v>
      </c>
      <c r="AO560" s="17">
        <v>558</v>
      </c>
      <c r="AP560" s="6">
        <v>1.15143</v>
      </c>
      <c r="AQ560" s="6">
        <v>1.1588000000000001</v>
      </c>
      <c r="AR560" s="6">
        <v>0.58169999999999999</v>
      </c>
      <c r="AS560" s="6">
        <v>123</v>
      </c>
      <c r="AU560" s="17">
        <v>558</v>
      </c>
      <c r="AV560" s="6">
        <v>0.60543999999999998</v>
      </c>
      <c r="AW560" s="6">
        <v>1.1588000000000001</v>
      </c>
      <c r="AX560" s="6">
        <v>0.58169999999999999</v>
      </c>
      <c r="AY560" s="6">
        <v>123</v>
      </c>
    </row>
    <row r="561" spans="28:51" x14ac:dyDescent="0.25">
      <c r="AB561" s="17">
        <v>559</v>
      </c>
      <c r="AC561" s="6">
        <v>3.1888000000000001</v>
      </c>
      <c r="AD561" s="6">
        <v>6.4268999999999998</v>
      </c>
      <c r="AE561" s="6">
        <v>3.0636999999999999</v>
      </c>
      <c r="AF561" s="6">
        <v>123</v>
      </c>
      <c r="AH561" s="17">
        <v>559</v>
      </c>
      <c r="AI561" s="6">
        <v>6.0644999999999998</v>
      </c>
      <c r="AJ561" s="6">
        <v>6.4268999999999998</v>
      </c>
      <c r="AK561" s="6">
        <v>3.0636999999999999</v>
      </c>
      <c r="AL561" s="6">
        <v>123</v>
      </c>
      <c r="AO561" s="17">
        <v>559</v>
      </c>
      <c r="AP561" s="6">
        <v>1.1326400000000001</v>
      </c>
      <c r="AQ561" s="6">
        <v>0.60670000000000002</v>
      </c>
      <c r="AR561" s="6">
        <v>0.57220000000000004</v>
      </c>
      <c r="AS561" s="6">
        <v>123</v>
      </c>
      <c r="AU561" s="17">
        <v>559</v>
      </c>
      <c r="AV561" s="6">
        <v>0.59555999999999998</v>
      </c>
      <c r="AW561" s="6">
        <v>0.60670000000000002</v>
      </c>
      <c r="AX561" s="6">
        <v>0.57220000000000004</v>
      </c>
      <c r="AY561" s="6">
        <v>123</v>
      </c>
    </row>
    <row r="562" spans="28:51" x14ac:dyDescent="0.25">
      <c r="AB562" s="17">
        <v>560</v>
      </c>
      <c r="AC562" s="6">
        <v>3.2134900000000002</v>
      </c>
      <c r="AD562" s="6">
        <v>0.2044</v>
      </c>
      <c r="AE562" s="6">
        <v>3.0874999999999999</v>
      </c>
      <c r="AF562" s="6">
        <v>123</v>
      </c>
      <c r="AH562" s="17">
        <v>560</v>
      </c>
      <c r="AI562" s="6">
        <v>6.1113999999999997</v>
      </c>
      <c r="AJ562" s="6">
        <v>0.2044</v>
      </c>
      <c r="AK562" s="6">
        <v>3.0874999999999999</v>
      </c>
      <c r="AL562" s="6">
        <v>123</v>
      </c>
      <c r="AO562" s="17">
        <v>560</v>
      </c>
      <c r="AP562" s="6">
        <v>1.14618</v>
      </c>
      <c r="AQ562" s="6">
        <v>0.66200000000000003</v>
      </c>
      <c r="AR562" s="6">
        <v>0.57899999999999996</v>
      </c>
      <c r="AS562" s="6">
        <v>123</v>
      </c>
      <c r="AU562" s="17">
        <v>560</v>
      </c>
      <c r="AV562" s="6">
        <v>0.60267999999999999</v>
      </c>
      <c r="AW562" s="6">
        <v>0.66200000000000003</v>
      </c>
      <c r="AX562" s="6">
        <v>0.57899999999999996</v>
      </c>
      <c r="AY562" s="6">
        <v>123</v>
      </c>
    </row>
    <row r="563" spans="28:51" x14ac:dyDescent="0.25">
      <c r="AB563" s="17">
        <v>561</v>
      </c>
      <c r="AC563" s="6">
        <v>3.2025100000000002</v>
      </c>
      <c r="AD563" s="6">
        <v>2.0533000000000001</v>
      </c>
      <c r="AE563" s="6">
        <v>3.0769000000000002</v>
      </c>
      <c r="AF563" s="6">
        <v>123</v>
      </c>
      <c r="AH563" s="17">
        <v>561</v>
      </c>
      <c r="AI563" s="6">
        <v>6.0904999999999996</v>
      </c>
      <c r="AJ563" s="6">
        <v>2.0533000000000001</v>
      </c>
      <c r="AK563" s="6">
        <v>3.0769000000000002</v>
      </c>
      <c r="AL563" s="6">
        <v>123</v>
      </c>
      <c r="AO563" s="17">
        <v>561</v>
      </c>
      <c r="AP563" s="6">
        <v>1.14459</v>
      </c>
      <c r="AQ563" s="6">
        <v>0.20219999999999999</v>
      </c>
      <c r="AR563" s="6">
        <v>0.57820000000000005</v>
      </c>
      <c r="AS563" s="6">
        <v>123</v>
      </c>
      <c r="AU563" s="17">
        <v>561</v>
      </c>
      <c r="AV563" s="6">
        <v>0.60185</v>
      </c>
      <c r="AW563" s="6">
        <v>0.20219999999999999</v>
      </c>
      <c r="AX563" s="6">
        <v>0.57820000000000005</v>
      </c>
      <c r="AY563" s="6">
        <v>123</v>
      </c>
    </row>
    <row r="564" spans="28:51" x14ac:dyDescent="0.25">
      <c r="AB564" s="17">
        <v>562</v>
      </c>
      <c r="AC564" s="6">
        <v>3.2218200000000001</v>
      </c>
      <c r="AD564" s="6">
        <v>9.0059000000000005</v>
      </c>
      <c r="AE564" s="6">
        <v>3.0954999999999999</v>
      </c>
      <c r="AF564" s="6">
        <v>123</v>
      </c>
      <c r="AH564" s="17">
        <v>562</v>
      </c>
      <c r="AI564" s="6">
        <v>6.1273</v>
      </c>
      <c r="AJ564" s="6">
        <v>9.0059000000000005</v>
      </c>
      <c r="AK564" s="6">
        <v>3.0954999999999999</v>
      </c>
      <c r="AL564" s="6">
        <v>123</v>
      </c>
      <c r="AO564" s="17">
        <v>562</v>
      </c>
      <c r="AP564" s="6">
        <v>1.1553899999999999</v>
      </c>
      <c r="AQ564" s="6">
        <v>2.5074000000000001</v>
      </c>
      <c r="AR564" s="6">
        <v>0.5837</v>
      </c>
      <c r="AS564" s="6">
        <v>123</v>
      </c>
      <c r="AU564" s="17">
        <v>562</v>
      </c>
      <c r="AV564" s="6">
        <v>0.60751999999999995</v>
      </c>
      <c r="AW564" s="6">
        <v>2.5074000000000001</v>
      </c>
      <c r="AX564" s="6">
        <v>0.5837</v>
      </c>
      <c r="AY564" s="6">
        <v>123</v>
      </c>
    </row>
    <row r="565" spans="28:51" x14ac:dyDescent="0.25">
      <c r="AB565" s="17">
        <v>563</v>
      </c>
      <c r="AC565" s="6">
        <v>3.2249300000000001</v>
      </c>
      <c r="AD565" s="6">
        <v>2.6781999999999999</v>
      </c>
      <c r="AE565" s="6">
        <v>3.0983999999999998</v>
      </c>
      <c r="AF565" s="6">
        <v>123</v>
      </c>
      <c r="AH565" s="17">
        <v>563</v>
      </c>
      <c r="AI565" s="6">
        <v>6.1332000000000004</v>
      </c>
      <c r="AJ565" s="6">
        <v>2.6781999999999999</v>
      </c>
      <c r="AK565" s="6">
        <v>3.0983999999999998</v>
      </c>
      <c r="AL565" s="6">
        <v>123</v>
      </c>
      <c r="AO565" s="17">
        <v>563</v>
      </c>
      <c r="AP565" s="6">
        <v>1.15076</v>
      </c>
      <c r="AQ565" s="6">
        <v>0.14510000000000001</v>
      </c>
      <c r="AR565" s="6">
        <v>0.58140000000000003</v>
      </c>
      <c r="AS565" s="6">
        <v>123</v>
      </c>
      <c r="AU565" s="17">
        <v>563</v>
      </c>
      <c r="AV565" s="6">
        <v>0.60509000000000002</v>
      </c>
      <c r="AW565" s="6">
        <v>0.14510000000000001</v>
      </c>
      <c r="AX565" s="6">
        <v>0.58140000000000003</v>
      </c>
      <c r="AY565" s="6">
        <v>123</v>
      </c>
    </row>
    <row r="566" spans="28:51" x14ac:dyDescent="0.25">
      <c r="AB566" s="17">
        <v>564</v>
      </c>
      <c r="AC566" s="6">
        <v>3.2202799999999998</v>
      </c>
      <c r="AD566" s="6">
        <v>13.4679</v>
      </c>
      <c r="AE566" s="6">
        <v>3.0939999999999999</v>
      </c>
      <c r="AF566" s="6">
        <v>123</v>
      </c>
      <c r="AH566" s="17">
        <v>564</v>
      </c>
      <c r="AI566" s="6">
        <v>6.1242999999999999</v>
      </c>
      <c r="AJ566" s="6">
        <v>13.4679</v>
      </c>
      <c r="AK566" s="6">
        <v>3.0939999999999999</v>
      </c>
      <c r="AL566" s="6">
        <v>123</v>
      </c>
      <c r="AO566" s="17">
        <v>564</v>
      </c>
      <c r="AP566" s="6">
        <v>1.1502300000000001</v>
      </c>
      <c r="AQ566" s="6">
        <v>2.8220000000000001</v>
      </c>
      <c r="AR566" s="6">
        <v>0.58109999999999995</v>
      </c>
      <c r="AS566" s="6">
        <v>123</v>
      </c>
      <c r="AU566" s="17">
        <v>564</v>
      </c>
      <c r="AV566" s="6">
        <v>0.60480999999999996</v>
      </c>
      <c r="AW566" s="6">
        <v>2.8220000000000001</v>
      </c>
      <c r="AX566" s="6">
        <v>0.58109999999999995</v>
      </c>
      <c r="AY566" s="6">
        <v>123</v>
      </c>
    </row>
    <row r="567" spans="28:51" x14ac:dyDescent="0.25">
      <c r="AB567" s="17">
        <v>565</v>
      </c>
      <c r="AC567" s="6">
        <v>3.2121400000000002</v>
      </c>
      <c r="AD567" s="6">
        <v>11.2409</v>
      </c>
      <c r="AE567" s="6">
        <v>3.0861999999999998</v>
      </c>
      <c r="AF567" s="6">
        <v>123</v>
      </c>
      <c r="AH567" s="17">
        <v>565</v>
      </c>
      <c r="AI567" s="6">
        <v>6.1089000000000002</v>
      </c>
      <c r="AJ567" s="6">
        <v>11.2409</v>
      </c>
      <c r="AK567" s="6">
        <v>3.0861999999999998</v>
      </c>
      <c r="AL567" s="6">
        <v>123</v>
      </c>
      <c r="AO567" s="17">
        <v>565</v>
      </c>
      <c r="AP567" s="6">
        <v>1.1438999999999999</v>
      </c>
      <c r="AQ567" s="6">
        <v>2.6191</v>
      </c>
      <c r="AR567" s="6">
        <v>0.57789999999999997</v>
      </c>
      <c r="AS567" s="6">
        <v>123</v>
      </c>
      <c r="AU567" s="17">
        <v>565</v>
      </c>
      <c r="AV567" s="6">
        <v>0.60148000000000001</v>
      </c>
      <c r="AW567" s="6">
        <v>2.6191</v>
      </c>
      <c r="AX567" s="6">
        <v>0.57789999999999997</v>
      </c>
      <c r="AY567" s="6">
        <v>123</v>
      </c>
    </row>
    <row r="568" spans="28:51" x14ac:dyDescent="0.25">
      <c r="AB568" s="17">
        <v>566</v>
      </c>
      <c r="AC568" s="6">
        <v>3.2093099999999999</v>
      </c>
      <c r="AD568" s="6">
        <v>2.2906</v>
      </c>
      <c r="AE568" s="6">
        <v>3.0834000000000001</v>
      </c>
      <c r="AF568" s="6">
        <v>123</v>
      </c>
      <c r="AH568" s="17">
        <v>566</v>
      </c>
      <c r="AI568" s="6">
        <v>6.1035000000000004</v>
      </c>
      <c r="AJ568" s="6">
        <v>2.2906</v>
      </c>
      <c r="AK568" s="6">
        <v>3.0834000000000001</v>
      </c>
      <c r="AL568" s="6">
        <v>123</v>
      </c>
      <c r="AO568" s="17">
        <v>566</v>
      </c>
      <c r="AP568" s="6">
        <v>1.1459900000000001</v>
      </c>
      <c r="AQ568" s="6">
        <v>1.2747999999999999</v>
      </c>
      <c r="AR568" s="6">
        <v>0.57889999999999997</v>
      </c>
      <c r="AS568" s="6">
        <v>123</v>
      </c>
      <c r="AU568" s="17">
        <v>566</v>
      </c>
      <c r="AV568" s="6">
        <v>0.60258</v>
      </c>
      <c r="AW568" s="6">
        <v>1.2747999999999999</v>
      </c>
      <c r="AX568" s="6">
        <v>0.57889999999999997</v>
      </c>
      <c r="AY568" s="6">
        <v>123</v>
      </c>
    </row>
    <row r="569" spans="28:51" x14ac:dyDescent="0.25">
      <c r="AB569" s="17">
        <v>567</v>
      </c>
      <c r="AC569" s="6">
        <v>3.2076600000000002</v>
      </c>
      <c r="AD569" s="6">
        <v>4.7579000000000002</v>
      </c>
      <c r="AE569" s="6">
        <v>3.0819000000000001</v>
      </c>
      <c r="AF569" s="6">
        <v>123</v>
      </c>
      <c r="AH569" s="17">
        <v>567</v>
      </c>
      <c r="AI569" s="6">
        <v>6.1002999999999998</v>
      </c>
      <c r="AJ569" s="6">
        <v>4.7579000000000002</v>
      </c>
      <c r="AK569" s="6">
        <v>3.0819000000000001</v>
      </c>
      <c r="AL569" s="6">
        <v>123</v>
      </c>
      <c r="AO569" s="17">
        <v>567</v>
      </c>
      <c r="AP569" s="6">
        <v>1.14313</v>
      </c>
      <c r="AQ569" s="6">
        <v>1.4855</v>
      </c>
      <c r="AR569" s="6">
        <v>0.57750000000000001</v>
      </c>
      <c r="AS569" s="6">
        <v>123</v>
      </c>
      <c r="AU569" s="17">
        <v>567</v>
      </c>
      <c r="AV569" s="6">
        <v>0.60107999999999995</v>
      </c>
      <c r="AW569" s="6">
        <v>1.4855</v>
      </c>
      <c r="AX569" s="6">
        <v>0.57750000000000001</v>
      </c>
      <c r="AY569" s="6">
        <v>123</v>
      </c>
    </row>
    <row r="570" spans="28:51" x14ac:dyDescent="0.25">
      <c r="AB570" s="17">
        <v>568</v>
      </c>
      <c r="AC570" s="6">
        <v>5.12019</v>
      </c>
      <c r="AD570" s="6">
        <v>13.7136</v>
      </c>
      <c r="AE570" s="6">
        <v>4.9194000000000004</v>
      </c>
      <c r="AF570" s="6">
        <v>123</v>
      </c>
      <c r="AH570" s="17">
        <v>568</v>
      </c>
      <c r="AI570" s="6">
        <v>9.7376000000000005</v>
      </c>
      <c r="AJ570" s="6">
        <v>13.7136</v>
      </c>
      <c r="AK570" s="6">
        <v>4.9194000000000004</v>
      </c>
      <c r="AL570" s="6">
        <v>123</v>
      </c>
      <c r="AO570" s="17">
        <v>568</v>
      </c>
      <c r="AP570" s="6">
        <v>1.81318</v>
      </c>
      <c r="AQ570" s="6">
        <v>2.0026999999999999</v>
      </c>
      <c r="AR570" s="6">
        <v>0.91600000000000004</v>
      </c>
      <c r="AS570" s="6">
        <v>123</v>
      </c>
      <c r="AU570" s="17">
        <v>568</v>
      </c>
      <c r="AV570" s="6">
        <v>0.95340000000000003</v>
      </c>
      <c r="AW570" s="6">
        <v>2.0026999999999999</v>
      </c>
      <c r="AX570" s="6">
        <v>0.91600000000000004</v>
      </c>
      <c r="AY570" s="6">
        <v>123</v>
      </c>
    </row>
    <row r="571" spans="28:51" x14ac:dyDescent="0.25">
      <c r="AB571" s="17">
        <v>569</v>
      </c>
      <c r="AC571" s="6">
        <v>3.24058</v>
      </c>
      <c r="AD571" s="6">
        <v>9.9425000000000008</v>
      </c>
      <c r="AE571" s="6">
        <v>3.1135000000000002</v>
      </c>
      <c r="AF571" s="6">
        <v>123</v>
      </c>
      <c r="AH571" s="17">
        <v>569</v>
      </c>
      <c r="AI571" s="6">
        <v>6.1630000000000003</v>
      </c>
      <c r="AJ571" s="6">
        <v>9.9425000000000008</v>
      </c>
      <c r="AK571" s="6">
        <v>3.1135000000000002</v>
      </c>
      <c r="AL571" s="6">
        <v>123</v>
      </c>
      <c r="AO571" s="17">
        <v>569</v>
      </c>
      <c r="AP571" s="6">
        <v>1.15804</v>
      </c>
      <c r="AQ571" s="6">
        <v>0.54339999999999999</v>
      </c>
      <c r="AR571" s="6">
        <v>0.58499999999999996</v>
      </c>
      <c r="AS571" s="6">
        <v>123</v>
      </c>
      <c r="AU571" s="17">
        <v>569</v>
      </c>
      <c r="AV571" s="6">
        <v>0.60892000000000002</v>
      </c>
      <c r="AW571" s="6">
        <v>0.54339999999999999</v>
      </c>
      <c r="AX571" s="6">
        <v>0.58499999999999996</v>
      </c>
      <c r="AY571" s="6">
        <v>123</v>
      </c>
    </row>
    <row r="572" spans="28:51" x14ac:dyDescent="0.25">
      <c r="AB572" s="17">
        <v>570</v>
      </c>
      <c r="AC572" s="6">
        <v>3.23122</v>
      </c>
      <c r="AD572" s="19">
        <v>-1.6111</v>
      </c>
      <c r="AE572" s="6">
        <v>3.1044999999999998</v>
      </c>
      <c r="AF572" s="6">
        <v>123</v>
      </c>
      <c r="AH572" s="17">
        <v>570</v>
      </c>
      <c r="AI572" s="6">
        <v>6.1452</v>
      </c>
      <c r="AJ572" s="19">
        <v>-1.6111</v>
      </c>
      <c r="AK572" s="6">
        <v>3.1044999999999998</v>
      </c>
      <c r="AL572" s="6">
        <v>123</v>
      </c>
      <c r="AO572" s="17">
        <v>570</v>
      </c>
      <c r="AP572" s="6">
        <v>1.15889</v>
      </c>
      <c r="AQ572" s="19">
        <v>-0.13789999999999999</v>
      </c>
      <c r="AR572" s="6">
        <v>0.58550000000000002</v>
      </c>
      <c r="AS572" s="6">
        <v>123</v>
      </c>
      <c r="AU572" s="17">
        <v>570</v>
      </c>
      <c r="AV572" s="6">
        <v>0.60936000000000001</v>
      </c>
      <c r="AW572" s="19">
        <v>-0.13789999999999999</v>
      </c>
      <c r="AX572" s="6">
        <v>0.58550000000000002</v>
      </c>
      <c r="AY572" s="6">
        <v>123</v>
      </c>
    </row>
    <row r="573" spans="28:51" x14ac:dyDescent="0.25">
      <c r="AB573" s="17">
        <v>571</v>
      </c>
      <c r="AC573" s="6">
        <v>3.2057699999999998</v>
      </c>
      <c r="AD573" s="6">
        <v>2.0608</v>
      </c>
      <c r="AE573" s="6">
        <v>3.08</v>
      </c>
      <c r="AF573" s="6">
        <v>123</v>
      </c>
      <c r="AH573" s="17">
        <v>571</v>
      </c>
      <c r="AI573" s="6">
        <v>6.0967000000000002</v>
      </c>
      <c r="AJ573" s="6">
        <v>2.0608</v>
      </c>
      <c r="AK573" s="6">
        <v>3.08</v>
      </c>
      <c r="AL573" s="6">
        <v>123</v>
      </c>
      <c r="AO573" s="17">
        <v>571</v>
      </c>
      <c r="AP573" s="6">
        <v>1.14317</v>
      </c>
      <c r="AQ573" s="19">
        <v>-0.25430000000000003</v>
      </c>
      <c r="AR573" s="6">
        <v>0.57750000000000001</v>
      </c>
      <c r="AS573" s="6">
        <v>123</v>
      </c>
      <c r="AU573" s="17">
        <v>571</v>
      </c>
      <c r="AV573" s="6">
        <v>0.60109999999999997</v>
      </c>
      <c r="AW573" s="19">
        <v>-0.25430000000000003</v>
      </c>
      <c r="AX573" s="6">
        <v>0.57750000000000001</v>
      </c>
      <c r="AY573" s="6">
        <v>123</v>
      </c>
    </row>
    <row r="574" spans="28:51" x14ac:dyDescent="0.25">
      <c r="AB574" s="17">
        <v>572</v>
      </c>
      <c r="AC574" s="6">
        <v>3.2180200000000001</v>
      </c>
      <c r="AD574" s="6">
        <v>4.5468999999999999</v>
      </c>
      <c r="AE574" s="6">
        <v>3.0918000000000001</v>
      </c>
      <c r="AF574" s="6">
        <v>123</v>
      </c>
      <c r="AH574" s="17">
        <v>572</v>
      </c>
      <c r="AI574" s="6">
        <v>6.12</v>
      </c>
      <c r="AJ574" s="6">
        <v>4.5468999999999999</v>
      </c>
      <c r="AK574" s="6">
        <v>3.0918000000000001</v>
      </c>
      <c r="AL574" s="6">
        <v>123</v>
      </c>
      <c r="AO574" s="17">
        <v>572</v>
      </c>
      <c r="AP574" s="6">
        <v>1.1443000000000001</v>
      </c>
      <c r="AQ574" s="19">
        <v>-0.78690000000000004</v>
      </c>
      <c r="AR574" s="6">
        <v>0.57809999999999995</v>
      </c>
      <c r="AS574" s="6">
        <v>123</v>
      </c>
      <c r="AU574" s="17">
        <v>572</v>
      </c>
      <c r="AV574" s="6">
        <v>0.60168999999999995</v>
      </c>
      <c r="AW574" s="19">
        <v>-0.78690000000000004</v>
      </c>
      <c r="AX574" s="6">
        <v>0.57809999999999995</v>
      </c>
      <c r="AY574" s="6">
        <v>123</v>
      </c>
    </row>
    <row r="575" spans="28:51" x14ac:dyDescent="0.25">
      <c r="AB575" s="17">
        <v>573</v>
      </c>
      <c r="AC575" s="6">
        <v>3.2335600000000002</v>
      </c>
      <c r="AD575" s="6">
        <v>5.2331000000000003</v>
      </c>
      <c r="AE575" s="6">
        <v>3.1067</v>
      </c>
      <c r="AF575" s="6">
        <v>123</v>
      </c>
      <c r="AH575" s="17">
        <v>573</v>
      </c>
      <c r="AI575" s="6">
        <v>6.1496000000000004</v>
      </c>
      <c r="AJ575" s="6">
        <v>5.2331000000000003</v>
      </c>
      <c r="AK575" s="6">
        <v>3.1067</v>
      </c>
      <c r="AL575" s="6">
        <v>123</v>
      </c>
      <c r="AO575" s="17">
        <v>573</v>
      </c>
      <c r="AP575" s="6">
        <v>1.14018</v>
      </c>
      <c r="AQ575" s="19">
        <v>-0.72130000000000005</v>
      </c>
      <c r="AR575" s="6">
        <v>0.57599999999999996</v>
      </c>
      <c r="AS575" s="6">
        <v>123</v>
      </c>
      <c r="AU575" s="17">
        <v>573</v>
      </c>
      <c r="AV575" s="6">
        <v>0.59952000000000005</v>
      </c>
      <c r="AW575" s="19">
        <v>-0.72130000000000005</v>
      </c>
      <c r="AX575" s="6">
        <v>0.57599999999999996</v>
      </c>
      <c r="AY575" s="6">
        <v>123</v>
      </c>
    </row>
    <row r="576" spans="28:51" x14ac:dyDescent="0.25">
      <c r="AB576" s="17">
        <v>574</v>
      </c>
      <c r="AC576" s="6">
        <v>3.22634</v>
      </c>
      <c r="AD576" s="6">
        <v>0.16189999999999999</v>
      </c>
      <c r="AE576" s="6">
        <v>3.0998000000000001</v>
      </c>
      <c r="AF576" s="6">
        <v>123</v>
      </c>
      <c r="AH576" s="17">
        <v>574</v>
      </c>
      <c r="AI576" s="6">
        <v>6.1359000000000004</v>
      </c>
      <c r="AJ576" s="6">
        <v>0.16189999999999999</v>
      </c>
      <c r="AK576" s="6">
        <v>3.0998000000000001</v>
      </c>
      <c r="AL576" s="6">
        <v>123</v>
      </c>
      <c r="AO576" s="17">
        <v>574</v>
      </c>
      <c r="AP576" s="6">
        <v>1.1441699999999999</v>
      </c>
      <c r="AQ576" s="6">
        <v>0.33539999999999998</v>
      </c>
      <c r="AR576" s="6">
        <v>0.57799999999999996</v>
      </c>
      <c r="AS576" s="6">
        <v>123</v>
      </c>
      <c r="AU576" s="17">
        <v>574</v>
      </c>
      <c r="AV576" s="6">
        <v>0.60163</v>
      </c>
      <c r="AW576" s="6">
        <v>0.33539999999999998</v>
      </c>
      <c r="AX576" s="6">
        <v>0.57799999999999996</v>
      </c>
      <c r="AY576" s="6">
        <v>123</v>
      </c>
    </row>
    <row r="577" spans="28:51" x14ac:dyDescent="0.25">
      <c r="AB577" s="17">
        <v>575</v>
      </c>
      <c r="AC577" s="6">
        <v>3.2326000000000001</v>
      </c>
      <c r="AD577" s="6">
        <v>4.6976000000000004</v>
      </c>
      <c r="AE577" s="6">
        <v>3.1057999999999999</v>
      </c>
      <c r="AF577" s="6">
        <v>123</v>
      </c>
      <c r="AH577" s="17">
        <v>575</v>
      </c>
      <c r="AI577" s="6">
        <v>6.1478000000000002</v>
      </c>
      <c r="AJ577" s="6">
        <v>4.6976000000000004</v>
      </c>
      <c r="AK577" s="6">
        <v>3.1057999999999999</v>
      </c>
      <c r="AL577" s="6">
        <v>123</v>
      </c>
      <c r="AO577" s="17">
        <v>575</v>
      </c>
      <c r="AP577" s="6">
        <v>1.1577</v>
      </c>
      <c r="AQ577" s="19">
        <v>-8.5870000000000002E-2</v>
      </c>
      <c r="AR577" s="6">
        <v>0.58489999999999998</v>
      </c>
      <c r="AS577" s="6">
        <v>123</v>
      </c>
      <c r="AU577" s="17">
        <v>575</v>
      </c>
      <c r="AV577" s="6">
        <v>0.60873999999999995</v>
      </c>
      <c r="AW577" s="19">
        <v>-8.5870000000000002E-2</v>
      </c>
      <c r="AX577" s="6">
        <v>0.58489999999999998</v>
      </c>
      <c r="AY577" s="6">
        <v>123</v>
      </c>
    </row>
    <row r="578" spans="28:51" x14ac:dyDescent="0.25">
      <c r="AB578" s="17">
        <v>576</v>
      </c>
      <c r="AC578" s="6">
        <v>3.2527900000000001</v>
      </c>
      <c r="AD578" s="19">
        <v>-4.6146000000000003</v>
      </c>
      <c r="AE578" s="6">
        <v>3.1252</v>
      </c>
      <c r="AF578" s="6">
        <v>123</v>
      </c>
      <c r="AH578" s="17">
        <v>576</v>
      </c>
      <c r="AI578" s="6">
        <v>6.1862000000000004</v>
      </c>
      <c r="AJ578" s="19">
        <v>-4.6146000000000003</v>
      </c>
      <c r="AK578" s="6">
        <v>3.1252</v>
      </c>
      <c r="AL578" s="6">
        <v>123</v>
      </c>
      <c r="AO578" s="17">
        <v>576</v>
      </c>
      <c r="AP578" s="6">
        <v>1.16581</v>
      </c>
      <c r="AQ578" s="19">
        <v>-0.28539999999999999</v>
      </c>
      <c r="AR578" s="6">
        <v>0.58899999999999997</v>
      </c>
      <c r="AS578" s="6">
        <v>123</v>
      </c>
      <c r="AU578" s="17">
        <v>576</v>
      </c>
      <c r="AV578" s="6">
        <v>0.61299999999999999</v>
      </c>
      <c r="AW578" s="19">
        <v>-0.28539999999999999</v>
      </c>
      <c r="AX578" s="6">
        <v>0.58899999999999997</v>
      </c>
      <c r="AY578" s="6">
        <v>123</v>
      </c>
    </row>
    <row r="579" spans="28:51" x14ac:dyDescent="0.25">
      <c r="AB579" s="17">
        <v>577</v>
      </c>
      <c r="AC579" s="6">
        <v>3.2375500000000001</v>
      </c>
      <c r="AD579" s="6">
        <v>3.5284</v>
      </c>
      <c r="AE579" s="6">
        <v>3.1105999999999998</v>
      </c>
      <c r="AF579" s="6">
        <v>123</v>
      </c>
      <c r="AH579" s="17">
        <v>577</v>
      </c>
      <c r="AI579" s="6">
        <v>6.1571999999999996</v>
      </c>
      <c r="AJ579" s="6">
        <v>3.5284</v>
      </c>
      <c r="AK579" s="6">
        <v>3.1105999999999998</v>
      </c>
      <c r="AL579" s="6">
        <v>123</v>
      </c>
      <c r="AO579" s="17">
        <v>577</v>
      </c>
      <c r="AP579" s="6">
        <v>1.14303</v>
      </c>
      <c r="AQ579" s="19">
        <v>-0.36549999999999999</v>
      </c>
      <c r="AR579" s="6">
        <v>0.57740000000000002</v>
      </c>
      <c r="AS579" s="6">
        <v>123</v>
      </c>
      <c r="AU579" s="17">
        <v>577</v>
      </c>
      <c r="AV579" s="6">
        <v>0.60102</v>
      </c>
      <c r="AW579" s="19">
        <v>-0.36549999999999999</v>
      </c>
      <c r="AX579" s="6">
        <v>0.57740000000000002</v>
      </c>
      <c r="AY579" s="6">
        <v>123</v>
      </c>
    </row>
    <row r="580" spans="28:51" x14ac:dyDescent="0.25">
      <c r="AB580" s="17">
        <v>578</v>
      </c>
      <c r="AC580" s="6">
        <v>3.20336</v>
      </c>
      <c r="AD580" s="6">
        <v>6.1169000000000002</v>
      </c>
      <c r="AE580" s="6">
        <v>3.0777000000000001</v>
      </c>
      <c r="AF580" s="6">
        <v>123</v>
      </c>
      <c r="AH580" s="17">
        <v>578</v>
      </c>
      <c r="AI580" s="6">
        <v>6.0922000000000001</v>
      </c>
      <c r="AJ580" s="6">
        <v>6.1169000000000002</v>
      </c>
      <c r="AK580" s="6">
        <v>3.0777000000000001</v>
      </c>
      <c r="AL580" s="6">
        <v>123</v>
      </c>
      <c r="AO580" s="17">
        <v>578</v>
      </c>
      <c r="AP580" s="6">
        <v>1.13923</v>
      </c>
      <c r="AQ580" s="6">
        <v>1.4930000000000001</v>
      </c>
      <c r="AR580" s="6">
        <v>0.57550000000000001</v>
      </c>
      <c r="AS580" s="6">
        <v>123</v>
      </c>
      <c r="AU580" s="17">
        <v>578</v>
      </c>
      <c r="AV580" s="6">
        <v>0.59902999999999995</v>
      </c>
      <c r="AW580" s="6">
        <v>1.4930000000000001</v>
      </c>
      <c r="AX580" s="6">
        <v>0.57550000000000001</v>
      </c>
      <c r="AY580" s="6">
        <v>123</v>
      </c>
    </row>
    <row r="581" spans="28:51" x14ac:dyDescent="0.25">
      <c r="AB581" s="17">
        <v>579</v>
      </c>
      <c r="AC581" s="6">
        <v>3.1909900000000002</v>
      </c>
      <c r="AD581" s="6">
        <v>7.2827999999999999</v>
      </c>
      <c r="AE581" s="6">
        <v>3.0657999999999999</v>
      </c>
      <c r="AF581" s="6">
        <v>123</v>
      </c>
      <c r="AH581" s="17">
        <v>579</v>
      </c>
      <c r="AI581" s="6">
        <v>6.0686</v>
      </c>
      <c r="AJ581" s="6">
        <v>7.2827999999999999</v>
      </c>
      <c r="AK581" s="6">
        <v>3.0657999999999999</v>
      </c>
      <c r="AL581" s="6">
        <v>123</v>
      </c>
      <c r="AO581" s="17">
        <v>579</v>
      </c>
      <c r="AP581" s="6">
        <v>1.1390400000000001</v>
      </c>
      <c r="AQ581" s="19">
        <v>-3.2349999999999997E-2</v>
      </c>
      <c r="AR581" s="6">
        <v>0.57540000000000002</v>
      </c>
      <c r="AS581" s="6">
        <v>123</v>
      </c>
      <c r="AU581" s="17">
        <v>579</v>
      </c>
      <c r="AV581" s="6">
        <v>0.59892000000000001</v>
      </c>
      <c r="AW581" s="19">
        <v>-3.2349999999999997E-2</v>
      </c>
      <c r="AX581" s="6">
        <v>0.57540000000000002</v>
      </c>
      <c r="AY581" s="6">
        <v>123</v>
      </c>
    </row>
    <row r="582" spans="28:51" x14ac:dyDescent="0.25">
      <c r="AB582" s="17">
        <v>580</v>
      </c>
      <c r="AC582" s="6">
        <v>3.1949900000000002</v>
      </c>
      <c r="AD582" s="6">
        <v>12.5016</v>
      </c>
      <c r="AE582" s="6">
        <v>3.0697000000000001</v>
      </c>
      <c r="AF582" s="6">
        <v>123</v>
      </c>
      <c r="AH582" s="17">
        <v>580</v>
      </c>
      <c r="AI582" s="6">
        <v>6.0762</v>
      </c>
      <c r="AJ582" s="6">
        <v>12.5016</v>
      </c>
      <c r="AK582" s="6">
        <v>3.0697000000000001</v>
      </c>
      <c r="AL582" s="6">
        <v>123</v>
      </c>
      <c r="AO582" s="17">
        <v>580</v>
      </c>
      <c r="AP582" s="6">
        <v>1.1382399999999999</v>
      </c>
      <c r="AQ582" s="6">
        <v>1.455E-2</v>
      </c>
      <c r="AR582" s="6">
        <v>0.57499999999999996</v>
      </c>
      <c r="AS582" s="6">
        <v>123</v>
      </c>
      <c r="AU582" s="17">
        <v>580</v>
      </c>
      <c r="AV582" s="6">
        <v>0.59850999999999999</v>
      </c>
      <c r="AW582" s="6">
        <v>1.455E-2</v>
      </c>
      <c r="AX582" s="6">
        <v>0.57499999999999996</v>
      </c>
      <c r="AY582" s="6">
        <v>123</v>
      </c>
    </row>
    <row r="583" spans="28:51" x14ac:dyDescent="0.25">
      <c r="AB583" s="17">
        <v>581</v>
      </c>
      <c r="AC583" s="6">
        <v>3.2089699999999999</v>
      </c>
      <c r="AD583" s="6">
        <v>9.6504999999999992</v>
      </c>
      <c r="AE583" s="6">
        <v>3.0831</v>
      </c>
      <c r="AF583" s="6">
        <v>123</v>
      </c>
      <c r="AH583" s="17">
        <v>581</v>
      </c>
      <c r="AI583" s="6">
        <v>6.1028000000000002</v>
      </c>
      <c r="AJ583" s="6">
        <v>9.6504999999999992</v>
      </c>
      <c r="AK583" s="6">
        <v>3.0831</v>
      </c>
      <c r="AL583" s="6">
        <v>123</v>
      </c>
      <c r="AO583" s="17">
        <v>581</v>
      </c>
      <c r="AP583" s="6">
        <v>1.14011</v>
      </c>
      <c r="AQ583" s="6">
        <v>0.2787</v>
      </c>
      <c r="AR583" s="6">
        <v>0.57599999999999996</v>
      </c>
      <c r="AS583" s="6">
        <v>123</v>
      </c>
      <c r="AU583" s="17">
        <v>581</v>
      </c>
      <c r="AV583" s="6">
        <v>0.59948999999999997</v>
      </c>
      <c r="AW583" s="6">
        <v>0.2787</v>
      </c>
      <c r="AX583" s="6">
        <v>0.57599999999999996</v>
      </c>
      <c r="AY583" s="6">
        <v>123</v>
      </c>
    </row>
    <row r="584" spans="28:51" x14ac:dyDescent="0.25">
      <c r="AB584" s="17">
        <v>582</v>
      </c>
      <c r="AC584" s="6">
        <v>3.21739</v>
      </c>
      <c r="AD584" s="19">
        <v>-2.0489999999999999</v>
      </c>
      <c r="AE584" s="6">
        <v>3.0912000000000002</v>
      </c>
      <c r="AF584" s="6">
        <v>123</v>
      </c>
      <c r="AH584" s="17">
        <v>582</v>
      </c>
      <c r="AI584" s="6">
        <v>6.1188000000000002</v>
      </c>
      <c r="AJ584" s="19">
        <v>-2.0489999999999999</v>
      </c>
      <c r="AK584" s="6">
        <v>3.0912000000000002</v>
      </c>
      <c r="AL584" s="6">
        <v>123</v>
      </c>
      <c r="AO584" s="17">
        <v>582</v>
      </c>
      <c r="AP584" s="6">
        <v>1.1468700000000001</v>
      </c>
      <c r="AQ584" s="19">
        <v>-1.8469</v>
      </c>
      <c r="AR584" s="6">
        <v>0.57940000000000003</v>
      </c>
      <c r="AS584" s="6">
        <v>123</v>
      </c>
      <c r="AU584" s="17">
        <v>582</v>
      </c>
      <c r="AV584" s="6">
        <v>0.60304999999999997</v>
      </c>
      <c r="AW584" s="19">
        <v>-1.8469</v>
      </c>
      <c r="AX584" s="6">
        <v>0.57940000000000003</v>
      </c>
      <c r="AY584" s="6">
        <v>123</v>
      </c>
    </row>
    <row r="585" spans="28:51" x14ac:dyDescent="0.25">
      <c r="AB585" s="17">
        <v>583</v>
      </c>
      <c r="AC585" s="6">
        <v>3.2130700000000001</v>
      </c>
      <c r="AD585" s="6">
        <v>2.2107000000000001</v>
      </c>
      <c r="AE585" s="6">
        <v>3.0871</v>
      </c>
      <c r="AF585" s="6">
        <v>123</v>
      </c>
      <c r="AH585" s="17">
        <v>583</v>
      </c>
      <c r="AI585" s="6">
        <v>6.1105999999999998</v>
      </c>
      <c r="AJ585" s="6">
        <v>2.2107000000000001</v>
      </c>
      <c r="AK585" s="6">
        <v>3.0871</v>
      </c>
      <c r="AL585" s="6">
        <v>123</v>
      </c>
      <c r="AO585" s="17">
        <v>583</v>
      </c>
      <c r="AP585" s="6">
        <v>1.14568</v>
      </c>
      <c r="AQ585" s="19">
        <v>-0.40820000000000001</v>
      </c>
      <c r="AR585" s="6">
        <v>0.57879999999999998</v>
      </c>
      <c r="AS585" s="6">
        <v>123</v>
      </c>
      <c r="AU585" s="17">
        <v>583</v>
      </c>
      <c r="AV585" s="6">
        <v>0.60241999999999996</v>
      </c>
      <c r="AW585" s="19">
        <v>-0.40820000000000001</v>
      </c>
      <c r="AX585" s="6">
        <v>0.57879999999999998</v>
      </c>
      <c r="AY585" s="6">
        <v>123</v>
      </c>
    </row>
    <row r="586" spans="28:51" x14ac:dyDescent="0.25">
      <c r="AB586" s="17">
        <v>584</v>
      </c>
      <c r="AC586" s="6">
        <v>3.2224499999999998</v>
      </c>
      <c r="AD586" s="6">
        <v>3.3100999999999998</v>
      </c>
      <c r="AE586" s="6">
        <v>3.0960999999999999</v>
      </c>
      <c r="AF586" s="6">
        <v>123</v>
      </c>
      <c r="AH586" s="17">
        <v>584</v>
      </c>
      <c r="AI586" s="6">
        <v>6.1284999999999998</v>
      </c>
      <c r="AJ586" s="6">
        <v>3.3100999999999998</v>
      </c>
      <c r="AK586" s="6">
        <v>3.0960999999999999</v>
      </c>
      <c r="AL586" s="6">
        <v>123</v>
      </c>
      <c r="AO586" s="17">
        <v>584</v>
      </c>
      <c r="AP586" s="6">
        <v>1.1423099999999999</v>
      </c>
      <c r="AQ586" s="6">
        <v>0.26150000000000001</v>
      </c>
      <c r="AR586" s="6">
        <v>0.57709999999999995</v>
      </c>
      <c r="AS586" s="6">
        <v>123</v>
      </c>
      <c r="AU586" s="17">
        <v>584</v>
      </c>
      <c r="AV586" s="6">
        <v>0.60063999999999995</v>
      </c>
      <c r="AW586" s="6">
        <v>0.26150000000000001</v>
      </c>
      <c r="AX586" s="6">
        <v>0.57709999999999995</v>
      </c>
      <c r="AY586" s="6">
        <v>123</v>
      </c>
    </row>
    <row r="587" spans="28:51" x14ac:dyDescent="0.25">
      <c r="AB587" s="17">
        <v>585</v>
      </c>
      <c r="AC587" s="6">
        <v>3.2317</v>
      </c>
      <c r="AD587" s="19">
        <v>-0.83750000000000002</v>
      </c>
      <c r="AE587" s="6">
        <v>3.1049000000000002</v>
      </c>
      <c r="AF587" s="6">
        <v>123</v>
      </c>
      <c r="AH587" s="17">
        <v>585</v>
      </c>
      <c r="AI587" s="6">
        <v>6.1460999999999997</v>
      </c>
      <c r="AJ587" s="19">
        <v>-0.83750000000000002</v>
      </c>
      <c r="AK587" s="6">
        <v>3.1049000000000002</v>
      </c>
      <c r="AL587" s="6">
        <v>123</v>
      </c>
      <c r="AO587" s="17">
        <v>585</v>
      </c>
      <c r="AP587" s="6">
        <v>1.15306</v>
      </c>
      <c r="AQ587" s="19">
        <v>-0.68</v>
      </c>
      <c r="AR587" s="6">
        <v>0.58250000000000002</v>
      </c>
      <c r="AS587" s="6">
        <v>123</v>
      </c>
      <c r="AU587" s="17">
        <v>585</v>
      </c>
      <c r="AV587" s="6">
        <v>0.60629999999999995</v>
      </c>
      <c r="AW587" s="19">
        <v>-0.68</v>
      </c>
      <c r="AX587" s="6">
        <v>0.58250000000000002</v>
      </c>
      <c r="AY587" s="6">
        <v>123</v>
      </c>
    </row>
    <row r="588" spans="28:51" x14ac:dyDescent="0.25">
      <c r="AB588" s="17">
        <v>586</v>
      </c>
      <c r="AC588" s="6">
        <v>3.2128999999999999</v>
      </c>
      <c r="AD588" s="6">
        <v>8.2079000000000004</v>
      </c>
      <c r="AE588" s="6">
        <v>3.0869</v>
      </c>
      <c r="AF588" s="6">
        <v>123</v>
      </c>
      <c r="AH588" s="17">
        <v>586</v>
      </c>
      <c r="AI588" s="6">
        <v>6.1102999999999996</v>
      </c>
      <c r="AJ588" s="6">
        <v>8.2079000000000004</v>
      </c>
      <c r="AK588" s="6">
        <v>3.0869</v>
      </c>
      <c r="AL588" s="6">
        <v>123</v>
      </c>
      <c r="AO588" s="17">
        <v>586</v>
      </c>
      <c r="AP588" s="6">
        <v>1.1443099999999999</v>
      </c>
      <c r="AQ588" s="19">
        <v>-1.2321</v>
      </c>
      <c r="AR588" s="6">
        <v>0.57809999999999995</v>
      </c>
      <c r="AS588" s="6">
        <v>123</v>
      </c>
      <c r="AU588" s="17">
        <v>586</v>
      </c>
      <c r="AV588" s="6">
        <v>0.60170000000000001</v>
      </c>
      <c r="AW588" s="19">
        <v>-1.2321</v>
      </c>
      <c r="AX588" s="6">
        <v>0.57809999999999995</v>
      </c>
      <c r="AY588" s="6">
        <v>123</v>
      </c>
    </row>
    <row r="589" spans="28:51" x14ac:dyDescent="0.25">
      <c r="AB589" s="17">
        <v>587</v>
      </c>
      <c r="AC589" s="6">
        <v>3.1854300000000002</v>
      </c>
      <c r="AD589" s="6">
        <v>1.9854000000000001</v>
      </c>
      <c r="AE589" s="6">
        <v>3.0605000000000002</v>
      </c>
      <c r="AF589" s="6">
        <v>123</v>
      </c>
      <c r="AH589" s="17">
        <v>587</v>
      </c>
      <c r="AI589" s="6">
        <v>6.0580999999999996</v>
      </c>
      <c r="AJ589" s="6">
        <v>1.9854000000000001</v>
      </c>
      <c r="AK589" s="6">
        <v>3.0605000000000002</v>
      </c>
      <c r="AL589" s="6">
        <v>123</v>
      </c>
      <c r="AO589" s="17">
        <v>587</v>
      </c>
      <c r="AP589" s="6">
        <v>1.13544</v>
      </c>
      <c r="AQ589" s="19">
        <v>-1.1768000000000001</v>
      </c>
      <c r="AR589" s="6">
        <v>0.5736</v>
      </c>
      <c r="AS589" s="6">
        <v>123</v>
      </c>
      <c r="AU589" s="17">
        <v>587</v>
      </c>
      <c r="AV589" s="6">
        <v>0.59702999999999995</v>
      </c>
      <c r="AW589" s="19">
        <v>-1.1768000000000001</v>
      </c>
      <c r="AX589" s="6">
        <v>0.5736</v>
      </c>
      <c r="AY589" s="6">
        <v>123</v>
      </c>
    </row>
    <row r="590" spans="28:51" x14ac:dyDescent="0.25">
      <c r="AB590" s="17">
        <v>588</v>
      </c>
      <c r="AC590" s="6">
        <v>3.1988500000000002</v>
      </c>
      <c r="AD590" s="6">
        <v>3.8342999999999998</v>
      </c>
      <c r="AE590" s="6">
        <v>3.0733999999999999</v>
      </c>
      <c r="AF590" s="6">
        <v>123</v>
      </c>
      <c r="AH590" s="17">
        <v>588</v>
      </c>
      <c r="AI590" s="6">
        <v>6.0835999999999997</v>
      </c>
      <c r="AJ590" s="6">
        <v>3.8342999999999998</v>
      </c>
      <c r="AK590" s="6">
        <v>3.0733999999999999</v>
      </c>
      <c r="AL590" s="6">
        <v>123</v>
      </c>
      <c r="AO590" s="17">
        <v>588</v>
      </c>
      <c r="AP590" s="6">
        <v>1.1388100000000001</v>
      </c>
      <c r="AQ590" s="19">
        <v>-1.6365000000000001</v>
      </c>
      <c r="AR590" s="6">
        <v>0.57530000000000003</v>
      </c>
      <c r="AS590" s="6">
        <v>123</v>
      </c>
      <c r="AU590" s="17">
        <v>588</v>
      </c>
      <c r="AV590" s="6">
        <v>0.59880999999999995</v>
      </c>
      <c r="AW590" s="19">
        <v>-1.6365000000000001</v>
      </c>
      <c r="AX590" s="6">
        <v>0.57530000000000003</v>
      </c>
      <c r="AY590" s="6">
        <v>123</v>
      </c>
    </row>
    <row r="591" spans="28:51" x14ac:dyDescent="0.25">
      <c r="AB591" s="17">
        <v>589</v>
      </c>
      <c r="AC591" s="6">
        <v>3.2559499999999999</v>
      </c>
      <c r="AD591" s="6">
        <v>10.786899999999999</v>
      </c>
      <c r="AE591" s="6">
        <v>3.1282000000000001</v>
      </c>
      <c r="AF591" s="6">
        <v>123</v>
      </c>
      <c r="AH591" s="17">
        <v>589</v>
      </c>
      <c r="AI591" s="6">
        <v>6.1921999999999997</v>
      </c>
      <c r="AJ591" s="6">
        <v>10.786899999999999</v>
      </c>
      <c r="AK591" s="6">
        <v>3.1282000000000001</v>
      </c>
      <c r="AL591" s="6">
        <v>123</v>
      </c>
      <c r="AO591" s="17">
        <v>589</v>
      </c>
      <c r="AP591" s="6">
        <v>1.1669</v>
      </c>
      <c r="AQ591" s="6">
        <v>0.66869999999999996</v>
      </c>
      <c r="AR591" s="6">
        <v>0.58950000000000002</v>
      </c>
      <c r="AS591" s="6">
        <v>123</v>
      </c>
      <c r="AU591" s="17">
        <v>589</v>
      </c>
      <c r="AV591" s="6">
        <v>0.61358000000000001</v>
      </c>
      <c r="AW591" s="6">
        <v>0.66869999999999996</v>
      </c>
      <c r="AX591" s="6">
        <v>0.58950000000000002</v>
      </c>
      <c r="AY591" s="6">
        <v>123</v>
      </c>
    </row>
    <row r="592" spans="28:51" x14ac:dyDescent="0.25">
      <c r="AB592" s="17">
        <v>590</v>
      </c>
      <c r="AC592" s="6">
        <v>3.22804</v>
      </c>
      <c r="AD592" s="6">
        <v>4.4592000000000001</v>
      </c>
      <c r="AE592" s="6">
        <v>3.1013999999999999</v>
      </c>
      <c r="AF592" s="6">
        <v>123</v>
      </c>
      <c r="AH592" s="17">
        <v>590</v>
      </c>
      <c r="AI592" s="6">
        <v>6.1391</v>
      </c>
      <c r="AJ592" s="6">
        <v>4.4592000000000001</v>
      </c>
      <c r="AK592" s="6">
        <v>3.1013999999999999</v>
      </c>
      <c r="AL592" s="6">
        <v>123</v>
      </c>
      <c r="AO592" s="17">
        <v>590</v>
      </c>
      <c r="AP592" s="6">
        <v>1.1522699999999999</v>
      </c>
      <c r="AQ592" s="19">
        <v>-1.6937</v>
      </c>
      <c r="AR592" s="6">
        <v>0.58209999999999995</v>
      </c>
      <c r="AS592" s="6">
        <v>123</v>
      </c>
      <c r="AU592" s="17">
        <v>590</v>
      </c>
      <c r="AV592" s="6">
        <v>0.60589000000000004</v>
      </c>
      <c r="AW592" s="19">
        <v>-1.6937</v>
      </c>
      <c r="AX592" s="6">
        <v>0.58209999999999995</v>
      </c>
      <c r="AY592" s="6">
        <v>123</v>
      </c>
    </row>
    <row r="593" spans="28:51" x14ac:dyDescent="0.25">
      <c r="AB593" s="17">
        <v>591</v>
      </c>
      <c r="AC593" s="6">
        <v>3.22384</v>
      </c>
      <c r="AD593" s="6">
        <v>15.248900000000001</v>
      </c>
      <c r="AE593" s="6">
        <v>3.0973999999999999</v>
      </c>
      <c r="AF593" s="6">
        <v>123</v>
      </c>
      <c r="AH593" s="17">
        <v>591</v>
      </c>
      <c r="AI593" s="6">
        <v>6.1311</v>
      </c>
      <c r="AJ593" s="6">
        <v>15.248900000000001</v>
      </c>
      <c r="AK593" s="6">
        <v>3.0973999999999999</v>
      </c>
      <c r="AL593" s="6">
        <v>123</v>
      </c>
      <c r="AO593" s="17">
        <v>591</v>
      </c>
      <c r="AP593" s="6">
        <v>1.1522300000000001</v>
      </c>
      <c r="AQ593" s="6">
        <v>0.98319999999999996</v>
      </c>
      <c r="AR593" s="6">
        <v>0.58209999999999995</v>
      </c>
      <c r="AS593" s="6">
        <v>123</v>
      </c>
      <c r="AU593" s="17">
        <v>591</v>
      </c>
      <c r="AV593" s="6">
        <v>0.60585999999999995</v>
      </c>
      <c r="AW593" s="6">
        <v>0.98319999999999996</v>
      </c>
      <c r="AX593" s="6">
        <v>0.58209999999999995</v>
      </c>
      <c r="AY593" s="6">
        <v>123</v>
      </c>
    </row>
    <row r="594" spans="28:51" x14ac:dyDescent="0.25">
      <c r="AB594" s="17">
        <v>592</v>
      </c>
      <c r="AC594" s="6">
        <v>3.2036600000000002</v>
      </c>
      <c r="AD594" s="6">
        <v>13.0219</v>
      </c>
      <c r="AE594" s="6">
        <v>3.0779999999999998</v>
      </c>
      <c r="AF594" s="6">
        <v>123</v>
      </c>
      <c r="AH594" s="17">
        <v>592</v>
      </c>
      <c r="AI594" s="6">
        <v>6.0926999999999998</v>
      </c>
      <c r="AJ594" s="6">
        <v>13.0219</v>
      </c>
      <c r="AK594" s="6">
        <v>3.0779999999999998</v>
      </c>
      <c r="AL594" s="6">
        <v>123</v>
      </c>
      <c r="AO594" s="17">
        <v>592</v>
      </c>
      <c r="AP594" s="6">
        <v>1.1407700000000001</v>
      </c>
      <c r="AQ594" s="6">
        <v>0.78029999999999999</v>
      </c>
      <c r="AR594" s="6">
        <v>0.57630000000000003</v>
      </c>
      <c r="AS594" s="6">
        <v>123</v>
      </c>
      <c r="AU594" s="17">
        <v>592</v>
      </c>
      <c r="AV594" s="6">
        <v>0.59984000000000004</v>
      </c>
      <c r="AW594" s="6">
        <v>0.78029999999999999</v>
      </c>
      <c r="AX594" s="6">
        <v>0.57630000000000003</v>
      </c>
      <c r="AY594" s="6">
        <v>123</v>
      </c>
    </row>
    <row r="595" spans="28:51" x14ac:dyDescent="0.25">
      <c r="AB595" s="17">
        <v>593</v>
      </c>
      <c r="AC595" s="6">
        <v>3.2204100000000002</v>
      </c>
      <c r="AD595" s="6">
        <v>4.0716000000000001</v>
      </c>
      <c r="AE595" s="6">
        <v>3.0941000000000001</v>
      </c>
      <c r="AF595" s="6">
        <v>123</v>
      </c>
      <c r="AH595" s="17">
        <v>593</v>
      </c>
      <c r="AI595" s="6">
        <v>6.1246</v>
      </c>
      <c r="AJ595" s="6">
        <v>4.0716000000000001</v>
      </c>
      <c r="AK595" s="6">
        <v>3.0941000000000001</v>
      </c>
      <c r="AL595" s="6">
        <v>123</v>
      </c>
      <c r="AO595" s="17">
        <v>593</v>
      </c>
      <c r="AP595" s="6">
        <v>1.14829</v>
      </c>
      <c r="AQ595" s="19">
        <v>-0.56399999999999995</v>
      </c>
      <c r="AR595" s="6">
        <v>0.58009999999999995</v>
      </c>
      <c r="AS595" s="6">
        <v>123</v>
      </c>
      <c r="AU595" s="17">
        <v>593</v>
      </c>
      <c r="AV595" s="6">
        <v>0.60379000000000005</v>
      </c>
      <c r="AW595" s="19">
        <v>-0.56399999999999995</v>
      </c>
      <c r="AX595" s="6">
        <v>0.58009999999999995</v>
      </c>
      <c r="AY595" s="6">
        <v>123</v>
      </c>
    </row>
    <row r="596" spans="28:51" x14ac:dyDescent="0.25">
      <c r="AB596" s="17">
        <v>594</v>
      </c>
      <c r="AC596" s="6">
        <v>3.2214900000000002</v>
      </c>
      <c r="AD596" s="6">
        <v>6.5388999999999999</v>
      </c>
      <c r="AE596" s="6">
        <v>3.0951</v>
      </c>
      <c r="AF596" s="6">
        <v>123</v>
      </c>
      <c r="AH596" s="17">
        <v>594</v>
      </c>
      <c r="AI596" s="6">
        <v>6.1265999999999998</v>
      </c>
      <c r="AJ596" s="6">
        <v>6.5388999999999999</v>
      </c>
      <c r="AK596" s="6">
        <v>3.0951</v>
      </c>
      <c r="AL596" s="6">
        <v>123</v>
      </c>
      <c r="AO596" s="17">
        <v>594</v>
      </c>
      <c r="AP596" s="6">
        <v>1.1421399999999999</v>
      </c>
      <c r="AQ596" s="19">
        <v>-0.3533</v>
      </c>
      <c r="AR596" s="6">
        <v>0.57699999999999996</v>
      </c>
      <c r="AS596" s="6">
        <v>123</v>
      </c>
      <c r="AU596" s="17">
        <v>594</v>
      </c>
      <c r="AV596" s="6">
        <v>0.60055000000000003</v>
      </c>
      <c r="AW596" s="19">
        <v>-0.3533</v>
      </c>
      <c r="AX596" s="6">
        <v>0.57699999999999996</v>
      </c>
      <c r="AY596" s="6">
        <v>123</v>
      </c>
    </row>
    <row r="597" spans="28:51" x14ac:dyDescent="0.25">
      <c r="AB597" s="17">
        <v>595</v>
      </c>
      <c r="AC597" s="6">
        <v>5.12392</v>
      </c>
      <c r="AD597" s="6">
        <v>15.4946</v>
      </c>
      <c r="AE597" s="6">
        <v>4.923</v>
      </c>
      <c r="AF597" s="6">
        <v>123</v>
      </c>
      <c r="AH597" s="17">
        <v>595</v>
      </c>
      <c r="AI597" s="6">
        <v>9.7446999999999999</v>
      </c>
      <c r="AJ597" s="6">
        <v>15.4946</v>
      </c>
      <c r="AK597" s="6">
        <v>4.923</v>
      </c>
      <c r="AL597" s="6">
        <v>123</v>
      </c>
      <c r="AO597" s="17">
        <v>595</v>
      </c>
      <c r="AP597" s="6">
        <v>1.8200700000000001</v>
      </c>
      <c r="AQ597" s="6">
        <v>0.16400000000000001</v>
      </c>
      <c r="AR597" s="6">
        <v>0.91949999999999998</v>
      </c>
      <c r="AS597" s="6">
        <v>123</v>
      </c>
      <c r="AU597" s="17">
        <v>595</v>
      </c>
      <c r="AV597" s="6">
        <v>0.95701999999999998</v>
      </c>
      <c r="AW597" s="6">
        <v>0.16400000000000001</v>
      </c>
      <c r="AX597" s="6">
        <v>0.91949999999999998</v>
      </c>
      <c r="AY597" s="6">
        <v>123</v>
      </c>
    </row>
    <row r="598" spans="28:51" x14ac:dyDescent="0.25">
      <c r="AB598" s="17">
        <v>596</v>
      </c>
      <c r="AC598" s="6">
        <v>3.2265199999999998</v>
      </c>
      <c r="AD598" s="19">
        <v>-11.553599999999999</v>
      </c>
      <c r="AE598" s="6">
        <v>3.1</v>
      </c>
      <c r="AF598" s="6">
        <v>123</v>
      </c>
      <c r="AH598" s="17">
        <v>596</v>
      </c>
      <c r="AI598" s="6">
        <v>6.1361999999999997</v>
      </c>
      <c r="AJ598" s="19">
        <v>-11.553599999999999</v>
      </c>
      <c r="AK598" s="6">
        <v>3.1</v>
      </c>
      <c r="AL598" s="6">
        <v>123</v>
      </c>
      <c r="AO598" s="17">
        <v>596</v>
      </c>
      <c r="AP598" s="6">
        <v>1.1598200000000001</v>
      </c>
      <c r="AQ598" s="19">
        <v>-0.68120000000000003</v>
      </c>
      <c r="AR598" s="6">
        <v>0.58589999999999998</v>
      </c>
      <c r="AS598" s="6">
        <v>123</v>
      </c>
      <c r="AU598" s="17">
        <v>596</v>
      </c>
      <c r="AV598" s="6">
        <v>0.60985</v>
      </c>
      <c r="AW598" s="19">
        <v>-0.68120000000000003</v>
      </c>
      <c r="AX598" s="6">
        <v>0.58589999999999998</v>
      </c>
      <c r="AY598" s="6">
        <v>123</v>
      </c>
    </row>
    <row r="599" spans="28:51" x14ac:dyDescent="0.25">
      <c r="AB599" s="17">
        <v>597</v>
      </c>
      <c r="AC599" s="6">
        <v>3.2281300000000002</v>
      </c>
      <c r="AD599" s="19">
        <v>-7.8817000000000004</v>
      </c>
      <c r="AE599" s="6">
        <v>3.1015000000000001</v>
      </c>
      <c r="AF599" s="6">
        <v>123</v>
      </c>
      <c r="AH599" s="17">
        <v>597</v>
      </c>
      <c r="AI599" s="6">
        <v>6.1393000000000004</v>
      </c>
      <c r="AJ599" s="19">
        <v>-7.8817000000000004</v>
      </c>
      <c r="AK599" s="6">
        <v>3.1015000000000001</v>
      </c>
      <c r="AL599" s="6">
        <v>123</v>
      </c>
      <c r="AO599" s="17">
        <v>597</v>
      </c>
      <c r="AP599" s="6">
        <v>1.15256</v>
      </c>
      <c r="AQ599" s="19">
        <v>-0.79769999999999996</v>
      </c>
      <c r="AR599" s="6">
        <v>0.58230000000000004</v>
      </c>
      <c r="AS599" s="6">
        <v>123</v>
      </c>
      <c r="AU599" s="17">
        <v>597</v>
      </c>
      <c r="AV599" s="6">
        <v>0.60604000000000002</v>
      </c>
      <c r="AW599" s="19">
        <v>-0.79769999999999996</v>
      </c>
      <c r="AX599" s="6">
        <v>0.58230000000000004</v>
      </c>
      <c r="AY599" s="6">
        <v>123</v>
      </c>
    </row>
    <row r="600" spans="28:51" x14ac:dyDescent="0.25">
      <c r="AB600" s="17">
        <v>598</v>
      </c>
      <c r="AC600" s="6">
        <v>3.2306499999999998</v>
      </c>
      <c r="AD600" s="19">
        <v>-5.3955000000000002</v>
      </c>
      <c r="AE600" s="6">
        <v>3.1038999999999999</v>
      </c>
      <c r="AF600" s="6">
        <v>123</v>
      </c>
      <c r="AH600" s="17">
        <v>598</v>
      </c>
      <c r="AI600" s="6">
        <v>6.1440999999999999</v>
      </c>
      <c r="AJ600" s="19">
        <v>-5.3955000000000002</v>
      </c>
      <c r="AK600" s="6">
        <v>3.1038999999999999</v>
      </c>
      <c r="AL600" s="6">
        <v>123</v>
      </c>
      <c r="AO600" s="17">
        <v>598</v>
      </c>
      <c r="AP600" s="6">
        <v>1.1540299999999999</v>
      </c>
      <c r="AQ600" s="19">
        <v>-1.3303</v>
      </c>
      <c r="AR600" s="6">
        <v>0.58299999999999996</v>
      </c>
      <c r="AS600" s="6">
        <v>123</v>
      </c>
      <c r="AU600" s="17">
        <v>598</v>
      </c>
      <c r="AV600" s="6">
        <v>0.60680999999999996</v>
      </c>
      <c r="AW600" s="19">
        <v>-1.3303</v>
      </c>
      <c r="AX600" s="6">
        <v>0.58299999999999996</v>
      </c>
      <c r="AY600" s="6">
        <v>123</v>
      </c>
    </row>
    <row r="601" spans="28:51" x14ac:dyDescent="0.25">
      <c r="AB601" s="17">
        <v>599</v>
      </c>
      <c r="AC601" s="6">
        <v>3.2367599999999999</v>
      </c>
      <c r="AD601" s="19">
        <v>-4.7093999999999996</v>
      </c>
      <c r="AE601" s="6">
        <v>3.1097999999999999</v>
      </c>
      <c r="AF601" s="6">
        <v>123</v>
      </c>
      <c r="AH601" s="17">
        <v>599</v>
      </c>
      <c r="AI601" s="6">
        <v>6.1557000000000004</v>
      </c>
      <c r="AJ601" s="19">
        <v>-4.7093999999999996</v>
      </c>
      <c r="AK601" s="6">
        <v>3.1097999999999999</v>
      </c>
      <c r="AL601" s="6">
        <v>123</v>
      </c>
      <c r="AO601" s="17">
        <v>599</v>
      </c>
      <c r="AP601" s="6">
        <v>1.1552100000000001</v>
      </c>
      <c r="AQ601" s="19">
        <v>-1.2646999999999999</v>
      </c>
      <c r="AR601" s="6">
        <v>0.58360000000000001</v>
      </c>
      <c r="AS601" s="6">
        <v>123</v>
      </c>
      <c r="AU601" s="17">
        <v>599</v>
      </c>
      <c r="AV601" s="6">
        <v>0.60743000000000003</v>
      </c>
      <c r="AW601" s="19">
        <v>-1.2646999999999999</v>
      </c>
      <c r="AX601" s="6">
        <v>0.58360000000000001</v>
      </c>
      <c r="AY601" s="6">
        <v>123</v>
      </c>
    </row>
    <row r="602" spans="28:51" x14ac:dyDescent="0.25">
      <c r="AB602" s="17">
        <v>600</v>
      </c>
      <c r="AC602" s="6">
        <v>3.2407499999999998</v>
      </c>
      <c r="AD602" s="19">
        <v>-9.7805999999999997</v>
      </c>
      <c r="AE602" s="6">
        <v>3.1135999999999999</v>
      </c>
      <c r="AF602" s="6">
        <v>123</v>
      </c>
      <c r="AH602" s="17">
        <v>600</v>
      </c>
      <c r="AI602" s="6">
        <v>6.1632999999999996</v>
      </c>
      <c r="AJ602" s="19">
        <v>-9.7805999999999997</v>
      </c>
      <c r="AK602" s="6">
        <v>3.1135999999999999</v>
      </c>
      <c r="AL602" s="6">
        <v>123</v>
      </c>
      <c r="AO602" s="17">
        <v>600</v>
      </c>
      <c r="AP602" s="6">
        <v>1.1597500000000001</v>
      </c>
      <c r="AQ602" s="19">
        <v>-0.20799999999999999</v>
      </c>
      <c r="AR602" s="6">
        <v>0.58589999999999998</v>
      </c>
      <c r="AS602" s="6">
        <v>123</v>
      </c>
      <c r="AU602" s="17">
        <v>600</v>
      </c>
      <c r="AV602" s="6">
        <v>0.60982000000000003</v>
      </c>
      <c r="AW602" s="19">
        <v>-0.20799999999999999</v>
      </c>
      <c r="AX602" s="6">
        <v>0.58589999999999998</v>
      </c>
      <c r="AY602" s="6">
        <v>123</v>
      </c>
    </row>
    <row r="603" spans="28:51" x14ac:dyDescent="0.25">
      <c r="AB603" s="17">
        <v>601</v>
      </c>
      <c r="AC603" s="6">
        <v>3.2496999999999998</v>
      </c>
      <c r="AD603" s="19">
        <v>-5.2447999999999997</v>
      </c>
      <c r="AE603" s="6">
        <v>3.1221999999999999</v>
      </c>
      <c r="AF603" s="6">
        <v>123</v>
      </c>
      <c r="AH603" s="17">
        <v>601</v>
      </c>
      <c r="AI603" s="6">
        <v>6.1802999999999999</v>
      </c>
      <c r="AJ603" s="19">
        <v>-5.2447999999999997</v>
      </c>
      <c r="AK603" s="6">
        <v>3.1221999999999999</v>
      </c>
      <c r="AL603" s="6">
        <v>123</v>
      </c>
      <c r="AO603" s="17">
        <v>601</v>
      </c>
      <c r="AP603" s="6">
        <v>1.16082</v>
      </c>
      <c r="AQ603" s="19">
        <v>-0.62919999999999998</v>
      </c>
      <c r="AR603" s="6">
        <v>0.58640000000000003</v>
      </c>
      <c r="AS603" s="6">
        <v>123</v>
      </c>
      <c r="AU603" s="17">
        <v>601</v>
      </c>
      <c r="AV603" s="6">
        <v>0.61038000000000003</v>
      </c>
      <c r="AW603" s="19">
        <v>-0.62919999999999998</v>
      </c>
      <c r="AX603" s="6">
        <v>0.58640000000000003</v>
      </c>
      <c r="AY603" s="6">
        <v>123</v>
      </c>
    </row>
    <row r="604" spans="28:51" x14ac:dyDescent="0.25">
      <c r="AB604" s="17">
        <v>602</v>
      </c>
      <c r="AC604" s="6">
        <v>3.2605</v>
      </c>
      <c r="AD604" s="19">
        <v>-14.557</v>
      </c>
      <c r="AE604" s="6">
        <v>3.1326000000000001</v>
      </c>
      <c r="AF604" s="6">
        <v>123</v>
      </c>
      <c r="AH604" s="17">
        <v>602</v>
      </c>
      <c r="AI604" s="6">
        <v>6.2008000000000001</v>
      </c>
      <c r="AJ604" s="19">
        <v>-14.557</v>
      </c>
      <c r="AK604" s="6">
        <v>3.1326000000000001</v>
      </c>
      <c r="AL604" s="6">
        <v>123</v>
      </c>
      <c r="AO604" s="17">
        <v>602</v>
      </c>
      <c r="AP604" s="6">
        <v>1.17174</v>
      </c>
      <c r="AQ604" s="19">
        <v>-0.82879999999999998</v>
      </c>
      <c r="AR604" s="6">
        <v>0.59199999999999997</v>
      </c>
      <c r="AS604" s="6">
        <v>123</v>
      </c>
      <c r="AU604" s="17">
        <v>602</v>
      </c>
      <c r="AV604" s="6">
        <v>0.61612</v>
      </c>
      <c r="AW604" s="19">
        <v>-0.82879999999999998</v>
      </c>
      <c r="AX604" s="6">
        <v>0.59199999999999997</v>
      </c>
      <c r="AY604" s="6">
        <v>123</v>
      </c>
    </row>
    <row r="605" spans="28:51" x14ac:dyDescent="0.25">
      <c r="AB605" s="17">
        <v>603</v>
      </c>
      <c r="AC605" s="6">
        <v>3.2655799999999999</v>
      </c>
      <c r="AD605" s="19">
        <v>-6.4141000000000004</v>
      </c>
      <c r="AE605" s="6">
        <v>3.1375000000000002</v>
      </c>
      <c r="AF605" s="6">
        <v>123</v>
      </c>
      <c r="AH605" s="17">
        <v>603</v>
      </c>
      <c r="AI605" s="6">
        <v>6.2104999999999997</v>
      </c>
      <c r="AJ605" s="19">
        <v>-6.4141000000000004</v>
      </c>
      <c r="AK605" s="6">
        <v>3.1375000000000002</v>
      </c>
      <c r="AL605" s="6">
        <v>123</v>
      </c>
      <c r="AO605" s="17">
        <v>603</v>
      </c>
      <c r="AP605" s="6">
        <v>1.1550800000000001</v>
      </c>
      <c r="AQ605" s="19">
        <v>-0.90890000000000004</v>
      </c>
      <c r="AR605" s="6">
        <v>0.58350000000000002</v>
      </c>
      <c r="AS605" s="6">
        <v>123</v>
      </c>
      <c r="AU605" s="17">
        <v>603</v>
      </c>
      <c r="AV605" s="6">
        <v>0.60736000000000001</v>
      </c>
      <c r="AW605" s="19">
        <v>-0.90890000000000004</v>
      </c>
      <c r="AX605" s="6">
        <v>0.58350000000000002</v>
      </c>
      <c r="AY605" s="6">
        <v>123</v>
      </c>
    </row>
    <row r="606" spans="28:51" x14ac:dyDescent="0.25">
      <c r="AB606" s="17">
        <v>604</v>
      </c>
      <c r="AC606" s="6">
        <v>3.2092200000000002</v>
      </c>
      <c r="AD606" s="19">
        <v>-3.8256000000000001</v>
      </c>
      <c r="AE606" s="6">
        <v>3.0834000000000001</v>
      </c>
      <c r="AF606" s="6">
        <v>123</v>
      </c>
      <c r="AH606" s="17">
        <v>604</v>
      </c>
      <c r="AI606" s="6">
        <v>6.1032999999999999</v>
      </c>
      <c r="AJ606" s="19">
        <v>-3.8256000000000001</v>
      </c>
      <c r="AK606" s="6">
        <v>3.0834000000000001</v>
      </c>
      <c r="AL606" s="6">
        <v>123</v>
      </c>
      <c r="AO606" s="17">
        <v>604</v>
      </c>
      <c r="AP606" s="6">
        <v>1.1470199999999999</v>
      </c>
      <c r="AQ606" s="6">
        <v>0.9496</v>
      </c>
      <c r="AR606" s="6">
        <v>0.57950000000000002</v>
      </c>
      <c r="AS606" s="6">
        <v>123</v>
      </c>
      <c r="AU606" s="17">
        <v>604</v>
      </c>
      <c r="AV606" s="6">
        <v>0.60311999999999999</v>
      </c>
      <c r="AW606" s="6">
        <v>0.9496</v>
      </c>
      <c r="AX606" s="6">
        <v>0.57950000000000002</v>
      </c>
      <c r="AY606" s="6">
        <v>123</v>
      </c>
    </row>
    <row r="607" spans="28:51" x14ac:dyDescent="0.25">
      <c r="AB607" s="17">
        <v>605</v>
      </c>
      <c r="AC607" s="6">
        <v>3.2263299999999999</v>
      </c>
      <c r="AD607" s="19">
        <v>-2.6597</v>
      </c>
      <c r="AE607" s="6">
        <v>3.0998000000000001</v>
      </c>
      <c r="AF607" s="6">
        <v>123</v>
      </c>
      <c r="AH607" s="17">
        <v>605</v>
      </c>
      <c r="AI607" s="6">
        <v>6.1357999999999997</v>
      </c>
      <c r="AJ607" s="19">
        <v>-2.6597</v>
      </c>
      <c r="AK607" s="6">
        <v>3.0998000000000001</v>
      </c>
      <c r="AL607" s="6">
        <v>123</v>
      </c>
      <c r="AO607" s="17">
        <v>605</v>
      </c>
      <c r="AP607" s="6">
        <v>1.1520999999999999</v>
      </c>
      <c r="AQ607" s="19">
        <v>-0.57569999999999999</v>
      </c>
      <c r="AR607" s="6">
        <v>0.58199999999999996</v>
      </c>
      <c r="AS607" s="6">
        <v>123</v>
      </c>
      <c r="AU607" s="17">
        <v>605</v>
      </c>
      <c r="AV607" s="6">
        <v>0.60579000000000005</v>
      </c>
      <c r="AW607" s="19">
        <v>-0.57569999999999999</v>
      </c>
      <c r="AX607" s="6">
        <v>0.58199999999999996</v>
      </c>
      <c r="AY607" s="6">
        <v>123</v>
      </c>
    </row>
    <row r="608" spans="28:51" x14ac:dyDescent="0.25">
      <c r="AB608" s="17">
        <v>606</v>
      </c>
      <c r="AC608" s="6">
        <v>3.2278500000000001</v>
      </c>
      <c r="AD608" s="6">
        <v>2.5590999999999999</v>
      </c>
      <c r="AE608" s="6">
        <v>3.1012</v>
      </c>
      <c r="AF608" s="6">
        <v>123</v>
      </c>
      <c r="AH608" s="17">
        <v>606</v>
      </c>
      <c r="AI608" s="6">
        <v>6.1387</v>
      </c>
      <c r="AJ608" s="6">
        <v>2.5590999999999999</v>
      </c>
      <c r="AK608" s="6">
        <v>3.1012</v>
      </c>
      <c r="AL608" s="6">
        <v>123</v>
      </c>
      <c r="AO608" s="17">
        <v>606</v>
      </c>
      <c r="AP608" s="6">
        <v>1.1533800000000001</v>
      </c>
      <c r="AQ608" s="19">
        <v>-0.52880000000000005</v>
      </c>
      <c r="AR608" s="6">
        <v>0.5827</v>
      </c>
      <c r="AS608" s="6">
        <v>123</v>
      </c>
      <c r="AU608" s="17">
        <v>606</v>
      </c>
      <c r="AV608" s="6">
        <v>0.60646999999999995</v>
      </c>
      <c r="AW608" s="19">
        <v>-0.52880000000000005</v>
      </c>
      <c r="AX608" s="6">
        <v>0.5827</v>
      </c>
      <c r="AY608" s="6">
        <v>123</v>
      </c>
    </row>
    <row r="609" spans="28:51" x14ac:dyDescent="0.25">
      <c r="AB609" s="17">
        <v>607</v>
      </c>
      <c r="AC609" s="6">
        <v>3.21597</v>
      </c>
      <c r="AD609" s="19">
        <v>-0.29189999999999999</v>
      </c>
      <c r="AE609" s="6">
        <v>3.0897999999999999</v>
      </c>
      <c r="AF609" s="6">
        <v>123</v>
      </c>
      <c r="AH609" s="17">
        <v>607</v>
      </c>
      <c r="AI609" s="6">
        <v>6.1161000000000003</v>
      </c>
      <c r="AJ609" s="19">
        <v>-0.29189999999999999</v>
      </c>
      <c r="AK609" s="6">
        <v>3.0897999999999999</v>
      </c>
      <c r="AL609" s="6">
        <v>123</v>
      </c>
      <c r="AO609" s="17">
        <v>607</v>
      </c>
      <c r="AP609" s="6">
        <v>1.1517999999999999</v>
      </c>
      <c r="AQ609" s="19">
        <v>-0.2646</v>
      </c>
      <c r="AR609" s="6">
        <v>0.58189999999999997</v>
      </c>
      <c r="AS609" s="6">
        <v>123</v>
      </c>
      <c r="AU609" s="17">
        <v>607</v>
      </c>
      <c r="AV609" s="6">
        <v>0.60563999999999996</v>
      </c>
      <c r="AW609" s="19">
        <v>-0.2646</v>
      </c>
      <c r="AX609" s="6">
        <v>0.58189999999999997</v>
      </c>
      <c r="AY609" s="6">
        <v>123</v>
      </c>
    </row>
    <row r="610" spans="28:51" x14ac:dyDescent="0.25">
      <c r="AB610" s="17">
        <v>608</v>
      </c>
      <c r="AC610" s="6">
        <v>3.23238</v>
      </c>
      <c r="AD610" s="19">
        <v>-11.9915</v>
      </c>
      <c r="AE610" s="6">
        <v>3.1055999999999999</v>
      </c>
      <c r="AF610" s="6">
        <v>123</v>
      </c>
      <c r="AH610" s="17">
        <v>608</v>
      </c>
      <c r="AI610" s="6">
        <v>6.1474000000000002</v>
      </c>
      <c r="AJ610" s="19">
        <v>-11.9915</v>
      </c>
      <c r="AK610" s="6">
        <v>3.1055999999999999</v>
      </c>
      <c r="AL610" s="6">
        <v>123</v>
      </c>
      <c r="AO610" s="17">
        <v>608</v>
      </c>
      <c r="AP610" s="6">
        <v>1.1547000000000001</v>
      </c>
      <c r="AQ610" s="19">
        <v>-2.3902999999999999</v>
      </c>
      <c r="AR610" s="6">
        <v>0.58330000000000004</v>
      </c>
      <c r="AS610" s="6">
        <v>123</v>
      </c>
      <c r="AU610" s="17">
        <v>608</v>
      </c>
      <c r="AV610" s="6">
        <v>0.60716000000000003</v>
      </c>
      <c r="AW610" s="19">
        <v>-2.3902999999999999</v>
      </c>
      <c r="AX610" s="6">
        <v>0.58330000000000004</v>
      </c>
      <c r="AY610" s="6">
        <v>123</v>
      </c>
    </row>
    <row r="611" spans="28:51" x14ac:dyDescent="0.25">
      <c r="AB611" s="17">
        <v>609</v>
      </c>
      <c r="AC611" s="6">
        <v>3.21129</v>
      </c>
      <c r="AD611" s="19">
        <v>-7.7317</v>
      </c>
      <c r="AE611" s="6">
        <v>3.0853000000000002</v>
      </c>
      <c r="AF611" s="6">
        <v>123</v>
      </c>
      <c r="AH611" s="17">
        <v>609</v>
      </c>
      <c r="AI611" s="6">
        <v>6.1071999999999997</v>
      </c>
      <c r="AJ611" s="19">
        <v>-7.7317</v>
      </c>
      <c r="AK611" s="6">
        <v>3.0853000000000002</v>
      </c>
      <c r="AL611" s="6">
        <v>123</v>
      </c>
      <c r="AO611" s="17">
        <v>609</v>
      </c>
      <c r="AP611" s="6">
        <v>1.14741</v>
      </c>
      <c r="AQ611" s="19">
        <v>-0.9516</v>
      </c>
      <c r="AR611" s="6">
        <v>0.57969999999999999</v>
      </c>
      <c r="AS611" s="6">
        <v>123</v>
      </c>
      <c r="AU611" s="17">
        <v>609</v>
      </c>
      <c r="AV611" s="6">
        <v>0.60333000000000003</v>
      </c>
      <c r="AW611" s="19">
        <v>-0.9516</v>
      </c>
      <c r="AX611" s="6">
        <v>0.57969999999999999</v>
      </c>
      <c r="AY611" s="6">
        <v>123</v>
      </c>
    </row>
    <row r="612" spans="28:51" x14ac:dyDescent="0.25">
      <c r="AB612" s="17">
        <v>610</v>
      </c>
      <c r="AC612" s="6">
        <v>3.2311200000000002</v>
      </c>
      <c r="AD612" s="19">
        <v>-6.6322999999999999</v>
      </c>
      <c r="AE612" s="6">
        <v>3.1044</v>
      </c>
      <c r="AF612" s="6">
        <v>123</v>
      </c>
      <c r="AH612" s="17">
        <v>610</v>
      </c>
      <c r="AI612" s="6">
        <v>6.1449999999999996</v>
      </c>
      <c r="AJ612" s="19">
        <v>-6.6322999999999999</v>
      </c>
      <c r="AK612" s="6">
        <v>3.1044</v>
      </c>
      <c r="AL612" s="6">
        <v>123</v>
      </c>
      <c r="AO612" s="17">
        <v>610</v>
      </c>
      <c r="AP612" s="6">
        <v>1.15665</v>
      </c>
      <c r="AQ612" s="19">
        <v>-0.28189999999999998</v>
      </c>
      <c r="AR612" s="6">
        <v>0.58430000000000004</v>
      </c>
      <c r="AS612" s="6">
        <v>123</v>
      </c>
      <c r="AU612" s="17">
        <v>610</v>
      </c>
      <c r="AV612" s="6">
        <v>0.60819000000000001</v>
      </c>
      <c r="AW612" s="19">
        <v>-0.28189999999999998</v>
      </c>
      <c r="AX612" s="6">
        <v>0.58430000000000004</v>
      </c>
      <c r="AY612" s="6">
        <v>123</v>
      </c>
    </row>
    <row r="613" spans="28:51" x14ac:dyDescent="0.25">
      <c r="AB613" s="17">
        <v>611</v>
      </c>
      <c r="AC613" s="6">
        <v>3.23603</v>
      </c>
      <c r="AD613" s="19">
        <v>-10.78</v>
      </c>
      <c r="AE613" s="6">
        <v>3.1091000000000002</v>
      </c>
      <c r="AF613" s="6">
        <v>123</v>
      </c>
      <c r="AH613" s="17">
        <v>611</v>
      </c>
      <c r="AI613" s="6">
        <v>6.1543000000000001</v>
      </c>
      <c r="AJ613" s="19">
        <v>-10.78</v>
      </c>
      <c r="AK613" s="6">
        <v>3.1091000000000002</v>
      </c>
      <c r="AL613" s="6">
        <v>123</v>
      </c>
      <c r="AO613" s="17">
        <v>611</v>
      </c>
      <c r="AP613" s="6">
        <v>1.16347</v>
      </c>
      <c r="AQ613" s="19">
        <v>-1.2233000000000001</v>
      </c>
      <c r="AR613" s="6">
        <v>0.58779999999999999</v>
      </c>
      <c r="AS613" s="6">
        <v>123</v>
      </c>
      <c r="AU613" s="17">
        <v>611</v>
      </c>
      <c r="AV613" s="6">
        <v>0.61177000000000004</v>
      </c>
      <c r="AW613" s="19">
        <v>-1.2233000000000001</v>
      </c>
      <c r="AX613" s="6">
        <v>0.58779999999999999</v>
      </c>
      <c r="AY613" s="6">
        <v>123</v>
      </c>
    </row>
    <row r="614" spans="28:51" x14ac:dyDescent="0.25">
      <c r="AB614" s="17">
        <v>612</v>
      </c>
      <c r="AC614" s="6">
        <v>3.2206100000000002</v>
      </c>
      <c r="AD614" s="19">
        <v>-1.7344999999999999</v>
      </c>
      <c r="AE614" s="6">
        <v>3.0943000000000001</v>
      </c>
      <c r="AF614" s="6">
        <v>123</v>
      </c>
      <c r="AH614" s="17">
        <v>612</v>
      </c>
      <c r="AI614" s="6">
        <v>6.125</v>
      </c>
      <c r="AJ614" s="19">
        <v>-1.7344999999999999</v>
      </c>
      <c r="AK614" s="6">
        <v>3.0943000000000001</v>
      </c>
      <c r="AL614" s="6">
        <v>123</v>
      </c>
      <c r="AO614" s="17">
        <v>612</v>
      </c>
      <c r="AP614" s="6">
        <v>1.1511100000000001</v>
      </c>
      <c r="AQ614" s="19">
        <v>-1.7755000000000001</v>
      </c>
      <c r="AR614" s="6">
        <v>0.58150000000000002</v>
      </c>
      <c r="AS614" s="6">
        <v>123</v>
      </c>
      <c r="AU614" s="17">
        <v>612</v>
      </c>
      <c r="AV614" s="6">
        <v>0.60526999999999997</v>
      </c>
      <c r="AW614" s="19">
        <v>-1.7755000000000001</v>
      </c>
      <c r="AX614" s="6">
        <v>0.58150000000000002</v>
      </c>
      <c r="AY614" s="6">
        <v>123</v>
      </c>
    </row>
    <row r="615" spans="28:51" x14ac:dyDescent="0.25">
      <c r="AB615" s="17">
        <v>613</v>
      </c>
      <c r="AC615" s="6">
        <v>3.2260900000000001</v>
      </c>
      <c r="AD615" s="19">
        <v>-7.9569999999999999</v>
      </c>
      <c r="AE615" s="6">
        <v>3.0996000000000001</v>
      </c>
      <c r="AF615" s="6">
        <v>123</v>
      </c>
      <c r="AH615" s="17">
        <v>613</v>
      </c>
      <c r="AI615" s="6">
        <v>6.1353999999999997</v>
      </c>
      <c r="AJ615" s="19">
        <v>-7.9569999999999999</v>
      </c>
      <c r="AK615" s="6">
        <v>3.0996000000000001</v>
      </c>
      <c r="AL615" s="6">
        <v>123</v>
      </c>
      <c r="AO615" s="17">
        <v>613</v>
      </c>
      <c r="AP615" s="6">
        <v>1.1500600000000001</v>
      </c>
      <c r="AQ615" s="19">
        <v>-1.7202</v>
      </c>
      <c r="AR615" s="6">
        <v>0.58099999999999996</v>
      </c>
      <c r="AS615" s="6">
        <v>123</v>
      </c>
      <c r="AU615" s="17">
        <v>613</v>
      </c>
      <c r="AV615" s="6">
        <v>0.60472000000000004</v>
      </c>
      <c r="AW615" s="19">
        <v>-1.7202</v>
      </c>
      <c r="AX615" s="6">
        <v>0.58099999999999996</v>
      </c>
      <c r="AY615" s="6">
        <v>123</v>
      </c>
    </row>
    <row r="616" spans="28:51" x14ac:dyDescent="0.25">
      <c r="AB616" s="17">
        <v>614</v>
      </c>
      <c r="AC616" s="6">
        <v>3.2256499999999999</v>
      </c>
      <c r="AD616" s="19">
        <v>-6.1081000000000003</v>
      </c>
      <c r="AE616" s="6">
        <v>3.0991</v>
      </c>
      <c r="AF616" s="6">
        <v>123</v>
      </c>
      <c r="AH616" s="17">
        <v>614</v>
      </c>
      <c r="AI616" s="6">
        <v>6.1345999999999998</v>
      </c>
      <c r="AJ616" s="19">
        <v>-6.1081000000000003</v>
      </c>
      <c r="AK616" s="6">
        <v>3.0991</v>
      </c>
      <c r="AL616" s="6">
        <v>123</v>
      </c>
      <c r="AO616" s="17">
        <v>614</v>
      </c>
      <c r="AP616" s="6">
        <v>1.1521399999999999</v>
      </c>
      <c r="AQ616" s="19">
        <v>-2.1798999999999999</v>
      </c>
      <c r="AR616" s="6">
        <v>0.58209999999999995</v>
      </c>
      <c r="AS616" s="6">
        <v>123</v>
      </c>
      <c r="AU616" s="17">
        <v>614</v>
      </c>
      <c r="AV616" s="6">
        <v>0.60580999999999996</v>
      </c>
      <c r="AW616" s="19">
        <v>-2.1798999999999999</v>
      </c>
      <c r="AX616" s="6">
        <v>0.58209999999999995</v>
      </c>
      <c r="AY616" s="6">
        <v>123</v>
      </c>
    </row>
    <row r="617" spans="28:51" x14ac:dyDescent="0.25">
      <c r="AB617" s="17">
        <v>615</v>
      </c>
      <c r="AC617" s="6">
        <v>3.2492800000000002</v>
      </c>
      <c r="AD617" s="6">
        <v>0.84450000000000003</v>
      </c>
      <c r="AE617" s="6">
        <v>3.1217999999999999</v>
      </c>
      <c r="AF617" s="6">
        <v>123</v>
      </c>
      <c r="AH617" s="17">
        <v>615</v>
      </c>
      <c r="AI617" s="6">
        <v>6.1795</v>
      </c>
      <c r="AJ617" s="6">
        <v>0.84450000000000003</v>
      </c>
      <c r="AK617" s="6">
        <v>3.1217999999999999</v>
      </c>
      <c r="AL617" s="6">
        <v>123</v>
      </c>
      <c r="AO617" s="17">
        <v>615</v>
      </c>
      <c r="AP617" s="6">
        <v>1.1678200000000001</v>
      </c>
      <c r="AQ617" s="6">
        <v>0.12529999999999999</v>
      </c>
      <c r="AR617" s="6">
        <v>0.59</v>
      </c>
      <c r="AS617" s="6">
        <v>123</v>
      </c>
      <c r="AU617" s="17">
        <v>615</v>
      </c>
      <c r="AV617" s="6">
        <v>0.61406000000000005</v>
      </c>
      <c r="AW617" s="6">
        <v>0.12529999999999999</v>
      </c>
      <c r="AX617" s="6">
        <v>0.59</v>
      </c>
      <c r="AY617" s="6">
        <v>123</v>
      </c>
    </row>
    <row r="618" spans="28:51" x14ac:dyDescent="0.25">
      <c r="AB618" s="17">
        <v>616</v>
      </c>
      <c r="AC618" s="6">
        <v>3.2551100000000002</v>
      </c>
      <c r="AD618" s="19">
        <v>-5.4832999999999998</v>
      </c>
      <c r="AE618" s="6">
        <v>3.1274000000000002</v>
      </c>
      <c r="AF618" s="6">
        <v>123</v>
      </c>
      <c r="AH618" s="17">
        <v>616</v>
      </c>
      <c r="AI618" s="6">
        <v>6.1905999999999999</v>
      </c>
      <c r="AJ618" s="19">
        <v>-5.4832999999999998</v>
      </c>
      <c r="AK618" s="6">
        <v>3.1274000000000002</v>
      </c>
      <c r="AL618" s="6">
        <v>123</v>
      </c>
      <c r="AO618" s="17">
        <v>616</v>
      </c>
      <c r="AP618" s="6">
        <v>1.1648400000000001</v>
      </c>
      <c r="AQ618" s="19">
        <v>-2.2370000000000001</v>
      </c>
      <c r="AR618" s="6">
        <v>0.58850000000000002</v>
      </c>
      <c r="AS618" s="6">
        <v>123</v>
      </c>
      <c r="AU618" s="17">
        <v>616</v>
      </c>
      <c r="AV618" s="6">
        <v>0.61248999999999998</v>
      </c>
      <c r="AW618" s="19">
        <v>-2.2370000000000001</v>
      </c>
      <c r="AX618" s="6">
        <v>0.58850000000000002</v>
      </c>
      <c r="AY618" s="6">
        <v>123</v>
      </c>
    </row>
    <row r="619" spans="28:51" x14ac:dyDescent="0.25">
      <c r="AB619" s="17">
        <v>617</v>
      </c>
      <c r="AC619" s="6">
        <v>3.2563599999999999</v>
      </c>
      <c r="AD619" s="6">
        <v>5.3064999999999998</v>
      </c>
      <c r="AE619" s="6">
        <v>3.1286</v>
      </c>
      <c r="AF619" s="6">
        <v>123</v>
      </c>
      <c r="AH619" s="17">
        <v>617</v>
      </c>
      <c r="AI619" s="6">
        <v>6.1929999999999996</v>
      </c>
      <c r="AJ619" s="6">
        <v>5.3064999999999998</v>
      </c>
      <c r="AK619" s="6">
        <v>3.1286</v>
      </c>
      <c r="AL619" s="6">
        <v>123</v>
      </c>
      <c r="AO619" s="17">
        <v>617</v>
      </c>
      <c r="AP619" s="6">
        <v>1.1687399999999999</v>
      </c>
      <c r="AQ619" s="6">
        <v>0.43980000000000002</v>
      </c>
      <c r="AR619" s="6">
        <v>0.59040000000000004</v>
      </c>
      <c r="AS619" s="6">
        <v>123</v>
      </c>
      <c r="AU619" s="17">
        <v>617</v>
      </c>
      <c r="AV619" s="6">
        <v>0.61453999999999998</v>
      </c>
      <c r="AW619" s="6">
        <v>0.43980000000000002</v>
      </c>
      <c r="AX619" s="6">
        <v>0.59040000000000004</v>
      </c>
      <c r="AY619" s="6">
        <v>123</v>
      </c>
    </row>
    <row r="620" spans="28:51" x14ac:dyDescent="0.25">
      <c r="AB620" s="17">
        <v>618</v>
      </c>
      <c r="AC620" s="6">
        <v>3.2244000000000002</v>
      </c>
      <c r="AD620" s="6">
        <v>3.0794000000000001</v>
      </c>
      <c r="AE620" s="6">
        <v>3.0979000000000001</v>
      </c>
      <c r="AF620" s="6">
        <v>123</v>
      </c>
      <c r="AH620" s="17">
        <v>618</v>
      </c>
      <c r="AI620" s="6">
        <v>6.1322000000000001</v>
      </c>
      <c r="AJ620" s="6">
        <v>3.0794000000000001</v>
      </c>
      <c r="AK620" s="6">
        <v>3.0979000000000001</v>
      </c>
      <c r="AL620" s="6">
        <v>123</v>
      </c>
      <c r="AO620" s="17">
        <v>618</v>
      </c>
      <c r="AP620" s="6">
        <v>1.1558600000000001</v>
      </c>
      <c r="AQ620" s="6">
        <v>0.2369</v>
      </c>
      <c r="AR620" s="6">
        <v>0.58389999999999997</v>
      </c>
      <c r="AS620" s="6">
        <v>123</v>
      </c>
      <c r="AU620" s="17">
        <v>618</v>
      </c>
      <c r="AV620" s="6">
        <v>0.60777000000000003</v>
      </c>
      <c r="AW620" s="6">
        <v>0.2369</v>
      </c>
      <c r="AX620" s="6">
        <v>0.58389999999999997</v>
      </c>
      <c r="AY620" s="6">
        <v>123</v>
      </c>
    </row>
    <row r="621" spans="28:51" x14ac:dyDescent="0.25">
      <c r="AB621" s="17">
        <v>619</v>
      </c>
      <c r="AC621" s="6">
        <v>3.2240600000000001</v>
      </c>
      <c r="AD621" s="19">
        <v>-5.8708</v>
      </c>
      <c r="AE621" s="6">
        <v>3.0975999999999999</v>
      </c>
      <c r="AF621" s="6">
        <v>123</v>
      </c>
      <c r="AH621" s="17">
        <v>619</v>
      </c>
      <c r="AI621" s="6">
        <v>6.1315</v>
      </c>
      <c r="AJ621" s="19">
        <v>-5.8708</v>
      </c>
      <c r="AK621" s="6">
        <v>3.0975999999999999</v>
      </c>
      <c r="AL621" s="6">
        <v>123</v>
      </c>
      <c r="AO621" s="17">
        <v>619</v>
      </c>
      <c r="AP621" s="6">
        <v>1.1555299999999999</v>
      </c>
      <c r="AQ621" s="19">
        <v>-1.1073</v>
      </c>
      <c r="AR621" s="6">
        <v>0.58379999999999999</v>
      </c>
      <c r="AS621" s="6">
        <v>123</v>
      </c>
      <c r="AU621" s="17">
        <v>619</v>
      </c>
      <c r="AV621" s="6">
        <v>0.60760000000000003</v>
      </c>
      <c r="AW621" s="19">
        <v>-1.1073</v>
      </c>
      <c r="AX621" s="6">
        <v>0.58379999999999999</v>
      </c>
      <c r="AY621" s="6">
        <v>123</v>
      </c>
    </row>
    <row r="622" spans="28:51" x14ac:dyDescent="0.25">
      <c r="AB622" s="17">
        <v>620</v>
      </c>
      <c r="AC622" s="6">
        <v>3.2123699999999999</v>
      </c>
      <c r="AD622" s="19">
        <v>-3.4035000000000002</v>
      </c>
      <c r="AE622" s="6">
        <v>3.0863999999999998</v>
      </c>
      <c r="AF622" s="6">
        <v>123</v>
      </c>
      <c r="AH622" s="17">
        <v>620</v>
      </c>
      <c r="AI622" s="6">
        <v>6.1093000000000002</v>
      </c>
      <c r="AJ622" s="19">
        <v>-3.4035000000000002</v>
      </c>
      <c r="AK622" s="6">
        <v>3.0863999999999998</v>
      </c>
      <c r="AL622" s="6">
        <v>123</v>
      </c>
      <c r="AO622" s="17">
        <v>620</v>
      </c>
      <c r="AP622" s="6">
        <v>1.15151</v>
      </c>
      <c r="AQ622" s="19">
        <v>-0.89659999999999995</v>
      </c>
      <c r="AR622" s="6">
        <v>0.58169999999999999</v>
      </c>
      <c r="AS622" s="6">
        <v>123</v>
      </c>
      <c r="AU622" s="17">
        <v>620</v>
      </c>
      <c r="AV622" s="6">
        <v>0.60548000000000002</v>
      </c>
      <c r="AW622" s="19">
        <v>-0.89659999999999995</v>
      </c>
      <c r="AX622" s="6">
        <v>0.58169999999999999</v>
      </c>
      <c r="AY622" s="6">
        <v>123</v>
      </c>
    </row>
    <row r="623" spans="28:51" x14ac:dyDescent="0.25">
      <c r="AB623" s="17">
        <v>621</v>
      </c>
      <c r="AC623" s="6">
        <v>5.1342800000000004</v>
      </c>
      <c r="AD623" s="6">
        <v>5.5521000000000003</v>
      </c>
      <c r="AE623" s="6">
        <v>4.9329000000000001</v>
      </c>
      <c r="AF623" s="6">
        <v>123</v>
      </c>
      <c r="AH623" s="17">
        <v>621</v>
      </c>
      <c r="AI623" s="6">
        <v>9.7644000000000002</v>
      </c>
      <c r="AJ623" s="6">
        <v>5.5521000000000003</v>
      </c>
      <c r="AK623" s="6">
        <v>4.9329000000000001</v>
      </c>
      <c r="AL623" s="6">
        <v>123</v>
      </c>
      <c r="AO623" s="17">
        <v>621</v>
      </c>
      <c r="AP623" s="6">
        <v>1.8230500000000001</v>
      </c>
      <c r="AQ623" s="19">
        <v>-0.37940000000000002</v>
      </c>
      <c r="AR623" s="6">
        <v>0.92100000000000004</v>
      </c>
      <c r="AS623" s="6">
        <v>123</v>
      </c>
      <c r="AU623" s="17">
        <v>621</v>
      </c>
      <c r="AV623" s="6">
        <v>0.95859000000000005</v>
      </c>
      <c r="AW623" s="19">
        <v>-0.37940000000000002</v>
      </c>
      <c r="AX623" s="6">
        <v>0.92100000000000004</v>
      </c>
      <c r="AY623" s="6">
        <v>123</v>
      </c>
    </row>
    <row r="624" spans="28:51" x14ac:dyDescent="0.25">
      <c r="AB624" s="17">
        <v>622</v>
      </c>
      <c r="AC624" s="6">
        <v>3.2153499999999999</v>
      </c>
      <c r="AD624" s="6">
        <v>3.6718999999999999</v>
      </c>
      <c r="AE624" s="6">
        <v>3.0891999999999999</v>
      </c>
      <c r="AF624" s="6">
        <v>123</v>
      </c>
      <c r="AH624" s="17">
        <v>622</v>
      </c>
      <c r="AI624" s="6">
        <v>6.1150000000000002</v>
      </c>
      <c r="AJ624" s="6">
        <v>3.6718999999999999</v>
      </c>
      <c r="AK624" s="6">
        <v>3.0891999999999999</v>
      </c>
      <c r="AL624" s="6">
        <v>123</v>
      </c>
      <c r="AO624" s="17">
        <v>622</v>
      </c>
      <c r="AP624" s="6">
        <v>1.1539900000000001</v>
      </c>
      <c r="AQ624" s="19">
        <v>-0.11650000000000001</v>
      </c>
      <c r="AR624" s="6">
        <v>0.58299999999999996</v>
      </c>
      <c r="AS624" s="6">
        <v>123</v>
      </c>
      <c r="AU624" s="17">
        <v>622</v>
      </c>
      <c r="AV624" s="6">
        <v>0.60677999999999999</v>
      </c>
      <c r="AW624" s="19">
        <v>-0.11650000000000001</v>
      </c>
      <c r="AX624" s="6">
        <v>0.58299999999999996</v>
      </c>
      <c r="AY624" s="6">
        <v>123</v>
      </c>
    </row>
    <row r="625" spans="28:51" x14ac:dyDescent="0.25">
      <c r="AB625" s="17">
        <v>623</v>
      </c>
      <c r="AC625" s="6">
        <v>3.22322</v>
      </c>
      <c r="AD625" s="6">
        <v>6.1580000000000004</v>
      </c>
      <c r="AE625" s="6">
        <v>3.0968</v>
      </c>
      <c r="AF625" s="6">
        <v>123</v>
      </c>
      <c r="AH625" s="17">
        <v>623</v>
      </c>
      <c r="AI625" s="6">
        <v>6.1299000000000001</v>
      </c>
      <c r="AJ625" s="6">
        <v>6.1580000000000004</v>
      </c>
      <c r="AK625" s="6">
        <v>3.0968</v>
      </c>
      <c r="AL625" s="6">
        <v>123</v>
      </c>
      <c r="AO625" s="17">
        <v>623</v>
      </c>
      <c r="AP625" s="6">
        <v>1.1563699999999999</v>
      </c>
      <c r="AQ625" s="19">
        <v>-0.64900000000000002</v>
      </c>
      <c r="AR625" s="6">
        <v>0.58420000000000005</v>
      </c>
      <c r="AS625" s="6">
        <v>123</v>
      </c>
      <c r="AU625" s="17">
        <v>623</v>
      </c>
      <c r="AV625" s="6">
        <v>0.60804000000000002</v>
      </c>
      <c r="AW625" s="19">
        <v>-0.64900000000000002</v>
      </c>
      <c r="AX625" s="6">
        <v>0.58420000000000005</v>
      </c>
      <c r="AY625" s="6">
        <v>123</v>
      </c>
    </row>
    <row r="626" spans="28:51" x14ac:dyDescent="0.25">
      <c r="AB626" s="17">
        <v>624</v>
      </c>
      <c r="AC626" s="6">
        <v>3.23455</v>
      </c>
      <c r="AD626" s="6">
        <v>6.8441999999999998</v>
      </c>
      <c r="AE626" s="6">
        <v>3.1076999999999999</v>
      </c>
      <c r="AF626" s="6">
        <v>123</v>
      </c>
      <c r="AH626" s="17">
        <v>624</v>
      </c>
      <c r="AI626" s="6">
        <v>6.1515000000000004</v>
      </c>
      <c r="AJ626" s="6">
        <v>6.8441999999999998</v>
      </c>
      <c r="AK626" s="6">
        <v>3.1076999999999999</v>
      </c>
      <c r="AL626" s="6">
        <v>123</v>
      </c>
      <c r="AO626" s="17">
        <v>624</v>
      </c>
      <c r="AP626" s="6">
        <v>1.1545799999999999</v>
      </c>
      <c r="AQ626" s="19">
        <v>-0.58350000000000002</v>
      </c>
      <c r="AR626" s="6">
        <v>0.58330000000000004</v>
      </c>
      <c r="AS626" s="6">
        <v>123</v>
      </c>
      <c r="AU626" s="17">
        <v>624</v>
      </c>
      <c r="AV626" s="6">
        <v>0.60709999999999997</v>
      </c>
      <c r="AW626" s="19">
        <v>-0.58350000000000002</v>
      </c>
      <c r="AX626" s="6">
        <v>0.58330000000000004</v>
      </c>
      <c r="AY626" s="6">
        <v>123</v>
      </c>
    </row>
    <row r="627" spans="28:51" x14ac:dyDescent="0.25">
      <c r="AB627" s="17">
        <v>625</v>
      </c>
      <c r="AC627" s="6">
        <v>3.2164100000000002</v>
      </c>
      <c r="AD627" s="6">
        <v>1.7729999999999999</v>
      </c>
      <c r="AE627" s="6">
        <v>3.0903</v>
      </c>
      <c r="AF627" s="6">
        <v>123</v>
      </c>
      <c r="AH627" s="17">
        <v>625</v>
      </c>
      <c r="AI627" s="6">
        <v>6.117</v>
      </c>
      <c r="AJ627" s="6">
        <v>1.7729999999999999</v>
      </c>
      <c r="AK627" s="6">
        <v>3.0903</v>
      </c>
      <c r="AL627" s="6">
        <v>123</v>
      </c>
      <c r="AO627" s="17">
        <v>625</v>
      </c>
      <c r="AP627" s="6">
        <v>1.1606700000000001</v>
      </c>
      <c r="AQ627" s="6">
        <v>0.4733</v>
      </c>
      <c r="AR627" s="6">
        <v>0.58640000000000003</v>
      </c>
      <c r="AS627" s="6">
        <v>123</v>
      </c>
      <c r="AU627" s="17">
        <v>625</v>
      </c>
      <c r="AV627" s="6">
        <v>0.61029999999999995</v>
      </c>
      <c r="AW627" s="6">
        <v>0.4733</v>
      </c>
      <c r="AX627" s="6">
        <v>0.58640000000000003</v>
      </c>
      <c r="AY627" s="6">
        <v>123</v>
      </c>
    </row>
    <row r="628" spans="28:51" x14ac:dyDescent="0.25">
      <c r="AB628" s="17">
        <v>626</v>
      </c>
      <c r="AC628" s="6">
        <v>3.2383700000000002</v>
      </c>
      <c r="AD628" s="6">
        <v>6.3087</v>
      </c>
      <c r="AE628" s="6">
        <v>3.1114000000000002</v>
      </c>
      <c r="AF628" s="6">
        <v>123</v>
      </c>
      <c r="AH628" s="17">
        <v>626</v>
      </c>
      <c r="AI628" s="6">
        <v>6.1588000000000003</v>
      </c>
      <c r="AJ628" s="6">
        <v>6.3087</v>
      </c>
      <c r="AK628" s="6">
        <v>3.1114000000000002</v>
      </c>
      <c r="AL628" s="6">
        <v>123</v>
      </c>
      <c r="AO628" s="17">
        <v>626</v>
      </c>
      <c r="AP628" s="6">
        <v>1.1640299999999999</v>
      </c>
      <c r="AQ628" s="6">
        <v>5.1979999999999998E-2</v>
      </c>
      <c r="AR628" s="6">
        <v>0.58809999999999996</v>
      </c>
      <c r="AS628" s="6">
        <v>123</v>
      </c>
      <c r="AU628" s="17">
        <v>626</v>
      </c>
      <c r="AV628" s="6">
        <v>0.61207</v>
      </c>
      <c r="AW628" s="6">
        <v>5.1979999999999998E-2</v>
      </c>
      <c r="AX628" s="6">
        <v>0.58809999999999996</v>
      </c>
      <c r="AY628" s="6">
        <v>123</v>
      </c>
    </row>
    <row r="629" spans="28:51" x14ac:dyDescent="0.25">
      <c r="AB629" s="17">
        <v>627</v>
      </c>
      <c r="AC629" s="6">
        <v>3.2555200000000002</v>
      </c>
      <c r="AD629" s="19">
        <v>-3.0034999999999998</v>
      </c>
      <c r="AE629" s="6">
        <v>3.1278000000000001</v>
      </c>
      <c r="AF629" s="6">
        <v>123</v>
      </c>
      <c r="AH629" s="17">
        <v>627</v>
      </c>
      <c r="AI629" s="6">
        <v>6.1913999999999998</v>
      </c>
      <c r="AJ629" s="19">
        <v>-3.0034999999999998</v>
      </c>
      <c r="AK629" s="6">
        <v>3.1278000000000001</v>
      </c>
      <c r="AL629" s="6">
        <v>123</v>
      </c>
      <c r="AO629" s="17">
        <v>627</v>
      </c>
      <c r="AP629" s="6">
        <v>1.1730700000000001</v>
      </c>
      <c r="AQ629" s="19">
        <v>-0.14760000000000001</v>
      </c>
      <c r="AR629" s="6">
        <v>0.59260000000000002</v>
      </c>
      <c r="AS629" s="6">
        <v>123</v>
      </c>
      <c r="AU629" s="17">
        <v>627</v>
      </c>
      <c r="AV629" s="6">
        <v>0.61682000000000003</v>
      </c>
      <c r="AW629" s="19">
        <v>-0.14760000000000001</v>
      </c>
      <c r="AX629" s="6">
        <v>0.59260000000000002</v>
      </c>
      <c r="AY629" s="6">
        <v>123</v>
      </c>
    </row>
    <row r="630" spans="28:51" x14ac:dyDescent="0.25">
      <c r="AB630" s="17">
        <v>628</v>
      </c>
      <c r="AC630" s="6">
        <v>3.2369599999999998</v>
      </c>
      <c r="AD630" s="6">
        <v>5.1395</v>
      </c>
      <c r="AE630" s="6">
        <v>3.11</v>
      </c>
      <c r="AF630" s="6">
        <v>123</v>
      </c>
      <c r="AH630" s="17">
        <v>628</v>
      </c>
      <c r="AI630" s="6">
        <v>6.1561000000000003</v>
      </c>
      <c r="AJ630" s="6">
        <v>5.1395</v>
      </c>
      <c r="AK630" s="6">
        <v>3.11</v>
      </c>
      <c r="AL630" s="6">
        <v>123</v>
      </c>
      <c r="AO630" s="17">
        <v>628</v>
      </c>
      <c r="AP630" s="6">
        <v>1.14856</v>
      </c>
      <c r="AQ630" s="19">
        <v>-0.22770000000000001</v>
      </c>
      <c r="AR630" s="6">
        <v>0.58020000000000005</v>
      </c>
      <c r="AS630" s="6">
        <v>123</v>
      </c>
      <c r="AU630" s="17">
        <v>628</v>
      </c>
      <c r="AV630" s="6">
        <v>0.60392999999999997</v>
      </c>
      <c r="AW630" s="19">
        <v>-0.22770000000000001</v>
      </c>
      <c r="AX630" s="6">
        <v>0.58020000000000005</v>
      </c>
      <c r="AY630" s="6">
        <v>123</v>
      </c>
    </row>
    <row r="631" spans="28:51" x14ac:dyDescent="0.25">
      <c r="AB631" s="17">
        <v>629</v>
      </c>
      <c r="AC631" s="6">
        <v>3.2014800000000001</v>
      </c>
      <c r="AD631" s="6">
        <v>7.7279999999999998</v>
      </c>
      <c r="AE631" s="6">
        <v>3.0758999999999999</v>
      </c>
      <c r="AF631" s="6">
        <v>123</v>
      </c>
      <c r="AH631" s="17">
        <v>629</v>
      </c>
      <c r="AI631" s="6">
        <v>6.0885999999999996</v>
      </c>
      <c r="AJ631" s="6">
        <v>7.7279999999999998</v>
      </c>
      <c r="AK631" s="6">
        <v>3.0758999999999999</v>
      </c>
      <c r="AL631" s="6">
        <v>123</v>
      </c>
      <c r="AO631" s="17">
        <v>629</v>
      </c>
      <c r="AP631" s="6">
        <v>1.15472</v>
      </c>
      <c r="AQ631" s="6">
        <v>1.6308</v>
      </c>
      <c r="AR631" s="6">
        <v>0.58340000000000003</v>
      </c>
      <c r="AS631" s="6">
        <v>123</v>
      </c>
      <c r="AU631" s="17">
        <v>629</v>
      </c>
      <c r="AV631" s="6">
        <v>0.60716999999999999</v>
      </c>
      <c r="AW631" s="6">
        <v>1.6308</v>
      </c>
      <c r="AX631" s="6">
        <v>0.58340000000000003</v>
      </c>
      <c r="AY631" s="6">
        <v>123</v>
      </c>
    </row>
    <row r="632" spans="28:51" x14ac:dyDescent="0.25">
      <c r="AB632" s="17">
        <v>630</v>
      </c>
      <c r="AC632" s="6">
        <v>3.2059099999999998</v>
      </c>
      <c r="AD632" s="6">
        <v>8.8939000000000004</v>
      </c>
      <c r="AE632" s="6">
        <v>3.0802</v>
      </c>
      <c r="AF632" s="6">
        <v>123</v>
      </c>
      <c r="AH632" s="17">
        <v>630</v>
      </c>
      <c r="AI632" s="6">
        <v>6.0970000000000004</v>
      </c>
      <c r="AJ632" s="6">
        <v>8.8939000000000004</v>
      </c>
      <c r="AK632" s="6">
        <v>3.0802</v>
      </c>
      <c r="AL632" s="6">
        <v>123</v>
      </c>
      <c r="AO632" s="17">
        <v>630</v>
      </c>
      <c r="AP632" s="6">
        <v>1.15029</v>
      </c>
      <c r="AQ632" s="6">
        <v>0.1055</v>
      </c>
      <c r="AR632" s="6">
        <v>0.58109999999999995</v>
      </c>
      <c r="AS632" s="6">
        <v>123</v>
      </c>
      <c r="AU632" s="17">
        <v>630</v>
      </c>
      <c r="AV632" s="6">
        <v>0.60484000000000004</v>
      </c>
      <c r="AW632" s="6">
        <v>0.1055</v>
      </c>
      <c r="AX632" s="6">
        <v>0.58109999999999995</v>
      </c>
      <c r="AY632" s="6">
        <v>123</v>
      </c>
    </row>
    <row r="633" spans="28:51" x14ac:dyDescent="0.25">
      <c r="AB633" s="17">
        <v>631</v>
      </c>
      <c r="AC633" s="6">
        <v>3.2186699999999999</v>
      </c>
      <c r="AD633" s="6">
        <v>14.1127</v>
      </c>
      <c r="AE633" s="6">
        <v>3.0924</v>
      </c>
      <c r="AF633" s="6">
        <v>123</v>
      </c>
      <c r="AH633" s="17">
        <v>631</v>
      </c>
      <c r="AI633" s="6">
        <v>6.1212999999999997</v>
      </c>
      <c r="AJ633" s="6">
        <v>14.1127</v>
      </c>
      <c r="AK633" s="6">
        <v>3.0924</v>
      </c>
      <c r="AL633" s="6">
        <v>123</v>
      </c>
      <c r="AO633" s="17">
        <v>631</v>
      </c>
      <c r="AP633" s="6">
        <v>1.1525000000000001</v>
      </c>
      <c r="AQ633" s="6">
        <v>0.15240000000000001</v>
      </c>
      <c r="AR633" s="6">
        <v>0.58220000000000005</v>
      </c>
      <c r="AS633" s="6">
        <v>123</v>
      </c>
      <c r="AU633" s="17">
        <v>631</v>
      </c>
      <c r="AV633" s="6">
        <v>0.60599999999999998</v>
      </c>
      <c r="AW633" s="6">
        <v>0.15240000000000001</v>
      </c>
      <c r="AX633" s="6">
        <v>0.58220000000000005</v>
      </c>
      <c r="AY633" s="6">
        <v>123</v>
      </c>
    </row>
    <row r="634" spans="28:51" x14ac:dyDescent="0.25">
      <c r="AB634" s="17">
        <v>632</v>
      </c>
      <c r="AC634" s="6">
        <v>3.2188400000000001</v>
      </c>
      <c r="AD634" s="6">
        <v>11.2616</v>
      </c>
      <c r="AE634" s="6">
        <v>3.0926</v>
      </c>
      <c r="AF634" s="6">
        <v>123</v>
      </c>
      <c r="AH634" s="17">
        <v>632</v>
      </c>
      <c r="AI634" s="6">
        <v>6.1215999999999999</v>
      </c>
      <c r="AJ634" s="6">
        <v>11.2616</v>
      </c>
      <c r="AK634" s="6">
        <v>3.0926</v>
      </c>
      <c r="AL634" s="6">
        <v>123</v>
      </c>
      <c r="AO634" s="17">
        <v>632</v>
      </c>
      <c r="AP634" s="6">
        <v>1.15689</v>
      </c>
      <c r="AQ634" s="6">
        <v>0.41660000000000003</v>
      </c>
      <c r="AR634" s="6">
        <v>0.58450000000000002</v>
      </c>
      <c r="AS634" s="6">
        <v>123</v>
      </c>
      <c r="AU634" s="17">
        <v>632</v>
      </c>
      <c r="AV634" s="6">
        <v>0.60831000000000002</v>
      </c>
      <c r="AW634" s="6">
        <v>0.41660000000000003</v>
      </c>
      <c r="AX634" s="6">
        <v>0.58450000000000002</v>
      </c>
      <c r="AY634" s="6">
        <v>123</v>
      </c>
    </row>
    <row r="635" spans="28:51" x14ac:dyDescent="0.25">
      <c r="AB635" s="17">
        <v>633</v>
      </c>
      <c r="AC635" s="6">
        <v>3.22716</v>
      </c>
      <c r="AD635" s="19">
        <v>-0.43790000000000001</v>
      </c>
      <c r="AE635" s="6">
        <v>3.1006</v>
      </c>
      <c r="AF635" s="6">
        <v>123</v>
      </c>
      <c r="AH635" s="17">
        <v>633</v>
      </c>
      <c r="AI635" s="6">
        <v>6.1374000000000004</v>
      </c>
      <c r="AJ635" s="19">
        <v>-0.43790000000000001</v>
      </c>
      <c r="AK635" s="6">
        <v>3.1006</v>
      </c>
      <c r="AL635" s="6">
        <v>123</v>
      </c>
      <c r="AO635" s="17">
        <v>633</v>
      </c>
      <c r="AP635" s="6">
        <v>1.1486499999999999</v>
      </c>
      <c r="AQ635" s="19">
        <v>-1.7091000000000001</v>
      </c>
      <c r="AR635" s="6">
        <v>0.58030000000000004</v>
      </c>
      <c r="AS635" s="6">
        <v>123</v>
      </c>
      <c r="AU635" s="17">
        <v>633</v>
      </c>
      <c r="AV635" s="6">
        <v>0.60397999999999996</v>
      </c>
      <c r="AW635" s="19">
        <v>-1.7091000000000001</v>
      </c>
      <c r="AX635" s="6">
        <v>0.58030000000000004</v>
      </c>
      <c r="AY635" s="6">
        <v>123</v>
      </c>
    </row>
    <row r="636" spans="28:51" x14ac:dyDescent="0.25">
      <c r="AB636" s="17">
        <v>634</v>
      </c>
      <c r="AC636" s="6">
        <v>3.2210399999999999</v>
      </c>
      <c r="AD636" s="6">
        <v>3.8218000000000001</v>
      </c>
      <c r="AE636" s="6">
        <v>3.0947</v>
      </c>
      <c r="AF636" s="6">
        <v>123</v>
      </c>
      <c r="AH636" s="17">
        <v>634</v>
      </c>
      <c r="AI636" s="6">
        <v>6.1257999999999999</v>
      </c>
      <c r="AJ636" s="6">
        <v>3.8218000000000001</v>
      </c>
      <c r="AK636" s="6">
        <v>3.0947</v>
      </c>
      <c r="AL636" s="6">
        <v>123</v>
      </c>
      <c r="AO636" s="17">
        <v>634</v>
      </c>
      <c r="AP636" s="6">
        <v>1.15394</v>
      </c>
      <c r="AQ636" s="19">
        <v>-0.27039999999999997</v>
      </c>
      <c r="AR636" s="6">
        <v>0.58299999999999996</v>
      </c>
      <c r="AS636" s="6">
        <v>123</v>
      </c>
      <c r="AU636" s="17">
        <v>634</v>
      </c>
      <c r="AV636" s="6">
        <v>0.60675999999999997</v>
      </c>
      <c r="AW636" s="19">
        <v>-0.27039999999999997</v>
      </c>
      <c r="AX636" s="6">
        <v>0.58299999999999996</v>
      </c>
      <c r="AY636" s="6">
        <v>123</v>
      </c>
    </row>
    <row r="637" spans="28:51" x14ac:dyDescent="0.25">
      <c r="AB637" s="17">
        <v>635</v>
      </c>
      <c r="AC637" s="6">
        <v>3.2148400000000001</v>
      </c>
      <c r="AD637" s="6">
        <v>4.9211999999999998</v>
      </c>
      <c r="AE637" s="6">
        <v>3.0888</v>
      </c>
      <c r="AF637" s="6">
        <v>123</v>
      </c>
      <c r="AH637" s="17">
        <v>635</v>
      </c>
      <c r="AI637" s="6">
        <v>6.1139999999999999</v>
      </c>
      <c r="AJ637" s="6">
        <v>4.9211999999999998</v>
      </c>
      <c r="AK637" s="6">
        <v>3.0888</v>
      </c>
      <c r="AL637" s="6">
        <v>123</v>
      </c>
      <c r="AO637" s="17">
        <v>635</v>
      </c>
      <c r="AP637" s="6">
        <v>1.1515200000000001</v>
      </c>
      <c r="AQ637" s="6">
        <v>0.39939999999999998</v>
      </c>
      <c r="AR637" s="6">
        <v>0.58169999999999999</v>
      </c>
      <c r="AS637" s="6">
        <v>123</v>
      </c>
      <c r="AU637" s="17">
        <v>635</v>
      </c>
      <c r="AV637" s="6">
        <v>0.60548999999999997</v>
      </c>
      <c r="AW637" s="6">
        <v>0.39939999999999998</v>
      </c>
      <c r="AX637" s="6">
        <v>0.58169999999999999</v>
      </c>
      <c r="AY637" s="6">
        <v>123</v>
      </c>
    </row>
    <row r="638" spans="28:51" x14ac:dyDescent="0.25">
      <c r="AB638" s="17">
        <v>636</v>
      </c>
      <c r="AC638" s="6">
        <v>3.2429299999999999</v>
      </c>
      <c r="AD638" s="6">
        <v>0.77359999999999995</v>
      </c>
      <c r="AE638" s="6">
        <v>3.1156999999999999</v>
      </c>
      <c r="AF638" s="6">
        <v>123</v>
      </c>
      <c r="AH638" s="17">
        <v>636</v>
      </c>
      <c r="AI638" s="6">
        <v>6.1673999999999998</v>
      </c>
      <c r="AJ638" s="6">
        <v>0.77359999999999995</v>
      </c>
      <c r="AK638" s="6">
        <v>3.1156999999999999</v>
      </c>
      <c r="AL638" s="6">
        <v>123</v>
      </c>
      <c r="AO638" s="17">
        <v>636</v>
      </c>
      <c r="AP638" s="6">
        <v>1.16859</v>
      </c>
      <c r="AQ638" s="19">
        <v>-0.54210000000000003</v>
      </c>
      <c r="AR638" s="6">
        <v>0.59040000000000004</v>
      </c>
      <c r="AS638" s="6">
        <v>123</v>
      </c>
      <c r="AU638" s="17">
        <v>636</v>
      </c>
      <c r="AV638" s="6">
        <v>0.61446000000000001</v>
      </c>
      <c r="AW638" s="19">
        <v>-0.54210000000000003</v>
      </c>
      <c r="AX638" s="6">
        <v>0.59040000000000004</v>
      </c>
      <c r="AY638" s="6">
        <v>123</v>
      </c>
    </row>
    <row r="639" spans="28:51" x14ac:dyDescent="0.25">
      <c r="AB639" s="17">
        <v>637</v>
      </c>
      <c r="AC639" s="6">
        <v>3.2199599999999999</v>
      </c>
      <c r="AD639" s="6">
        <v>9.8190000000000008</v>
      </c>
      <c r="AE639" s="6">
        <v>3.0937000000000001</v>
      </c>
      <c r="AF639" s="6">
        <v>123</v>
      </c>
      <c r="AH639" s="17">
        <v>637</v>
      </c>
      <c r="AI639" s="6">
        <v>6.1237000000000004</v>
      </c>
      <c r="AJ639" s="6">
        <v>9.8190000000000008</v>
      </c>
      <c r="AK639" s="6">
        <v>3.0937000000000001</v>
      </c>
      <c r="AL639" s="6">
        <v>123</v>
      </c>
      <c r="AO639" s="17">
        <v>637</v>
      </c>
      <c r="AP639" s="6">
        <v>1.1542399999999999</v>
      </c>
      <c r="AQ639" s="19">
        <v>-1.0943000000000001</v>
      </c>
      <c r="AR639" s="6">
        <v>0.58309999999999995</v>
      </c>
      <c r="AS639" s="6">
        <v>123</v>
      </c>
      <c r="AU639" s="17">
        <v>637</v>
      </c>
      <c r="AV639" s="6">
        <v>0.60692000000000002</v>
      </c>
      <c r="AW639" s="19">
        <v>-1.0943000000000001</v>
      </c>
      <c r="AX639" s="6">
        <v>0.58309999999999995</v>
      </c>
      <c r="AY639" s="6">
        <v>123</v>
      </c>
    </row>
    <row r="640" spans="28:51" x14ac:dyDescent="0.25">
      <c r="AB640" s="17">
        <v>638</v>
      </c>
      <c r="AC640" s="6">
        <v>3.2211400000000001</v>
      </c>
      <c r="AD640" s="6">
        <v>3.5964999999999998</v>
      </c>
      <c r="AE640" s="6">
        <v>3.0948000000000002</v>
      </c>
      <c r="AF640" s="6">
        <v>123</v>
      </c>
      <c r="AH640" s="17">
        <v>638</v>
      </c>
      <c r="AI640" s="6">
        <v>6.1260000000000003</v>
      </c>
      <c r="AJ640" s="6">
        <v>3.5964999999999998</v>
      </c>
      <c r="AK640" s="6">
        <v>3.0948000000000002</v>
      </c>
      <c r="AL640" s="6">
        <v>123</v>
      </c>
      <c r="AO640" s="17">
        <v>638</v>
      </c>
      <c r="AP640" s="6">
        <v>1.15446</v>
      </c>
      <c r="AQ640" s="19">
        <v>-1.0388999999999999</v>
      </c>
      <c r="AR640" s="6">
        <v>0.58320000000000005</v>
      </c>
      <c r="AS640" s="6">
        <v>123</v>
      </c>
      <c r="AU640" s="17">
        <v>638</v>
      </c>
      <c r="AV640" s="6">
        <v>0.60704000000000002</v>
      </c>
      <c r="AW640" s="19">
        <v>-1.0388999999999999</v>
      </c>
      <c r="AX640" s="6">
        <v>0.58320000000000005</v>
      </c>
      <c r="AY640" s="6">
        <v>123</v>
      </c>
    </row>
    <row r="641" spans="28:51" x14ac:dyDescent="0.25">
      <c r="AB641" s="17">
        <v>639</v>
      </c>
      <c r="AC641" s="6">
        <v>3.2170800000000002</v>
      </c>
      <c r="AD641" s="6">
        <v>5.4454000000000002</v>
      </c>
      <c r="AE641" s="6">
        <v>3.0909</v>
      </c>
      <c r="AF641" s="6">
        <v>123</v>
      </c>
      <c r="AH641" s="17">
        <v>639</v>
      </c>
      <c r="AI641" s="6">
        <v>6.1181999999999999</v>
      </c>
      <c r="AJ641" s="6">
        <v>5.4454000000000002</v>
      </c>
      <c r="AK641" s="6">
        <v>3.0909</v>
      </c>
      <c r="AL641" s="6">
        <v>123</v>
      </c>
      <c r="AO641" s="17">
        <v>639</v>
      </c>
      <c r="AP641" s="6">
        <v>1.1499699999999999</v>
      </c>
      <c r="AQ641" s="19">
        <v>-1.4986999999999999</v>
      </c>
      <c r="AR641" s="6">
        <v>0.58099999999999996</v>
      </c>
      <c r="AS641" s="6">
        <v>123</v>
      </c>
      <c r="AU641" s="17">
        <v>639</v>
      </c>
      <c r="AV641" s="6">
        <v>0.60467000000000004</v>
      </c>
      <c r="AW641" s="19">
        <v>-1.4986999999999999</v>
      </c>
      <c r="AX641" s="6">
        <v>0.58099999999999996</v>
      </c>
      <c r="AY641" s="6">
        <v>123</v>
      </c>
    </row>
    <row r="642" spans="28:51" x14ac:dyDescent="0.25">
      <c r="AB642" s="17">
        <v>640</v>
      </c>
      <c r="AC642" s="6">
        <v>3.2479399999999998</v>
      </c>
      <c r="AD642" s="6">
        <v>12.398</v>
      </c>
      <c r="AE642" s="6">
        <v>3.1206</v>
      </c>
      <c r="AF642" s="6">
        <v>123</v>
      </c>
      <c r="AH642" s="17">
        <v>640</v>
      </c>
      <c r="AI642" s="6">
        <v>6.1768999999999998</v>
      </c>
      <c r="AJ642" s="6">
        <v>12.398</v>
      </c>
      <c r="AK642" s="6">
        <v>3.1206</v>
      </c>
      <c r="AL642" s="6">
        <v>123</v>
      </c>
      <c r="AO642" s="17">
        <v>640</v>
      </c>
      <c r="AP642" s="6">
        <v>1.17106</v>
      </c>
      <c r="AQ642" s="6">
        <v>0.80649999999999999</v>
      </c>
      <c r="AR642" s="6">
        <v>0.59160000000000001</v>
      </c>
      <c r="AS642" s="6">
        <v>123</v>
      </c>
      <c r="AU642" s="17">
        <v>640</v>
      </c>
      <c r="AV642" s="6">
        <v>0.61575999999999997</v>
      </c>
      <c r="AW642" s="6">
        <v>0.80649999999999999</v>
      </c>
      <c r="AX642" s="6">
        <v>0.59160000000000001</v>
      </c>
      <c r="AY642" s="6">
        <v>123</v>
      </c>
    </row>
    <row r="643" spans="28:51" x14ac:dyDescent="0.25">
      <c r="AB643" s="17">
        <v>641</v>
      </c>
      <c r="AC643" s="6">
        <v>3.23386</v>
      </c>
      <c r="AD643" s="6">
        <v>6.0702999999999996</v>
      </c>
      <c r="AE643" s="6">
        <v>3.1070000000000002</v>
      </c>
      <c r="AF643" s="6">
        <v>123</v>
      </c>
      <c r="AH643" s="17">
        <v>641</v>
      </c>
      <c r="AI643" s="6">
        <v>6.1501999999999999</v>
      </c>
      <c r="AJ643" s="6">
        <v>6.0702999999999996</v>
      </c>
      <c r="AK643" s="6">
        <v>3.1070000000000002</v>
      </c>
      <c r="AL643" s="6">
        <v>123</v>
      </c>
      <c r="AO643" s="17">
        <v>641</v>
      </c>
      <c r="AP643" s="6">
        <v>1.1618299999999999</v>
      </c>
      <c r="AQ643" s="19">
        <v>-1.5558000000000001</v>
      </c>
      <c r="AR643" s="6">
        <v>0.58689999999999998</v>
      </c>
      <c r="AS643" s="6">
        <v>123</v>
      </c>
      <c r="AU643" s="17">
        <v>641</v>
      </c>
      <c r="AV643" s="6">
        <v>0.61090999999999995</v>
      </c>
      <c r="AW643" s="19">
        <v>-1.5558000000000001</v>
      </c>
      <c r="AX643" s="6">
        <v>0.58689999999999998</v>
      </c>
      <c r="AY643" s="6">
        <v>123</v>
      </c>
    </row>
    <row r="644" spans="28:51" x14ac:dyDescent="0.25">
      <c r="AB644" s="17">
        <v>642</v>
      </c>
      <c r="AC644" s="6">
        <v>3.2436099999999999</v>
      </c>
      <c r="AD644" s="6">
        <v>16.86</v>
      </c>
      <c r="AE644" s="6">
        <v>3.1164000000000001</v>
      </c>
      <c r="AF644" s="6">
        <v>123</v>
      </c>
      <c r="AH644" s="17">
        <v>642</v>
      </c>
      <c r="AI644" s="6">
        <v>6.1687000000000003</v>
      </c>
      <c r="AJ644" s="6">
        <v>16.86</v>
      </c>
      <c r="AK644" s="6">
        <v>3.1164000000000001</v>
      </c>
      <c r="AL644" s="6">
        <v>123</v>
      </c>
      <c r="AO644" s="17">
        <v>642</v>
      </c>
      <c r="AP644" s="6">
        <v>1.16554</v>
      </c>
      <c r="AQ644" s="6">
        <v>1.1211</v>
      </c>
      <c r="AR644" s="6">
        <v>0.58879999999999999</v>
      </c>
      <c r="AS644" s="6">
        <v>123</v>
      </c>
      <c r="AU644" s="17">
        <v>642</v>
      </c>
      <c r="AV644" s="6">
        <v>0.61285999999999996</v>
      </c>
      <c r="AW644" s="6">
        <v>1.1211</v>
      </c>
      <c r="AX644" s="6">
        <v>0.58879999999999999</v>
      </c>
      <c r="AY644" s="6">
        <v>123</v>
      </c>
    </row>
    <row r="645" spans="28:51" x14ac:dyDescent="0.25">
      <c r="AB645" s="17">
        <v>643</v>
      </c>
      <c r="AC645" s="6">
        <v>3.2095600000000002</v>
      </c>
      <c r="AD645" s="6">
        <v>14.632999999999999</v>
      </c>
      <c r="AE645" s="6">
        <v>3.0836999999999999</v>
      </c>
      <c r="AF645" s="6">
        <v>123</v>
      </c>
      <c r="AH645" s="17">
        <v>643</v>
      </c>
      <c r="AI645" s="6">
        <v>6.1040000000000001</v>
      </c>
      <c r="AJ645" s="6">
        <v>14.632999999999999</v>
      </c>
      <c r="AK645" s="6">
        <v>3.0836999999999999</v>
      </c>
      <c r="AL645" s="6">
        <v>123</v>
      </c>
      <c r="AO645" s="17">
        <v>643</v>
      </c>
      <c r="AP645" s="6">
        <v>1.14958</v>
      </c>
      <c r="AQ645" s="6">
        <v>0.91820000000000002</v>
      </c>
      <c r="AR645" s="6">
        <v>0.58079999999999998</v>
      </c>
      <c r="AS645" s="6">
        <v>123</v>
      </c>
      <c r="AU645" s="17">
        <v>643</v>
      </c>
      <c r="AV645" s="6">
        <v>0.60446999999999995</v>
      </c>
      <c r="AW645" s="6">
        <v>0.91820000000000002</v>
      </c>
      <c r="AX645" s="6">
        <v>0.58079999999999998</v>
      </c>
      <c r="AY645" s="6">
        <v>123</v>
      </c>
    </row>
    <row r="646" spans="28:51" x14ac:dyDescent="0.25">
      <c r="AB646" s="17">
        <v>644</v>
      </c>
      <c r="AC646" s="6">
        <v>3.2242000000000002</v>
      </c>
      <c r="AD646" s="6">
        <v>5.6826999999999996</v>
      </c>
      <c r="AE646" s="6">
        <v>3.0977000000000001</v>
      </c>
      <c r="AF646" s="6">
        <v>123</v>
      </c>
      <c r="AH646" s="17">
        <v>644</v>
      </c>
      <c r="AI646" s="6">
        <v>6.1318000000000001</v>
      </c>
      <c r="AJ646" s="6">
        <v>5.6826999999999996</v>
      </c>
      <c r="AK646" s="6">
        <v>3.0977000000000001</v>
      </c>
      <c r="AL646" s="6">
        <v>123</v>
      </c>
      <c r="AO646" s="17">
        <v>644</v>
      </c>
      <c r="AP646" s="6">
        <v>1.1590499999999999</v>
      </c>
      <c r="AQ646" s="19">
        <v>-0.42609999999999998</v>
      </c>
      <c r="AR646" s="6">
        <v>0.58550000000000002</v>
      </c>
      <c r="AS646" s="6">
        <v>123</v>
      </c>
      <c r="AU646" s="17">
        <v>644</v>
      </c>
      <c r="AV646" s="6">
        <v>0.60945000000000005</v>
      </c>
      <c r="AW646" s="19">
        <v>-0.42609999999999998</v>
      </c>
      <c r="AX646" s="6">
        <v>0.58550000000000002</v>
      </c>
      <c r="AY646" s="6">
        <v>123</v>
      </c>
    </row>
    <row r="647" spans="28:51" x14ac:dyDescent="0.25">
      <c r="AB647" s="17">
        <v>645</v>
      </c>
      <c r="AC647" s="6">
        <v>3.20499</v>
      </c>
      <c r="AD647" s="6">
        <v>8.15</v>
      </c>
      <c r="AE647" s="6">
        <v>3.0792999999999999</v>
      </c>
      <c r="AF647" s="6">
        <v>123</v>
      </c>
      <c r="AH647" s="17">
        <v>645</v>
      </c>
      <c r="AI647" s="6">
        <v>6.0952999999999999</v>
      </c>
      <c r="AJ647" s="6">
        <v>8.15</v>
      </c>
      <c r="AK647" s="6">
        <v>3.0792999999999999</v>
      </c>
      <c r="AL647" s="6">
        <v>123</v>
      </c>
      <c r="AO647" s="17">
        <v>645</v>
      </c>
      <c r="AP647" s="6">
        <v>1.1485399999999999</v>
      </c>
      <c r="AQ647" s="19">
        <v>-0.21540000000000001</v>
      </c>
      <c r="AR647" s="6">
        <v>0.58020000000000005</v>
      </c>
      <c r="AS647" s="6">
        <v>123</v>
      </c>
      <c r="AU647" s="17">
        <v>645</v>
      </c>
      <c r="AV647" s="6">
        <v>0.60392000000000001</v>
      </c>
      <c r="AW647" s="19">
        <v>-0.21540000000000001</v>
      </c>
      <c r="AX647" s="6">
        <v>0.58020000000000005</v>
      </c>
      <c r="AY647" s="6">
        <v>123</v>
      </c>
    </row>
    <row r="648" spans="28:51" x14ac:dyDescent="0.25">
      <c r="AB648" s="17">
        <v>646</v>
      </c>
      <c r="AC648" s="6">
        <v>5.1229800000000001</v>
      </c>
      <c r="AD648" s="6">
        <v>17.105699999999999</v>
      </c>
      <c r="AE648" s="6">
        <v>4.9221000000000004</v>
      </c>
      <c r="AF648" s="6">
        <v>123</v>
      </c>
      <c r="AH648" s="17">
        <v>646</v>
      </c>
      <c r="AI648" s="6">
        <v>9.7429000000000006</v>
      </c>
      <c r="AJ648" s="6">
        <v>17.105699999999999</v>
      </c>
      <c r="AK648" s="6">
        <v>4.9221000000000004</v>
      </c>
      <c r="AL648" s="6">
        <v>123</v>
      </c>
      <c r="AO648" s="17">
        <v>646</v>
      </c>
      <c r="AP648" s="6">
        <v>1.8244199999999999</v>
      </c>
      <c r="AQ648" s="6">
        <v>0.30180000000000001</v>
      </c>
      <c r="AR648" s="6">
        <v>0.92169999999999996</v>
      </c>
      <c r="AS648" s="6">
        <v>123</v>
      </c>
      <c r="AU648" s="17">
        <v>646</v>
      </c>
      <c r="AV648" s="6">
        <v>0.95931</v>
      </c>
      <c r="AW648" s="6">
        <v>0.30180000000000001</v>
      </c>
      <c r="AX648" s="6">
        <v>0.92169999999999996</v>
      </c>
      <c r="AY648" s="6">
        <v>123</v>
      </c>
    </row>
    <row r="649" spans="28:51" x14ac:dyDescent="0.25">
      <c r="AB649" s="17">
        <v>647</v>
      </c>
      <c r="AC649" s="6">
        <v>3.21469</v>
      </c>
      <c r="AD649" s="6">
        <v>2.4862000000000002</v>
      </c>
      <c r="AE649" s="6">
        <v>3.0886</v>
      </c>
      <c r="AF649" s="6">
        <v>123</v>
      </c>
      <c r="AH649" s="17">
        <v>647</v>
      </c>
      <c r="AI649" s="6">
        <v>6.1136999999999997</v>
      </c>
      <c r="AJ649" s="6">
        <v>2.4862000000000002</v>
      </c>
      <c r="AK649" s="6">
        <v>3.0886</v>
      </c>
      <c r="AL649" s="6">
        <v>123</v>
      </c>
      <c r="AO649" s="17">
        <v>647</v>
      </c>
      <c r="AP649" s="6">
        <v>1.1470499999999999</v>
      </c>
      <c r="AQ649" s="19">
        <v>-0.53259999999999996</v>
      </c>
      <c r="AR649" s="6">
        <v>0.57950000000000002</v>
      </c>
      <c r="AS649" s="6">
        <v>123</v>
      </c>
      <c r="AU649" s="17">
        <v>647</v>
      </c>
      <c r="AV649" s="6">
        <v>0.60314000000000001</v>
      </c>
      <c r="AW649" s="19">
        <v>-0.53259999999999996</v>
      </c>
      <c r="AX649" s="6">
        <v>0.57950000000000002</v>
      </c>
      <c r="AY649" s="6">
        <v>123</v>
      </c>
    </row>
    <row r="650" spans="28:51" x14ac:dyDescent="0.25">
      <c r="AB650" s="17">
        <v>648</v>
      </c>
      <c r="AC650" s="6">
        <v>3.2137899999999999</v>
      </c>
      <c r="AD650" s="6">
        <v>3.1722999999999999</v>
      </c>
      <c r="AE650" s="6">
        <v>3.0876999999999999</v>
      </c>
      <c r="AF650" s="6">
        <v>123</v>
      </c>
      <c r="AH650" s="17">
        <v>648</v>
      </c>
      <c r="AI650" s="6">
        <v>6.1120000000000001</v>
      </c>
      <c r="AJ650" s="6">
        <v>3.1722999999999999</v>
      </c>
      <c r="AK650" s="6">
        <v>3.0876999999999999</v>
      </c>
      <c r="AL650" s="6">
        <v>123</v>
      </c>
      <c r="AO650" s="17">
        <v>648</v>
      </c>
      <c r="AP650" s="6">
        <v>1.1373500000000001</v>
      </c>
      <c r="AQ650" s="19">
        <v>-0.46700000000000003</v>
      </c>
      <c r="AR650" s="6">
        <v>0.5746</v>
      </c>
      <c r="AS650" s="6">
        <v>123</v>
      </c>
      <c r="AU650" s="17">
        <v>648</v>
      </c>
      <c r="AV650" s="6">
        <v>0.59802999999999995</v>
      </c>
      <c r="AW650" s="19">
        <v>-0.46700000000000003</v>
      </c>
      <c r="AX650" s="6">
        <v>0.5746</v>
      </c>
      <c r="AY650" s="6">
        <v>123</v>
      </c>
    </row>
    <row r="651" spans="28:51" x14ac:dyDescent="0.25">
      <c r="AB651" s="17">
        <v>649</v>
      </c>
      <c r="AC651" s="6">
        <v>3.2067399999999999</v>
      </c>
      <c r="AD651" s="19">
        <v>-1.8989</v>
      </c>
      <c r="AE651" s="6">
        <v>3.081</v>
      </c>
      <c r="AF651" s="6">
        <v>123</v>
      </c>
      <c r="AH651" s="17">
        <v>649</v>
      </c>
      <c r="AI651" s="6">
        <v>6.0986000000000002</v>
      </c>
      <c r="AJ651" s="19">
        <v>-1.8989</v>
      </c>
      <c r="AK651" s="6">
        <v>3.081</v>
      </c>
      <c r="AL651" s="6">
        <v>123</v>
      </c>
      <c r="AO651" s="17">
        <v>649</v>
      </c>
      <c r="AP651" s="6">
        <v>1.1488100000000001</v>
      </c>
      <c r="AQ651" s="6">
        <v>0.5897</v>
      </c>
      <c r="AR651" s="6">
        <v>0.58040000000000003</v>
      </c>
      <c r="AS651" s="6">
        <v>123</v>
      </c>
      <c r="AU651" s="17">
        <v>649</v>
      </c>
      <c r="AV651" s="6">
        <v>0.60406000000000004</v>
      </c>
      <c r="AW651" s="6">
        <v>0.5897</v>
      </c>
      <c r="AX651" s="6">
        <v>0.58040000000000003</v>
      </c>
      <c r="AY651" s="6">
        <v>123</v>
      </c>
    </row>
    <row r="652" spans="28:51" x14ac:dyDescent="0.25">
      <c r="AB652" s="17">
        <v>650</v>
      </c>
      <c r="AC652" s="6">
        <v>3.2216499999999999</v>
      </c>
      <c r="AD652" s="6">
        <v>2.6368999999999998</v>
      </c>
      <c r="AE652" s="6">
        <v>3.0952999999999999</v>
      </c>
      <c r="AF652" s="6">
        <v>123</v>
      </c>
      <c r="AH652" s="17">
        <v>650</v>
      </c>
      <c r="AI652" s="6">
        <v>6.1269999999999998</v>
      </c>
      <c r="AJ652" s="6">
        <v>2.6368999999999998</v>
      </c>
      <c r="AK652" s="6">
        <v>3.0952999999999999</v>
      </c>
      <c r="AL652" s="6">
        <v>123</v>
      </c>
      <c r="AO652" s="17">
        <v>650</v>
      </c>
      <c r="AP652" s="6">
        <v>1.1481600000000001</v>
      </c>
      <c r="AQ652" s="6">
        <v>0.16850000000000001</v>
      </c>
      <c r="AR652" s="6">
        <v>0.57999999999999996</v>
      </c>
      <c r="AS652" s="6">
        <v>123</v>
      </c>
      <c r="AU652" s="17">
        <v>650</v>
      </c>
      <c r="AV652" s="6">
        <v>0.60372000000000003</v>
      </c>
      <c r="AW652" s="6">
        <v>0.16850000000000001</v>
      </c>
      <c r="AX652" s="6">
        <v>0.57999999999999996</v>
      </c>
      <c r="AY652" s="6">
        <v>123</v>
      </c>
    </row>
    <row r="653" spans="28:51" x14ac:dyDescent="0.25">
      <c r="AB653" s="17">
        <v>651</v>
      </c>
      <c r="AC653" s="6">
        <v>3.24621</v>
      </c>
      <c r="AD653" s="19">
        <v>-6.6753</v>
      </c>
      <c r="AE653" s="6">
        <v>3.1189</v>
      </c>
      <c r="AF653" s="6">
        <v>123</v>
      </c>
      <c r="AH653" s="17">
        <v>651</v>
      </c>
      <c r="AI653" s="6">
        <v>6.1737000000000002</v>
      </c>
      <c r="AJ653" s="19">
        <v>-6.6753</v>
      </c>
      <c r="AK653" s="6">
        <v>3.1189</v>
      </c>
      <c r="AL653" s="6">
        <v>123</v>
      </c>
      <c r="AO653" s="17">
        <v>651</v>
      </c>
      <c r="AP653" s="6">
        <v>1.1618299999999999</v>
      </c>
      <c r="AQ653" s="19">
        <v>-3.1109999999999999E-2</v>
      </c>
      <c r="AR653" s="6">
        <v>0.58689999999999998</v>
      </c>
      <c r="AS653" s="6">
        <v>123</v>
      </c>
      <c r="AU653" s="17">
        <v>651</v>
      </c>
      <c r="AV653" s="6">
        <v>0.61090999999999995</v>
      </c>
      <c r="AW653" s="19">
        <v>-3.1109999999999999E-2</v>
      </c>
      <c r="AX653" s="6">
        <v>0.58689999999999998</v>
      </c>
      <c r="AY653" s="6">
        <v>123</v>
      </c>
    </row>
    <row r="654" spans="28:51" x14ac:dyDescent="0.25">
      <c r="AB654" s="17">
        <v>652</v>
      </c>
      <c r="AC654" s="6">
        <v>3.24525</v>
      </c>
      <c r="AD654" s="6">
        <v>1.4676</v>
      </c>
      <c r="AE654" s="6">
        <v>3.1179999999999999</v>
      </c>
      <c r="AF654" s="6">
        <v>123</v>
      </c>
      <c r="AH654" s="17">
        <v>652</v>
      </c>
      <c r="AI654" s="6">
        <v>6.1718000000000002</v>
      </c>
      <c r="AJ654" s="6">
        <v>1.4676</v>
      </c>
      <c r="AK654" s="6">
        <v>3.1179999999999999</v>
      </c>
      <c r="AL654" s="6">
        <v>123</v>
      </c>
      <c r="AO654" s="17">
        <v>652</v>
      </c>
      <c r="AP654" s="6">
        <v>1.1450199999999999</v>
      </c>
      <c r="AQ654" s="19">
        <v>-0.11119999999999999</v>
      </c>
      <c r="AR654" s="6">
        <v>0.57850000000000001</v>
      </c>
      <c r="AS654" s="6">
        <v>123</v>
      </c>
      <c r="AU654" s="17">
        <v>652</v>
      </c>
      <c r="AV654" s="6">
        <v>0.60206999999999999</v>
      </c>
      <c r="AW654" s="19">
        <v>-0.11119999999999999</v>
      </c>
      <c r="AX654" s="6">
        <v>0.57850000000000001</v>
      </c>
      <c r="AY654" s="6">
        <v>123</v>
      </c>
    </row>
    <row r="655" spans="28:51" x14ac:dyDescent="0.25">
      <c r="AB655" s="17">
        <v>653</v>
      </c>
      <c r="AC655" s="6">
        <v>3.2078000000000002</v>
      </c>
      <c r="AD655" s="6">
        <v>4.0560999999999998</v>
      </c>
      <c r="AE655" s="6">
        <v>3.0819999999999999</v>
      </c>
      <c r="AF655" s="6">
        <v>123</v>
      </c>
      <c r="AH655" s="17">
        <v>653</v>
      </c>
      <c r="AI655" s="6">
        <v>6.1006</v>
      </c>
      <c r="AJ655" s="6">
        <v>4.0560999999999998</v>
      </c>
      <c r="AK655" s="6">
        <v>3.0819999999999999</v>
      </c>
      <c r="AL655" s="6">
        <v>123</v>
      </c>
      <c r="AO655" s="17">
        <v>653</v>
      </c>
      <c r="AP655" s="6">
        <v>1.1452100000000001</v>
      </c>
      <c r="AQ655" s="6">
        <v>1.7473000000000001</v>
      </c>
      <c r="AR655" s="6">
        <v>0.5786</v>
      </c>
      <c r="AS655" s="6">
        <v>123</v>
      </c>
      <c r="AU655" s="17">
        <v>653</v>
      </c>
      <c r="AV655" s="6">
        <v>0.60216999999999998</v>
      </c>
      <c r="AW655" s="6">
        <v>1.7473000000000001</v>
      </c>
      <c r="AX655" s="6">
        <v>0.5786</v>
      </c>
      <c r="AY655" s="6">
        <v>123</v>
      </c>
    </row>
    <row r="656" spans="28:51" x14ac:dyDescent="0.25">
      <c r="AB656" s="17">
        <v>654</v>
      </c>
      <c r="AC656" s="6">
        <v>3.1930900000000002</v>
      </c>
      <c r="AD656" s="6">
        <v>5.2220000000000004</v>
      </c>
      <c r="AE656" s="6">
        <v>3.0678999999999998</v>
      </c>
      <c r="AF656" s="6">
        <v>123</v>
      </c>
      <c r="AH656" s="17">
        <v>654</v>
      </c>
      <c r="AI656" s="6">
        <v>6.0726000000000004</v>
      </c>
      <c r="AJ656" s="6">
        <v>5.2220000000000004</v>
      </c>
      <c r="AK656" s="6">
        <v>3.0678999999999998</v>
      </c>
      <c r="AL656" s="6">
        <v>123</v>
      </c>
      <c r="AO656" s="17">
        <v>654</v>
      </c>
      <c r="AP656" s="6">
        <v>1.1422399999999999</v>
      </c>
      <c r="AQ656" s="6">
        <v>0.222</v>
      </c>
      <c r="AR656" s="6">
        <v>0.57709999999999995</v>
      </c>
      <c r="AS656" s="6">
        <v>123</v>
      </c>
      <c r="AU656" s="17">
        <v>654</v>
      </c>
      <c r="AV656" s="6">
        <v>0.60060999999999998</v>
      </c>
      <c r="AW656" s="6">
        <v>0.222</v>
      </c>
      <c r="AX656" s="6">
        <v>0.57709999999999995</v>
      </c>
      <c r="AY656" s="6">
        <v>123</v>
      </c>
    </row>
    <row r="657" spans="28:51" x14ac:dyDescent="0.25">
      <c r="AB657" s="17">
        <v>655</v>
      </c>
      <c r="AC657" s="6">
        <v>3.18988</v>
      </c>
      <c r="AD657" s="6">
        <v>10.440799999999999</v>
      </c>
      <c r="AE657" s="6">
        <v>3.0648</v>
      </c>
      <c r="AF657" s="6">
        <v>123</v>
      </c>
      <c r="AH657" s="17">
        <v>655</v>
      </c>
      <c r="AI657" s="6">
        <v>6.0664999999999996</v>
      </c>
      <c r="AJ657" s="6">
        <v>10.440799999999999</v>
      </c>
      <c r="AK657" s="6">
        <v>3.0648</v>
      </c>
      <c r="AL657" s="6">
        <v>123</v>
      </c>
      <c r="AO657" s="17">
        <v>655</v>
      </c>
      <c r="AP657" s="6">
        <v>1.1351500000000001</v>
      </c>
      <c r="AQ657" s="6">
        <v>0.26889999999999997</v>
      </c>
      <c r="AR657" s="6">
        <v>0.57350000000000001</v>
      </c>
      <c r="AS657" s="6">
        <v>123</v>
      </c>
      <c r="AU657" s="17">
        <v>655</v>
      </c>
      <c r="AV657" s="6">
        <v>0.59687999999999997</v>
      </c>
      <c r="AW657" s="6">
        <v>0.26889999999999997</v>
      </c>
      <c r="AX657" s="6">
        <v>0.57350000000000001</v>
      </c>
      <c r="AY657" s="6">
        <v>123</v>
      </c>
    </row>
    <row r="658" spans="28:51" x14ac:dyDescent="0.25">
      <c r="AB658" s="17">
        <v>656</v>
      </c>
      <c r="AC658" s="6">
        <v>3.2038899999999999</v>
      </c>
      <c r="AD658" s="6">
        <v>7.5898000000000003</v>
      </c>
      <c r="AE658" s="6">
        <v>3.0781999999999998</v>
      </c>
      <c r="AF658" s="6">
        <v>123</v>
      </c>
      <c r="AH658" s="17">
        <v>656</v>
      </c>
      <c r="AI658" s="6">
        <v>6.0932000000000004</v>
      </c>
      <c r="AJ658" s="6">
        <v>7.5898000000000003</v>
      </c>
      <c r="AK658" s="6">
        <v>3.0781999999999998</v>
      </c>
      <c r="AL658" s="6">
        <v>123</v>
      </c>
      <c r="AO658" s="17">
        <v>656</v>
      </c>
      <c r="AP658" s="6">
        <v>1.1452199999999999</v>
      </c>
      <c r="AQ658" s="6">
        <v>0.53310000000000002</v>
      </c>
      <c r="AR658" s="6">
        <v>0.5786</v>
      </c>
      <c r="AS658" s="6">
        <v>123</v>
      </c>
      <c r="AU658" s="17">
        <v>656</v>
      </c>
      <c r="AV658" s="6">
        <v>0.60218000000000005</v>
      </c>
      <c r="AW658" s="6">
        <v>0.53310000000000002</v>
      </c>
      <c r="AX658" s="6">
        <v>0.5786</v>
      </c>
      <c r="AY658" s="6">
        <v>123</v>
      </c>
    </row>
    <row r="659" spans="28:51" x14ac:dyDescent="0.25">
      <c r="AB659" s="17">
        <v>657</v>
      </c>
      <c r="AC659" s="6">
        <v>3.2025399999999999</v>
      </c>
      <c r="AD659" s="19">
        <v>-4.1097999999999999</v>
      </c>
      <c r="AE659" s="6">
        <v>3.0769000000000002</v>
      </c>
      <c r="AF659" s="6">
        <v>123</v>
      </c>
      <c r="AH659" s="17">
        <v>657</v>
      </c>
      <c r="AI659" s="6">
        <v>6.0906000000000002</v>
      </c>
      <c r="AJ659" s="19">
        <v>-4.1097999999999999</v>
      </c>
      <c r="AK659" s="6">
        <v>3.0769000000000002</v>
      </c>
      <c r="AL659" s="6">
        <v>123</v>
      </c>
      <c r="AO659" s="17">
        <v>657</v>
      </c>
      <c r="AP659" s="6">
        <v>1.14334</v>
      </c>
      <c r="AQ659" s="19">
        <v>-1.5926</v>
      </c>
      <c r="AR659" s="6">
        <v>0.5776</v>
      </c>
      <c r="AS659" s="6">
        <v>123</v>
      </c>
      <c r="AU659" s="17">
        <v>657</v>
      </c>
      <c r="AV659" s="6">
        <v>0.60118000000000005</v>
      </c>
      <c r="AW659" s="19">
        <v>-1.5926</v>
      </c>
      <c r="AX659" s="6">
        <v>0.5776</v>
      </c>
      <c r="AY659" s="6">
        <v>123</v>
      </c>
    </row>
    <row r="660" spans="28:51" x14ac:dyDescent="0.25">
      <c r="AB660" s="17">
        <v>658</v>
      </c>
      <c r="AC660" s="6">
        <v>3.1964299999999999</v>
      </c>
      <c r="AD660" s="6">
        <v>0.15</v>
      </c>
      <c r="AE660" s="6">
        <v>3.0710999999999999</v>
      </c>
      <c r="AF660" s="6">
        <v>123</v>
      </c>
      <c r="AH660" s="17">
        <v>658</v>
      </c>
      <c r="AI660" s="6">
        <v>6.0789999999999997</v>
      </c>
      <c r="AJ660" s="6">
        <v>0.15</v>
      </c>
      <c r="AK660" s="6">
        <v>3.0710999999999999</v>
      </c>
      <c r="AL660" s="6">
        <v>123</v>
      </c>
      <c r="AO660" s="17">
        <v>658</v>
      </c>
      <c r="AP660" s="6">
        <v>1.1352</v>
      </c>
      <c r="AQ660" s="19">
        <v>-0.15390000000000001</v>
      </c>
      <c r="AR660" s="6">
        <v>0.57350000000000001</v>
      </c>
      <c r="AS660" s="6">
        <v>123</v>
      </c>
      <c r="AU660" s="17">
        <v>658</v>
      </c>
      <c r="AV660" s="6">
        <v>0.59691000000000005</v>
      </c>
      <c r="AW660" s="19">
        <v>-0.15390000000000001</v>
      </c>
      <c r="AX660" s="6">
        <v>0.57350000000000001</v>
      </c>
      <c r="AY660" s="6">
        <v>123</v>
      </c>
    </row>
    <row r="661" spans="28:51" x14ac:dyDescent="0.25">
      <c r="AB661" s="17">
        <v>659</v>
      </c>
      <c r="AC661" s="6">
        <v>3.222</v>
      </c>
      <c r="AD661" s="6">
        <v>1.2494000000000001</v>
      </c>
      <c r="AE661" s="6">
        <v>3.0956000000000001</v>
      </c>
      <c r="AF661" s="6">
        <v>123</v>
      </c>
      <c r="AH661" s="17">
        <v>659</v>
      </c>
      <c r="AI661" s="6">
        <v>6.1276000000000002</v>
      </c>
      <c r="AJ661" s="6">
        <v>1.2494000000000001</v>
      </c>
      <c r="AK661" s="6">
        <v>3.0956000000000001</v>
      </c>
      <c r="AL661" s="6">
        <v>123</v>
      </c>
      <c r="AO661" s="17">
        <v>659</v>
      </c>
      <c r="AP661" s="6">
        <v>1.1455</v>
      </c>
      <c r="AQ661" s="6">
        <v>0.51580000000000004</v>
      </c>
      <c r="AR661" s="6">
        <v>0.57869999999999999</v>
      </c>
      <c r="AS661" s="6">
        <v>123</v>
      </c>
      <c r="AU661" s="17">
        <v>659</v>
      </c>
      <c r="AV661" s="6">
        <v>0.60231999999999997</v>
      </c>
      <c r="AW661" s="6">
        <v>0.51580000000000004</v>
      </c>
      <c r="AX661" s="6">
        <v>0.57869999999999999</v>
      </c>
      <c r="AY661" s="6">
        <v>123</v>
      </c>
    </row>
    <row r="662" spans="28:51" x14ac:dyDescent="0.25">
      <c r="AB662" s="17">
        <v>660</v>
      </c>
      <c r="AC662" s="6">
        <v>3.2309899999999998</v>
      </c>
      <c r="AD662" s="19">
        <v>-2.8982000000000001</v>
      </c>
      <c r="AE662" s="6">
        <v>3.1042999999999998</v>
      </c>
      <c r="AF662" s="6">
        <v>123</v>
      </c>
      <c r="AH662" s="17">
        <v>660</v>
      </c>
      <c r="AI662" s="6">
        <v>6.1447000000000003</v>
      </c>
      <c r="AJ662" s="19">
        <v>-2.8982000000000001</v>
      </c>
      <c r="AK662" s="6">
        <v>3.1042999999999998</v>
      </c>
      <c r="AL662" s="6">
        <v>123</v>
      </c>
      <c r="AO662" s="17">
        <v>660</v>
      </c>
      <c r="AP662" s="6">
        <v>1.15656</v>
      </c>
      <c r="AQ662" s="19">
        <v>-0.42559999999999998</v>
      </c>
      <c r="AR662" s="6">
        <v>0.58430000000000004</v>
      </c>
      <c r="AS662" s="6">
        <v>123</v>
      </c>
      <c r="AU662" s="17">
        <v>660</v>
      </c>
      <c r="AV662" s="6">
        <v>0.60814000000000001</v>
      </c>
      <c r="AW662" s="19">
        <v>-0.42559999999999998</v>
      </c>
      <c r="AX662" s="6">
        <v>0.58430000000000004</v>
      </c>
      <c r="AY662" s="6">
        <v>123</v>
      </c>
    </row>
    <row r="663" spans="28:51" x14ac:dyDescent="0.25">
      <c r="AB663" s="17">
        <v>661</v>
      </c>
      <c r="AC663" s="6">
        <v>3.21123</v>
      </c>
      <c r="AD663" s="6">
        <v>6.1471999999999998</v>
      </c>
      <c r="AE663" s="6">
        <v>3.0853000000000002</v>
      </c>
      <c r="AF663" s="6">
        <v>123</v>
      </c>
      <c r="AH663" s="17">
        <v>661</v>
      </c>
      <c r="AI663" s="6">
        <v>6.1071</v>
      </c>
      <c r="AJ663" s="6">
        <v>6.1471999999999998</v>
      </c>
      <c r="AK663" s="6">
        <v>3.0853000000000002</v>
      </c>
      <c r="AL663" s="6">
        <v>123</v>
      </c>
      <c r="AO663" s="17">
        <v>661</v>
      </c>
      <c r="AP663" s="6">
        <v>1.14577</v>
      </c>
      <c r="AQ663" s="19">
        <v>-0.9778</v>
      </c>
      <c r="AR663" s="6">
        <v>0.57879999999999998</v>
      </c>
      <c r="AS663" s="6">
        <v>123</v>
      </c>
      <c r="AU663" s="17">
        <v>661</v>
      </c>
      <c r="AV663" s="6">
        <v>0.60246</v>
      </c>
      <c r="AW663" s="19">
        <v>-0.9778</v>
      </c>
      <c r="AX663" s="6">
        <v>0.57879999999999998</v>
      </c>
      <c r="AY663" s="6">
        <v>123</v>
      </c>
    </row>
    <row r="664" spans="28:51" x14ac:dyDescent="0.25">
      <c r="AB664" s="17">
        <v>662</v>
      </c>
      <c r="AC664" s="6">
        <v>3.1869100000000001</v>
      </c>
      <c r="AD664" s="19">
        <v>-7.5340000000000004E-2</v>
      </c>
      <c r="AE664" s="6">
        <v>3.0619000000000001</v>
      </c>
      <c r="AF664" s="6">
        <v>123</v>
      </c>
      <c r="AH664" s="17">
        <v>662</v>
      </c>
      <c r="AI664" s="6">
        <v>6.0609000000000002</v>
      </c>
      <c r="AJ664" s="19">
        <v>-7.5340000000000004E-2</v>
      </c>
      <c r="AK664" s="6">
        <v>3.0619000000000001</v>
      </c>
      <c r="AL664" s="6">
        <v>123</v>
      </c>
      <c r="AO664" s="17">
        <v>662</v>
      </c>
      <c r="AP664" s="6">
        <v>1.1327400000000001</v>
      </c>
      <c r="AQ664" s="19">
        <v>-0.9224</v>
      </c>
      <c r="AR664" s="6">
        <v>0.57230000000000003</v>
      </c>
      <c r="AS664" s="6">
        <v>123</v>
      </c>
      <c r="AU664" s="17">
        <v>662</v>
      </c>
      <c r="AV664" s="6">
        <v>0.59560999999999997</v>
      </c>
      <c r="AW664" s="19">
        <v>-0.9224</v>
      </c>
      <c r="AX664" s="6">
        <v>0.57230000000000003</v>
      </c>
      <c r="AY664" s="6">
        <v>123</v>
      </c>
    </row>
    <row r="665" spans="28:51" x14ac:dyDescent="0.25">
      <c r="AB665" s="17">
        <v>663</v>
      </c>
      <c r="AC665" s="6">
        <v>3.2046100000000002</v>
      </c>
      <c r="AD665" s="6">
        <v>1.7736000000000001</v>
      </c>
      <c r="AE665" s="6">
        <v>3.0789</v>
      </c>
      <c r="AF665" s="6">
        <v>123</v>
      </c>
      <c r="AH665" s="17">
        <v>663</v>
      </c>
      <c r="AI665" s="6">
        <v>6.0945</v>
      </c>
      <c r="AJ665" s="6">
        <v>1.7736000000000001</v>
      </c>
      <c r="AK665" s="6">
        <v>3.0789</v>
      </c>
      <c r="AL665" s="6">
        <v>123</v>
      </c>
      <c r="AO665" s="17">
        <v>663</v>
      </c>
      <c r="AP665" s="6">
        <v>1.1440600000000001</v>
      </c>
      <c r="AQ665" s="19">
        <v>-1.3822000000000001</v>
      </c>
      <c r="AR665" s="6">
        <v>0.57799999999999996</v>
      </c>
      <c r="AS665" s="6">
        <v>123</v>
      </c>
      <c r="AU665" s="17">
        <v>663</v>
      </c>
      <c r="AV665" s="6">
        <v>0.60155999999999998</v>
      </c>
      <c r="AW665" s="19">
        <v>-1.3822000000000001</v>
      </c>
      <c r="AX665" s="6">
        <v>0.57799999999999996</v>
      </c>
      <c r="AY665" s="6">
        <v>123</v>
      </c>
    </row>
    <row r="666" spans="28:51" x14ac:dyDescent="0.25">
      <c r="AB666" s="17">
        <v>664</v>
      </c>
      <c r="AC666" s="6">
        <v>3.2403499999999998</v>
      </c>
      <c r="AD666" s="6">
        <v>8.7262000000000004</v>
      </c>
      <c r="AE666" s="6">
        <v>3.1133000000000002</v>
      </c>
      <c r="AF666" s="6">
        <v>123</v>
      </c>
      <c r="AH666" s="17">
        <v>664</v>
      </c>
      <c r="AI666" s="6">
        <v>6.1624999999999996</v>
      </c>
      <c r="AJ666" s="6">
        <v>8.7262000000000004</v>
      </c>
      <c r="AK666" s="6">
        <v>3.1133000000000002</v>
      </c>
      <c r="AL666" s="6">
        <v>123</v>
      </c>
      <c r="AO666" s="17">
        <v>664</v>
      </c>
      <c r="AP666" s="6">
        <v>1.16171</v>
      </c>
      <c r="AQ666" s="6">
        <v>0.92300000000000004</v>
      </c>
      <c r="AR666" s="6">
        <v>0.58689999999999998</v>
      </c>
      <c r="AS666" s="6">
        <v>123</v>
      </c>
      <c r="AU666" s="17">
        <v>664</v>
      </c>
      <c r="AV666" s="6">
        <v>0.61085</v>
      </c>
      <c r="AW666" s="6">
        <v>0.92300000000000004</v>
      </c>
      <c r="AX666" s="6">
        <v>0.58689999999999998</v>
      </c>
      <c r="AY666" s="6">
        <v>123</v>
      </c>
    </row>
    <row r="667" spans="28:51" x14ac:dyDescent="0.25">
      <c r="AB667" s="17">
        <v>665</v>
      </c>
      <c r="AC667" s="6">
        <v>3.2301099999999998</v>
      </c>
      <c r="AD667" s="6">
        <v>2.3984000000000001</v>
      </c>
      <c r="AE667" s="6">
        <v>3.1034000000000002</v>
      </c>
      <c r="AF667" s="6">
        <v>123</v>
      </c>
      <c r="AH667" s="17">
        <v>665</v>
      </c>
      <c r="AI667" s="6">
        <v>6.1429999999999998</v>
      </c>
      <c r="AJ667" s="6">
        <v>2.3984000000000001</v>
      </c>
      <c r="AK667" s="6">
        <v>3.1034000000000002</v>
      </c>
      <c r="AL667" s="6">
        <v>123</v>
      </c>
      <c r="AO667" s="17">
        <v>665</v>
      </c>
      <c r="AP667" s="6">
        <v>1.1535599999999999</v>
      </c>
      <c r="AQ667" s="19">
        <v>-1.4393</v>
      </c>
      <c r="AR667" s="6">
        <v>0.58279999999999998</v>
      </c>
      <c r="AS667" s="6">
        <v>123</v>
      </c>
      <c r="AU667" s="17">
        <v>665</v>
      </c>
      <c r="AV667" s="6">
        <v>0.60655999999999999</v>
      </c>
      <c r="AW667" s="19">
        <v>-1.4393</v>
      </c>
      <c r="AX667" s="6">
        <v>0.58279999999999998</v>
      </c>
      <c r="AY667" s="6">
        <v>123</v>
      </c>
    </row>
    <row r="668" spans="28:51" x14ac:dyDescent="0.25">
      <c r="AB668" s="17">
        <v>666</v>
      </c>
      <c r="AC668" s="6">
        <v>3.2201200000000001</v>
      </c>
      <c r="AD668" s="6">
        <v>13.1882</v>
      </c>
      <c r="AE668" s="6">
        <v>3.0937999999999999</v>
      </c>
      <c r="AF668" s="6">
        <v>123</v>
      </c>
      <c r="AH668" s="17">
        <v>666</v>
      </c>
      <c r="AI668" s="6">
        <v>6.1239999999999997</v>
      </c>
      <c r="AJ668" s="6">
        <v>13.1882</v>
      </c>
      <c r="AK668" s="6">
        <v>3.0937999999999999</v>
      </c>
      <c r="AL668" s="6">
        <v>123</v>
      </c>
      <c r="AO668" s="17">
        <v>666</v>
      </c>
      <c r="AP668" s="6">
        <v>1.15158</v>
      </c>
      <c r="AQ668" s="6">
        <v>1.2375</v>
      </c>
      <c r="AR668" s="6">
        <v>0.58179999999999998</v>
      </c>
      <c r="AS668" s="6">
        <v>123</v>
      </c>
      <c r="AU668" s="17">
        <v>666</v>
      </c>
      <c r="AV668" s="6">
        <v>0.60551999999999995</v>
      </c>
      <c r="AW668" s="6">
        <v>1.2375</v>
      </c>
      <c r="AX668" s="6">
        <v>0.58179999999999998</v>
      </c>
      <c r="AY668" s="6">
        <v>123</v>
      </c>
    </row>
    <row r="669" spans="28:51" x14ac:dyDescent="0.25">
      <c r="AB669" s="17">
        <v>667</v>
      </c>
      <c r="AC669" s="6">
        <v>3.2042600000000001</v>
      </c>
      <c r="AD669" s="6">
        <v>10.9611</v>
      </c>
      <c r="AE669" s="6">
        <v>3.0785999999999998</v>
      </c>
      <c r="AF669" s="6">
        <v>123</v>
      </c>
      <c r="AH669" s="17">
        <v>667</v>
      </c>
      <c r="AI669" s="6">
        <v>6.0938999999999997</v>
      </c>
      <c r="AJ669" s="6">
        <v>10.9611</v>
      </c>
      <c r="AK669" s="6">
        <v>3.0785999999999998</v>
      </c>
      <c r="AL669" s="6">
        <v>123</v>
      </c>
      <c r="AO669" s="17">
        <v>667</v>
      </c>
      <c r="AP669" s="6">
        <v>1.1362099999999999</v>
      </c>
      <c r="AQ669" s="6">
        <v>1.0347</v>
      </c>
      <c r="AR669" s="6">
        <v>0.57399999999999995</v>
      </c>
      <c r="AS669" s="6">
        <v>123</v>
      </c>
      <c r="AU669" s="17">
        <v>667</v>
      </c>
      <c r="AV669" s="6">
        <v>0.59743999999999997</v>
      </c>
      <c r="AW669" s="6">
        <v>1.0347</v>
      </c>
      <c r="AX669" s="6">
        <v>0.57399999999999995</v>
      </c>
      <c r="AY669" s="6">
        <v>123</v>
      </c>
    </row>
    <row r="670" spans="28:51" x14ac:dyDescent="0.25">
      <c r="AB670" s="17">
        <v>668</v>
      </c>
      <c r="AC670" s="6">
        <v>3.2086199999999998</v>
      </c>
      <c r="AD670" s="6">
        <v>2.0108999999999999</v>
      </c>
      <c r="AE670" s="6">
        <v>3.0828000000000002</v>
      </c>
      <c r="AF670" s="6">
        <v>123</v>
      </c>
      <c r="AH670" s="17">
        <v>668</v>
      </c>
      <c r="AI670" s="6">
        <v>6.1021999999999998</v>
      </c>
      <c r="AJ670" s="6">
        <v>2.0108999999999999</v>
      </c>
      <c r="AK670" s="6">
        <v>3.0828000000000002</v>
      </c>
      <c r="AL670" s="6">
        <v>123</v>
      </c>
      <c r="AO670" s="17">
        <v>668</v>
      </c>
      <c r="AP670" s="6">
        <v>1.1432199999999999</v>
      </c>
      <c r="AQ670" s="19">
        <v>-0.30959999999999999</v>
      </c>
      <c r="AR670" s="6">
        <v>0.57750000000000001</v>
      </c>
      <c r="AS670" s="6">
        <v>123</v>
      </c>
      <c r="AU670" s="17">
        <v>668</v>
      </c>
      <c r="AV670" s="6">
        <v>0.60111999999999999</v>
      </c>
      <c r="AW670" s="19">
        <v>-0.30959999999999999</v>
      </c>
      <c r="AX670" s="6">
        <v>0.57750000000000001</v>
      </c>
      <c r="AY670" s="6">
        <v>123</v>
      </c>
    </row>
    <row r="671" spans="28:51" x14ac:dyDescent="0.25">
      <c r="AB671" s="17">
        <v>669</v>
      </c>
      <c r="AC671" s="6">
        <v>3.2032600000000002</v>
      </c>
      <c r="AD671" s="6">
        <v>4.4782000000000002</v>
      </c>
      <c r="AE671" s="6">
        <v>3.0775999999999999</v>
      </c>
      <c r="AF671" s="6">
        <v>123</v>
      </c>
      <c r="AH671" s="17">
        <v>669</v>
      </c>
      <c r="AI671" s="6">
        <v>6.0919999999999996</v>
      </c>
      <c r="AJ671" s="6">
        <v>4.4782000000000002</v>
      </c>
      <c r="AK671" s="6">
        <v>3.0775999999999999</v>
      </c>
      <c r="AL671" s="6">
        <v>123</v>
      </c>
      <c r="AO671" s="17">
        <v>669</v>
      </c>
      <c r="AP671" s="6">
        <v>1.1377200000000001</v>
      </c>
      <c r="AQ671" s="19">
        <v>-9.8930000000000004E-2</v>
      </c>
      <c r="AR671" s="6">
        <v>0.57479999999999998</v>
      </c>
      <c r="AS671" s="6">
        <v>123</v>
      </c>
      <c r="AU671" s="17">
        <v>669</v>
      </c>
      <c r="AV671" s="6">
        <v>0.59823000000000004</v>
      </c>
      <c r="AW671" s="19">
        <v>-9.8930000000000004E-2</v>
      </c>
      <c r="AX671" s="6">
        <v>0.57479999999999998</v>
      </c>
      <c r="AY671" s="6">
        <v>123</v>
      </c>
    </row>
    <row r="672" spans="28:51" x14ac:dyDescent="0.25">
      <c r="AB672" s="17">
        <v>670</v>
      </c>
      <c r="AC672" s="6">
        <v>5.1207099999999999</v>
      </c>
      <c r="AD672" s="6">
        <v>13.4338</v>
      </c>
      <c r="AE672" s="6">
        <v>4.9199000000000002</v>
      </c>
      <c r="AF672" s="6">
        <v>123</v>
      </c>
      <c r="AH672" s="17">
        <v>670</v>
      </c>
      <c r="AI672" s="6">
        <v>9.7385999999999999</v>
      </c>
      <c r="AJ672" s="6">
        <v>13.4338</v>
      </c>
      <c r="AK672" s="6">
        <v>4.9199000000000002</v>
      </c>
      <c r="AL672" s="6">
        <v>123</v>
      </c>
      <c r="AO672" s="17">
        <v>670</v>
      </c>
      <c r="AP672" s="6">
        <v>1.82161</v>
      </c>
      <c r="AQ672" s="6">
        <v>0.41830000000000001</v>
      </c>
      <c r="AR672" s="6">
        <v>0.92030000000000001</v>
      </c>
      <c r="AS672" s="6">
        <v>123</v>
      </c>
      <c r="AU672" s="17">
        <v>670</v>
      </c>
      <c r="AV672" s="6">
        <v>0.95782999999999996</v>
      </c>
      <c r="AW672" s="6">
        <v>0.41830000000000001</v>
      </c>
      <c r="AX672" s="6">
        <v>0.92030000000000001</v>
      </c>
      <c r="AY672" s="6">
        <v>123</v>
      </c>
    </row>
    <row r="673" spans="28:51" x14ac:dyDescent="0.25">
      <c r="AB673" s="17">
        <v>671</v>
      </c>
      <c r="AC673" s="6">
        <v>3.21848</v>
      </c>
      <c r="AD673" s="6">
        <v>0.68620000000000003</v>
      </c>
      <c r="AE673" s="6">
        <v>3.0922999999999998</v>
      </c>
      <c r="AF673" s="6">
        <v>123</v>
      </c>
      <c r="AH673" s="17">
        <v>671</v>
      </c>
      <c r="AI673" s="6">
        <v>6.1208999999999998</v>
      </c>
      <c r="AJ673" s="6">
        <v>0.68620000000000003</v>
      </c>
      <c r="AK673" s="6">
        <v>3.0922999999999998</v>
      </c>
      <c r="AL673" s="6">
        <v>123</v>
      </c>
      <c r="AO673" s="17">
        <v>671</v>
      </c>
      <c r="AP673" s="6">
        <v>1.1402300000000001</v>
      </c>
      <c r="AQ673" s="6">
        <v>6.5579999999999999E-2</v>
      </c>
      <c r="AR673" s="6">
        <v>0.57599999999999996</v>
      </c>
      <c r="AS673" s="6">
        <v>123</v>
      </c>
      <c r="AU673" s="17">
        <v>671</v>
      </c>
      <c r="AV673" s="6">
        <v>0.59955000000000003</v>
      </c>
      <c r="AW673" s="6">
        <v>6.5579999999999999E-2</v>
      </c>
      <c r="AX673" s="6">
        <v>0.57599999999999996</v>
      </c>
      <c r="AY673" s="6">
        <v>123</v>
      </c>
    </row>
    <row r="674" spans="28:51" x14ac:dyDescent="0.25">
      <c r="AB674" s="17">
        <v>672</v>
      </c>
      <c r="AC674" s="6">
        <v>3.2297099999999999</v>
      </c>
      <c r="AD674" s="19">
        <v>-4.3851000000000004</v>
      </c>
      <c r="AE674" s="6">
        <v>3.1030000000000002</v>
      </c>
      <c r="AF674" s="6">
        <v>123</v>
      </c>
      <c r="AH674" s="17">
        <v>672</v>
      </c>
      <c r="AI674" s="6">
        <v>6.1422999999999996</v>
      </c>
      <c r="AJ674" s="19">
        <v>-4.3851000000000004</v>
      </c>
      <c r="AK674" s="6">
        <v>3.1030000000000002</v>
      </c>
      <c r="AL674" s="6">
        <v>123</v>
      </c>
      <c r="AO674" s="17">
        <v>672</v>
      </c>
      <c r="AP674" s="6">
        <v>1.1577599999999999</v>
      </c>
      <c r="AQ674" s="6">
        <v>1.1223000000000001</v>
      </c>
      <c r="AR674" s="6">
        <v>0.58489999999999998</v>
      </c>
      <c r="AS674" s="6">
        <v>123</v>
      </c>
      <c r="AU674" s="17">
        <v>672</v>
      </c>
      <c r="AV674" s="6">
        <v>0.60877000000000003</v>
      </c>
      <c r="AW674" s="6">
        <v>1.1223000000000001</v>
      </c>
      <c r="AX674" s="6">
        <v>0.58489999999999998</v>
      </c>
      <c r="AY674" s="6">
        <v>123</v>
      </c>
    </row>
    <row r="675" spans="28:51" x14ac:dyDescent="0.25">
      <c r="AB675" s="17">
        <v>673</v>
      </c>
      <c r="AC675" s="6">
        <v>3.21041</v>
      </c>
      <c r="AD675" s="6">
        <v>0.1507</v>
      </c>
      <c r="AE675" s="6">
        <v>3.0844999999999998</v>
      </c>
      <c r="AF675" s="6">
        <v>123</v>
      </c>
      <c r="AH675" s="17">
        <v>673</v>
      </c>
      <c r="AI675" s="6">
        <v>6.1055999999999999</v>
      </c>
      <c r="AJ675" s="6">
        <v>0.1507</v>
      </c>
      <c r="AK675" s="6">
        <v>3.0844999999999998</v>
      </c>
      <c r="AL675" s="6">
        <v>123</v>
      </c>
      <c r="AO675" s="17">
        <v>673</v>
      </c>
      <c r="AP675" s="6">
        <v>1.1489400000000001</v>
      </c>
      <c r="AQ675" s="6">
        <v>0.70099999999999996</v>
      </c>
      <c r="AR675" s="6">
        <v>0.58040000000000003</v>
      </c>
      <c r="AS675" s="6">
        <v>123</v>
      </c>
      <c r="AU675" s="17">
        <v>673</v>
      </c>
      <c r="AV675" s="6">
        <v>0.60412999999999994</v>
      </c>
      <c r="AW675" s="6">
        <v>0.70099999999999996</v>
      </c>
      <c r="AX675" s="6">
        <v>0.58040000000000003</v>
      </c>
      <c r="AY675" s="6">
        <v>123</v>
      </c>
    </row>
    <row r="676" spans="28:51" x14ac:dyDescent="0.25">
      <c r="AB676" s="17">
        <v>674</v>
      </c>
      <c r="AC676" s="6">
        <v>3.2354099999999999</v>
      </c>
      <c r="AD676" s="19">
        <v>-9.1615000000000002</v>
      </c>
      <c r="AE676" s="6">
        <v>3.1084999999999998</v>
      </c>
      <c r="AF676" s="6">
        <v>123</v>
      </c>
      <c r="AH676" s="17">
        <v>674</v>
      </c>
      <c r="AI676" s="6">
        <v>6.1531000000000002</v>
      </c>
      <c r="AJ676" s="19">
        <v>-9.1615000000000002</v>
      </c>
      <c r="AK676" s="6">
        <v>3.1084999999999998</v>
      </c>
      <c r="AL676" s="6">
        <v>123</v>
      </c>
      <c r="AO676" s="17">
        <v>674</v>
      </c>
      <c r="AP676" s="6">
        <v>1.15618</v>
      </c>
      <c r="AQ676" s="6">
        <v>0.50139999999999996</v>
      </c>
      <c r="AR676" s="6">
        <v>0.58409999999999995</v>
      </c>
      <c r="AS676" s="6">
        <v>123</v>
      </c>
      <c r="AU676" s="17">
        <v>674</v>
      </c>
      <c r="AV676" s="6">
        <v>0.60794000000000004</v>
      </c>
      <c r="AW676" s="6">
        <v>0.50139999999999996</v>
      </c>
      <c r="AX676" s="6">
        <v>0.58409999999999995</v>
      </c>
      <c r="AY676" s="6">
        <v>123</v>
      </c>
    </row>
    <row r="677" spans="28:51" x14ac:dyDescent="0.25">
      <c r="AB677" s="17">
        <v>675</v>
      </c>
      <c r="AC677" s="6">
        <v>3.2331099999999999</v>
      </c>
      <c r="AD677" s="19">
        <v>-1.0185999999999999</v>
      </c>
      <c r="AE677" s="6">
        <v>3.1063000000000001</v>
      </c>
      <c r="AF677" s="6">
        <v>123</v>
      </c>
      <c r="AH677" s="17">
        <v>675</v>
      </c>
      <c r="AI677" s="6">
        <v>6.1486999999999998</v>
      </c>
      <c r="AJ677" s="19">
        <v>-1.0185999999999999</v>
      </c>
      <c r="AK677" s="6">
        <v>3.1063000000000001</v>
      </c>
      <c r="AL677" s="6">
        <v>123</v>
      </c>
      <c r="AO677" s="17">
        <v>675</v>
      </c>
      <c r="AP677" s="6">
        <v>1.1337999999999999</v>
      </c>
      <c r="AQ677" s="6">
        <v>0.4214</v>
      </c>
      <c r="AR677" s="6">
        <v>0.57279999999999998</v>
      </c>
      <c r="AS677" s="6">
        <v>123</v>
      </c>
      <c r="AU677" s="17">
        <v>675</v>
      </c>
      <c r="AV677" s="6">
        <v>0.59616999999999998</v>
      </c>
      <c r="AW677" s="6">
        <v>0.4214</v>
      </c>
      <c r="AX677" s="6">
        <v>0.57279999999999998</v>
      </c>
      <c r="AY677" s="6">
        <v>123</v>
      </c>
    </row>
    <row r="678" spans="28:51" x14ac:dyDescent="0.25">
      <c r="AB678" s="17">
        <v>676</v>
      </c>
      <c r="AC678" s="6">
        <v>3.20966</v>
      </c>
      <c r="AD678" s="6">
        <v>1.57</v>
      </c>
      <c r="AE678" s="6">
        <v>3.0838000000000001</v>
      </c>
      <c r="AF678" s="6">
        <v>123</v>
      </c>
      <c r="AH678" s="17">
        <v>676</v>
      </c>
      <c r="AI678" s="6">
        <v>6.1040999999999999</v>
      </c>
      <c r="AJ678" s="6">
        <v>1.57</v>
      </c>
      <c r="AK678" s="6">
        <v>3.0838000000000001</v>
      </c>
      <c r="AL678" s="6">
        <v>123</v>
      </c>
      <c r="AO678" s="17">
        <v>676</v>
      </c>
      <c r="AP678" s="6">
        <v>1.1443399999999999</v>
      </c>
      <c r="AQ678" s="6">
        <v>2.2799</v>
      </c>
      <c r="AR678" s="6">
        <v>0.57809999999999995</v>
      </c>
      <c r="AS678" s="6">
        <v>123</v>
      </c>
      <c r="AU678" s="17">
        <v>676</v>
      </c>
      <c r="AV678" s="6">
        <v>0.60170999999999997</v>
      </c>
      <c r="AW678" s="6">
        <v>2.2799</v>
      </c>
      <c r="AX678" s="6">
        <v>0.57809999999999995</v>
      </c>
      <c r="AY678" s="6">
        <v>123</v>
      </c>
    </row>
    <row r="679" spans="28:51" x14ac:dyDescent="0.25">
      <c r="AB679" s="17">
        <v>677</v>
      </c>
      <c r="AC679" s="6">
        <v>3.2106300000000001</v>
      </c>
      <c r="AD679" s="6">
        <v>2.7357999999999998</v>
      </c>
      <c r="AE679" s="6">
        <v>3.0847000000000002</v>
      </c>
      <c r="AF679" s="6">
        <v>123</v>
      </c>
      <c r="AH679" s="17">
        <v>677</v>
      </c>
      <c r="AI679" s="6">
        <v>6.1059999999999999</v>
      </c>
      <c r="AJ679" s="6">
        <v>2.7357999999999998</v>
      </c>
      <c r="AK679" s="6">
        <v>3.0847000000000002</v>
      </c>
      <c r="AL679" s="6">
        <v>123</v>
      </c>
      <c r="AO679" s="17">
        <v>677</v>
      </c>
      <c r="AP679" s="6">
        <v>1.1449100000000001</v>
      </c>
      <c r="AQ679" s="6">
        <v>0.75449999999999995</v>
      </c>
      <c r="AR679" s="6">
        <v>0.57840000000000003</v>
      </c>
      <c r="AS679" s="6">
        <v>123</v>
      </c>
      <c r="AU679" s="17">
        <v>677</v>
      </c>
      <c r="AV679" s="6">
        <v>0.60201000000000005</v>
      </c>
      <c r="AW679" s="6">
        <v>0.75449999999999995</v>
      </c>
      <c r="AX679" s="6">
        <v>0.57840000000000003</v>
      </c>
      <c r="AY679" s="6">
        <v>123</v>
      </c>
    </row>
    <row r="680" spans="28:51" x14ac:dyDescent="0.25">
      <c r="AB680" s="17">
        <v>678</v>
      </c>
      <c r="AC680" s="6">
        <v>3.1958600000000001</v>
      </c>
      <c r="AD680" s="6">
        <v>7.9546000000000001</v>
      </c>
      <c r="AE680" s="6">
        <v>3.0705</v>
      </c>
      <c r="AF680" s="6">
        <v>123</v>
      </c>
      <c r="AH680" s="17">
        <v>678</v>
      </c>
      <c r="AI680" s="6">
        <v>6.0778999999999996</v>
      </c>
      <c r="AJ680" s="6">
        <v>7.9546000000000001</v>
      </c>
      <c r="AK680" s="6">
        <v>3.0705</v>
      </c>
      <c r="AL680" s="6">
        <v>123</v>
      </c>
      <c r="AO680" s="17">
        <v>678</v>
      </c>
      <c r="AP680" s="6">
        <v>1.13774</v>
      </c>
      <c r="AQ680" s="6">
        <v>0.8014</v>
      </c>
      <c r="AR680" s="6">
        <v>0.57479999999999998</v>
      </c>
      <c r="AS680" s="6">
        <v>123</v>
      </c>
      <c r="AU680" s="17">
        <v>678</v>
      </c>
      <c r="AV680" s="6">
        <v>0.59823999999999999</v>
      </c>
      <c r="AW680" s="6">
        <v>0.8014</v>
      </c>
      <c r="AX680" s="6">
        <v>0.57479999999999998</v>
      </c>
      <c r="AY680" s="6">
        <v>123</v>
      </c>
    </row>
    <row r="681" spans="28:51" x14ac:dyDescent="0.25">
      <c r="AB681" s="17">
        <v>679</v>
      </c>
      <c r="AC681" s="6">
        <v>3.2011400000000001</v>
      </c>
      <c r="AD681" s="6">
        <v>5.1036000000000001</v>
      </c>
      <c r="AE681" s="6">
        <v>3.0756000000000001</v>
      </c>
      <c r="AF681" s="6">
        <v>123</v>
      </c>
      <c r="AH681" s="17">
        <v>679</v>
      </c>
      <c r="AI681" s="6">
        <v>6.0880000000000001</v>
      </c>
      <c r="AJ681" s="6">
        <v>5.1036000000000001</v>
      </c>
      <c r="AK681" s="6">
        <v>3.0756000000000001</v>
      </c>
      <c r="AL681" s="6">
        <v>123</v>
      </c>
      <c r="AO681" s="17">
        <v>679</v>
      </c>
      <c r="AP681" s="6">
        <v>1.14364</v>
      </c>
      <c r="AQ681" s="6">
        <v>1.0656000000000001</v>
      </c>
      <c r="AR681" s="6">
        <v>0.57779999999999998</v>
      </c>
      <c r="AS681" s="6">
        <v>123</v>
      </c>
      <c r="AU681" s="17">
        <v>679</v>
      </c>
      <c r="AV681" s="6">
        <v>0.60133999999999999</v>
      </c>
      <c r="AW681" s="6">
        <v>1.0656000000000001</v>
      </c>
      <c r="AX681" s="6">
        <v>0.57779999999999998</v>
      </c>
      <c r="AY681" s="6">
        <v>123</v>
      </c>
    </row>
    <row r="682" spans="28:51" x14ac:dyDescent="0.25">
      <c r="AB682" s="17">
        <v>680</v>
      </c>
      <c r="AC682" s="6">
        <v>3.2057699999999998</v>
      </c>
      <c r="AD682" s="19">
        <v>-6.5959000000000003</v>
      </c>
      <c r="AE682" s="6">
        <v>3.08</v>
      </c>
      <c r="AF682" s="6">
        <v>123</v>
      </c>
      <c r="AH682" s="17">
        <v>680</v>
      </c>
      <c r="AI682" s="6">
        <v>6.0968</v>
      </c>
      <c r="AJ682" s="19">
        <v>-6.5959000000000003</v>
      </c>
      <c r="AK682" s="6">
        <v>3.08</v>
      </c>
      <c r="AL682" s="6">
        <v>123</v>
      </c>
      <c r="AO682" s="17">
        <v>680</v>
      </c>
      <c r="AP682" s="6">
        <v>1.13893</v>
      </c>
      <c r="AQ682" s="19">
        <v>-1.06</v>
      </c>
      <c r="AR682" s="6">
        <v>0.57540000000000002</v>
      </c>
      <c r="AS682" s="6">
        <v>123</v>
      </c>
      <c r="AU682" s="17">
        <v>680</v>
      </c>
      <c r="AV682" s="6">
        <v>0.59887000000000001</v>
      </c>
      <c r="AW682" s="19">
        <v>-1.06</v>
      </c>
      <c r="AX682" s="6">
        <v>0.57540000000000002</v>
      </c>
      <c r="AY682" s="6">
        <v>123</v>
      </c>
    </row>
    <row r="683" spans="28:51" x14ac:dyDescent="0.25">
      <c r="AB683" s="17">
        <v>681</v>
      </c>
      <c r="AC683" s="6">
        <v>3.2138200000000001</v>
      </c>
      <c r="AD683" s="19">
        <v>-2.3361999999999998</v>
      </c>
      <c r="AE683" s="6">
        <v>3.0878000000000001</v>
      </c>
      <c r="AF683" s="6">
        <v>123</v>
      </c>
      <c r="AH683" s="17">
        <v>681</v>
      </c>
      <c r="AI683" s="6">
        <v>6.1120999999999999</v>
      </c>
      <c r="AJ683" s="19">
        <v>-2.3361999999999998</v>
      </c>
      <c r="AK683" s="6">
        <v>3.0878000000000001</v>
      </c>
      <c r="AL683" s="6">
        <v>123</v>
      </c>
      <c r="AO683" s="17">
        <v>681</v>
      </c>
      <c r="AP683" s="6">
        <v>1.14299</v>
      </c>
      <c r="AQ683" s="6">
        <v>0.37869999999999998</v>
      </c>
      <c r="AR683" s="6">
        <v>0.57740000000000002</v>
      </c>
      <c r="AS683" s="6">
        <v>123</v>
      </c>
      <c r="AU683" s="17">
        <v>681</v>
      </c>
      <c r="AV683" s="6">
        <v>0.60099999999999998</v>
      </c>
      <c r="AW683" s="6">
        <v>0.37869999999999998</v>
      </c>
      <c r="AX683" s="6">
        <v>0.57740000000000002</v>
      </c>
      <c r="AY683" s="6">
        <v>123</v>
      </c>
    </row>
    <row r="684" spans="28:51" x14ac:dyDescent="0.25">
      <c r="AB684" s="17">
        <v>682</v>
      </c>
      <c r="AC684" s="6">
        <v>3.2073499999999999</v>
      </c>
      <c r="AD684" s="19">
        <v>-1.2367999999999999</v>
      </c>
      <c r="AE684" s="6">
        <v>3.0815999999999999</v>
      </c>
      <c r="AF684" s="6">
        <v>123</v>
      </c>
      <c r="AH684" s="17">
        <v>682</v>
      </c>
      <c r="AI684" s="6">
        <v>6.0997000000000003</v>
      </c>
      <c r="AJ684" s="19">
        <v>-1.2367999999999999</v>
      </c>
      <c r="AK684" s="6">
        <v>3.0815999999999999</v>
      </c>
      <c r="AL684" s="6">
        <v>123</v>
      </c>
      <c r="AO684" s="17">
        <v>682</v>
      </c>
      <c r="AP684" s="6">
        <v>1.13341</v>
      </c>
      <c r="AQ684" s="6">
        <v>1.0484</v>
      </c>
      <c r="AR684" s="6">
        <v>0.5726</v>
      </c>
      <c r="AS684" s="6">
        <v>123</v>
      </c>
      <c r="AU684" s="17">
        <v>682</v>
      </c>
      <c r="AV684" s="6">
        <v>0.59597</v>
      </c>
      <c r="AW684" s="6">
        <v>1.0484</v>
      </c>
      <c r="AX684" s="6">
        <v>0.5726</v>
      </c>
      <c r="AY684" s="6">
        <v>123</v>
      </c>
    </row>
    <row r="685" spans="28:51" x14ac:dyDescent="0.25">
      <c r="AB685" s="17">
        <v>683</v>
      </c>
      <c r="AC685" s="6">
        <v>3.2212200000000002</v>
      </c>
      <c r="AD685" s="19">
        <v>-5.3844000000000003</v>
      </c>
      <c r="AE685" s="6">
        <v>3.0949</v>
      </c>
      <c r="AF685" s="6">
        <v>123</v>
      </c>
      <c r="AH685" s="17">
        <v>683</v>
      </c>
      <c r="AI685" s="6">
        <v>6.1261000000000001</v>
      </c>
      <c r="AJ685" s="19">
        <v>-5.3844000000000003</v>
      </c>
      <c r="AK685" s="6">
        <v>3.0949</v>
      </c>
      <c r="AL685" s="6">
        <v>123</v>
      </c>
      <c r="AO685" s="17">
        <v>683</v>
      </c>
      <c r="AP685" s="6">
        <v>1.1520600000000001</v>
      </c>
      <c r="AQ685" s="6">
        <v>0.1069</v>
      </c>
      <c r="AR685" s="6">
        <v>0.58199999999999996</v>
      </c>
      <c r="AS685" s="6">
        <v>123</v>
      </c>
      <c r="AU685" s="17">
        <v>683</v>
      </c>
      <c r="AV685" s="6">
        <v>0.60577000000000003</v>
      </c>
      <c r="AW685" s="6">
        <v>0.1069</v>
      </c>
      <c r="AX685" s="6">
        <v>0.58199999999999996</v>
      </c>
      <c r="AY685" s="6">
        <v>123</v>
      </c>
    </row>
    <row r="686" spans="28:51" x14ac:dyDescent="0.25">
      <c r="AB686" s="17">
        <v>684</v>
      </c>
      <c r="AC686" s="6">
        <v>3.2036500000000001</v>
      </c>
      <c r="AD686" s="6">
        <v>3.661</v>
      </c>
      <c r="AE686" s="6">
        <v>3.0779999999999998</v>
      </c>
      <c r="AF686" s="6">
        <v>123</v>
      </c>
      <c r="AH686" s="17">
        <v>684</v>
      </c>
      <c r="AI686" s="6">
        <v>6.0926999999999998</v>
      </c>
      <c r="AJ686" s="6">
        <v>3.661</v>
      </c>
      <c r="AK686" s="6">
        <v>3.0779999999999998</v>
      </c>
      <c r="AL686" s="6">
        <v>123</v>
      </c>
      <c r="AO686" s="17">
        <v>684</v>
      </c>
      <c r="AP686" s="6">
        <v>1.14279</v>
      </c>
      <c r="AQ686" s="19">
        <v>-0.44519999999999998</v>
      </c>
      <c r="AR686" s="6">
        <v>0.57730000000000004</v>
      </c>
      <c r="AS686" s="6">
        <v>123</v>
      </c>
      <c r="AU686" s="17">
        <v>684</v>
      </c>
      <c r="AV686" s="6">
        <v>0.60089999999999999</v>
      </c>
      <c r="AW686" s="19">
        <v>-0.44519999999999998</v>
      </c>
      <c r="AX686" s="6">
        <v>0.57730000000000004</v>
      </c>
      <c r="AY686" s="6">
        <v>123</v>
      </c>
    </row>
    <row r="687" spans="28:51" x14ac:dyDescent="0.25">
      <c r="AB687" s="17">
        <v>685</v>
      </c>
      <c r="AC687" s="6">
        <v>3.2083900000000001</v>
      </c>
      <c r="AD687" s="19">
        <v>-2.5615000000000001</v>
      </c>
      <c r="AE687" s="6">
        <v>3.0825999999999998</v>
      </c>
      <c r="AF687" s="6">
        <v>123</v>
      </c>
      <c r="AH687" s="17">
        <v>685</v>
      </c>
      <c r="AI687" s="6">
        <v>6.1017000000000001</v>
      </c>
      <c r="AJ687" s="19">
        <v>-2.5615000000000001</v>
      </c>
      <c r="AK687" s="6">
        <v>3.0825999999999998</v>
      </c>
      <c r="AL687" s="6">
        <v>123</v>
      </c>
      <c r="AO687" s="17">
        <v>685</v>
      </c>
      <c r="AP687" s="6">
        <v>1.1422300000000001</v>
      </c>
      <c r="AQ687" s="19">
        <v>-0.38990000000000002</v>
      </c>
      <c r="AR687" s="6">
        <v>0.57699999999999996</v>
      </c>
      <c r="AS687" s="6">
        <v>123</v>
      </c>
      <c r="AU687" s="17">
        <v>685</v>
      </c>
      <c r="AV687" s="6">
        <v>0.60060000000000002</v>
      </c>
      <c r="AW687" s="19">
        <v>-0.38990000000000002</v>
      </c>
      <c r="AX687" s="6">
        <v>0.57699999999999996</v>
      </c>
      <c r="AY687" s="6">
        <v>123</v>
      </c>
    </row>
    <row r="688" spans="28:51" x14ac:dyDescent="0.25">
      <c r="AB688" s="17">
        <v>686</v>
      </c>
      <c r="AC688" s="6">
        <v>3.2010399999999999</v>
      </c>
      <c r="AD688" s="19">
        <v>-0.71260000000000001</v>
      </c>
      <c r="AE688" s="6">
        <v>3.0754999999999999</v>
      </c>
      <c r="AF688" s="6">
        <v>123</v>
      </c>
      <c r="AH688" s="17">
        <v>686</v>
      </c>
      <c r="AI688" s="6">
        <v>6.0877999999999997</v>
      </c>
      <c r="AJ688" s="19">
        <v>-0.71260000000000001</v>
      </c>
      <c r="AK688" s="6">
        <v>3.0754999999999999</v>
      </c>
      <c r="AL688" s="6">
        <v>123</v>
      </c>
      <c r="AO688" s="17">
        <v>686</v>
      </c>
      <c r="AP688" s="6">
        <v>1.14141</v>
      </c>
      <c r="AQ688" s="19">
        <v>-0.84970000000000001</v>
      </c>
      <c r="AR688" s="6">
        <v>0.5766</v>
      </c>
      <c r="AS688" s="6">
        <v>123</v>
      </c>
      <c r="AU688" s="17">
        <v>686</v>
      </c>
      <c r="AV688" s="6">
        <v>0.60016999999999998</v>
      </c>
      <c r="AW688" s="19">
        <v>-0.84970000000000001</v>
      </c>
      <c r="AX688" s="6">
        <v>0.5766</v>
      </c>
      <c r="AY688" s="6">
        <v>123</v>
      </c>
    </row>
    <row r="689" spans="28:51" x14ac:dyDescent="0.25">
      <c r="AB689" s="17">
        <v>687</v>
      </c>
      <c r="AC689" s="6">
        <v>3.2331300000000001</v>
      </c>
      <c r="AD689" s="6">
        <v>6.24</v>
      </c>
      <c r="AE689" s="6">
        <v>3.1063000000000001</v>
      </c>
      <c r="AF689" s="6">
        <v>123</v>
      </c>
      <c r="AH689" s="17">
        <v>687</v>
      </c>
      <c r="AI689" s="6">
        <v>6.1487999999999996</v>
      </c>
      <c r="AJ689" s="6">
        <v>6.24</v>
      </c>
      <c r="AK689" s="6">
        <v>3.1063000000000001</v>
      </c>
      <c r="AL689" s="6">
        <v>123</v>
      </c>
      <c r="AO689" s="17">
        <v>687</v>
      </c>
      <c r="AP689" s="6">
        <v>1.1573199999999999</v>
      </c>
      <c r="AQ689" s="6">
        <v>1.4556</v>
      </c>
      <c r="AR689" s="6">
        <v>0.5847</v>
      </c>
      <c r="AS689" s="6">
        <v>123</v>
      </c>
      <c r="AU689" s="17">
        <v>687</v>
      </c>
      <c r="AV689" s="6">
        <v>0.60853999999999997</v>
      </c>
      <c r="AW689" s="6">
        <v>1.4556</v>
      </c>
      <c r="AX689" s="6">
        <v>0.5847</v>
      </c>
      <c r="AY689" s="6">
        <v>123</v>
      </c>
    </row>
    <row r="690" spans="28:51" x14ac:dyDescent="0.25">
      <c r="AB690" s="17">
        <v>688</v>
      </c>
      <c r="AC690" s="6">
        <v>3.2262400000000002</v>
      </c>
      <c r="AD690" s="19">
        <v>-8.7760000000000005E-2</v>
      </c>
      <c r="AE690" s="6">
        <v>3.0996999999999999</v>
      </c>
      <c r="AF690" s="6">
        <v>123</v>
      </c>
      <c r="AH690" s="17">
        <v>688</v>
      </c>
      <c r="AI690" s="6">
        <v>6.1356999999999999</v>
      </c>
      <c r="AJ690" s="19">
        <v>-8.7760000000000005E-2</v>
      </c>
      <c r="AK690" s="6">
        <v>3.0996999999999999</v>
      </c>
      <c r="AL690" s="6">
        <v>123</v>
      </c>
      <c r="AO690" s="17">
        <v>688</v>
      </c>
      <c r="AP690" s="6">
        <v>1.15073</v>
      </c>
      <c r="AQ690" s="19">
        <v>-0.90680000000000005</v>
      </c>
      <c r="AR690" s="6">
        <v>0.58130000000000004</v>
      </c>
      <c r="AS690" s="6">
        <v>123</v>
      </c>
      <c r="AU690" s="17">
        <v>688</v>
      </c>
      <c r="AV690" s="6">
        <v>0.60507</v>
      </c>
      <c r="AW690" s="19">
        <v>-0.90680000000000005</v>
      </c>
      <c r="AX690" s="6">
        <v>0.58130000000000004</v>
      </c>
      <c r="AY690" s="6">
        <v>123</v>
      </c>
    </row>
    <row r="691" spans="28:51" x14ac:dyDescent="0.25">
      <c r="AB691" s="17">
        <v>689</v>
      </c>
      <c r="AC691" s="6">
        <v>3.2314799999999999</v>
      </c>
      <c r="AD691" s="6">
        <v>10.702</v>
      </c>
      <c r="AE691" s="6">
        <v>3.1046999999999998</v>
      </c>
      <c r="AF691" s="6">
        <v>123</v>
      </c>
      <c r="AH691" s="17">
        <v>689</v>
      </c>
      <c r="AI691" s="6">
        <v>6.1456</v>
      </c>
      <c r="AJ691" s="6">
        <v>10.702</v>
      </c>
      <c r="AK691" s="6">
        <v>3.1046999999999998</v>
      </c>
      <c r="AL691" s="6">
        <v>123</v>
      </c>
      <c r="AO691" s="17">
        <v>689</v>
      </c>
      <c r="AP691" s="6">
        <v>1.1527799999999999</v>
      </c>
      <c r="AQ691" s="6">
        <v>1.7701</v>
      </c>
      <c r="AR691" s="6">
        <v>0.58240000000000003</v>
      </c>
      <c r="AS691" s="6">
        <v>123</v>
      </c>
      <c r="AU691" s="17">
        <v>689</v>
      </c>
      <c r="AV691" s="6">
        <v>0.60614999999999997</v>
      </c>
      <c r="AW691" s="6">
        <v>1.7701</v>
      </c>
      <c r="AX691" s="6">
        <v>0.58240000000000003</v>
      </c>
      <c r="AY691" s="6">
        <v>123</v>
      </c>
    </row>
    <row r="692" spans="28:51" x14ac:dyDescent="0.25">
      <c r="AB692" s="17">
        <v>690</v>
      </c>
      <c r="AC692" s="6">
        <v>3.2073800000000001</v>
      </c>
      <c r="AD692" s="6">
        <v>8.4748999999999999</v>
      </c>
      <c r="AE692" s="6">
        <v>3.0815999999999999</v>
      </c>
      <c r="AF692" s="6">
        <v>123</v>
      </c>
      <c r="AH692" s="17">
        <v>690</v>
      </c>
      <c r="AI692" s="6">
        <v>6.0998000000000001</v>
      </c>
      <c r="AJ692" s="6">
        <v>8.4748999999999999</v>
      </c>
      <c r="AK692" s="6">
        <v>3.0815999999999999</v>
      </c>
      <c r="AL692" s="6">
        <v>123</v>
      </c>
      <c r="AO692" s="17">
        <v>690</v>
      </c>
      <c r="AP692" s="6">
        <v>1.1435299999999999</v>
      </c>
      <c r="AQ692" s="6">
        <v>1.5671999999999999</v>
      </c>
      <c r="AR692" s="6">
        <v>0.57769999999999999</v>
      </c>
      <c r="AS692" s="6">
        <v>123</v>
      </c>
      <c r="AU692" s="17">
        <v>690</v>
      </c>
      <c r="AV692" s="6">
        <v>0.60128000000000004</v>
      </c>
      <c r="AW692" s="6">
        <v>1.5671999999999999</v>
      </c>
      <c r="AX692" s="6">
        <v>0.57769999999999999</v>
      </c>
      <c r="AY692" s="6">
        <v>123</v>
      </c>
    </row>
    <row r="693" spans="28:51" x14ac:dyDescent="0.25">
      <c r="AB693" s="17">
        <v>691</v>
      </c>
      <c r="AC693" s="6">
        <v>3.1889599999999998</v>
      </c>
      <c r="AD693" s="19">
        <v>-0.4753</v>
      </c>
      <c r="AE693" s="6">
        <v>3.0638999999999998</v>
      </c>
      <c r="AF693" s="6">
        <v>123</v>
      </c>
      <c r="AH693" s="17">
        <v>691</v>
      </c>
      <c r="AI693" s="6">
        <v>6.0648</v>
      </c>
      <c r="AJ693" s="19">
        <v>-0.4753</v>
      </c>
      <c r="AK693" s="6">
        <v>3.0638999999999998</v>
      </c>
      <c r="AL693" s="6">
        <v>123</v>
      </c>
      <c r="AO693" s="17">
        <v>691</v>
      </c>
      <c r="AP693" s="6">
        <v>1.1326499999999999</v>
      </c>
      <c r="AQ693" s="6">
        <v>0.22289999999999999</v>
      </c>
      <c r="AR693" s="6">
        <v>0.57220000000000004</v>
      </c>
      <c r="AS693" s="6">
        <v>123</v>
      </c>
      <c r="AU693" s="17">
        <v>691</v>
      </c>
      <c r="AV693" s="6">
        <v>0.59557000000000004</v>
      </c>
      <c r="AW693" s="6">
        <v>0.22289999999999999</v>
      </c>
      <c r="AX693" s="6">
        <v>0.57220000000000004</v>
      </c>
      <c r="AY693" s="6">
        <v>123</v>
      </c>
    </row>
    <row r="694" spans="28:51" x14ac:dyDescent="0.25">
      <c r="AB694" s="17">
        <v>692</v>
      </c>
      <c r="AC694" s="6">
        <v>3.2099600000000001</v>
      </c>
      <c r="AD694" s="6">
        <v>1.992</v>
      </c>
      <c r="AE694" s="6">
        <v>3.0840999999999998</v>
      </c>
      <c r="AF694" s="6">
        <v>123</v>
      </c>
      <c r="AH694" s="17">
        <v>692</v>
      </c>
      <c r="AI694" s="6">
        <v>6.1047000000000002</v>
      </c>
      <c r="AJ694" s="6">
        <v>1.992</v>
      </c>
      <c r="AK694" s="6">
        <v>3.0840999999999998</v>
      </c>
      <c r="AL694" s="6">
        <v>123</v>
      </c>
      <c r="AO694" s="17">
        <v>692</v>
      </c>
      <c r="AP694" s="6">
        <v>1.1436900000000001</v>
      </c>
      <c r="AQ694" s="6">
        <v>0.43359999999999999</v>
      </c>
      <c r="AR694" s="6">
        <v>0.57779999999999998</v>
      </c>
      <c r="AS694" s="6">
        <v>123</v>
      </c>
      <c r="AU694" s="17">
        <v>692</v>
      </c>
      <c r="AV694" s="6">
        <v>0.60136999999999996</v>
      </c>
      <c r="AW694" s="6">
        <v>0.43359999999999999</v>
      </c>
      <c r="AX694" s="6">
        <v>0.57779999999999998</v>
      </c>
      <c r="AY694" s="6">
        <v>123</v>
      </c>
    </row>
    <row r="695" spans="28:51" x14ac:dyDescent="0.25">
      <c r="AB695" s="17">
        <v>693</v>
      </c>
      <c r="AC695" s="6">
        <v>5.1044400000000003</v>
      </c>
      <c r="AD695" s="6">
        <v>10.9476</v>
      </c>
      <c r="AE695" s="6">
        <v>4.9042000000000003</v>
      </c>
      <c r="AF695" s="6">
        <v>123</v>
      </c>
      <c r="AH695" s="17">
        <v>693</v>
      </c>
      <c r="AI695" s="6">
        <v>9.7075999999999993</v>
      </c>
      <c r="AJ695" s="6">
        <v>10.9476</v>
      </c>
      <c r="AK695" s="6">
        <v>4.9042000000000003</v>
      </c>
      <c r="AL695" s="6">
        <v>123</v>
      </c>
      <c r="AO695" s="17">
        <v>693</v>
      </c>
      <c r="AP695" s="6">
        <v>1.80968</v>
      </c>
      <c r="AQ695" s="6">
        <v>0.95089999999999997</v>
      </c>
      <c r="AR695" s="6">
        <v>0.91420000000000001</v>
      </c>
      <c r="AS695" s="6">
        <v>123</v>
      </c>
      <c r="AU695" s="17">
        <v>693</v>
      </c>
      <c r="AV695" s="6">
        <v>0.95155999999999996</v>
      </c>
      <c r="AW695" s="6">
        <v>0.95089999999999997</v>
      </c>
      <c r="AX695" s="6">
        <v>0.91420000000000001</v>
      </c>
      <c r="AY695" s="6">
        <v>123</v>
      </c>
    </row>
    <row r="696" spans="28:51" x14ac:dyDescent="0.25">
      <c r="AB696" s="17">
        <v>694</v>
      </c>
      <c r="AC696" s="6">
        <v>3.2418300000000002</v>
      </c>
      <c r="AD696" s="19">
        <v>-5.0712000000000002</v>
      </c>
      <c r="AE696" s="6">
        <v>3.1147</v>
      </c>
      <c r="AF696" s="6">
        <v>123</v>
      </c>
      <c r="AH696" s="17">
        <v>694</v>
      </c>
      <c r="AI696" s="6">
        <v>6.1653000000000002</v>
      </c>
      <c r="AJ696" s="19">
        <v>-5.0712000000000002</v>
      </c>
      <c r="AK696" s="6">
        <v>3.1147</v>
      </c>
      <c r="AL696" s="6">
        <v>123</v>
      </c>
      <c r="AO696" s="17">
        <v>694</v>
      </c>
      <c r="AP696" s="6">
        <v>1.1521699999999999</v>
      </c>
      <c r="AQ696" s="6">
        <v>1.0567</v>
      </c>
      <c r="AR696" s="6">
        <v>0.58209999999999995</v>
      </c>
      <c r="AS696" s="6">
        <v>123</v>
      </c>
      <c r="AU696" s="17">
        <v>694</v>
      </c>
      <c r="AV696" s="6">
        <v>0.60582999999999998</v>
      </c>
      <c r="AW696" s="6">
        <v>1.0567</v>
      </c>
      <c r="AX696" s="6">
        <v>0.58209999999999995</v>
      </c>
      <c r="AY696" s="6">
        <v>123</v>
      </c>
    </row>
    <row r="697" spans="28:51" x14ac:dyDescent="0.25">
      <c r="AB697" s="17">
        <v>695</v>
      </c>
      <c r="AC697" s="6">
        <v>3.2171500000000002</v>
      </c>
      <c r="AD697" s="19">
        <v>-0.53539999999999999</v>
      </c>
      <c r="AE697" s="6">
        <v>3.0910000000000002</v>
      </c>
      <c r="AF697" s="6">
        <v>123</v>
      </c>
      <c r="AH697" s="17">
        <v>695</v>
      </c>
      <c r="AI697" s="6">
        <v>6.1184000000000003</v>
      </c>
      <c r="AJ697" s="19">
        <v>-0.53539999999999999</v>
      </c>
      <c r="AK697" s="6">
        <v>3.0910000000000002</v>
      </c>
      <c r="AL697" s="6">
        <v>123</v>
      </c>
      <c r="AO697" s="17">
        <v>695</v>
      </c>
      <c r="AP697" s="6">
        <v>1.1481300000000001</v>
      </c>
      <c r="AQ697" s="6">
        <v>0.63539999999999996</v>
      </c>
      <c r="AR697" s="6">
        <v>0.57999999999999996</v>
      </c>
      <c r="AS697" s="6">
        <v>123</v>
      </c>
      <c r="AU697" s="17">
        <v>695</v>
      </c>
      <c r="AV697" s="6">
        <v>0.60370999999999997</v>
      </c>
      <c r="AW697" s="6">
        <v>0.63539999999999996</v>
      </c>
      <c r="AX697" s="6">
        <v>0.57999999999999996</v>
      </c>
      <c r="AY697" s="6">
        <v>123</v>
      </c>
    </row>
    <row r="698" spans="28:51" x14ac:dyDescent="0.25">
      <c r="AB698" s="17">
        <v>696</v>
      </c>
      <c r="AC698" s="6">
        <v>3.2475999999999998</v>
      </c>
      <c r="AD698" s="19">
        <v>-9.8476999999999997</v>
      </c>
      <c r="AE698" s="6">
        <v>3.1202000000000001</v>
      </c>
      <c r="AF698" s="6">
        <v>123</v>
      </c>
      <c r="AH698" s="17">
        <v>696</v>
      </c>
      <c r="AI698" s="6">
        <v>6.1763000000000003</v>
      </c>
      <c r="AJ698" s="19">
        <v>-9.8476999999999997</v>
      </c>
      <c r="AK698" s="6">
        <v>3.1202000000000001</v>
      </c>
      <c r="AL698" s="6">
        <v>123</v>
      </c>
      <c r="AO698" s="17">
        <v>696</v>
      </c>
      <c r="AP698" s="6">
        <v>1.16127</v>
      </c>
      <c r="AQ698" s="6">
        <v>0.43590000000000001</v>
      </c>
      <c r="AR698" s="6">
        <v>0.5867</v>
      </c>
      <c r="AS698" s="6">
        <v>123</v>
      </c>
      <c r="AU698" s="17">
        <v>696</v>
      </c>
      <c r="AV698" s="6">
        <v>0.61060999999999999</v>
      </c>
      <c r="AW698" s="6">
        <v>0.43590000000000001</v>
      </c>
      <c r="AX698" s="6">
        <v>0.5867</v>
      </c>
      <c r="AY698" s="6">
        <v>123</v>
      </c>
    </row>
    <row r="699" spans="28:51" x14ac:dyDescent="0.25">
      <c r="AB699" s="17">
        <v>697</v>
      </c>
      <c r="AC699" s="6">
        <v>3.24919</v>
      </c>
      <c r="AD699" s="19">
        <v>-1.7047000000000001</v>
      </c>
      <c r="AE699" s="6">
        <v>3.1217999999999999</v>
      </c>
      <c r="AF699" s="6">
        <v>123</v>
      </c>
      <c r="AH699" s="17">
        <v>697</v>
      </c>
      <c r="AI699" s="6">
        <v>6.1792999999999996</v>
      </c>
      <c r="AJ699" s="19">
        <v>-1.7047000000000001</v>
      </c>
      <c r="AK699" s="6">
        <v>3.1217999999999999</v>
      </c>
      <c r="AL699" s="6">
        <v>123</v>
      </c>
      <c r="AO699" s="17">
        <v>697</v>
      </c>
      <c r="AP699" s="6">
        <v>1.14117</v>
      </c>
      <c r="AQ699" s="6">
        <v>0.35580000000000001</v>
      </c>
      <c r="AR699" s="6">
        <v>0.57650000000000001</v>
      </c>
      <c r="AS699" s="6">
        <v>123</v>
      </c>
      <c r="AU699" s="17">
        <v>697</v>
      </c>
      <c r="AV699" s="6">
        <v>0.60004999999999997</v>
      </c>
      <c r="AW699" s="6">
        <v>0.35580000000000001</v>
      </c>
      <c r="AX699" s="6">
        <v>0.57650000000000001</v>
      </c>
      <c r="AY699" s="6">
        <v>123</v>
      </c>
    </row>
    <row r="700" spans="28:51" x14ac:dyDescent="0.25">
      <c r="AB700" s="17">
        <v>698</v>
      </c>
      <c r="AC700" s="6">
        <v>3.2225700000000002</v>
      </c>
      <c r="AD700" s="6">
        <v>0.88380000000000003</v>
      </c>
      <c r="AE700" s="6">
        <v>3.0962000000000001</v>
      </c>
      <c r="AF700" s="6">
        <v>123</v>
      </c>
      <c r="AH700" s="17">
        <v>698</v>
      </c>
      <c r="AI700" s="6">
        <v>6.1287000000000003</v>
      </c>
      <c r="AJ700" s="6">
        <v>0.88380000000000003</v>
      </c>
      <c r="AK700" s="6">
        <v>3.0962000000000001</v>
      </c>
      <c r="AL700" s="6">
        <v>123</v>
      </c>
      <c r="AO700" s="17">
        <v>698</v>
      </c>
      <c r="AP700" s="6">
        <v>1.14144</v>
      </c>
      <c r="AQ700" s="6">
        <v>2.2143000000000002</v>
      </c>
      <c r="AR700" s="6">
        <v>0.5766</v>
      </c>
      <c r="AS700" s="6">
        <v>123</v>
      </c>
      <c r="AU700" s="17">
        <v>698</v>
      </c>
      <c r="AV700" s="6">
        <v>0.60019</v>
      </c>
      <c r="AW700" s="6">
        <v>2.2143000000000002</v>
      </c>
      <c r="AX700" s="6">
        <v>0.5766</v>
      </c>
      <c r="AY700" s="6">
        <v>123</v>
      </c>
    </row>
    <row r="701" spans="28:51" x14ac:dyDescent="0.25">
      <c r="AB701" s="17">
        <v>699</v>
      </c>
      <c r="AC701" s="6">
        <v>3.2288399999999999</v>
      </c>
      <c r="AD701" s="6">
        <v>2.0497000000000001</v>
      </c>
      <c r="AE701" s="6">
        <v>3.1021999999999998</v>
      </c>
      <c r="AF701" s="6">
        <v>123</v>
      </c>
      <c r="AH701" s="17">
        <v>699</v>
      </c>
      <c r="AI701" s="6">
        <v>6.1406000000000001</v>
      </c>
      <c r="AJ701" s="6">
        <v>2.0497000000000001</v>
      </c>
      <c r="AK701" s="6">
        <v>3.1021999999999998</v>
      </c>
      <c r="AL701" s="6">
        <v>123</v>
      </c>
      <c r="AO701" s="17">
        <v>699</v>
      </c>
      <c r="AP701" s="6">
        <v>1.1431199999999999</v>
      </c>
      <c r="AQ701" s="6">
        <v>0.68899999999999995</v>
      </c>
      <c r="AR701" s="6">
        <v>0.57750000000000001</v>
      </c>
      <c r="AS701" s="6">
        <v>123</v>
      </c>
      <c r="AU701" s="17">
        <v>699</v>
      </c>
      <c r="AV701" s="6">
        <v>0.60106999999999999</v>
      </c>
      <c r="AW701" s="6">
        <v>0.68899999999999995</v>
      </c>
      <c r="AX701" s="6">
        <v>0.57750000000000001</v>
      </c>
      <c r="AY701" s="6">
        <v>123</v>
      </c>
    </row>
    <row r="702" spans="28:51" x14ac:dyDescent="0.25">
      <c r="AB702" s="17">
        <v>700</v>
      </c>
      <c r="AC702" s="6">
        <v>3.2277100000000001</v>
      </c>
      <c r="AD702" s="6">
        <v>7.2685000000000004</v>
      </c>
      <c r="AE702" s="6">
        <v>3.1011000000000002</v>
      </c>
      <c r="AF702" s="6">
        <v>123</v>
      </c>
      <c r="AH702" s="17">
        <v>700</v>
      </c>
      <c r="AI702" s="6">
        <v>6.1384999999999996</v>
      </c>
      <c r="AJ702" s="6">
        <v>7.2685000000000004</v>
      </c>
      <c r="AK702" s="6">
        <v>3.1011000000000002</v>
      </c>
      <c r="AL702" s="6">
        <v>123</v>
      </c>
      <c r="AO702" s="17">
        <v>700</v>
      </c>
      <c r="AP702" s="6">
        <v>1.14415</v>
      </c>
      <c r="AQ702" s="6">
        <v>0.7359</v>
      </c>
      <c r="AR702" s="6">
        <v>0.57799999999999996</v>
      </c>
      <c r="AS702" s="6">
        <v>123</v>
      </c>
      <c r="AU702" s="17">
        <v>700</v>
      </c>
      <c r="AV702" s="6">
        <v>0.60162000000000004</v>
      </c>
      <c r="AW702" s="6">
        <v>0.7359</v>
      </c>
      <c r="AX702" s="6">
        <v>0.57799999999999996</v>
      </c>
      <c r="AY702" s="6">
        <v>123</v>
      </c>
    </row>
    <row r="703" spans="28:51" x14ac:dyDescent="0.25">
      <c r="AB703" s="17">
        <v>701</v>
      </c>
      <c r="AC703" s="6">
        <v>3.2081900000000001</v>
      </c>
      <c r="AD703" s="6">
        <v>4.4173999999999998</v>
      </c>
      <c r="AE703" s="6">
        <v>3.0823999999999998</v>
      </c>
      <c r="AF703" s="6">
        <v>123</v>
      </c>
      <c r="AH703" s="17">
        <v>701</v>
      </c>
      <c r="AI703" s="6">
        <v>6.1013999999999999</v>
      </c>
      <c r="AJ703" s="6">
        <v>4.4173999999999998</v>
      </c>
      <c r="AK703" s="6">
        <v>3.0823999999999998</v>
      </c>
      <c r="AL703" s="6">
        <v>123</v>
      </c>
      <c r="AO703" s="17">
        <v>701</v>
      </c>
      <c r="AP703" s="6">
        <v>1.13835</v>
      </c>
      <c r="AQ703" s="6">
        <v>1.0001</v>
      </c>
      <c r="AR703" s="6">
        <v>0.57509999999999994</v>
      </c>
      <c r="AS703" s="6">
        <v>123</v>
      </c>
      <c r="AU703" s="17">
        <v>701</v>
      </c>
      <c r="AV703" s="6">
        <v>0.59855999999999998</v>
      </c>
      <c r="AW703" s="6">
        <v>1.0001</v>
      </c>
      <c r="AX703" s="6">
        <v>0.57509999999999994</v>
      </c>
      <c r="AY703" s="6">
        <v>123</v>
      </c>
    </row>
    <row r="704" spans="28:51" x14ac:dyDescent="0.25">
      <c r="AB704" s="17">
        <v>702</v>
      </c>
      <c r="AC704" s="6">
        <v>3.2250399999999999</v>
      </c>
      <c r="AD704" s="19">
        <v>-7.2820999999999998</v>
      </c>
      <c r="AE704" s="6">
        <v>3.0985999999999998</v>
      </c>
      <c r="AF704" s="6">
        <v>123</v>
      </c>
      <c r="AH704" s="17">
        <v>702</v>
      </c>
      <c r="AI704" s="6">
        <v>6.1334</v>
      </c>
      <c r="AJ704" s="19">
        <v>-7.2820999999999998</v>
      </c>
      <c r="AK704" s="6">
        <v>3.0985999999999998</v>
      </c>
      <c r="AL704" s="6">
        <v>123</v>
      </c>
      <c r="AO704" s="17">
        <v>702</v>
      </c>
      <c r="AP704" s="6">
        <v>1.1414</v>
      </c>
      <c r="AQ704" s="19">
        <v>-1.1255999999999999</v>
      </c>
      <c r="AR704" s="6">
        <v>0.5766</v>
      </c>
      <c r="AS704" s="6">
        <v>123</v>
      </c>
      <c r="AU704" s="17">
        <v>702</v>
      </c>
      <c r="AV704" s="6">
        <v>0.60016999999999998</v>
      </c>
      <c r="AW704" s="19">
        <v>-1.1255999999999999</v>
      </c>
      <c r="AX704" s="6">
        <v>0.5766</v>
      </c>
      <c r="AY704" s="6">
        <v>123</v>
      </c>
    </row>
    <row r="705" spans="28:51" x14ac:dyDescent="0.25">
      <c r="AB705" s="17">
        <v>703</v>
      </c>
      <c r="AC705" s="6">
        <v>3.2296299999999998</v>
      </c>
      <c r="AD705" s="19">
        <v>-3.0224000000000002</v>
      </c>
      <c r="AE705" s="6">
        <v>3.1030000000000002</v>
      </c>
      <c r="AF705" s="6">
        <v>123</v>
      </c>
      <c r="AH705" s="17">
        <v>703</v>
      </c>
      <c r="AI705" s="6">
        <v>6.1421000000000001</v>
      </c>
      <c r="AJ705" s="19">
        <v>-3.0224000000000002</v>
      </c>
      <c r="AK705" s="6">
        <v>3.1030000000000002</v>
      </c>
      <c r="AL705" s="6">
        <v>123</v>
      </c>
      <c r="AO705" s="17">
        <v>703</v>
      </c>
      <c r="AP705" s="6">
        <v>1.1437999999999999</v>
      </c>
      <c r="AQ705" s="6">
        <v>0.31309999999999999</v>
      </c>
      <c r="AR705" s="6">
        <v>0.57779999999999998</v>
      </c>
      <c r="AS705" s="6">
        <v>123</v>
      </c>
      <c r="AU705" s="17">
        <v>703</v>
      </c>
      <c r="AV705" s="6">
        <v>0.60143000000000002</v>
      </c>
      <c r="AW705" s="6">
        <v>0.31309999999999999</v>
      </c>
      <c r="AX705" s="6">
        <v>0.57779999999999998</v>
      </c>
      <c r="AY705" s="6">
        <v>123</v>
      </c>
    </row>
    <row r="706" spans="28:51" x14ac:dyDescent="0.25">
      <c r="AB706" s="17">
        <v>704</v>
      </c>
      <c r="AC706" s="6">
        <v>3.2384300000000001</v>
      </c>
      <c r="AD706" s="19">
        <v>-1.923</v>
      </c>
      <c r="AE706" s="6">
        <v>3.1114000000000002</v>
      </c>
      <c r="AF706" s="6">
        <v>123</v>
      </c>
      <c r="AH706" s="17">
        <v>704</v>
      </c>
      <c r="AI706" s="6">
        <v>6.1589</v>
      </c>
      <c r="AJ706" s="19">
        <v>-1.923</v>
      </c>
      <c r="AK706" s="6">
        <v>3.1114000000000002</v>
      </c>
      <c r="AL706" s="6">
        <v>123</v>
      </c>
      <c r="AO706" s="17">
        <v>704</v>
      </c>
      <c r="AP706" s="6">
        <v>1.13863</v>
      </c>
      <c r="AQ706" s="6">
        <v>0.98280000000000001</v>
      </c>
      <c r="AR706" s="6">
        <v>0.57520000000000004</v>
      </c>
      <c r="AS706" s="6">
        <v>123</v>
      </c>
      <c r="AU706" s="17">
        <v>704</v>
      </c>
      <c r="AV706" s="6">
        <v>0.59870999999999996</v>
      </c>
      <c r="AW706" s="6">
        <v>0.98280000000000001</v>
      </c>
      <c r="AX706" s="6">
        <v>0.57520000000000004</v>
      </c>
      <c r="AY706" s="6">
        <v>123</v>
      </c>
    </row>
    <row r="707" spans="28:51" x14ac:dyDescent="0.25">
      <c r="AB707" s="17">
        <v>705</v>
      </c>
      <c r="AC707" s="6">
        <v>3.2456999999999998</v>
      </c>
      <c r="AD707" s="19">
        <v>-6.0705999999999998</v>
      </c>
      <c r="AE707" s="6">
        <v>3.1183999999999998</v>
      </c>
      <c r="AF707" s="6">
        <v>123</v>
      </c>
      <c r="AH707" s="17">
        <v>705</v>
      </c>
      <c r="AI707" s="6">
        <v>6.1726999999999999</v>
      </c>
      <c r="AJ707" s="19">
        <v>-6.0705999999999998</v>
      </c>
      <c r="AK707" s="6">
        <v>3.1183999999999998</v>
      </c>
      <c r="AL707" s="6">
        <v>123</v>
      </c>
      <c r="AO707" s="17">
        <v>705</v>
      </c>
      <c r="AP707" s="6">
        <v>1.1509499999999999</v>
      </c>
      <c r="AQ707" s="6">
        <v>4.1349999999999998E-2</v>
      </c>
      <c r="AR707" s="6">
        <v>0.58150000000000002</v>
      </c>
      <c r="AS707" s="6">
        <v>123</v>
      </c>
      <c r="AU707" s="17">
        <v>705</v>
      </c>
      <c r="AV707" s="6">
        <v>0.60519000000000001</v>
      </c>
      <c r="AW707" s="6">
        <v>4.1349999999999998E-2</v>
      </c>
      <c r="AX707" s="6">
        <v>0.58150000000000002</v>
      </c>
      <c r="AY707" s="6">
        <v>123</v>
      </c>
    </row>
    <row r="708" spans="28:51" x14ac:dyDescent="0.25">
      <c r="AB708" s="17">
        <v>706</v>
      </c>
      <c r="AC708" s="6">
        <v>3.2130999999999998</v>
      </c>
      <c r="AD708" s="6">
        <v>2.9748000000000001</v>
      </c>
      <c r="AE708" s="6">
        <v>3.0871</v>
      </c>
      <c r="AF708" s="6">
        <v>123</v>
      </c>
      <c r="AH708" s="17">
        <v>706</v>
      </c>
      <c r="AI708" s="6">
        <v>6.1106999999999996</v>
      </c>
      <c r="AJ708" s="6">
        <v>2.9748000000000001</v>
      </c>
      <c r="AK708" s="6">
        <v>3.0871</v>
      </c>
      <c r="AL708" s="6">
        <v>123</v>
      </c>
      <c r="AO708" s="17">
        <v>706</v>
      </c>
      <c r="AP708" s="6">
        <v>1.13808</v>
      </c>
      <c r="AQ708" s="19">
        <v>-0.51080000000000003</v>
      </c>
      <c r="AR708" s="6">
        <v>0.57499999999999996</v>
      </c>
      <c r="AS708" s="6">
        <v>123</v>
      </c>
      <c r="AU708" s="17">
        <v>706</v>
      </c>
      <c r="AV708" s="6">
        <v>0.59841999999999995</v>
      </c>
      <c r="AW708" s="19">
        <v>-0.51080000000000003</v>
      </c>
      <c r="AX708" s="6">
        <v>0.57499999999999996</v>
      </c>
      <c r="AY708" s="6">
        <v>123</v>
      </c>
    </row>
    <row r="709" spans="28:51" x14ac:dyDescent="0.25">
      <c r="AB709" s="17">
        <v>707</v>
      </c>
      <c r="AC709" s="6">
        <v>3.2125900000000001</v>
      </c>
      <c r="AD709" s="19">
        <v>-3.2477</v>
      </c>
      <c r="AE709" s="6">
        <v>3.0865999999999998</v>
      </c>
      <c r="AF709" s="6">
        <v>123</v>
      </c>
      <c r="AH709" s="17">
        <v>707</v>
      </c>
      <c r="AI709" s="6">
        <v>6.1097000000000001</v>
      </c>
      <c r="AJ709" s="19">
        <v>-3.2477</v>
      </c>
      <c r="AK709" s="6">
        <v>3.0865999999999998</v>
      </c>
      <c r="AL709" s="6">
        <v>123</v>
      </c>
      <c r="AO709" s="17">
        <v>707</v>
      </c>
      <c r="AP709" s="6">
        <v>1.1376200000000001</v>
      </c>
      <c r="AQ709" s="19">
        <v>-0.45550000000000002</v>
      </c>
      <c r="AR709" s="6">
        <v>0.57469999999999999</v>
      </c>
      <c r="AS709" s="6">
        <v>123</v>
      </c>
      <c r="AU709" s="17">
        <v>707</v>
      </c>
      <c r="AV709" s="6">
        <v>0.59818000000000005</v>
      </c>
      <c r="AW709" s="19">
        <v>-0.45550000000000002</v>
      </c>
      <c r="AX709" s="6">
        <v>0.57469999999999999</v>
      </c>
      <c r="AY709" s="6">
        <v>123</v>
      </c>
    </row>
    <row r="710" spans="28:51" x14ac:dyDescent="0.25">
      <c r="AB710" s="17">
        <v>708</v>
      </c>
      <c r="AC710" s="6">
        <v>3.2157</v>
      </c>
      <c r="AD710" s="19">
        <v>-1.3988</v>
      </c>
      <c r="AE710" s="6">
        <v>3.0895999999999999</v>
      </c>
      <c r="AF710" s="6">
        <v>123</v>
      </c>
      <c r="AH710" s="17">
        <v>708</v>
      </c>
      <c r="AI710" s="6">
        <v>6.1155999999999997</v>
      </c>
      <c r="AJ710" s="19">
        <v>-1.3988</v>
      </c>
      <c r="AK710" s="6">
        <v>3.0895999999999999</v>
      </c>
      <c r="AL710" s="6">
        <v>123</v>
      </c>
      <c r="AO710" s="17">
        <v>708</v>
      </c>
      <c r="AP710" s="6">
        <v>1.14463</v>
      </c>
      <c r="AQ710" s="19">
        <v>-0.91520000000000001</v>
      </c>
      <c r="AR710" s="6">
        <v>0.57830000000000004</v>
      </c>
      <c r="AS710" s="6">
        <v>123</v>
      </c>
      <c r="AU710" s="17">
        <v>708</v>
      </c>
      <c r="AV710" s="6">
        <v>0.60187000000000002</v>
      </c>
      <c r="AW710" s="19">
        <v>-0.91520000000000001</v>
      </c>
      <c r="AX710" s="6">
        <v>0.57830000000000004</v>
      </c>
      <c r="AY710" s="6">
        <v>123</v>
      </c>
    </row>
    <row r="711" spans="28:51" x14ac:dyDescent="0.25">
      <c r="AB711" s="17">
        <v>709</v>
      </c>
      <c r="AC711" s="6">
        <v>3.2567900000000001</v>
      </c>
      <c r="AD711" s="6">
        <v>5.5538999999999996</v>
      </c>
      <c r="AE711" s="6">
        <v>3.1291000000000002</v>
      </c>
      <c r="AF711" s="6">
        <v>123</v>
      </c>
      <c r="AH711" s="17">
        <v>709</v>
      </c>
      <c r="AI711" s="6">
        <v>6.1938000000000004</v>
      </c>
      <c r="AJ711" s="6">
        <v>5.5538999999999996</v>
      </c>
      <c r="AK711" s="6">
        <v>3.1291000000000002</v>
      </c>
      <c r="AL711" s="6">
        <v>123</v>
      </c>
      <c r="AO711" s="17">
        <v>709</v>
      </c>
      <c r="AP711" s="6">
        <v>1.1570800000000001</v>
      </c>
      <c r="AQ711" s="6">
        <v>1.39</v>
      </c>
      <c r="AR711" s="6">
        <v>0.58450000000000002</v>
      </c>
      <c r="AS711" s="6">
        <v>123</v>
      </c>
      <c r="AU711" s="17">
        <v>709</v>
      </c>
      <c r="AV711" s="6">
        <v>0.60841000000000001</v>
      </c>
      <c r="AW711" s="6">
        <v>1.39</v>
      </c>
      <c r="AX711" s="6">
        <v>0.58450000000000002</v>
      </c>
      <c r="AY711" s="6">
        <v>123</v>
      </c>
    </row>
    <row r="712" spans="28:51" x14ac:dyDescent="0.25">
      <c r="AB712" s="17">
        <v>710</v>
      </c>
      <c r="AC712" s="6">
        <v>3.23549</v>
      </c>
      <c r="AD712" s="19">
        <v>-0.77390000000000003</v>
      </c>
      <c r="AE712" s="6">
        <v>3.1086</v>
      </c>
      <c r="AF712" s="6">
        <v>123</v>
      </c>
      <c r="AH712" s="17">
        <v>710</v>
      </c>
      <c r="AI712" s="6">
        <v>6.1532999999999998</v>
      </c>
      <c r="AJ712" s="19">
        <v>-0.77390000000000003</v>
      </c>
      <c r="AK712" s="6">
        <v>3.1086</v>
      </c>
      <c r="AL712" s="6">
        <v>123</v>
      </c>
      <c r="AO712" s="17">
        <v>710</v>
      </c>
      <c r="AP712" s="6">
        <v>1.1520300000000001</v>
      </c>
      <c r="AQ712" s="19">
        <v>-0.97240000000000004</v>
      </c>
      <c r="AR712" s="6">
        <v>0.58199999999999996</v>
      </c>
      <c r="AS712" s="6">
        <v>123</v>
      </c>
      <c r="AU712" s="17">
        <v>710</v>
      </c>
      <c r="AV712" s="6">
        <v>0.60575999999999997</v>
      </c>
      <c r="AW712" s="19">
        <v>-0.97240000000000004</v>
      </c>
      <c r="AX712" s="6">
        <v>0.58199999999999996</v>
      </c>
      <c r="AY712" s="6">
        <v>123</v>
      </c>
    </row>
    <row r="713" spans="28:51" x14ac:dyDescent="0.25">
      <c r="AB713" s="17">
        <v>711</v>
      </c>
      <c r="AC713" s="6">
        <v>3.25048</v>
      </c>
      <c r="AD713" s="6">
        <v>10.0158</v>
      </c>
      <c r="AE713" s="6">
        <v>3.1230000000000002</v>
      </c>
      <c r="AF713" s="6">
        <v>123</v>
      </c>
      <c r="AH713" s="17">
        <v>711</v>
      </c>
      <c r="AI713" s="6">
        <v>6.1818</v>
      </c>
      <c r="AJ713" s="6">
        <v>10.0158</v>
      </c>
      <c r="AK713" s="6">
        <v>3.1230000000000002</v>
      </c>
      <c r="AL713" s="6">
        <v>123</v>
      </c>
      <c r="AO713" s="17">
        <v>711</v>
      </c>
      <c r="AP713" s="6">
        <v>1.1506700000000001</v>
      </c>
      <c r="AQ713" s="6">
        <v>1.7044999999999999</v>
      </c>
      <c r="AR713" s="6">
        <v>0.58130000000000004</v>
      </c>
      <c r="AS713" s="6">
        <v>123</v>
      </c>
      <c r="AU713" s="17">
        <v>711</v>
      </c>
      <c r="AV713" s="6">
        <v>0.60504000000000002</v>
      </c>
      <c r="AW713" s="6">
        <v>1.7044999999999999</v>
      </c>
      <c r="AX713" s="6">
        <v>0.58130000000000004</v>
      </c>
      <c r="AY713" s="6">
        <v>123</v>
      </c>
    </row>
    <row r="714" spans="28:51" x14ac:dyDescent="0.25">
      <c r="AB714" s="17">
        <v>712</v>
      </c>
      <c r="AC714" s="6">
        <v>3.20879</v>
      </c>
      <c r="AD714" s="6">
        <v>7.7888000000000002</v>
      </c>
      <c r="AE714" s="6">
        <v>3.0829</v>
      </c>
      <c r="AF714" s="6">
        <v>123</v>
      </c>
      <c r="AH714" s="17">
        <v>712</v>
      </c>
      <c r="AI714" s="6">
        <v>6.1025</v>
      </c>
      <c r="AJ714" s="6">
        <v>7.7888000000000002</v>
      </c>
      <c r="AK714" s="6">
        <v>3.0829</v>
      </c>
      <c r="AL714" s="6">
        <v>123</v>
      </c>
      <c r="AO714" s="17">
        <v>712</v>
      </c>
      <c r="AP714" s="6">
        <v>1.13598</v>
      </c>
      <c r="AQ714" s="6">
        <v>1.5016</v>
      </c>
      <c r="AR714" s="6">
        <v>0.57389999999999997</v>
      </c>
      <c r="AS714" s="6">
        <v>123</v>
      </c>
      <c r="AU714" s="17">
        <v>712</v>
      </c>
      <c r="AV714" s="6">
        <v>0.59731999999999996</v>
      </c>
      <c r="AW714" s="6">
        <v>1.5016</v>
      </c>
      <c r="AX714" s="6">
        <v>0.57389999999999997</v>
      </c>
      <c r="AY714" s="6">
        <v>123</v>
      </c>
    </row>
    <row r="715" spans="28:51" x14ac:dyDescent="0.25">
      <c r="AB715" s="17">
        <v>713</v>
      </c>
      <c r="AC715" s="6">
        <v>3.2269899999999998</v>
      </c>
      <c r="AD715" s="19">
        <v>-1.1614</v>
      </c>
      <c r="AE715" s="6">
        <v>3.1004</v>
      </c>
      <c r="AF715" s="6">
        <v>123</v>
      </c>
      <c r="AH715" s="17">
        <v>713</v>
      </c>
      <c r="AI715" s="6">
        <v>6.1371000000000002</v>
      </c>
      <c r="AJ715" s="19">
        <v>-1.1614</v>
      </c>
      <c r="AK715" s="6">
        <v>3.1004</v>
      </c>
      <c r="AL715" s="6">
        <v>123</v>
      </c>
      <c r="AO715" s="17">
        <v>713</v>
      </c>
      <c r="AP715" s="6">
        <v>1.1375</v>
      </c>
      <c r="AQ715" s="6">
        <v>0.15740000000000001</v>
      </c>
      <c r="AR715" s="6">
        <v>0.57469999999999999</v>
      </c>
      <c r="AS715" s="6">
        <v>123</v>
      </c>
      <c r="AU715" s="17">
        <v>713</v>
      </c>
      <c r="AV715" s="6">
        <v>0.59811999999999999</v>
      </c>
      <c r="AW715" s="6">
        <v>0.15740000000000001</v>
      </c>
      <c r="AX715" s="6">
        <v>0.57469999999999999</v>
      </c>
      <c r="AY715" s="6">
        <v>123</v>
      </c>
    </row>
    <row r="716" spans="28:51" x14ac:dyDescent="0.25">
      <c r="AB716" s="17">
        <v>714</v>
      </c>
      <c r="AC716" s="6">
        <v>3.21834</v>
      </c>
      <c r="AD716" s="6">
        <v>1.3059000000000001</v>
      </c>
      <c r="AE716" s="6">
        <v>3.0920999999999998</v>
      </c>
      <c r="AF716" s="6">
        <v>123</v>
      </c>
      <c r="AH716" s="17">
        <v>714</v>
      </c>
      <c r="AI716" s="6">
        <v>6.1207000000000003</v>
      </c>
      <c r="AJ716" s="6">
        <v>1.3059000000000001</v>
      </c>
      <c r="AK716" s="6">
        <v>3.0920999999999998</v>
      </c>
      <c r="AL716" s="6">
        <v>123</v>
      </c>
      <c r="AO716" s="17">
        <v>714</v>
      </c>
      <c r="AP716" s="6">
        <v>1.1425799999999999</v>
      </c>
      <c r="AQ716" s="6">
        <v>0.36799999999999999</v>
      </c>
      <c r="AR716" s="6">
        <v>0.57720000000000005</v>
      </c>
      <c r="AS716" s="6">
        <v>123</v>
      </c>
      <c r="AU716" s="17">
        <v>714</v>
      </c>
      <c r="AV716" s="6">
        <v>0.60079000000000005</v>
      </c>
      <c r="AW716" s="6">
        <v>0.36799999999999999</v>
      </c>
      <c r="AX716" s="6">
        <v>0.57720000000000005</v>
      </c>
      <c r="AY716" s="6">
        <v>123</v>
      </c>
    </row>
    <row r="717" spans="28:51" x14ac:dyDescent="0.25">
      <c r="AB717" s="17">
        <v>715</v>
      </c>
      <c r="AC717" s="6">
        <v>5.1071</v>
      </c>
      <c r="AD717" s="6">
        <v>10.2615</v>
      </c>
      <c r="AE717" s="6">
        <v>4.9067999999999996</v>
      </c>
      <c r="AF717" s="6">
        <v>123</v>
      </c>
      <c r="AH717" s="17">
        <v>715</v>
      </c>
      <c r="AI717" s="6">
        <v>9.7126999999999999</v>
      </c>
      <c r="AJ717" s="6">
        <v>10.2615</v>
      </c>
      <c r="AK717" s="6">
        <v>4.9067999999999996</v>
      </c>
      <c r="AL717" s="6">
        <v>123</v>
      </c>
      <c r="AO717" s="17">
        <v>715</v>
      </c>
      <c r="AP717" s="6">
        <v>1.8133699999999999</v>
      </c>
      <c r="AQ717" s="6">
        <v>0.88529999999999998</v>
      </c>
      <c r="AR717" s="6">
        <v>0.91610000000000003</v>
      </c>
      <c r="AS717" s="6">
        <v>123</v>
      </c>
      <c r="AU717" s="17">
        <v>715</v>
      </c>
      <c r="AV717" s="6">
        <v>0.95350000000000001</v>
      </c>
      <c r="AW717" s="6">
        <v>0.88529999999999998</v>
      </c>
      <c r="AX717" s="6">
        <v>0.91610000000000003</v>
      </c>
      <c r="AY717" s="6">
        <v>123</v>
      </c>
    </row>
    <row r="718" spans="28:51" x14ac:dyDescent="0.25">
      <c r="AB718" s="17">
        <v>716</v>
      </c>
      <c r="AC718" s="6">
        <v>3.22349</v>
      </c>
      <c r="AD718" s="6">
        <v>4.5358000000000001</v>
      </c>
      <c r="AE718" s="6">
        <v>3.0971000000000002</v>
      </c>
      <c r="AF718" s="6">
        <v>123</v>
      </c>
      <c r="AH718" s="17">
        <v>716</v>
      </c>
      <c r="AI718" s="6">
        <v>6.1303999999999998</v>
      </c>
      <c r="AJ718" s="6">
        <v>4.5358000000000001</v>
      </c>
      <c r="AK718" s="6">
        <v>3.0971000000000002</v>
      </c>
      <c r="AL718" s="6">
        <v>123</v>
      </c>
      <c r="AO718" s="17">
        <v>716</v>
      </c>
      <c r="AP718" s="6">
        <v>1.15496</v>
      </c>
      <c r="AQ718" s="19">
        <v>-0.42130000000000001</v>
      </c>
      <c r="AR718" s="6">
        <v>0.58350000000000002</v>
      </c>
      <c r="AS718" s="6">
        <v>123</v>
      </c>
      <c r="AU718" s="17">
        <v>716</v>
      </c>
      <c r="AV718" s="6">
        <v>0.60729999999999995</v>
      </c>
      <c r="AW718" s="19">
        <v>-0.42130000000000001</v>
      </c>
      <c r="AX718" s="6">
        <v>0.58350000000000002</v>
      </c>
      <c r="AY718" s="6">
        <v>123</v>
      </c>
    </row>
    <row r="719" spans="28:51" x14ac:dyDescent="0.25">
      <c r="AB719" s="17">
        <v>717</v>
      </c>
      <c r="AC719" s="6">
        <v>3.2659199999999999</v>
      </c>
      <c r="AD719" s="19">
        <v>-4.7765000000000004</v>
      </c>
      <c r="AE719" s="6">
        <v>3.1377999999999999</v>
      </c>
      <c r="AF719" s="6">
        <v>123</v>
      </c>
      <c r="AH719" s="17">
        <v>717</v>
      </c>
      <c r="AI719" s="6">
        <v>6.2111000000000001</v>
      </c>
      <c r="AJ719" s="19">
        <v>-4.7765000000000004</v>
      </c>
      <c r="AK719" s="6">
        <v>3.1377999999999999</v>
      </c>
      <c r="AL719" s="6">
        <v>123</v>
      </c>
      <c r="AO719" s="17">
        <v>717</v>
      </c>
      <c r="AP719" s="6">
        <v>1.1766300000000001</v>
      </c>
      <c r="AQ719" s="19">
        <v>-0.62080000000000002</v>
      </c>
      <c r="AR719" s="6">
        <v>0.59440000000000004</v>
      </c>
      <c r="AS719" s="6">
        <v>123</v>
      </c>
      <c r="AU719" s="17">
        <v>717</v>
      </c>
      <c r="AV719" s="6">
        <v>0.61868999999999996</v>
      </c>
      <c r="AW719" s="19">
        <v>-0.62080000000000002</v>
      </c>
      <c r="AX719" s="6">
        <v>0.59440000000000004</v>
      </c>
      <c r="AY719" s="6">
        <v>123</v>
      </c>
    </row>
    <row r="720" spans="28:51" x14ac:dyDescent="0.25">
      <c r="AB720" s="17">
        <v>718</v>
      </c>
      <c r="AC720" s="6">
        <v>3.2638199999999999</v>
      </c>
      <c r="AD720" s="6">
        <v>3.3664999999999998</v>
      </c>
      <c r="AE720" s="6">
        <v>3.1358000000000001</v>
      </c>
      <c r="AF720" s="6">
        <v>123</v>
      </c>
      <c r="AH720" s="17">
        <v>718</v>
      </c>
      <c r="AI720" s="6">
        <v>6.2070999999999996</v>
      </c>
      <c r="AJ720" s="6">
        <v>3.3664999999999998</v>
      </c>
      <c r="AK720" s="6">
        <v>3.1358000000000001</v>
      </c>
      <c r="AL720" s="6">
        <v>123</v>
      </c>
      <c r="AO720" s="17">
        <v>718</v>
      </c>
      <c r="AP720" s="6">
        <v>1.1577</v>
      </c>
      <c r="AQ720" s="19">
        <v>-0.70089999999999997</v>
      </c>
      <c r="AR720" s="6">
        <v>0.58489999999999998</v>
      </c>
      <c r="AS720" s="6">
        <v>123</v>
      </c>
      <c r="AU720" s="17">
        <v>718</v>
      </c>
      <c r="AV720" s="6">
        <v>0.60873999999999995</v>
      </c>
      <c r="AW720" s="19">
        <v>-0.70089999999999997</v>
      </c>
      <c r="AX720" s="6">
        <v>0.58489999999999998</v>
      </c>
      <c r="AY720" s="6">
        <v>123</v>
      </c>
    </row>
    <row r="721" spans="28:51" x14ac:dyDescent="0.25">
      <c r="AB721" s="17">
        <v>719</v>
      </c>
      <c r="AC721" s="6">
        <v>3.22193</v>
      </c>
      <c r="AD721" s="6">
        <v>5.9550000000000001</v>
      </c>
      <c r="AE721" s="6">
        <v>3.0956000000000001</v>
      </c>
      <c r="AF721" s="6">
        <v>123</v>
      </c>
      <c r="AH721" s="17">
        <v>719</v>
      </c>
      <c r="AI721" s="6">
        <v>6.1275000000000004</v>
      </c>
      <c r="AJ721" s="6">
        <v>5.9550000000000001</v>
      </c>
      <c r="AK721" s="6">
        <v>3.0956000000000001</v>
      </c>
      <c r="AL721" s="6">
        <v>123</v>
      </c>
      <c r="AO721" s="17">
        <v>719</v>
      </c>
      <c r="AP721" s="6">
        <v>1.15069</v>
      </c>
      <c r="AQ721" s="6">
        <v>1.1576</v>
      </c>
      <c r="AR721" s="6">
        <v>0.58130000000000004</v>
      </c>
      <c r="AS721" s="6">
        <v>123</v>
      </c>
      <c r="AU721" s="17">
        <v>719</v>
      </c>
      <c r="AV721" s="6">
        <v>0.60504999999999998</v>
      </c>
      <c r="AW721" s="6">
        <v>1.1576</v>
      </c>
      <c r="AX721" s="6">
        <v>0.58130000000000004</v>
      </c>
      <c r="AY721" s="6">
        <v>123</v>
      </c>
    </row>
    <row r="722" spans="28:51" x14ac:dyDescent="0.25">
      <c r="AB722" s="17">
        <v>720</v>
      </c>
      <c r="AC722" s="6">
        <v>3.2207499999999998</v>
      </c>
      <c r="AD722" s="6">
        <v>7.1208999999999998</v>
      </c>
      <c r="AE722" s="6">
        <v>3.0943999999999998</v>
      </c>
      <c r="AF722" s="6">
        <v>123</v>
      </c>
      <c r="AH722" s="17">
        <v>720</v>
      </c>
      <c r="AI722" s="6">
        <v>6.1252000000000004</v>
      </c>
      <c r="AJ722" s="6">
        <v>7.1208999999999998</v>
      </c>
      <c r="AK722" s="6">
        <v>3.0943999999999998</v>
      </c>
      <c r="AL722" s="6">
        <v>123</v>
      </c>
      <c r="AO722" s="17">
        <v>720</v>
      </c>
      <c r="AP722" s="6">
        <v>1.1516200000000001</v>
      </c>
      <c r="AQ722" s="19">
        <v>-0.36780000000000002</v>
      </c>
      <c r="AR722" s="6">
        <v>0.58179999999999998</v>
      </c>
      <c r="AS722" s="6">
        <v>123</v>
      </c>
      <c r="AU722" s="17">
        <v>720</v>
      </c>
      <c r="AV722" s="6">
        <v>0.60553999999999997</v>
      </c>
      <c r="AW722" s="19">
        <v>-0.36780000000000002</v>
      </c>
      <c r="AX722" s="6">
        <v>0.58179999999999998</v>
      </c>
      <c r="AY722" s="6">
        <v>123</v>
      </c>
    </row>
    <row r="723" spans="28:51" x14ac:dyDescent="0.25">
      <c r="AB723" s="17">
        <v>721</v>
      </c>
      <c r="AC723" s="6">
        <v>3.2202700000000002</v>
      </c>
      <c r="AD723" s="6">
        <v>12.339700000000001</v>
      </c>
      <c r="AE723" s="6">
        <v>3.0939999999999999</v>
      </c>
      <c r="AF723" s="6">
        <v>123</v>
      </c>
      <c r="AH723" s="17">
        <v>721</v>
      </c>
      <c r="AI723" s="6">
        <v>6.1242999999999999</v>
      </c>
      <c r="AJ723" s="6">
        <v>12.339700000000001</v>
      </c>
      <c r="AK723" s="6">
        <v>3.0939999999999999</v>
      </c>
      <c r="AL723" s="6">
        <v>123</v>
      </c>
      <c r="AO723" s="17">
        <v>721</v>
      </c>
      <c r="AP723" s="6">
        <v>1.15181</v>
      </c>
      <c r="AQ723" s="19">
        <v>-0.32090000000000002</v>
      </c>
      <c r="AR723" s="6">
        <v>0.58189999999999997</v>
      </c>
      <c r="AS723" s="6">
        <v>123</v>
      </c>
      <c r="AU723" s="17">
        <v>721</v>
      </c>
      <c r="AV723" s="6">
        <v>0.60563999999999996</v>
      </c>
      <c r="AW723" s="19">
        <v>-0.32090000000000002</v>
      </c>
      <c r="AX723" s="6">
        <v>0.58189999999999997</v>
      </c>
      <c r="AY723" s="6">
        <v>123</v>
      </c>
    </row>
    <row r="724" spans="28:51" x14ac:dyDescent="0.25">
      <c r="AB724" s="17">
        <v>722</v>
      </c>
      <c r="AC724" s="6">
        <v>3.2156600000000002</v>
      </c>
      <c r="AD724" s="6">
        <v>9.4885999999999999</v>
      </c>
      <c r="AE724" s="6">
        <v>3.0895000000000001</v>
      </c>
      <c r="AF724" s="6">
        <v>123</v>
      </c>
      <c r="AH724" s="17">
        <v>722</v>
      </c>
      <c r="AI724" s="6">
        <v>6.1154999999999999</v>
      </c>
      <c r="AJ724" s="6">
        <v>9.4885999999999999</v>
      </c>
      <c r="AK724" s="6">
        <v>3.0895000000000001</v>
      </c>
      <c r="AL724" s="6">
        <v>123</v>
      </c>
      <c r="AO724" s="17">
        <v>722</v>
      </c>
      <c r="AP724" s="6">
        <v>1.14943</v>
      </c>
      <c r="AQ724" s="19">
        <v>-5.6660000000000002E-2</v>
      </c>
      <c r="AR724" s="6">
        <v>0.58069999999999999</v>
      </c>
      <c r="AS724" s="6">
        <v>123</v>
      </c>
      <c r="AU724" s="17">
        <v>722</v>
      </c>
      <c r="AV724" s="6">
        <v>0.60438999999999998</v>
      </c>
      <c r="AW724" s="19">
        <v>-5.6660000000000002E-2</v>
      </c>
      <c r="AX724" s="6">
        <v>0.58069999999999999</v>
      </c>
      <c r="AY724" s="6">
        <v>123</v>
      </c>
    </row>
    <row r="725" spans="28:51" x14ac:dyDescent="0.25">
      <c r="AB725" s="17">
        <v>723</v>
      </c>
      <c r="AC725" s="6">
        <v>3.2307399999999999</v>
      </c>
      <c r="AD725" s="19">
        <v>-2.2109000000000001</v>
      </c>
      <c r="AE725" s="6">
        <v>3.1040000000000001</v>
      </c>
      <c r="AF725" s="6">
        <v>123</v>
      </c>
      <c r="AH725" s="17">
        <v>723</v>
      </c>
      <c r="AI725" s="6">
        <v>6.1441999999999997</v>
      </c>
      <c r="AJ725" s="19">
        <v>-2.2109000000000001</v>
      </c>
      <c r="AK725" s="6">
        <v>3.1040000000000001</v>
      </c>
      <c r="AL725" s="6">
        <v>123</v>
      </c>
      <c r="AO725" s="17">
        <v>723</v>
      </c>
      <c r="AP725" s="6">
        <v>1.1552899999999999</v>
      </c>
      <c r="AQ725" s="19">
        <v>-2.1823000000000001</v>
      </c>
      <c r="AR725" s="6">
        <v>0.58360000000000001</v>
      </c>
      <c r="AS725" s="6">
        <v>123</v>
      </c>
      <c r="AU725" s="17">
        <v>723</v>
      </c>
      <c r="AV725" s="6">
        <v>0.60746999999999995</v>
      </c>
      <c r="AW725" s="19">
        <v>-2.1823000000000001</v>
      </c>
      <c r="AX725" s="6">
        <v>0.58360000000000001</v>
      </c>
      <c r="AY725" s="6">
        <v>123</v>
      </c>
    </row>
    <row r="726" spans="28:51" x14ac:dyDescent="0.25">
      <c r="AB726" s="17">
        <v>724</v>
      </c>
      <c r="AC726" s="6">
        <v>3.21787</v>
      </c>
      <c r="AD726" s="6">
        <v>2.0488</v>
      </c>
      <c r="AE726" s="6">
        <v>3.0916999999999999</v>
      </c>
      <c r="AF726" s="6">
        <v>123</v>
      </c>
      <c r="AH726" s="17">
        <v>724</v>
      </c>
      <c r="AI726" s="6">
        <v>6.1196999999999999</v>
      </c>
      <c r="AJ726" s="6">
        <v>2.0488</v>
      </c>
      <c r="AK726" s="6">
        <v>3.0916999999999999</v>
      </c>
      <c r="AL726" s="6">
        <v>123</v>
      </c>
      <c r="AO726" s="17">
        <v>724</v>
      </c>
      <c r="AP726" s="6">
        <v>1.15035</v>
      </c>
      <c r="AQ726" s="19">
        <v>-0.74360000000000004</v>
      </c>
      <c r="AR726" s="6">
        <v>0.58120000000000005</v>
      </c>
      <c r="AS726" s="6">
        <v>123</v>
      </c>
      <c r="AU726" s="17">
        <v>724</v>
      </c>
      <c r="AV726" s="6">
        <v>0.60487999999999997</v>
      </c>
      <c r="AW726" s="19">
        <v>-0.74360000000000004</v>
      </c>
      <c r="AX726" s="6">
        <v>0.58120000000000005</v>
      </c>
      <c r="AY726" s="6">
        <v>123</v>
      </c>
    </row>
    <row r="727" spans="28:51" x14ac:dyDescent="0.25">
      <c r="AB727" s="17">
        <v>725</v>
      </c>
      <c r="AC727" s="6">
        <v>3.2347999999999999</v>
      </c>
      <c r="AD727" s="6">
        <v>3.1482000000000001</v>
      </c>
      <c r="AE727" s="6">
        <v>3.1078999999999999</v>
      </c>
      <c r="AF727" s="6">
        <v>123</v>
      </c>
      <c r="AH727" s="17">
        <v>725</v>
      </c>
      <c r="AI727" s="6">
        <v>6.1520000000000001</v>
      </c>
      <c r="AJ727" s="6">
        <v>3.1482000000000001</v>
      </c>
      <c r="AK727" s="6">
        <v>3.1078999999999999</v>
      </c>
      <c r="AL727" s="6">
        <v>123</v>
      </c>
      <c r="AO727" s="17">
        <v>725</v>
      </c>
      <c r="AP727" s="6">
        <v>1.1545799999999999</v>
      </c>
      <c r="AQ727" s="19">
        <v>-7.3899999999999993E-2</v>
      </c>
      <c r="AR727" s="6">
        <v>0.58330000000000004</v>
      </c>
      <c r="AS727" s="6">
        <v>123</v>
      </c>
      <c r="AU727" s="17">
        <v>725</v>
      </c>
      <c r="AV727" s="6">
        <v>0.60709999999999997</v>
      </c>
      <c r="AW727" s="19">
        <v>-7.3899999999999993E-2</v>
      </c>
      <c r="AX727" s="6">
        <v>0.58330000000000004</v>
      </c>
      <c r="AY727" s="6">
        <v>123</v>
      </c>
    </row>
    <row r="728" spans="28:51" x14ac:dyDescent="0.25">
      <c r="AB728" s="17">
        <v>726</v>
      </c>
      <c r="AC728" s="6">
        <v>3.2227100000000002</v>
      </c>
      <c r="AD728" s="19">
        <v>-0.99939999999999996</v>
      </c>
      <c r="AE728" s="6">
        <v>3.0962999999999998</v>
      </c>
      <c r="AF728" s="6">
        <v>123</v>
      </c>
      <c r="AH728" s="17">
        <v>726</v>
      </c>
      <c r="AI728" s="6">
        <v>6.1289999999999996</v>
      </c>
      <c r="AJ728" s="19">
        <v>-0.99939999999999996</v>
      </c>
      <c r="AK728" s="6">
        <v>3.0962999999999998</v>
      </c>
      <c r="AL728" s="6">
        <v>123</v>
      </c>
      <c r="AO728" s="17">
        <v>726</v>
      </c>
      <c r="AP728" s="6">
        <v>1.15767</v>
      </c>
      <c r="AQ728" s="19">
        <v>-1.0154000000000001</v>
      </c>
      <c r="AR728" s="6">
        <v>0.58479999999999999</v>
      </c>
      <c r="AS728" s="6">
        <v>123</v>
      </c>
      <c r="AU728" s="17">
        <v>726</v>
      </c>
      <c r="AV728" s="6">
        <v>0.60872000000000004</v>
      </c>
      <c r="AW728" s="19">
        <v>-1.0154000000000001</v>
      </c>
      <c r="AX728" s="6">
        <v>0.58479999999999999</v>
      </c>
      <c r="AY728" s="6">
        <v>123</v>
      </c>
    </row>
    <row r="729" spans="28:51" x14ac:dyDescent="0.25">
      <c r="AB729" s="17">
        <v>727</v>
      </c>
      <c r="AC729" s="6">
        <v>3.21394</v>
      </c>
      <c r="AD729" s="6">
        <v>8.0459999999999994</v>
      </c>
      <c r="AE729" s="6">
        <v>3.0878999999999999</v>
      </c>
      <c r="AF729" s="6">
        <v>123</v>
      </c>
      <c r="AH729" s="17">
        <v>727</v>
      </c>
      <c r="AI729" s="6">
        <v>6.1123000000000003</v>
      </c>
      <c r="AJ729" s="6">
        <v>8.0459999999999994</v>
      </c>
      <c r="AK729" s="6">
        <v>3.0878999999999999</v>
      </c>
      <c r="AL729" s="6">
        <v>123</v>
      </c>
      <c r="AO729" s="17">
        <v>727</v>
      </c>
      <c r="AP729" s="6">
        <v>1.14794</v>
      </c>
      <c r="AQ729" s="19">
        <v>-1.5674999999999999</v>
      </c>
      <c r="AR729" s="6">
        <v>0.57989999999999997</v>
      </c>
      <c r="AS729" s="6">
        <v>123</v>
      </c>
      <c r="AU729" s="17">
        <v>727</v>
      </c>
      <c r="AV729" s="6">
        <v>0.60360999999999998</v>
      </c>
      <c r="AW729" s="19">
        <v>-1.5674999999999999</v>
      </c>
      <c r="AX729" s="6">
        <v>0.57989999999999997</v>
      </c>
      <c r="AY729" s="6">
        <v>123</v>
      </c>
    </row>
    <row r="730" spans="28:51" x14ac:dyDescent="0.25">
      <c r="AB730" s="17">
        <v>728</v>
      </c>
      <c r="AC730" s="6">
        <v>3.2221299999999999</v>
      </c>
      <c r="AD730" s="6">
        <v>1.8234999999999999</v>
      </c>
      <c r="AE730" s="6">
        <v>3.0958000000000001</v>
      </c>
      <c r="AF730" s="6">
        <v>123</v>
      </c>
      <c r="AH730" s="17">
        <v>728</v>
      </c>
      <c r="AI730" s="6">
        <v>6.1279000000000003</v>
      </c>
      <c r="AJ730" s="6">
        <v>1.8234999999999999</v>
      </c>
      <c r="AK730" s="6">
        <v>3.0958000000000001</v>
      </c>
      <c r="AL730" s="6">
        <v>123</v>
      </c>
      <c r="AO730" s="17">
        <v>728</v>
      </c>
      <c r="AP730" s="6">
        <v>1.1516200000000001</v>
      </c>
      <c r="AQ730" s="19">
        <v>-1.5122</v>
      </c>
      <c r="AR730" s="6">
        <v>0.58179999999999998</v>
      </c>
      <c r="AS730" s="6">
        <v>123</v>
      </c>
      <c r="AU730" s="17">
        <v>728</v>
      </c>
      <c r="AV730" s="6">
        <v>0.60553999999999997</v>
      </c>
      <c r="AW730" s="19">
        <v>-1.5122</v>
      </c>
      <c r="AX730" s="6">
        <v>0.58179999999999998</v>
      </c>
      <c r="AY730" s="6">
        <v>123</v>
      </c>
    </row>
    <row r="731" spans="28:51" x14ac:dyDescent="0.25">
      <c r="AB731" s="17">
        <v>729</v>
      </c>
      <c r="AC731" s="6">
        <v>3.2090299999999998</v>
      </c>
      <c r="AD731" s="6">
        <v>3.6724000000000001</v>
      </c>
      <c r="AE731" s="6">
        <v>3.0832000000000002</v>
      </c>
      <c r="AF731" s="6">
        <v>123</v>
      </c>
      <c r="AH731" s="17">
        <v>729</v>
      </c>
      <c r="AI731" s="6">
        <v>6.1029</v>
      </c>
      <c r="AJ731" s="6">
        <v>3.6724000000000001</v>
      </c>
      <c r="AK731" s="6">
        <v>3.0832000000000002</v>
      </c>
      <c r="AL731" s="6">
        <v>123</v>
      </c>
      <c r="AO731" s="17">
        <v>729</v>
      </c>
      <c r="AP731" s="6">
        <v>1.14727</v>
      </c>
      <c r="AQ731" s="19">
        <v>-1.972</v>
      </c>
      <c r="AR731" s="6">
        <v>0.5796</v>
      </c>
      <c r="AS731" s="6">
        <v>123</v>
      </c>
      <c r="AU731" s="17">
        <v>729</v>
      </c>
      <c r="AV731" s="6">
        <v>0.60324999999999995</v>
      </c>
      <c r="AW731" s="19">
        <v>-1.972</v>
      </c>
      <c r="AX731" s="6">
        <v>0.5796</v>
      </c>
      <c r="AY731" s="6">
        <v>123</v>
      </c>
    </row>
    <row r="732" spans="28:51" x14ac:dyDescent="0.25">
      <c r="AB732" s="17">
        <v>730</v>
      </c>
      <c r="AC732" s="6">
        <v>3.2480699999999998</v>
      </c>
      <c r="AD732" s="6">
        <v>10.6251</v>
      </c>
      <c r="AE732" s="6">
        <v>3.1206999999999998</v>
      </c>
      <c r="AF732" s="6">
        <v>123</v>
      </c>
      <c r="AH732" s="17">
        <v>730</v>
      </c>
      <c r="AI732" s="6">
        <v>6.1772</v>
      </c>
      <c r="AJ732" s="6">
        <v>10.6251</v>
      </c>
      <c r="AK732" s="6">
        <v>3.1206999999999998</v>
      </c>
      <c r="AL732" s="6">
        <v>123</v>
      </c>
      <c r="AO732" s="17">
        <v>730</v>
      </c>
      <c r="AP732" s="6">
        <v>1.16438</v>
      </c>
      <c r="AQ732" s="6">
        <v>0.33329999999999999</v>
      </c>
      <c r="AR732" s="6">
        <v>0.58819999999999995</v>
      </c>
      <c r="AS732" s="6">
        <v>123</v>
      </c>
      <c r="AU732" s="17">
        <v>730</v>
      </c>
      <c r="AV732" s="6">
        <v>0.61224999999999996</v>
      </c>
      <c r="AW732" s="6">
        <v>0.33329999999999999</v>
      </c>
      <c r="AX732" s="6">
        <v>0.58819999999999995</v>
      </c>
      <c r="AY732" s="6">
        <v>123</v>
      </c>
    </row>
    <row r="733" spans="28:51" x14ac:dyDescent="0.25">
      <c r="AB733" s="17">
        <v>731</v>
      </c>
      <c r="AC733" s="6">
        <v>3.2335699999999998</v>
      </c>
      <c r="AD733" s="6">
        <v>4.2972999999999999</v>
      </c>
      <c r="AE733" s="6">
        <v>3.1067999999999998</v>
      </c>
      <c r="AF733" s="6">
        <v>123</v>
      </c>
      <c r="AH733" s="17">
        <v>731</v>
      </c>
      <c r="AI733" s="6">
        <v>6.1496000000000004</v>
      </c>
      <c r="AJ733" s="6">
        <v>4.2972999999999999</v>
      </c>
      <c r="AK733" s="6">
        <v>3.1067999999999998</v>
      </c>
      <c r="AL733" s="6">
        <v>123</v>
      </c>
      <c r="AO733" s="17">
        <v>731</v>
      </c>
      <c r="AP733" s="6">
        <v>1.1584000000000001</v>
      </c>
      <c r="AQ733" s="19">
        <v>-2.0291000000000001</v>
      </c>
      <c r="AR733" s="6">
        <v>0.58520000000000005</v>
      </c>
      <c r="AS733" s="6">
        <v>123</v>
      </c>
      <c r="AU733" s="17">
        <v>731</v>
      </c>
      <c r="AV733" s="6">
        <v>0.60911000000000004</v>
      </c>
      <c r="AW733" s="19">
        <v>-2.0291000000000001</v>
      </c>
      <c r="AX733" s="6">
        <v>0.58520000000000005</v>
      </c>
      <c r="AY733" s="6">
        <v>123</v>
      </c>
    </row>
    <row r="734" spans="28:51" x14ac:dyDescent="0.25">
      <c r="AB734" s="17">
        <v>732</v>
      </c>
      <c r="AC734" s="6">
        <v>3.2423899999999999</v>
      </c>
      <c r="AD734" s="6">
        <v>15.087</v>
      </c>
      <c r="AE734" s="6">
        <v>3.1152000000000002</v>
      </c>
      <c r="AF734" s="6">
        <v>123</v>
      </c>
      <c r="AH734" s="17">
        <v>732</v>
      </c>
      <c r="AI734" s="6">
        <v>6.1664000000000003</v>
      </c>
      <c r="AJ734" s="6">
        <v>15.087</v>
      </c>
      <c r="AK734" s="6">
        <v>3.1152000000000002</v>
      </c>
      <c r="AL734" s="6">
        <v>123</v>
      </c>
      <c r="AO734" s="17">
        <v>732</v>
      </c>
      <c r="AP734" s="6">
        <v>1.1574599999999999</v>
      </c>
      <c r="AQ734" s="6">
        <v>0.64780000000000004</v>
      </c>
      <c r="AR734" s="6">
        <v>0.5847</v>
      </c>
      <c r="AS734" s="6">
        <v>123</v>
      </c>
      <c r="AU734" s="17">
        <v>732</v>
      </c>
      <c r="AV734" s="6">
        <v>0.60860999999999998</v>
      </c>
      <c r="AW734" s="6">
        <v>0.64780000000000004</v>
      </c>
      <c r="AX734" s="6">
        <v>0.5847</v>
      </c>
      <c r="AY734" s="6">
        <v>123</v>
      </c>
    </row>
    <row r="735" spans="28:51" x14ac:dyDescent="0.25">
      <c r="AB735" s="17">
        <v>733</v>
      </c>
      <c r="AC735" s="6">
        <v>3.2141899999999999</v>
      </c>
      <c r="AD735" s="6">
        <v>12.86</v>
      </c>
      <c r="AE735" s="6">
        <v>3.0880999999999998</v>
      </c>
      <c r="AF735" s="6">
        <v>123</v>
      </c>
      <c r="AH735" s="17">
        <v>733</v>
      </c>
      <c r="AI735" s="6">
        <v>6.1128</v>
      </c>
      <c r="AJ735" s="6">
        <v>12.86</v>
      </c>
      <c r="AK735" s="6">
        <v>3.0880999999999998</v>
      </c>
      <c r="AL735" s="6">
        <v>123</v>
      </c>
      <c r="AO735" s="17">
        <v>733</v>
      </c>
      <c r="AP735" s="6">
        <v>1.1509799999999999</v>
      </c>
      <c r="AQ735" s="6">
        <v>0.44490000000000002</v>
      </c>
      <c r="AR735" s="6">
        <v>0.58150000000000002</v>
      </c>
      <c r="AS735" s="6">
        <v>123</v>
      </c>
      <c r="AU735" s="17">
        <v>733</v>
      </c>
      <c r="AV735" s="6">
        <v>0.60519999999999996</v>
      </c>
      <c r="AW735" s="6">
        <v>0.44490000000000002</v>
      </c>
      <c r="AX735" s="6">
        <v>0.58150000000000002</v>
      </c>
      <c r="AY735" s="6">
        <v>123</v>
      </c>
    </row>
    <row r="736" spans="28:51" x14ac:dyDescent="0.25">
      <c r="AB736" s="17">
        <v>734</v>
      </c>
      <c r="AC736" s="6">
        <v>3.2277300000000002</v>
      </c>
      <c r="AD736" s="6">
        <v>3.9098000000000002</v>
      </c>
      <c r="AE736" s="6">
        <v>3.1011000000000002</v>
      </c>
      <c r="AF736" s="6">
        <v>123</v>
      </c>
      <c r="AH736" s="17">
        <v>734</v>
      </c>
      <c r="AI736" s="6">
        <v>6.1384999999999996</v>
      </c>
      <c r="AJ736" s="6">
        <v>3.9098000000000002</v>
      </c>
      <c r="AK736" s="6">
        <v>3.1011000000000002</v>
      </c>
      <c r="AL736" s="6">
        <v>123</v>
      </c>
      <c r="AO736" s="17">
        <v>734</v>
      </c>
      <c r="AP736" s="6">
        <v>1.1550100000000001</v>
      </c>
      <c r="AQ736" s="19">
        <v>-0.89939999999999998</v>
      </c>
      <c r="AR736" s="6">
        <v>0.58350000000000002</v>
      </c>
      <c r="AS736" s="6">
        <v>123</v>
      </c>
      <c r="AU736" s="17">
        <v>734</v>
      </c>
      <c r="AV736" s="6">
        <v>0.60731999999999997</v>
      </c>
      <c r="AW736" s="19">
        <v>-0.89939999999999998</v>
      </c>
      <c r="AX736" s="6">
        <v>0.58350000000000002</v>
      </c>
      <c r="AY736" s="6">
        <v>123</v>
      </c>
    </row>
    <row r="737" spans="28:51" x14ac:dyDescent="0.25">
      <c r="AB737" s="17">
        <v>735</v>
      </c>
      <c r="AC737" s="6">
        <v>3.2126899999999998</v>
      </c>
      <c r="AD737" s="6">
        <v>6.3771000000000004</v>
      </c>
      <c r="AE737" s="6">
        <v>3.0867</v>
      </c>
      <c r="AF737" s="6">
        <v>123</v>
      </c>
      <c r="AH737" s="17">
        <v>735</v>
      </c>
      <c r="AI737" s="6">
        <v>6.1098999999999997</v>
      </c>
      <c r="AJ737" s="6">
        <v>6.3771000000000004</v>
      </c>
      <c r="AK737" s="6">
        <v>3.0867</v>
      </c>
      <c r="AL737" s="6">
        <v>123</v>
      </c>
      <c r="AO737" s="17">
        <v>735</v>
      </c>
      <c r="AP737" s="6">
        <v>1.1443300000000001</v>
      </c>
      <c r="AQ737" s="19">
        <v>-0.68869999999999998</v>
      </c>
      <c r="AR737" s="6">
        <v>0.57809999999999995</v>
      </c>
      <c r="AS737" s="6">
        <v>123</v>
      </c>
      <c r="AU737" s="17">
        <v>735</v>
      </c>
      <c r="AV737" s="6">
        <v>0.60170999999999997</v>
      </c>
      <c r="AW737" s="19">
        <v>-0.68869999999999998</v>
      </c>
      <c r="AX737" s="6">
        <v>0.57809999999999995</v>
      </c>
      <c r="AY737" s="6">
        <v>123</v>
      </c>
    </row>
    <row r="738" spans="28:51" x14ac:dyDescent="0.25">
      <c r="AB738" s="17">
        <v>736</v>
      </c>
      <c r="AC738" s="6">
        <v>5.1074200000000003</v>
      </c>
      <c r="AD738" s="6">
        <v>15.332700000000001</v>
      </c>
      <c r="AE738" s="6">
        <v>4.9070999999999998</v>
      </c>
      <c r="AF738" s="6">
        <v>123</v>
      </c>
      <c r="AH738" s="17">
        <v>736</v>
      </c>
      <c r="AI738" s="6">
        <v>9.7133000000000003</v>
      </c>
      <c r="AJ738" s="6">
        <v>15.332700000000001</v>
      </c>
      <c r="AK738" s="6">
        <v>4.9070999999999998</v>
      </c>
      <c r="AL738" s="6">
        <v>123</v>
      </c>
      <c r="AO738" s="17">
        <v>736</v>
      </c>
      <c r="AP738" s="6">
        <v>1.81992</v>
      </c>
      <c r="AQ738" s="19">
        <v>-0.1714</v>
      </c>
      <c r="AR738" s="6">
        <v>0.9194</v>
      </c>
      <c r="AS738" s="6">
        <v>123</v>
      </c>
      <c r="AU738" s="17">
        <v>736</v>
      </c>
      <c r="AV738" s="6">
        <v>0.95694000000000001</v>
      </c>
      <c r="AW738" s="19">
        <v>-0.1714</v>
      </c>
      <c r="AX738" s="6">
        <v>0.9194</v>
      </c>
      <c r="AY738" s="6">
        <v>123</v>
      </c>
    </row>
    <row r="739" spans="28:51" x14ac:dyDescent="0.25">
      <c r="AB739" s="17">
        <v>737</v>
      </c>
      <c r="AC739" s="6">
        <v>3.25692</v>
      </c>
      <c r="AD739" s="19">
        <v>-9.3122000000000007</v>
      </c>
      <c r="AE739" s="6">
        <v>3.1292</v>
      </c>
      <c r="AF739" s="6">
        <v>123</v>
      </c>
      <c r="AH739" s="17">
        <v>737</v>
      </c>
      <c r="AI739" s="6">
        <v>6.194</v>
      </c>
      <c r="AJ739" s="19">
        <v>-9.3122000000000007</v>
      </c>
      <c r="AK739" s="6">
        <v>3.1292</v>
      </c>
      <c r="AL739" s="6">
        <v>123</v>
      </c>
      <c r="AO739" s="17">
        <v>737</v>
      </c>
      <c r="AP739" s="6">
        <v>1.17191</v>
      </c>
      <c r="AQ739" s="19">
        <v>-0.1996</v>
      </c>
      <c r="AR739" s="6">
        <v>0.59199999999999997</v>
      </c>
      <c r="AS739" s="6">
        <v>123</v>
      </c>
      <c r="AU739" s="17">
        <v>737</v>
      </c>
      <c r="AV739" s="6">
        <v>0.61621000000000004</v>
      </c>
      <c r="AW739" s="19">
        <v>-0.1996</v>
      </c>
      <c r="AX739" s="6">
        <v>0.59199999999999997</v>
      </c>
      <c r="AY739" s="6">
        <v>123</v>
      </c>
    </row>
    <row r="740" spans="28:51" x14ac:dyDescent="0.25">
      <c r="AB740" s="17">
        <v>738</v>
      </c>
      <c r="AC740" s="6">
        <v>3.2585500000000001</v>
      </c>
      <c r="AD740" s="19">
        <v>-1.1693</v>
      </c>
      <c r="AE740" s="6">
        <v>3.1307</v>
      </c>
      <c r="AF740" s="6">
        <v>123</v>
      </c>
      <c r="AH740" s="17">
        <v>738</v>
      </c>
      <c r="AI740" s="6">
        <v>6.1970999999999998</v>
      </c>
      <c r="AJ740" s="19">
        <v>-1.1693</v>
      </c>
      <c r="AK740" s="6">
        <v>3.1307</v>
      </c>
      <c r="AL740" s="6">
        <v>123</v>
      </c>
      <c r="AO740" s="17">
        <v>738</v>
      </c>
      <c r="AP740" s="6">
        <v>1.1512199999999999</v>
      </c>
      <c r="AQ740" s="19">
        <v>-0.2797</v>
      </c>
      <c r="AR740" s="6">
        <v>0.58160000000000001</v>
      </c>
      <c r="AS740" s="6">
        <v>123</v>
      </c>
      <c r="AU740" s="17">
        <v>738</v>
      </c>
      <c r="AV740" s="6">
        <v>0.60533000000000003</v>
      </c>
      <c r="AW740" s="19">
        <v>-0.2797</v>
      </c>
      <c r="AX740" s="6">
        <v>0.58160000000000001</v>
      </c>
      <c r="AY740" s="6">
        <v>123</v>
      </c>
    </row>
    <row r="741" spans="28:51" x14ac:dyDescent="0.25">
      <c r="AB741" s="17">
        <v>739</v>
      </c>
      <c r="AC741" s="6">
        <v>3.21014</v>
      </c>
      <c r="AD741" s="6">
        <v>1.4192</v>
      </c>
      <c r="AE741" s="6">
        <v>3.0842000000000001</v>
      </c>
      <c r="AF741" s="6">
        <v>123</v>
      </c>
      <c r="AH741" s="17">
        <v>739</v>
      </c>
      <c r="AI741" s="6">
        <v>6.1051000000000002</v>
      </c>
      <c r="AJ741" s="6">
        <v>1.4192</v>
      </c>
      <c r="AK741" s="6">
        <v>3.0842000000000001</v>
      </c>
      <c r="AL741" s="6">
        <v>123</v>
      </c>
      <c r="AO741" s="17">
        <v>739</v>
      </c>
      <c r="AP741" s="6">
        <v>1.1458600000000001</v>
      </c>
      <c r="AQ741" s="6">
        <v>1.5789</v>
      </c>
      <c r="AR741" s="6">
        <v>0.57889999999999997</v>
      </c>
      <c r="AS741" s="6">
        <v>123</v>
      </c>
      <c r="AU741" s="17">
        <v>739</v>
      </c>
      <c r="AV741" s="6">
        <v>0.60250999999999999</v>
      </c>
      <c r="AW741" s="6">
        <v>1.5789</v>
      </c>
      <c r="AX741" s="6">
        <v>0.57889999999999997</v>
      </c>
      <c r="AY741" s="6">
        <v>123</v>
      </c>
    </row>
    <row r="742" spans="28:51" x14ac:dyDescent="0.25">
      <c r="AB742" s="17">
        <v>740</v>
      </c>
      <c r="AC742" s="6">
        <v>3.2254399999999999</v>
      </c>
      <c r="AD742" s="6">
        <v>2.5851000000000002</v>
      </c>
      <c r="AE742" s="6">
        <v>3.0989</v>
      </c>
      <c r="AF742" s="6">
        <v>123</v>
      </c>
      <c r="AH742" s="17">
        <v>740</v>
      </c>
      <c r="AI742" s="6">
        <v>6.1341999999999999</v>
      </c>
      <c r="AJ742" s="6">
        <v>2.5851000000000002</v>
      </c>
      <c r="AK742" s="6">
        <v>3.0989</v>
      </c>
      <c r="AL742" s="6">
        <v>123</v>
      </c>
      <c r="AO742" s="17">
        <v>740</v>
      </c>
      <c r="AP742" s="6">
        <v>1.1481300000000001</v>
      </c>
      <c r="AQ742" s="6">
        <v>5.3519999999999998E-2</v>
      </c>
      <c r="AR742" s="6">
        <v>0.57999999999999996</v>
      </c>
      <c r="AS742" s="6">
        <v>123</v>
      </c>
      <c r="AU742" s="17">
        <v>740</v>
      </c>
      <c r="AV742" s="6">
        <v>0.60370999999999997</v>
      </c>
      <c r="AW742" s="6">
        <v>5.3519999999999998E-2</v>
      </c>
      <c r="AX742" s="6">
        <v>0.57999999999999996</v>
      </c>
      <c r="AY742" s="6">
        <v>123</v>
      </c>
    </row>
    <row r="743" spans="28:51" x14ac:dyDescent="0.25">
      <c r="AB743" s="17">
        <v>741</v>
      </c>
      <c r="AC743" s="6">
        <v>3.21563</v>
      </c>
      <c r="AD743" s="6">
        <v>7.8038999999999996</v>
      </c>
      <c r="AE743" s="6">
        <v>3.0895000000000001</v>
      </c>
      <c r="AF743" s="6">
        <v>123</v>
      </c>
      <c r="AH743" s="17">
        <v>741</v>
      </c>
      <c r="AI743" s="6">
        <v>6.1154999999999999</v>
      </c>
      <c r="AJ743" s="6">
        <v>7.8038999999999996</v>
      </c>
      <c r="AK743" s="6">
        <v>3.0895000000000001</v>
      </c>
      <c r="AL743" s="6">
        <v>123</v>
      </c>
      <c r="AO743" s="17">
        <v>741</v>
      </c>
      <c r="AP743" s="6">
        <v>1.15079</v>
      </c>
      <c r="AQ743" s="6">
        <v>0.1004</v>
      </c>
      <c r="AR743" s="6">
        <v>0.58140000000000003</v>
      </c>
      <c r="AS743" s="6">
        <v>123</v>
      </c>
      <c r="AU743" s="17">
        <v>741</v>
      </c>
      <c r="AV743" s="6">
        <v>0.60509999999999997</v>
      </c>
      <c r="AW743" s="6">
        <v>0.1004</v>
      </c>
      <c r="AX743" s="6">
        <v>0.58140000000000003</v>
      </c>
      <c r="AY743" s="6">
        <v>123</v>
      </c>
    </row>
    <row r="744" spans="28:51" x14ac:dyDescent="0.25">
      <c r="AB744" s="17">
        <v>742</v>
      </c>
      <c r="AC744" s="6">
        <v>3.2121599999999999</v>
      </c>
      <c r="AD744" s="6">
        <v>4.9528999999999996</v>
      </c>
      <c r="AE744" s="6">
        <v>3.0861999999999998</v>
      </c>
      <c r="AF744" s="6">
        <v>123</v>
      </c>
      <c r="AH744" s="17">
        <v>742</v>
      </c>
      <c r="AI744" s="6">
        <v>6.1089000000000002</v>
      </c>
      <c r="AJ744" s="6">
        <v>4.9528999999999996</v>
      </c>
      <c r="AK744" s="6">
        <v>3.0861999999999998</v>
      </c>
      <c r="AL744" s="6">
        <v>123</v>
      </c>
      <c r="AO744" s="17">
        <v>742</v>
      </c>
      <c r="AP744" s="6">
        <v>1.15289</v>
      </c>
      <c r="AQ744" s="6">
        <v>0.36459999999999998</v>
      </c>
      <c r="AR744" s="6">
        <v>0.58240000000000003</v>
      </c>
      <c r="AS744" s="6">
        <v>123</v>
      </c>
      <c r="AU744" s="17">
        <v>742</v>
      </c>
      <c r="AV744" s="6">
        <v>0.60621000000000003</v>
      </c>
      <c r="AW744" s="6">
        <v>0.36459999999999998</v>
      </c>
      <c r="AX744" s="6">
        <v>0.58240000000000003</v>
      </c>
      <c r="AY744" s="6">
        <v>123</v>
      </c>
    </row>
    <row r="745" spans="28:51" x14ac:dyDescent="0.25">
      <c r="AB745" s="17">
        <v>743</v>
      </c>
      <c r="AC745" s="6">
        <v>3.2208199999999998</v>
      </c>
      <c r="AD745" s="19">
        <v>-6.7466999999999997</v>
      </c>
      <c r="AE745" s="6">
        <v>3.0945</v>
      </c>
      <c r="AF745" s="6">
        <v>123</v>
      </c>
      <c r="AH745" s="17">
        <v>743</v>
      </c>
      <c r="AI745" s="6">
        <v>6.1254</v>
      </c>
      <c r="AJ745" s="19">
        <v>-6.7466999999999997</v>
      </c>
      <c r="AK745" s="6">
        <v>3.0945</v>
      </c>
      <c r="AL745" s="6">
        <v>123</v>
      </c>
      <c r="AO745" s="17">
        <v>743</v>
      </c>
      <c r="AP745" s="6">
        <v>1.1467700000000001</v>
      </c>
      <c r="AQ745" s="19">
        <v>-1.7609999999999999</v>
      </c>
      <c r="AR745" s="6">
        <v>0.57930000000000004</v>
      </c>
      <c r="AS745" s="6">
        <v>123</v>
      </c>
      <c r="AU745" s="17">
        <v>743</v>
      </c>
      <c r="AV745" s="6">
        <v>0.60299000000000003</v>
      </c>
      <c r="AW745" s="19">
        <v>-1.7609999999999999</v>
      </c>
      <c r="AX745" s="6">
        <v>0.57930000000000004</v>
      </c>
      <c r="AY745" s="6">
        <v>123</v>
      </c>
    </row>
    <row r="746" spans="28:51" x14ac:dyDescent="0.25">
      <c r="AB746" s="17">
        <v>744</v>
      </c>
      <c r="AC746" s="6">
        <v>3.2234600000000002</v>
      </c>
      <c r="AD746" s="19">
        <v>-2.4868999999999999</v>
      </c>
      <c r="AE746" s="6">
        <v>3.097</v>
      </c>
      <c r="AF746" s="6">
        <v>123</v>
      </c>
      <c r="AH746" s="17">
        <v>744</v>
      </c>
      <c r="AI746" s="6">
        <v>6.1303999999999998</v>
      </c>
      <c r="AJ746" s="19">
        <v>-2.4868999999999999</v>
      </c>
      <c r="AK746" s="6">
        <v>3.097</v>
      </c>
      <c r="AL746" s="6">
        <v>123</v>
      </c>
      <c r="AO746" s="17">
        <v>744</v>
      </c>
      <c r="AP746" s="6">
        <v>1.14615</v>
      </c>
      <c r="AQ746" s="19">
        <v>-0.32229999999999998</v>
      </c>
      <c r="AR746" s="6">
        <v>0.57899999999999996</v>
      </c>
      <c r="AS746" s="6">
        <v>123</v>
      </c>
      <c r="AU746" s="17">
        <v>744</v>
      </c>
      <c r="AV746" s="6">
        <v>0.60265999999999997</v>
      </c>
      <c r="AW746" s="19">
        <v>-0.32229999999999998</v>
      </c>
      <c r="AX746" s="6">
        <v>0.57899999999999996</v>
      </c>
      <c r="AY746" s="6">
        <v>123</v>
      </c>
    </row>
    <row r="747" spans="28:51" x14ac:dyDescent="0.25">
      <c r="AB747" s="17">
        <v>745</v>
      </c>
      <c r="AC747" s="6">
        <v>3.2408100000000002</v>
      </c>
      <c r="AD747" s="19">
        <v>-1.3875</v>
      </c>
      <c r="AE747" s="6">
        <v>3.1137000000000001</v>
      </c>
      <c r="AF747" s="6">
        <v>123</v>
      </c>
      <c r="AH747" s="17">
        <v>745</v>
      </c>
      <c r="AI747" s="6">
        <v>6.1634000000000002</v>
      </c>
      <c r="AJ747" s="19">
        <v>-1.3875</v>
      </c>
      <c r="AK747" s="6">
        <v>3.1137000000000001</v>
      </c>
      <c r="AL747" s="6">
        <v>123</v>
      </c>
      <c r="AO747" s="17">
        <v>745</v>
      </c>
      <c r="AP747" s="6">
        <v>1.1565000000000001</v>
      </c>
      <c r="AQ747" s="6">
        <v>0.34739999999999999</v>
      </c>
      <c r="AR747" s="6">
        <v>0.58430000000000004</v>
      </c>
      <c r="AS747" s="6">
        <v>123</v>
      </c>
      <c r="AU747" s="17">
        <v>745</v>
      </c>
      <c r="AV747" s="6">
        <v>0.60811000000000004</v>
      </c>
      <c r="AW747" s="6">
        <v>0.34739999999999999</v>
      </c>
      <c r="AX747" s="6">
        <v>0.58430000000000004</v>
      </c>
      <c r="AY747" s="6">
        <v>123</v>
      </c>
    </row>
    <row r="748" spans="28:51" x14ac:dyDescent="0.25">
      <c r="AB748" s="17">
        <v>746</v>
      </c>
      <c r="AC748" s="6">
        <v>3.2490100000000002</v>
      </c>
      <c r="AD748" s="19">
        <v>-5.5350999999999999</v>
      </c>
      <c r="AE748" s="6">
        <v>3.1215999999999999</v>
      </c>
      <c r="AF748" s="6">
        <v>123</v>
      </c>
      <c r="AH748" s="17">
        <v>746</v>
      </c>
      <c r="AI748" s="6">
        <v>6.1790000000000003</v>
      </c>
      <c r="AJ748" s="19">
        <v>-5.5350999999999999</v>
      </c>
      <c r="AK748" s="6">
        <v>3.1215999999999999</v>
      </c>
      <c r="AL748" s="6">
        <v>123</v>
      </c>
      <c r="AO748" s="17">
        <v>746</v>
      </c>
      <c r="AP748" s="6">
        <v>1.16906</v>
      </c>
      <c r="AQ748" s="19">
        <v>-0.59409999999999996</v>
      </c>
      <c r="AR748" s="6">
        <v>0.59060000000000001</v>
      </c>
      <c r="AS748" s="6">
        <v>123</v>
      </c>
      <c r="AU748" s="17">
        <v>746</v>
      </c>
      <c r="AV748" s="6">
        <v>0.61470999999999998</v>
      </c>
      <c r="AW748" s="19">
        <v>-0.59409999999999996</v>
      </c>
      <c r="AX748" s="6">
        <v>0.59060000000000001</v>
      </c>
      <c r="AY748" s="6">
        <v>123</v>
      </c>
    </row>
    <row r="749" spans="28:51" x14ac:dyDescent="0.25">
      <c r="AB749" s="17">
        <v>747</v>
      </c>
      <c r="AC749" s="6">
        <v>3.2143700000000002</v>
      </c>
      <c r="AD749" s="6">
        <v>3.5103</v>
      </c>
      <c r="AE749" s="6">
        <v>3.0882999999999998</v>
      </c>
      <c r="AF749" s="6">
        <v>123</v>
      </c>
      <c r="AH749" s="17">
        <v>747</v>
      </c>
      <c r="AI749" s="6">
        <v>6.1131000000000002</v>
      </c>
      <c r="AJ749" s="6">
        <v>3.5103</v>
      </c>
      <c r="AK749" s="6">
        <v>3.0882999999999998</v>
      </c>
      <c r="AL749" s="6">
        <v>123</v>
      </c>
      <c r="AO749" s="17">
        <v>747</v>
      </c>
      <c r="AP749" s="6">
        <v>1.15174</v>
      </c>
      <c r="AQ749" s="19">
        <v>-1.1462000000000001</v>
      </c>
      <c r="AR749" s="6">
        <v>0.58189999999999997</v>
      </c>
      <c r="AS749" s="6">
        <v>123</v>
      </c>
      <c r="AU749" s="17">
        <v>747</v>
      </c>
      <c r="AV749" s="6">
        <v>0.60560999999999998</v>
      </c>
      <c r="AW749" s="19">
        <v>-1.1462000000000001</v>
      </c>
      <c r="AX749" s="6">
        <v>0.58189999999999997</v>
      </c>
      <c r="AY749" s="6">
        <v>123</v>
      </c>
    </row>
    <row r="750" spans="28:51" x14ac:dyDescent="0.25">
      <c r="AB750" s="17">
        <v>748</v>
      </c>
      <c r="AC750" s="6">
        <v>3.2103799999999998</v>
      </c>
      <c r="AD750" s="19">
        <v>-2.7122000000000002</v>
      </c>
      <c r="AE750" s="6">
        <v>3.0844999999999998</v>
      </c>
      <c r="AF750" s="6">
        <v>123</v>
      </c>
      <c r="AH750" s="17">
        <v>748</v>
      </c>
      <c r="AI750" s="6">
        <v>6.1055000000000001</v>
      </c>
      <c r="AJ750" s="19">
        <v>-2.7122000000000002</v>
      </c>
      <c r="AK750" s="6">
        <v>3.0844999999999998</v>
      </c>
      <c r="AL750" s="6">
        <v>123</v>
      </c>
      <c r="AO750" s="17">
        <v>748</v>
      </c>
      <c r="AP750" s="6">
        <v>1.14402</v>
      </c>
      <c r="AQ750" s="19">
        <v>-1.0909</v>
      </c>
      <c r="AR750" s="6">
        <v>0.57799999999999996</v>
      </c>
      <c r="AS750" s="6">
        <v>123</v>
      </c>
      <c r="AU750" s="17">
        <v>748</v>
      </c>
      <c r="AV750" s="6">
        <v>0.60153999999999996</v>
      </c>
      <c r="AW750" s="19">
        <v>-1.0909</v>
      </c>
      <c r="AX750" s="6">
        <v>0.57799999999999996</v>
      </c>
      <c r="AY750" s="6">
        <v>123</v>
      </c>
    </row>
    <row r="751" spans="28:51" x14ac:dyDescent="0.25">
      <c r="AB751" s="17">
        <v>749</v>
      </c>
      <c r="AC751" s="6">
        <v>3.20892</v>
      </c>
      <c r="AD751" s="19">
        <v>-0.86329999999999996</v>
      </c>
      <c r="AE751" s="6">
        <v>3.0831</v>
      </c>
      <c r="AF751" s="6">
        <v>123</v>
      </c>
      <c r="AH751" s="17">
        <v>749</v>
      </c>
      <c r="AI751" s="6">
        <v>6.1026999999999996</v>
      </c>
      <c r="AJ751" s="19">
        <v>-0.86329999999999996</v>
      </c>
      <c r="AK751" s="6">
        <v>3.0831</v>
      </c>
      <c r="AL751" s="6">
        <v>123</v>
      </c>
      <c r="AO751" s="17">
        <v>749</v>
      </c>
      <c r="AP751" s="6">
        <v>1.15015</v>
      </c>
      <c r="AQ751" s="19">
        <v>-1.5507</v>
      </c>
      <c r="AR751" s="6">
        <v>0.58099999999999996</v>
      </c>
      <c r="AS751" s="6">
        <v>123</v>
      </c>
      <c r="AU751" s="17">
        <v>749</v>
      </c>
      <c r="AV751" s="6">
        <v>0.60477000000000003</v>
      </c>
      <c r="AW751" s="19">
        <v>-1.5507</v>
      </c>
      <c r="AX751" s="6">
        <v>0.58099999999999996</v>
      </c>
      <c r="AY751" s="6">
        <v>123</v>
      </c>
    </row>
    <row r="752" spans="28:51" x14ac:dyDescent="0.25">
      <c r="AB752" s="17">
        <v>750</v>
      </c>
      <c r="AC752" s="6">
        <v>3.25265</v>
      </c>
      <c r="AD752" s="6">
        <v>6.0892999999999997</v>
      </c>
      <c r="AE752" s="6">
        <v>3.1251000000000002</v>
      </c>
      <c r="AF752" s="6">
        <v>123</v>
      </c>
      <c r="AH752" s="17">
        <v>750</v>
      </c>
      <c r="AI752" s="6">
        <v>6.1859000000000002</v>
      </c>
      <c r="AJ752" s="6">
        <v>6.0892999999999997</v>
      </c>
      <c r="AK752" s="6">
        <v>3.1251000000000002</v>
      </c>
      <c r="AL752" s="6">
        <v>123</v>
      </c>
      <c r="AO752" s="17">
        <v>750</v>
      </c>
      <c r="AP752" s="6">
        <v>1.1677200000000001</v>
      </c>
      <c r="AQ752" s="6">
        <v>0.75449999999999995</v>
      </c>
      <c r="AR752" s="6">
        <v>0.58989999999999998</v>
      </c>
      <c r="AS752" s="6">
        <v>123</v>
      </c>
      <c r="AU752" s="17">
        <v>750</v>
      </c>
      <c r="AV752" s="6">
        <v>0.61400999999999994</v>
      </c>
      <c r="AW752" s="6">
        <v>0.75449999999999995</v>
      </c>
      <c r="AX752" s="6">
        <v>0.58989999999999998</v>
      </c>
      <c r="AY752" s="6">
        <v>123</v>
      </c>
    </row>
    <row r="753" spans="28:51" x14ac:dyDescent="0.25">
      <c r="AB753" s="17">
        <v>751</v>
      </c>
      <c r="AC753" s="6">
        <v>3.2275800000000001</v>
      </c>
      <c r="AD753" s="19">
        <v>-0.23849999999999999</v>
      </c>
      <c r="AE753" s="6">
        <v>3.101</v>
      </c>
      <c r="AF753" s="6">
        <v>123</v>
      </c>
      <c r="AH753" s="17">
        <v>751</v>
      </c>
      <c r="AI753" s="6">
        <v>6.1382000000000003</v>
      </c>
      <c r="AJ753" s="19">
        <v>-0.23849999999999999</v>
      </c>
      <c r="AK753" s="6">
        <v>3.101</v>
      </c>
      <c r="AL753" s="6">
        <v>123</v>
      </c>
      <c r="AO753" s="17">
        <v>751</v>
      </c>
      <c r="AP753" s="6">
        <v>1.1543699999999999</v>
      </c>
      <c r="AQ753" s="19">
        <v>-1.6077999999999999</v>
      </c>
      <c r="AR753" s="6">
        <v>0.58320000000000005</v>
      </c>
      <c r="AS753" s="6">
        <v>123</v>
      </c>
      <c r="AU753" s="17">
        <v>751</v>
      </c>
      <c r="AV753" s="6">
        <v>0.60699000000000003</v>
      </c>
      <c r="AW753" s="19">
        <v>-1.6077999999999999</v>
      </c>
      <c r="AX753" s="6">
        <v>0.58320000000000005</v>
      </c>
      <c r="AY753" s="6">
        <v>123</v>
      </c>
    </row>
    <row r="754" spans="28:51" x14ac:dyDescent="0.25">
      <c r="AB754" s="17">
        <v>752</v>
      </c>
      <c r="AC754" s="6">
        <v>3.23881</v>
      </c>
      <c r="AD754" s="6">
        <v>10.551299999999999</v>
      </c>
      <c r="AE754" s="6">
        <v>3.1118000000000001</v>
      </c>
      <c r="AF754" s="6">
        <v>123</v>
      </c>
      <c r="AH754" s="17">
        <v>752</v>
      </c>
      <c r="AI754" s="6">
        <v>6.1596000000000002</v>
      </c>
      <c r="AJ754" s="6">
        <v>10.551299999999999</v>
      </c>
      <c r="AK754" s="6">
        <v>3.1118000000000001</v>
      </c>
      <c r="AL754" s="6">
        <v>123</v>
      </c>
      <c r="AO754" s="17">
        <v>752</v>
      </c>
      <c r="AP754" s="6">
        <v>1.1589</v>
      </c>
      <c r="AQ754" s="6">
        <v>1.0690999999999999</v>
      </c>
      <c r="AR754" s="6">
        <v>0.58550000000000002</v>
      </c>
      <c r="AS754" s="6">
        <v>123</v>
      </c>
      <c r="AU754" s="17">
        <v>752</v>
      </c>
      <c r="AV754" s="6">
        <v>0.60936999999999997</v>
      </c>
      <c r="AW754" s="6">
        <v>1.0690999999999999</v>
      </c>
      <c r="AX754" s="6">
        <v>0.58550000000000002</v>
      </c>
      <c r="AY754" s="6">
        <v>123</v>
      </c>
    </row>
    <row r="755" spans="28:51" x14ac:dyDescent="0.25">
      <c r="AB755" s="17">
        <v>753</v>
      </c>
      <c r="AC755" s="6">
        <v>3.2013799999999999</v>
      </c>
      <c r="AD755" s="6">
        <v>8.3241999999999994</v>
      </c>
      <c r="AE755" s="6">
        <v>3.0758000000000001</v>
      </c>
      <c r="AF755" s="6">
        <v>123</v>
      </c>
      <c r="AH755" s="17">
        <v>753</v>
      </c>
      <c r="AI755" s="6">
        <v>6.0884</v>
      </c>
      <c r="AJ755" s="6">
        <v>8.3241999999999994</v>
      </c>
      <c r="AK755" s="6">
        <v>3.0758000000000001</v>
      </c>
      <c r="AL755" s="6">
        <v>123</v>
      </c>
      <c r="AO755" s="17">
        <v>753</v>
      </c>
      <c r="AP755" s="6">
        <v>1.1479299999999999</v>
      </c>
      <c r="AQ755" s="6">
        <v>0.86619999999999997</v>
      </c>
      <c r="AR755" s="6">
        <v>0.57989999999999997</v>
      </c>
      <c r="AS755" s="6">
        <v>123</v>
      </c>
      <c r="AU755" s="17">
        <v>753</v>
      </c>
      <c r="AV755" s="6">
        <v>0.60360000000000003</v>
      </c>
      <c r="AW755" s="6">
        <v>0.86619999999999997</v>
      </c>
      <c r="AX755" s="6">
        <v>0.57989999999999997</v>
      </c>
      <c r="AY755" s="6">
        <v>123</v>
      </c>
    </row>
    <row r="756" spans="28:51" x14ac:dyDescent="0.25">
      <c r="AB756" s="17">
        <v>754</v>
      </c>
      <c r="AC756" s="6">
        <v>3.22885</v>
      </c>
      <c r="AD756" s="19">
        <v>-0.626</v>
      </c>
      <c r="AE756" s="6">
        <v>3.1021999999999998</v>
      </c>
      <c r="AF756" s="6">
        <v>123</v>
      </c>
      <c r="AH756" s="17">
        <v>754</v>
      </c>
      <c r="AI756" s="6">
        <v>6.1406000000000001</v>
      </c>
      <c r="AJ756" s="19">
        <v>-0.626</v>
      </c>
      <c r="AK756" s="6">
        <v>3.1021999999999998</v>
      </c>
      <c r="AL756" s="6">
        <v>123</v>
      </c>
      <c r="AO756" s="17">
        <v>754</v>
      </c>
      <c r="AP756" s="6">
        <v>1.15473</v>
      </c>
      <c r="AQ756" s="19">
        <v>-0.47810000000000002</v>
      </c>
      <c r="AR756" s="6">
        <v>0.58340000000000003</v>
      </c>
      <c r="AS756" s="6">
        <v>123</v>
      </c>
      <c r="AU756" s="17">
        <v>754</v>
      </c>
      <c r="AV756" s="6">
        <v>0.60718000000000005</v>
      </c>
      <c r="AW756" s="19">
        <v>-0.47810000000000002</v>
      </c>
      <c r="AX756" s="6">
        <v>0.58340000000000003</v>
      </c>
      <c r="AY756" s="6">
        <v>123</v>
      </c>
    </row>
    <row r="757" spans="28:51" x14ac:dyDescent="0.25">
      <c r="AB757" s="17">
        <v>755</v>
      </c>
      <c r="AC757" s="6">
        <v>3.2314099999999999</v>
      </c>
      <c r="AD757" s="6">
        <v>1.8412999999999999</v>
      </c>
      <c r="AE757" s="6">
        <v>3.1046999999999998</v>
      </c>
      <c r="AF757" s="6">
        <v>123</v>
      </c>
      <c r="AH757" s="17">
        <v>755</v>
      </c>
      <c r="AI757" s="6">
        <v>6.1455000000000002</v>
      </c>
      <c r="AJ757" s="6">
        <v>1.8412999999999999</v>
      </c>
      <c r="AK757" s="6">
        <v>3.1046999999999998</v>
      </c>
      <c r="AL757" s="6">
        <v>123</v>
      </c>
      <c r="AO757" s="17">
        <v>755</v>
      </c>
      <c r="AP757" s="6">
        <v>1.1587400000000001</v>
      </c>
      <c r="AQ757" s="19">
        <v>-0.26740000000000003</v>
      </c>
      <c r="AR757" s="6">
        <v>0.58540000000000003</v>
      </c>
      <c r="AS757" s="6">
        <v>123</v>
      </c>
      <c r="AU757" s="17">
        <v>755</v>
      </c>
      <c r="AV757" s="6">
        <v>0.60929</v>
      </c>
      <c r="AW757" s="19">
        <v>-0.26740000000000003</v>
      </c>
      <c r="AX757" s="6">
        <v>0.58540000000000003</v>
      </c>
      <c r="AY757" s="6">
        <v>123</v>
      </c>
    </row>
    <row r="758" spans="28:51" x14ac:dyDescent="0.25">
      <c r="AB758" s="17">
        <v>756</v>
      </c>
      <c r="AC758" s="6">
        <v>5.0959700000000003</v>
      </c>
      <c r="AD758" s="6">
        <v>10.796900000000001</v>
      </c>
      <c r="AE758" s="6">
        <v>4.8960999999999997</v>
      </c>
      <c r="AF758" s="6">
        <v>123</v>
      </c>
      <c r="AH758" s="17">
        <v>756</v>
      </c>
      <c r="AI758" s="6">
        <v>9.6914999999999996</v>
      </c>
      <c r="AJ758" s="6">
        <v>10.796900000000001</v>
      </c>
      <c r="AK758" s="6">
        <v>4.8960999999999997</v>
      </c>
      <c r="AL758" s="6">
        <v>123</v>
      </c>
      <c r="AO758" s="17">
        <v>756</v>
      </c>
      <c r="AP758" s="6">
        <v>1.81657</v>
      </c>
      <c r="AQ758" s="6">
        <v>0.24979999999999999</v>
      </c>
      <c r="AR758" s="6">
        <v>0.91769999999999996</v>
      </c>
      <c r="AS758" s="6">
        <v>123</v>
      </c>
      <c r="AU758" s="17">
        <v>756</v>
      </c>
      <c r="AV758" s="6">
        <v>0.95518000000000003</v>
      </c>
      <c r="AW758" s="6">
        <v>0.24979999999999999</v>
      </c>
      <c r="AX758" s="6">
        <v>0.91769999999999996</v>
      </c>
      <c r="AY758" s="6">
        <v>123</v>
      </c>
    </row>
    <row r="759" spans="28:51" x14ac:dyDescent="0.25">
      <c r="AB759" s="17">
        <v>757</v>
      </c>
      <c r="AC759" s="6">
        <v>3.2777799999999999</v>
      </c>
      <c r="AD759" s="6">
        <v>8.1430000000000007</v>
      </c>
      <c r="AE759" s="6">
        <v>3.1492</v>
      </c>
      <c r="AF759" s="6">
        <v>123</v>
      </c>
      <c r="AH759" s="17">
        <v>757</v>
      </c>
      <c r="AI759" s="6">
        <v>6.2336999999999998</v>
      </c>
      <c r="AJ759" s="6">
        <v>8.1430000000000007</v>
      </c>
      <c r="AK759" s="6">
        <v>3.1492</v>
      </c>
      <c r="AL759" s="6">
        <v>123</v>
      </c>
      <c r="AO759" s="17">
        <v>757</v>
      </c>
      <c r="AP759" s="6">
        <v>1.1596299999999999</v>
      </c>
      <c r="AQ759" s="19">
        <v>-8.0089999999999995E-2</v>
      </c>
      <c r="AR759" s="6">
        <v>0.58579999999999999</v>
      </c>
      <c r="AS759" s="6">
        <v>123</v>
      </c>
      <c r="AU759" s="17">
        <v>757</v>
      </c>
      <c r="AV759" s="6">
        <v>0.60975000000000001</v>
      </c>
      <c r="AW759" s="19">
        <v>-8.0089999999999995E-2</v>
      </c>
      <c r="AX759" s="6">
        <v>0.58579999999999999</v>
      </c>
      <c r="AY759" s="6">
        <v>123</v>
      </c>
    </row>
    <row r="760" spans="28:51" x14ac:dyDescent="0.25">
      <c r="AB760" s="17">
        <v>758</v>
      </c>
      <c r="AC760" s="6">
        <v>3.2444700000000002</v>
      </c>
      <c r="AD760" s="6">
        <v>10.7315</v>
      </c>
      <c r="AE760" s="6">
        <v>3.1172</v>
      </c>
      <c r="AF760" s="6">
        <v>123</v>
      </c>
      <c r="AH760" s="17">
        <v>758</v>
      </c>
      <c r="AI760" s="6">
        <v>6.1703000000000001</v>
      </c>
      <c r="AJ760" s="6">
        <v>10.7315</v>
      </c>
      <c r="AK760" s="6">
        <v>3.1172</v>
      </c>
      <c r="AL760" s="6">
        <v>123</v>
      </c>
      <c r="AO760" s="17">
        <v>758</v>
      </c>
      <c r="AP760" s="6">
        <v>1.16415</v>
      </c>
      <c r="AQ760" s="6">
        <v>1.7784</v>
      </c>
      <c r="AR760" s="6">
        <v>0.58809999999999996</v>
      </c>
      <c r="AS760" s="6">
        <v>123</v>
      </c>
      <c r="AU760" s="17">
        <v>758</v>
      </c>
      <c r="AV760" s="6">
        <v>0.61212999999999995</v>
      </c>
      <c r="AW760" s="6">
        <v>1.7784</v>
      </c>
      <c r="AX760" s="6">
        <v>0.58809999999999996</v>
      </c>
      <c r="AY760" s="6">
        <v>123</v>
      </c>
    </row>
    <row r="761" spans="28:51" x14ac:dyDescent="0.25">
      <c r="AB761" s="17">
        <v>759</v>
      </c>
      <c r="AC761" s="6">
        <v>3.2365599999999999</v>
      </c>
      <c r="AD761" s="6">
        <v>11.8973</v>
      </c>
      <c r="AE761" s="6">
        <v>3.1095999999999999</v>
      </c>
      <c r="AF761" s="6">
        <v>123</v>
      </c>
      <c r="AH761" s="17">
        <v>759</v>
      </c>
      <c r="AI761" s="6">
        <v>6.1553000000000004</v>
      </c>
      <c r="AJ761" s="6">
        <v>11.8973</v>
      </c>
      <c r="AK761" s="6">
        <v>3.1095999999999999</v>
      </c>
      <c r="AL761" s="6">
        <v>123</v>
      </c>
      <c r="AO761" s="17">
        <v>759</v>
      </c>
      <c r="AP761" s="6">
        <v>1.15384</v>
      </c>
      <c r="AQ761" s="6">
        <v>0.25309999999999999</v>
      </c>
      <c r="AR761" s="6">
        <v>0.58289999999999997</v>
      </c>
      <c r="AS761" s="6">
        <v>123</v>
      </c>
      <c r="AU761" s="17">
        <v>759</v>
      </c>
      <c r="AV761" s="6">
        <v>0.60670999999999997</v>
      </c>
      <c r="AW761" s="6">
        <v>0.25309999999999999</v>
      </c>
      <c r="AX761" s="6">
        <v>0.58289999999999997</v>
      </c>
      <c r="AY761" s="6">
        <v>123</v>
      </c>
    </row>
    <row r="762" spans="28:51" x14ac:dyDescent="0.25">
      <c r="AB762" s="17">
        <v>760</v>
      </c>
      <c r="AC762" s="6">
        <v>3.2468599999999999</v>
      </c>
      <c r="AD762" s="6">
        <v>17.116199999999999</v>
      </c>
      <c r="AE762" s="6">
        <v>3.1194999999999999</v>
      </c>
      <c r="AF762" s="6">
        <v>123</v>
      </c>
      <c r="AH762" s="17">
        <v>760</v>
      </c>
      <c r="AI762" s="6">
        <v>6.1749000000000001</v>
      </c>
      <c r="AJ762" s="6">
        <v>17.116199999999999</v>
      </c>
      <c r="AK762" s="6">
        <v>3.1194999999999999</v>
      </c>
      <c r="AL762" s="6">
        <v>123</v>
      </c>
      <c r="AO762" s="17">
        <v>760</v>
      </c>
      <c r="AP762" s="6">
        <v>1.1637999999999999</v>
      </c>
      <c r="AQ762" s="6">
        <v>0.3</v>
      </c>
      <c r="AR762" s="6">
        <v>0.58789999999999998</v>
      </c>
      <c r="AS762" s="6">
        <v>123</v>
      </c>
      <c r="AU762" s="17">
        <v>760</v>
      </c>
      <c r="AV762" s="6">
        <v>0.61194999999999999</v>
      </c>
      <c r="AW762" s="6">
        <v>0.3</v>
      </c>
      <c r="AX762" s="6">
        <v>0.58789999999999998</v>
      </c>
      <c r="AY762" s="6">
        <v>123</v>
      </c>
    </row>
    <row r="763" spans="28:51" x14ac:dyDescent="0.25">
      <c r="AB763" s="17">
        <v>761</v>
      </c>
      <c r="AC763" s="6">
        <v>3.2495400000000001</v>
      </c>
      <c r="AD763" s="6">
        <v>14.2651</v>
      </c>
      <c r="AE763" s="6">
        <v>3.1221000000000001</v>
      </c>
      <c r="AF763" s="6">
        <v>123</v>
      </c>
      <c r="AH763" s="17">
        <v>761</v>
      </c>
      <c r="AI763" s="6">
        <v>6.18</v>
      </c>
      <c r="AJ763" s="6">
        <v>14.2651</v>
      </c>
      <c r="AK763" s="6">
        <v>3.1221000000000001</v>
      </c>
      <c r="AL763" s="6">
        <v>123</v>
      </c>
      <c r="AO763" s="17">
        <v>761</v>
      </c>
      <c r="AP763" s="6">
        <v>1.1708099999999999</v>
      </c>
      <c r="AQ763" s="6">
        <v>0.56420000000000003</v>
      </c>
      <c r="AR763" s="6">
        <v>0.59150000000000003</v>
      </c>
      <c r="AS763" s="6">
        <v>123</v>
      </c>
      <c r="AU763" s="17">
        <v>761</v>
      </c>
      <c r="AV763" s="6">
        <v>0.61563000000000001</v>
      </c>
      <c r="AW763" s="6">
        <v>0.56420000000000003</v>
      </c>
      <c r="AX763" s="6">
        <v>0.59150000000000003</v>
      </c>
      <c r="AY763" s="6">
        <v>123</v>
      </c>
    </row>
    <row r="764" spans="28:51" x14ac:dyDescent="0.25">
      <c r="AB764" s="17">
        <v>762</v>
      </c>
      <c r="AC764" s="6">
        <v>3.2403599999999999</v>
      </c>
      <c r="AD764" s="6">
        <v>2.5655999999999999</v>
      </c>
      <c r="AE764" s="6">
        <v>3.1133000000000002</v>
      </c>
      <c r="AF764" s="6">
        <v>123</v>
      </c>
      <c r="AH764" s="17">
        <v>762</v>
      </c>
      <c r="AI764" s="6">
        <v>6.1624999999999996</v>
      </c>
      <c r="AJ764" s="6">
        <v>2.5655999999999999</v>
      </c>
      <c r="AK764" s="6">
        <v>3.1133000000000002</v>
      </c>
      <c r="AL764" s="6">
        <v>123</v>
      </c>
      <c r="AO764" s="17">
        <v>762</v>
      </c>
      <c r="AP764" s="6">
        <v>1.1605799999999999</v>
      </c>
      <c r="AQ764" s="19">
        <v>-1.5615000000000001</v>
      </c>
      <c r="AR764" s="6">
        <v>0.58630000000000004</v>
      </c>
      <c r="AS764" s="6">
        <v>123</v>
      </c>
      <c r="AU764" s="17">
        <v>762</v>
      </c>
      <c r="AV764" s="6">
        <v>0.61024999999999996</v>
      </c>
      <c r="AW764" s="19">
        <v>-1.5615000000000001</v>
      </c>
      <c r="AX764" s="6">
        <v>0.58630000000000004</v>
      </c>
      <c r="AY764" s="6">
        <v>123</v>
      </c>
    </row>
    <row r="765" spans="28:51" x14ac:dyDescent="0.25">
      <c r="AB765" s="17">
        <v>763</v>
      </c>
      <c r="AC765" s="6">
        <v>3.2438600000000002</v>
      </c>
      <c r="AD765" s="6">
        <v>6.8253000000000004</v>
      </c>
      <c r="AE765" s="6">
        <v>3.1166</v>
      </c>
      <c r="AF765" s="6">
        <v>123</v>
      </c>
      <c r="AH765" s="17">
        <v>763</v>
      </c>
      <c r="AI765" s="6">
        <v>6.1692</v>
      </c>
      <c r="AJ765" s="6">
        <v>6.8253000000000004</v>
      </c>
      <c r="AK765" s="6">
        <v>3.1166</v>
      </c>
      <c r="AL765" s="6">
        <v>123</v>
      </c>
      <c r="AO765" s="17">
        <v>763</v>
      </c>
      <c r="AP765" s="6">
        <v>1.15985</v>
      </c>
      <c r="AQ765" s="19">
        <v>-0.12280000000000001</v>
      </c>
      <c r="AR765" s="6">
        <v>0.58589999999999998</v>
      </c>
      <c r="AS765" s="6">
        <v>123</v>
      </c>
      <c r="AU765" s="17">
        <v>763</v>
      </c>
      <c r="AV765" s="6">
        <v>0.60987000000000002</v>
      </c>
      <c r="AW765" s="19">
        <v>-0.12280000000000001</v>
      </c>
      <c r="AX765" s="6">
        <v>0.58589999999999998</v>
      </c>
      <c r="AY765" s="6">
        <v>123</v>
      </c>
    </row>
    <row r="766" spans="28:51" x14ac:dyDescent="0.25">
      <c r="AB766" s="17">
        <v>764</v>
      </c>
      <c r="AC766" s="6">
        <v>3.2569400000000002</v>
      </c>
      <c r="AD766" s="6">
        <v>7.9246999999999996</v>
      </c>
      <c r="AE766" s="6">
        <v>3.1292</v>
      </c>
      <c r="AF766" s="6">
        <v>123</v>
      </c>
      <c r="AH766" s="17">
        <v>764</v>
      </c>
      <c r="AI766" s="6">
        <v>6.1940999999999997</v>
      </c>
      <c r="AJ766" s="6">
        <v>7.9246999999999996</v>
      </c>
      <c r="AK766" s="6">
        <v>3.1292</v>
      </c>
      <c r="AL766" s="6">
        <v>123</v>
      </c>
      <c r="AO766" s="17">
        <v>764</v>
      </c>
      <c r="AP766" s="6">
        <v>1.16357</v>
      </c>
      <c r="AQ766" s="6">
        <v>0.54700000000000004</v>
      </c>
      <c r="AR766" s="6">
        <v>0.58779999999999999</v>
      </c>
      <c r="AS766" s="6">
        <v>123</v>
      </c>
      <c r="AU766" s="17">
        <v>764</v>
      </c>
      <c r="AV766" s="6">
        <v>0.61182000000000003</v>
      </c>
      <c r="AW766" s="6">
        <v>0.54700000000000004</v>
      </c>
      <c r="AX766" s="6">
        <v>0.58779999999999999</v>
      </c>
      <c r="AY766" s="6">
        <v>123</v>
      </c>
    </row>
    <row r="767" spans="28:51" x14ac:dyDescent="0.25">
      <c r="AB767" s="17">
        <v>765</v>
      </c>
      <c r="AC767" s="6">
        <v>3.2428900000000001</v>
      </c>
      <c r="AD767" s="6">
        <v>3.7770999999999999</v>
      </c>
      <c r="AE767" s="6">
        <v>3.1156999999999999</v>
      </c>
      <c r="AF767" s="6">
        <v>123</v>
      </c>
      <c r="AH767" s="17">
        <v>765</v>
      </c>
      <c r="AI767" s="6">
        <v>6.1673</v>
      </c>
      <c r="AJ767" s="6">
        <v>3.7770999999999999</v>
      </c>
      <c r="AK767" s="6">
        <v>3.1156999999999999</v>
      </c>
      <c r="AL767" s="6">
        <v>123</v>
      </c>
      <c r="AO767" s="17">
        <v>765</v>
      </c>
      <c r="AP767" s="6">
        <v>1.17164</v>
      </c>
      <c r="AQ767" s="19">
        <v>-0.39450000000000002</v>
      </c>
      <c r="AR767" s="6">
        <v>0.59189999999999998</v>
      </c>
      <c r="AS767" s="6">
        <v>123</v>
      </c>
      <c r="AU767" s="17">
        <v>765</v>
      </c>
      <c r="AV767" s="6">
        <v>0.61607000000000001</v>
      </c>
      <c r="AW767" s="19">
        <v>-0.39450000000000002</v>
      </c>
      <c r="AX767" s="6">
        <v>0.59189999999999998</v>
      </c>
      <c r="AY767" s="6">
        <v>123</v>
      </c>
    </row>
    <row r="768" spans="28:51" x14ac:dyDescent="0.25">
      <c r="AB768" s="17">
        <v>766</v>
      </c>
      <c r="AC768" s="6">
        <v>3.2267299999999999</v>
      </c>
      <c r="AD768" s="6">
        <v>12.8225</v>
      </c>
      <c r="AE768" s="6">
        <v>3.1002000000000001</v>
      </c>
      <c r="AF768" s="6">
        <v>123</v>
      </c>
      <c r="AH768" s="17">
        <v>766</v>
      </c>
      <c r="AI768" s="6">
        <v>6.1365999999999996</v>
      </c>
      <c r="AJ768" s="6">
        <v>12.8225</v>
      </c>
      <c r="AK768" s="6">
        <v>3.1002000000000001</v>
      </c>
      <c r="AL768" s="6">
        <v>123</v>
      </c>
      <c r="AO768" s="17">
        <v>766</v>
      </c>
      <c r="AP768" s="6">
        <v>1.16031</v>
      </c>
      <c r="AQ768" s="19">
        <v>-0.94669999999999999</v>
      </c>
      <c r="AR768" s="6">
        <v>0.58620000000000005</v>
      </c>
      <c r="AS768" s="6">
        <v>123</v>
      </c>
      <c r="AU768" s="17">
        <v>766</v>
      </c>
      <c r="AV768" s="6">
        <v>0.61011000000000004</v>
      </c>
      <c r="AW768" s="19">
        <v>-0.94669999999999999</v>
      </c>
      <c r="AX768" s="6">
        <v>0.58620000000000005</v>
      </c>
      <c r="AY768" s="6">
        <v>123</v>
      </c>
    </row>
    <row r="769" spans="28:51" x14ac:dyDescent="0.25">
      <c r="AB769" s="17">
        <v>767</v>
      </c>
      <c r="AC769" s="6">
        <v>3.2291799999999999</v>
      </c>
      <c r="AD769" s="6">
        <v>6.6</v>
      </c>
      <c r="AE769" s="6">
        <v>3.1025</v>
      </c>
      <c r="AF769" s="6">
        <v>123</v>
      </c>
      <c r="AH769" s="17">
        <v>767</v>
      </c>
      <c r="AI769" s="6">
        <v>6.1413000000000002</v>
      </c>
      <c r="AJ769" s="6">
        <v>6.6</v>
      </c>
      <c r="AK769" s="6">
        <v>3.1025</v>
      </c>
      <c r="AL769" s="6">
        <v>123</v>
      </c>
      <c r="AO769" s="17">
        <v>767</v>
      </c>
      <c r="AP769" s="6">
        <v>1.1597500000000001</v>
      </c>
      <c r="AQ769" s="19">
        <v>-0.89129999999999998</v>
      </c>
      <c r="AR769" s="6">
        <v>0.58589999999999998</v>
      </c>
      <c r="AS769" s="6">
        <v>123</v>
      </c>
      <c r="AU769" s="17">
        <v>767</v>
      </c>
      <c r="AV769" s="6">
        <v>0.60982000000000003</v>
      </c>
      <c r="AW769" s="19">
        <v>-0.89129999999999998</v>
      </c>
      <c r="AX769" s="6">
        <v>0.58589999999999998</v>
      </c>
      <c r="AY769" s="6">
        <v>123</v>
      </c>
    </row>
    <row r="770" spans="28:51" x14ac:dyDescent="0.25">
      <c r="AB770" s="17">
        <v>768</v>
      </c>
      <c r="AC770" s="6">
        <v>3.2407499999999998</v>
      </c>
      <c r="AD770" s="6">
        <v>8.4489000000000001</v>
      </c>
      <c r="AE770" s="6">
        <v>3.1135999999999999</v>
      </c>
      <c r="AF770" s="6">
        <v>123</v>
      </c>
      <c r="AH770" s="17">
        <v>768</v>
      </c>
      <c r="AI770" s="6">
        <v>6.1632999999999996</v>
      </c>
      <c r="AJ770" s="6">
        <v>8.4489000000000001</v>
      </c>
      <c r="AK770" s="6">
        <v>3.1135999999999999</v>
      </c>
      <c r="AL770" s="6">
        <v>123</v>
      </c>
      <c r="AO770" s="17">
        <v>768</v>
      </c>
      <c r="AP770" s="6">
        <v>1.1646300000000001</v>
      </c>
      <c r="AQ770" s="19">
        <v>-1.3511</v>
      </c>
      <c r="AR770" s="6">
        <v>0.58840000000000003</v>
      </c>
      <c r="AS770" s="6">
        <v>123</v>
      </c>
      <c r="AU770" s="17">
        <v>768</v>
      </c>
      <c r="AV770" s="6">
        <v>0.61238000000000004</v>
      </c>
      <c r="AW770" s="19">
        <v>-1.3511</v>
      </c>
      <c r="AX770" s="6">
        <v>0.58840000000000003</v>
      </c>
      <c r="AY770" s="6">
        <v>123</v>
      </c>
    </row>
    <row r="771" spans="28:51" x14ac:dyDescent="0.25">
      <c r="AB771" s="17">
        <v>769</v>
      </c>
      <c r="AC771" s="6">
        <v>3.2783899999999999</v>
      </c>
      <c r="AD771" s="6">
        <v>15.4015</v>
      </c>
      <c r="AE771" s="6">
        <v>3.1497999999999999</v>
      </c>
      <c r="AF771" s="6">
        <v>123</v>
      </c>
      <c r="AH771" s="17">
        <v>769</v>
      </c>
      <c r="AI771" s="6">
        <v>6.2348999999999997</v>
      </c>
      <c r="AJ771" s="6">
        <v>15.4015</v>
      </c>
      <c r="AK771" s="6">
        <v>3.1497999999999999</v>
      </c>
      <c r="AL771" s="6">
        <v>123</v>
      </c>
      <c r="AO771" s="17">
        <v>769</v>
      </c>
      <c r="AP771" s="6">
        <v>1.1848099999999999</v>
      </c>
      <c r="AQ771" s="6">
        <v>0.95409999999999995</v>
      </c>
      <c r="AR771" s="6">
        <v>0.59860000000000002</v>
      </c>
      <c r="AS771" s="6">
        <v>123</v>
      </c>
      <c r="AU771" s="17">
        <v>769</v>
      </c>
      <c r="AV771" s="6">
        <v>0.62299000000000004</v>
      </c>
      <c r="AW771" s="6">
        <v>0.95409999999999995</v>
      </c>
      <c r="AX771" s="6">
        <v>0.59860000000000002</v>
      </c>
      <c r="AY771" s="6">
        <v>123</v>
      </c>
    </row>
    <row r="772" spans="28:51" x14ac:dyDescent="0.25">
      <c r="AB772" s="17">
        <v>770</v>
      </c>
      <c r="AC772" s="6">
        <v>3.2675999999999998</v>
      </c>
      <c r="AD772" s="6">
        <v>9.0738000000000003</v>
      </c>
      <c r="AE772" s="6">
        <v>3.1394000000000002</v>
      </c>
      <c r="AF772" s="6">
        <v>123</v>
      </c>
      <c r="AH772" s="17">
        <v>770</v>
      </c>
      <c r="AI772" s="6">
        <v>6.2142999999999997</v>
      </c>
      <c r="AJ772" s="6">
        <v>9.0738000000000003</v>
      </c>
      <c r="AK772" s="6">
        <v>3.1394000000000002</v>
      </c>
      <c r="AL772" s="6">
        <v>123</v>
      </c>
      <c r="AO772" s="17">
        <v>770</v>
      </c>
      <c r="AP772" s="6">
        <v>1.1728499999999999</v>
      </c>
      <c r="AQ772" s="19">
        <v>-1.4081999999999999</v>
      </c>
      <c r="AR772" s="6">
        <v>0.59250000000000003</v>
      </c>
      <c r="AS772" s="6">
        <v>123</v>
      </c>
      <c r="AU772" s="17">
        <v>770</v>
      </c>
      <c r="AV772" s="6">
        <v>0.61670000000000003</v>
      </c>
      <c r="AW772" s="19">
        <v>-1.4081999999999999</v>
      </c>
      <c r="AX772" s="6">
        <v>0.59250000000000003</v>
      </c>
      <c r="AY772" s="6">
        <v>123</v>
      </c>
    </row>
    <row r="773" spans="28:51" x14ac:dyDescent="0.25">
      <c r="AB773" s="17">
        <v>771</v>
      </c>
      <c r="AC773" s="6">
        <v>3.2423700000000002</v>
      </c>
      <c r="AD773" s="6">
        <v>19.863499999999998</v>
      </c>
      <c r="AE773" s="6">
        <v>3.1152000000000002</v>
      </c>
      <c r="AF773" s="6">
        <v>123</v>
      </c>
      <c r="AH773" s="17">
        <v>771</v>
      </c>
      <c r="AI773" s="6">
        <v>6.1662999999999997</v>
      </c>
      <c r="AJ773" s="6">
        <v>19.863499999999998</v>
      </c>
      <c r="AK773" s="6">
        <v>3.1152000000000002</v>
      </c>
      <c r="AL773" s="6">
        <v>123</v>
      </c>
      <c r="AO773" s="17">
        <v>771</v>
      </c>
      <c r="AP773" s="6">
        <v>1.16584</v>
      </c>
      <c r="AQ773" s="6">
        <v>1.2686999999999999</v>
      </c>
      <c r="AR773" s="6">
        <v>0.58899999999999997</v>
      </c>
      <c r="AS773" s="6">
        <v>123</v>
      </c>
      <c r="AU773" s="17">
        <v>771</v>
      </c>
      <c r="AV773" s="6">
        <v>0.61302000000000001</v>
      </c>
      <c r="AW773" s="6">
        <v>1.2686999999999999</v>
      </c>
      <c r="AX773" s="6">
        <v>0.58899999999999997</v>
      </c>
      <c r="AY773" s="6">
        <v>123</v>
      </c>
    </row>
    <row r="774" spans="28:51" x14ac:dyDescent="0.25">
      <c r="AB774" s="17">
        <v>772</v>
      </c>
      <c r="AC774" s="6">
        <v>3.2439100000000001</v>
      </c>
      <c r="AD774" s="6">
        <v>17.636399999999998</v>
      </c>
      <c r="AE774" s="6">
        <v>3.1166999999999998</v>
      </c>
      <c r="AF774" s="6">
        <v>123</v>
      </c>
      <c r="AH774" s="17">
        <v>772</v>
      </c>
      <c r="AI774" s="6">
        <v>6.1692999999999998</v>
      </c>
      <c r="AJ774" s="6">
        <v>17.636399999999998</v>
      </c>
      <c r="AK774" s="6">
        <v>3.1166999999999998</v>
      </c>
      <c r="AL774" s="6">
        <v>123</v>
      </c>
      <c r="AO774" s="17">
        <v>772</v>
      </c>
      <c r="AP774" s="6">
        <v>1.1667400000000001</v>
      </c>
      <c r="AQ774" s="6">
        <v>1.0658000000000001</v>
      </c>
      <c r="AR774" s="6">
        <v>0.58940000000000003</v>
      </c>
      <c r="AS774" s="6">
        <v>123</v>
      </c>
      <c r="AU774" s="17">
        <v>772</v>
      </c>
      <c r="AV774" s="6">
        <v>0.61348999999999998</v>
      </c>
      <c r="AW774" s="6">
        <v>1.0658000000000001</v>
      </c>
      <c r="AX774" s="6">
        <v>0.58940000000000003</v>
      </c>
      <c r="AY774" s="6">
        <v>123</v>
      </c>
    </row>
    <row r="775" spans="28:51" x14ac:dyDescent="0.25">
      <c r="AB775" s="17">
        <v>773</v>
      </c>
      <c r="AC775" s="6">
        <v>3.2402500000000001</v>
      </c>
      <c r="AD775" s="6">
        <v>8.6861999999999995</v>
      </c>
      <c r="AE775" s="6">
        <v>3.1132</v>
      </c>
      <c r="AF775" s="6">
        <v>123</v>
      </c>
      <c r="AH775" s="17">
        <v>773</v>
      </c>
      <c r="AI775" s="6">
        <v>6.1623000000000001</v>
      </c>
      <c r="AJ775" s="6">
        <v>8.6861999999999995</v>
      </c>
      <c r="AK775" s="6">
        <v>3.1132</v>
      </c>
      <c r="AL775" s="6">
        <v>123</v>
      </c>
      <c r="AO775" s="17">
        <v>773</v>
      </c>
      <c r="AP775" s="6">
        <v>1.1634800000000001</v>
      </c>
      <c r="AQ775" s="19">
        <v>-0.27850000000000003</v>
      </c>
      <c r="AR775" s="6">
        <v>0.58779999999999999</v>
      </c>
      <c r="AS775" s="6">
        <v>123</v>
      </c>
      <c r="AU775" s="17">
        <v>773</v>
      </c>
      <c r="AV775" s="6">
        <v>0.61177999999999999</v>
      </c>
      <c r="AW775" s="19">
        <v>-0.27850000000000003</v>
      </c>
      <c r="AX775" s="6">
        <v>0.58779999999999999</v>
      </c>
      <c r="AY775" s="6">
        <v>123</v>
      </c>
    </row>
    <row r="776" spans="28:51" x14ac:dyDescent="0.25">
      <c r="AB776" s="17">
        <v>774</v>
      </c>
      <c r="AC776" s="6">
        <v>3.22614</v>
      </c>
      <c r="AD776" s="6">
        <v>11.153499999999999</v>
      </c>
      <c r="AE776" s="6">
        <v>3.0996000000000001</v>
      </c>
      <c r="AF776" s="6">
        <v>123</v>
      </c>
      <c r="AH776" s="17">
        <v>774</v>
      </c>
      <c r="AI776" s="6">
        <v>6.1355000000000004</v>
      </c>
      <c r="AJ776" s="6">
        <v>11.153499999999999</v>
      </c>
      <c r="AK776" s="6">
        <v>3.0996000000000001</v>
      </c>
      <c r="AL776" s="6">
        <v>123</v>
      </c>
      <c r="AO776" s="17">
        <v>774</v>
      </c>
      <c r="AP776" s="6">
        <v>1.15787</v>
      </c>
      <c r="AQ776" s="19">
        <v>-6.7820000000000005E-2</v>
      </c>
      <c r="AR776" s="6">
        <v>0.58489999999999998</v>
      </c>
      <c r="AS776" s="6">
        <v>123</v>
      </c>
      <c r="AU776" s="17">
        <v>774</v>
      </c>
      <c r="AV776" s="6">
        <v>0.60882999999999998</v>
      </c>
      <c r="AW776" s="19">
        <v>-6.7820000000000005E-2</v>
      </c>
      <c r="AX776" s="6">
        <v>0.58489999999999998</v>
      </c>
      <c r="AY776" s="6">
        <v>123</v>
      </c>
    </row>
    <row r="777" spans="28:51" x14ac:dyDescent="0.25">
      <c r="AB777" s="17">
        <v>775</v>
      </c>
      <c r="AC777" s="6">
        <v>5.1370800000000001</v>
      </c>
      <c r="AD777" s="6">
        <v>20.109100000000002</v>
      </c>
      <c r="AE777" s="6">
        <v>4.9356</v>
      </c>
      <c r="AF777" s="6">
        <v>123</v>
      </c>
      <c r="AH777" s="17">
        <v>775</v>
      </c>
      <c r="AI777" s="6">
        <v>9.7697000000000003</v>
      </c>
      <c r="AJ777" s="6">
        <v>20.109100000000002</v>
      </c>
      <c r="AK777" s="6">
        <v>4.9356</v>
      </c>
      <c r="AL777" s="6">
        <v>123</v>
      </c>
      <c r="AO777" s="17">
        <v>775</v>
      </c>
      <c r="AP777" s="6">
        <v>1.82744</v>
      </c>
      <c r="AQ777" s="6">
        <v>0.44940000000000002</v>
      </c>
      <c r="AR777" s="6">
        <v>0.92320000000000002</v>
      </c>
      <c r="AS777" s="6">
        <v>123</v>
      </c>
      <c r="AU777" s="17">
        <v>775</v>
      </c>
      <c r="AV777" s="6">
        <v>0.96089999999999998</v>
      </c>
      <c r="AW777" s="6">
        <v>0.44940000000000002</v>
      </c>
      <c r="AX777" s="6">
        <v>0.92320000000000002</v>
      </c>
      <c r="AY777" s="6">
        <v>123</v>
      </c>
    </row>
    <row r="778" spans="28:51" x14ac:dyDescent="0.25">
      <c r="AB778" s="17">
        <v>776</v>
      </c>
      <c r="AC778" s="6">
        <v>3.2261000000000002</v>
      </c>
      <c r="AD778" s="6">
        <v>2.5884999999999998</v>
      </c>
      <c r="AE778" s="6">
        <v>3.0996000000000001</v>
      </c>
      <c r="AF778" s="6">
        <v>123</v>
      </c>
      <c r="AH778" s="17">
        <v>776</v>
      </c>
      <c r="AI778" s="6">
        <v>6.1353999999999997</v>
      </c>
      <c r="AJ778" s="6">
        <v>2.5884999999999998</v>
      </c>
      <c r="AK778" s="6">
        <v>3.0996000000000001</v>
      </c>
      <c r="AL778" s="6">
        <v>123</v>
      </c>
      <c r="AO778" s="17">
        <v>776</v>
      </c>
      <c r="AP778" s="6">
        <v>1.1382000000000001</v>
      </c>
      <c r="AQ778" s="6">
        <v>1.8585</v>
      </c>
      <c r="AR778" s="6">
        <v>0.57499999999999996</v>
      </c>
      <c r="AS778" s="6">
        <v>123</v>
      </c>
      <c r="AU778" s="17">
        <v>776</v>
      </c>
      <c r="AV778" s="6">
        <v>0.59848000000000001</v>
      </c>
      <c r="AW778" s="6">
        <v>1.8585</v>
      </c>
      <c r="AX778" s="6">
        <v>0.57499999999999996</v>
      </c>
      <c r="AY778" s="6">
        <v>123</v>
      </c>
    </row>
    <row r="779" spans="28:51" x14ac:dyDescent="0.25">
      <c r="AB779" s="17">
        <v>777</v>
      </c>
      <c r="AC779" s="6">
        <v>3.2351000000000001</v>
      </c>
      <c r="AD779" s="6">
        <v>3.7544</v>
      </c>
      <c r="AE779" s="6">
        <v>3.1082000000000001</v>
      </c>
      <c r="AF779" s="6">
        <v>123</v>
      </c>
      <c r="AH779" s="17">
        <v>777</v>
      </c>
      <c r="AI779" s="6">
        <v>6.1524999999999999</v>
      </c>
      <c r="AJ779" s="6">
        <v>3.7544</v>
      </c>
      <c r="AK779" s="6">
        <v>3.1082000000000001</v>
      </c>
      <c r="AL779" s="6">
        <v>123</v>
      </c>
      <c r="AO779" s="17">
        <v>777</v>
      </c>
      <c r="AP779" s="6">
        <v>1.13819</v>
      </c>
      <c r="AQ779" s="6">
        <v>0.3332</v>
      </c>
      <c r="AR779" s="6">
        <v>0.57499999999999996</v>
      </c>
      <c r="AS779" s="6">
        <v>123</v>
      </c>
      <c r="AU779" s="17">
        <v>777</v>
      </c>
      <c r="AV779" s="6">
        <v>0.59848000000000001</v>
      </c>
      <c r="AW779" s="6">
        <v>0.3332</v>
      </c>
      <c r="AX779" s="6">
        <v>0.57499999999999996</v>
      </c>
      <c r="AY779" s="6">
        <v>123</v>
      </c>
    </row>
    <row r="780" spans="28:51" x14ac:dyDescent="0.25">
      <c r="AB780" s="17">
        <v>778</v>
      </c>
      <c r="AC780" s="6">
        <v>3.2415099999999999</v>
      </c>
      <c r="AD780" s="6">
        <v>8.9732000000000003</v>
      </c>
      <c r="AE780" s="6">
        <v>3.1143999999999998</v>
      </c>
      <c r="AF780" s="6">
        <v>123</v>
      </c>
      <c r="AH780" s="17">
        <v>778</v>
      </c>
      <c r="AI780" s="6">
        <v>6.1646999999999998</v>
      </c>
      <c r="AJ780" s="6">
        <v>8.9732000000000003</v>
      </c>
      <c r="AK780" s="6">
        <v>3.1143999999999998</v>
      </c>
      <c r="AL780" s="6">
        <v>123</v>
      </c>
      <c r="AO780" s="17">
        <v>778</v>
      </c>
      <c r="AP780" s="6">
        <v>1.14181</v>
      </c>
      <c r="AQ780" s="6">
        <v>0.38009999999999999</v>
      </c>
      <c r="AR780" s="6">
        <v>0.57679999999999998</v>
      </c>
      <c r="AS780" s="6">
        <v>123</v>
      </c>
      <c r="AU780" s="17">
        <v>778</v>
      </c>
      <c r="AV780" s="6">
        <v>0.60038000000000002</v>
      </c>
      <c r="AW780" s="6">
        <v>0.38009999999999999</v>
      </c>
      <c r="AX780" s="6">
        <v>0.57679999999999998</v>
      </c>
      <c r="AY780" s="6">
        <v>123</v>
      </c>
    </row>
    <row r="781" spans="28:51" x14ac:dyDescent="0.25">
      <c r="AB781" s="17">
        <v>779</v>
      </c>
      <c r="AC781" s="6">
        <v>3.2414900000000002</v>
      </c>
      <c r="AD781" s="6">
        <v>6.1222000000000003</v>
      </c>
      <c r="AE781" s="6">
        <v>3.1143999999999998</v>
      </c>
      <c r="AF781" s="6">
        <v>123</v>
      </c>
      <c r="AH781" s="17">
        <v>779</v>
      </c>
      <c r="AI781" s="6">
        <v>6.1646999999999998</v>
      </c>
      <c r="AJ781" s="6">
        <v>6.1222000000000003</v>
      </c>
      <c r="AK781" s="6">
        <v>3.1143999999999998</v>
      </c>
      <c r="AL781" s="6">
        <v>123</v>
      </c>
      <c r="AO781" s="17">
        <v>779</v>
      </c>
      <c r="AP781" s="6">
        <v>1.1445799999999999</v>
      </c>
      <c r="AQ781" s="6">
        <v>0.64429999999999998</v>
      </c>
      <c r="AR781" s="6">
        <v>0.57820000000000005</v>
      </c>
      <c r="AS781" s="6">
        <v>123</v>
      </c>
      <c r="AU781" s="17">
        <v>779</v>
      </c>
      <c r="AV781" s="6">
        <v>0.60184000000000004</v>
      </c>
      <c r="AW781" s="6">
        <v>0.64429999999999998</v>
      </c>
      <c r="AX781" s="6">
        <v>0.57820000000000005</v>
      </c>
      <c r="AY781" s="6">
        <v>123</v>
      </c>
    </row>
    <row r="782" spans="28:51" x14ac:dyDescent="0.25">
      <c r="AB782" s="17">
        <v>780</v>
      </c>
      <c r="AC782" s="6">
        <v>3.2490399999999999</v>
      </c>
      <c r="AD782" s="19">
        <v>-5.5773999999999999</v>
      </c>
      <c r="AE782" s="6">
        <v>3.1215999999999999</v>
      </c>
      <c r="AF782" s="6">
        <v>123</v>
      </c>
      <c r="AH782" s="17">
        <v>780</v>
      </c>
      <c r="AI782" s="6">
        <v>6.1790000000000003</v>
      </c>
      <c r="AJ782" s="19">
        <v>-5.5773999999999999</v>
      </c>
      <c r="AK782" s="6">
        <v>3.1215999999999999</v>
      </c>
      <c r="AL782" s="6">
        <v>123</v>
      </c>
      <c r="AO782" s="17">
        <v>780</v>
      </c>
      <c r="AP782" s="6">
        <v>1.1402000000000001</v>
      </c>
      <c r="AQ782" s="19">
        <v>-1.4814000000000001</v>
      </c>
      <c r="AR782" s="6">
        <v>0.57599999999999996</v>
      </c>
      <c r="AS782" s="6">
        <v>123</v>
      </c>
      <c r="AU782" s="17">
        <v>780</v>
      </c>
      <c r="AV782" s="6">
        <v>0.59953999999999996</v>
      </c>
      <c r="AW782" s="19">
        <v>-1.4814000000000001</v>
      </c>
      <c r="AX782" s="6">
        <v>0.57599999999999996</v>
      </c>
      <c r="AY782" s="6">
        <v>123</v>
      </c>
    </row>
    <row r="783" spans="28:51" x14ac:dyDescent="0.25">
      <c r="AB783" s="17">
        <v>781</v>
      </c>
      <c r="AC783" s="6">
        <v>3.24702</v>
      </c>
      <c r="AD783" s="19">
        <v>-1.3176000000000001</v>
      </c>
      <c r="AE783" s="6">
        <v>3.1196999999999999</v>
      </c>
      <c r="AF783" s="6">
        <v>123</v>
      </c>
      <c r="AH783" s="17">
        <v>781</v>
      </c>
      <c r="AI783" s="6">
        <v>6.1752000000000002</v>
      </c>
      <c r="AJ783" s="19">
        <v>-1.3176000000000001</v>
      </c>
      <c r="AK783" s="6">
        <v>3.1196999999999999</v>
      </c>
      <c r="AL783" s="6">
        <v>123</v>
      </c>
      <c r="AO783" s="17">
        <v>781</v>
      </c>
      <c r="AP783" s="6">
        <v>1.1435900000000001</v>
      </c>
      <c r="AQ783" s="19">
        <v>-4.2680000000000003E-2</v>
      </c>
      <c r="AR783" s="6">
        <v>0.57769999999999999</v>
      </c>
      <c r="AS783" s="6">
        <v>123</v>
      </c>
      <c r="AU783" s="17">
        <v>781</v>
      </c>
      <c r="AV783" s="6">
        <v>0.60131999999999997</v>
      </c>
      <c r="AW783" s="19">
        <v>-4.2680000000000003E-2</v>
      </c>
      <c r="AX783" s="6">
        <v>0.57769999999999999</v>
      </c>
      <c r="AY783" s="6">
        <v>123</v>
      </c>
    </row>
    <row r="784" spans="28:51" x14ac:dyDescent="0.25">
      <c r="AB784" s="17">
        <v>782</v>
      </c>
      <c r="AC784" s="6">
        <v>3.2300399999999998</v>
      </c>
      <c r="AD784" s="19">
        <v>-0.21820000000000001</v>
      </c>
      <c r="AE784" s="6">
        <v>3.1034000000000002</v>
      </c>
      <c r="AF784" s="6">
        <v>123</v>
      </c>
      <c r="AH784" s="17">
        <v>782</v>
      </c>
      <c r="AI784" s="6">
        <v>6.1429</v>
      </c>
      <c r="AJ784" s="19">
        <v>-0.21820000000000001</v>
      </c>
      <c r="AK784" s="6">
        <v>3.1034000000000002</v>
      </c>
      <c r="AL784" s="6">
        <v>123</v>
      </c>
      <c r="AO784" s="17">
        <v>782</v>
      </c>
      <c r="AP784" s="6">
        <v>1.1289899999999999</v>
      </c>
      <c r="AQ784" s="6">
        <v>0.627</v>
      </c>
      <c r="AR784" s="6">
        <v>0.57040000000000002</v>
      </c>
      <c r="AS784" s="6">
        <v>123</v>
      </c>
      <c r="AU784" s="17">
        <v>782</v>
      </c>
      <c r="AV784" s="6">
        <v>0.59363999999999995</v>
      </c>
      <c r="AW784" s="6">
        <v>0.627</v>
      </c>
      <c r="AX784" s="6">
        <v>0.57040000000000002</v>
      </c>
      <c r="AY784" s="6">
        <v>123</v>
      </c>
    </row>
    <row r="785" spans="28:51" x14ac:dyDescent="0.25">
      <c r="AB785" s="17">
        <v>783</v>
      </c>
      <c r="AC785" s="6">
        <v>3.2674599999999998</v>
      </c>
      <c r="AD785" s="19">
        <v>-4.3658999999999999</v>
      </c>
      <c r="AE785" s="6">
        <v>3.1393</v>
      </c>
      <c r="AF785" s="6">
        <v>123</v>
      </c>
      <c r="AH785" s="17">
        <v>783</v>
      </c>
      <c r="AI785" s="6">
        <v>6.2141000000000002</v>
      </c>
      <c r="AJ785" s="19">
        <v>-4.3658999999999999</v>
      </c>
      <c r="AK785" s="6">
        <v>3.1393</v>
      </c>
      <c r="AL785" s="6">
        <v>123</v>
      </c>
      <c r="AO785" s="17">
        <v>783</v>
      </c>
      <c r="AP785" s="6">
        <v>1.1569700000000001</v>
      </c>
      <c r="AQ785" s="19">
        <v>-0.31440000000000001</v>
      </c>
      <c r="AR785" s="6">
        <v>0.58450000000000002</v>
      </c>
      <c r="AS785" s="6">
        <v>123</v>
      </c>
      <c r="AU785" s="17">
        <v>783</v>
      </c>
      <c r="AV785" s="6">
        <v>0.60836000000000001</v>
      </c>
      <c r="AW785" s="19">
        <v>-0.31440000000000001</v>
      </c>
      <c r="AX785" s="6">
        <v>0.58450000000000002</v>
      </c>
      <c r="AY785" s="6">
        <v>123</v>
      </c>
    </row>
    <row r="786" spans="28:51" x14ac:dyDescent="0.25">
      <c r="AB786" s="17">
        <v>784</v>
      </c>
      <c r="AC786" s="6">
        <v>3.24512</v>
      </c>
      <c r="AD786" s="6">
        <v>4.6795999999999998</v>
      </c>
      <c r="AE786" s="6">
        <v>3.1177999999999999</v>
      </c>
      <c r="AF786" s="6">
        <v>123</v>
      </c>
      <c r="AH786" s="17">
        <v>784</v>
      </c>
      <c r="AI786" s="6">
        <v>6.1715999999999998</v>
      </c>
      <c r="AJ786" s="6">
        <v>4.6795999999999998</v>
      </c>
      <c r="AK786" s="6">
        <v>3.1177999999999999</v>
      </c>
      <c r="AL786" s="6">
        <v>123</v>
      </c>
      <c r="AO786" s="17">
        <v>784</v>
      </c>
      <c r="AP786" s="6">
        <v>1.1428700000000001</v>
      </c>
      <c r="AQ786" s="19">
        <v>-0.86660000000000004</v>
      </c>
      <c r="AR786" s="6">
        <v>0.57740000000000002</v>
      </c>
      <c r="AS786" s="6">
        <v>123</v>
      </c>
      <c r="AU786" s="17">
        <v>784</v>
      </c>
      <c r="AV786" s="6">
        <v>0.60094000000000003</v>
      </c>
      <c r="AW786" s="19">
        <v>-0.86660000000000004</v>
      </c>
      <c r="AX786" s="6">
        <v>0.57740000000000002</v>
      </c>
      <c r="AY786" s="6">
        <v>123</v>
      </c>
    </row>
    <row r="787" spans="28:51" x14ac:dyDescent="0.25">
      <c r="AB787" s="17">
        <v>785</v>
      </c>
      <c r="AC787" s="6">
        <v>3.23563</v>
      </c>
      <c r="AD787" s="19">
        <v>-1.5428999999999999</v>
      </c>
      <c r="AE787" s="6">
        <v>3.1086999999999998</v>
      </c>
      <c r="AF787" s="6">
        <v>123</v>
      </c>
      <c r="AH787" s="17">
        <v>785</v>
      </c>
      <c r="AI787" s="6">
        <v>6.1535000000000002</v>
      </c>
      <c r="AJ787" s="19">
        <v>-1.5428999999999999</v>
      </c>
      <c r="AK787" s="6">
        <v>3.1086999999999998</v>
      </c>
      <c r="AL787" s="6">
        <v>123</v>
      </c>
      <c r="AO787" s="17">
        <v>785</v>
      </c>
      <c r="AP787" s="6">
        <v>1.13781</v>
      </c>
      <c r="AQ787" s="19">
        <v>-0.81120000000000003</v>
      </c>
      <c r="AR787" s="6">
        <v>0.57479999999999998</v>
      </c>
      <c r="AS787" s="6">
        <v>123</v>
      </c>
      <c r="AU787" s="17">
        <v>785</v>
      </c>
      <c r="AV787" s="6">
        <v>0.59828000000000003</v>
      </c>
      <c r="AW787" s="19">
        <v>-0.81120000000000003</v>
      </c>
      <c r="AX787" s="6">
        <v>0.57479999999999998</v>
      </c>
      <c r="AY787" s="6">
        <v>123</v>
      </c>
    </row>
    <row r="788" spans="28:51" x14ac:dyDescent="0.25">
      <c r="AB788" s="17">
        <v>786</v>
      </c>
      <c r="AC788" s="6">
        <v>3.2458399999999998</v>
      </c>
      <c r="AD788" s="6">
        <v>0.30590000000000001</v>
      </c>
      <c r="AE788" s="6">
        <v>3.1185</v>
      </c>
      <c r="AF788" s="6">
        <v>123</v>
      </c>
      <c r="AH788" s="17">
        <v>786</v>
      </c>
      <c r="AI788" s="6">
        <v>6.173</v>
      </c>
      <c r="AJ788" s="6">
        <v>0.30590000000000001</v>
      </c>
      <c r="AK788" s="6">
        <v>3.1185</v>
      </c>
      <c r="AL788" s="6">
        <v>123</v>
      </c>
      <c r="AO788" s="17">
        <v>786</v>
      </c>
      <c r="AP788" s="6">
        <v>1.1448799999999999</v>
      </c>
      <c r="AQ788" s="19">
        <v>-1.2709999999999999</v>
      </c>
      <c r="AR788" s="6">
        <v>0.57840000000000003</v>
      </c>
      <c r="AS788" s="6">
        <v>123</v>
      </c>
      <c r="AU788" s="17">
        <v>786</v>
      </c>
      <c r="AV788" s="6">
        <v>0.60199999999999998</v>
      </c>
      <c r="AW788" s="19">
        <v>-1.2709999999999999</v>
      </c>
      <c r="AX788" s="6">
        <v>0.57840000000000003</v>
      </c>
      <c r="AY788" s="6">
        <v>123</v>
      </c>
    </row>
    <row r="789" spans="28:51" x14ac:dyDescent="0.25">
      <c r="AB789" s="17">
        <v>787</v>
      </c>
      <c r="AC789" s="6">
        <v>3.2817799999999999</v>
      </c>
      <c r="AD789" s="6">
        <v>7.2586000000000004</v>
      </c>
      <c r="AE789" s="6">
        <v>3.1530999999999998</v>
      </c>
      <c r="AF789" s="6">
        <v>123</v>
      </c>
      <c r="AH789" s="17">
        <v>787</v>
      </c>
      <c r="AI789" s="6">
        <v>6.2412999999999998</v>
      </c>
      <c r="AJ789" s="6">
        <v>7.2586000000000004</v>
      </c>
      <c r="AK789" s="6">
        <v>3.1530999999999998</v>
      </c>
      <c r="AL789" s="6">
        <v>123</v>
      </c>
      <c r="AO789" s="17">
        <v>787</v>
      </c>
      <c r="AP789" s="6">
        <v>1.15998</v>
      </c>
      <c r="AQ789" s="6">
        <v>1.0342</v>
      </c>
      <c r="AR789" s="6">
        <v>0.58599999999999997</v>
      </c>
      <c r="AS789" s="6">
        <v>123</v>
      </c>
      <c r="AU789" s="17">
        <v>787</v>
      </c>
      <c r="AV789" s="6">
        <v>0.60994000000000004</v>
      </c>
      <c r="AW789" s="6">
        <v>1.0342</v>
      </c>
      <c r="AX789" s="6">
        <v>0.58599999999999997</v>
      </c>
      <c r="AY789" s="6">
        <v>123</v>
      </c>
    </row>
    <row r="790" spans="28:51" x14ac:dyDescent="0.25">
      <c r="AB790" s="17">
        <v>788</v>
      </c>
      <c r="AC790" s="6">
        <v>3.2473200000000002</v>
      </c>
      <c r="AD790" s="6">
        <v>0.93079999999999996</v>
      </c>
      <c r="AE790" s="6">
        <v>3.12</v>
      </c>
      <c r="AF790" s="6">
        <v>123</v>
      </c>
      <c r="AH790" s="17">
        <v>788</v>
      </c>
      <c r="AI790" s="6">
        <v>6.1757999999999997</v>
      </c>
      <c r="AJ790" s="6">
        <v>0.93079999999999996</v>
      </c>
      <c r="AK790" s="6">
        <v>3.12</v>
      </c>
      <c r="AL790" s="6">
        <v>123</v>
      </c>
      <c r="AO790" s="17">
        <v>788</v>
      </c>
      <c r="AP790" s="6">
        <v>1.1500600000000001</v>
      </c>
      <c r="AQ790" s="19">
        <v>-1.3281000000000001</v>
      </c>
      <c r="AR790" s="6">
        <v>0.58099999999999996</v>
      </c>
      <c r="AS790" s="6">
        <v>123</v>
      </c>
      <c r="AU790" s="17">
        <v>788</v>
      </c>
      <c r="AV790" s="6">
        <v>0.60472000000000004</v>
      </c>
      <c r="AW790" s="19">
        <v>-1.3281000000000001</v>
      </c>
      <c r="AX790" s="6">
        <v>0.58099999999999996</v>
      </c>
      <c r="AY790" s="6">
        <v>123</v>
      </c>
    </row>
    <row r="791" spans="28:51" x14ac:dyDescent="0.25">
      <c r="AB791" s="17">
        <v>789</v>
      </c>
      <c r="AC791" s="6">
        <v>3.2724600000000001</v>
      </c>
      <c r="AD791" s="6">
        <v>11.720599999999999</v>
      </c>
      <c r="AE791" s="6">
        <v>3.1440999999999999</v>
      </c>
      <c r="AF791" s="6">
        <v>123</v>
      </c>
      <c r="AH791" s="17">
        <v>789</v>
      </c>
      <c r="AI791" s="6">
        <v>6.2236000000000002</v>
      </c>
      <c r="AJ791" s="6">
        <v>11.720599999999999</v>
      </c>
      <c r="AK791" s="6">
        <v>3.1440999999999999</v>
      </c>
      <c r="AL791" s="6">
        <v>123</v>
      </c>
      <c r="AO791" s="17">
        <v>789</v>
      </c>
      <c r="AP791" s="6">
        <v>1.1581300000000001</v>
      </c>
      <c r="AQ791" s="6">
        <v>1.3487</v>
      </c>
      <c r="AR791" s="6">
        <v>0.58509999999999995</v>
      </c>
      <c r="AS791" s="6">
        <v>123</v>
      </c>
      <c r="AU791" s="17">
        <v>789</v>
      </c>
      <c r="AV791" s="6">
        <v>0.60895999999999995</v>
      </c>
      <c r="AW791" s="6">
        <v>1.3487</v>
      </c>
      <c r="AX791" s="6">
        <v>0.58509999999999995</v>
      </c>
      <c r="AY791" s="6">
        <v>123</v>
      </c>
    </row>
    <row r="792" spans="28:51" x14ac:dyDescent="0.25">
      <c r="AB792" s="17">
        <v>790</v>
      </c>
      <c r="AC792" s="6">
        <v>3.2467700000000002</v>
      </c>
      <c r="AD792" s="6">
        <v>9.4934999999999992</v>
      </c>
      <c r="AE792" s="6">
        <v>3.1194000000000002</v>
      </c>
      <c r="AF792" s="6">
        <v>123</v>
      </c>
      <c r="AH792" s="17">
        <v>790</v>
      </c>
      <c r="AI792" s="6">
        <v>6.1746999999999996</v>
      </c>
      <c r="AJ792" s="6">
        <v>9.4934999999999992</v>
      </c>
      <c r="AK792" s="6">
        <v>3.1194000000000002</v>
      </c>
      <c r="AL792" s="6">
        <v>123</v>
      </c>
      <c r="AO792" s="17">
        <v>790</v>
      </c>
      <c r="AP792" s="6">
        <v>1.14422</v>
      </c>
      <c r="AQ792" s="6">
        <v>1.1458999999999999</v>
      </c>
      <c r="AR792" s="6">
        <v>0.57809999999999995</v>
      </c>
      <c r="AS792" s="6">
        <v>123</v>
      </c>
      <c r="AU792" s="17">
        <v>790</v>
      </c>
      <c r="AV792" s="6">
        <v>0.60165000000000002</v>
      </c>
      <c r="AW792" s="6">
        <v>1.1458999999999999</v>
      </c>
      <c r="AX792" s="6">
        <v>0.57809999999999995</v>
      </c>
      <c r="AY792" s="6">
        <v>123</v>
      </c>
    </row>
    <row r="793" spans="28:51" x14ac:dyDescent="0.25">
      <c r="AB793" s="17">
        <v>791</v>
      </c>
      <c r="AC793" s="6">
        <v>3.2430599999999998</v>
      </c>
      <c r="AD793" s="6">
        <v>0.54330000000000001</v>
      </c>
      <c r="AE793" s="6">
        <v>3.1158999999999999</v>
      </c>
      <c r="AF793" s="6">
        <v>123</v>
      </c>
      <c r="AH793" s="17">
        <v>791</v>
      </c>
      <c r="AI793" s="6">
        <v>6.1677</v>
      </c>
      <c r="AJ793" s="6">
        <v>0.54330000000000001</v>
      </c>
      <c r="AK793" s="6">
        <v>3.1158999999999999</v>
      </c>
      <c r="AL793" s="6">
        <v>123</v>
      </c>
      <c r="AO793" s="17">
        <v>791</v>
      </c>
      <c r="AP793" s="6">
        <v>1.1412500000000001</v>
      </c>
      <c r="AQ793" s="19">
        <v>-0.19839999999999999</v>
      </c>
      <c r="AR793" s="6">
        <v>0.5766</v>
      </c>
      <c r="AS793" s="6">
        <v>123</v>
      </c>
      <c r="AU793" s="17">
        <v>791</v>
      </c>
      <c r="AV793" s="6">
        <v>0.60009000000000001</v>
      </c>
      <c r="AW793" s="19">
        <v>-0.19839999999999999</v>
      </c>
      <c r="AX793" s="6">
        <v>0.5766</v>
      </c>
      <c r="AY793" s="6">
        <v>123</v>
      </c>
    </row>
    <row r="794" spans="28:51" x14ac:dyDescent="0.25">
      <c r="AB794" s="17">
        <v>792</v>
      </c>
      <c r="AC794" s="6">
        <v>3.2410800000000002</v>
      </c>
      <c r="AD794" s="6">
        <v>3.0106000000000002</v>
      </c>
      <c r="AE794" s="6">
        <v>3.1139999999999999</v>
      </c>
      <c r="AF794" s="6">
        <v>123</v>
      </c>
      <c r="AH794" s="17">
        <v>792</v>
      </c>
      <c r="AI794" s="6">
        <v>6.1638999999999999</v>
      </c>
      <c r="AJ794" s="6">
        <v>3.0106000000000002</v>
      </c>
      <c r="AK794" s="6">
        <v>3.1139999999999999</v>
      </c>
      <c r="AL794" s="6">
        <v>123</v>
      </c>
      <c r="AO794" s="17">
        <v>792</v>
      </c>
      <c r="AP794" s="6">
        <v>1.1408400000000001</v>
      </c>
      <c r="AQ794" s="6">
        <v>1.227E-2</v>
      </c>
      <c r="AR794" s="6">
        <v>0.57630000000000003</v>
      </c>
      <c r="AS794" s="6">
        <v>123</v>
      </c>
      <c r="AU794" s="17">
        <v>792</v>
      </c>
      <c r="AV794" s="6">
        <v>0.59987000000000001</v>
      </c>
      <c r="AW794" s="6">
        <v>1.227E-2</v>
      </c>
      <c r="AX794" s="6">
        <v>0.57630000000000003</v>
      </c>
      <c r="AY794" s="6">
        <v>123</v>
      </c>
    </row>
    <row r="795" spans="28:51" x14ac:dyDescent="0.25">
      <c r="AB795" s="17">
        <v>793</v>
      </c>
      <c r="AC795" s="6">
        <v>5.14168</v>
      </c>
      <c r="AD795" s="6">
        <v>11.966200000000001</v>
      </c>
      <c r="AE795" s="6">
        <v>4.9400000000000004</v>
      </c>
      <c r="AF795" s="6">
        <v>123</v>
      </c>
      <c r="AH795" s="17">
        <v>793</v>
      </c>
      <c r="AI795" s="6">
        <v>9.7784999999999993</v>
      </c>
      <c r="AJ795" s="6">
        <v>11.966200000000001</v>
      </c>
      <c r="AK795" s="6">
        <v>4.9400000000000004</v>
      </c>
      <c r="AL795" s="6">
        <v>123</v>
      </c>
      <c r="AO795" s="17">
        <v>793</v>
      </c>
      <c r="AP795" s="6">
        <v>1.8156300000000001</v>
      </c>
      <c r="AQ795" s="6">
        <v>0.52949999999999997</v>
      </c>
      <c r="AR795" s="6">
        <v>0.91720000000000002</v>
      </c>
      <c r="AS795" s="6">
        <v>123</v>
      </c>
      <c r="AU795" s="17">
        <v>793</v>
      </c>
      <c r="AV795" s="6">
        <v>0.95469000000000004</v>
      </c>
      <c r="AW795" s="6">
        <v>0.52949999999999997</v>
      </c>
      <c r="AX795" s="6">
        <v>0.91720000000000002</v>
      </c>
      <c r="AY795" s="6">
        <v>123</v>
      </c>
    </row>
    <row r="796" spans="28:51" x14ac:dyDescent="0.25">
      <c r="AB796" s="17">
        <v>794</v>
      </c>
      <c r="AC796" s="6">
        <v>3.1867100000000002</v>
      </c>
      <c r="AD796" s="6">
        <v>1.1658999999999999</v>
      </c>
      <c r="AE796" s="6">
        <v>3.0617000000000001</v>
      </c>
      <c r="AF796" s="6">
        <v>123</v>
      </c>
      <c r="AH796" s="17">
        <v>794</v>
      </c>
      <c r="AI796" s="6">
        <v>6.0605000000000002</v>
      </c>
      <c r="AJ796" s="6">
        <v>1.1658999999999999</v>
      </c>
      <c r="AK796" s="6">
        <v>3.0617000000000001</v>
      </c>
      <c r="AL796" s="6">
        <v>123</v>
      </c>
      <c r="AO796" s="17">
        <v>794</v>
      </c>
      <c r="AP796" s="6">
        <v>1.13446</v>
      </c>
      <c r="AQ796" s="19">
        <v>-1.5253000000000001</v>
      </c>
      <c r="AR796" s="6">
        <v>0.57310000000000005</v>
      </c>
      <c r="AS796" s="6">
        <v>123</v>
      </c>
      <c r="AU796" s="17">
        <v>794</v>
      </c>
      <c r="AV796" s="6">
        <v>0.59652000000000005</v>
      </c>
      <c r="AW796" s="19">
        <v>-1.5253000000000001</v>
      </c>
      <c r="AX796" s="6">
        <v>0.57310000000000005</v>
      </c>
      <c r="AY796" s="6">
        <v>123</v>
      </c>
    </row>
    <row r="797" spans="28:51" x14ac:dyDescent="0.25">
      <c r="AB797" s="17">
        <v>795</v>
      </c>
      <c r="AC797" s="6">
        <v>3.1979099999999998</v>
      </c>
      <c r="AD797" s="6">
        <v>6.3846999999999996</v>
      </c>
      <c r="AE797" s="6">
        <v>3.0724999999999998</v>
      </c>
      <c r="AF797" s="6">
        <v>123</v>
      </c>
      <c r="AH797" s="17">
        <v>795</v>
      </c>
      <c r="AI797" s="6">
        <v>6.0818000000000003</v>
      </c>
      <c r="AJ797" s="6">
        <v>6.3846999999999996</v>
      </c>
      <c r="AK797" s="6">
        <v>3.0724999999999998</v>
      </c>
      <c r="AL797" s="6">
        <v>123</v>
      </c>
      <c r="AO797" s="17">
        <v>795</v>
      </c>
      <c r="AP797" s="6">
        <v>1.1393200000000001</v>
      </c>
      <c r="AQ797" s="19">
        <v>-1.4783999999999999</v>
      </c>
      <c r="AR797" s="6">
        <v>0.5756</v>
      </c>
      <c r="AS797" s="6">
        <v>123</v>
      </c>
      <c r="AU797" s="17">
        <v>795</v>
      </c>
      <c r="AV797" s="6">
        <v>0.59907999999999995</v>
      </c>
      <c r="AW797" s="19">
        <v>-1.4783999999999999</v>
      </c>
      <c r="AX797" s="6">
        <v>0.5756</v>
      </c>
      <c r="AY797" s="6">
        <v>123</v>
      </c>
    </row>
    <row r="798" spans="28:51" x14ac:dyDescent="0.25">
      <c r="AB798" s="17">
        <v>796</v>
      </c>
      <c r="AC798" s="6">
        <v>3.20966</v>
      </c>
      <c r="AD798" s="6">
        <v>3.5335999999999999</v>
      </c>
      <c r="AE798" s="6">
        <v>3.0838000000000001</v>
      </c>
      <c r="AF798" s="6">
        <v>123</v>
      </c>
      <c r="AH798" s="17">
        <v>796</v>
      </c>
      <c r="AI798" s="6">
        <v>6.1040999999999999</v>
      </c>
      <c r="AJ798" s="6">
        <v>3.5335999999999999</v>
      </c>
      <c r="AK798" s="6">
        <v>3.0838000000000001</v>
      </c>
      <c r="AL798" s="6">
        <v>123</v>
      </c>
      <c r="AO798" s="17">
        <v>796</v>
      </c>
      <c r="AP798" s="6">
        <v>1.1441699999999999</v>
      </c>
      <c r="AQ798" s="19">
        <v>-1.2141999999999999</v>
      </c>
      <c r="AR798" s="6">
        <v>0.57799999999999996</v>
      </c>
      <c r="AS798" s="6">
        <v>123</v>
      </c>
      <c r="AU798" s="17">
        <v>796</v>
      </c>
      <c r="AV798" s="6">
        <v>0.60162000000000004</v>
      </c>
      <c r="AW798" s="19">
        <v>-1.2141999999999999</v>
      </c>
      <c r="AX798" s="6">
        <v>0.57799999999999996</v>
      </c>
      <c r="AY798" s="6">
        <v>123</v>
      </c>
    </row>
    <row r="799" spans="28:51" x14ac:dyDescent="0.25">
      <c r="AB799" s="17">
        <v>797</v>
      </c>
      <c r="AC799" s="6">
        <v>3.1973699999999998</v>
      </c>
      <c r="AD799" s="19">
        <v>-8.1659000000000006</v>
      </c>
      <c r="AE799" s="6">
        <v>3.0720000000000001</v>
      </c>
      <c r="AF799" s="6">
        <v>123</v>
      </c>
      <c r="AH799" s="17">
        <v>797</v>
      </c>
      <c r="AI799" s="6">
        <v>6.0808</v>
      </c>
      <c r="AJ799" s="19">
        <v>-8.1659000000000006</v>
      </c>
      <c r="AK799" s="6">
        <v>3.0720000000000001</v>
      </c>
      <c r="AL799" s="6">
        <v>123</v>
      </c>
      <c r="AO799" s="17">
        <v>797</v>
      </c>
      <c r="AP799" s="6">
        <v>1.13673</v>
      </c>
      <c r="AQ799" s="19">
        <v>-3.3399000000000001</v>
      </c>
      <c r="AR799" s="6">
        <v>0.57430000000000003</v>
      </c>
      <c r="AS799" s="6">
        <v>123</v>
      </c>
      <c r="AU799" s="17">
        <v>797</v>
      </c>
      <c r="AV799" s="6">
        <v>0.59770999999999996</v>
      </c>
      <c r="AW799" s="19">
        <v>-3.3399000000000001</v>
      </c>
      <c r="AX799" s="6">
        <v>0.57430000000000003</v>
      </c>
      <c r="AY799" s="6">
        <v>123</v>
      </c>
    </row>
    <row r="800" spans="28:51" x14ac:dyDescent="0.25">
      <c r="AB800" s="17">
        <v>798</v>
      </c>
      <c r="AC800" s="6">
        <v>3.2137199999999999</v>
      </c>
      <c r="AD800" s="19">
        <v>-3.9062000000000001</v>
      </c>
      <c r="AE800" s="6">
        <v>3.0876999999999999</v>
      </c>
      <c r="AF800" s="6">
        <v>123</v>
      </c>
      <c r="AH800" s="17">
        <v>798</v>
      </c>
      <c r="AI800" s="6">
        <v>6.1119000000000003</v>
      </c>
      <c r="AJ800" s="19">
        <v>-3.9062000000000001</v>
      </c>
      <c r="AK800" s="6">
        <v>3.0876999999999999</v>
      </c>
      <c r="AL800" s="6">
        <v>123</v>
      </c>
      <c r="AO800" s="17">
        <v>798</v>
      </c>
      <c r="AP800" s="6">
        <v>1.1461399999999999</v>
      </c>
      <c r="AQ800" s="19">
        <v>-1.9012</v>
      </c>
      <c r="AR800" s="6">
        <v>0.57899999999999996</v>
      </c>
      <c r="AS800" s="6">
        <v>123</v>
      </c>
      <c r="AU800" s="17">
        <v>798</v>
      </c>
      <c r="AV800" s="6">
        <v>0.60265999999999997</v>
      </c>
      <c r="AW800" s="19">
        <v>-1.9012</v>
      </c>
      <c r="AX800" s="6">
        <v>0.57899999999999996</v>
      </c>
      <c r="AY800" s="6">
        <v>123</v>
      </c>
    </row>
    <row r="801" spans="28:51" x14ac:dyDescent="0.25">
      <c r="AB801" s="17">
        <v>799</v>
      </c>
      <c r="AC801" s="6">
        <v>3.2130800000000002</v>
      </c>
      <c r="AD801" s="19">
        <v>-2.8068</v>
      </c>
      <c r="AE801" s="6">
        <v>3.0871</v>
      </c>
      <c r="AF801" s="6">
        <v>123</v>
      </c>
      <c r="AH801" s="17">
        <v>799</v>
      </c>
      <c r="AI801" s="6">
        <v>6.1105999999999998</v>
      </c>
      <c r="AJ801" s="19">
        <v>-2.8068</v>
      </c>
      <c r="AK801" s="6">
        <v>3.0871</v>
      </c>
      <c r="AL801" s="6">
        <v>123</v>
      </c>
      <c r="AO801" s="17">
        <v>799</v>
      </c>
      <c r="AP801" s="6">
        <v>1.14438</v>
      </c>
      <c r="AQ801" s="19">
        <v>-1.2315</v>
      </c>
      <c r="AR801" s="6">
        <v>0.57809999999999995</v>
      </c>
      <c r="AS801" s="6">
        <v>123</v>
      </c>
      <c r="AU801" s="17">
        <v>799</v>
      </c>
      <c r="AV801" s="6">
        <v>0.60172999999999999</v>
      </c>
      <c r="AW801" s="19">
        <v>-1.2315</v>
      </c>
      <c r="AX801" s="6">
        <v>0.57809999999999995</v>
      </c>
      <c r="AY801" s="6">
        <v>123</v>
      </c>
    </row>
    <row r="802" spans="28:51" x14ac:dyDescent="0.25">
      <c r="AB802" s="17">
        <v>800</v>
      </c>
      <c r="AC802" s="6">
        <v>3.2347600000000001</v>
      </c>
      <c r="AD802" s="19">
        <v>-6.9543999999999997</v>
      </c>
      <c r="AE802" s="6">
        <v>3.1078999999999999</v>
      </c>
      <c r="AF802" s="6">
        <v>123</v>
      </c>
      <c r="AH802" s="17">
        <v>800</v>
      </c>
      <c r="AI802" s="6">
        <v>6.1519000000000004</v>
      </c>
      <c r="AJ802" s="19">
        <v>-6.9543999999999997</v>
      </c>
      <c r="AK802" s="6">
        <v>3.1078999999999999</v>
      </c>
      <c r="AL802" s="6">
        <v>123</v>
      </c>
      <c r="AO802" s="17">
        <v>800</v>
      </c>
      <c r="AP802" s="6">
        <v>1.15991</v>
      </c>
      <c r="AQ802" s="19">
        <v>-2.173</v>
      </c>
      <c r="AR802" s="6">
        <v>0.58599999999999997</v>
      </c>
      <c r="AS802" s="6">
        <v>123</v>
      </c>
      <c r="AU802" s="17">
        <v>800</v>
      </c>
      <c r="AV802" s="6">
        <v>0.6099</v>
      </c>
      <c r="AW802" s="19">
        <v>-2.173</v>
      </c>
      <c r="AX802" s="6">
        <v>0.58599999999999997</v>
      </c>
      <c r="AY802" s="6">
        <v>123</v>
      </c>
    </row>
    <row r="803" spans="28:51" x14ac:dyDescent="0.25">
      <c r="AB803" s="17">
        <v>801</v>
      </c>
      <c r="AC803" s="6">
        <v>3.2017699999999998</v>
      </c>
      <c r="AD803" s="6">
        <v>2.0910000000000002</v>
      </c>
      <c r="AE803" s="6">
        <v>3.0762</v>
      </c>
      <c r="AF803" s="6">
        <v>123</v>
      </c>
      <c r="AH803" s="17">
        <v>801</v>
      </c>
      <c r="AI803" s="6">
        <v>6.0891000000000002</v>
      </c>
      <c r="AJ803" s="6">
        <v>2.0910000000000002</v>
      </c>
      <c r="AK803" s="6">
        <v>3.0762</v>
      </c>
      <c r="AL803" s="6">
        <v>123</v>
      </c>
      <c r="AO803" s="17">
        <v>801</v>
      </c>
      <c r="AP803" s="6">
        <v>1.13958</v>
      </c>
      <c r="AQ803" s="19">
        <v>-2.7250999999999999</v>
      </c>
      <c r="AR803" s="6">
        <v>0.57569999999999999</v>
      </c>
      <c r="AS803" s="6">
        <v>123</v>
      </c>
      <c r="AU803" s="17">
        <v>801</v>
      </c>
      <c r="AV803" s="6">
        <v>0.59921000000000002</v>
      </c>
      <c r="AW803" s="19">
        <v>-2.7250999999999999</v>
      </c>
      <c r="AX803" s="6">
        <v>0.57569999999999999</v>
      </c>
      <c r="AY803" s="6">
        <v>123</v>
      </c>
    </row>
    <row r="804" spans="28:51" x14ac:dyDescent="0.25">
      <c r="AB804" s="17">
        <v>802</v>
      </c>
      <c r="AC804" s="6">
        <v>3.2113499999999999</v>
      </c>
      <c r="AD804" s="19">
        <v>-4.1315</v>
      </c>
      <c r="AE804" s="6">
        <v>3.0853999999999999</v>
      </c>
      <c r="AF804" s="6">
        <v>123</v>
      </c>
      <c r="AH804" s="17">
        <v>802</v>
      </c>
      <c r="AI804" s="6">
        <v>6.1074000000000002</v>
      </c>
      <c r="AJ804" s="19">
        <v>-4.1315</v>
      </c>
      <c r="AK804" s="6">
        <v>3.0853999999999999</v>
      </c>
      <c r="AL804" s="6">
        <v>123</v>
      </c>
      <c r="AO804" s="17">
        <v>802</v>
      </c>
      <c r="AP804" s="6">
        <v>1.14446</v>
      </c>
      <c r="AQ804" s="19">
        <v>-2.6698</v>
      </c>
      <c r="AR804" s="6">
        <v>0.57820000000000005</v>
      </c>
      <c r="AS804" s="6">
        <v>123</v>
      </c>
      <c r="AU804" s="17">
        <v>802</v>
      </c>
      <c r="AV804" s="6">
        <v>0.60177999999999998</v>
      </c>
      <c r="AW804" s="19">
        <v>-2.6698</v>
      </c>
      <c r="AX804" s="6">
        <v>0.57820000000000005</v>
      </c>
      <c r="AY804" s="6">
        <v>123</v>
      </c>
    </row>
    <row r="805" spans="28:51" x14ac:dyDescent="0.25">
      <c r="AB805" s="17">
        <v>803</v>
      </c>
      <c r="AC805" s="6">
        <v>3.2044700000000002</v>
      </c>
      <c r="AD805" s="19">
        <v>-2.2826</v>
      </c>
      <c r="AE805" s="6">
        <v>3.0788000000000002</v>
      </c>
      <c r="AF805" s="6">
        <v>123</v>
      </c>
      <c r="AH805" s="17">
        <v>803</v>
      </c>
      <c r="AI805" s="6">
        <v>6.0942999999999996</v>
      </c>
      <c r="AJ805" s="19">
        <v>-2.2826</v>
      </c>
      <c r="AK805" s="6">
        <v>3.0788000000000002</v>
      </c>
      <c r="AL805" s="6">
        <v>123</v>
      </c>
      <c r="AO805" s="17">
        <v>803</v>
      </c>
      <c r="AP805" s="6">
        <v>1.13971</v>
      </c>
      <c r="AQ805" s="19">
        <v>-3.1295000000000002</v>
      </c>
      <c r="AR805" s="6">
        <v>0.57579999999999998</v>
      </c>
      <c r="AS805" s="6">
        <v>123</v>
      </c>
      <c r="AU805" s="17">
        <v>803</v>
      </c>
      <c r="AV805" s="6">
        <v>0.59928000000000003</v>
      </c>
      <c r="AW805" s="19">
        <v>-3.1295000000000002</v>
      </c>
      <c r="AX805" s="6">
        <v>0.57579999999999998</v>
      </c>
      <c r="AY805" s="6">
        <v>123</v>
      </c>
    </row>
    <row r="806" spans="28:51" x14ac:dyDescent="0.25">
      <c r="AB806" s="17">
        <v>804</v>
      </c>
      <c r="AC806" s="6">
        <v>3.2506900000000001</v>
      </c>
      <c r="AD806" s="6">
        <v>4.67</v>
      </c>
      <c r="AE806" s="6">
        <v>3.1232000000000002</v>
      </c>
      <c r="AF806" s="6">
        <v>123</v>
      </c>
      <c r="AH806" s="17">
        <v>804</v>
      </c>
      <c r="AI806" s="6">
        <v>6.1821999999999999</v>
      </c>
      <c r="AJ806" s="6">
        <v>4.67</v>
      </c>
      <c r="AK806" s="6">
        <v>3.1232000000000002</v>
      </c>
      <c r="AL806" s="6">
        <v>123</v>
      </c>
      <c r="AO806" s="17">
        <v>804</v>
      </c>
      <c r="AP806" s="6">
        <v>1.1664000000000001</v>
      </c>
      <c r="AQ806" s="19">
        <v>-0.82430000000000003</v>
      </c>
      <c r="AR806" s="6">
        <v>0.58930000000000005</v>
      </c>
      <c r="AS806" s="6">
        <v>123</v>
      </c>
      <c r="AU806" s="17">
        <v>804</v>
      </c>
      <c r="AV806" s="6">
        <v>0.61331000000000002</v>
      </c>
      <c r="AW806" s="19">
        <v>-0.82430000000000003</v>
      </c>
      <c r="AX806" s="6">
        <v>0.58930000000000005</v>
      </c>
      <c r="AY806" s="6">
        <v>123</v>
      </c>
    </row>
    <row r="807" spans="28:51" x14ac:dyDescent="0.25">
      <c r="AB807" s="17">
        <v>805</v>
      </c>
      <c r="AC807" s="6">
        <v>3.2281499999999999</v>
      </c>
      <c r="AD807" s="19">
        <v>-1.6577</v>
      </c>
      <c r="AE807" s="6">
        <v>3.1015000000000001</v>
      </c>
      <c r="AF807" s="6">
        <v>123</v>
      </c>
      <c r="AH807" s="17">
        <v>805</v>
      </c>
      <c r="AI807" s="6">
        <v>6.1393000000000004</v>
      </c>
      <c r="AJ807" s="19">
        <v>-1.6577</v>
      </c>
      <c r="AK807" s="6">
        <v>3.1015000000000001</v>
      </c>
      <c r="AL807" s="6">
        <v>123</v>
      </c>
      <c r="AO807" s="17">
        <v>805</v>
      </c>
      <c r="AP807" s="6">
        <v>1.15246</v>
      </c>
      <c r="AQ807" s="19">
        <v>-3.1867000000000001</v>
      </c>
      <c r="AR807" s="6">
        <v>0.58220000000000005</v>
      </c>
      <c r="AS807" s="6">
        <v>123</v>
      </c>
      <c r="AU807" s="17">
        <v>805</v>
      </c>
      <c r="AV807" s="6">
        <v>0.60597999999999996</v>
      </c>
      <c r="AW807" s="19">
        <v>-3.1867000000000001</v>
      </c>
      <c r="AX807" s="6">
        <v>0.58220000000000005</v>
      </c>
      <c r="AY807" s="6">
        <v>123</v>
      </c>
    </row>
    <row r="808" spans="28:51" x14ac:dyDescent="0.25">
      <c r="AB808" s="17">
        <v>806</v>
      </c>
      <c r="AC808" s="6">
        <v>3.2195900000000002</v>
      </c>
      <c r="AD808" s="6">
        <v>9.1319999999999997</v>
      </c>
      <c r="AE808" s="6">
        <v>3.0933000000000002</v>
      </c>
      <c r="AF808" s="6">
        <v>123</v>
      </c>
      <c r="AH808" s="17">
        <v>806</v>
      </c>
      <c r="AI808" s="6">
        <v>6.1230000000000002</v>
      </c>
      <c r="AJ808" s="6">
        <v>9.1319999999999997</v>
      </c>
      <c r="AK808" s="6">
        <v>3.0933000000000002</v>
      </c>
      <c r="AL808" s="6">
        <v>123</v>
      </c>
      <c r="AO808" s="17">
        <v>806</v>
      </c>
      <c r="AP808" s="6">
        <v>1.1493</v>
      </c>
      <c r="AQ808" s="19">
        <v>-0.50980000000000003</v>
      </c>
      <c r="AR808" s="6">
        <v>0.5806</v>
      </c>
      <c r="AS808" s="6">
        <v>123</v>
      </c>
      <c r="AU808" s="17">
        <v>806</v>
      </c>
      <c r="AV808" s="6">
        <v>0.60431999999999997</v>
      </c>
      <c r="AW808" s="19">
        <v>-0.50980000000000003</v>
      </c>
      <c r="AX808" s="6">
        <v>0.5806</v>
      </c>
      <c r="AY808" s="6">
        <v>123</v>
      </c>
    </row>
    <row r="809" spans="28:51" x14ac:dyDescent="0.25">
      <c r="AB809" s="17">
        <v>807</v>
      </c>
      <c r="AC809" s="6">
        <v>3.2008700000000001</v>
      </c>
      <c r="AD809" s="6">
        <v>6.9050000000000002</v>
      </c>
      <c r="AE809" s="6">
        <v>3.0752999999999999</v>
      </c>
      <c r="AF809" s="6">
        <v>123</v>
      </c>
      <c r="AH809" s="17">
        <v>807</v>
      </c>
      <c r="AI809" s="6">
        <v>6.0873999999999997</v>
      </c>
      <c r="AJ809" s="6">
        <v>6.9050000000000002</v>
      </c>
      <c r="AK809" s="6">
        <v>3.0752999999999999</v>
      </c>
      <c r="AL809" s="6">
        <v>123</v>
      </c>
      <c r="AO809" s="17">
        <v>807</v>
      </c>
      <c r="AP809" s="6">
        <v>1.14391</v>
      </c>
      <c r="AQ809" s="19">
        <v>-0.7127</v>
      </c>
      <c r="AR809" s="6">
        <v>0.57789999999999997</v>
      </c>
      <c r="AS809" s="6">
        <v>123</v>
      </c>
      <c r="AU809" s="17">
        <v>807</v>
      </c>
      <c r="AV809" s="6">
        <v>0.60148999999999997</v>
      </c>
      <c r="AW809" s="19">
        <v>-0.7127</v>
      </c>
      <c r="AX809" s="6">
        <v>0.57789999999999997</v>
      </c>
      <c r="AY809" s="6">
        <v>123</v>
      </c>
    </row>
    <row r="810" spans="28:51" x14ac:dyDescent="0.25">
      <c r="AB810" s="17">
        <v>808</v>
      </c>
      <c r="AC810" s="6">
        <v>3.20336</v>
      </c>
      <c r="AD810" s="19">
        <v>-2.0453000000000001</v>
      </c>
      <c r="AE810" s="6">
        <v>3.0777000000000001</v>
      </c>
      <c r="AF810" s="6">
        <v>123</v>
      </c>
      <c r="AH810" s="17">
        <v>808</v>
      </c>
      <c r="AI810" s="6">
        <v>6.0922000000000001</v>
      </c>
      <c r="AJ810" s="19">
        <v>-2.0453000000000001</v>
      </c>
      <c r="AK810" s="6">
        <v>3.0777000000000001</v>
      </c>
      <c r="AL810" s="6">
        <v>123</v>
      </c>
      <c r="AO810" s="17">
        <v>808</v>
      </c>
      <c r="AP810" s="6">
        <v>1.13741</v>
      </c>
      <c r="AQ810" s="19">
        <v>-2.0569000000000002</v>
      </c>
      <c r="AR810" s="6">
        <v>0.5746</v>
      </c>
      <c r="AS810" s="6">
        <v>123</v>
      </c>
      <c r="AU810" s="17">
        <v>808</v>
      </c>
      <c r="AV810" s="6">
        <v>0.59806999999999999</v>
      </c>
      <c r="AW810" s="19">
        <v>-2.0569000000000002</v>
      </c>
      <c r="AX810" s="6">
        <v>0.5746</v>
      </c>
      <c r="AY810" s="6">
        <v>123</v>
      </c>
    </row>
    <row r="811" spans="28:51" x14ac:dyDescent="0.25">
      <c r="AB811" s="17">
        <v>809</v>
      </c>
      <c r="AC811" s="6">
        <v>3.2013699999999998</v>
      </c>
      <c r="AD811" s="6">
        <v>0.42209999999999998</v>
      </c>
      <c r="AE811" s="6">
        <v>3.0758000000000001</v>
      </c>
      <c r="AF811" s="6">
        <v>123</v>
      </c>
      <c r="AH811" s="17">
        <v>809</v>
      </c>
      <c r="AI811" s="6">
        <v>6.0884</v>
      </c>
      <c r="AJ811" s="6">
        <v>0.42209999999999998</v>
      </c>
      <c r="AK811" s="6">
        <v>3.0758000000000001</v>
      </c>
      <c r="AL811" s="6">
        <v>123</v>
      </c>
      <c r="AO811" s="17">
        <v>809</v>
      </c>
      <c r="AP811" s="6">
        <v>1.1416900000000001</v>
      </c>
      <c r="AQ811" s="19">
        <v>-1.8463000000000001</v>
      </c>
      <c r="AR811" s="6">
        <v>0.57679999999999998</v>
      </c>
      <c r="AS811" s="6">
        <v>123</v>
      </c>
      <c r="AU811" s="17">
        <v>809</v>
      </c>
      <c r="AV811" s="6">
        <v>0.60031999999999996</v>
      </c>
      <c r="AW811" s="19">
        <v>-1.8463000000000001</v>
      </c>
      <c r="AX811" s="6">
        <v>0.57679999999999998</v>
      </c>
      <c r="AY811" s="6">
        <v>123</v>
      </c>
    </row>
    <row r="812" spans="28:51" x14ac:dyDescent="0.25">
      <c r="AB812" s="17">
        <v>810</v>
      </c>
      <c r="AC812" s="6">
        <v>5.11165</v>
      </c>
      <c r="AD812" s="6">
        <v>9.3777000000000008</v>
      </c>
      <c r="AE812" s="6">
        <v>4.9112</v>
      </c>
      <c r="AF812" s="6">
        <v>123</v>
      </c>
      <c r="AH812" s="17">
        <v>810</v>
      </c>
      <c r="AI812" s="6">
        <v>9.7213999999999992</v>
      </c>
      <c r="AJ812" s="6">
        <v>9.3777000000000008</v>
      </c>
      <c r="AK812" s="6">
        <v>4.9112</v>
      </c>
      <c r="AL812" s="6">
        <v>123</v>
      </c>
      <c r="AO812" s="17">
        <v>810</v>
      </c>
      <c r="AP812" s="6">
        <v>1.8113699999999999</v>
      </c>
      <c r="AQ812" s="19">
        <v>-1.329</v>
      </c>
      <c r="AR812" s="6">
        <v>0.91510000000000002</v>
      </c>
      <c r="AS812" s="6">
        <v>123</v>
      </c>
      <c r="AU812" s="17">
        <v>810</v>
      </c>
      <c r="AV812" s="6">
        <v>0.95245000000000002</v>
      </c>
      <c r="AW812" s="19">
        <v>-1.329</v>
      </c>
      <c r="AX812" s="6">
        <v>0.91510000000000002</v>
      </c>
      <c r="AY812" s="6">
        <v>123</v>
      </c>
    </row>
    <row r="813" spans="28:51" x14ac:dyDescent="0.25">
      <c r="AB813" s="17">
        <v>811</v>
      </c>
      <c r="AC813" s="6">
        <v>3.2037</v>
      </c>
      <c r="AD813" s="6">
        <v>5.2187999999999999</v>
      </c>
      <c r="AE813" s="6">
        <v>3.0781000000000001</v>
      </c>
      <c r="AF813" s="6">
        <v>123</v>
      </c>
      <c r="AH813" s="17">
        <v>811</v>
      </c>
      <c r="AI813" s="6">
        <v>6.0928000000000004</v>
      </c>
      <c r="AJ813" s="6">
        <v>5.2187999999999999</v>
      </c>
      <c r="AK813" s="6">
        <v>3.0781000000000001</v>
      </c>
      <c r="AL813" s="6">
        <v>123</v>
      </c>
      <c r="AO813" s="17">
        <v>811</v>
      </c>
      <c r="AP813" s="6">
        <v>1.1436599999999999</v>
      </c>
      <c r="AQ813" s="6">
        <v>4.6899999999999997E-2</v>
      </c>
      <c r="AR813" s="6">
        <v>0.57779999999999998</v>
      </c>
      <c r="AS813" s="6">
        <v>123</v>
      </c>
      <c r="AU813" s="17">
        <v>811</v>
      </c>
      <c r="AV813" s="6">
        <v>0.60136000000000001</v>
      </c>
      <c r="AW813" s="6">
        <v>4.6899999999999997E-2</v>
      </c>
      <c r="AX813" s="6">
        <v>0.57779999999999998</v>
      </c>
      <c r="AY813" s="6">
        <v>123</v>
      </c>
    </row>
    <row r="814" spans="28:51" x14ac:dyDescent="0.25">
      <c r="AB814" s="17">
        <v>812</v>
      </c>
      <c r="AC814" s="6">
        <v>3.2108400000000001</v>
      </c>
      <c r="AD814" s="6">
        <v>2.3677999999999999</v>
      </c>
      <c r="AE814" s="6">
        <v>3.0849000000000002</v>
      </c>
      <c r="AF814" s="6">
        <v>123</v>
      </c>
      <c r="AH814" s="17">
        <v>812</v>
      </c>
      <c r="AI814" s="6">
        <v>6.1063999999999998</v>
      </c>
      <c r="AJ814" s="6">
        <v>2.3677999999999999</v>
      </c>
      <c r="AK814" s="6">
        <v>3.0849000000000002</v>
      </c>
      <c r="AL814" s="6">
        <v>123</v>
      </c>
      <c r="AO814" s="17">
        <v>812</v>
      </c>
      <c r="AP814" s="6">
        <v>1.14141</v>
      </c>
      <c r="AQ814" s="6">
        <v>0.31109999999999999</v>
      </c>
      <c r="AR814" s="6">
        <v>0.5766</v>
      </c>
      <c r="AS814" s="6">
        <v>123</v>
      </c>
      <c r="AU814" s="17">
        <v>812</v>
      </c>
      <c r="AV814" s="6">
        <v>0.60016999999999998</v>
      </c>
      <c r="AW814" s="6">
        <v>0.31109999999999999</v>
      </c>
      <c r="AX814" s="6">
        <v>0.5766</v>
      </c>
      <c r="AY814" s="6">
        <v>123</v>
      </c>
    </row>
    <row r="815" spans="28:51" x14ac:dyDescent="0.25">
      <c r="AB815" s="17">
        <v>813</v>
      </c>
      <c r="AC815" s="6">
        <v>3.2126600000000001</v>
      </c>
      <c r="AD815" s="19">
        <v>-9.3317999999999994</v>
      </c>
      <c r="AE815" s="6">
        <v>3.0867</v>
      </c>
      <c r="AF815" s="6">
        <v>123</v>
      </c>
      <c r="AH815" s="17">
        <v>813</v>
      </c>
      <c r="AI815" s="6">
        <v>6.1098999999999997</v>
      </c>
      <c r="AJ815" s="19">
        <v>-9.3317999999999994</v>
      </c>
      <c r="AK815" s="6">
        <v>3.0867</v>
      </c>
      <c r="AL815" s="6">
        <v>123</v>
      </c>
      <c r="AO815" s="17">
        <v>813</v>
      </c>
      <c r="AP815" s="6">
        <v>1.1374200000000001</v>
      </c>
      <c r="AQ815" s="19">
        <v>-1.8146</v>
      </c>
      <c r="AR815" s="6">
        <v>0.5746</v>
      </c>
      <c r="AS815" s="6">
        <v>123</v>
      </c>
      <c r="AU815" s="17">
        <v>813</v>
      </c>
      <c r="AV815" s="6">
        <v>0.59807999999999995</v>
      </c>
      <c r="AW815" s="19">
        <v>-1.8146</v>
      </c>
      <c r="AX815" s="6">
        <v>0.5746</v>
      </c>
      <c r="AY815" s="6">
        <v>123</v>
      </c>
    </row>
    <row r="816" spans="28:51" x14ac:dyDescent="0.25">
      <c r="AB816" s="17">
        <v>814</v>
      </c>
      <c r="AC816" s="6">
        <v>3.2124100000000002</v>
      </c>
      <c r="AD816" s="19">
        <v>-5.0720000000000001</v>
      </c>
      <c r="AE816" s="6">
        <v>3.0863999999999998</v>
      </c>
      <c r="AF816" s="6">
        <v>123</v>
      </c>
      <c r="AH816" s="17">
        <v>814</v>
      </c>
      <c r="AI816" s="6">
        <v>6.1093999999999999</v>
      </c>
      <c r="AJ816" s="19">
        <v>-5.0720000000000001</v>
      </c>
      <c r="AK816" s="6">
        <v>3.0863999999999998</v>
      </c>
      <c r="AL816" s="6">
        <v>123</v>
      </c>
      <c r="AO816" s="17">
        <v>814</v>
      </c>
      <c r="AP816" s="6">
        <v>1.1466000000000001</v>
      </c>
      <c r="AQ816" s="19">
        <v>-0.37590000000000001</v>
      </c>
      <c r="AR816" s="6">
        <v>0.57930000000000004</v>
      </c>
      <c r="AS816" s="6">
        <v>123</v>
      </c>
      <c r="AU816" s="17">
        <v>814</v>
      </c>
      <c r="AV816" s="6">
        <v>0.60289999999999999</v>
      </c>
      <c r="AW816" s="19">
        <v>-0.37590000000000001</v>
      </c>
      <c r="AX816" s="6">
        <v>0.57930000000000004</v>
      </c>
      <c r="AY816" s="6">
        <v>123</v>
      </c>
    </row>
    <row r="817" spans="28:51" x14ac:dyDescent="0.25">
      <c r="AB817" s="17">
        <v>815</v>
      </c>
      <c r="AC817" s="6">
        <v>3.2235999999999998</v>
      </c>
      <c r="AD817" s="19">
        <v>-3.9725999999999999</v>
      </c>
      <c r="AE817" s="6">
        <v>3.0972</v>
      </c>
      <c r="AF817" s="6">
        <v>123</v>
      </c>
      <c r="AH817" s="17">
        <v>815</v>
      </c>
      <c r="AI817" s="6">
        <v>6.1306000000000003</v>
      </c>
      <c r="AJ817" s="19">
        <v>-3.9725999999999999</v>
      </c>
      <c r="AK817" s="6">
        <v>3.0972</v>
      </c>
      <c r="AL817" s="6">
        <v>123</v>
      </c>
      <c r="AO817" s="17">
        <v>815</v>
      </c>
      <c r="AP817" s="6">
        <v>1.14662</v>
      </c>
      <c r="AQ817" s="6">
        <v>0.29389999999999999</v>
      </c>
      <c r="AR817" s="6">
        <v>0.57930000000000004</v>
      </c>
      <c r="AS817" s="6">
        <v>123</v>
      </c>
      <c r="AU817" s="17">
        <v>815</v>
      </c>
      <c r="AV817" s="6">
        <v>0.60290999999999995</v>
      </c>
      <c r="AW817" s="6">
        <v>0.29389999999999999</v>
      </c>
      <c r="AX817" s="6">
        <v>0.57930000000000004</v>
      </c>
      <c r="AY817" s="6">
        <v>123</v>
      </c>
    </row>
    <row r="818" spans="28:51" x14ac:dyDescent="0.25">
      <c r="AB818" s="17">
        <v>816</v>
      </c>
      <c r="AC818" s="6">
        <v>3.22261</v>
      </c>
      <c r="AD818" s="19">
        <v>-8.1203000000000003</v>
      </c>
      <c r="AE818" s="6">
        <v>3.0962000000000001</v>
      </c>
      <c r="AF818" s="6">
        <v>123</v>
      </c>
      <c r="AH818" s="17">
        <v>816</v>
      </c>
      <c r="AI818" s="6">
        <v>6.1288</v>
      </c>
      <c r="AJ818" s="19">
        <v>-8.1203000000000003</v>
      </c>
      <c r="AK818" s="6">
        <v>3.0962000000000001</v>
      </c>
      <c r="AL818" s="6">
        <v>123</v>
      </c>
      <c r="AO818" s="17">
        <v>816</v>
      </c>
      <c r="AP818" s="6">
        <v>1.15368</v>
      </c>
      <c r="AQ818" s="19">
        <v>-0.64759999999999995</v>
      </c>
      <c r="AR818" s="6">
        <v>0.58279999999999998</v>
      </c>
      <c r="AS818" s="6">
        <v>123</v>
      </c>
      <c r="AU818" s="17">
        <v>816</v>
      </c>
      <c r="AV818" s="6">
        <v>0.60662000000000005</v>
      </c>
      <c r="AW818" s="19">
        <v>-0.64759999999999995</v>
      </c>
      <c r="AX818" s="6">
        <v>0.58279999999999998</v>
      </c>
      <c r="AY818" s="6">
        <v>123</v>
      </c>
    </row>
    <row r="819" spans="28:51" x14ac:dyDescent="0.25">
      <c r="AB819" s="17">
        <v>817</v>
      </c>
      <c r="AC819" s="6">
        <v>3.20479</v>
      </c>
      <c r="AD819" s="6">
        <v>0.92520000000000002</v>
      </c>
      <c r="AE819" s="6">
        <v>3.0790999999999999</v>
      </c>
      <c r="AF819" s="6">
        <v>123</v>
      </c>
      <c r="AH819" s="17">
        <v>817</v>
      </c>
      <c r="AI819" s="6">
        <v>6.0949</v>
      </c>
      <c r="AJ819" s="6">
        <v>0.92520000000000002</v>
      </c>
      <c r="AK819" s="6">
        <v>3.0790999999999999</v>
      </c>
      <c r="AL819" s="6">
        <v>123</v>
      </c>
      <c r="AO819" s="17">
        <v>817</v>
      </c>
      <c r="AP819" s="6">
        <v>1.1424700000000001</v>
      </c>
      <c r="AQ819" s="19">
        <v>-1.1998</v>
      </c>
      <c r="AR819" s="6">
        <v>0.57720000000000005</v>
      </c>
      <c r="AS819" s="6">
        <v>123</v>
      </c>
      <c r="AU819" s="17">
        <v>817</v>
      </c>
      <c r="AV819" s="6">
        <v>0.60072999999999999</v>
      </c>
      <c r="AW819" s="19">
        <v>-1.1998</v>
      </c>
      <c r="AX819" s="6">
        <v>0.57720000000000005</v>
      </c>
      <c r="AY819" s="6">
        <v>123</v>
      </c>
    </row>
    <row r="820" spans="28:51" x14ac:dyDescent="0.25">
      <c r="AB820" s="17">
        <v>818</v>
      </c>
      <c r="AC820" s="6">
        <v>3.2097799999999999</v>
      </c>
      <c r="AD820" s="19">
        <v>-5.2972999999999999</v>
      </c>
      <c r="AE820" s="6">
        <v>3.0838999999999999</v>
      </c>
      <c r="AF820" s="6">
        <v>123</v>
      </c>
      <c r="AH820" s="17">
        <v>818</v>
      </c>
      <c r="AI820" s="6">
        <v>6.1044</v>
      </c>
      <c r="AJ820" s="19">
        <v>-5.2972999999999999</v>
      </c>
      <c r="AK820" s="6">
        <v>3.0838999999999999</v>
      </c>
      <c r="AL820" s="6">
        <v>123</v>
      </c>
      <c r="AO820" s="17">
        <v>818</v>
      </c>
      <c r="AP820" s="6">
        <v>1.1451800000000001</v>
      </c>
      <c r="AQ820" s="19">
        <v>-1.1444000000000001</v>
      </c>
      <c r="AR820" s="6">
        <v>0.57850000000000001</v>
      </c>
      <c r="AS820" s="6">
        <v>123</v>
      </c>
      <c r="AU820" s="17">
        <v>818</v>
      </c>
      <c r="AV820" s="6">
        <v>0.60214999999999996</v>
      </c>
      <c r="AW820" s="19">
        <v>-1.1444000000000001</v>
      </c>
      <c r="AX820" s="6">
        <v>0.57850000000000001</v>
      </c>
      <c r="AY820" s="6">
        <v>123</v>
      </c>
    </row>
    <row r="821" spans="28:51" x14ac:dyDescent="0.25">
      <c r="AB821" s="17">
        <v>819</v>
      </c>
      <c r="AC821" s="6">
        <v>3.20235</v>
      </c>
      <c r="AD821" s="19">
        <v>-3.4483999999999999</v>
      </c>
      <c r="AE821" s="6">
        <v>3.0767000000000002</v>
      </c>
      <c r="AF821" s="6">
        <v>123</v>
      </c>
      <c r="AH821" s="17">
        <v>819</v>
      </c>
      <c r="AI821" s="6">
        <v>6.0902000000000003</v>
      </c>
      <c r="AJ821" s="19">
        <v>-3.4483999999999999</v>
      </c>
      <c r="AK821" s="6">
        <v>3.0767000000000002</v>
      </c>
      <c r="AL821" s="6">
        <v>123</v>
      </c>
      <c r="AO821" s="17">
        <v>819</v>
      </c>
      <c r="AP821" s="6">
        <v>1.14412</v>
      </c>
      <c r="AQ821" s="19">
        <v>-1.6042000000000001</v>
      </c>
      <c r="AR821" s="6">
        <v>0.57799999999999996</v>
      </c>
      <c r="AS821" s="6">
        <v>123</v>
      </c>
      <c r="AU821" s="17">
        <v>819</v>
      </c>
      <c r="AV821" s="6">
        <v>0.60160000000000002</v>
      </c>
      <c r="AW821" s="19">
        <v>-1.6042000000000001</v>
      </c>
      <c r="AX821" s="6">
        <v>0.57799999999999996</v>
      </c>
      <c r="AY821" s="6">
        <v>123</v>
      </c>
    </row>
    <row r="822" spans="28:51" x14ac:dyDescent="0.25">
      <c r="AB822" s="17">
        <v>820</v>
      </c>
      <c r="AC822" s="6">
        <v>3.2430300000000001</v>
      </c>
      <c r="AD822" s="6">
        <v>3.5042</v>
      </c>
      <c r="AE822" s="6">
        <v>3.1158000000000001</v>
      </c>
      <c r="AF822" s="6">
        <v>123</v>
      </c>
      <c r="AH822" s="17">
        <v>820</v>
      </c>
      <c r="AI822" s="6">
        <v>6.1676000000000002</v>
      </c>
      <c r="AJ822" s="6">
        <v>3.5042</v>
      </c>
      <c r="AK822" s="6">
        <v>3.1158000000000001</v>
      </c>
      <c r="AL822" s="6">
        <v>123</v>
      </c>
      <c r="AO822" s="17">
        <v>820</v>
      </c>
      <c r="AP822" s="6">
        <v>1.16218</v>
      </c>
      <c r="AQ822" s="6">
        <v>0.70099999999999996</v>
      </c>
      <c r="AR822" s="6">
        <v>0.58709999999999996</v>
      </c>
      <c r="AS822" s="6">
        <v>123</v>
      </c>
      <c r="AU822" s="17">
        <v>820</v>
      </c>
      <c r="AV822" s="6">
        <v>0.61109999999999998</v>
      </c>
      <c r="AW822" s="6">
        <v>0.70099999999999996</v>
      </c>
      <c r="AX822" s="6">
        <v>0.58709999999999996</v>
      </c>
      <c r="AY822" s="6">
        <v>123</v>
      </c>
    </row>
    <row r="823" spans="28:51" x14ac:dyDescent="0.25">
      <c r="AB823" s="17">
        <v>821</v>
      </c>
      <c r="AC823" s="6">
        <v>3.2353900000000002</v>
      </c>
      <c r="AD823" s="19">
        <v>-2.8235999999999999</v>
      </c>
      <c r="AE823" s="6">
        <v>3.1084999999999998</v>
      </c>
      <c r="AF823" s="6">
        <v>123</v>
      </c>
      <c r="AH823" s="17">
        <v>821</v>
      </c>
      <c r="AI823" s="6">
        <v>6.1531000000000002</v>
      </c>
      <c r="AJ823" s="19">
        <v>-2.8235999999999999</v>
      </c>
      <c r="AK823" s="6">
        <v>3.1084999999999998</v>
      </c>
      <c r="AL823" s="6">
        <v>123</v>
      </c>
      <c r="AO823" s="17">
        <v>821</v>
      </c>
      <c r="AP823" s="6">
        <v>1.15432</v>
      </c>
      <c r="AQ823" s="19">
        <v>-1.6613</v>
      </c>
      <c r="AR823" s="6">
        <v>0.58320000000000005</v>
      </c>
      <c r="AS823" s="6">
        <v>123</v>
      </c>
      <c r="AU823" s="17">
        <v>821</v>
      </c>
      <c r="AV823" s="6">
        <v>0.60696000000000006</v>
      </c>
      <c r="AW823" s="19">
        <v>-1.6613</v>
      </c>
      <c r="AX823" s="6">
        <v>0.58320000000000005</v>
      </c>
      <c r="AY823" s="6">
        <v>123</v>
      </c>
    </row>
    <row r="824" spans="28:51" x14ac:dyDescent="0.25">
      <c r="AB824" s="17">
        <v>822</v>
      </c>
      <c r="AC824" s="6">
        <v>3.2246999999999999</v>
      </c>
      <c r="AD824" s="6">
        <v>7.9661999999999997</v>
      </c>
      <c r="AE824" s="6">
        <v>3.0981999999999998</v>
      </c>
      <c r="AF824" s="6">
        <v>123</v>
      </c>
      <c r="AH824" s="17">
        <v>822</v>
      </c>
      <c r="AI824" s="6">
        <v>6.1326999999999998</v>
      </c>
      <c r="AJ824" s="6">
        <v>7.9661999999999997</v>
      </c>
      <c r="AK824" s="6">
        <v>3.0981999999999998</v>
      </c>
      <c r="AL824" s="6">
        <v>123</v>
      </c>
      <c r="AO824" s="17">
        <v>822</v>
      </c>
      <c r="AP824" s="6">
        <v>1.1460900000000001</v>
      </c>
      <c r="AQ824" s="6">
        <v>1.0156000000000001</v>
      </c>
      <c r="AR824" s="6">
        <v>0.57899999999999996</v>
      </c>
      <c r="AS824" s="6">
        <v>123</v>
      </c>
      <c r="AU824" s="17">
        <v>822</v>
      </c>
      <c r="AV824" s="6">
        <v>0.60263</v>
      </c>
      <c r="AW824" s="6">
        <v>1.0156000000000001</v>
      </c>
      <c r="AX824" s="6">
        <v>0.57899999999999996</v>
      </c>
      <c r="AY824" s="6">
        <v>123</v>
      </c>
    </row>
    <row r="825" spans="28:51" x14ac:dyDescent="0.25">
      <c r="AB825" s="17">
        <v>823</v>
      </c>
      <c r="AC825" s="6">
        <v>3.20384</v>
      </c>
      <c r="AD825" s="6">
        <v>5.7390999999999996</v>
      </c>
      <c r="AE825" s="6">
        <v>3.0781999999999998</v>
      </c>
      <c r="AF825" s="6">
        <v>123</v>
      </c>
      <c r="AH825" s="17">
        <v>823</v>
      </c>
      <c r="AI825" s="6">
        <v>6.0930999999999997</v>
      </c>
      <c r="AJ825" s="6">
        <v>5.7390999999999996</v>
      </c>
      <c r="AK825" s="6">
        <v>3.0781999999999998</v>
      </c>
      <c r="AL825" s="6">
        <v>123</v>
      </c>
      <c r="AO825" s="17">
        <v>823</v>
      </c>
      <c r="AP825" s="6">
        <v>1.1427499999999999</v>
      </c>
      <c r="AQ825" s="6">
        <v>0.81269999999999998</v>
      </c>
      <c r="AR825" s="6">
        <v>0.57730000000000004</v>
      </c>
      <c r="AS825" s="6">
        <v>123</v>
      </c>
      <c r="AU825" s="17">
        <v>823</v>
      </c>
      <c r="AV825" s="6">
        <v>0.60087999999999997</v>
      </c>
      <c r="AW825" s="6">
        <v>0.81269999999999998</v>
      </c>
      <c r="AX825" s="6">
        <v>0.57730000000000004</v>
      </c>
      <c r="AY825" s="6">
        <v>123</v>
      </c>
    </row>
    <row r="826" spans="28:51" x14ac:dyDescent="0.25">
      <c r="AB826" s="17">
        <v>824</v>
      </c>
      <c r="AC826" s="6">
        <v>3.2181899999999999</v>
      </c>
      <c r="AD826" s="19">
        <v>-3.2111000000000001</v>
      </c>
      <c r="AE826" s="6">
        <v>3.0920000000000001</v>
      </c>
      <c r="AF826" s="6">
        <v>123</v>
      </c>
      <c r="AH826" s="17">
        <v>824</v>
      </c>
      <c r="AI826" s="6">
        <v>6.1204000000000001</v>
      </c>
      <c r="AJ826" s="19">
        <v>-3.2111000000000001</v>
      </c>
      <c r="AK826" s="6">
        <v>3.0920000000000001</v>
      </c>
      <c r="AL826" s="6">
        <v>123</v>
      </c>
      <c r="AO826" s="17">
        <v>824</v>
      </c>
      <c r="AP826" s="6">
        <v>1.1507499999999999</v>
      </c>
      <c r="AQ826" s="19">
        <v>-0.53159999999999996</v>
      </c>
      <c r="AR826" s="6">
        <v>0.58130000000000004</v>
      </c>
      <c r="AS826" s="6">
        <v>123</v>
      </c>
      <c r="AU826" s="17">
        <v>824</v>
      </c>
      <c r="AV826" s="6">
        <v>0.60507999999999995</v>
      </c>
      <c r="AW826" s="19">
        <v>-0.53159999999999996</v>
      </c>
      <c r="AX826" s="6">
        <v>0.58130000000000004</v>
      </c>
      <c r="AY826" s="6">
        <v>123</v>
      </c>
    </row>
    <row r="827" spans="28:51" x14ac:dyDescent="0.25">
      <c r="AB827" s="17">
        <v>825</v>
      </c>
      <c r="AC827" s="6">
        <v>3.2113900000000002</v>
      </c>
      <c r="AD827" s="19">
        <v>-0.74380000000000002</v>
      </c>
      <c r="AE827" s="6">
        <v>3.0853999999999999</v>
      </c>
      <c r="AF827" s="6">
        <v>123</v>
      </c>
      <c r="AH827" s="17">
        <v>825</v>
      </c>
      <c r="AI827" s="6">
        <v>6.1074000000000002</v>
      </c>
      <c r="AJ827" s="19">
        <v>-0.74380000000000002</v>
      </c>
      <c r="AK827" s="6">
        <v>3.0853999999999999</v>
      </c>
      <c r="AL827" s="6">
        <v>123</v>
      </c>
      <c r="AO827" s="17">
        <v>825</v>
      </c>
      <c r="AP827" s="6">
        <v>1.1465700000000001</v>
      </c>
      <c r="AQ827" s="19">
        <v>-0.32090000000000002</v>
      </c>
      <c r="AR827" s="6">
        <v>0.57920000000000005</v>
      </c>
      <c r="AS827" s="6">
        <v>123</v>
      </c>
      <c r="AU827" s="17">
        <v>825</v>
      </c>
      <c r="AV827" s="6">
        <v>0.60287999999999997</v>
      </c>
      <c r="AW827" s="19">
        <v>-0.32090000000000002</v>
      </c>
      <c r="AX827" s="6">
        <v>0.57920000000000005</v>
      </c>
      <c r="AY827" s="6">
        <v>123</v>
      </c>
    </row>
    <row r="828" spans="28:51" x14ac:dyDescent="0.25">
      <c r="AB828" s="17">
        <v>826</v>
      </c>
      <c r="AC828" s="6">
        <v>5.1178600000000003</v>
      </c>
      <c r="AD828" s="6">
        <v>8.2118000000000002</v>
      </c>
      <c r="AE828" s="6">
        <v>4.9170999999999996</v>
      </c>
      <c r="AF828" s="6">
        <v>123</v>
      </c>
      <c r="AH828" s="17">
        <v>826</v>
      </c>
      <c r="AI828" s="6">
        <v>9.7332000000000001</v>
      </c>
      <c r="AJ828" s="6">
        <v>8.2118000000000002</v>
      </c>
      <c r="AK828" s="6">
        <v>4.9170999999999996</v>
      </c>
      <c r="AL828" s="6">
        <v>123</v>
      </c>
      <c r="AO828" s="17">
        <v>826</v>
      </c>
      <c r="AP828" s="6">
        <v>1.81592</v>
      </c>
      <c r="AQ828" s="6">
        <v>0.1963</v>
      </c>
      <c r="AR828" s="6">
        <v>0.91739999999999999</v>
      </c>
      <c r="AS828" s="6">
        <v>123</v>
      </c>
      <c r="AU828" s="17">
        <v>826</v>
      </c>
      <c r="AV828" s="6">
        <v>0.95484000000000002</v>
      </c>
      <c r="AW828" s="6">
        <v>0.1963</v>
      </c>
      <c r="AX828" s="6">
        <v>0.91739999999999999</v>
      </c>
      <c r="AY828" s="6">
        <v>123</v>
      </c>
    </row>
    <row r="829" spans="28:51" x14ac:dyDescent="0.25">
      <c r="AB829" s="17">
        <v>827</v>
      </c>
      <c r="AC829" s="6">
        <v>3.21028</v>
      </c>
      <c r="AD829" s="19">
        <v>-2.851</v>
      </c>
      <c r="AE829" s="6">
        <v>3.0844</v>
      </c>
      <c r="AF829" s="6">
        <v>123</v>
      </c>
      <c r="AH829" s="17">
        <v>827</v>
      </c>
      <c r="AI829" s="6">
        <v>6.1052999999999997</v>
      </c>
      <c r="AJ829" s="19">
        <v>-2.851</v>
      </c>
      <c r="AK829" s="6">
        <v>3.0844</v>
      </c>
      <c r="AL829" s="6">
        <v>123</v>
      </c>
      <c r="AO829" s="17">
        <v>827</v>
      </c>
      <c r="AP829" s="6">
        <v>1.1483000000000001</v>
      </c>
      <c r="AQ829" s="6">
        <v>0.26419999999999999</v>
      </c>
      <c r="AR829" s="6">
        <v>0.58009999999999995</v>
      </c>
      <c r="AS829" s="6">
        <v>123</v>
      </c>
      <c r="AU829" s="17">
        <v>827</v>
      </c>
      <c r="AV829" s="6">
        <v>0.60379000000000005</v>
      </c>
      <c r="AW829" s="6">
        <v>0.26419999999999999</v>
      </c>
      <c r="AX829" s="6">
        <v>0.58009999999999995</v>
      </c>
      <c r="AY829" s="6">
        <v>123</v>
      </c>
    </row>
    <row r="830" spans="28:51" x14ac:dyDescent="0.25">
      <c r="AB830" s="17">
        <v>828</v>
      </c>
      <c r="AC830" s="6">
        <v>3.2121400000000002</v>
      </c>
      <c r="AD830" s="19">
        <v>-14.550599999999999</v>
      </c>
      <c r="AE830" s="6">
        <v>3.0861999999999998</v>
      </c>
      <c r="AF830" s="6">
        <v>123</v>
      </c>
      <c r="AH830" s="17">
        <v>828</v>
      </c>
      <c r="AI830" s="6">
        <v>6.1089000000000002</v>
      </c>
      <c r="AJ830" s="19">
        <v>-14.550599999999999</v>
      </c>
      <c r="AK830" s="6">
        <v>3.0861999999999998</v>
      </c>
      <c r="AL830" s="6">
        <v>123</v>
      </c>
      <c r="AO830" s="17">
        <v>828</v>
      </c>
      <c r="AP830" s="6">
        <v>1.1458299999999999</v>
      </c>
      <c r="AQ830" s="19">
        <v>-1.8614999999999999</v>
      </c>
      <c r="AR830" s="6">
        <v>0.57889999999999997</v>
      </c>
      <c r="AS830" s="6">
        <v>123</v>
      </c>
      <c r="AU830" s="17">
        <v>828</v>
      </c>
      <c r="AV830" s="6">
        <v>0.60248999999999997</v>
      </c>
      <c r="AW830" s="19">
        <v>-1.8614999999999999</v>
      </c>
      <c r="AX830" s="6">
        <v>0.57889999999999997</v>
      </c>
      <c r="AY830" s="6">
        <v>123</v>
      </c>
    </row>
    <row r="831" spans="28:51" x14ac:dyDescent="0.25">
      <c r="AB831" s="17">
        <v>829</v>
      </c>
      <c r="AC831" s="6">
        <v>3.2012700000000001</v>
      </c>
      <c r="AD831" s="19">
        <v>-10.290800000000001</v>
      </c>
      <c r="AE831" s="6">
        <v>3.0756999999999999</v>
      </c>
      <c r="AF831" s="6">
        <v>123</v>
      </c>
      <c r="AH831" s="17">
        <v>829</v>
      </c>
      <c r="AI831" s="6">
        <v>6.0881999999999996</v>
      </c>
      <c r="AJ831" s="19">
        <v>-10.290800000000001</v>
      </c>
      <c r="AK831" s="6">
        <v>3.0756999999999999</v>
      </c>
      <c r="AL831" s="6">
        <v>123</v>
      </c>
      <c r="AO831" s="17">
        <v>829</v>
      </c>
      <c r="AP831" s="6">
        <v>1.1397900000000001</v>
      </c>
      <c r="AQ831" s="19">
        <v>-0.42280000000000001</v>
      </c>
      <c r="AR831" s="6">
        <v>0.57579999999999998</v>
      </c>
      <c r="AS831" s="6">
        <v>123</v>
      </c>
      <c r="AU831" s="17">
        <v>829</v>
      </c>
      <c r="AV831" s="6">
        <v>0.59931999999999996</v>
      </c>
      <c r="AW831" s="19">
        <v>-0.42280000000000001</v>
      </c>
      <c r="AX831" s="6">
        <v>0.57579999999999998</v>
      </c>
      <c r="AY831" s="6">
        <v>123</v>
      </c>
    </row>
    <row r="832" spans="28:51" x14ac:dyDescent="0.25">
      <c r="AB832" s="17">
        <v>830</v>
      </c>
      <c r="AC832" s="6">
        <v>3.2187000000000001</v>
      </c>
      <c r="AD832" s="19">
        <v>-9.1914999999999996</v>
      </c>
      <c r="AE832" s="6">
        <v>3.0924999999999998</v>
      </c>
      <c r="AF832" s="6">
        <v>123</v>
      </c>
      <c r="AH832" s="17">
        <v>830</v>
      </c>
      <c r="AI832" s="6">
        <v>6.1212999999999997</v>
      </c>
      <c r="AJ832" s="19">
        <v>-9.1914999999999996</v>
      </c>
      <c r="AK832" s="6">
        <v>3.0924999999999998</v>
      </c>
      <c r="AL832" s="6">
        <v>123</v>
      </c>
      <c r="AO832" s="17">
        <v>830</v>
      </c>
      <c r="AP832" s="6">
        <v>1.14479</v>
      </c>
      <c r="AQ832" s="6">
        <v>0.247</v>
      </c>
      <c r="AR832" s="6">
        <v>0.57830000000000004</v>
      </c>
      <c r="AS832" s="6">
        <v>123</v>
      </c>
      <c r="AU832" s="17">
        <v>830</v>
      </c>
      <c r="AV832" s="6">
        <v>0.60194999999999999</v>
      </c>
      <c r="AW832" s="6">
        <v>0.247</v>
      </c>
      <c r="AX832" s="6">
        <v>0.57830000000000004</v>
      </c>
      <c r="AY832" s="6">
        <v>123</v>
      </c>
    </row>
    <row r="833" spans="28:51" x14ac:dyDescent="0.25">
      <c r="AB833" s="17">
        <v>831</v>
      </c>
      <c r="AC833" s="6">
        <v>3.2294200000000002</v>
      </c>
      <c r="AD833" s="19">
        <v>-13.3391</v>
      </c>
      <c r="AE833" s="6">
        <v>3.1027999999999998</v>
      </c>
      <c r="AF833" s="6">
        <v>123</v>
      </c>
      <c r="AH833" s="17">
        <v>831</v>
      </c>
      <c r="AI833" s="6">
        <v>6.1417000000000002</v>
      </c>
      <c r="AJ833" s="19">
        <v>-13.3391</v>
      </c>
      <c r="AK833" s="6">
        <v>3.1027999999999998</v>
      </c>
      <c r="AL833" s="6">
        <v>123</v>
      </c>
      <c r="AO833" s="17">
        <v>831</v>
      </c>
      <c r="AP833" s="6">
        <v>1.1590100000000001</v>
      </c>
      <c r="AQ833" s="19">
        <v>-0.69450000000000001</v>
      </c>
      <c r="AR833" s="6">
        <v>0.58550000000000002</v>
      </c>
      <c r="AS833" s="6">
        <v>123</v>
      </c>
      <c r="AU833" s="17">
        <v>831</v>
      </c>
      <c r="AV833" s="6">
        <v>0.60943000000000003</v>
      </c>
      <c r="AW833" s="19">
        <v>-0.69450000000000001</v>
      </c>
      <c r="AX833" s="6">
        <v>0.58550000000000002</v>
      </c>
      <c r="AY833" s="6">
        <v>123</v>
      </c>
    </row>
    <row r="834" spans="28:51" x14ac:dyDescent="0.25">
      <c r="AB834" s="17">
        <v>832</v>
      </c>
      <c r="AC834" s="6">
        <v>3.20722</v>
      </c>
      <c r="AD834" s="19">
        <v>-4.2935999999999996</v>
      </c>
      <c r="AE834" s="6">
        <v>3.0813999999999999</v>
      </c>
      <c r="AF834" s="6">
        <v>123</v>
      </c>
      <c r="AH834" s="17">
        <v>832</v>
      </c>
      <c r="AI834" s="6">
        <v>6.0994999999999999</v>
      </c>
      <c r="AJ834" s="19">
        <v>-4.2935999999999996</v>
      </c>
      <c r="AK834" s="6">
        <v>3.0813999999999999</v>
      </c>
      <c r="AL834" s="6">
        <v>123</v>
      </c>
      <c r="AO834" s="17">
        <v>832</v>
      </c>
      <c r="AP834" s="6">
        <v>1.1390100000000001</v>
      </c>
      <c r="AQ834" s="19">
        <v>-1.2466999999999999</v>
      </c>
      <c r="AR834" s="6">
        <v>0.57540000000000002</v>
      </c>
      <c r="AS834" s="6">
        <v>123</v>
      </c>
      <c r="AU834" s="17">
        <v>832</v>
      </c>
      <c r="AV834" s="6">
        <v>0.59891000000000005</v>
      </c>
      <c r="AW834" s="19">
        <v>-1.2466999999999999</v>
      </c>
      <c r="AX834" s="6">
        <v>0.57540000000000002</v>
      </c>
      <c r="AY834" s="6">
        <v>123</v>
      </c>
    </row>
    <row r="835" spans="28:51" x14ac:dyDescent="0.25">
      <c r="AB835" s="17">
        <v>833</v>
      </c>
      <c r="AC835" s="6">
        <v>3.1882899999999998</v>
      </c>
      <c r="AD835" s="19">
        <v>-10.5162</v>
      </c>
      <c r="AE835" s="6">
        <v>3.0632000000000001</v>
      </c>
      <c r="AF835" s="6">
        <v>123</v>
      </c>
      <c r="AH835" s="17">
        <v>833</v>
      </c>
      <c r="AI835" s="6">
        <v>6.0635000000000003</v>
      </c>
      <c r="AJ835" s="19">
        <v>-10.5162</v>
      </c>
      <c r="AK835" s="6">
        <v>3.0632000000000001</v>
      </c>
      <c r="AL835" s="6">
        <v>123</v>
      </c>
      <c r="AO835" s="17">
        <v>833</v>
      </c>
      <c r="AP835" s="6">
        <v>1.13171</v>
      </c>
      <c r="AQ835" s="19">
        <v>-1.1913</v>
      </c>
      <c r="AR835" s="6">
        <v>0.57169999999999999</v>
      </c>
      <c r="AS835" s="6">
        <v>123</v>
      </c>
      <c r="AU835" s="17">
        <v>833</v>
      </c>
      <c r="AV835" s="6">
        <v>0.59506999999999999</v>
      </c>
      <c r="AW835" s="19">
        <v>-1.1913</v>
      </c>
      <c r="AX835" s="6">
        <v>0.57169999999999999</v>
      </c>
      <c r="AY835" s="6">
        <v>123</v>
      </c>
    </row>
    <row r="836" spans="28:51" x14ac:dyDescent="0.25">
      <c r="AB836" s="17">
        <v>834</v>
      </c>
      <c r="AC836" s="6">
        <v>3.1964000000000001</v>
      </c>
      <c r="AD836" s="19">
        <v>-8.6672999999999991</v>
      </c>
      <c r="AE836" s="6">
        <v>3.0710000000000002</v>
      </c>
      <c r="AF836" s="6">
        <v>123</v>
      </c>
      <c r="AH836" s="17">
        <v>834</v>
      </c>
      <c r="AI836" s="6">
        <v>6.0789</v>
      </c>
      <c r="AJ836" s="19">
        <v>-8.6672999999999991</v>
      </c>
      <c r="AK836" s="6">
        <v>3.0710000000000002</v>
      </c>
      <c r="AL836" s="6">
        <v>123</v>
      </c>
      <c r="AO836" s="17">
        <v>834</v>
      </c>
      <c r="AP836" s="6">
        <v>1.1345799999999999</v>
      </c>
      <c r="AQ836" s="19">
        <v>-1.6511</v>
      </c>
      <c r="AR836" s="6">
        <v>0.57320000000000004</v>
      </c>
      <c r="AS836" s="6">
        <v>123</v>
      </c>
      <c r="AU836" s="17">
        <v>834</v>
      </c>
      <c r="AV836" s="6">
        <v>0.59658</v>
      </c>
      <c r="AW836" s="19">
        <v>-1.6511</v>
      </c>
      <c r="AX836" s="6">
        <v>0.57320000000000004</v>
      </c>
      <c r="AY836" s="6">
        <v>123</v>
      </c>
    </row>
    <row r="837" spans="28:51" x14ac:dyDescent="0.25">
      <c r="AB837" s="17">
        <v>835</v>
      </c>
      <c r="AC837" s="6">
        <v>3.2414800000000001</v>
      </c>
      <c r="AD837" s="19">
        <v>-1.7145999999999999</v>
      </c>
      <c r="AE837" s="6">
        <v>3.1143000000000001</v>
      </c>
      <c r="AF837" s="6">
        <v>123</v>
      </c>
      <c r="AH837" s="17">
        <v>835</v>
      </c>
      <c r="AI837" s="6">
        <v>6.1646999999999998</v>
      </c>
      <c r="AJ837" s="19">
        <v>-1.7145999999999999</v>
      </c>
      <c r="AK837" s="6">
        <v>3.1143000000000001</v>
      </c>
      <c r="AL837" s="6">
        <v>123</v>
      </c>
      <c r="AO837" s="17">
        <v>835</v>
      </c>
      <c r="AP837" s="6">
        <v>1.1639200000000001</v>
      </c>
      <c r="AQ837" s="6">
        <v>0.65410000000000001</v>
      </c>
      <c r="AR837" s="6">
        <v>0.58799999999999997</v>
      </c>
      <c r="AS837" s="6">
        <v>123</v>
      </c>
      <c r="AU837" s="17">
        <v>835</v>
      </c>
      <c r="AV837" s="6">
        <v>0.61201000000000005</v>
      </c>
      <c r="AW837" s="6">
        <v>0.65410000000000001</v>
      </c>
      <c r="AX837" s="6">
        <v>0.58799999999999997</v>
      </c>
      <c r="AY837" s="6">
        <v>123</v>
      </c>
    </row>
    <row r="838" spans="28:51" x14ac:dyDescent="0.25">
      <c r="AB838" s="17">
        <v>836</v>
      </c>
      <c r="AC838" s="6">
        <v>3.2357</v>
      </c>
      <c r="AD838" s="19">
        <v>-8.0424000000000007</v>
      </c>
      <c r="AE838" s="6">
        <v>3.1088</v>
      </c>
      <c r="AF838" s="6">
        <v>123</v>
      </c>
      <c r="AH838" s="17">
        <v>836</v>
      </c>
      <c r="AI838" s="6">
        <v>6.1536999999999997</v>
      </c>
      <c r="AJ838" s="19">
        <v>-8.0424000000000007</v>
      </c>
      <c r="AK838" s="6">
        <v>3.1088</v>
      </c>
      <c r="AL838" s="6">
        <v>123</v>
      </c>
      <c r="AO838" s="17">
        <v>836</v>
      </c>
      <c r="AP838" s="6">
        <v>1.15682</v>
      </c>
      <c r="AQ838" s="19">
        <v>-1.7081999999999999</v>
      </c>
      <c r="AR838" s="6">
        <v>0.58440000000000003</v>
      </c>
      <c r="AS838" s="6">
        <v>123</v>
      </c>
      <c r="AU838" s="17">
        <v>836</v>
      </c>
      <c r="AV838" s="6">
        <v>0.60826999999999998</v>
      </c>
      <c r="AW838" s="19">
        <v>-1.7081999999999999</v>
      </c>
      <c r="AX838" s="6">
        <v>0.58440000000000003</v>
      </c>
      <c r="AY838" s="6">
        <v>123</v>
      </c>
    </row>
    <row r="839" spans="28:51" x14ac:dyDescent="0.25">
      <c r="AB839" s="17">
        <v>837</v>
      </c>
      <c r="AC839" s="6">
        <v>3.2332200000000002</v>
      </c>
      <c r="AD839" s="6">
        <v>2.7473000000000001</v>
      </c>
      <c r="AE839" s="6">
        <v>3.1063999999999998</v>
      </c>
      <c r="AF839" s="6">
        <v>123</v>
      </c>
      <c r="AH839" s="17">
        <v>837</v>
      </c>
      <c r="AI839" s="6">
        <v>6.149</v>
      </c>
      <c r="AJ839" s="6">
        <v>2.7473000000000001</v>
      </c>
      <c r="AK839" s="6">
        <v>3.1063999999999998</v>
      </c>
      <c r="AL839" s="6">
        <v>123</v>
      </c>
      <c r="AO839" s="17">
        <v>837</v>
      </c>
      <c r="AP839" s="6">
        <v>1.1546799999999999</v>
      </c>
      <c r="AQ839" s="6">
        <v>0.96870000000000001</v>
      </c>
      <c r="AR839" s="6">
        <v>0.58330000000000004</v>
      </c>
      <c r="AS839" s="6">
        <v>123</v>
      </c>
      <c r="AU839" s="17">
        <v>837</v>
      </c>
      <c r="AV839" s="6">
        <v>0.60714999999999997</v>
      </c>
      <c r="AW839" s="6">
        <v>0.96870000000000001</v>
      </c>
      <c r="AX839" s="6">
        <v>0.58330000000000004</v>
      </c>
      <c r="AY839" s="6">
        <v>123</v>
      </c>
    </row>
    <row r="840" spans="28:51" x14ac:dyDescent="0.25">
      <c r="AB840" s="17">
        <v>838</v>
      </c>
      <c r="AC840" s="6">
        <v>3.1987299999999999</v>
      </c>
      <c r="AD840" s="6">
        <v>0.52029999999999998</v>
      </c>
      <c r="AE840" s="6">
        <v>3.0733000000000001</v>
      </c>
      <c r="AF840" s="6">
        <v>123</v>
      </c>
      <c r="AH840" s="17">
        <v>838</v>
      </c>
      <c r="AI840" s="6">
        <v>6.0834000000000001</v>
      </c>
      <c r="AJ840" s="6">
        <v>0.52029999999999998</v>
      </c>
      <c r="AK840" s="6">
        <v>3.0733000000000001</v>
      </c>
      <c r="AL840" s="6">
        <v>123</v>
      </c>
      <c r="AO840" s="17">
        <v>838</v>
      </c>
      <c r="AP840" s="6">
        <v>1.1395500000000001</v>
      </c>
      <c r="AQ840" s="6">
        <v>0.76580000000000004</v>
      </c>
      <c r="AR840" s="6">
        <v>0.57569999999999999</v>
      </c>
      <c r="AS840" s="6">
        <v>123</v>
      </c>
      <c r="AU840" s="17">
        <v>838</v>
      </c>
      <c r="AV840" s="6">
        <v>0.59919</v>
      </c>
      <c r="AW840" s="6">
        <v>0.76580000000000004</v>
      </c>
      <c r="AX840" s="6">
        <v>0.57569999999999999</v>
      </c>
      <c r="AY840" s="6">
        <v>123</v>
      </c>
    </row>
    <row r="841" spans="28:51" x14ac:dyDescent="0.25">
      <c r="AB841" s="17">
        <v>839</v>
      </c>
      <c r="AC841" s="6">
        <v>3.1976300000000002</v>
      </c>
      <c r="AD841" s="19">
        <v>-8.4298999999999999</v>
      </c>
      <c r="AE841" s="6">
        <v>3.0722</v>
      </c>
      <c r="AF841" s="6">
        <v>123</v>
      </c>
      <c r="AH841" s="17">
        <v>839</v>
      </c>
      <c r="AI841" s="6">
        <v>6.0812999999999997</v>
      </c>
      <c r="AJ841" s="19">
        <v>-8.4298999999999999</v>
      </c>
      <c r="AK841" s="6">
        <v>3.0722</v>
      </c>
      <c r="AL841" s="6">
        <v>123</v>
      </c>
      <c r="AO841" s="17">
        <v>839</v>
      </c>
      <c r="AP841" s="6">
        <v>1.1420300000000001</v>
      </c>
      <c r="AQ841" s="19">
        <v>-0.57850000000000001</v>
      </c>
      <c r="AR841" s="6">
        <v>0.57689999999999997</v>
      </c>
      <c r="AS841" s="6">
        <v>123</v>
      </c>
      <c r="AU841" s="17">
        <v>839</v>
      </c>
      <c r="AV841" s="6">
        <v>0.60050000000000003</v>
      </c>
      <c r="AW841" s="19">
        <v>-0.57850000000000001</v>
      </c>
      <c r="AX841" s="6">
        <v>0.57689999999999997</v>
      </c>
      <c r="AY841" s="6">
        <v>123</v>
      </c>
    </row>
    <row r="842" spans="28:51" x14ac:dyDescent="0.25">
      <c r="AB842" s="17">
        <v>840</v>
      </c>
      <c r="AC842" s="6">
        <v>3.21712</v>
      </c>
      <c r="AD842" s="19">
        <v>-5.9626000000000001</v>
      </c>
      <c r="AE842" s="6">
        <v>3.0909</v>
      </c>
      <c r="AF842" s="6">
        <v>123</v>
      </c>
      <c r="AH842" s="17">
        <v>840</v>
      </c>
      <c r="AI842" s="6">
        <v>6.1182999999999996</v>
      </c>
      <c r="AJ842" s="19">
        <v>-5.9626000000000001</v>
      </c>
      <c r="AK842" s="6">
        <v>3.0909</v>
      </c>
      <c r="AL842" s="6">
        <v>123</v>
      </c>
      <c r="AO842" s="17">
        <v>840</v>
      </c>
      <c r="AP842" s="6">
        <v>1.1472800000000001</v>
      </c>
      <c r="AQ842" s="19">
        <v>-0.36780000000000002</v>
      </c>
      <c r="AR842" s="6">
        <v>0.5796</v>
      </c>
      <c r="AS842" s="6">
        <v>123</v>
      </c>
      <c r="AU842" s="17">
        <v>840</v>
      </c>
      <c r="AV842" s="6">
        <v>0.60326000000000002</v>
      </c>
      <c r="AW842" s="19">
        <v>-0.36780000000000002</v>
      </c>
      <c r="AX842" s="6">
        <v>0.5796</v>
      </c>
      <c r="AY842" s="6">
        <v>123</v>
      </c>
    </row>
    <row r="843" spans="28:51" x14ac:dyDescent="0.25">
      <c r="AB843" s="17">
        <v>841</v>
      </c>
      <c r="AC843" s="6">
        <v>5.1167800000000003</v>
      </c>
      <c r="AD843" s="6">
        <v>2.9929999999999999</v>
      </c>
      <c r="AE843" s="6">
        <v>4.9161000000000001</v>
      </c>
      <c r="AF843" s="6">
        <v>123</v>
      </c>
      <c r="AH843" s="17">
        <v>841</v>
      </c>
      <c r="AI843" s="6">
        <v>9.7310999999999996</v>
      </c>
      <c r="AJ843" s="6">
        <v>2.9929999999999999</v>
      </c>
      <c r="AK843" s="6">
        <v>4.9161000000000001</v>
      </c>
      <c r="AL843" s="6">
        <v>123</v>
      </c>
      <c r="AO843" s="17">
        <v>841</v>
      </c>
      <c r="AP843" s="6">
        <v>1.81673</v>
      </c>
      <c r="AQ843" s="6">
        <v>0.14940000000000001</v>
      </c>
      <c r="AR843" s="6">
        <v>0.91779999999999995</v>
      </c>
      <c r="AS843" s="6">
        <v>123</v>
      </c>
      <c r="AU843" s="17">
        <v>841</v>
      </c>
      <c r="AV843" s="6">
        <v>0.95526999999999995</v>
      </c>
      <c r="AW843" s="6">
        <v>0.14940000000000001</v>
      </c>
      <c r="AX843" s="6">
        <v>0.91779999999999995</v>
      </c>
      <c r="AY843" s="6">
        <v>123</v>
      </c>
    </row>
    <row r="844" spans="28:51" x14ac:dyDescent="0.25">
      <c r="AB844" s="17">
        <v>842</v>
      </c>
      <c r="AC844" s="6">
        <v>3.20166</v>
      </c>
      <c r="AD844" s="19">
        <v>-11.6995</v>
      </c>
      <c r="AE844" s="6">
        <v>3.0760999999999998</v>
      </c>
      <c r="AF844" s="6">
        <v>123</v>
      </c>
      <c r="AH844" s="17">
        <v>842</v>
      </c>
      <c r="AI844" s="6">
        <v>6.0888999999999998</v>
      </c>
      <c r="AJ844" s="19">
        <v>-11.6995</v>
      </c>
      <c r="AK844" s="6">
        <v>3.0760999999999998</v>
      </c>
      <c r="AL844" s="6">
        <v>123</v>
      </c>
      <c r="AO844" s="17">
        <v>842</v>
      </c>
      <c r="AP844" s="6">
        <v>1.1435200000000001</v>
      </c>
      <c r="AQ844" s="19">
        <v>-2.1257000000000001</v>
      </c>
      <c r="AR844" s="6">
        <v>0.57769999999999999</v>
      </c>
      <c r="AS844" s="6">
        <v>123</v>
      </c>
      <c r="AU844" s="17">
        <v>842</v>
      </c>
      <c r="AV844" s="6">
        <v>0.60128000000000004</v>
      </c>
      <c r="AW844" s="19">
        <v>-2.1257000000000001</v>
      </c>
      <c r="AX844" s="6">
        <v>0.57769999999999999</v>
      </c>
      <c r="AY844" s="6">
        <v>123</v>
      </c>
    </row>
    <row r="845" spans="28:51" x14ac:dyDescent="0.25">
      <c r="AB845" s="17">
        <v>843</v>
      </c>
      <c r="AC845" s="6">
        <v>3.1965699999999999</v>
      </c>
      <c r="AD845" s="19">
        <v>-7.4398</v>
      </c>
      <c r="AE845" s="6">
        <v>3.0712000000000002</v>
      </c>
      <c r="AF845" s="6">
        <v>123</v>
      </c>
      <c r="AH845" s="17">
        <v>843</v>
      </c>
      <c r="AI845" s="6">
        <v>6.0792999999999999</v>
      </c>
      <c r="AJ845" s="19">
        <v>-7.4398</v>
      </c>
      <c r="AK845" s="6">
        <v>3.0712000000000002</v>
      </c>
      <c r="AL845" s="6">
        <v>123</v>
      </c>
      <c r="AO845" s="17">
        <v>843</v>
      </c>
      <c r="AP845" s="6">
        <v>1.14202</v>
      </c>
      <c r="AQ845" s="19">
        <v>-0.68700000000000006</v>
      </c>
      <c r="AR845" s="6">
        <v>0.57689999999999997</v>
      </c>
      <c r="AS845" s="6">
        <v>123</v>
      </c>
      <c r="AU845" s="17">
        <v>843</v>
      </c>
      <c r="AV845" s="6">
        <v>0.60050000000000003</v>
      </c>
      <c r="AW845" s="19">
        <v>-0.68700000000000006</v>
      </c>
      <c r="AX845" s="6">
        <v>0.57689999999999997</v>
      </c>
      <c r="AY845" s="6">
        <v>123</v>
      </c>
    </row>
    <row r="846" spans="28:51" x14ac:dyDescent="0.25">
      <c r="AB846" s="17">
        <v>844</v>
      </c>
      <c r="AC846" s="6">
        <v>3.2172399999999999</v>
      </c>
      <c r="AD846" s="19">
        <v>-6.3403999999999998</v>
      </c>
      <c r="AE846" s="6">
        <v>3.0911</v>
      </c>
      <c r="AF846" s="6">
        <v>123</v>
      </c>
      <c r="AH846" s="17">
        <v>844</v>
      </c>
      <c r="AI846" s="6">
        <v>6.1185999999999998</v>
      </c>
      <c r="AJ846" s="19">
        <v>-6.3403999999999998</v>
      </c>
      <c r="AK846" s="6">
        <v>3.0911</v>
      </c>
      <c r="AL846" s="6">
        <v>123</v>
      </c>
      <c r="AO846" s="17">
        <v>844</v>
      </c>
      <c r="AP846" s="6">
        <v>1.14592</v>
      </c>
      <c r="AQ846" s="19">
        <v>-1.7229999999999999E-2</v>
      </c>
      <c r="AR846" s="6">
        <v>0.57889999999999997</v>
      </c>
      <c r="AS846" s="6">
        <v>123</v>
      </c>
      <c r="AU846" s="17">
        <v>844</v>
      </c>
      <c r="AV846" s="6">
        <v>0.60255000000000003</v>
      </c>
      <c r="AW846" s="19">
        <v>-1.7229999999999999E-2</v>
      </c>
      <c r="AX846" s="6">
        <v>0.57889999999999997</v>
      </c>
      <c r="AY846" s="6">
        <v>123</v>
      </c>
    </row>
    <row r="847" spans="28:51" x14ac:dyDescent="0.25">
      <c r="AB847" s="17">
        <v>845</v>
      </c>
      <c r="AC847" s="6">
        <v>3.2222900000000001</v>
      </c>
      <c r="AD847" s="19">
        <v>-10.488</v>
      </c>
      <c r="AE847" s="6">
        <v>3.0958999999999999</v>
      </c>
      <c r="AF847" s="6">
        <v>123</v>
      </c>
      <c r="AH847" s="17">
        <v>845</v>
      </c>
      <c r="AI847" s="6">
        <v>6.1281999999999996</v>
      </c>
      <c r="AJ847" s="19">
        <v>-10.488</v>
      </c>
      <c r="AK847" s="6">
        <v>3.0958999999999999</v>
      </c>
      <c r="AL847" s="6">
        <v>123</v>
      </c>
      <c r="AO847" s="17">
        <v>845</v>
      </c>
      <c r="AP847" s="6">
        <v>1.1513199999999999</v>
      </c>
      <c r="AQ847" s="19">
        <v>-0.9587</v>
      </c>
      <c r="AR847" s="6">
        <v>0.58160000000000001</v>
      </c>
      <c r="AS847" s="6">
        <v>123</v>
      </c>
      <c r="AU847" s="17">
        <v>845</v>
      </c>
      <c r="AV847" s="6">
        <v>0.60538000000000003</v>
      </c>
      <c r="AW847" s="19">
        <v>-0.9587</v>
      </c>
      <c r="AX847" s="6">
        <v>0.58160000000000001</v>
      </c>
      <c r="AY847" s="6">
        <v>123</v>
      </c>
    </row>
    <row r="848" spans="28:51" x14ac:dyDescent="0.25">
      <c r="AB848" s="17">
        <v>846</v>
      </c>
      <c r="AC848" s="6">
        <v>3.2025999999999999</v>
      </c>
      <c r="AD848" s="19">
        <v>-1.4426000000000001</v>
      </c>
      <c r="AE848" s="6">
        <v>3.077</v>
      </c>
      <c r="AF848" s="6">
        <v>123</v>
      </c>
      <c r="AH848" s="17">
        <v>846</v>
      </c>
      <c r="AI848" s="6">
        <v>6.0907</v>
      </c>
      <c r="AJ848" s="19">
        <v>-1.4426000000000001</v>
      </c>
      <c r="AK848" s="6">
        <v>3.077</v>
      </c>
      <c r="AL848" s="6">
        <v>123</v>
      </c>
      <c r="AO848" s="17">
        <v>846</v>
      </c>
      <c r="AP848" s="6">
        <v>1.1424000000000001</v>
      </c>
      <c r="AQ848" s="19">
        <v>-1.5108999999999999</v>
      </c>
      <c r="AR848" s="6">
        <v>0.57709999999999995</v>
      </c>
      <c r="AS848" s="6">
        <v>123</v>
      </c>
      <c r="AU848" s="17">
        <v>846</v>
      </c>
      <c r="AV848" s="6">
        <v>0.60068999999999995</v>
      </c>
      <c r="AW848" s="19">
        <v>-1.5108999999999999</v>
      </c>
      <c r="AX848" s="6">
        <v>0.57709999999999995</v>
      </c>
      <c r="AY848" s="6">
        <v>123</v>
      </c>
    </row>
    <row r="849" spans="28:51" x14ac:dyDescent="0.25">
      <c r="AB849" s="17">
        <v>847</v>
      </c>
      <c r="AC849" s="6">
        <v>3.1885300000000001</v>
      </c>
      <c r="AD849" s="19">
        <v>-7.6650999999999998</v>
      </c>
      <c r="AE849" s="6">
        <v>3.0634999999999999</v>
      </c>
      <c r="AF849" s="6">
        <v>123</v>
      </c>
      <c r="AH849" s="17">
        <v>847</v>
      </c>
      <c r="AI849" s="6">
        <v>6.0640000000000001</v>
      </c>
      <c r="AJ849" s="19">
        <v>-7.6650999999999998</v>
      </c>
      <c r="AK849" s="6">
        <v>3.0634999999999999</v>
      </c>
      <c r="AL849" s="6">
        <v>123</v>
      </c>
      <c r="AO849" s="17">
        <v>847</v>
      </c>
      <c r="AP849" s="6">
        <v>1.1385099999999999</v>
      </c>
      <c r="AQ849" s="19">
        <v>-1.4555</v>
      </c>
      <c r="AR849" s="6">
        <v>0.57520000000000004</v>
      </c>
      <c r="AS849" s="6">
        <v>123</v>
      </c>
      <c r="AU849" s="17">
        <v>847</v>
      </c>
      <c r="AV849" s="6">
        <v>0.59865000000000002</v>
      </c>
      <c r="AW849" s="19">
        <v>-1.4555</v>
      </c>
      <c r="AX849" s="6">
        <v>0.57520000000000004</v>
      </c>
      <c r="AY849" s="6">
        <v>123</v>
      </c>
    </row>
    <row r="850" spans="28:51" x14ac:dyDescent="0.25">
      <c r="AB850" s="17">
        <v>848</v>
      </c>
      <c r="AC850" s="6">
        <v>3.1927599999999998</v>
      </c>
      <c r="AD850" s="19">
        <v>-5.8162000000000003</v>
      </c>
      <c r="AE850" s="6">
        <v>3.0674999999999999</v>
      </c>
      <c r="AF850" s="6">
        <v>123</v>
      </c>
      <c r="AH850" s="17">
        <v>848</v>
      </c>
      <c r="AI850" s="6">
        <v>6.0720000000000001</v>
      </c>
      <c r="AJ850" s="19">
        <v>-5.8162000000000003</v>
      </c>
      <c r="AK850" s="6">
        <v>3.0674999999999999</v>
      </c>
      <c r="AL850" s="6">
        <v>123</v>
      </c>
      <c r="AO850" s="17">
        <v>848</v>
      </c>
      <c r="AP850" s="6">
        <v>1.13941</v>
      </c>
      <c r="AQ850" s="19">
        <v>-1.9153</v>
      </c>
      <c r="AR850" s="6">
        <v>0.5756</v>
      </c>
      <c r="AS850" s="6">
        <v>123</v>
      </c>
      <c r="AU850" s="17">
        <v>848</v>
      </c>
      <c r="AV850" s="6">
        <v>0.59911999999999999</v>
      </c>
      <c r="AW850" s="19">
        <v>-1.9153</v>
      </c>
      <c r="AX850" s="6">
        <v>0.5756</v>
      </c>
      <c r="AY850" s="6">
        <v>123</v>
      </c>
    </row>
    <row r="851" spans="28:51" x14ac:dyDescent="0.25">
      <c r="AB851" s="17">
        <v>849</v>
      </c>
      <c r="AC851" s="6">
        <v>3.23584</v>
      </c>
      <c r="AD851" s="6">
        <v>1.1364000000000001</v>
      </c>
      <c r="AE851" s="6">
        <v>3.1089000000000002</v>
      </c>
      <c r="AF851" s="6">
        <v>123</v>
      </c>
      <c r="AH851" s="17">
        <v>849</v>
      </c>
      <c r="AI851" s="6">
        <v>6.1539000000000001</v>
      </c>
      <c r="AJ851" s="6">
        <v>1.1364000000000001</v>
      </c>
      <c r="AK851" s="6">
        <v>3.1089000000000002</v>
      </c>
      <c r="AL851" s="6">
        <v>123</v>
      </c>
      <c r="AO851" s="17">
        <v>849</v>
      </c>
      <c r="AP851" s="6">
        <v>1.1640299999999999</v>
      </c>
      <c r="AQ851" s="6">
        <v>0.38990000000000002</v>
      </c>
      <c r="AR851" s="6">
        <v>0.58809999999999996</v>
      </c>
      <c r="AS851" s="6">
        <v>123</v>
      </c>
      <c r="AU851" s="17">
        <v>849</v>
      </c>
      <c r="AV851" s="6">
        <v>0.61206000000000005</v>
      </c>
      <c r="AW851" s="6">
        <v>0.38990000000000002</v>
      </c>
      <c r="AX851" s="6">
        <v>0.58809999999999996</v>
      </c>
      <c r="AY851" s="6">
        <v>123</v>
      </c>
    </row>
    <row r="852" spans="28:51" x14ac:dyDescent="0.25">
      <c r="AB852" s="17">
        <v>850</v>
      </c>
      <c r="AC852" s="6">
        <v>3.2203599999999999</v>
      </c>
      <c r="AD852" s="19">
        <v>-5.1913999999999998</v>
      </c>
      <c r="AE852" s="6">
        <v>3.0941000000000001</v>
      </c>
      <c r="AF852" s="6">
        <v>123</v>
      </c>
      <c r="AH852" s="17">
        <v>850</v>
      </c>
      <c r="AI852" s="6">
        <v>6.1245000000000003</v>
      </c>
      <c r="AJ852" s="19">
        <v>-5.1913999999999998</v>
      </c>
      <c r="AK852" s="6">
        <v>3.0941000000000001</v>
      </c>
      <c r="AL852" s="6">
        <v>123</v>
      </c>
      <c r="AO852" s="17">
        <v>850</v>
      </c>
      <c r="AP852" s="6">
        <v>1.15408</v>
      </c>
      <c r="AQ852" s="19">
        <v>-1.9723999999999999</v>
      </c>
      <c r="AR852" s="6">
        <v>0.58299999999999996</v>
      </c>
      <c r="AS852" s="6">
        <v>123</v>
      </c>
      <c r="AU852" s="17">
        <v>850</v>
      </c>
      <c r="AV852" s="6">
        <v>0.60682999999999998</v>
      </c>
      <c r="AW852" s="19">
        <v>-1.9723999999999999</v>
      </c>
      <c r="AX852" s="6">
        <v>0.58299999999999996</v>
      </c>
      <c r="AY852" s="6">
        <v>123</v>
      </c>
    </row>
    <row r="853" spans="28:51" x14ac:dyDescent="0.25">
      <c r="AB853" s="17">
        <v>851</v>
      </c>
      <c r="AC853" s="6">
        <v>3.22722</v>
      </c>
      <c r="AD853" s="6">
        <v>5.5983999999999998</v>
      </c>
      <c r="AE853" s="6">
        <v>3.1006</v>
      </c>
      <c r="AF853" s="6">
        <v>123</v>
      </c>
      <c r="AH853" s="17">
        <v>851</v>
      </c>
      <c r="AI853" s="6">
        <v>6.1375000000000002</v>
      </c>
      <c r="AJ853" s="6">
        <v>5.5983999999999998</v>
      </c>
      <c r="AK853" s="6">
        <v>3.1006</v>
      </c>
      <c r="AL853" s="6">
        <v>123</v>
      </c>
      <c r="AO853" s="17">
        <v>851</v>
      </c>
      <c r="AP853" s="6">
        <v>1.15707</v>
      </c>
      <c r="AQ853" s="6">
        <v>0.70450000000000002</v>
      </c>
      <c r="AR853" s="6">
        <v>0.58450000000000002</v>
      </c>
      <c r="AS853" s="6">
        <v>123</v>
      </c>
      <c r="AU853" s="17">
        <v>851</v>
      </c>
      <c r="AV853" s="6">
        <v>0.60841000000000001</v>
      </c>
      <c r="AW853" s="6">
        <v>0.70450000000000002</v>
      </c>
      <c r="AX853" s="6">
        <v>0.58450000000000002</v>
      </c>
      <c r="AY853" s="6">
        <v>123</v>
      </c>
    </row>
    <row r="854" spans="28:51" x14ac:dyDescent="0.25">
      <c r="AB854" s="17">
        <v>852</v>
      </c>
      <c r="AC854" s="6">
        <v>3.1852900000000002</v>
      </c>
      <c r="AD854" s="6">
        <v>3.3713000000000002</v>
      </c>
      <c r="AE854" s="6">
        <v>3.0604</v>
      </c>
      <c r="AF854" s="6">
        <v>123</v>
      </c>
      <c r="AH854" s="17">
        <v>852</v>
      </c>
      <c r="AI854" s="6">
        <v>6.0578000000000003</v>
      </c>
      <c r="AJ854" s="6">
        <v>3.3713000000000002</v>
      </c>
      <c r="AK854" s="6">
        <v>3.0604</v>
      </c>
      <c r="AL854" s="6">
        <v>123</v>
      </c>
      <c r="AO854" s="17">
        <v>852</v>
      </c>
      <c r="AP854" s="6">
        <v>1.1400699999999999</v>
      </c>
      <c r="AQ854" s="6">
        <v>0.50160000000000005</v>
      </c>
      <c r="AR854" s="6">
        <v>0.57599999999999996</v>
      </c>
      <c r="AS854" s="6">
        <v>123</v>
      </c>
      <c r="AU854" s="17">
        <v>852</v>
      </c>
      <c r="AV854" s="6">
        <v>0.59946999999999995</v>
      </c>
      <c r="AW854" s="6">
        <v>0.50160000000000005</v>
      </c>
      <c r="AX854" s="6">
        <v>0.57599999999999996</v>
      </c>
      <c r="AY854" s="6">
        <v>123</v>
      </c>
    </row>
    <row r="855" spans="28:51" x14ac:dyDescent="0.25">
      <c r="AB855" s="17">
        <v>853</v>
      </c>
      <c r="AC855" s="6">
        <v>3.2070799999999999</v>
      </c>
      <c r="AD855" s="19">
        <v>-5.5789</v>
      </c>
      <c r="AE855" s="6">
        <v>3.0813000000000001</v>
      </c>
      <c r="AF855" s="6">
        <v>123</v>
      </c>
      <c r="AH855" s="17">
        <v>853</v>
      </c>
      <c r="AI855" s="6">
        <v>6.0991999999999997</v>
      </c>
      <c r="AJ855" s="19">
        <v>-5.5789</v>
      </c>
      <c r="AK855" s="6">
        <v>3.0813000000000001</v>
      </c>
      <c r="AL855" s="6">
        <v>123</v>
      </c>
      <c r="AO855" s="17">
        <v>853</v>
      </c>
      <c r="AP855" s="6">
        <v>1.14584</v>
      </c>
      <c r="AQ855" s="19">
        <v>-0.8427</v>
      </c>
      <c r="AR855" s="6">
        <v>0.57889999999999997</v>
      </c>
      <c r="AS855" s="6">
        <v>123</v>
      </c>
      <c r="AU855" s="17">
        <v>853</v>
      </c>
      <c r="AV855" s="6">
        <v>0.60250000000000004</v>
      </c>
      <c r="AW855" s="19">
        <v>-0.8427</v>
      </c>
      <c r="AX855" s="6">
        <v>0.57889999999999997</v>
      </c>
      <c r="AY855" s="6">
        <v>123</v>
      </c>
    </row>
    <row r="856" spans="28:51" x14ac:dyDescent="0.25">
      <c r="AB856" s="17">
        <v>854</v>
      </c>
      <c r="AC856" s="6">
        <v>3.2059500000000001</v>
      </c>
      <c r="AD856" s="19">
        <v>-3.1116000000000001</v>
      </c>
      <c r="AE856" s="6">
        <v>3.0802</v>
      </c>
      <c r="AF856" s="6">
        <v>123</v>
      </c>
      <c r="AH856" s="17">
        <v>854</v>
      </c>
      <c r="AI856" s="6">
        <v>6.0971000000000002</v>
      </c>
      <c r="AJ856" s="19">
        <v>-3.1116000000000001</v>
      </c>
      <c r="AK856" s="6">
        <v>3.0802</v>
      </c>
      <c r="AL856" s="6">
        <v>123</v>
      </c>
      <c r="AO856" s="17">
        <v>854</v>
      </c>
      <c r="AP856" s="6">
        <v>1.1443300000000001</v>
      </c>
      <c r="AQ856" s="19">
        <v>-0.63200000000000001</v>
      </c>
      <c r="AR856" s="6">
        <v>0.57809999999999995</v>
      </c>
      <c r="AS856" s="6">
        <v>123</v>
      </c>
      <c r="AU856" s="17">
        <v>854</v>
      </c>
      <c r="AV856" s="6">
        <v>0.60170999999999997</v>
      </c>
      <c r="AW856" s="19">
        <v>-0.63200000000000001</v>
      </c>
      <c r="AX856" s="6">
        <v>0.57809999999999995</v>
      </c>
      <c r="AY856" s="6">
        <v>123</v>
      </c>
    </row>
    <row r="857" spans="28:51" x14ac:dyDescent="0.25">
      <c r="AB857" s="17">
        <v>855</v>
      </c>
      <c r="AC857" s="6">
        <v>5.1237500000000002</v>
      </c>
      <c r="AD857" s="6">
        <v>5.8440000000000003</v>
      </c>
      <c r="AE857" s="6">
        <v>4.9227999999999996</v>
      </c>
      <c r="AF857" s="6">
        <v>123</v>
      </c>
      <c r="AH857" s="17">
        <v>855</v>
      </c>
      <c r="AI857" s="6">
        <v>9.7444000000000006</v>
      </c>
      <c r="AJ857" s="6">
        <v>5.8440000000000003</v>
      </c>
      <c r="AK857" s="6">
        <v>4.9227999999999996</v>
      </c>
      <c r="AL857" s="6">
        <v>123</v>
      </c>
      <c r="AO857" s="17">
        <v>855</v>
      </c>
      <c r="AP857" s="6">
        <v>1.82358</v>
      </c>
      <c r="AQ857" s="19">
        <v>-0.1148</v>
      </c>
      <c r="AR857" s="6">
        <v>0.92130000000000001</v>
      </c>
      <c r="AS857" s="6">
        <v>123</v>
      </c>
      <c r="AU857" s="17">
        <v>855</v>
      </c>
      <c r="AV857" s="6">
        <v>0.95887</v>
      </c>
      <c r="AW857" s="19">
        <v>-0.1148</v>
      </c>
      <c r="AX857" s="6">
        <v>0.92130000000000001</v>
      </c>
      <c r="AY857" s="6">
        <v>123</v>
      </c>
    </row>
    <row r="858" spans="28:51" x14ac:dyDescent="0.25">
      <c r="AB858" s="17">
        <v>856</v>
      </c>
      <c r="AC858" s="6">
        <v>3.2114600000000002</v>
      </c>
      <c r="AD858" s="6">
        <v>4.2596999999999996</v>
      </c>
      <c r="AE858" s="6">
        <v>3.0855000000000001</v>
      </c>
      <c r="AF858" s="6">
        <v>123</v>
      </c>
      <c r="AH858" s="17">
        <v>856</v>
      </c>
      <c r="AI858" s="6">
        <v>6.1075999999999997</v>
      </c>
      <c r="AJ858" s="6">
        <v>4.2596999999999996</v>
      </c>
      <c r="AK858" s="6">
        <v>3.0855000000000001</v>
      </c>
      <c r="AL858" s="6">
        <v>123</v>
      </c>
      <c r="AO858" s="17">
        <v>856</v>
      </c>
      <c r="AP858" s="6">
        <v>1.1441300000000001</v>
      </c>
      <c r="AQ858" s="6">
        <v>1.4387000000000001</v>
      </c>
      <c r="AR858" s="6">
        <v>0.57799999999999996</v>
      </c>
      <c r="AS858" s="6">
        <v>123</v>
      </c>
      <c r="AU858" s="17">
        <v>856</v>
      </c>
      <c r="AV858" s="6">
        <v>0.60160000000000002</v>
      </c>
      <c r="AW858" s="6">
        <v>1.4387000000000001</v>
      </c>
      <c r="AX858" s="6">
        <v>0.57799999999999996</v>
      </c>
      <c r="AY858" s="6">
        <v>123</v>
      </c>
    </row>
    <row r="859" spans="28:51" x14ac:dyDescent="0.25">
      <c r="AB859" s="17">
        <v>857</v>
      </c>
      <c r="AC859" s="6">
        <v>3.2115499999999999</v>
      </c>
      <c r="AD859" s="6">
        <v>5.3590999999999998</v>
      </c>
      <c r="AE859" s="6">
        <v>3.0855999999999999</v>
      </c>
      <c r="AF859" s="6">
        <v>123</v>
      </c>
      <c r="AH859" s="17">
        <v>857</v>
      </c>
      <c r="AI859" s="6">
        <v>6.1077000000000004</v>
      </c>
      <c r="AJ859" s="6">
        <v>5.3590999999999998</v>
      </c>
      <c r="AK859" s="6">
        <v>3.0855999999999999</v>
      </c>
      <c r="AL859" s="6">
        <v>123</v>
      </c>
      <c r="AO859" s="17">
        <v>857</v>
      </c>
      <c r="AP859" s="6">
        <v>1.1407499999999999</v>
      </c>
      <c r="AQ859" s="6">
        <v>2.1084000000000001</v>
      </c>
      <c r="AR859" s="6">
        <v>0.57630000000000003</v>
      </c>
      <c r="AS859" s="6">
        <v>123</v>
      </c>
      <c r="AU859" s="17">
        <v>857</v>
      </c>
      <c r="AV859" s="6">
        <v>0.59982000000000002</v>
      </c>
      <c r="AW859" s="6">
        <v>2.1084000000000001</v>
      </c>
      <c r="AX859" s="6">
        <v>0.57630000000000003</v>
      </c>
      <c r="AY859" s="6">
        <v>123</v>
      </c>
    </row>
    <row r="860" spans="28:51" x14ac:dyDescent="0.25">
      <c r="AB860" s="17">
        <v>858</v>
      </c>
      <c r="AC860" s="6">
        <v>3.2334000000000001</v>
      </c>
      <c r="AD860" s="6">
        <v>1.2115</v>
      </c>
      <c r="AE860" s="6">
        <v>3.1065999999999998</v>
      </c>
      <c r="AF860" s="6">
        <v>123</v>
      </c>
      <c r="AH860" s="17">
        <v>858</v>
      </c>
      <c r="AI860" s="6">
        <v>6.1493000000000002</v>
      </c>
      <c r="AJ860" s="6">
        <v>1.2115</v>
      </c>
      <c r="AK860" s="6">
        <v>3.1065999999999998</v>
      </c>
      <c r="AL860" s="6">
        <v>123</v>
      </c>
      <c r="AO860" s="17">
        <v>858</v>
      </c>
      <c r="AP860" s="6">
        <v>1.15924</v>
      </c>
      <c r="AQ860" s="6">
        <v>1.1669</v>
      </c>
      <c r="AR860" s="6">
        <v>0.58560000000000001</v>
      </c>
      <c r="AS860" s="6">
        <v>123</v>
      </c>
      <c r="AU860" s="17">
        <v>858</v>
      </c>
      <c r="AV860" s="6">
        <v>0.60955000000000004</v>
      </c>
      <c r="AW860" s="6">
        <v>1.1669</v>
      </c>
      <c r="AX860" s="6">
        <v>0.58560000000000001</v>
      </c>
      <c r="AY860" s="6">
        <v>123</v>
      </c>
    </row>
    <row r="861" spans="28:51" x14ac:dyDescent="0.25">
      <c r="AB861" s="17">
        <v>859</v>
      </c>
      <c r="AC861" s="6">
        <v>3.2010000000000001</v>
      </c>
      <c r="AD861" s="6">
        <v>10.2569</v>
      </c>
      <c r="AE861" s="6">
        <v>3.0754999999999999</v>
      </c>
      <c r="AF861" s="6">
        <v>123</v>
      </c>
      <c r="AH861" s="17">
        <v>859</v>
      </c>
      <c r="AI861" s="6">
        <v>6.0876999999999999</v>
      </c>
      <c r="AJ861" s="6">
        <v>10.2569</v>
      </c>
      <c r="AK861" s="6">
        <v>3.0754999999999999</v>
      </c>
      <c r="AL861" s="6">
        <v>123</v>
      </c>
      <c r="AO861" s="17">
        <v>859</v>
      </c>
      <c r="AP861" s="6">
        <v>1.1400600000000001</v>
      </c>
      <c r="AQ861" s="6">
        <v>0.61480000000000001</v>
      </c>
      <c r="AR861" s="6">
        <v>0.57599999999999996</v>
      </c>
      <c r="AS861" s="6">
        <v>123</v>
      </c>
      <c r="AU861" s="17">
        <v>859</v>
      </c>
      <c r="AV861" s="6">
        <v>0.59945999999999999</v>
      </c>
      <c r="AW861" s="6">
        <v>0.61480000000000001</v>
      </c>
      <c r="AX861" s="6">
        <v>0.57599999999999996</v>
      </c>
      <c r="AY861" s="6">
        <v>123</v>
      </c>
    </row>
    <row r="862" spans="28:51" x14ac:dyDescent="0.25">
      <c r="AB862" s="17">
        <v>860</v>
      </c>
      <c r="AC862" s="6">
        <v>3.19916</v>
      </c>
      <c r="AD862" s="6">
        <v>4.0343999999999998</v>
      </c>
      <c r="AE862" s="6">
        <v>3.0737000000000001</v>
      </c>
      <c r="AF862" s="6">
        <v>123</v>
      </c>
      <c r="AH862" s="17">
        <v>860</v>
      </c>
      <c r="AI862" s="6">
        <v>6.0842000000000001</v>
      </c>
      <c r="AJ862" s="6">
        <v>4.0343999999999998</v>
      </c>
      <c r="AK862" s="6">
        <v>3.0737000000000001</v>
      </c>
      <c r="AL862" s="6">
        <v>123</v>
      </c>
      <c r="AO862" s="17">
        <v>860</v>
      </c>
      <c r="AP862" s="6">
        <v>1.14209</v>
      </c>
      <c r="AQ862" s="6">
        <v>0.67010000000000003</v>
      </c>
      <c r="AR862" s="6">
        <v>0.57699999999999996</v>
      </c>
      <c r="AS862" s="6">
        <v>123</v>
      </c>
      <c r="AU862" s="17">
        <v>860</v>
      </c>
      <c r="AV862" s="6">
        <v>0.60053000000000001</v>
      </c>
      <c r="AW862" s="6">
        <v>0.67010000000000003</v>
      </c>
      <c r="AX862" s="6">
        <v>0.57699999999999996</v>
      </c>
      <c r="AY862" s="6">
        <v>123</v>
      </c>
    </row>
    <row r="863" spans="28:51" x14ac:dyDescent="0.25">
      <c r="AB863" s="17">
        <v>861</v>
      </c>
      <c r="AC863" s="6">
        <v>3.20926</v>
      </c>
      <c r="AD863" s="6">
        <v>5.8833000000000002</v>
      </c>
      <c r="AE863" s="6">
        <v>3.0834000000000001</v>
      </c>
      <c r="AF863" s="6">
        <v>123</v>
      </c>
      <c r="AH863" s="17">
        <v>861</v>
      </c>
      <c r="AI863" s="6">
        <v>6.1033999999999997</v>
      </c>
      <c r="AJ863" s="6">
        <v>5.8833000000000002</v>
      </c>
      <c r="AK863" s="6">
        <v>3.0834000000000001</v>
      </c>
      <c r="AL863" s="6">
        <v>123</v>
      </c>
      <c r="AO863" s="17">
        <v>861</v>
      </c>
      <c r="AP863" s="6">
        <v>1.1460699999999999</v>
      </c>
      <c r="AQ863" s="6">
        <v>0.2104</v>
      </c>
      <c r="AR863" s="6">
        <v>0.57899999999999996</v>
      </c>
      <c r="AS863" s="6">
        <v>123</v>
      </c>
      <c r="AU863" s="17">
        <v>861</v>
      </c>
      <c r="AV863" s="6">
        <v>0.60262000000000004</v>
      </c>
      <c r="AW863" s="6">
        <v>0.2104</v>
      </c>
      <c r="AX863" s="6">
        <v>0.57899999999999996</v>
      </c>
      <c r="AY863" s="6">
        <v>123</v>
      </c>
    </row>
    <row r="864" spans="28:51" x14ac:dyDescent="0.25">
      <c r="AB864" s="17">
        <v>862</v>
      </c>
      <c r="AC864" s="6">
        <v>3.24715</v>
      </c>
      <c r="AD864" s="6">
        <v>12.835900000000001</v>
      </c>
      <c r="AE864" s="6">
        <v>3.1198000000000001</v>
      </c>
      <c r="AF864" s="6">
        <v>123</v>
      </c>
      <c r="AH864" s="17">
        <v>862</v>
      </c>
      <c r="AI864" s="6">
        <v>6.1753999999999998</v>
      </c>
      <c r="AJ864" s="6">
        <v>12.835900000000001</v>
      </c>
      <c r="AK864" s="6">
        <v>3.1198000000000001</v>
      </c>
      <c r="AL864" s="6">
        <v>123</v>
      </c>
      <c r="AO864" s="17">
        <v>862</v>
      </c>
      <c r="AP864" s="6">
        <v>1.16143</v>
      </c>
      <c r="AQ864" s="6">
        <v>2.5156000000000001</v>
      </c>
      <c r="AR864" s="6">
        <v>0.5867</v>
      </c>
      <c r="AS864" s="6">
        <v>123</v>
      </c>
      <c r="AU864" s="17">
        <v>862</v>
      </c>
      <c r="AV864" s="6">
        <v>0.61070000000000002</v>
      </c>
      <c r="AW864" s="6">
        <v>2.5156000000000001</v>
      </c>
      <c r="AX864" s="6">
        <v>0.5867</v>
      </c>
      <c r="AY864" s="6">
        <v>123</v>
      </c>
    </row>
    <row r="865" spans="28:51" x14ac:dyDescent="0.25">
      <c r="AB865" s="17">
        <v>863</v>
      </c>
      <c r="AC865" s="6">
        <v>3.2212299999999998</v>
      </c>
      <c r="AD865" s="6">
        <v>6.5082000000000004</v>
      </c>
      <c r="AE865" s="6">
        <v>3.0949</v>
      </c>
      <c r="AF865" s="6">
        <v>123</v>
      </c>
      <c r="AH865" s="17">
        <v>863</v>
      </c>
      <c r="AI865" s="6">
        <v>6.1261000000000001</v>
      </c>
      <c r="AJ865" s="6">
        <v>6.5082000000000004</v>
      </c>
      <c r="AK865" s="6">
        <v>3.0949</v>
      </c>
      <c r="AL865" s="6">
        <v>123</v>
      </c>
      <c r="AO865" s="17">
        <v>863</v>
      </c>
      <c r="AP865" s="6">
        <v>1.1492800000000001</v>
      </c>
      <c r="AQ865" s="6">
        <v>0.1532</v>
      </c>
      <c r="AR865" s="6">
        <v>0.5806</v>
      </c>
      <c r="AS865" s="6">
        <v>123</v>
      </c>
      <c r="AU865" s="17">
        <v>863</v>
      </c>
      <c r="AV865" s="6">
        <v>0.60431000000000001</v>
      </c>
      <c r="AW865" s="6">
        <v>0.1532</v>
      </c>
      <c r="AX865" s="6">
        <v>0.5806</v>
      </c>
      <c r="AY865" s="6">
        <v>123</v>
      </c>
    </row>
    <row r="866" spans="28:51" x14ac:dyDescent="0.25">
      <c r="AB866" s="17">
        <v>864</v>
      </c>
      <c r="AC866" s="6">
        <v>3.2147100000000002</v>
      </c>
      <c r="AD866" s="6">
        <v>17.297899999999998</v>
      </c>
      <c r="AE866" s="6">
        <v>3.0886</v>
      </c>
      <c r="AF866" s="6">
        <v>123</v>
      </c>
      <c r="AH866" s="17">
        <v>864</v>
      </c>
      <c r="AI866" s="6">
        <v>6.1138000000000003</v>
      </c>
      <c r="AJ866" s="6">
        <v>17.297899999999998</v>
      </c>
      <c r="AK866" s="6">
        <v>3.0886</v>
      </c>
      <c r="AL866" s="6">
        <v>123</v>
      </c>
      <c r="AO866" s="17">
        <v>864</v>
      </c>
      <c r="AP866" s="6">
        <v>1.1445399999999999</v>
      </c>
      <c r="AQ866" s="6">
        <v>2.8300999999999998</v>
      </c>
      <c r="AR866" s="6">
        <v>0.57820000000000005</v>
      </c>
      <c r="AS866" s="6">
        <v>123</v>
      </c>
      <c r="AU866" s="17">
        <v>864</v>
      </c>
      <c r="AV866" s="6">
        <v>0.60182000000000002</v>
      </c>
      <c r="AW866" s="6">
        <v>2.8300999999999998</v>
      </c>
      <c r="AX866" s="6">
        <v>0.57820000000000005</v>
      </c>
      <c r="AY866" s="6">
        <v>123</v>
      </c>
    </row>
    <row r="867" spans="28:51" x14ac:dyDescent="0.25">
      <c r="AB867" s="17">
        <v>865</v>
      </c>
      <c r="AC867" s="6">
        <v>3.2037300000000002</v>
      </c>
      <c r="AD867" s="6">
        <v>15.0709</v>
      </c>
      <c r="AE867" s="6">
        <v>3.0781000000000001</v>
      </c>
      <c r="AF867" s="6">
        <v>123</v>
      </c>
      <c r="AH867" s="17">
        <v>865</v>
      </c>
      <c r="AI867" s="6">
        <v>6.0929000000000002</v>
      </c>
      <c r="AJ867" s="6">
        <v>15.0709</v>
      </c>
      <c r="AK867" s="6">
        <v>3.0781000000000001</v>
      </c>
      <c r="AL867" s="6">
        <v>123</v>
      </c>
      <c r="AO867" s="17">
        <v>865</v>
      </c>
      <c r="AP867" s="6">
        <v>1.14395</v>
      </c>
      <c r="AQ867" s="6">
        <v>2.6272000000000002</v>
      </c>
      <c r="AR867" s="6">
        <v>0.57789999999999997</v>
      </c>
      <c r="AS867" s="6">
        <v>123</v>
      </c>
      <c r="AU867" s="17">
        <v>865</v>
      </c>
      <c r="AV867" s="6">
        <v>0.60150999999999999</v>
      </c>
      <c r="AW867" s="6">
        <v>2.6272000000000002</v>
      </c>
      <c r="AX867" s="6">
        <v>0.57789999999999997</v>
      </c>
      <c r="AY867" s="6">
        <v>123</v>
      </c>
    </row>
    <row r="868" spans="28:51" x14ac:dyDescent="0.25">
      <c r="AB868" s="17">
        <v>866</v>
      </c>
      <c r="AC868" s="6">
        <v>3.20953</v>
      </c>
      <c r="AD868" s="6">
        <v>6.1205999999999996</v>
      </c>
      <c r="AE868" s="6">
        <v>3.0836999999999999</v>
      </c>
      <c r="AF868" s="6">
        <v>123</v>
      </c>
      <c r="AH868" s="17">
        <v>866</v>
      </c>
      <c r="AI868" s="6">
        <v>6.1039000000000003</v>
      </c>
      <c r="AJ868" s="6">
        <v>6.1205999999999996</v>
      </c>
      <c r="AK868" s="6">
        <v>3.0836999999999999</v>
      </c>
      <c r="AL868" s="6">
        <v>123</v>
      </c>
      <c r="AO868" s="17">
        <v>866</v>
      </c>
      <c r="AP868" s="6">
        <v>1.14289</v>
      </c>
      <c r="AQ868" s="6">
        <v>1.2829999999999999</v>
      </c>
      <c r="AR868" s="6">
        <v>0.57740000000000002</v>
      </c>
      <c r="AS868" s="6">
        <v>123</v>
      </c>
      <c r="AU868" s="17">
        <v>866</v>
      </c>
      <c r="AV868" s="6">
        <v>0.60094999999999998</v>
      </c>
      <c r="AW868" s="6">
        <v>1.2829999999999999</v>
      </c>
      <c r="AX868" s="6">
        <v>0.57740000000000002</v>
      </c>
      <c r="AY868" s="6">
        <v>123</v>
      </c>
    </row>
    <row r="869" spans="28:51" x14ac:dyDescent="0.25">
      <c r="AB869" s="17">
        <v>867</v>
      </c>
      <c r="AC869" s="6">
        <v>3.20865</v>
      </c>
      <c r="AD869" s="6">
        <v>8.5879999999999992</v>
      </c>
      <c r="AE869" s="6">
        <v>3.0828000000000002</v>
      </c>
      <c r="AF869" s="6">
        <v>123</v>
      </c>
      <c r="AH869" s="17">
        <v>867</v>
      </c>
      <c r="AI869" s="6">
        <v>6.1021999999999998</v>
      </c>
      <c r="AJ869" s="6">
        <v>8.5879999999999992</v>
      </c>
      <c r="AK869" s="6">
        <v>3.0828000000000002</v>
      </c>
      <c r="AL869" s="6">
        <v>123</v>
      </c>
      <c r="AO869" s="17">
        <v>867</v>
      </c>
      <c r="AP869" s="6">
        <v>1.14395</v>
      </c>
      <c r="AQ869" s="6">
        <v>1.4936</v>
      </c>
      <c r="AR869" s="6">
        <v>0.57789999999999997</v>
      </c>
      <c r="AS869" s="6">
        <v>123</v>
      </c>
      <c r="AU869" s="17">
        <v>867</v>
      </c>
      <c r="AV869" s="6">
        <v>0.60150999999999999</v>
      </c>
      <c r="AW869" s="6">
        <v>1.4936</v>
      </c>
      <c r="AX869" s="6">
        <v>0.57789999999999997</v>
      </c>
      <c r="AY869" s="6">
        <v>123</v>
      </c>
    </row>
    <row r="870" spans="28:51" x14ac:dyDescent="0.25">
      <c r="AB870" s="17">
        <v>868</v>
      </c>
      <c r="AC870" s="6">
        <v>5.1182299999999996</v>
      </c>
      <c r="AD870" s="6">
        <v>17.543600000000001</v>
      </c>
      <c r="AE870" s="6">
        <v>4.9175000000000004</v>
      </c>
      <c r="AF870" s="6">
        <v>123</v>
      </c>
      <c r="AH870" s="17">
        <v>868</v>
      </c>
      <c r="AI870" s="6">
        <v>9.7339000000000002</v>
      </c>
      <c r="AJ870" s="6">
        <v>17.543600000000001</v>
      </c>
      <c r="AK870" s="6">
        <v>4.9175000000000004</v>
      </c>
      <c r="AL870" s="6">
        <v>123</v>
      </c>
      <c r="AO870" s="17">
        <v>868</v>
      </c>
      <c r="AP870" s="6">
        <v>1.8175699999999999</v>
      </c>
      <c r="AQ870" s="6">
        <v>2.0108999999999999</v>
      </c>
      <c r="AR870" s="6">
        <v>0.91820000000000002</v>
      </c>
      <c r="AS870" s="6">
        <v>123</v>
      </c>
      <c r="AU870" s="17">
        <v>868</v>
      </c>
      <c r="AV870" s="6">
        <v>0.95570999999999995</v>
      </c>
      <c r="AW870" s="6">
        <v>2.0108999999999999</v>
      </c>
      <c r="AX870" s="6">
        <v>0.91820000000000002</v>
      </c>
      <c r="AY870" s="6">
        <v>123</v>
      </c>
    </row>
    <row r="871" spans="28:51" x14ac:dyDescent="0.25">
      <c r="AB871" s="17">
        <v>869</v>
      </c>
      <c r="AC871" s="6">
        <v>3.2085900000000001</v>
      </c>
      <c r="AD871" s="6">
        <v>1.0993999999999999</v>
      </c>
      <c r="AE871" s="6">
        <v>3.0827</v>
      </c>
      <c r="AF871" s="6">
        <v>123</v>
      </c>
      <c r="AH871" s="17">
        <v>869</v>
      </c>
      <c r="AI871" s="6">
        <v>6.1021000000000001</v>
      </c>
      <c r="AJ871" s="6">
        <v>1.0993999999999999</v>
      </c>
      <c r="AK871" s="6">
        <v>3.0827</v>
      </c>
      <c r="AL871" s="6">
        <v>123</v>
      </c>
      <c r="AO871" s="17">
        <v>869</v>
      </c>
      <c r="AP871" s="6">
        <v>1.1402099999999999</v>
      </c>
      <c r="AQ871" s="6">
        <v>0.66969999999999996</v>
      </c>
      <c r="AR871" s="6">
        <v>0.57599999999999996</v>
      </c>
      <c r="AS871" s="6">
        <v>123</v>
      </c>
      <c r="AU871" s="17">
        <v>869</v>
      </c>
      <c r="AV871" s="6">
        <v>0.59953999999999996</v>
      </c>
      <c r="AW871" s="6">
        <v>0.66969999999999996</v>
      </c>
      <c r="AX871" s="6">
        <v>0.57599999999999996</v>
      </c>
      <c r="AY871" s="6">
        <v>123</v>
      </c>
    </row>
    <row r="872" spans="28:51" x14ac:dyDescent="0.25">
      <c r="AB872" s="17">
        <v>870</v>
      </c>
      <c r="AC872" s="6">
        <v>3.2284199999999998</v>
      </c>
      <c r="AD872" s="19">
        <v>-3.0482</v>
      </c>
      <c r="AE872" s="6">
        <v>3.1017999999999999</v>
      </c>
      <c r="AF872" s="6">
        <v>123</v>
      </c>
      <c r="AH872" s="17">
        <v>870</v>
      </c>
      <c r="AI872" s="6">
        <v>6.1398000000000001</v>
      </c>
      <c r="AJ872" s="19">
        <v>-3.0482</v>
      </c>
      <c r="AK872" s="6">
        <v>3.1017999999999999</v>
      </c>
      <c r="AL872" s="6">
        <v>123</v>
      </c>
      <c r="AO872" s="17">
        <v>870</v>
      </c>
      <c r="AP872" s="6">
        <v>1.15612</v>
      </c>
      <c r="AQ872" s="19">
        <v>-0.27179999999999999</v>
      </c>
      <c r="AR872" s="6">
        <v>0.58409999999999995</v>
      </c>
      <c r="AS872" s="6">
        <v>123</v>
      </c>
      <c r="AU872" s="17">
        <v>870</v>
      </c>
      <c r="AV872" s="6">
        <v>0.60790999999999995</v>
      </c>
      <c r="AW872" s="19">
        <v>-0.27179999999999999</v>
      </c>
      <c r="AX872" s="6">
        <v>0.58409999999999995</v>
      </c>
      <c r="AY872" s="6">
        <v>123</v>
      </c>
    </row>
    <row r="873" spans="28:51" x14ac:dyDescent="0.25">
      <c r="AB873" s="17">
        <v>871</v>
      </c>
      <c r="AC873" s="6">
        <v>3.2080799999999998</v>
      </c>
      <c r="AD873" s="6">
        <v>5.9972000000000003</v>
      </c>
      <c r="AE873" s="6">
        <v>3.0823</v>
      </c>
      <c r="AF873" s="6">
        <v>123</v>
      </c>
      <c r="AH873" s="17">
        <v>871</v>
      </c>
      <c r="AI873" s="6">
        <v>6.1010999999999997</v>
      </c>
      <c r="AJ873" s="6">
        <v>5.9972000000000003</v>
      </c>
      <c r="AK873" s="6">
        <v>3.0823</v>
      </c>
      <c r="AL873" s="6">
        <v>123</v>
      </c>
      <c r="AO873" s="17">
        <v>871</v>
      </c>
      <c r="AP873" s="6">
        <v>1.14561</v>
      </c>
      <c r="AQ873" s="19">
        <v>-0.82389999999999997</v>
      </c>
      <c r="AR873" s="6">
        <v>0.57879999999999998</v>
      </c>
      <c r="AS873" s="6">
        <v>123</v>
      </c>
      <c r="AU873" s="17">
        <v>871</v>
      </c>
      <c r="AV873" s="6">
        <v>0.60238000000000003</v>
      </c>
      <c r="AW873" s="19">
        <v>-0.82389999999999997</v>
      </c>
      <c r="AX873" s="6">
        <v>0.57879999999999998</v>
      </c>
      <c r="AY873" s="6">
        <v>123</v>
      </c>
    </row>
    <row r="874" spans="28:51" x14ac:dyDescent="0.25">
      <c r="AB874" s="17">
        <v>872</v>
      </c>
      <c r="AC874" s="6">
        <v>3.19862</v>
      </c>
      <c r="AD874" s="19">
        <v>-0.2253</v>
      </c>
      <c r="AE874" s="6">
        <v>3.0731999999999999</v>
      </c>
      <c r="AF874" s="6">
        <v>123</v>
      </c>
      <c r="AH874" s="17">
        <v>872</v>
      </c>
      <c r="AI874" s="6">
        <v>6.0831999999999997</v>
      </c>
      <c r="AJ874" s="19">
        <v>-0.2253</v>
      </c>
      <c r="AK874" s="6">
        <v>3.0731999999999999</v>
      </c>
      <c r="AL874" s="6">
        <v>123</v>
      </c>
      <c r="AO874" s="17">
        <v>872</v>
      </c>
      <c r="AP874" s="6">
        <v>1.13903</v>
      </c>
      <c r="AQ874" s="19">
        <v>-0.76859999999999995</v>
      </c>
      <c r="AR874" s="6">
        <v>0.57540000000000002</v>
      </c>
      <c r="AS874" s="6">
        <v>123</v>
      </c>
      <c r="AU874" s="17">
        <v>872</v>
      </c>
      <c r="AV874" s="6">
        <v>0.59892000000000001</v>
      </c>
      <c r="AW874" s="19">
        <v>-0.76859999999999995</v>
      </c>
      <c r="AX874" s="6">
        <v>0.57540000000000002</v>
      </c>
      <c r="AY874" s="6">
        <v>123</v>
      </c>
    </row>
    <row r="875" spans="28:51" x14ac:dyDescent="0.25">
      <c r="AB875" s="17">
        <v>873</v>
      </c>
      <c r="AC875" s="6">
        <v>3.2084199999999998</v>
      </c>
      <c r="AD875" s="6">
        <v>1.6235999999999999</v>
      </c>
      <c r="AE875" s="6">
        <v>3.0825999999999998</v>
      </c>
      <c r="AF875" s="6">
        <v>123</v>
      </c>
      <c r="AH875" s="17">
        <v>873</v>
      </c>
      <c r="AI875" s="6">
        <v>6.1017999999999999</v>
      </c>
      <c r="AJ875" s="6">
        <v>1.6235999999999999</v>
      </c>
      <c r="AK875" s="6">
        <v>3.0825999999999998</v>
      </c>
      <c r="AL875" s="6">
        <v>123</v>
      </c>
      <c r="AO875" s="17">
        <v>873</v>
      </c>
      <c r="AP875" s="6">
        <v>1.14534</v>
      </c>
      <c r="AQ875" s="19">
        <v>-1.2282999999999999</v>
      </c>
      <c r="AR875" s="6">
        <v>0.5786</v>
      </c>
      <c r="AS875" s="6">
        <v>123</v>
      </c>
      <c r="AU875" s="17">
        <v>873</v>
      </c>
      <c r="AV875" s="6">
        <v>0.60224</v>
      </c>
      <c r="AW875" s="19">
        <v>-1.2282999999999999</v>
      </c>
      <c r="AX875" s="6">
        <v>0.5786</v>
      </c>
      <c r="AY875" s="6">
        <v>123</v>
      </c>
    </row>
    <row r="876" spans="28:51" x14ac:dyDescent="0.25">
      <c r="AB876" s="17">
        <v>874</v>
      </c>
      <c r="AC876" s="6">
        <v>3.2298200000000001</v>
      </c>
      <c r="AD876" s="6">
        <v>8.5762</v>
      </c>
      <c r="AE876" s="6">
        <v>3.1031</v>
      </c>
      <c r="AF876" s="6">
        <v>123</v>
      </c>
      <c r="AH876" s="17">
        <v>874</v>
      </c>
      <c r="AI876" s="6">
        <v>6.1425000000000001</v>
      </c>
      <c r="AJ876" s="6">
        <v>8.5762</v>
      </c>
      <c r="AK876" s="6">
        <v>3.1031</v>
      </c>
      <c r="AL876" s="6">
        <v>123</v>
      </c>
      <c r="AO876" s="17">
        <v>874</v>
      </c>
      <c r="AP876" s="6">
        <v>1.15673</v>
      </c>
      <c r="AQ876" s="6">
        <v>1.0769</v>
      </c>
      <c r="AR876" s="6">
        <v>0.58440000000000003</v>
      </c>
      <c r="AS876" s="6">
        <v>123</v>
      </c>
      <c r="AU876" s="17">
        <v>874</v>
      </c>
      <c r="AV876" s="6">
        <v>0.60823000000000005</v>
      </c>
      <c r="AW876" s="6">
        <v>1.0769</v>
      </c>
      <c r="AX876" s="6">
        <v>0.58440000000000003</v>
      </c>
      <c r="AY876" s="6">
        <v>123</v>
      </c>
    </row>
    <row r="877" spans="28:51" x14ac:dyDescent="0.25">
      <c r="AB877" s="17">
        <v>875</v>
      </c>
      <c r="AC877" s="6">
        <v>3.22892</v>
      </c>
      <c r="AD877" s="6">
        <v>2.2484000000000002</v>
      </c>
      <c r="AE877" s="6">
        <v>3.1023000000000001</v>
      </c>
      <c r="AF877" s="6">
        <v>123</v>
      </c>
      <c r="AH877" s="17">
        <v>875</v>
      </c>
      <c r="AI877" s="6">
        <v>6.1407999999999996</v>
      </c>
      <c r="AJ877" s="6">
        <v>2.2484000000000002</v>
      </c>
      <c r="AK877" s="6">
        <v>3.1023000000000001</v>
      </c>
      <c r="AL877" s="6">
        <v>123</v>
      </c>
      <c r="AO877" s="17">
        <v>875</v>
      </c>
      <c r="AP877" s="6">
        <v>1.1474899999999999</v>
      </c>
      <c r="AQ877" s="19">
        <v>-1.2855000000000001</v>
      </c>
      <c r="AR877" s="6">
        <v>0.57969999999999999</v>
      </c>
      <c r="AS877" s="6">
        <v>123</v>
      </c>
      <c r="AU877" s="17">
        <v>875</v>
      </c>
      <c r="AV877" s="6">
        <v>0.60336999999999996</v>
      </c>
      <c r="AW877" s="19">
        <v>-1.2855000000000001</v>
      </c>
      <c r="AX877" s="6">
        <v>0.57969999999999999</v>
      </c>
      <c r="AY877" s="6">
        <v>123</v>
      </c>
    </row>
    <row r="878" spans="28:51" x14ac:dyDescent="0.25">
      <c r="AB878" s="17">
        <v>876</v>
      </c>
      <c r="AC878" s="6">
        <v>3.2292299999999998</v>
      </c>
      <c r="AD878" s="6">
        <v>13.0382</v>
      </c>
      <c r="AE878" s="6">
        <v>3.1025999999999998</v>
      </c>
      <c r="AF878" s="6">
        <v>123</v>
      </c>
      <c r="AH878" s="17">
        <v>876</v>
      </c>
      <c r="AI878" s="6">
        <v>6.1414</v>
      </c>
      <c r="AJ878" s="6">
        <v>13.0382</v>
      </c>
      <c r="AK878" s="6">
        <v>3.1025999999999998</v>
      </c>
      <c r="AL878" s="6">
        <v>123</v>
      </c>
      <c r="AO878" s="17">
        <v>876</v>
      </c>
      <c r="AP878" s="6">
        <v>1.1530800000000001</v>
      </c>
      <c r="AQ878" s="6">
        <v>1.3914</v>
      </c>
      <c r="AR878" s="6">
        <v>0.58250000000000002</v>
      </c>
      <c r="AS878" s="6">
        <v>123</v>
      </c>
      <c r="AU878" s="17">
        <v>876</v>
      </c>
      <c r="AV878" s="6">
        <v>0.60631000000000002</v>
      </c>
      <c r="AW878" s="6">
        <v>1.3914</v>
      </c>
      <c r="AX878" s="6">
        <v>0.58250000000000002</v>
      </c>
      <c r="AY878" s="6">
        <v>123</v>
      </c>
    </row>
    <row r="879" spans="28:51" x14ac:dyDescent="0.25">
      <c r="AB879" s="17">
        <v>877</v>
      </c>
      <c r="AC879" s="6">
        <v>3.2107100000000002</v>
      </c>
      <c r="AD879" s="6">
        <v>10.8111</v>
      </c>
      <c r="AE879" s="6">
        <v>3.0848</v>
      </c>
      <c r="AF879" s="6">
        <v>123</v>
      </c>
      <c r="AH879" s="17">
        <v>877</v>
      </c>
      <c r="AI879" s="6">
        <v>6.1060999999999996</v>
      </c>
      <c r="AJ879" s="6">
        <v>10.8111</v>
      </c>
      <c r="AK879" s="6">
        <v>3.0848</v>
      </c>
      <c r="AL879" s="6">
        <v>123</v>
      </c>
      <c r="AO879" s="17">
        <v>877</v>
      </c>
      <c r="AP879" s="6">
        <v>1.1453</v>
      </c>
      <c r="AQ879" s="6">
        <v>1.1884999999999999</v>
      </c>
      <c r="AR879" s="6">
        <v>0.5786</v>
      </c>
      <c r="AS879" s="6">
        <v>123</v>
      </c>
      <c r="AU879" s="17">
        <v>877</v>
      </c>
      <c r="AV879" s="6">
        <v>0.60221999999999998</v>
      </c>
      <c r="AW879" s="6">
        <v>1.1884999999999999</v>
      </c>
      <c r="AX879" s="6">
        <v>0.5786</v>
      </c>
      <c r="AY879" s="6">
        <v>123</v>
      </c>
    </row>
    <row r="880" spans="28:51" x14ac:dyDescent="0.25">
      <c r="AB880" s="17">
        <v>878</v>
      </c>
      <c r="AC880" s="6">
        <v>3.2126100000000002</v>
      </c>
      <c r="AD880" s="6">
        <v>1.8609</v>
      </c>
      <c r="AE880" s="6">
        <v>3.0865999999999998</v>
      </c>
      <c r="AF880" s="6">
        <v>123</v>
      </c>
      <c r="AH880" s="17">
        <v>878</v>
      </c>
      <c r="AI880" s="6">
        <v>6.1097999999999999</v>
      </c>
      <c r="AJ880" s="6">
        <v>1.8609</v>
      </c>
      <c r="AK880" s="6">
        <v>3.0865999999999998</v>
      </c>
      <c r="AL880" s="6">
        <v>123</v>
      </c>
      <c r="AO880" s="17">
        <v>878</v>
      </c>
      <c r="AP880" s="6">
        <v>1.1438200000000001</v>
      </c>
      <c r="AQ880" s="19">
        <v>-0.15570000000000001</v>
      </c>
      <c r="AR880" s="6">
        <v>0.57789999999999997</v>
      </c>
      <c r="AS880" s="6">
        <v>123</v>
      </c>
      <c r="AU880" s="17">
        <v>878</v>
      </c>
      <c r="AV880" s="6">
        <v>0.60143999999999997</v>
      </c>
      <c r="AW880" s="19">
        <v>-0.15570000000000001</v>
      </c>
      <c r="AX880" s="6">
        <v>0.57789999999999997</v>
      </c>
      <c r="AY880" s="6">
        <v>123</v>
      </c>
    </row>
    <row r="881" spans="28:51" x14ac:dyDescent="0.25">
      <c r="AB881" s="17">
        <v>879</v>
      </c>
      <c r="AC881" s="6">
        <v>3.21272</v>
      </c>
      <c r="AD881" s="6">
        <v>4.3281999999999998</v>
      </c>
      <c r="AE881" s="6">
        <v>3.0867</v>
      </c>
      <c r="AF881" s="6">
        <v>123</v>
      </c>
      <c r="AH881" s="17">
        <v>879</v>
      </c>
      <c r="AI881" s="6">
        <v>6.11</v>
      </c>
      <c r="AJ881" s="6">
        <v>4.3281999999999998</v>
      </c>
      <c r="AK881" s="6">
        <v>3.0867</v>
      </c>
      <c r="AL881" s="6">
        <v>123</v>
      </c>
      <c r="AO881" s="17">
        <v>879</v>
      </c>
      <c r="AP881" s="6">
        <v>1.1426400000000001</v>
      </c>
      <c r="AQ881" s="6">
        <v>5.4949999999999999E-2</v>
      </c>
      <c r="AR881" s="6">
        <v>0.57730000000000004</v>
      </c>
      <c r="AS881" s="6">
        <v>123</v>
      </c>
      <c r="AU881" s="17">
        <v>879</v>
      </c>
      <c r="AV881" s="6">
        <v>0.60082000000000002</v>
      </c>
      <c r="AW881" s="6">
        <v>5.4949999999999999E-2</v>
      </c>
      <c r="AX881" s="6">
        <v>0.57730000000000004</v>
      </c>
      <c r="AY881" s="6">
        <v>123</v>
      </c>
    </row>
    <row r="882" spans="28:51" x14ac:dyDescent="0.25">
      <c r="AB882" s="17">
        <v>880</v>
      </c>
      <c r="AC882" s="6">
        <v>5.12277</v>
      </c>
      <c r="AD882" s="6">
        <v>13.283799999999999</v>
      </c>
      <c r="AE882" s="6">
        <v>4.9218999999999999</v>
      </c>
      <c r="AF882" s="6">
        <v>123</v>
      </c>
      <c r="AH882" s="17">
        <v>880</v>
      </c>
      <c r="AI882" s="6">
        <v>9.7424999999999997</v>
      </c>
      <c r="AJ882" s="6">
        <v>13.283799999999999</v>
      </c>
      <c r="AK882" s="6">
        <v>4.9218999999999999</v>
      </c>
      <c r="AL882" s="6">
        <v>123</v>
      </c>
      <c r="AO882" s="17">
        <v>880</v>
      </c>
      <c r="AP882" s="6">
        <v>1.8176099999999999</v>
      </c>
      <c r="AQ882" s="6">
        <v>0.57220000000000004</v>
      </c>
      <c r="AR882" s="6">
        <v>0.91820000000000002</v>
      </c>
      <c r="AS882" s="6">
        <v>123</v>
      </c>
      <c r="AU882" s="17">
        <v>880</v>
      </c>
      <c r="AV882" s="6">
        <v>0.95572999999999997</v>
      </c>
      <c r="AW882" s="6">
        <v>0.57220000000000004</v>
      </c>
      <c r="AX882" s="6">
        <v>0.91820000000000002</v>
      </c>
      <c r="AY882" s="6">
        <v>123</v>
      </c>
    </row>
    <row r="883" spans="28:51" x14ac:dyDescent="0.25">
      <c r="AB883" s="17">
        <v>881</v>
      </c>
      <c r="AC883" s="6">
        <v>3.2202199999999999</v>
      </c>
      <c r="AD883" s="19">
        <v>-4.1475999999999997</v>
      </c>
      <c r="AE883" s="6">
        <v>3.0939000000000001</v>
      </c>
      <c r="AF883" s="6">
        <v>123</v>
      </c>
      <c r="AH883" s="17">
        <v>881</v>
      </c>
      <c r="AI883" s="6">
        <v>6.1242000000000001</v>
      </c>
      <c r="AJ883" s="19">
        <v>-4.1475999999999997</v>
      </c>
      <c r="AK883" s="6">
        <v>3.0939000000000001</v>
      </c>
      <c r="AL883" s="6">
        <v>123</v>
      </c>
      <c r="AO883" s="17">
        <v>881</v>
      </c>
      <c r="AP883" s="6">
        <v>1.1495500000000001</v>
      </c>
      <c r="AQ883" s="19">
        <v>-0.9415</v>
      </c>
      <c r="AR883" s="6">
        <v>0.58069999999999999</v>
      </c>
      <c r="AS883" s="6">
        <v>123</v>
      </c>
      <c r="AU883" s="17">
        <v>881</v>
      </c>
      <c r="AV883" s="6">
        <v>0.60445000000000004</v>
      </c>
      <c r="AW883" s="19">
        <v>-0.9415</v>
      </c>
      <c r="AX883" s="6">
        <v>0.58069999999999999</v>
      </c>
      <c r="AY883" s="6">
        <v>123</v>
      </c>
    </row>
    <row r="884" spans="28:51" x14ac:dyDescent="0.25">
      <c r="AB884" s="17">
        <v>882</v>
      </c>
      <c r="AC884" s="6">
        <v>3.2161</v>
      </c>
      <c r="AD884" s="6">
        <v>4.8978000000000002</v>
      </c>
      <c r="AE884" s="6">
        <v>3.09</v>
      </c>
      <c r="AF884" s="6">
        <v>123</v>
      </c>
      <c r="AH884" s="17">
        <v>882</v>
      </c>
      <c r="AI884" s="6">
        <v>6.1163999999999996</v>
      </c>
      <c r="AJ884" s="6">
        <v>4.8978000000000002</v>
      </c>
      <c r="AK884" s="6">
        <v>3.09</v>
      </c>
      <c r="AL884" s="6">
        <v>123</v>
      </c>
      <c r="AO884" s="17">
        <v>882</v>
      </c>
      <c r="AP884" s="6">
        <v>1.1410400000000001</v>
      </c>
      <c r="AQ884" s="19">
        <v>-1.4936</v>
      </c>
      <c r="AR884" s="6">
        <v>0.57640000000000002</v>
      </c>
      <c r="AS884" s="6">
        <v>123</v>
      </c>
      <c r="AU884" s="17">
        <v>882</v>
      </c>
      <c r="AV884" s="6">
        <v>0.59997999999999996</v>
      </c>
      <c r="AW884" s="19">
        <v>-1.4936</v>
      </c>
      <c r="AX884" s="6">
        <v>0.57640000000000002</v>
      </c>
      <c r="AY884" s="6">
        <v>123</v>
      </c>
    </row>
    <row r="885" spans="28:51" x14ac:dyDescent="0.25">
      <c r="AB885" s="17">
        <v>883</v>
      </c>
      <c r="AC885" s="6">
        <v>3.2185299999999999</v>
      </c>
      <c r="AD885" s="19">
        <v>-1.3247</v>
      </c>
      <c r="AE885" s="6">
        <v>3.0922999999999998</v>
      </c>
      <c r="AF885" s="6">
        <v>123</v>
      </c>
      <c r="AH885" s="17">
        <v>883</v>
      </c>
      <c r="AI885" s="6">
        <v>6.1210000000000004</v>
      </c>
      <c r="AJ885" s="19">
        <v>-1.3247</v>
      </c>
      <c r="AK885" s="6">
        <v>3.0922999999999998</v>
      </c>
      <c r="AL885" s="6">
        <v>123</v>
      </c>
      <c r="AO885" s="17">
        <v>883</v>
      </c>
      <c r="AP885" s="6">
        <v>1.1398200000000001</v>
      </c>
      <c r="AQ885" s="19">
        <v>-1.4382999999999999</v>
      </c>
      <c r="AR885" s="6">
        <v>0.57579999999999998</v>
      </c>
      <c r="AS885" s="6">
        <v>123</v>
      </c>
      <c r="AU885" s="17">
        <v>883</v>
      </c>
      <c r="AV885" s="6">
        <v>0.59933000000000003</v>
      </c>
      <c r="AW885" s="19">
        <v>-1.4382999999999999</v>
      </c>
      <c r="AX885" s="6">
        <v>0.57579999999999998</v>
      </c>
      <c r="AY885" s="6">
        <v>123</v>
      </c>
    </row>
    <row r="886" spans="28:51" x14ac:dyDescent="0.25">
      <c r="AB886" s="17">
        <v>884</v>
      </c>
      <c r="AC886" s="6">
        <v>3.2238799999999999</v>
      </c>
      <c r="AD886" s="6">
        <v>0.5242</v>
      </c>
      <c r="AE886" s="6">
        <v>3.0973999999999999</v>
      </c>
      <c r="AF886" s="6">
        <v>123</v>
      </c>
      <c r="AH886" s="17">
        <v>884</v>
      </c>
      <c r="AI886" s="6">
        <v>6.1311999999999998</v>
      </c>
      <c r="AJ886" s="6">
        <v>0.5242</v>
      </c>
      <c r="AK886" s="6">
        <v>3.0973999999999999</v>
      </c>
      <c r="AL886" s="6">
        <v>123</v>
      </c>
      <c r="AO886" s="17">
        <v>884</v>
      </c>
      <c r="AP886" s="6">
        <v>1.14473</v>
      </c>
      <c r="AQ886" s="19">
        <v>-1.8980999999999999</v>
      </c>
      <c r="AR886" s="6">
        <v>0.57830000000000004</v>
      </c>
      <c r="AS886" s="6">
        <v>123</v>
      </c>
      <c r="AU886" s="17">
        <v>884</v>
      </c>
      <c r="AV886" s="6">
        <v>0.60192000000000001</v>
      </c>
      <c r="AW886" s="19">
        <v>-1.8980999999999999</v>
      </c>
      <c r="AX886" s="6">
        <v>0.57830000000000004</v>
      </c>
      <c r="AY886" s="6">
        <v>123</v>
      </c>
    </row>
    <row r="887" spans="28:51" x14ac:dyDescent="0.25">
      <c r="AB887" s="17">
        <v>885</v>
      </c>
      <c r="AC887" s="6">
        <v>3.23888</v>
      </c>
      <c r="AD887" s="6">
        <v>7.4767999999999999</v>
      </c>
      <c r="AE887" s="6">
        <v>3.1118000000000001</v>
      </c>
      <c r="AF887" s="6">
        <v>123</v>
      </c>
      <c r="AH887" s="17">
        <v>885</v>
      </c>
      <c r="AI887" s="6">
        <v>6.1597</v>
      </c>
      <c r="AJ887" s="6">
        <v>7.4767999999999999</v>
      </c>
      <c r="AK887" s="6">
        <v>3.1118000000000001</v>
      </c>
      <c r="AL887" s="6">
        <v>123</v>
      </c>
      <c r="AO887" s="17">
        <v>885</v>
      </c>
      <c r="AP887" s="6">
        <v>1.15944</v>
      </c>
      <c r="AQ887" s="6">
        <v>0.40710000000000002</v>
      </c>
      <c r="AR887" s="6">
        <v>0.5857</v>
      </c>
      <c r="AS887" s="6">
        <v>123</v>
      </c>
      <c r="AU887" s="17">
        <v>885</v>
      </c>
      <c r="AV887" s="6">
        <v>0.60965000000000003</v>
      </c>
      <c r="AW887" s="6">
        <v>0.40710000000000002</v>
      </c>
      <c r="AX887" s="6">
        <v>0.5857</v>
      </c>
      <c r="AY887" s="6">
        <v>123</v>
      </c>
    </row>
    <row r="888" spans="28:51" x14ac:dyDescent="0.25">
      <c r="AB888" s="17">
        <v>886</v>
      </c>
      <c r="AC888" s="6">
        <v>3.2402099999999998</v>
      </c>
      <c r="AD888" s="6">
        <v>1.149</v>
      </c>
      <c r="AE888" s="6">
        <v>3.1131000000000002</v>
      </c>
      <c r="AF888" s="6">
        <v>123</v>
      </c>
      <c r="AH888" s="17">
        <v>886</v>
      </c>
      <c r="AI888" s="6">
        <v>6.1623000000000001</v>
      </c>
      <c r="AJ888" s="6">
        <v>1.149</v>
      </c>
      <c r="AK888" s="6">
        <v>3.1131000000000002</v>
      </c>
      <c r="AL888" s="6">
        <v>123</v>
      </c>
      <c r="AO888" s="17">
        <v>886</v>
      </c>
      <c r="AP888" s="6">
        <v>1.1531400000000001</v>
      </c>
      <c r="AQ888" s="19">
        <v>-1.9552</v>
      </c>
      <c r="AR888" s="6">
        <v>0.58260000000000001</v>
      </c>
      <c r="AS888" s="6">
        <v>123</v>
      </c>
      <c r="AU888" s="17">
        <v>886</v>
      </c>
      <c r="AV888" s="6">
        <v>0.60633999999999999</v>
      </c>
      <c r="AW888" s="19">
        <v>-1.9552</v>
      </c>
      <c r="AX888" s="6">
        <v>0.58260000000000001</v>
      </c>
      <c r="AY888" s="6">
        <v>123</v>
      </c>
    </row>
    <row r="889" spans="28:51" x14ac:dyDescent="0.25">
      <c r="AB889" s="17">
        <v>887</v>
      </c>
      <c r="AC889" s="6">
        <v>3.2421099999999998</v>
      </c>
      <c r="AD889" s="6">
        <v>11.938800000000001</v>
      </c>
      <c r="AE889" s="6">
        <v>3.1149</v>
      </c>
      <c r="AF889" s="6">
        <v>123</v>
      </c>
      <c r="AH889" s="17">
        <v>887</v>
      </c>
      <c r="AI889" s="6">
        <v>6.1658999999999997</v>
      </c>
      <c r="AJ889" s="6">
        <v>11.938800000000001</v>
      </c>
      <c r="AK889" s="6">
        <v>3.1149</v>
      </c>
      <c r="AL889" s="6">
        <v>123</v>
      </c>
      <c r="AO889" s="17">
        <v>887</v>
      </c>
      <c r="AP889" s="6">
        <v>1.15097</v>
      </c>
      <c r="AQ889" s="6">
        <v>0.72170000000000001</v>
      </c>
      <c r="AR889" s="6">
        <v>0.58150000000000002</v>
      </c>
      <c r="AS889" s="6">
        <v>123</v>
      </c>
      <c r="AU889" s="17">
        <v>887</v>
      </c>
      <c r="AV889" s="6">
        <v>0.60519999999999996</v>
      </c>
      <c r="AW889" s="6">
        <v>0.72170000000000001</v>
      </c>
      <c r="AX889" s="6">
        <v>0.58150000000000002</v>
      </c>
      <c r="AY889" s="6">
        <v>123</v>
      </c>
    </row>
    <row r="890" spans="28:51" x14ac:dyDescent="0.25">
      <c r="AB890" s="17">
        <v>888</v>
      </c>
      <c r="AC890" s="6">
        <v>3.2242299999999999</v>
      </c>
      <c r="AD890" s="6">
        <v>9.7117000000000004</v>
      </c>
      <c r="AE890" s="6">
        <v>3.0977999999999999</v>
      </c>
      <c r="AF890" s="6">
        <v>123</v>
      </c>
      <c r="AH890" s="17">
        <v>888</v>
      </c>
      <c r="AI890" s="6">
        <v>6.1318999999999999</v>
      </c>
      <c r="AJ890" s="6">
        <v>9.7117000000000004</v>
      </c>
      <c r="AK890" s="6">
        <v>3.0977999999999999</v>
      </c>
      <c r="AL890" s="6">
        <v>123</v>
      </c>
      <c r="AO890" s="17">
        <v>888</v>
      </c>
      <c r="AP890" s="6">
        <v>1.1477999999999999</v>
      </c>
      <c r="AQ890" s="6">
        <v>0.51880000000000004</v>
      </c>
      <c r="AR890" s="6">
        <v>0.57989999999999997</v>
      </c>
      <c r="AS890" s="6">
        <v>123</v>
      </c>
      <c r="AU890" s="17">
        <v>888</v>
      </c>
      <c r="AV890" s="6">
        <v>0.60353000000000001</v>
      </c>
      <c r="AW890" s="6">
        <v>0.51880000000000004</v>
      </c>
      <c r="AX890" s="6">
        <v>0.57989999999999997</v>
      </c>
      <c r="AY890" s="6">
        <v>123</v>
      </c>
    </row>
    <row r="891" spans="28:51" x14ac:dyDescent="0.25">
      <c r="AB891" s="17">
        <v>889</v>
      </c>
      <c r="AC891" s="6">
        <v>3.2012700000000001</v>
      </c>
      <c r="AD891" s="6">
        <v>0.76149999999999995</v>
      </c>
      <c r="AE891" s="6">
        <v>3.0756999999999999</v>
      </c>
      <c r="AF891" s="6">
        <v>123</v>
      </c>
      <c r="AH891" s="17">
        <v>889</v>
      </c>
      <c r="AI891" s="6">
        <v>6.0881999999999996</v>
      </c>
      <c r="AJ891" s="6">
        <v>0.76149999999999995</v>
      </c>
      <c r="AK891" s="6">
        <v>3.0756999999999999</v>
      </c>
      <c r="AL891" s="6">
        <v>123</v>
      </c>
      <c r="AO891" s="17">
        <v>889</v>
      </c>
      <c r="AP891" s="6">
        <v>1.1343700000000001</v>
      </c>
      <c r="AQ891" s="19">
        <v>-0.82550000000000001</v>
      </c>
      <c r="AR891" s="6">
        <v>0.57310000000000005</v>
      </c>
      <c r="AS891" s="6">
        <v>123</v>
      </c>
      <c r="AU891" s="17">
        <v>889</v>
      </c>
      <c r="AV891" s="6">
        <v>0.59646999999999994</v>
      </c>
      <c r="AW891" s="19">
        <v>-0.82550000000000001</v>
      </c>
      <c r="AX891" s="6">
        <v>0.57310000000000005</v>
      </c>
      <c r="AY891" s="6">
        <v>123</v>
      </c>
    </row>
    <row r="892" spans="28:51" x14ac:dyDescent="0.25">
      <c r="AB892" s="17">
        <v>890</v>
      </c>
      <c r="AC892" s="6">
        <v>3.22031</v>
      </c>
      <c r="AD892" s="6">
        <v>3.2288000000000001</v>
      </c>
      <c r="AE892" s="6">
        <v>3.0939999999999999</v>
      </c>
      <c r="AF892" s="6">
        <v>123</v>
      </c>
      <c r="AH892" s="17">
        <v>890</v>
      </c>
      <c r="AI892" s="6">
        <v>6.1243999999999996</v>
      </c>
      <c r="AJ892" s="6">
        <v>3.2288000000000001</v>
      </c>
      <c r="AK892" s="6">
        <v>3.0939999999999999</v>
      </c>
      <c r="AL892" s="6">
        <v>123</v>
      </c>
      <c r="AO892" s="17">
        <v>890</v>
      </c>
      <c r="AP892" s="6">
        <v>1.14432</v>
      </c>
      <c r="AQ892" s="19">
        <v>-0.61480000000000001</v>
      </c>
      <c r="AR892" s="6">
        <v>0.57809999999999995</v>
      </c>
      <c r="AS892" s="6">
        <v>123</v>
      </c>
      <c r="AU892" s="17">
        <v>890</v>
      </c>
      <c r="AV892" s="6">
        <v>0.60170000000000001</v>
      </c>
      <c r="AW892" s="19">
        <v>-0.61480000000000001</v>
      </c>
      <c r="AX892" s="6">
        <v>0.57809999999999995</v>
      </c>
      <c r="AY892" s="6">
        <v>123</v>
      </c>
    </row>
    <row r="893" spans="28:51" x14ac:dyDescent="0.25">
      <c r="AB893" s="17">
        <v>891</v>
      </c>
      <c r="AC893" s="6">
        <v>5.1246900000000002</v>
      </c>
      <c r="AD893" s="6">
        <v>12.1844</v>
      </c>
      <c r="AE893" s="6">
        <v>4.9237000000000002</v>
      </c>
      <c r="AF893" s="6">
        <v>123</v>
      </c>
      <c r="AH893" s="17">
        <v>891</v>
      </c>
      <c r="AI893" s="6">
        <v>9.7462</v>
      </c>
      <c r="AJ893" s="6">
        <v>12.1844</v>
      </c>
      <c r="AK893" s="6">
        <v>4.9237000000000002</v>
      </c>
      <c r="AL893" s="6">
        <v>123</v>
      </c>
      <c r="AO893" s="17">
        <v>891</v>
      </c>
      <c r="AP893" s="6">
        <v>1.81579</v>
      </c>
      <c r="AQ893" s="19">
        <v>-9.7540000000000002E-2</v>
      </c>
      <c r="AR893" s="6">
        <v>0.9173</v>
      </c>
      <c r="AS893" s="6">
        <v>123</v>
      </c>
      <c r="AU893" s="17">
        <v>891</v>
      </c>
      <c r="AV893" s="6">
        <v>0.95477000000000001</v>
      </c>
      <c r="AW893" s="19">
        <v>-9.7540000000000002E-2</v>
      </c>
      <c r="AX893" s="6">
        <v>0.9173</v>
      </c>
      <c r="AY893" s="6">
        <v>123</v>
      </c>
    </row>
    <row r="894" spans="28:51" x14ac:dyDescent="0.25">
      <c r="AB894" s="17">
        <v>892</v>
      </c>
      <c r="AC894" s="6">
        <v>3.1931500000000002</v>
      </c>
      <c r="AD894" s="6">
        <v>9.0454000000000008</v>
      </c>
      <c r="AE894" s="6">
        <v>3.0678999999999998</v>
      </c>
      <c r="AF894" s="6">
        <v>123</v>
      </c>
      <c r="AH894" s="17">
        <v>892</v>
      </c>
      <c r="AI894" s="6">
        <v>6.0727000000000002</v>
      </c>
      <c r="AJ894" s="6">
        <v>9.0454000000000008</v>
      </c>
      <c r="AK894" s="6">
        <v>3.0678999999999998</v>
      </c>
      <c r="AL894" s="6">
        <v>123</v>
      </c>
      <c r="AO894" s="17">
        <v>892</v>
      </c>
      <c r="AP894" s="6">
        <v>1.14178</v>
      </c>
      <c r="AQ894" s="19">
        <v>-0.55210000000000004</v>
      </c>
      <c r="AR894" s="6">
        <v>0.57679999999999998</v>
      </c>
      <c r="AS894" s="6">
        <v>123</v>
      </c>
      <c r="AU894" s="17">
        <v>892</v>
      </c>
      <c r="AV894" s="6">
        <v>0.60036999999999996</v>
      </c>
      <c r="AW894" s="19">
        <v>-0.55210000000000004</v>
      </c>
      <c r="AX894" s="6">
        <v>0.57679999999999998</v>
      </c>
      <c r="AY894" s="6">
        <v>123</v>
      </c>
    </row>
    <row r="895" spans="28:51" x14ac:dyDescent="0.25">
      <c r="AB895" s="17">
        <v>893</v>
      </c>
      <c r="AC895" s="6">
        <v>3.2233200000000002</v>
      </c>
      <c r="AD895" s="6">
        <v>2.8229000000000002</v>
      </c>
      <c r="AE895" s="6">
        <v>3.0969000000000002</v>
      </c>
      <c r="AF895" s="6">
        <v>123</v>
      </c>
      <c r="AH895" s="17">
        <v>893</v>
      </c>
      <c r="AI895" s="6">
        <v>6.1300999999999997</v>
      </c>
      <c r="AJ895" s="6">
        <v>2.8229000000000002</v>
      </c>
      <c r="AK895" s="6">
        <v>3.0969000000000002</v>
      </c>
      <c r="AL895" s="6">
        <v>123</v>
      </c>
      <c r="AO895" s="17">
        <v>893</v>
      </c>
      <c r="AP895" s="6">
        <v>1.1543099999999999</v>
      </c>
      <c r="AQ895" s="19">
        <v>-0.49680000000000002</v>
      </c>
      <c r="AR895" s="6">
        <v>0.58320000000000005</v>
      </c>
      <c r="AS895" s="6">
        <v>123</v>
      </c>
      <c r="AU895" s="17">
        <v>893</v>
      </c>
      <c r="AV895" s="6">
        <v>0.60696000000000006</v>
      </c>
      <c r="AW895" s="19">
        <v>-0.49680000000000002</v>
      </c>
      <c r="AX895" s="6">
        <v>0.58320000000000005</v>
      </c>
      <c r="AY895" s="6">
        <v>123</v>
      </c>
    </row>
    <row r="896" spans="28:51" x14ac:dyDescent="0.25">
      <c r="AB896" s="17">
        <v>894</v>
      </c>
      <c r="AC896" s="6">
        <v>3.2235299999999998</v>
      </c>
      <c r="AD896" s="6">
        <v>4.6718000000000002</v>
      </c>
      <c r="AE896" s="6">
        <v>3.0971000000000002</v>
      </c>
      <c r="AF896" s="6">
        <v>123</v>
      </c>
      <c r="AH896" s="17">
        <v>894</v>
      </c>
      <c r="AI896" s="6">
        <v>6.1304999999999996</v>
      </c>
      <c r="AJ896" s="6">
        <v>4.6718000000000002</v>
      </c>
      <c r="AK896" s="6">
        <v>3.0971000000000002</v>
      </c>
      <c r="AL896" s="6">
        <v>123</v>
      </c>
      <c r="AO896" s="17">
        <v>894</v>
      </c>
      <c r="AP896" s="6">
        <v>1.15343</v>
      </c>
      <c r="AQ896" s="19">
        <v>-0.95660000000000001</v>
      </c>
      <c r="AR896" s="6">
        <v>0.5827</v>
      </c>
      <c r="AS896" s="6">
        <v>123</v>
      </c>
      <c r="AU896" s="17">
        <v>894</v>
      </c>
      <c r="AV896" s="6">
        <v>0.60648999999999997</v>
      </c>
      <c r="AW896" s="19">
        <v>-0.95660000000000001</v>
      </c>
      <c r="AX896" s="6">
        <v>0.5827</v>
      </c>
      <c r="AY896" s="6">
        <v>123</v>
      </c>
    </row>
    <row r="897" spans="28:51" x14ac:dyDescent="0.25">
      <c r="AB897" s="17">
        <v>895</v>
      </c>
      <c r="AC897" s="6">
        <v>3.2495599999999998</v>
      </c>
      <c r="AD897" s="6">
        <v>11.6244</v>
      </c>
      <c r="AE897" s="6">
        <v>3.1221000000000001</v>
      </c>
      <c r="AF897" s="6">
        <v>123</v>
      </c>
      <c r="AH897" s="17">
        <v>895</v>
      </c>
      <c r="AI897" s="6">
        <v>6.18</v>
      </c>
      <c r="AJ897" s="6">
        <v>11.6244</v>
      </c>
      <c r="AK897" s="6">
        <v>3.1221000000000001</v>
      </c>
      <c r="AL897" s="6">
        <v>123</v>
      </c>
      <c r="AO897" s="17">
        <v>895</v>
      </c>
      <c r="AP897" s="6">
        <v>1.1698999999999999</v>
      </c>
      <c r="AQ897" s="6">
        <v>1.3486</v>
      </c>
      <c r="AR897" s="6">
        <v>0.59099999999999997</v>
      </c>
      <c r="AS897" s="6">
        <v>123</v>
      </c>
      <c r="AU897" s="17">
        <v>895</v>
      </c>
      <c r="AV897" s="6">
        <v>0.61514999999999997</v>
      </c>
      <c r="AW897" s="6">
        <v>1.3486</v>
      </c>
      <c r="AX897" s="6">
        <v>0.59099999999999997</v>
      </c>
      <c r="AY897" s="6">
        <v>123</v>
      </c>
    </row>
    <row r="898" spans="28:51" x14ac:dyDescent="0.25">
      <c r="AB898" s="17">
        <v>896</v>
      </c>
      <c r="AC898" s="6">
        <v>3.2573599999999998</v>
      </c>
      <c r="AD898" s="6">
        <v>5.2967000000000004</v>
      </c>
      <c r="AE898" s="6">
        <v>3.1295999999999999</v>
      </c>
      <c r="AF898" s="6">
        <v>123</v>
      </c>
      <c r="AH898" s="17">
        <v>896</v>
      </c>
      <c r="AI898" s="6">
        <v>6.1948999999999996</v>
      </c>
      <c r="AJ898" s="6">
        <v>5.2967000000000004</v>
      </c>
      <c r="AK898" s="6">
        <v>3.1295999999999999</v>
      </c>
      <c r="AL898" s="6">
        <v>123</v>
      </c>
      <c r="AO898" s="17">
        <v>896</v>
      </c>
      <c r="AP898" s="6">
        <v>1.16998</v>
      </c>
      <c r="AQ898" s="19">
        <v>-1.0137</v>
      </c>
      <c r="AR898" s="6">
        <v>0.59109999999999996</v>
      </c>
      <c r="AS898" s="6">
        <v>123</v>
      </c>
      <c r="AU898" s="17">
        <v>896</v>
      </c>
      <c r="AV898" s="6">
        <v>0.61519999999999997</v>
      </c>
      <c r="AW898" s="19">
        <v>-1.0137</v>
      </c>
      <c r="AX898" s="6">
        <v>0.59109999999999996</v>
      </c>
      <c r="AY898" s="6">
        <v>123</v>
      </c>
    </row>
    <row r="899" spans="28:51" x14ac:dyDescent="0.25">
      <c r="AB899" s="17">
        <v>897</v>
      </c>
      <c r="AC899" s="6">
        <v>3.2554099999999999</v>
      </c>
      <c r="AD899" s="6">
        <v>16.086400000000001</v>
      </c>
      <c r="AE899" s="6">
        <v>3.1276999999999999</v>
      </c>
      <c r="AF899" s="6">
        <v>123</v>
      </c>
      <c r="AH899" s="17">
        <v>897</v>
      </c>
      <c r="AI899" s="6">
        <v>6.1912000000000003</v>
      </c>
      <c r="AJ899" s="6">
        <v>16.086400000000001</v>
      </c>
      <c r="AK899" s="6">
        <v>3.1276999999999999</v>
      </c>
      <c r="AL899" s="6">
        <v>123</v>
      </c>
      <c r="AO899" s="17">
        <v>897</v>
      </c>
      <c r="AP899" s="6">
        <v>1.16676</v>
      </c>
      <c r="AQ899" s="6">
        <v>1.6632</v>
      </c>
      <c r="AR899" s="6">
        <v>0.58940000000000003</v>
      </c>
      <c r="AS899" s="6">
        <v>123</v>
      </c>
      <c r="AU899" s="17">
        <v>897</v>
      </c>
      <c r="AV899" s="6">
        <v>0.61350000000000005</v>
      </c>
      <c r="AW899" s="6">
        <v>1.6632</v>
      </c>
      <c r="AX899" s="6">
        <v>0.58940000000000003</v>
      </c>
      <c r="AY899" s="6">
        <v>123</v>
      </c>
    </row>
    <row r="900" spans="28:51" x14ac:dyDescent="0.25">
      <c r="AB900" s="17">
        <v>898</v>
      </c>
      <c r="AC900" s="6">
        <v>3.2274699999999998</v>
      </c>
      <c r="AD900" s="6">
        <v>13.859400000000001</v>
      </c>
      <c r="AE900" s="6">
        <v>3.1009000000000002</v>
      </c>
      <c r="AF900" s="6">
        <v>123</v>
      </c>
      <c r="AH900" s="17">
        <v>898</v>
      </c>
      <c r="AI900" s="6">
        <v>6.1379999999999999</v>
      </c>
      <c r="AJ900" s="6">
        <v>13.859400000000001</v>
      </c>
      <c r="AK900" s="6">
        <v>3.1009000000000002</v>
      </c>
      <c r="AL900" s="6">
        <v>123</v>
      </c>
      <c r="AO900" s="17">
        <v>898</v>
      </c>
      <c r="AP900" s="6">
        <v>1.15123</v>
      </c>
      <c r="AQ900" s="6">
        <v>1.4602999999999999</v>
      </c>
      <c r="AR900" s="6">
        <v>0.58160000000000001</v>
      </c>
      <c r="AS900" s="6">
        <v>123</v>
      </c>
      <c r="AU900" s="17">
        <v>898</v>
      </c>
      <c r="AV900" s="6">
        <v>0.60533999999999999</v>
      </c>
      <c r="AW900" s="6">
        <v>1.4602999999999999</v>
      </c>
      <c r="AX900" s="6">
        <v>0.58160000000000001</v>
      </c>
      <c r="AY900" s="6">
        <v>123</v>
      </c>
    </row>
    <row r="901" spans="28:51" x14ac:dyDescent="0.25">
      <c r="AB901" s="17">
        <v>899</v>
      </c>
      <c r="AC901" s="6">
        <v>3.2194500000000001</v>
      </c>
      <c r="AD901" s="6">
        <v>4.9090999999999996</v>
      </c>
      <c r="AE901" s="6">
        <v>3.0931999999999999</v>
      </c>
      <c r="AF901" s="6">
        <v>123</v>
      </c>
      <c r="AH901" s="17">
        <v>899</v>
      </c>
      <c r="AI901" s="6">
        <v>6.1227999999999998</v>
      </c>
      <c r="AJ901" s="6">
        <v>4.9090999999999996</v>
      </c>
      <c r="AK901" s="6">
        <v>3.0931999999999999</v>
      </c>
      <c r="AL901" s="6">
        <v>123</v>
      </c>
      <c r="AO901" s="17">
        <v>899</v>
      </c>
      <c r="AP901" s="6">
        <v>1.1526700000000001</v>
      </c>
      <c r="AQ901" s="6">
        <v>0.11600000000000001</v>
      </c>
      <c r="AR901" s="6">
        <v>0.58230000000000004</v>
      </c>
      <c r="AS901" s="6">
        <v>123</v>
      </c>
      <c r="AU901" s="17">
        <v>899</v>
      </c>
      <c r="AV901" s="6">
        <v>0.60609000000000002</v>
      </c>
      <c r="AW901" s="6">
        <v>0.11600000000000001</v>
      </c>
      <c r="AX901" s="6">
        <v>0.58230000000000004</v>
      </c>
      <c r="AY901" s="6">
        <v>123</v>
      </c>
    </row>
    <row r="902" spans="28:51" x14ac:dyDescent="0.25">
      <c r="AB902" s="17">
        <v>900</v>
      </c>
      <c r="AC902" s="6">
        <v>3.2209599999999998</v>
      </c>
      <c r="AD902" s="6">
        <v>7.3764000000000003</v>
      </c>
      <c r="AE902" s="6">
        <v>3.0945999999999998</v>
      </c>
      <c r="AF902" s="6">
        <v>123</v>
      </c>
      <c r="AH902" s="17">
        <v>900</v>
      </c>
      <c r="AI902" s="6">
        <v>6.1256000000000004</v>
      </c>
      <c r="AJ902" s="6">
        <v>7.3764000000000003</v>
      </c>
      <c r="AK902" s="6">
        <v>3.0945999999999998</v>
      </c>
      <c r="AL902" s="6">
        <v>123</v>
      </c>
      <c r="AO902" s="17">
        <v>900</v>
      </c>
      <c r="AP902" s="6">
        <v>1.1548099999999999</v>
      </c>
      <c r="AQ902" s="6">
        <v>0.32669999999999999</v>
      </c>
      <c r="AR902" s="6">
        <v>0.58340000000000003</v>
      </c>
      <c r="AS902" s="6">
        <v>123</v>
      </c>
      <c r="AU902" s="17">
        <v>900</v>
      </c>
      <c r="AV902" s="6">
        <v>0.60721999999999998</v>
      </c>
      <c r="AW902" s="6">
        <v>0.32669999999999999</v>
      </c>
      <c r="AX902" s="6">
        <v>0.58340000000000003</v>
      </c>
      <c r="AY902" s="6">
        <v>123</v>
      </c>
    </row>
    <row r="903" spans="28:51" x14ac:dyDescent="0.25">
      <c r="AB903" s="17">
        <v>901</v>
      </c>
      <c r="AC903" s="6">
        <v>5.1280900000000003</v>
      </c>
      <c r="AD903" s="6">
        <v>16.332000000000001</v>
      </c>
      <c r="AE903" s="6">
        <v>4.9269999999999996</v>
      </c>
      <c r="AF903" s="6">
        <v>123</v>
      </c>
      <c r="AH903" s="17">
        <v>901</v>
      </c>
      <c r="AI903" s="6">
        <v>9.7525999999999993</v>
      </c>
      <c r="AJ903" s="6">
        <v>16.332000000000001</v>
      </c>
      <c r="AK903" s="6">
        <v>4.9269999999999996</v>
      </c>
      <c r="AL903" s="6">
        <v>123</v>
      </c>
      <c r="AO903" s="17">
        <v>901</v>
      </c>
      <c r="AP903" s="6">
        <v>1.8181099999999999</v>
      </c>
      <c r="AQ903" s="6">
        <v>0.84389999999999998</v>
      </c>
      <c r="AR903" s="6">
        <v>0.91849999999999998</v>
      </c>
      <c r="AS903" s="6">
        <v>123</v>
      </c>
      <c r="AU903" s="17">
        <v>901</v>
      </c>
      <c r="AV903" s="6">
        <v>0.95599000000000001</v>
      </c>
      <c r="AW903" s="6">
        <v>0.84389999999999998</v>
      </c>
      <c r="AX903" s="6">
        <v>0.91849999999999998</v>
      </c>
      <c r="AY903" s="6">
        <v>123</v>
      </c>
    </row>
    <row r="904" spans="28:51" x14ac:dyDescent="0.25">
      <c r="AB904" s="17">
        <v>902</v>
      </c>
      <c r="AC904" s="6">
        <v>3.2092900000000002</v>
      </c>
      <c r="AD904" s="19">
        <v>-6.2225000000000001</v>
      </c>
      <c r="AE904" s="6">
        <v>3.0834000000000001</v>
      </c>
      <c r="AF904" s="6">
        <v>123</v>
      </c>
      <c r="AH904" s="17">
        <v>902</v>
      </c>
      <c r="AI904" s="6">
        <v>6.1033999999999997</v>
      </c>
      <c r="AJ904" s="19">
        <v>-6.2225000000000001</v>
      </c>
      <c r="AK904" s="6">
        <v>3.0834000000000001</v>
      </c>
      <c r="AL904" s="6">
        <v>123</v>
      </c>
      <c r="AO904" s="17">
        <v>902</v>
      </c>
      <c r="AP904" s="6">
        <v>1.1454</v>
      </c>
      <c r="AQ904" s="6">
        <v>5.5320000000000001E-2</v>
      </c>
      <c r="AR904" s="6">
        <v>0.5786</v>
      </c>
      <c r="AS904" s="6">
        <v>123</v>
      </c>
      <c r="AU904" s="17">
        <v>902</v>
      </c>
      <c r="AV904" s="6">
        <v>0.60226999999999997</v>
      </c>
      <c r="AW904" s="6">
        <v>5.5320000000000001E-2</v>
      </c>
      <c r="AX904" s="6">
        <v>0.5786</v>
      </c>
      <c r="AY904" s="6">
        <v>123</v>
      </c>
    </row>
    <row r="905" spans="28:51" x14ac:dyDescent="0.25">
      <c r="AB905" s="17">
        <v>903</v>
      </c>
      <c r="AC905" s="6">
        <v>3.1890100000000001</v>
      </c>
      <c r="AD905" s="19">
        <v>-4.3735999999999997</v>
      </c>
      <c r="AE905" s="6">
        <v>3.0638999999999998</v>
      </c>
      <c r="AF905" s="6">
        <v>123</v>
      </c>
      <c r="AH905" s="17">
        <v>903</v>
      </c>
      <c r="AI905" s="6">
        <v>6.0648999999999997</v>
      </c>
      <c r="AJ905" s="19">
        <v>-4.3735999999999997</v>
      </c>
      <c r="AK905" s="6">
        <v>3.0638999999999998</v>
      </c>
      <c r="AL905" s="6">
        <v>123</v>
      </c>
      <c r="AO905" s="17">
        <v>903</v>
      </c>
      <c r="AP905" s="6">
        <v>1.1342099999999999</v>
      </c>
      <c r="AQ905" s="19">
        <v>-0.40439999999999998</v>
      </c>
      <c r="AR905" s="6">
        <v>0.57299999999999995</v>
      </c>
      <c r="AS905" s="6">
        <v>123</v>
      </c>
      <c r="AU905" s="17">
        <v>903</v>
      </c>
      <c r="AV905" s="6">
        <v>0.59638999999999998</v>
      </c>
      <c r="AW905" s="19">
        <v>-0.40439999999999998</v>
      </c>
      <c r="AX905" s="6">
        <v>0.57299999999999995</v>
      </c>
      <c r="AY905" s="6">
        <v>123</v>
      </c>
    </row>
    <row r="906" spans="28:51" x14ac:dyDescent="0.25">
      <c r="AB906" s="17">
        <v>904</v>
      </c>
      <c r="AC906" s="6">
        <v>3.2387800000000002</v>
      </c>
      <c r="AD906" s="6">
        <v>2.5790000000000002</v>
      </c>
      <c r="AE906" s="6">
        <v>3.1118000000000001</v>
      </c>
      <c r="AF906" s="6">
        <v>123</v>
      </c>
      <c r="AH906" s="17">
        <v>904</v>
      </c>
      <c r="AI906" s="6">
        <v>6.1595000000000004</v>
      </c>
      <c r="AJ906" s="6">
        <v>2.5790000000000002</v>
      </c>
      <c r="AK906" s="6">
        <v>3.1118000000000001</v>
      </c>
      <c r="AL906" s="6">
        <v>123</v>
      </c>
      <c r="AO906" s="17">
        <v>904</v>
      </c>
      <c r="AP906" s="6">
        <v>1.1614199999999999</v>
      </c>
      <c r="AQ906" s="6">
        <v>1.9008</v>
      </c>
      <c r="AR906" s="6">
        <v>0.5867</v>
      </c>
      <c r="AS906" s="6">
        <v>123</v>
      </c>
      <c r="AU906" s="17">
        <v>904</v>
      </c>
      <c r="AV906" s="6">
        <v>0.61068999999999996</v>
      </c>
      <c r="AW906" s="6">
        <v>1.9008</v>
      </c>
      <c r="AX906" s="6">
        <v>0.5867</v>
      </c>
      <c r="AY906" s="6">
        <v>123</v>
      </c>
    </row>
    <row r="907" spans="28:51" x14ac:dyDescent="0.25">
      <c r="AB907" s="17">
        <v>905</v>
      </c>
      <c r="AC907" s="6">
        <v>3.2184499999999998</v>
      </c>
      <c r="AD907" s="19">
        <v>-3.7488000000000001</v>
      </c>
      <c r="AE907" s="6">
        <v>3.0922000000000001</v>
      </c>
      <c r="AF907" s="6">
        <v>123</v>
      </c>
      <c r="AH907" s="17">
        <v>905</v>
      </c>
      <c r="AI907" s="6">
        <v>6.1208999999999998</v>
      </c>
      <c r="AJ907" s="19">
        <v>-3.7488000000000001</v>
      </c>
      <c r="AK907" s="6">
        <v>3.0922000000000001</v>
      </c>
      <c r="AL907" s="6">
        <v>123</v>
      </c>
      <c r="AO907" s="17">
        <v>905</v>
      </c>
      <c r="AP907" s="6">
        <v>1.1489799999999999</v>
      </c>
      <c r="AQ907" s="19">
        <v>-0.46160000000000001</v>
      </c>
      <c r="AR907" s="6">
        <v>0.58050000000000002</v>
      </c>
      <c r="AS907" s="6">
        <v>123</v>
      </c>
      <c r="AU907" s="17">
        <v>905</v>
      </c>
      <c r="AV907" s="6">
        <v>0.60414999999999996</v>
      </c>
      <c r="AW907" s="19">
        <v>-0.46160000000000001</v>
      </c>
      <c r="AX907" s="6">
        <v>0.58050000000000002</v>
      </c>
      <c r="AY907" s="6">
        <v>123</v>
      </c>
    </row>
    <row r="908" spans="28:51" x14ac:dyDescent="0.25">
      <c r="AB908" s="17">
        <v>906</v>
      </c>
      <c r="AC908" s="6">
        <v>3.2255799999999999</v>
      </c>
      <c r="AD908" s="6">
        <v>7.0410000000000004</v>
      </c>
      <c r="AE908" s="6">
        <v>3.0991</v>
      </c>
      <c r="AF908" s="6">
        <v>123</v>
      </c>
      <c r="AH908" s="17">
        <v>906</v>
      </c>
      <c r="AI908" s="6">
        <v>6.1344000000000003</v>
      </c>
      <c r="AJ908" s="6">
        <v>7.0410000000000004</v>
      </c>
      <c r="AK908" s="6">
        <v>3.0991</v>
      </c>
      <c r="AL908" s="6">
        <v>123</v>
      </c>
      <c r="AO908" s="17">
        <v>906</v>
      </c>
      <c r="AP908" s="6">
        <v>1.15324</v>
      </c>
      <c r="AQ908" s="6">
        <v>2.2153</v>
      </c>
      <c r="AR908" s="6">
        <v>0.58260000000000001</v>
      </c>
      <c r="AS908" s="6">
        <v>123</v>
      </c>
      <c r="AU908" s="17">
        <v>906</v>
      </c>
      <c r="AV908" s="6">
        <v>0.60638999999999998</v>
      </c>
      <c r="AW908" s="6">
        <v>2.2153</v>
      </c>
      <c r="AX908" s="6">
        <v>0.58260000000000001</v>
      </c>
      <c r="AY908" s="6">
        <v>123</v>
      </c>
    </row>
    <row r="909" spans="28:51" x14ac:dyDescent="0.25">
      <c r="AB909" s="17">
        <v>907</v>
      </c>
      <c r="AC909" s="6">
        <v>3.20241</v>
      </c>
      <c r="AD909" s="6">
        <v>4.8139000000000003</v>
      </c>
      <c r="AE909" s="6">
        <v>3.0768</v>
      </c>
      <c r="AF909" s="6">
        <v>123</v>
      </c>
      <c r="AH909" s="17">
        <v>907</v>
      </c>
      <c r="AI909" s="6">
        <v>6.0903999999999998</v>
      </c>
      <c r="AJ909" s="6">
        <v>4.8139000000000003</v>
      </c>
      <c r="AK909" s="6">
        <v>3.0768</v>
      </c>
      <c r="AL909" s="6">
        <v>123</v>
      </c>
      <c r="AO909" s="17">
        <v>907</v>
      </c>
      <c r="AP909" s="6">
        <v>1.14053</v>
      </c>
      <c r="AQ909" s="6">
        <v>2.0124</v>
      </c>
      <c r="AR909" s="6">
        <v>0.57620000000000005</v>
      </c>
      <c r="AS909" s="6">
        <v>123</v>
      </c>
      <c r="AU909" s="17">
        <v>907</v>
      </c>
      <c r="AV909" s="6">
        <v>0.59970999999999997</v>
      </c>
      <c r="AW909" s="6">
        <v>2.0124</v>
      </c>
      <c r="AX909" s="6">
        <v>0.57620000000000005</v>
      </c>
      <c r="AY909" s="6">
        <v>123</v>
      </c>
    </row>
    <row r="910" spans="28:51" x14ac:dyDescent="0.25">
      <c r="AB910" s="17">
        <v>908</v>
      </c>
      <c r="AC910" s="6">
        <v>3.20424</v>
      </c>
      <c r="AD910" s="19">
        <v>-4.1363000000000003</v>
      </c>
      <c r="AE910" s="6">
        <v>3.0785999999999998</v>
      </c>
      <c r="AF910" s="6">
        <v>123</v>
      </c>
      <c r="AH910" s="17">
        <v>908</v>
      </c>
      <c r="AI910" s="6">
        <v>6.0937999999999999</v>
      </c>
      <c r="AJ910" s="19">
        <v>-4.1363000000000003</v>
      </c>
      <c r="AK910" s="6">
        <v>3.0785999999999998</v>
      </c>
      <c r="AL910" s="6">
        <v>123</v>
      </c>
      <c r="AO910" s="17">
        <v>908</v>
      </c>
      <c r="AP910" s="6">
        <v>1.1414200000000001</v>
      </c>
      <c r="AQ910" s="6">
        <v>0.66820000000000002</v>
      </c>
      <c r="AR910" s="6">
        <v>0.5766</v>
      </c>
      <c r="AS910" s="6">
        <v>123</v>
      </c>
      <c r="AU910" s="17">
        <v>908</v>
      </c>
      <c r="AV910" s="6">
        <v>0.60018000000000005</v>
      </c>
      <c r="AW910" s="6">
        <v>0.66820000000000002</v>
      </c>
      <c r="AX910" s="6">
        <v>0.5766</v>
      </c>
      <c r="AY910" s="6">
        <v>123</v>
      </c>
    </row>
    <row r="911" spans="28:51" x14ac:dyDescent="0.25">
      <c r="AB911" s="17">
        <v>909</v>
      </c>
      <c r="AC911" s="6">
        <v>3.2036099999999998</v>
      </c>
      <c r="AD911" s="19">
        <v>-1.669</v>
      </c>
      <c r="AE911" s="6">
        <v>3.0779999999999998</v>
      </c>
      <c r="AF911" s="6">
        <v>123</v>
      </c>
      <c r="AH911" s="17">
        <v>909</v>
      </c>
      <c r="AI911" s="6">
        <v>6.0926</v>
      </c>
      <c r="AJ911" s="19">
        <v>-1.669</v>
      </c>
      <c r="AK911" s="6">
        <v>3.0779999999999998</v>
      </c>
      <c r="AL911" s="6">
        <v>123</v>
      </c>
      <c r="AO911" s="17">
        <v>909</v>
      </c>
      <c r="AP911" s="6">
        <v>1.14097</v>
      </c>
      <c r="AQ911" s="6">
        <v>0.87880000000000003</v>
      </c>
      <c r="AR911" s="6">
        <v>0.57640000000000002</v>
      </c>
      <c r="AS911" s="6">
        <v>123</v>
      </c>
      <c r="AU911" s="17">
        <v>909</v>
      </c>
      <c r="AV911" s="6">
        <v>0.59994000000000003</v>
      </c>
      <c r="AW911" s="6">
        <v>0.87880000000000003</v>
      </c>
      <c r="AX911" s="6">
        <v>0.57640000000000002</v>
      </c>
      <c r="AY911" s="6">
        <v>123</v>
      </c>
    </row>
    <row r="912" spans="28:51" x14ac:dyDescent="0.25">
      <c r="AB912" s="17">
        <v>910</v>
      </c>
      <c r="AC912" s="6">
        <v>5.1058899999999996</v>
      </c>
      <c r="AD912" s="6">
        <v>7.2866</v>
      </c>
      <c r="AE912" s="6">
        <v>4.9055999999999997</v>
      </c>
      <c r="AF912" s="6">
        <v>123</v>
      </c>
      <c r="AH912" s="17">
        <v>910</v>
      </c>
      <c r="AI912" s="6">
        <v>9.7103999999999999</v>
      </c>
      <c r="AJ912" s="6">
        <v>7.2866</v>
      </c>
      <c r="AK912" s="6">
        <v>4.9055999999999997</v>
      </c>
      <c r="AL912" s="6">
        <v>123</v>
      </c>
      <c r="AO912" s="17">
        <v>910</v>
      </c>
      <c r="AP912" s="6">
        <v>1.8141400000000001</v>
      </c>
      <c r="AQ912" s="6">
        <v>1.3960999999999999</v>
      </c>
      <c r="AR912" s="6">
        <v>0.91649999999999998</v>
      </c>
      <c r="AS912" s="6">
        <v>123</v>
      </c>
      <c r="AU912" s="17">
        <v>910</v>
      </c>
      <c r="AV912" s="6">
        <v>0.95389999999999997</v>
      </c>
      <c r="AW912" s="6">
        <v>1.3960999999999999</v>
      </c>
      <c r="AX912" s="6">
        <v>0.91649999999999998</v>
      </c>
      <c r="AY912" s="6">
        <v>123</v>
      </c>
    </row>
    <row r="913" spans="28:51" x14ac:dyDescent="0.25">
      <c r="AB913" s="17">
        <v>911</v>
      </c>
      <c r="AC913" s="6">
        <v>3.2063899999999999</v>
      </c>
      <c r="AD913" s="6">
        <v>1.8489</v>
      </c>
      <c r="AE913" s="6">
        <v>3.0806</v>
      </c>
      <c r="AF913" s="6">
        <v>123</v>
      </c>
      <c r="AH913" s="17">
        <v>911</v>
      </c>
      <c r="AI913" s="6">
        <v>6.0979000000000001</v>
      </c>
      <c r="AJ913" s="6">
        <v>1.8489</v>
      </c>
      <c r="AK913" s="6">
        <v>3.0806</v>
      </c>
      <c r="AL913" s="6">
        <v>123</v>
      </c>
      <c r="AO913" s="17">
        <v>911</v>
      </c>
      <c r="AP913" s="6">
        <v>1.1448</v>
      </c>
      <c r="AQ913" s="19">
        <v>-0.45979999999999999</v>
      </c>
      <c r="AR913" s="6">
        <v>0.57830000000000004</v>
      </c>
      <c r="AS913" s="6">
        <v>123</v>
      </c>
      <c r="AU913" s="17">
        <v>911</v>
      </c>
      <c r="AV913" s="6">
        <v>0.60194999999999999</v>
      </c>
      <c r="AW913" s="19">
        <v>-0.45979999999999999</v>
      </c>
      <c r="AX913" s="6">
        <v>0.57830000000000004</v>
      </c>
      <c r="AY913" s="6">
        <v>123</v>
      </c>
    </row>
    <row r="914" spans="28:51" x14ac:dyDescent="0.25">
      <c r="AB914" s="17">
        <v>912</v>
      </c>
      <c r="AC914" s="6">
        <v>3.24499</v>
      </c>
      <c r="AD914" s="6">
        <v>8.8015000000000008</v>
      </c>
      <c r="AE914" s="6">
        <v>3.1177000000000001</v>
      </c>
      <c r="AF914" s="6">
        <v>123</v>
      </c>
      <c r="AH914" s="17">
        <v>912</v>
      </c>
      <c r="AI914" s="6">
        <v>6.1712999999999996</v>
      </c>
      <c r="AJ914" s="6">
        <v>8.8015000000000008</v>
      </c>
      <c r="AK914" s="6">
        <v>3.1177000000000001</v>
      </c>
      <c r="AL914" s="6">
        <v>123</v>
      </c>
      <c r="AO914" s="17">
        <v>912</v>
      </c>
      <c r="AP914" s="6">
        <v>1.1653</v>
      </c>
      <c r="AQ914" s="6">
        <v>1.8453999999999999</v>
      </c>
      <c r="AR914" s="6">
        <v>0.5887</v>
      </c>
      <c r="AS914" s="6">
        <v>123</v>
      </c>
      <c r="AU914" s="17">
        <v>912</v>
      </c>
      <c r="AV914" s="6">
        <v>0.61273</v>
      </c>
      <c r="AW914" s="6">
        <v>1.8453999999999999</v>
      </c>
      <c r="AX914" s="6">
        <v>0.5887</v>
      </c>
      <c r="AY914" s="6">
        <v>123</v>
      </c>
    </row>
    <row r="915" spans="28:51" x14ac:dyDescent="0.25">
      <c r="AB915" s="17">
        <v>913</v>
      </c>
      <c r="AC915" s="6">
        <v>3.2303799999999998</v>
      </c>
      <c r="AD915" s="6">
        <v>2.4737</v>
      </c>
      <c r="AE915" s="6">
        <v>3.1036999999999999</v>
      </c>
      <c r="AF915" s="6">
        <v>123</v>
      </c>
      <c r="AH915" s="17">
        <v>913</v>
      </c>
      <c r="AI915" s="6">
        <v>6.1436000000000002</v>
      </c>
      <c r="AJ915" s="6">
        <v>2.4737</v>
      </c>
      <c r="AK915" s="6">
        <v>3.1036999999999999</v>
      </c>
      <c r="AL915" s="6">
        <v>123</v>
      </c>
      <c r="AO915" s="17">
        <v>913</v>
      </c>
      <c r="AP915" s="6">
        <v>1.15428</v>
      </c>
      <c r="AQ915" s="19">
        <v>-0.51690000000000003</v>
      </c>
      <c r="AR915" s="6">
        <v>0.58309999999999995</v>
      </c>
      <c r="AS915" s="6">
        <v>123</v>
      </c>
      <c r="AU915" s="17">
        <v>913</v>
      </c>
      <c r="AV915" s="6">
        <v>0.60694000000000004</v>
      </c>
      <c r="AW915" s="19">
        <v>-0.51690000000000003</v>
      </c>
      <c r="AX915" s="6">
        <v>0.58309999999999995</v>
      </c>
      <c r="AY915" s="6">
        <v>123</v>
      </c>
    </row>
    <row r="916" spans="28:51" x14ac:dyDescent="0.25">
      <c r="AB916" s="17">
        <v>914</v>
      </c>
      <c r="AC916" s="6">
        <v>3.22871</v>
      </c>
      <c r="AD916" s="6">
        <v>13.263500000000001</v>
      </c>
      <c r="AE916" s="6">
        <v>3.1021000000000001</v>
      </c>
      <c r="AF916" s="6">
        <v>123</v>
      </c>
      <c r="AH916" s="17">
        <v>914</v>
      </c>
      <c r="AI916" s="6">
        <v>6.1403999999999996</v>
      </c>
      <c r="AJ916" s="6">
        <v>13.263500000000001</v>
      </c>
      <c r="AK916" s="6">
        <v>3.1021000000000001</v>
      </c>
      <c r="AL916" s="6">
        <v>123</v>
      </c>
      <c r="AO916" s="17">
        <v>914</v>
      </c>
      <c r="AP916" s="6">
        <v>1.1556299999999999</v>
      </c>
      <c r="AQ916" s="6">
        <v>2.16</v>
      </c>
      <c r="AR916" s="6">
        <v>0.58379999999999999</v>
      </c>
      <c r="AS916" s="6">
        <v>123</v>
      </c>
      <c r="AU916" s="17">
        <v>914</v>
      </c>
      <c r="AV916" s="6">
        <v>0.60765000000000002</v>
      </c>
      <c r="AW916" s="6">
        <v>2.16</v>
      </c>
      <c r="AX916" s="6">
        <v>0.58379999999999999</v>
      </c>
      <c r="AY916" s="6">
        <v>123</v>
      </c>
    </row>
    <row r="917" spans="28:51" x14ac:dyDescent="0.25">
      <c r="AB917" s="17">
        <v>915</v>
      </c>
      <c r="AC917" s="6">
        <v>3.2025100000000002</v>
      </c>
      <c r="AD917" s="6">
        <v>11.0364</v>
      </c>
      <c r="AE917" s="6">
        <v>3.0769000000000002</v>
      </c>
      <c r="AF917" s="6">
        <v>123</v>
      </c>
      <c r="AH917" s="17">
        <v>915</v>
      </c>
      <c r="AI917" s="6">
        <v>6.0906000000000002</v>
      </c>
      <c r="AJ917" s="6">
        <v>11.0364</v>
      </c>
      <c r="AK917" s="6">
        <v>3.0769000000000002</v>
      </c>
      <c r="AL917" s="6">
        <v>123</v>
      </c>
      <c r="AO917" s="17">
        <v>915</v>
      </c>
      <c r="AP917" s="6">
        <v>1.14195</v>
      </c>
      <c r="AQ917" s="6">
        <v>1.9571000000000001</v>
      </c>
      <c r="AR917" s="6">
        <v>0.57689999999999997</v>
      </c>
      <c r="AS917" s="6">
        <v>123</v>
      </c>
      <c r="AU917" s="17">
        <v>915</v>
      </c>
      <c r="AV917" s="6">
        <v>0.60045999999999999</v>
      </c>
      <c r="AW917" s="6">
        <v>1.9571000000000001</v>
      </c>
      <c r="AX917" s="6">
        <v>0.57689999999999997</v>
      </c>
      <c r="AY917" s="6">
        <v>123</v>
      </c>
    </row>
    <row r="918" spans="28:51" x14ac:dyDescent="0.25">
      <c r="AB918" s="17">
        <v>916</v>
      </c>
      <c r="AC918" s="6">
        <v>3.2012499999999999</v>
      </c>
      <c r="AD918" s="6">
        <v>2.0861999999999998</v>
      </c>
      <c r="AE918" s="6">
        <v>3.0756999999999999</v>
      </c>
      <c r="AF918" s="6">
        <v>123</v>
      </c>
      <c r="AH918" s="17">
        <v>916</v>
      </c>
      <c r="AI918" s="6">
        <v>6.0881999999999996</v>
      </c>
      <c r="AJ918" s="6">
        <v>2.0861999999999998</v>
      </c>
      <c r="AK918" s="6">
        <v>3.0756999999999999</v>
      </c>
      <c r="AL918" s="6">
        <v>123</v>
      </c>
      <c r="AO918" s="17">
        <v>916</v>
      </c>
      <c r="AP918" s="6">
        <v>1.1411199999999999</v>
      </c>
      <c r="AQ918" s="6">
        <v>0.61280000000000001</v>
      </c>
      <c r="AR918" s="6">
        <v>0.57650000000000001</v>
      </c>
      <c r="AS918" s="6">
        <v>123</v>
      </c>
      <c r="AU918" s="17">
        <v>916</v>
      </c>
      <c r="AV918" s="6">
        <v>0.60002</v>
      </c>
      <c r="AW918" s="6">
        <v>0.61280000000000001</v>
      </c>
      <c r="AX918" s="6">
        <v>0.57650000000000001</v>
      </c>
      <c r="AY918" s="6">
        <v>123</v>
      </c>
    </row>
    <row r="919" spans="28:51" x14ac:dyDescent="0.25">
      <c r="AB919" s="17">
        <v>917</v>
      </c>
      <c r="AC919" s="6">
        <v>3.2157900000000001</v>
      </c>
      <c r="AD919" s="6">
        <v>4.5534999999999997</v>
      </c>
      <c r="AE919" s="6">
        <v>3.0897000000000001</v>
      </c>
      <c r="AF919" s="6">
        <v>123</v>
      </c>
      <c r="AH919" s="17">
        <v>917</v>
      </c>
      <c r="AI919" s="6">
        <v>6.1158000000000001</v>
      </c>
      <c r="AJ919" s="6">
        <v>4.5534999999999997</v>
      </c>
      <c r="AK919" s="6">
        <v>3.0897000000000001</v>
      </c>
      <c r="AL919" s="6">
        <v>123</v>
      </c>
      <c r="AO919" s="17">
        <v>917</v>
      </c>
      <c r="AP919" s="6">
        <v>1.1470100000000001</v>
      </c>
      <c r="AQ919" s="6">
        <v>0.82350000000000001</v>
      </c>
      <c r="AR919" s="6">
        <v>0.57950000000000002</v>
      </c>
      <c r="AS919" s="6">
        <v>123</v>
      </c>
      <c r="AU919" s="17">
        <v>917</v>
      </c>
      <c r="AV919" s="6">
        <v>0.60311999999999999</v>
      </c>
      <c r="AW919" s="6">
        <v>0.82350000000000001</v>
      </c>
      <c r="AX919" s="6">
        <v>0.57950000000000002</v>
      </c>
      <c r="AY919" s="6">
        <v>123</v>
      </c>
    </row>
    <row r="920" spans="28:51" x14ac:dyDescent="0.25">
      <c r="AB920" s="17">
        <v>918</v>
      </c>
      <c r="AC920" s="6">
        <v>5.12019</v>
      </c>
      <c r="AD920" s="6">
        <v>13.5091</v>
      </c>
      <c r="AE920" s="6">
        <v>4.9194000000000004</v>
      </c>
      <c r="AF920" s="6">
        <v>123</v>
      </c>
      <c r="AH920" s="17">
        <v>918</v>
      </c>
      <c r="AI920" s="6">
        <v>9.7376000000000005</v>
      </c>
      <c r="AJ920" s="6">
        <v>13.5091</v>
      </c>
      <c r="AK920" s="6">
        <v>4.9194000000000004</v>
      </c>
      <c r="AL920" s="6">
        <v>123</v>
      </c>
      <c r="AO920" s="17">
        <v>918</v>
      </c>
      <c r="AP920" s="6">
        <v>1.81887</v>
      </c>
      <c r="AQ920" s="6">
        <v>1.3408</v>
      </c>
      <c r="AR920" s="6">
        <v>0.91890000000000005</v>
      </c>
      <c r="AS920" s="6">
        <v>123</v>
      </c>
      <c r="AU920" s="17">
        <v>918</v>
      </c>
      <c r="AV920" s="6">
        <v>0.95638999999999996</v>
      </c>
      <c r="AW920" s="6">
        <v>1.3408</v>
      </c>
      <c r="AX920" s="6">
        <v>0.91890000000000005</v>
      </c>
      <c r="AY920" s="6">
        <v>123</v>
      </c>
    </row>
    <row r="921" spans="28:51" x14ac:dyDescent="0.25">
      <c r="AB921" s="17">
        <v>919</v>
      </c>
      <c r="AC921" s="6">
        <v>3.2448999999999999</v>
      </c>
      <c r="AD921" s="6">
        <v>6.9526000000000003</v>
      </c>
      <c r="AE921" s="6">
        <v>3.1175999999999999</v>
      </c>
      <c r="AF921" s="6">
        <v>123</v>
      </c>
      <c r="AH921" s="17">
        <v>919</v>
      </c>
      <c r="AI921" s="6">
        <v>6.1711999999999998</v>
      </c>
      <c r="AJ921" s="6">
        <v>6.9526000000000003</v>
      </c>
      <c r="AK921" s="6">
        <v>3.1175999999999999</v>
      </c>
      <c r="AL921" s="6">
        <v>123</v>
      </c>
      <c r="AO921" s="17">
        <v>919</v>
      </c>
      <c r="AP921" s="6">
        <v>1.1633599999999999</v>
      </c>
      <c r="AQ921" s="6">
        <v>2.3052000000000001</v>
      </c>
      <c r="AR921" s="6">
        <v>0.5877</v>
      </c>
      <c r="AS921" s="6">
        <v>123</v>
      </c>
      <c r="AU921" s="17">
        <v>919</v>
      </c>
      <c r="AV921" s="6">
        <v>0.61170999999999998</v>
      </c>
      <c r="AW921" s="6">
        <v>2.3052000000000001</v>
      </c>
      <c r="AX921" s="6">
        <v>0.5877</v>
      </c>
      <c r="AY921" s="6">
        <v>123</v>
      </c>
    </row>
    <row r="922" spans="28:51" x14ac:dyDescent="0.25">
      <c r="AB922" s="17">
        <v>920</v>
      </c>
      <c r="AC922" s="6">
        <v>3.2204700000000002</v>
      </c>
      <c r="AD922" s="6">
        <v>0.62490000000000001</v>
      </c>
      <c r="AE922" s="6">
        <v>3.0941999999999998</v>
      </c>
      <c r="AF922" s="6">
        <v>123</v>
      </c>
      <c r="AH922" s="17">
        <v>920</v>
      </c>
      <c r="AI922" s="6">
        <v>6.1246999999999998</v>
      </c>
      <c r="AJ922" s="6">
        <v>0.62490000000000001</v>
      </c>
      <c r="AK922" s="6">
        <v>3.0941999999999998</v>
      </c>
      <c r="AL922" s="6">
        <v>123</v>
      </c>
      <c r="AO922" s="17">
        <v>920</v>
      </c>
      <c r="AP922" s="6">
        <v>1.15283</v>
      </c>
      <c r="AQ922" s="19">
        <v>-5.7119999999999997E-2</v>
      </c>
      <c r="AR922" s="6">
        <v>0.58240000000000003</v>
      </c>
      <c r="AS922" s="6">
        <v>123</v>
      </c>
      <c r="AU922" s="17">
        <v>920</v>
      </c>
      <c r="AV922" s="6">
        <v>0.60618000000000005</v>
      </c>
      <c r="AW922" s="19">
        <v>-5.7119999999999997E-2</v>
      </c>
      <c r="AX922" s="6">
        <v>0.58240000000000003</v>
      </c>
      <c r="AY922" s="6">
        <v>123</v>
      </c>
    </row>
    <row r="923" spans="28:51" x14ac:dyDescent="0.25">
      <c r="AB923" s="17">
        <v>921</v>
      </c>
      <c r="AC923" s="6">
        <v>3.2058900000000001</v>
      </c>
      <c r="AD923" s="6">
        <v>11.4146</v>
      </c>
      <c r="AE923" s="6">
        <v>3.0800999999999998</v>
      </c>
      <c r="AF923" s="6">
        <v>123</v>
      </c>
      <c r="AH923" s="17">
        <v>921</v>
      </c>
      <c r="AI923" s="6">
        <v>6.0970000000000004</v>
      </c>
      <c r="AJ923" s="6">
        <v>11.4146</v>
      </c>
      <c r="AK923" s="6">
        <v>3.0800999999999998</v>
      </c>
      <c r="AL923" s="6">
        <v>123</v>
      </c>
      <c r="AO923" s="17">
        <v>921</v>
      </c>
      <c r="AP923" s="6">
        <v>1.14401</v>
      </c>
      <c r="AQ923" s="6">
        <v>2.6198000000000001</v>
      </c>
      <c r="AR923" s="6">
        <v>0.57789999999999997</v>
      </c>
      <c r="AS923" s="6">
        <v>123</v>
      </c>
      <c r="AU923" s="17">
        <v>921</v>
      </c>
      <c r="AV923" s="6">
        <v>0.60153999999999996</v>
      </c>
      <c r="AW923" s="6">
        <v>2.6198000000000001</v>
      </c>
      <c r="AX923" s="6">
        <v>0.57789999999999997</v>
      </c>
      <c r="AY923" s="6">
        <v>123</v>
      </c>
    </row>
    <row r="924" spans="28:51" x14ac:dyDescent="0.25">
      <c r="AB924" s="17">
        <v>922</v>
      </c>
      <c r="AC924" s="6">
        <v>3.1974499999999999</v>
      </c>
      <c r="AD924" s="6">
        <v>9.1875</v>
      </c>
      <c r="AE924" s="6">
        <v>3.0720000000000001</v>
      </c>
      <c r="AF924" s="6">
        <v>123</v>
      </c>
      <c r="AH924" s="17">
        <v>922</v>
      </c>
      <c r="AI924" s="6">
        <v>6.0808999999999997</v>
      </c>
      <c r="AJ924" s="6">
        <v>9.1875</v>
      </c>
      <c r="AK924" s="6">
        <v>3.0720000000000001</v>
      </c>
      <c r="AL924" s="6">
        <v>123</v>
      </c>
      <c r="AO924" s="17">
        <v>922</v>
      </c>
      <c r="AP924" s="6">
        <v>1.14137</v>
      </c>
      <c r="AQ924" s="6">
        <v>2.4169</v>
      </c>
      <c r="AR924" s="6">
        <v>0.5766</v>
      </c>
      <c r="AS924" s="6">
        <v>123</v>
      </c>
      <c r="AU924" s="17">
        <v>922</v>
      </c>
      <c r="AV924" s="6">
        <v>0.60014999999999996</v>
      </c>
      <c r="AW924" s="6">
        <v>2.4169</v>
      </c>
      <c r="AX924" s="6">
        <v>0.5766</v>
      </c>
      <c r="AY924" s="6">
        <v>123</v>
      </c>
    </row>
    <row r="925" spans="28:51" x14ac:dyDescent="0.25">
      <c r="AB925" s="17">
        <v>923</v>
      </c>
      <c r="AC925" s="6">
        <v>3.2058399999999998</v>
      </c>
      <c r="AD925" s="6">
        <v>0.23730000000000001</v>
      </c>
      <c r="AE925" s="6">
        <v>3.0800999999999998</v>
      </c>
      <c r="AF925" s="6">
        <v>123</v>
      </c>
      <c r="AH925" s="17">
        <v>923</v>
      </c>
      <c r="AI925" s="6">
        <v>6.0968999999999998</v>
      </c>
      <c r="AJ925" s="6">
        <v>0.23730000000000001</v>
      </c>
      <c r="AK925" s="6">
        <v>3.0800999999999998</v>
      </c>
      <c r="AL925" s="6">
        <v>123</v>
      </c>
      <c r="AO925" s="17">
        <v>923</v>
      </c>
      <c r="AP925" s="6">
        <v>1.14242</v>
      </c>
      <c r="AQ925" s="6">
        <v>1.0726</v>
      </c>
      <c r="AR925" s="6">
        <v>0.57709999999999995</v>
      </c>
      <c r="AS925" s="6">
        <v>123</v>
      </c>
      <c r="AU925" s="17">
        <v>923</v>
      </c>
      <c r="AV925" s="6">
        <v>0.60070000000000001</v>
      </c>
      <c r="AW925" s="6">
        <v>1.0726</v>
      </c>
      <c r="AX925" s="6">
        <v>0.57709999999999995</v>
      </c>
      <c r="AY925" s="6">
        <v>123</v>
      </c>
    </row>
    <row r="926" spans="28:51" x14ac:dyDescent="0.25">
      <c r="AB926" s="17">
        <v>924</v>
      </c>
      <c r="AC926" s="6">
        <v>3.2015099999999999</v>
      </c>
      <c r="AD926" s="6">
        <v>2.7046000000000001</v>
      </c>
      <c r="AE926" s="6">
        <v>3.0758999999999999</v>
      </c>
      <c r="AF926" s="6">
        <v>123</v>
      </c>
      <c r="AH926" s="17">
        <v>924</v>
      </c>
      <c r="AI926" s="6">
        <v>6.0885999999999996</v>
      </c>
      <c r="AJ926" s="6">
        <v>2.7046000000000001</v>
      </c>
      <c r="AK926" s="6">
        <v>3.0758999999999999</v>
      </c>
      <c r="AL926" s="6">
        <v>123</v>
      </c>
      <c r="AO926" s="17">
        <v>924</v>
      </c>
      <c r="AP926" s="6">
        <v>1.13913</v>
      </c>
      <c r="AQ926" s="6">
        <v>1.2833000000000001</v>
      </c>
      <c r="AR926" s="6">
        <v>0.57550000000000001</v>
      </c>
      <c r="AS926" s="6">
        <v>123</v>
      </c>
      <c r="AU926" s="17">
        <v>924</v>
      </c>
      <c r="AV926" s="6">
        <v>0.59897</v>
      </c>
      <c r="AW926" s="6">
        <v>1.2833000000000001</v>
      </c>
      <c r="AX926" s="6">
        <v>0.57550000000000001</v>
      </c>
      <c r="AY926" s="6">
        <v>123</v>
      </c>
    </row>
    <row r="927" spans="28:51" x14ac:dyDescent="0.25">
      <c r="AB927" s="17">
        <v>925</v>
      </c>
      <c r="AC927" s="6">
        <v>5.1108000000000002</v>
      </c>
      <c r="AD927" s="6">
        <v>11.6602</v>
      </c>
      <c r="AE927" s="6">
        <v>4.9104000000000001</v>
      </c>
      <c r="AF927" s="6">
        <v>123</v>
      </c>
      <c r="AH927" s="17">
        <v>925</v>
      </c>
      <c r="AI927" s="6">
        <v>9.7196999999999996</v>
      </c>
      <c r="AJ927" s="6">
        <v>11.6602</v>
      </c>
      <c r="AK927" s="6">
        <v>4.9104000000000001</v>
      </c>
      <c r="AL927" s="6">
        <v>123</v>
      </c>
      <c r="AO927" s="17">
        <v>925</v>
      </c>
      <c r="AP927" s="6">
        <v>1.8129599999999999</v>
      </c>
      <c r="AQ927" s="6">
        <v>1.8005</v>
      </c>
      <c r="AR927" s="6">
        <v>0.91590000000000005</v>
      </c>
      <c r="AS927" s="6">
        <v>123</v>
      </c>
      <c r="AU927" s="17">
        <v>925</v>
      </c>
      <c r="AV927" s="6">
        <v>0.95328000000000002</v>
      </c>
      <c r="AW927" s="6">
        <v>1.8005</v>
      </c>
      <c r="AX927" s="6">
        <v>0.91590000000000005</v>
      </c>
      <c r="AY927" s="6">
        <v>123</v>
      </c>
    </row>
    <row r="928" spans="28:51" x14ac:dyDescent="0.25">
      <c r="AB928" s="17">
        <v>926</v>
      </c>
      <c r="AC928" s="6">
        <v>3.2672500000000002</v>
      </c>
      <c r="AD928" s="19">
        <v>-6.3277999999999999</v>
      </c>
      <c r="AE928" s="6">
        <v>3.1391</v>
      </c>
      <c r="AF928" s="6">
        <v>123</v>
      </c>
      <c r="AH928" s="17">
        <v>926</v>
      </c>
      <c r="AI928" s="6">
        <v>6.2137000000000002</v>
      </c>
      <c r="AJ928" s="19">
        <v>-6.3277999999999999</v>
      </c>
      <c r="AK928" s="6">
        <v>3.1391</v>
      </c>
      <c r="AL928" s="6">
        <v>123</v>
      </c>
      <c r="AO928" s="17">
        <v>926</v>
      </c>
      <c r="AP928" s="6">
        <v>1.1720699999999999</v>
      </c>
      <c r="AQ928" s="19">
        <v>-2.3622999999999998</v>
      </c>
      <c r="AR928" s="6">
        <v>0.59209999999999996</v>
      </c>
      <c r="AS928" s="6">
        <v>123</v>
      </c>
      <c r="AU928" s="17">
        <v>926</v>
      </c>
      <c r="AV928" s="6">
        <v>0.61629</v>
      </c>
      <c r="AW928" s="19">
        <v>-2.3622999999999998</v>
      </c>
      <c r="AX928" s="6">
        <v>0.59209999999999996</v>
      </c>
      <c r="AY928" s="6">
        <v>123</v>
      </c>
    </row>
    <row r="929" spans="28:51" x14ac:dyDescent="0.25">
      <c r="AB929" s="17">
        <v>927</v>
      </c>
      <c r="AC929" s="6">
        <v>3.2673100000000002</v>
      </c>
      <c r="AD929" s="6">
        <v>4.4619999999999997</v>
      </c>
      <c r="AE929" s="6">
        <v>3.1392000000000002</v>
      </c>
      <c r="AF929" s="6">
        <v>123</v>
      </c>
      <c r="AH929" s="17">
        <v>927</v>
      </c>
      <c r="AI929" s="6">
        <v>6.2138</v>
      </c>
      <c r="AJ929" s="6">
        <v>4.4619999999999997</v>
      </c>
      <c r="AK929" s="6">
        <v>3.1392000000000002</v>
      </c>
      <c r="AL929" s="6">
        <v>123</v>
      </c>
      <c r="AO929" s="17">
        <v>927</v>
      </c>
      <c r="AP929" s="6">
        <v>1.17578</v>
      </c>
      <c r="AQ929" s="6">
        <v>0.3145</v>
      </c>
      <c r="AR929" s="6">
        <v>0.59399999999999997</v>
      </c>
      <c r="AS929" s="6">
        <v>123</v>
      </c>
      <c r="AU929" s="17">
        <v>927</v>
      </c>
      <c r="AV929" s="6">
        <v>0.61824000000000001</v>
      </c>
      <c r="AW929" s="6">
        <v>0.3145</v>
      </c>
      <c r="AX929" s="6">
        <v>0.59399999999999997</v>
      </c>
      <c r="AY929" s="6">
        <v>123</v>
      </c>
    </row>
    <row r="930" spans="28:51" x14ac:dyDescent="0.25">
      <c r="AB930" s="17">
        <v>928</v>
      </c>
      <c r="AC930" s="6">
        <v>3.24912</v>
      </c>
      <c r="AD930" s="6">
        <v>2.2349000000000001</v>
      </c>
      <c r="AE930" s="6">
        <v>3.1217000000000001</v>
      </c>
      <c r="AF930" s="6">
        <v>123</v>
      </c>
      <c r="AH930" s="17">
        <v>928</v>
      </c>
      <c r="AI930" s="6">
        <v>6.1791999999999998</v>
      </c>
      <c r="AJ930" s="6">
        <v>2.2349000000000001</v>
      </c>
      <c r="AK930" s="6">
        <v>3.1217000000000001</v>
      </c>
      <c r="AL930" s="6">
        <v>123</v>
      </c>
      <c r="AO930" s="17">
        <v>928</v>
      </c>
      <c r="AP930" s="6">
        <v>1.1679299999999999</v>
      </c>
      <c r="AQ930" s="6">
        <v>0.11169999999999999</v>
      </c>
      <c r="AR930" s="6">
        <v>0.59</v>
      </c>
      <c r="AS930" s="6">
        <v>123</v>
      </c>
      <c r="AU930" s="17">
        <v>928</v>
      </c>
      <c r="AV930" s="6">
        <v>0.61412</v>
      </c>
      <c r="AW930" s="6">
        <v>0.11169999999999999</v>
      </c>
      <c r="AX930" s="6">
        <v>0.59</v>
      </c>
      <c r="AY930" s="6">
        <v>123</v>
      </c>
    </row>
    <row r="931" spans="28:51" x14ac:dyDescent="0.25">
      <c r="AB931" s="17">
        <v>929</v>
      </c>
      <c r="AC931" s="6">
        <v>3.2186300000000001</v>
      </c>
      <c r="AD931" s="19">
        <v>-6.7153</v>
      </c>
      <c r="AE931" s="6">
        <v>3.0924</v>
      </c>
      <c r="AF931" s="6">
        <v>123</v>
      </c>
      <c r="AH931" s="17">
        <v>929</v>
      </c>
      <c r="AI931" s="6">
        <v>6.1212</v>
      </c>
      <c r="AJ931" s="19">
        <v>-6.7153</v>
      </c>
      <c r="AK931" s="6">
        <v>3.0924</v>
      </c>
      <c r="AL931" s="6">
        <v>123</v>
      </c>
      <c r="AO931" s="17">
        <v>929</v>
      </c>
      <c r="AP931" s="6">
        <v>1.1550199999999999</v>
      </c>
      <c r="AQ931" s="19">
        <v>-1.2325999999999999</v>
      </c>
      <c r="AR931" s="6">
        <v>0.58350000000000002</v>
      </c>
      <c r="AS931" s="6">
        <v>123</v>
      </c>
      <c r="AU931" s="17">
        <v>929</v>
      </c>
      <c r="AV931" s="6">
        <v>0.60733000000000004</v>
      </c>
      <c r="AW931" s="19">
        <v>-1.2325999999999999</v>
      </c>
      <c r="AX931" s="6">
        <v>0.58350000000000002</v>
      </c>
      <c r="AY931" s="6">
        <v>123</v>
      </c>
    </row>
    <row r="932" spans="28:51" x14ac:dyDescent="0.25">
      <c r="AB932" s="17">
        <v>930</v>
      </c>
      <c r="AC932" s="6">
        <v>3.2353399999999999</v>
      </c>
      <c r="AD932" s="19">
        <v>-4.2480000000000002</v>
      </c>
      <c r="AE932" s="6">
        <v>3.1084999999999998</v>
      </c>
      <c r="AF932" s="6">
        <v>123</v>
      </c>
      <c r="AH932" s="17">
        <v>930</v>
      </c>
      <c r="AI932" s="6">
        <v>6.1529999999999996</v>
      </c>
      <c r="AJ932" s="19">
        <v>-4.2480000000000002</v>
      </c>
      <c r="AK932" s="6">
        <v>3.1084999999999998</v>
      </c>
      <c r="AL932" s="6">
        <v>123</v>
      </c>
      <c r="AO932" s="17">
        <v>930</v>
      </c>
      <c r="AP932" s="6">
        <v>1.1593500000000001</v>
      </c>
      <c r="AQ932" s="19">
        <v>-1.0219</v>
      </c>
      <c r="AR932" s="6">
        <v>0.5857</v>
      </c>
      <c r="AS932" s="6">
        <v>123</v>
      </c>
      <c r="AU932" s="17">
        <v>930</v>
      </c>
      <c r="AV932" s="6">
        <v>0.60960999999999999</v>
      </c>
      <c r="AW932" s="19">
        <v>-1.0219</v>
      </c>
      <c r="AX932" s="6">
        <v>0.5857</v>
      </c>
      <c r="AY932" s="6">
        <v>123</v>
      </c>
    </row>
    <row r="933" spans="28:51" x14ac:dyDescent="0.25">
      <c r="AB933" s="17">
        <v>931</v>
      </c>
      <c r="AC933" s="6">
        <v>5.1405700000000003</v>
      </c>
      <c r="AD933" s="6">
        <v>4.7076000000000002</v>
      </c>
      <c r="AE933" s="6">
        <v>4.9390000000000001</v>
      </c>
      <c r="AF933" s="6">
        <v>123</v>
      </c>
      <c r="AH933" s="17">
        <v>931</v>
      </c>
      <c r="AI933" s="6">
        <v>9.7764000000000006</v>
      </c>
      <c r="AJ933" s="6">
        <v>4.7076000000000002</v>
      </c>
      <c r="AK933" s="6">
        <v>4.9390000000000001</v>
      </c>
      <c r="AL933" s="6">
        <v>123</v>
      </c>
      <c r="AO933" s="17">
        <v>931</v>
      </c>
      <c r="AP933" s="6">
        <v>1.83023</v>
      </c>
      <c r="AQ933" s="19">
        <v>-0.50470000000000004</v>
      </c>
      <c r="AR933" s="6">
        <v>0.92459999999999998</v>
      </c>
      <c r="AS933" s="6">
        <v>123</v>
      </c>
      <c r="AU933" s="17">
        <v>931</v>
      </c>
      <c r="AV933" s="6">
        <v>0.96236999999999995</v>
      </c>
      <c r="AW933" s="19">
        <v>-0.50470000000000004</v>
      </c>
      <c r="AX933" s="6">
        <v>0.92459999999999998</v>
      </c>
      <c r="AY933" s="6">
        <v>123</v>
      </c>
    </row>
    <row r="934" spans="28:51" x14ac:dyDescent="0.25">
      <c r="AB934" s="17">
        <v>932</v>
      </c>
      <c r="AC934" s="6">
        <v>3.2434699999999999</v>
      </c>
      <c r="AD934" s="6">
        <v>10.7897</v>
      </c>
      <c r="AE934" s="6">
        <v>3.1162999999999998</v>
      </c>
      <c r="AF934" s="6">
        <v>123</v>
      </c>
      <c r="AH934" s="17">
        <v>932</v>
      </c>
      <c r="AI934" s="6">
        <v>6.1684000000000001</v>
      </c>
      <c r="AJ934" s="6">
        <v>10.7897</v>
      </c>
      <c r="AK934" s="6">
        <v>3.1162999999999998</v>
      </c>
      <c r="AL934" s="6">
        <v>123</v>
      </c>
      <c r="AO934" s="17">
        <v>932</v>
      </c>
      <c r="AP934" s="6">
        <v>1.1593500000000001</v>
      </c>
      <c r="AQ934" s="6">
        <v>2.6768999999999998</v>
      </c>
      <c r="AR934" s="6">
        <v>0.5857</v>
      </c>
      <c r="AS934" s="6">
        <v>123</v>
      </c>
      <c r="AU934" s="17">
        <v>932</v>
      </c>
      <c r="AV934" s="6">
        <v>0.60960999999999999</v>
      </c>
      <c r="AW934" s="6">
        <v>2.6768999999999998</v>
      </c>
      <c r="AX934" s="6">
        <v>0.5857</v>
      </c>
      <c r="AY934" s="6">
        <v>123</v>
      </c>
    </row>
    <row r="935" spans="28:51" x14ac:dyDescent="0.25">
      <c r="AB935" s="17">
        <v>933</v>
      </c>
      <c r="AC935" s="6">
        <v>3.2171799999999999</v>
      </c>
      <c r="AD935" s="6">
        <v>8.5626999999999995</v>
      </c>
      <c r="AE935" s="6">
        <v>3.0910000000000002</v>
      </c>
      <c r="AF935" s="6">
        <v>123</v>
      </c>
      <c r="AH935" s="17">
        <v>933</v>
      </c>
      <c r="AI935" s="6">
        <v>6.1184000000000003</v>
      </c>
      <c r="AJ935" s="6">
        <v>8.5626999999999995</v>
      </c>
      <c r="AK935" s="6">
        <v>3.0910000000000002</v>
      </c>
      <c r="AL935" s="6">
        <v>123</v>
      </c>
      <c r="AO935" s="17">
        <v>933</v>
      </c>
      <c r="AP935" s="6">
        <v>1.1486700000000001</v>
      </c>
      <c r="AQ935" s="6">
        <v>2.4740000000000002</v>
      </c>
      <c r="AR935" s="6">
        <v>0.58030000000000004</v>
      </c>
      <c r="AS935" s="6">
        <v>123</v>
      </c>
      <c r="AU935" s="17">
        <v>933</v>
      </c>
      <c r="AV935" s="6">
        <v>0.60399000000000003</v>
      </c>
      <c r="AW935" s="6">
        <v>2.4740000000000002</v>
      </c>
      <c r="AX935" s="6">
        <v>0.58030000000000004</v>
      </c>
      <c r="AY935" s="6">
        <v>123</v>
      </c>
    </row>
    <row r="936" spans="28:51" x14ac:dyDescent="0.25">
      <c r="AB936" s="17">
        <v>934</v>
      </c>
      <c r="AC936" s="6">
        <v>3.2334399999999999</v>
      </c>
      <c r="AD936" s="19">
        <v>-0.38750000000000001</v>
      </c>
      <c r="AE936" s="6">
        <v>3.1065999999999998</v>
      </c>
      <c r="AF936" s="6">
        <v>123</v>
      </c>
      <c r="AH936" s="17">
        <v>934</v>
      </c>
      <c r="AI936" s="6">
        <v>6.1494</v>
      </c>
      <c r="AJ936" s="19">
        <v>-0.38750000000000001</v>
      </c>
      <c r="AK936" s="6">
        <v>3.1065999999999998</v>
      </c>
      <c r="AL936" s="6">
        <v>123</v>
      </c>
      <c r="AO936" s="17">
        <v>934</v>
      </c>
      <c r="AP936" s="6">
        <v>1.1490100000000001</v>
      </c>
      <c r="AQ936" s="6">
        <v>1.1296999999999999</v>
      </c>
      <c r="AR936" s="6">
        <v>0.58050000000000002</v>
      </c>
      <c r="AS936" s="6">
        <v>123</v>
      </c>
      <c r="AU936" s="17">
        <v>934</v>
      </c>
      <c r="AV936" s="6">
        <v>0.60416999999999998</v>
      </c>
      <c r="AW936" s="6">
        <v>1.1296999999999999</v>
      </c>
      <c r="AX936" s="6">
        <v>0.58050000000000002</v>
      </c>
      <c r="AY936" s="6">
        <v>123</v>
      </c>
    </row>
    <row r="937" spans="28:51" x14ac:dyDescent="0.25">
      <c r="AB937" s="17">
        <v>935</v>
      </c>
      <c r="AC937" s="6">
        <v>3.2202600000000001</v>
      </c>
      <c r="AD937" s="6">
        <v>2.0798000000000001</v>
      </c>
      <c r="AE937" s="6">
        <v>3.0939999999999999</v>
      </c>
      <c r="AF937" s="6">
        <v>123</v>
      </c>
      <c r="AH937" s="17">
        <v>935</v>
      </c>
      <c r="AI937" s="6">
        <v>6.1242999999999999</v>
      </c>
      <c r="AJ937" s="6">
        <v>2.0798000000000001</v>
      </c>
      <c r="AK937" s="6">
        <v>3.0939999999999999</v>
      </c>
      <c r="AL937" s="6">
        <v>123</v>
      </c>
      <c r="AO937" s="17">
        <v>935</v>
      </c>
      <c r="AP937" s="6">
        <v>1.14456</v>
      </c>
      <c r="AQ937" s="6">
        <v>1.3404</v>
      </c>
      <c r="AR937" s="6">
        <v>0.57820000000000005</v>
      </c>
      <c r="AS937" s="6">
        <v>123</v>
      </c>
      <c r="AU937" s="17">
        <v>935</v>
      </c>
      <c r="AV937" s="6">
        <v>0.60182999999999998</v>
      </c>
      <c r="AW937" s="6">
        <v>1.3404</v>
      </c>
      <c r="AX937" s="6">
        <v>0.57820000000000005</v>
      </c>
      <c r="AY937" s="6">
        <v>123</v>
      </c>
    </row>
    <row r="938" spans="28:51" x14ac:dyDescent="0.25">
      <c r="AB938" s="17">
        <v>936</v>
      </c>
      <c r="AC938" s="6">
        <v>5.1310500000000001</v>
      </c>
      <c r="AD938" s="6">
        <v>11.035399999999999</v>
      </c>
      <c r="AE938" s="6">
        <v>4.9298000000000002</v>
      </c>
      <c r="AF938" s="6">
        <v>123</v>
      </c>
      <c r="AH938" s="17">
        <v>936</v>
      </c>
      <c r="AI938" s="6">
        <v>9.7583000000000002</v>
      </c>
      <c r="AJ938" s="6">
        <v>11.035399999999999</v>
      </c>
      <c r="AK938" s="6">
        <v>4.9298000000000002</v>
      </c>
      <c r="AL938" s="6">
        <v>123</v>
      </c>
      <c r="AO938" s="17">
        <v>936</v>
      </c>
      <c r="AP938" s="6">
        <v>1.8234900000000001</v>
      </c>
      <c r="AQ938" s="6">
        <v>1.8575999999999999</v>
      </c>
      <c r="AR938" s="6">
        <v>0.92120000000000002</v>
      </c>
      <c r="AS938" s="6">
        <v>123</v>
      </c>
      <c r="AU938" s="17">
        <v>936</v>
      </c>
      <c r="AV938" s="6">
        <v>0.95882000000000001</v>
      </c>
      <c r="AW938" s="6">
        <v>1.8575999999999999</v>
      </c>
      <c r="AX938" s="6">
        <v>0.92120000000000002</v>
      </c>
      <c r="AY938" s="6">
        <v>123</v>
      </c>
    </row>
    <row r="939" spans="28:51" x14ac:dyDescent="0.25">
      <c r="AB939" s="17">
        <v>937</v>
      </c>
      <c r="AC939" s="6">
        <v>3.22153</v>
      </c>
      <c r="AD939" s="19">
        <v>-2.2271000000000001</v>
      </c>
      <c r="AE939" s="6">
        <v>3.0952000000000002</v>
      </c>
      <c r="AF939" s="6">
        <v>123</v>
      </c>
      <c r="AH939" s="17">
        <v>937</v>
      </c>
      <c r="AI939" s="6">
        <v>6.1266999999999996</v>
      </c>
      <c r="AJ939" s="19">
        <v>-2.2271000000000001</v>
      </c>
      <c r="AK939" s="6">
        <v>3.0952000000000002</v>
      </c>
      <c r="AL939" s="6">
        <v>123</v>
      </c>
      <c r="AO939" s="17">
        <v>937</v>
      </c>
      <c r="AP939" s="6">
        <v>1.1511800000000001</v>
      </c>
      <c r="AQ939" s="19">
        <v>-0.2029</v>
      </c>
      <c r="AR939" s="6">
        <v>0.58160000000000001</v>
      </c>
      <c r="AS939" s="6">
        <v>123</v>
      </c>
      <c r="AU939" s="17">
        <v>937</v>
      </c>
      <c r="AV939" s="6">
        <v>0.60531000000000001</v>
      </c>
      <c r="AW939" s="19">
        <v>-0.2029</v>
      </c>
      <c r="AX939" s="6">
        <v>0.58160000000000001</v>
      </c>
      <c r="AY939" s="6">
        <v>123</v>
      </c>
    </row>
    <row r="940" spans="28:51" x14ac:dyDescent="0.25">
      <c r="AB940" s="17">
        <v>938</v>
      </c>
      <c r="AC940" s="6">
        <v>3.22498</v>
      </c>
      <c r="AD940" s="19">
        <v>-11.177300000000001</v>
      </c>
      <c r="AE940" s="6">
        <v>3.0985</v>
      </c>
      <c r="AF940" s="6">
        <v>123</v>
      </c>
      <c r="AH940" s="17">
        <v>938</v>
      </c>
      <c r="AI940" s="6">
        <v>6.1333000000000002</v>
      </c>
      <c r="AJ940" s="19">
        <v>-11.177300000000001</v>
      </c>
      <c r="AK940" s="6">
        <v>3.0985</v>
      </c>
      <c r="AL940" s="6">
        <v>123</v>
      </c>
      <c r="AO940" s="17">
        <v>938</v>
      </c>
      <c r="AP940" s="6">
        <v>1.15198</v>
      </c>
      <c r="AQ940" s="19">
        <v>-1.5471999999999999</v>
      </c>
      <c r="AR940" s="6">
        <v>0.58199999999999996</v>
      </c>
      <c r="AS940" s="6">
        <v>123</v>
      </c>
      <c r="AU940" s="17">
        <v>938</v>
      </c>
      <c r="AV940" s="6">
        <v>0.60572999999999999</v>
      </c>
      <c r="AW940" s="19">
        <v>-1.5471999999999999</v>
      </c>
      <c r="AX940" s="6">
        <v>0.58199999999999996</v>
      </c>
      <c r="AY940" s="6">
        <v>123</v>
      </c>
    </row>
    <row r="941" spans="28:51" x14ac:dyDescent="0.25">
      <c r="AB941" s="17">
        <v>939</v>
      </c>
      <c r="AC941" s="6">
        <v>3.2339500000000001</v>
      </c>
      <c r="AD941" s="19">
        <v>-8.7100000000000009</v>
      </c>
      <c r="AE941" s="6">
        <v>3.1071</v>
      </c>
      <c r="AF941" s="6">
        <v>123</v>
      </c>
      <c r="AH941" s="17">
        <v>939</v>
      </c>
      <c r="AI941" s="6">
        <v>6.1502999999999997</v>
      </c>
      <c r="AJ941" s="19">
        <v>-8.7100000000000009</v>
      </c>
      <c r="AK941" s="6">
        <v>3.1071</v>
      </c>
      <c r="AL941" s="6">
        <v>123</v>
      </c>
      <c r="AO941" s="17">
        <v>939</v>
      </c>
      <c r="AP941" s="6">
        <v>1.15602</v>
      </c>
      <c r="AQ941" s="19">
        <v>-1.3365</v>
      </c>
      <c r="AR941" s="6">
        <v>0.58399999999999996</v>
      </c>
      <c r="AS941" s="6">
        <v>123</v>
      </c>
      <c r="AU941" s="17">
        <v>939</v>
      </c>
      <c r="AV941" s="6">
        <v>0.60785</v>
      </c>
      <c r="AW941" s="19">
        <v>-1.3365</v>
      </c>
      <c r="AX941" s="6">
        <v>0.58399999999999996</v>
      </c>
      <c r="AY941" s="6">
        <v>123</v>
      </c>
    </row>
    <row r="942" spans="28:51" x14ac:dyDescent="0.25">
      <c r="AB942" s="17">
        <v>940</v>
      </c>
      <c r="AC942" s="6">
        <v>5.1310200000000004</v>
      </c>
      <c r="AD942" s="6">
        <v>0.24560000000000001</v>
      </c>
      <c r="AE942" s="6">
        <v>4.9298000000000002</v>
      </c>
      <c r="AF942" s="6">
        <v>123</v>
      </c>
      <c r="AH942" s="17">
        <v>940</v>
      </c>
      <c r="AI942" s="6">
        <v>9.7582000000000004</v>
      </c>
      <c r="AJ942" s="6">
        <v>0.24560000000000001</v>
      </c>
      <c r="AK942" s="6">
        <v>4.9298000000000002</v>
      </c>
      <c r="AL942" s="6">
        <v>123</v>
      </c>
      <c r="AO942" s="17">
        <v>940</v>
      </c>
      <c r="AP942" s="6">
        <v>1.82317</v>
      </c>
      <c r="AQ942" s="19">
        <v>-0.81920000000000004</v>
      </c>
      <c r="AR942" s="6">
        <v>0.92110000000000003</v>
      </c>
      <c r="AS942" s="6">
        <v>123</v>
      </c>
      <c r="AU942" s="17">
        <v>940</v>
      </c>
      <c r="AV942" s="6">
        <v>0.95865</v>
      </c>
      <c r="AW942" s="19">
        <v>-0.81920000000000004</v>
      </c>
      <c r="AX942" s="6">
        <v>0.92110000000000003</v>
      </c>
      <c r="AY942" s="6">
        <v>123</v>
      </c>
    </row>
    <row r="943" spans="28:51" x14ac:dyDescent="0.25">
      <c r="AB943" s="17">
        <v>941</v>
      </c>
      <c r="AC943" s="6">
        <v>3.2031299999999998</v>
      </c>
      <c r="AD943" s="19">
        <v>-8.9502000000000006</v>
      </c>
      <c r="AE943" s="6">
        <v>3.0775000000000001</v>
      </c>
      <c r="AF943" s="6">
        <v>123</v>
      </c>
      <c r="AH943" s="17">
        <v>941</v>
      </c>
      <c r="AI943" s="6">
        <v>6.0917000000000003</v>
      </c>
      <c r="AJ943" s="19">
        <v>-8.9502000000000006</v>
      </c>
      <c r="AK943" s="6">
        <v>3.0775000000000001</v>
      </c>
      <c r="AL943" s="6">
        <v>123</v>
      </c>
      <c r="AO943" s="17">
        <v>941</v>
      </c>
      <c r="AP943" s="6">
        <v>1.14164</v>
      </c>
      <c r="AQ943" s="19">
        <v>-1.3443000000000001</v>
      </c>
      <c r="AR943" s="6">
        <v>0.57679999999999998</v>
      </c>
      <c r="AS943" s="6">
        <v>123</v>
      </c>
      <c r="AU943" s="17">
        <v>941</v>
      </c>
      <c r="AV943" s="6">
        <v>0.60029999999999994</v>
      </c>
      <c r="AW943" s="19">
        <v>-1.3443000000000001</v>
      </c>
      <c r="AX943" s="6">
        <v>0.57679999999999998</v>
      </c>
      <c r="AY943" s="6">
        <v>123</v>
      </c>
    </row>
    <row r="944" spans="28:51" x14ac:dyDescent="0.25">
      <c r="AB944" s="17">
        <v>942</v>
      </c>
      <c r="AC944" s="6">
        <v>3.2086299999999999</v>
      </c>
      <c r="AD944" s="19">
        <v>-6.4828999999999999</v>
      </c>
      <c r="AE944" s="6">
        <v>3.0828000000000002</v>
      </c>
      <c r="AF944" s="6">
        <v>123</v>
      </c>
      <c r="AH944" s="17">
        <v>942</v>
      </c>
      <c r="AI944" s="6">
        <v>6.1021999999999998</v>
      </c>
      <c r="AJ944" s="19">
        <v>-6.4828999999999999</v>
      </c>
      <c r="AK944" s="6">
        <v>3.0828000000000002</v>
      </c>
      <c r="AL944" s="6">
        <v>123</v>
      </c>
      <c r="AO944" s="17">
        <v>942</v>
      </c>
      <c r="AP944" s="6">
        <v>1.1434500000000001</v>
      </c>
      <c r="AQ944" s="19">
        <v>-1.1335999999999999</v>
      </c>
      <c r="AR944" s="6">
        <v>0.57769999999999999</v>
      </c>
      <c r="AS944" s="6">
        <v>123</v>
      </c>
      <c r="AU944" s="17">
        <v>942</v>
      </c>
      <c r="AV944" s="6">
        <v>0.60124</v>
      </c>
      <c r="AW944" s="19">
        <v>-1.1335999999999999</v>
      </c>
      <c r="AX944" s="6">
        <v>0.57769999999999999</v>
      </c>
      <c r="AY944" s="6">
        <v>123</v>
      </c>
    </row>
    <row r="945" spans="28:51" x14ac:dyDescent="0.25">
      <c r="AB945" s="17">
        <v>943</v>
      </c>
      <c r="AC945" s="6">
        <v>5.1154099999999998</v>
      </c>
      <c r="AD945" s="6">
        <v>2.4727000000000001</v>
      </c>
      <c r="AE945" s="6">
        <v>4.9147999999999996</v>
      </c>
      <c r="AF945" s="6">
        <v>123</v>
      </c>
      <c r="AH945" s="17">
        <v>943</v>
      </c>
      <c r="AI945" s="6">
        <v>9.7285000000000004</v>
      </c>
      <c r="AJ945" s="6">
        <v>2.4727000000000001</v>
      </c>
      <c r="AK945" s="6">
        <v>4.9147999999999996</v>
      </c>
      <c r="AL945" s="6">
        <v>123</v>
      </c>
      <c r="AO945" s="17">
        <v>943</v>
      </c>
      <c r="AP945" s="6">
        <v>1.82026</v>
      </c>
      <c r="AQ945" s="19">
        <v>-0.61629999999999996</v>
      </c>
      <c r="AR945" s="6">
        <v>0.91959999999999997</v>
      </c>
      <c r="AS945" s="6">
        <v>123</v>
      </c>
      <c r="AU945" s="17">
        <v>943</v>
      </c>
      <c r="AV945" s="6">
        <v>0.95711999999999997</v>
      </c>
      <c r="AW945" s="19">
        <v>-0.61629999999999996</v>
      </c>
      <c r="AX945" s="6">
        <v>0.91959999999999997</v>
      </c>
      <c r="AY945" s="6">
        <v>123</v>
      </c>
    </row>
    <row r="946" spans="28:51" x14ac:dyDescent="0.25">
      <c r="AB946" s="17">
        <v>944</v>
      </c>
      <c r="AC946" s="6">
        <v>3.21679</v>
      </c>
      <c r="AD946" s="6">
        <v>2.4672999999999998</v>
      </c>
      <c r="AE946" s="6">
        <v>3.0905999999999998</v>
      </c>
      <c r="AF946" s="6">
        <v>123</v>
      </c>
      <c r="AH946" s="17">
        <v>944</v>
      </c>
      <c r="AI946" s="6">
        <v>6.1177000000000001</v>
      </c>
      <c r="AJ946" s="6">
        <v>2.4672999999999998</v>
      </c>
      <c r="AK946" s="6">
        <v>3.0905999999999998</v>
      </c>
      <c r="AL946" s="6">
        <v>123</v>
      </c>
      <c r="AO946" s="17">
        <v>944</v>
      </c>
      <c r="AP946" s="6">
        <v>1.14724</v>
      </c>
      <c r="AQ946" s="6">
        <v>0.2107</v>
      </c>
      <c r="AR946" s="6">
        <v>0.5796</v>
      </c>
      <c r="AS946" s="6">
        <v>123</v>
      </c>
      <c r="AU946" s="17">
        <v>944</v>
      </c>
      <c r="AV946" s="6">
        <v>0.60324</v>
      </c>
      <c r="AW946" s="6">
        <v>0.2107</v>
      </c>
      <c r="AX946" s="6">
        <v>0.5796</v>
      </c>
      <c r="AY946" s="6">
        <v>123</v>
      </c>
    </row>
    <row r="947" spans="28:51" x14ac:dyDescent="0.25">
      <c r="AB947" s="17">
        <v>945</v>
      </c>
      <c r="AC947" s="6">
        <v>5.1232300000000004</v>
      </c>
      <c r="AD947" s="6">
        <v>11.4229</v>
      </c>
      <c r="AE947" s="6">
        <v>4.9222999999999999</v>
      </c>
      <c r="AF947" s="6">
        <v>123</v>
      </c>
      <c r="AH947" s="17">
        <v>945</v>
      </c>
      <c r="AI947" s="6">
        <v>9.7433999999999994</v>
      </c>
      <c r="AJ947" s="6">
        <v>11.4229</v>
      </c>
      <c r="AK947" s="6">
        <v>4.9222999999999999</v>
      </c>
      <c r="AL947" s="6">
        <v>123</v>
      </c>
      <c r="AO947" s="17">
        <v>945</v>
      </c>
      <c r="AP947" s="6">
        <v>1.82056</v>
      </c>
      <c r="AQ947" s="6">
        <v>0.72789999999999999</v>
      </c>
      <c r="AR947" s="6">
        <v>0.91969999999999996</v>
      </c>
      <c r="AS947" s="6">
        <v>123</v>
      </c>
      <c r="AU947" s="17">
        <v>945</v>
      </c>
      <c r="AV947" s="6">
        <v>0.95728000000000002</v>
      </c>
      <c r="AW947" s="6">
        <v>0.72789999999999999</v>
      </c>
      <c r="AX947" s="6">
        <v>0.91969999999999996</v>
      </c>
      <c r="AY947" s="6">
        <v>123</v>
      </c>
    </row>
    <row r="948" spans="28:51" x14ac:dyDescent="0.25">
      <c r="AB948" s="17">
        <v>946</v>
      </c>
      <c r="AC948" s="6">
        <v>5.0982500000000002</v>
      </c>
      <c r="AD948" s="6">
        <v>8.9556000000000004</v>
      </c>
      <c r="AE948" s="6">
        <v>4.8982999999999999</v>
      </c>
      <c r="AF948" s="6">
        <v>123</v>
      </c>
      <c r="AH948" s="17">
        <v>946</v>
      </c>
      <c r="AI948" s="6">
        <v>9.6959</v>
      </c>
      <c r="AJ948" s="6">
        <v>8.9556000000000004</v>
      </c>
      <c r="AK948" s="6">
        <v>4.8982999999999999</v>
      </c>
      <c r="AL948" s="6">
        <v>123</v>
      </c>
      <c r="AO948" s="17">
        <v>946</v>
      </c>
      <c r="AP948" s="6">
        <v>1.8131600000000001</v>
      </c>
      <c r="AQ948" s="6">
        <v>0.51719999999999999</v>
      </c>
      <c r="AR948" s="6">
        <v>0.91600000000000004</v>
      </c>
      <c r="AS948" s="6">
        <v>123</v>
      </c>
      <c r="AU948" s="17">
        <v>946</v>
      </c>
      <c r="AV948" s="6">
        <v>0.95338999999999996</v>
      </c>
      <c r="AW948" s="6">
        <v>0.51719999999999999</v>
      </c>
      <c r="AX948" s="6">
        <v>0.91600000000000004</v>
      </c>
      <c r="AY948" s="6">
        <v>123</v>
      </c>
    </row>
  </sheetData>
  <mergeCells count="19">
    <mergeCell ref="Q1:Z1"/>
    <mergeCell ref="Q2:Q3"/>
    <mergeCell ref="R2:R3"/>
    <mergeCell ref="S2:S3"/>
    <mergeCell ref="U2:U3"/>
    <mergeCell ref="V2:V3"/>
    <mergeCell ref="W2:W3"/>
    <mergeCell ref="X2:X3"/>
    <mergeCell ref="Y2:Y3"/>
    <mergeCell ref="Z2:Z3"/>
    <mergeCell ref="BA2:BA3"/>
    <mergeCell ref="BB2:BB3"/>
    <mergeCell ref="BI2:BI3"/>
    <mergeCell ref="BJ2:BJ3"/>
    <mergeCell ref="BC2:BC3"/>
    <mergeCell ref="BE2:BE3"/>
    <mergeCell ref="BF2:BF3"/>
    <mergeCell ref="BG2:BG3"/>
    <mergeCell ref="BH2:BH3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370EE-0257-4D67-81EC-164145DD72E4}">
  <dimension ref="A1:AX747"/>
  <sheetViews>
    <sheetView zoomScale="85" zoomScaleNormal="85" workbookViewId="0">
      <selection activeCell="I31" sqref="I31"/>
    </sheetView>
  </sheetViews>
  <sheetFormatPr defaultRowHeight="15.75" x14ac:dyDescent="0.25"/>
  <cols>
    <col min="11" max="11" width="4.125" customWidth="1"/>
    <col min="18" max="18" width="6.5" bestFit="1" customWidth="1"/>
    <col min="21" max="21" width="3.875" customWidth="1"/>
    <col min="22" max="22" width="5.125" customWidth="1"/>
    <col min="23" max="23" width="9.875" bestFit="1" customWidth="1"/>
    <col min="27" max="27" width="4.125" customWidth="1"/>
    <col min="28" max="28" width="2.625" customWidth="1"/>
    <col min="29" max="29" width="4.5" customWidth="1"/>
    <col min="41" max="41" width="9.875" bestFit="1" customWidth="1"/>
  </cols>
  <sheetData>
    <row r="1" spans="1:50" x14ac:dyDescent="0.25">
      <c r="A1" t="s">
        <v>66</v>
      </c>
    </row>
    <row r="2" spans="1:50" x14ac:dyDescent="0.25">
      <c r="A2" t="s">
        <v>67</v>
      </c>
    </row>
    <row r="4" spans="1:50" x14ac:dyDescent="0.25">
      <c r="A4" t="s">
        <v>68</v>
      </c>
      <c r="W4" s="4">
        <f>AVERAGE(W7:W747)</f>
        <v>1.2763494736842114</v>
      </c>
      <c r="AC4" s="22"/>
      <c r="AD4" s="22"/>
      <c r="AE4" s="22"/>
      <c r="AO4" s="4">
        <f>AVERAGE(AO7:AO747)</f>
        <v>2.7787464372469621</v>
      </c>
      <c r="AP4" s="4"/>
      <c r="AQ4" s="4"/>
      <c r="AR4" s="4"/>
      <c r="AS4" s="4"/>
      <c r="AT4" s="4"/>
      <c r="AU4" s="4">
        <f t="shared" ref="AU4" si="0">AVERAGE(AU7:AU747)</f>
        <v>5.2653888798920363</v>
      </c>
    </row>
    <row r="5" spans="1:50" ht="16.5" thickBot="1" x14ac:dyDescent="0.3">
      <c r="K5" t="s">
        <v>69</v>
      </c>
      <c r="V5" t="s">
        <v>70</v>
      </c>
      <c r="AC5" s="22" t="s">
        <v>71</v>
      </c>
      <c r="AD5" s="22"/>
      <c r="AE5" s="22"/>
      <c r="AN5" t="s">
        <v>72</v>
      </c>
      <c r="AT5" t="s">
        <v>73</v>
      </c>
    </row>
    <row r="6" spans="1:50" ht="31.5" x14ac:dyDescent="0.25">
      <c r="A6" t="s">
        <v>74</v>
      </c>
      <c r="K6" s="18" t="s">
        <v>46</v>
      </c>
      <c r="L6" s="8" t="s">
        <v>47</v>
      </c>
      <c r="M6" s="8" t="s">
        <v>48</v>
      </c>
      <c r="N6" s="7" t="s">
        <v>49</v>
      </c>
      <c r="O6" s="8" t="s">
        <v>50</v>
      </c>
      <c r="P6" s="8" t="s">
        <v>51</v>
      </c>
      <c r="Q6" s="8" t="s">
        <v>52</v>
      </c>
      <c r="R6" s="8" t="s">
        <v>53</v>
      </c>
      <c r="S6" s="8" t="s">
        <v>54</v>
      </c>
      <c r="T6" s="8" t="s">
        <v>55</v>
      </c>
      <c r="V6" s="16" t="s">
        <v>56</v>
      </c>
      <c r="W6" s="7" t="s">
        <v>57</v>
      </c>
      <c r="X6" s="7" t="s">
        <v>48</v>
      </c>
      <c r="Y6" s="7" t="s">
        <v>58</v>
      </c>
      <c r="Z6" s="7" t="s">
        <v>50</v>
      </c>
      <c r="AC6" s="18" t="s">
        <v>46</v>
      </c>
      <c r="AD6" s="8" t="s">
        <v>47</v>
      </c>
      <c r="AE6" s="8" t="s">
        <v>48</v>
      </c>
      <c r="AF6" s="7" t="s">
        <v>49</v>
      </c>
      <c r="AG6" s="8" t="s">
        <v>50</v>
      </c>
      <c r="AH6" s="8" t="s">
        <v>51</v>
      </c>
      <c r="AI6" s="8" t="s">
        <v>52</v>
      </c>
      <c r="AJ6" s="8" t="s">
        <v>53</v>
      </c>
      <c r="AK6" s="8" t="s">
        <v>54</v>
      </c>
      <c r="AL6" s="8" t="s">
        <v>55</v>
      </c>
      <c r="AN6" s="16" t="s">
        <v>56</v>
      </c>
      <c r="AO6" s="7" t="s">
        <v>57</v>
      </c>
      <c r="AP6" s="7" t="s">
        <v>48</v>
      </c>
      <c r="AQ6" s="7" t="s">
        <v>58</v>
      </c>
      <c r="AR6" s="7" t="s">
        <v>50</v>
      </c>
      <c r="AT6" s="16" t="s">
        <v>56</v>
      </c>
      <c r="AU6" s="7" t="s">
        <v>57</v>
      </c>
      <c r="AV6" s="7" t="s">
        <v>48</v>
      </c>
      <c r="AW6" s="7" t="s">
        <v>58</v>
      </c>
      <c r="AX6" s="7" t="s">
        <v>50</v>
      </c>
    </row>
    <row r="7" spans="1:50" x14ac:dyDescent="0.25">
      <c r="A7" s="25" t="s">
        <v>75</v>
      </c>
      <c r="B7" s="25"/>
      <c r="C7" s="25"/>
      <c r="D7" s="25"/>
      <c r="E7" s="25"/>
      <c r="K7" s="21" t="s">
        <v>47</v>
      </c>
      <c r="L7" s="5">
        <v>25</v>
      </c>
      <c r="M7" s="20">
        <v>76.287700000000001</v>
      </c>
      <c r="N7" s="6">
        <v>1.6741999999999999</v>
      </c>
      <c r="O7" s="6">
        <v>21.8</v>
      </c>
      <c r="P7" s="6">
        <v>45.57</v>
      </c>
      <c r="Q7" s="6" t="s">
        <v>65</v>
      </c>
      <c r="R7" s="6">
        <v>0.3</v>
      </c>
      <c r="S7" s="6">
        <v>74.510300000000001</v>
      </c>
      <c r="T7" s="6">
        <v>78.065100000000001</v>
      </c>
      <c r="V7" s="17">
        <v>1</v>
      </c>
      <c r="W7" s="6">
        <v>1.2899</v>
      </c>
      <c r="X7" s="6">
        <v>0.15790000000000001</v>
      </c>
      <c r="Y7" s="6">
        <v>1.2435</v>
      </c>
      <c r="Z7" s="6">
        <v>631</v>
      </c>
      <c r="AC7" s="21" t="s">
        <v>47</v>
      </c>
      <c r="AD7" s="5">
        <v>25</v>
      </c>
      <c r="AE7" s="20">
        <v>76.268199999999993</v>
      </c>
      <c r="AF7" s="6">
        <v>6.43</v>
      </c>
      <c r="AG7" s="6">
        <v>10.7</v>
      </c>
      <c r="AH7" s="6">
        <v>11.86</v>
      </c>
      <c r="AI7" s="6" t="s">
        <v>65</v>
      </c>
      <c r="AJ7" s="6">
        <v>0.3</v>
      </c>
      <c r="AK7" s="6">
        <v>69.265699999999995</v>
      </c>
      <c r="AL7" s="6">
        <v>83.270600000000002</v>
      </c>
      <c r="AN7" s="17">
        <v>1</v>
      </c>
      <c r="AO7" s="6">
        <v>2.7827700000000002</v>
      </c>
      <c r="AP7" s="19">
        <v>-2.666E-2</v>
      </c>
      <c r="AQ7" s="6">
        <v>2.6808999999999998</v>
      </c>
      <c r="AR7" s="6">
        <v>345</v>
      </c>
      <c r="AT7" s="17">
        <v>1</v>
      </c>
      <c r="AU7" s="6">
        <v>5.2729699999999999</v>
      </c>
      <c r="AV7" s="19">
        <v>-2.666E-2</v>
      </c>
      <c r="AW7" s="6">
        <v>2.6808999999999998</v>
      </c>
      <c r="AX7" s="6">
        <v>345</v>
      </c>
    </row>
    <row r="8" spans="1:50" x14ac:dyDescent="0.25">
      <c r="K8" s="21" t="s">
        <v>47</v>
      </c>
      <c r="L8" s="5">
        <v>39</v>
      </c>
      <c r="M8" s="20">
        <v>75.403599999999997</v>
      </c>
      <c r="N8" s="6">
        <v>1.6615</v>
      </c>
      <c r="O8" s="6">
        <v>21.4</v>
      </c>
      <c r="P8" s="6">
        <v>45.38</v>
      </c>
      <c r="Q8" s="6" t="s">
        <v>65</v>
      </c>
      <c r="R8" s="6">
        <v>0.3</v>
      </c>
      <c r="S8" s="6">
        <v>73.638900000000007</v>
      </c>
      <c r="T8" s="6">
        <v>77.168300000000002</v>
      </c>
      <c r="V8" s="17">
        <v>2</v>
      </c>
      <c r="W8" s="6">
        <v>1.2880799999999999</v>
      </c>
      <c r="X8" s="19">
        <v>-6.4226999999999999</v>
      </c>
      <c r="Y8" s="6">
        <v>1.2418</v>
      </c>
      <c r="Z8" s="6">
        <v>623</v>
      </c>
      <c r="AC8" s="21" t="s">
        <v>47</v>
      </c>
      <c r="AD8" s="5">
        <v>39</v>
      </c>
      <c r="AE8" s="20">
        <v>75.552300000000002</v>
      </c>
      <c r="AF8" s="6">
        <v>6.4273999999999996</v>
      </c>
      <c r="AG8" s="6">
        <v>10.7</v>
      </c>
      <c r="AH8" s="6">
        <v>11.75</v>
      </c>
      <c r="AI8" s="6" t="s">
        <v>65</v>
      </c>
      <c r="AJ8" s="6">
        <v>0.3</v>
      </c>
      <c r="AK8" s="6">
        <v>68.552099999999996</v>
      </c>
      <c r="AL8" s="6">
        <v>82.552400000000006</v>
      </c>
      <c r="AN8" s="17">
        <v>2</v>
      </c>
      <c r="AO8" s="6">
        <v>2.7825600000000001</v>
      </c>
      <c r="AP8" s="19">
        <v>-6.4569000000000001</v>
      </c>
      <c r="AQ8" s="6">
        <v>2.6806999999999999</v>
      </c>
      <c r="AR8" s="6">
        <v>345</v>
      </c>
      <c r="AT8" s="17">
        <v>2</v>
      </c>
      <c r="AU8" s="6">
        <v>5.2725799999999996</v>
      </c>
      <c r="AV8" s="19">
        <v>-6.4569000000000001</v>
      </c>
      <c r="AW8" s="6">
        <v>2.6806999999999999</v>
      </c>
      <c r="AX8" s="6">
        <v>345</v>
      </c>
    </row>
    <row r="9" spans="1:50" x14ac:dyDescent="0.25">
      <c r="K9" s="21" t="s">
        <v>47</v>
      </c>
      <c r="L9" s="5">
        <v>38</v>
      </c>
      <c r="M9" s="20">
        <v>73.415499999999994</v>
      </c>
      <c r="N9" s="6">
        <v>1.6696</v>
      </c>
      <c r="O9" s="6">
        <v>22</v>
      </c>
      <c r="P9" s="6">
        <v>43.97</v>
      </c>
      <c r="Q9" s="6" t="s">
        <v>65</v>
      </c>
      <c r="R9" s="6">
        <v>0.3</v>
      </c>
      <c r="S9" s="6">
        <v>71.643199999999993</v>
      </c>
      <c r="T9" s="6">
        <v>75.187700000000007</v>
      </c>
      <c r="V9" s="17">
        <v>3</v>
      </c>
      <c r="W9" s="6">
        <v>1.2690900000000001</v>
      </c>
      <c r="X9" s="19">
        <v>-8.4867000000000008</v>
      </c>
      <c r="Y9" s="6">
        <v>1.2235</v>
      </c>
      <c r="Z9" s="6">
        <v>625</v>
      </c>
      <c r="AC9" s="21" t="s">
        <v>47</v>
      </c>
      <c r="AD9" s="5">
        <v>38</v>
      </c>
      <c r="AE9" s="20">
        <v>73.486500000000007</v>
      </c>
      <c r="AF9" s="6">
        <v>6.4294000000000002</v>
      </c>
      <c r="AG9" s="6">
        <v>10.7</v>
      </c>
      <c r="AH9" s="6">
        <v>11.43</v>
      </c>
      <c r="AI9" s="6" t="s">
        <v>65</v>
      </c>
      <c r="AJ9" s="6">
        <v>0.3</v>
      </c>
      <c r="AK9" s="6">
        <v>66.4846</v>
      </c>
      <c r="AL9" s="6">
        <v>80.488399999999999</v>
      </c>
      <c r="AN9" s="17">
        <v>3</v>
      </c>
      <c r="AO9" s="6">
        <v>2.7749700000000002</v>
      </c>
      <c r="AP9" s="19">
        <v>-8.4314</v>
      </c>
      <c r="AQ9" s="6">
        <v>2.6734</v>
      </c>
      <c r="AR9" s="6">
        <v>342</v>
      </c>
      <c r="AT9" s="17">
        <v>3</v>
      </c>
      <c r="AU9" s="6">
        <v>5.2583000000000002</v>
      </c>
      <c r="AV9" s="19">
        <v>-8.4314</v>
      </c>
      <c r="AW9" s="6">
        <v>2.6734</v>
      </c>
      <c r="AX9" s="6">
        <v>342</v>
      </c>
    </row>
    <row r="10" spans="1:50" x14ac:dyDescent="0.25">
      <c r="A10" t="s">
        <v>108</v>
      </c>
      <c r="K10" s="21" t="s">
        <v>47</v>
      </c>
      <c r="L10" s="5">
        <v>35</v>
      </c>
      <c r="M10" s="20">
        <v>73.015600000000006</v>
      </c>
      <c r="N10" s="6">
        <v>1.6718999999999999</v>
      </c>
      <c r="O10" s="6">
        <v>21.9</v>
      </c>
      <c r="P10" s="6">
        <v>43.67</v>
      </c>
      <c r="Q10" s="6" t="s">
        <v>65</v>
      </c>
      <c r="R10" s="6">
        <v>0.3</v>
      </c>
      <c r="S10" s="6">
        <v>71.240799999999993</v>
      </c>
      <c r="T10" s="6">
        <v>74.790400000000005</v>
      </c>
      <c r="V10" s="17">
        <v>4</v>
      </c>
      <c r="W10" s="6">
        <v>1.2560199999999999</v>
      </c>
      <c r="X10" s="19">
        <v>-10.0716</v>
      </c>
      <c r="Y10" s="6">
        <v>1.2108000000000001</v>
      </c>
      <c r="Z10" s="6">
        <v>609</v>
      </c>
      <c r="AC10" s="21" t="s">
        <v>47</v>
      </c>
      <c r="AD10" s="5">
        <v>46</v>
      </c>
      <c r="AE10" s="20">
        <v>73.010199999999998</v>
      </c>
      <c r="AF10" s="6">
        <v>6.4326999999999996</v>
      </c>
      <c r="AG10" s="6">
        <v>10.7</v>
      </c>
      <c r="AH10" s="6">
        <v>11.35</v>
      </c>
      <c r="AI10" s="6" t="s">
        <v>65</v>
      </c>
      <c r="AJ10" s="6">
        <v>0.3</v>
      </c>
      <c r="AK10" s="6">
        <v>66.005300000000005</v>
      </c>
      <c r="AL10" s="6">
        <v>80.015000000000001</v>
      </c>
      <c r="AN10" s="17">
        <v>4</v>
      </c>
      <c r="AO10" s="6">
        <v>2.7696100000000001</v>
      </c>
      <c r="AP10" s="19">
        <v>-9.8824000000000005</v>
      </c>
      <c r="AQ10" s="6">
        <v>2.6682000000000001</v>
      </c>
      <c r="AR10" s="6">
        <v>340</v>
      </c>
      <c r="AT10" s="17">
        <v>4</v>
      </c>
      <c r="AU10" s="6">
        <v>5.2481999999999998</v>
      </c>
      <c r="AV10" s="19">
        <v>-9.8824000000000005</v>
      </c>
      <c r="AW10" s="6">
        <v>2.6682000000000001</v>
      </c>
      <c r="AX10" s="6">
        <v>340</v>
      </c>
    </row>
    <row r="11" spans="1:50" x14ac:dyDescent="0.25">
      <c r="K11" s="21" t="s">
        <v>47</v>
      </c>
      <c r="L11" s="5">
        <v>46</v>
      </c>
      <c r="M11" s="20">
        <v>73.004099999999994</v>
      </c>
      <c r="N11" s="6">
        <v>1.6842999999999999</v>
      </c>
      <c r="O11" s="6">
        <v>22.4</v>
      </c>
      <c r="P11" s="6">
        <v>43.34</v>
      </c>
      <c r="Q11" s="6" t="s">
        <v>65</v>
      </c>
      <c r="R11" s="6">
        <v>0.3</v>
      </c>
      <c r="S11" s="6">
        <v>71.217100000000002</v>
      </c>
      <c r="T11" s="6">
        <v>74.7911</v>
      </c>
      <c r="V11" s="17">
        <v>5</v>
      </c>
      <c r="W11" s="6">
        <v>1.25681</v>
      </c>
      <c r="X11" s="19">
        <v>-6.9630000000000001</v>
      </c>
      <c r="Y11" s="6">
        <v>1.2116</v>
      </c>
      <c r="Z11" s="6">
        <v>619</v>
      </c>
      <c r="AC11" s="21" t="s">
        <v>47</v>
      </c>
      <c r="AD11" s="5">
        <v>35</v>
      </c>
      <c r="AE11" s="20">
        <v>72.983699999999999</v>
      </c>
      <c r="AF11" s="6">
        <v>6.4298000000000002</v>
      </c>
      <c r="AG11" s="6">
        <v>10.7</v>
      </c>
      <c r="AH11" s="6">
        <v>11.35</v>
      </c>
      <c r="AI11" s="6" t="s">
        <v>65</v>
      </c>
      <c r="AJ11" s="6">
        <v>0.3</v>
      </c>
      <c r="AK11" s="6">
        <v>65.981399999999994</v>
      </c>
      <c r="AL11" s="6">
        <v>79.986000000000004</v>
      </c>
      <c r="AN11" s="17">
        <v>5</v>
      </c>
      <c r="AO11" s="6">
        <v>2.7700300000000002</v>
      </c>
      <c r="AP11" s="19">
        <v>-6.7355999999999998</v>
      </c>
      <c r="AQ11" s="6">
        <v>2.6686000000000001</v>
      </c>
      <c r="AR11" s="6">
        <v>340</v>
      </c>
      <c r="AT11" s="17">
        <v>5</v>
      </c>
      <c r="AU11" s="6">
        <v>5.2490100000000002</v>
      </c>
      <c r="AV11" s="19">
        <v>-6.7355999999999998</v>
      </c>
      <c r="AW11" s="6">
        <v>2.6686000000000001</v>
      </c>
      <c r="AX11" s="6">
        <v>340</v>
      </c>
    </row>
    <row r="12" spans="1:50" x14ac:dyDescent="0.25">
      <c r="K12" s="21" t="s">
        <v>47</v>
      </c>
      <c r="L12" s="5">
        <v>26</v>
      </c>
      <c r="M12" s="20">
        <v>72.384299999999996</v>
      </c>
      <c r="N12" s="6">
        <v>1.6627000000000001</v>
      </c>
      <c r="O12" s="6">
        <v>21.6</v>
      </c>
      <c r="P12" s="6">
        <v>43.54</v>
      </c>
      <c r="Q12" s="6" t="s">
        <v>65</v>
      </c>
      <c r="R12" s="6">
        <v>0.3</v>
      </c>
      <c r="S12" s="6">
        <v>70.618700000000004</v>
      </c>
      <c r="T12" s="6">
        <v>74.150000000000006</v>
      </c>
      <c r="V12" s="17">
        <v>6</v>
      </c>
      <c r="W12" s="6">
        <v>1.25654</v>
      </c>
      <c r="X12" s="19">
        <v>-7.6776999999999997</v>
      </c>
      <c r="Y12" s="6">
        <v>1.2113</v>
      </c>
      <c r="Z12" s="6">
        <v>591</v>
      </c>
      <c r="AC12" s="21" t="s">
        <v>47</v>
      </c>
      <c r="AD12" s="5">
        <v>26</v>
      </c>
      <c r="AE12" s="20">
        <v>72.496300000000005</v>
      </c>
      <c r="AF12" s="6">
        <v>6.4279000000000002</v>
      </c>
      <c r="AG12" s="6">
        <v>10.7</v>
      </c>
      <c r="AH12" s="6">
        <v>11.28</v>
      </c>
      <c r="AI12" s="6" t="s">
        <v>65</v>
      </c>
      <c r="AJ12" s="6">
        <v>0.3</v>
      </c>
      <c r="AK12" s="6">
        <v>65.495699999999999</v>
      </c>
      <c r="AL12" s="6">
        <v>79.496799999999993</v>
      </c>
      <c r="AN12" s="17">
        <v>6</v>
      </c>
      <c r="AO12" s="6">
        <v>2.7703700000000002</v>
      </c>
      <c r="AP12" s="19">
        <v>-7.7361000000000004</v>
      </c>
      <c r="AQ12" s="6">
        <v>2.6688999999999998</v>
      </c>
      <c r="AR12" s="6">
        <v>341</v>
      </c>
      <c r="AT12" s="17">
        <v>6</v>
      </c>
      <c r="AU12" s="6">
        <v>5.2496299999999998</v>
      </c>
      <c r="AV12" s="19">
        <v>-7.7361000000000004</v>
      </c>
      <c r="AW12" s="6">
        <v>2.6688999999999998</v>
      </c>
      <c r="AX12" s="6">
        <v>341</v>
      </c>
    </row>
    <row r="13" spans="1:50" x14ac:dyDescent="0.25">
      <c r="K13" s="21" t="s">
        <v>47</v>
      </c>
      <c r="L13" s="5">
        <v>47</v>
      </c>
      <c r="M13" s="20">
        <v>72.269900000000007</v>
      </c>
      <c r="N13" s="6">
        <v>1.6618999999999999</v>
      </c>
      <c r="O13" s="6">
        <v>21.4</v>
      </c>
      <c r="P13" s="6">
        <v>43.49</v>
      </c>
      <c r="Q13" s="6" t="s">
        <v>65</v>
      </c>
      <c r="R13" s="6">
        <v>0.3</v>
      </c>
      <c r="S13" s="6">
        <v>70.504599999999996</v>
      </c>
      <c r="T13" s="6">
        <v>74.035200000000003</v>
      </c>
      <c r="V13" s="17">
        <v>7</v>
      </c>
      <c r="W13" s="6">
        <v>1.2745500000000001</v>
      </c>
      <c r="X13" s="19">
        <v>-9.6056000000000008</v>
      </c>
      <c r="Y13" s="6">
        <v>1.2286999999999999</v>
      </c>
      <c r="Z13" s="6">
        <v>633</v>
      </c>
      <c r="AC13" s="21" t="s">
        <v>47</v>
      </c>
      <c r="AD13" s="5">
        <v>47</v>
      </c>
      <c r="AE13" s="20">
        <v>72.412800000000004</v>
      </c>
      <c r="AF13" s="6">
        <v>6.4275000000000002</v>
      </c>
      <c r="AG13" s="6">
        <v>10.7</v>
      </c>
      <c r="AH13" s="6">
        <v>11.27</v>
      </c>
      <c r="AI13" s="6" t="s">
        <v>65</v>
      </c>
      <c r="AJ13" s="6">
        <v>0.3</v>
      </c>
      <c r="AK13" s="6">
        <v>65.412599999999998</v>
      </c>
      <c r="AL13" s="6">
        <v>79.412999999999997</v>
      </c>
      <c r="AN13" s="17">
        <v>7</v>
      </c>
      <c r="AO13" s="6">
        <v>2.77827</v>
      </c>
      <c r="AP13" s="19">
        <v>-9.5390999999999995</v>
      </c>
      <c r="AQ13" s="6">
        <v>2.6766000000000001</v>
      </c>
      <c r="AR13" s="6">
        <v>344</v>
      </c>
      <c r="AT13" s="17">
        <v>7</v>
      </c>
      <c r="AU13" s="6">
        <v>5.2644799999999998</v>
      </c>
      <c r="AV13" s="19">
        <v>-9.5390999999999995</v>
      </c>
      <c r="AW13" s="6">
        <v>2.6766000000000001</v>
      </c>
      <c r="AX13" s="6">
        <v>344</v>
      </c>
    </row>
    <row r="14" spans="1:50" x14ac:dyDescent="0.25">
      <c r="K14" s="21" t="s">
        <v>47</v>
      </c>
      <c r="L14" s="5">
        <v>40</v>
      </c>
      <c r="M14" s="20">
        <v>72.203800000000001</v>
      </c>
      <c r="N14" s="6">
        <v>1.6586000000000001</v>
      </c>
      <c r="O14" s="6">
        <v>21.3</v>
      </c>
      <c r="P14" s="6">
        <v>43.53</v>
      </c>
      <c r="Q14" s="6" t="s">
        <v>65</v>
      </c>
      <c r="R14" s="6">
        <v>0.3</v>
      </c>
      <c r="S14" s="6">
        <v>70.441900000000004</v>
      </c>
      <c r="T14" s="6">
        <v>73.965800000000002</v>
      </c>
      <c r="V14" s="17">
        <v>8</v>
      </c>
      <c r="W14" s="6">
        <v>1.27224</v>
      </c>
      <c r="X14" s="19">
        <v>-8.3985000000000003</v>
      </c>
      <c r="Y14" s="6">
        <v>1.2264999999999999</v>
      </c>
      <c r="Z14" s="6">
        <v>624</v>
      </c>
      <c r="AC14" s="21" t="s">
        <v>47</v>
      </c>
      <c r="AD14" s="5">
        <v>40</v>
      </c>
      <c r="AE14" s="20">
        <v>72.346299999999999</v>
      </c>
      <c r="AF14" s="6">
        <v>6.4268999999999998</v>
      </c>
      <c r="AG14" s="6">
        <v>10.7</v>
      </c>
      <c r="AH14" s="6">
        <v>11.26</v>
      </c>
      <c r="AI14" s="6" t="s">
        <v>65</v>
      </c>
      <c r="AJ14" s="6">
        <v>0.3</v>
      </c>
      <c r="AK14" s="6">
        <v>65.346599999999995</v>
      </c>
      <c r="AL14" s="6">
        <v>79.346000000000004</v>
      </c>
      <c r="AN14" s="17">
        <v>8</v>
      </c>
      <c r="AO14" s="6">
        <v>2.7762899999999999</v>
      </c>
      <c r="AP14" s="19">
        <v>-8.4259000000000004</v>
      </c>
      <c r="AQ14" s="6">
        <v>2.6745999999999999</v>
      </c>
      <c r="AR14" s="6">
        <v>343</v>
      </c>
      <c r="AT14" s="17">
        <v>8</v>
      </c>
      <c r="AU14" s="6">
        <v>5.2607799999999996</v>
      </c>
      <c r="AV14" s="19">
        <v>-8.4259000000000004</v>
      </c>
      <c r="AW14" s="6">
        <v>2.6745999999999999</v>
      </c>
      <c r="AX14" s="6">
        <v>343</v>
      </c>
    </row>
    <row r="15" spans="1:50" x14ac:dyDescent="0.25">
      <c r="K15" s="21" t="s">
        <v>47</v>
      </c>
      <c r="L15" s="5">
        <v>36</v>
      </c>
      <c r="M15" s="20">
        <v>72.045100000000005</v>
      </c>
      <c r="N15" s="6">
        <v>1.6640999999999999</v>
      </c>
      <c r="O15" s="6">
        <v>21.4</v>
      </c>
      <c r="P15" s="6">
        <v>43.29</v>
      </c>
      <c r="Q15" s="6" t="s">
        <v>65</v>
      </c>
      <c r="R15" s="6">
        <v>0.3</v>
      </c>
      <c r="S15" s="6">
        <v>70.277600000000007</v>
      </c>
      <c r="T15" s="6">
        <v>73.812600000000003</v>
      </c>
      <c r="V15" s="17">
        <v>9</v>
      </c>
      <c r="W15" s="6">
        <v>1.26373</v>
      </c>
      <c r="X15" s="19">
        <v>-8.0198999999999998</v>
      </c>
      <c r="Y15" s="6">
        <v>1.2182999999999999</v>
      </c>
      <c r="Z15" s="6">
        <v>618</v>
      </c>
      <c r="AC15" s="21" t="s">
        <v>47</v>
      </c>
      <c r="AD15" s="5">
        <v>32</v>
      </c>
      <c r="AE15" s="20">
        <v>71.958100000000002</v>
      </c>
      <c r="AF15" s="6">
        <v>6.4302999999999999</v>
      </c>
      <c r="AG15" s="6">
        <v>10.7</v>
      </c>
      <c r="AH15" s="6">
        <v>11.19</v>
      </c>
      <c r="AI15" s="6" t="s">
        <v>65</v>
      </c>
      <c r="AJ15" s="6">
        <v>0.3</v>
      </c>
      <c r="AK15" s="6">
        <v>64.955399999999997</v>
      </c>
      <c r="AL15" s="6">
        <v>78.960800000000006</v>
      </c>
      <c r="AN15" s="17">
        <v>9</v>
      </c>
      <c r="AO15" s="6">
        <v>2.7728999999999999</v>
      </c>
      <c r="AP15" s="19">
        <v>-8.0580999999999996</v>
      </c>
      <c r="AQ15" s="6">
        <v>2.6714000000000002</v>
      </c>
      <c r="AR15" s="6">
        <v>341</v>
      </c>
      <c r="AT15" s="17">
        <v>9</v>
      </c>
      <c r="AU15" s="6">
        <v>5.2544000000000004</v>
      </c>
      <c r="AV15" s="19">
        <v>-8.0580999999999996</v>
      </c>
      <c r="AW15" s="6">
        <v>2.6714000000000002</v>
      </c>
      <c r="AX15" s="6">
        <v>341</v>
      </c>
    </row>
    <row r="16" spans="1:50" x14ac:dyDescent="0.25">
      <c r="K16" s="21" t="s">
        <v>47</v>
      </c>
      <c r="L16" s="5">
        <v>32</v>
      </c>
      <c r="M16" s="20">
        <v>72.008099999999999</v>
      </c>
      <c r="N16" s="6">
        <v>1.6744000000000001</v>
      </c>
      <c r="O16" s="6">
        <v>22</v>
      </c>
      <c r="P16" s="6">
        <v>43.01</v>
      </c>
      <c r="Q16" s="6" t="s">
        <v>65</v>
      </c>
      <c r="R16" s="6">
        <v>0.3</v>
      </c>
      <c r="S16" s="6">
        <v>70.230699999999999</v>
      </c>
      <c r="T16" s="6">
        <v>73.785399999999996</v>
      </c>
      <c r="V16" s="17">
        <v>10</v>
      </c>
      <c r="W16" s="6">
        <v>1.2619899999999999</v>
      </c>
      <c r="X16" s="19">
        <v>-10.343500000000001</v>
      </c>
      <c r="Y16" s="6">
        <v>1.2165999999999999</v>
      </c>
      <c r="Z16" s="6">
        <v>623</v>
      </c>
      <c r="AC16" s="21" t="s">
        <v>47</v>
      </c>
      <c r="AD16" s="5">
        <v>37</v>
      </c>
      <c r="AE16" s="20">
        <v>71.9499</v>
      </c>
      <c r="AF16" s="6">
        <v>6.4275000000000002</v>
      </c>
      <c r="AG16" s="6">
        <v>10.7</v>
      </c>
      <c r="AH16" s="6">
        <v>11.19</v>
      </c>
      <c r="AI16" s="6" t="s">
        <v>65</v>
      </c>
      <c r="AJ16" s="6">
        <v>0.3</v>
      </c>
      <c r="AK16" s="6">
        <v>64.949700000000007</v>
      </c>
      <c r="AL16" s="6">
        <v>78.950100000000006</v>
      </c>
      <c r="AN16" s="17">
        <v>10</v>
      </c>
      <c r="AO16" s="6">
        <v>2.77251</v>
      </c>
      <c r="AP16" s="19">
        <v>-10.5189</v>
      </c>
      <c r="AQ16" s="6">
        <v>2.6709999999999998</v>
      </c>
      <c r="AR16" s="6">
        <v>341</v>
      </c>
      <c r="AT16" s="17">
        <v>10</v>
      </c>
      <c r="AU16" s="6">
        <v>5.2536699999999996</v>
      </c>
      <c r="AV16" s="19">
        <v>-10.5189</v>
      </c>
      <c r="AW16" s="6">
        <v>2.6709999999999998</v>
      </c>
      <c r="AX16" s="6">
        <v>341</v>
      </c>
    </row>
    <row r="17" spans="11:50" x14ac:dyDescent="0.25">
      <c r="K17" s="21" t="s">
        <v>47</v>
      </c>
      <c r="L17" s="5">
        <v>37</v>
      </c>
      <c r="M17" s="20">
        <v>71.945499999999996</v>
      </c>
      <c r="N17" s="6">
        <v>1.6619999999999999</v>
      </c>
      <c r="O17" s="6">
        <v>21.4</v>
      </c>
      <c r="P17" s="6">
        <v>43.29</v>
      </c>
      <c r="Q17" s="6" t="s">
        <v>65</v>
      </c>
      <c r="R17" s="6">
        <v>0.3</v>
      </c>
      <c r="S17" s="6">
        <v>70.180199999999999</v>
      </c>
      <c r="T17" s="6">
        <v>73.710800000000006</v>
      </c>
      <c r="V17" s="17">
        <v>11</v>
      </c>
      <c r="W17" s="6">
        <v>1.25844</v>
      </c>
      <c r="X17" s="19">
        <v>-3.7101999999999999</v>
      </c>
      <c r="Y17" s="6">
        <v>1.2132000000000001</v>
      </c>
      <c r="Z17" s="6">
        <v>624</v>
      </c>
      <c r="AC17" s="21" t="s">
        <v>47</v>
      </c>
      <c r="AD17" s="5">
        <v>36</v>
      </c>
      <c r="AE17" s="20">
        <v>71.904499999999999</v>
      </c>
      <c r="AF17" s="6">
        <v>6.4276999999999997</v>
      </c>
      <c r="AG17" s="6">
        <v>10.7</v>
      </c>
      <c r="AH17" s="6">
        <v>11.19</v>
      </c>
      <c r="AI17" s="6" t="s">
        <v>65</v>
      </c>
      <c r="AJ17" s="6">
        <v>0.3</v>
      </c>
      <c r="AK17" s="6">
        <v>64.9041</v>
      </c>
      <c r="AL17" s="6">
        <v>78.904899999999998</v>
      </c>
      <c r="AN17" s="17">
        <v>11</v>
      </c>
      <c r="AO17" s="6">
        <v>2.7706499999999998</v>
      </c>
      <c r="AP17" s="19">
        <v>-3.5160999999999998</v>
      </c>
      <c r="AQ17" s="6">
        <v>2.6692</v>
      </c>
      <c r="AR17" s="6">
        <v>340</v>
      </c>
      <c r="AT17" s="17">
        <v>11</v>
      </c>
      <c r="AU17" s="6">
        <v>5.2501699999999998</v>
      </c>
      <c r="AV17" s="19">
        <v>-3.5160999999999998</v>
      </c>
      <c r="AW17" s="6">
        <v>2.6692</v>
      </c>
      <c r="AX17" s="6">
        <v>340</v>
      </c>
    </row>
    <row r="18" spans="11:50" x14ac:dyDescent="0.25">
      <c r="K18" s="21" t="s">
        <v>47</v>
      </c>
      <c r="L18" s="5">
        <v>43</v>
      </c>
      <c r="M18" s="20">
        <v>71.623099999999994</v>
      </c>
      <c r="N18" s="6">
        <v>1.6729000000000001</v>
      </c>
      <c r="O18" s="6">
        <v>21.9</v>
      </c>
      <c r="P18" s="6">
        <v>42.81</v>
      </c>
      <c r="Q18" s="6" t="s">
        <v>65</v>
      </c>
      <c r="R18" s="6">
        <v>0.3</v>
      </c>
      <c r="S18" s="6">
        <v>69.847300000000004</v>
      </c>
      <c r="T18" s="6">
        <v>73.399000000000001</v>
      </c>
      <c r="V18" s="17">
        <v>12</v>
      </c>
      <c r="W18" s="6">
        <v>1.25302</v>
      </c>
      <c r="X18" s="19">
        <v>-7.1553000000000004</v>
      </c>
      <c r="Y18" s="6">
        <v>1.2079</v>
      </c>
      <c r="Z18" s="6">
        <v>606</v>
      </c>
      <c r="AC18" s="21" t="s">
        <v>47</v>
      </c>
      <c r="AD18" s="5">
        <v>43</v>
      </c>
      <c r="AE18" s="20">
        <v>71.657399999999996</v>
      </c>
      <c r="AF18" s="6">
        <v>6.43</v>
      </c>
      <c r="AG18" s="6">
        <v>10.7</v>
      </c>
      <c r="AH18" s="6">
        <v>11.14</v>
      </c>
      <c r="AI18" s="6" t="s">
        <v>65</v>
      </c>
      <c r="AJ18" s="6">
        <v>0.3</v>
      </c>
      <c r="AK18" s="6">
        <v>64.655000000000001</v>
      </c>
      <c r="AL18" s="6">
        <v>78.659899999999993</v>
      </c>
      <c r="AN18" s="17">
        <v>12</v>
      </c>
      <c r="AO18" s="6">
        <v>2.7686099999999998</v>
      </c>
      <c r="AP18" s="19">
        <v>-7.0749000000000004</v>
      </c>
      <c r="AQ18" s="6">
        <v>2.6671999999999998</v>
      </c>
      <c r="AR18" s="6">
        <v>340</v>
      </c>
      <c r="AT18" s="17">
        <v>12</v>
      </c>
      <c r="AU18" s="6">
        <v>5.2463199999999999</v>
      </c>
      <c r="AV18" s="19">
        <v>-7.0749000000000004</v>
      </c>
      <c r="AW18" s="6">
        <v>2.6671999999999998</v>
      </c>
      <c r="AX18" s="6">
        <v>340</v>
      </c>
    </row>
    <row r="19" spans="11:50" x14ac:dyDescent="0.25">
      <c r="K19" s="21" t="s">
        <v>47</v>
      </c>
      <c r="L19" s="5">
        <v>44</v>
      </c>
      <c r="M19" s="20">
        <v>70.6173</v>
      </c>
      <c r="N19" s="6">
        <v>1.6616</v>
      </c>
      <c r="O19" s="6">
        <v>21.4</v>
      </c>
      <c r="P19" s="6">
        <v>42.5</v>
      </c>
      <c r="Q19" s="6" t="s">
        <v>65</v>
      </c>
      <c r="R19" s="6">
        <v>0.3</v>
      </c>
      <c r="S19" s="6">
        <v>68.852500000000006</v>
      </c>
      <c r="T19" s="6">
        <v>72.382099999999994</v>
      </c>
      <c r="V19" s="17">
        <v>13</v>
      </c>
      <c r="W19" s="6">
        <v>1.27101</v>
      </c>
      <c r="X19" s="19">
        <v>-5.8489000000000004</v>
      </c>
      <c r="Y19" s="6">
        <v>1.2253000000000001</v>
      </c>
      <c r="Z19" s="6">
        <v>638</v>
      </c>
      <c r="AC19" s="21" t="s">
        <v>47</v>
      </c>
      <c r="AD19" s="5">
        <v>44</v>
      </c>
      <c r="AE19" s="20">
        <v>70.632800000000003</v>
      </c>
      <c r="AF19" s="6">
        <v>6.4273999999999996</v>
      </c>
      <c r="AG19" s="6">
        <v>10.7</v>
      </c>
      <c r="AH19" s="6">
        <v>10.99</v>
      </c>
      <c r="AI19" s="6" t="s">
        <v>65</v>
      </c>
      <c r="AJ19" s="6">
        <v>0.3</v>
      </c>
      <c r="AK19" s="6">
        <v>63.632599999999996</v>
      </c>
      <c r="AL19" s="6">
        <v>77.632999999999996</v>
      </c>
      <c r="AN19" s="17">
        <v>13</v>
      </c>
      <c r="AO19" s="6">
        <v>2.7761900000000002</v>
      </c>
      <c r="AP19" s="19">
        <v>-5.8545999999999996</v>
      </c>
      <c r="AQ19" s="6">
        <v>2.6745000000000001</v>
      </c>
      <c r="AR19" s="6">
        <v>343</v>
      </c>
      <c r="AT19" s="17">
        <v>13</v>
      </c>
      <c r="AU19" s="6">
        <v>5.26058</v>
      </c>
      <c r="AV19" s="19">
        <v>-5.8545999999999996</v>
      </c>
      <c r="AW19" s="6">
        <v>2.6745000000000001</v>
      </c>
      <c r="AX19" s="6">
        <v>343</v>
      </c>
    </row>
    <row r="20" spans="11:50" x14ac:dyDescent="0.25">
      <c r="K20" s="21" t="s">
        <v>47</v>
      </c>
      <c r="L20" s="5">
        <v>42</v>
      </c>
      <c r="M20" s="20">
        <v>70.256399999999999</v>
      </c>
      <c r="N20" s="6">
        <v>1.6745000000000001</v>
      </c>
      <c r="O20" s="6">
        <v>22</v>
      </c>
      <c r="P20" s="6">
        <v>41.96</v>
      </c>
      <c r="Q20" s="6" t="s">
        <v>65</v>
      </c>
      <c r="R20" s="6">
        <v>0.3</v>
      </c>
      <c r="S20" s="6">
        <v>68.478899999999996</v>
      </c>
      <c r="T20" s="6">
        <v>72.033900000000003</v>
      </c>
      <c r="V20" s="17">
        <v>14</v>
      </c>
      <c r="W20" s="6">
        <v>1.2896700000000001</v>
      </c>
      <c r="X20" s="19">
        <v>-8.2584</v>
      </c>
      <c r="Y20" s="6">
        <v>1.2433000000000001</v>
      </c>
      <c r="Z20" s="6">
        <v>633</v>
      </c>
      <c r="AC20" s="21" t="s">
        <v>47</v>
      </c>
      <c r="AD20" s="5">
        <v>42</v>
      </c>
      <c r="AE20" s="20">
        <v>70.303399999999996</v>
      </c>
      <c r="AF20" s="6">
        <v>6.4302999999999999</v>
      </c>
      <c r="AG20" s="6">
        <v>10.7</v>
      </c>
      <c r="AH20" s="6">
        <v>10.93</v>
      </c>
      <c r="AI20" s="6" t="s">
        <v>65</v>
      </c>
      <c r="AJ20" s="6">
        <v>0.3</v>
      </c>
      <c r="AK20" s="6">
        <v>63.300699999999999</v>
      </c>
      <c r="AL20" s="6">
        <v>77.306100000000001</v>
      </c>
      <c r="AN20" s="17">
        <v>14</v>
      </c>
      <c r="AO20" s="6">
        <v>2.7843399999999998</v>
      </c>
      <c r="AP20" s="19">
        <v>-8.2518999999999991</v>
      </c>
      <c r="AQ20" s="6">
        <v>2.6825000000000001</v>
      </c>
      <c r="AR20" s="6">
        <v>347</v>
      </c>
      <c r="AT20" s="17">
        <v>14</v>
      </c>
      <c r="AU20" s="6">
        <v>5.2759200000000002</v>
      </c>
      <c r="AV20" s="19">
        <v>-8.2518999999999991</v>
      </c>
      <c r="AW20" s="6">
        <v>2.6825000000000001</v>
      </c>
      <c r="AX20" s="6">
        <v>347</v>
      </c>
    </row>
    <row r="21" spans="11:50" x14ac:dyDescent="0.25">
      <c r="K21" s="21" t="s">
        <v>47</v>
      </c>
      <c r="L21" s="5">
        <v>19</v>
      </c>
      <c r="M21" s="20">
        <v>69.98</v>
      </c>
      <c r="N21" s="6">
        <v>1.6587000000000001</v>
      </c>
      <c r="O21" s="6">
        <v>21.4</v>
      </c>
      <c r="P21" s="6">
        <v>42.19</v>
      </c>
      <c r="Q21" s="6" t="s">
        <v>65</v>
      </c>
      <c r="R21" s="6">
        <v>0.3</v>
      </c>
      <c r="S21" s="6">
        <v>68.218100000000007</v>
      </c>
      <c r="T21" s="6">
        <v>71.741900000000001</v>
      </c>
      <c r="V21" s="17">
        <v>15</v>
      </c>
      <c r="W21" s="6">
        <v>1.2771399999999999</v>
      </c>
      <c r="X21" s="19">
        <v>-6.9863999999999997</v>
      </c>
      <c r="Y21" s="6">
        <v>1.2312000000000001</v>
      </c>
      <c r="Z21" s="6">
        <v>619</v>
      </c>
      <c r="AC21" s="21" t="s">
        <v>47</v>
      </c>
      <c r="AD21" s="5">
        <v>19</v>
      </c>
      <c r="AE21" s="20">
        <v>70.189300000000003</v>
      </c>
      <c r="AF21" s="6">
        <v>6.4268999999999998</v>
      </c>
      <c r="AG21" s="6">
        <v>10.7</v>
      </c>
      <c r="AH21" s="6">
        <v>10.92</v>
      </c>
      <c r="AI21" s="6" t="s">
        <v>65</v>
      </c>
      <c r="AJ21" s="6">
        <v>0.3</v>
      </c>
      <c r="AK21" s="6">
        <v>63.189599999999999</v>
      </c>
      <c r="AL21" s="6">
        <v>77.188999999999993</v>
      </c>
      <c r="AN21" s="17">
        <v>15</v>
      </c>
      <c r="AO21" s="6">
        <v>2.7768899999999999</v>
      </c>
      <c r="AP21" s="19">
        <v>-6.9663000000000004</v>
      </c>
      <c r="AQ21" s="6">
        <v>2.6751999999999998</v>
      </c>
      <c r="AR21" s="6">
        <v>342</v>
      </c>
      <c r="AT21" s="17">
        <v>15</v>
      </c>
      <c r="AU21" s="6">
        <v>5.2619300000000004</v>
      </c>
      <c r="AV21" s="19">
        <v>-6.9663000000000004</v>
      </c>
      <c r="AW21" s="6">
        <v>2.6751999999999998</v>
      </c>
      <c r="AX21" s="6">
        <v>342</v>
      </c>
    </row>
    <row r="22" spans="11:50" x14ac:dyDescent="0.25">
      <c r="K22" s="21" t="s">
        <v>47</v>
      </c>
      <c r="L22" s="5">
        <v>13</v>
      </c>
      <c r="M22" s="20">
        <v>69.708200000000005</v>
      </c>
      <c r="N22" s="6">
        <v>1.6639999999999999</v>
      </c>
      <c r="O22" s="6">
        <v>21.5</v>
      </c>
      <c r="P22" s="6">
        <v>41.89</v>
      </c>
      <c r="Q22" s="6" t="s">
        <v>65</v>
      </c>
      <c r="R22" s="6">
        <v>0.3</v>
      </c>
      <c r="S22" s="6">
        <v>67.941000000000003</v>
      </c>
      <c r="T22" s="6">
        <v>71.475399999999993</v>
      </c>
      <c r="V22" s="17">
        <v>16</v>
      </c>
      <c r="W22" s="6">
        <v>1.2784800000000001</v>
      </c>
      <c r="X22" s="19">
        <v>-16.6511</v>
      </c>
      <c r="Y22" s="6">
        <v>1.2324999999999999</v>
      </c>
      <c r="Z22" s="6">
        <v>624</v>
      </c>
      <c r="AC22" s="21" t="s">
        <v>47</v>
      </c>
      <c r="AD22" s="5">
        <v>27</v>
      </c>
      <c r="AE22" s="20">
        <v>69.663899999999998</v>
      </c>
      <c r="AF22" s="6">
        <v>6.4305000000000003</v>
      </c>
      <c r="AG22" s="6">
        <v>10.7</v>
      </c>
      <c r="AH22" s="6">
        <v>10.83</v>
      </c>
      <c r="AI22" s="6" t="s">
        <v>65</v>
      </c>
      <c r="AJ22" s="6">
        <v>0.3</v>
      </c>
      <c r="AK22" s="6">
        <v>62.661000000000001</v>
      </c>
      <c r="AL22" s="6">
        <v>76.666700000000006</v>
      </c>
      <c r="AN22" s="17">
        <v>16</v>
      </c>
      <c r="AO22" s="6">
        <v>2.7787700000000002</v>
      </c>
      <c r="AP22" s="19">
        <v>-16.597799999999999</v>
      </c>
      <c r="AQ22" s="6">
        <v>2.677</v>
      </c>
      <c r="AR22" s="6">
        <v>344</v>
      </c>
      <c r="AT22" s="17">
        <v>16</v>
      </c>
      <c r="AU22" s="6">
        <v>5.2654500000000004</v>
      </c>
      <c r="AV22" s="19">
        <v>-16.597799999999999</v>
      </c>
      <c r="AW22" s="6">
        <v>2.677</v>
      </c>
      <c r="AX22" s="6">
        <v>344</v>
      </c>
    </row>
    <row r="23" spans="11:50" x14ac:dyDescent="0.25">
      <c r="K23" s="21" t="s">
        <v>47</v>
      </c>
      <c r="L23" s="5">
        <v>27</v>
      </c>
      <c r="M23" s="20">
        <v>69.661699999999996</v>
      </c>
      <c r="N23" s="6">
        <v>1.6741999999999999</v>
      </c>
      <c r="O23" s="6">
        <v>22</v>
      </c>
      <c r="P23" s="6">
        <v>41.61</v>
      </c>
      <c r="Q23" s="6" t="s">
        <v>65</v>
      </c>
      <c r="R23" s="6">
        <v>0.3</v>
      </c>
      <c r="S23" s="6">
        <v>67.884699999999995</v>
      </c>
      <c r="T23" s="6">
        <v>71.438800000000001</v>
      </c>
      <c r="V23" s="17">
        <v>17</v>
      </c>
      <c r="W23" s="6">
        <v>1.2639800000000001</v>
      </c>
      <c r="X23" s="19">
        <v>-12.7478</v>
      </c>
      <c r="Y23" s="6">
        <v>1.2185999999999999</v>
      </c>
      <c r="Z23" s="6">
        <v>639</v>
      </c>
      <c r="AC23" s="21" t="s">
        <v>47</v>
      </c>
      <c r="AD23" s="5">
        <v>29</v>
      </c>
      <c r="AE23" s="20">
        <v>69.558000000000007</v>
      </c>
      <c r="AF23" s="6">
        <v>6.4302999999999999</v>
      </c>
      <c r="AG23" s="6">
        <v>10.7</v>
      </c>
      <c r="AH23" s="6">
        <v>10.82</v>
      </c>
      <c r="AI23" s="6" t="s">
        <v>65</v>
      </c>
      <c r="AJ23" s="6">
        <v>0.3</v>
      </c>
      <c r="AK23" s="6">
        <v>62.555300000000003</v>
      </c>
      <c r="AL23" s="6">
        <v>76.5608</v>
      </c>
      <c r="AN23" s="17">
        <v>17</v>
      </c>
      <c r="AO23" s="6">
        <v>2.7736100000000001</v>
      </c>
      <c r="AP23" s="19">
        <v>-12.825900000000001</v>
      </c>
      <c r="AQ23" s="6">
        <v>2.6720999999999999</v>
      </c>
      <c r="AR23" s="6">
        <v>342</v>
      </c>
      <c r="AT23" s="17">
        <v>17</v>
      </c>
      <c r="AU23" s="6">
        <v>5.2557299999999998</v>
      </c>
      <c r="AV23" s="19">
        <v>-12.825900000000001</v>
      </c>
      <c r="AW23" s="6">
        <v>2.6720999999999999</v>
      </c>
      <c r="AX23" s="6">
        <v>342</v>
      </c>
    </row>
    <row r="24" spans="11:50" x14ac:dyDescent="0.25">
      <c r="K24" s="21" t="s">
        <v>47</v>
      </c>
      <c r="L24" s="5">
        <v>29</v>
      </c>
      <c r="M24" s="20">
        <v>69.288600000000002</v>
      </c>
      <c r="N24" s="6">
        <v>1.6749000000000001</v>
      </c>
      <c r="O24" s="6">
        <v>21.9</v>
      </c>
      <c r="P24" s="6">
        <v>41.37</v>
      </c>
      <c r="Q24" s="6" t="s">
        <v>65</v>
      </c>
      <c r="R24" s="6">
        <v>0.3</v>
      </c>
      <c r="S24" s="6">
        <v>67.510599999999997</v>
      </c>
      <c r="T24" s="6">
        <v>71.066500000000005</v>
      </c>
      <c r="V24" s="17">
        <v>18</v>
      </c>
      <c r="W24" s="6">
        <v>1.29687</v>
      </c>
      <c r="X24" s="19">
        <v>-10.0252</v>
      </c>
      <c r="Y24" s="6">
        <v>1.2503</v>
      </c>
      <c r="Z24" s="6">
        <v>639</v>
      </c>
      <c r="AC24" s="21" t="s">
        <v>47</v>
      </c>
      <c r="AD24" s="5">
        <v>13</v>
      </c>
      <c r="AE24" s="20">
        <v>69.552800000000005</v>
      </c>
      <c r="AF24" s="6">
        <v>6.4279000000000002</v>
      </c>
      <c r="AG24" s="6">
        <v>10.7</v>
      </c>
      <c r="AH24" s="6">
        <v>10.82</v>
      </c>
      <c r="AI24" s="6" t="s">
        <v>65</v>
      </c>
      <c r="AJ24" s="6">
        <v>0.3</v>
      </c>
      <c r="AK24" s="6">
        <v>62.552100000000003</v>
      </c>
      <c r="AL24" s="6">
        <v>76.553399999999996</v>
      </c>
      <c r="AN24" s="17">
        <v>18</v>
      </c>
      <c r="AO24" s="6">
        <v>2.7869000000000002</v>
      </c>
      <c r="AP24" s="19">
        <v>-9.9934999999999992</v>
      </c>
      <c r="AQ24" s="6">
        <v>2.6848999999999998</v>
      </c>
      <c r="AR24" s="6">
        <v>348</v>
      </c>
      <c r="AT24" s="17">
        <v>18</v>
      </c>
      <c r="AU24" s="6">
        <v>5.2807300000000001</v>
      </c>
      <c r="AV24" s="19">
        <v>-9.9934999999999992</v>
      </c>
      <c r="AW24" s="6">
        <v>2.6848999999999998</v>
      </c>
      <c r="AX24" s="6">
        <v>348</v>
      </c>
    </row>
    <row r="25" spans="11:50" x14ac:dyDescent="0.25">
      <c r="K25" s="21" t="s">
        <v>47</v>
      </c>
      <c r="L25" s="5">
        <v>16</v>
      </c>
      <c r="M25" s="20">
        <v>69.242199999999997</v>
      </c>
      <c r="N25" s="6">
        <v>1.6631</v>
      </c>
      <c r="O25" s="6">
        <v>21.5</v>
      </c>
      <c r="P25" s="6">
        <v>41.63</v>
      </c>
      <c r="Q25" s="6" t="s">
        <v>65</v>
      </c>
      <c r="R25" s="6">
        <v>0.3</v>
      </c>
      <c r="S25" s="6">
        <v>67.475899999999996</v>
      </c>
      <c r="T25" s="6">
        <v>71.008399999999995</v>
      </c>
      <c r="V25" s="17">
        <v>19</v>
      </c>
      <c r="W25" s="6">
        <v>1.27837</v>
      </c>
      <c r="X25" s="19">
        <v>-4.3891</v>
      </c>
      <c r="Y25" s="6">
        <v>1.2323999999999999</v>
      </c>
      <c r="Z25" s="6">
        <v>643</v>
      </c>
      <c r="AC25" s="21" t="s">
        <v>47</v>
      </c>
      <c r="AD25" s="5">
        <v>30</v>
      </c>
      <c r="AE25" s="20">
        <v>69.242599999999996</v>
      </c>
      <c r="AF25" s="6">
        <v>6.4279000000000002</v>
      </c>
      <c r="AG25" s="6">
        <v>10.7</v>
      </c>
      <c r="AH25" s="6">
        <v>10.77</v>
      </c>
      <c r="AI25" s="6" t="s">
        <v>65</v>
      </c>
      <c r="AJ25" s="6">
        <v>0.3</v>
      </c>
      <c r="AK25" s="6">
        <v>62.242100000000001</v>
      </c>
      <c r="AL25" s="6">
        <v>76.243200000000002</v>
      </c>
      <c r="AN25" s="17">
        <v>19</v>
      </c>
      <c r="AO25" s="6">
        <v>2.77956</v>
      </c>
      <c r="AP25" s="19">
        <v>-4.6516000000000002</v>
      </c>
      <c r="AQ25" s="6">
        <v>2.6778</v>
      </c>
      <c r="AR25" s="6">
        <v>345</v>
      </c>
      <c r="AT25" s="17">
        <v>19</v>
      </c>
      <c r="AU25" s="6">
        <v>5.2669100000000002</v>
      </c>
      <c r="AV25" s="19">
        <v>-4.6516000000000002</v>
      </c>
      <c r="AW25" s="6">
        <v>2.6778</v>
      </c>
      <c r="AX25" s="6">
        <v>345</v>
      </c>
    </row>
    <row r="26" spans="11:50" x14ac:dyDescent="0.25">
      <c r="K26" s="21" t="s">
        <v>47</v>
      </c>
      <c r="L26" s="5">
        <v>30</v>
      </c>
      <c r="M26" s="20">
        <v>68.999099999999999</v>
      </c>
      <c r="N26" s="6">
        <v>1.6637999999999999</v>
      </c>
      <c r="O26" s="6">
        <v>21.5</v>
      </c>
      <c r="P26" s="6">
        <v>41.47</v>
      </c>
      <c r="Q26" s="6" t="s">
        <v>65</v>
      </c>
      <c r="R26" s="6">
        <v>0.3</v>
      </c>
      <c r="S26" s="6">
        <v>67.231999999999999</v>
      </c>
      <c r="T26" s="6">
        <v>70.766099999999994</v>
      </c>
      <c r="V26" s="17">
        <v>20</v>
      </c>
      <c r="W26" s="6">
        <v>1.2937000000000001</v>
      </c>
      <c r="X26" s="19">
        <v>-9.6519999999999992</v>
      </c>
      <c r="Y26" s="6">
        <v>1.2472000000000001</v>
      </c>
      <c r="Z26" s="6">
        <v>623</v>
      </c>
      <c r="AC26" s="21" t="s">
        <v>47</v>
      </c>
      <c r="AD26" s="5">
        <v>16</v>
      </c>
      <c r="AE26" s="20">
        <v>69.209500000000006</v>
      </c>
      <c r="AF26" s="6">
        <v>6.4278000000000004</v>
      </c>
      <c r="AG26" s="6">
        <v>10.7</v>
      </c>
      <c r="AH26" s="6">
        <v>10.77</v>
      </c>
      <c r="AI26" s="6" t="s">
        <v>65</v>
      </c>
      <c r="AJ26" s="6">
        <v>0.3</v>
      </c>
      <c r="AK26" s="6">
        <v>62.2089</v>
      </c>
      <c r="AL26" s="6">
        <v>76.209999999999994</v>
      </c>
      <c r="AN26" s="17">
        <v>20</v>
      </c>
      <c r="AO26" s="6">
        <v>2.78531</v>
      </c>
      <c r="AP26" s="19">
        <v>-9.8876000000000008</v>
      </c>
      <c r="AQ26" s="6">
        <v>2.6833999999999998</v>
      </c>
      <c r="AR26" s="6">
        <v>347</v>
      </c>
      <c r="AT26" s="17">
        <v>20</v>
      </c>
      <c r="AU26" s="6">
        <v>5.2777500000000002</v>
      </c>
      <c r="AV26" s="19">
        <v>-9.8876000000000008</v>
      </c>
      <c r="AW26" s="6">
        <v>2.6833999999999998</v>
      </c>
      <c r="AX26" s="6">
        <v>347</v>
      </c>
    </row>
    <row r="27" spans="11:50" x14ac:dyDescent="0.25">
      <c r="K27" s="21" t="s">
        <v>47</v>
      </c>
      <c r="L27" s="5">
        <v>34</v>
      </c>
      <c r="M27" s="20">
        <v>68.296199999999999</v>
      </c>
      <c r="N27" s="6">
        <v>1.6623000000000001</v>
      </c>
      <c r="O27" s="6">
        <v>21.6</v>
      </c>
      <c r="P27" s="6">
        <v>41.09</v>
      </c>
      <c r="Q27" s="6" t="s">
        <v>65</v>
      </c>
      <c r="R27" s="6">
        <v>0.3</v>
      </c>
      <c r="S27" s="6">
        <v>66.530799999999999</v>
      </c>
      <c r="T27" s="6">
        <v>70.061499999999995</v>
      </c>
      <c r="V27" s="17">
        <v>21</v>
      </c>
      <c r="W27" s="6">
        <v>1.2751699999999999</v>
      </c>
      <c r="X27" s="19">
        <v>-9.3625000000000007</v>
      </c>
      <c r="Y27" s="6">
        <v>1.2293000000000001</v>
      </c>
      <c r="Z27" s="6">
        <v>632</v>
      </c>
      <c r="AC27" s="21" t="s">
        <v>47</v>
      </c>
      <c r="AD27" s="5">
        <v>34</v>
      </c>
      <c r="AE27" s="20">
        <v>68.331699999999998</v>
      </c>
      <c r="AF27" s="6">
        <v>6.4279000000000002</v>
      </c>
      <c r="AG27" s="6">
        <v>10.7</v>
      </c>
      <c r="AH27" s="6">
        <v>10.63</v>
      </c>
      <c r="AI27" s="6" t="s">
        <v>65</v>
      </c>
      <c r="AJ27" s="6">
        <v>0.3</v>
      </c>
      <c r="AK27" s="6">
        <v>61.331099999999999</v>
      </c>
      <c r="AL27" s="6">
        <v>75.332300000000004</v>
      </c>
      <c r="AN27" s="17">
        <v>21</v>
      </c>
      <c r="AO27" s="6">
        <v>2.7773500000000002</v>
      </c>
      <c r="AP27" s="19">
        <v>-9.5722000000000005</v>
      </c>
      <c r="AQ27" s="6">
        <v>2.6757</v>
      </c>
      <c r="AR27" s="6">
        <v>343</v>
      </c>
      <c r="AT27" s="17">
        <v>21</v>
      </c>
      <c r="AU27" s="6">
        <v>5.2627699999999997</v>
      </c>
      <c r="AV27" s="19">
        <v>-9.5722000000000005</v>
      </c>
      <c r="AW27" s="6">
        <v>2.6757</v>
      </c>
      <c r="AX27" s="6">
        <v>343</v>
      </c>
    </row>
    <row r="28" spans="11:50" x14ac:dyDescent="0.25">
      <c r="K28" s="21" t="s">
        <v>47</v>
      </c>
      <c r="L28" s="5">
        <v>41</v>
      </c>
      <c r="M28" s="20">
        <v>68.17</v>
      </c>
      <c r="N28" s="6">
        <v>1.6623000000000001</v>
      </c>
      <c r="O28" s="6">
        <v>21.4</v>
      </c>
      <c r="P28" s="6">
        <v>41.01</v>
      </c>
      <c r="Q28" s="6" t="s">
        <v>65</v>
      </c>
      <c r="R28" s="6">
        <v>0.3</v>
      </c>
      <c r="S28" s="6">
        <v>66.404399999999995</v>
      </c>
      <c r="T28" s="6">
        <v>69.935599999999994</v>
      </c>
      <c r="V28" s="17">
        <v>22</v>
      </c>
      <c r="W28" s="6">
        <v>1.25658</v>
      </c>
      <c r="X28" s="6">
        <v>5.3097000000000003</v>
      </c>
      <c r="Y28" s="6">
        <v>1.2114</v>
      </c>
      <c r="Z28" s="6">
        <v>613</v>
      </c>
      <c r="AC28" s="21" t="s">
        <v>47</v>
      </c>
      <c r="AD28" s="5">
        <v>41</v>
      </c>
      <c r="AE28" s="20">
        <v>68.202100000000002</v>
      </c>
      <c r="AF28" s="6">
        <v>6.4278000000000004</v>
      </c>
      <c r="AG28" s="6">
        <v>10.7</v>
      </c>
      <c r="AH28" s="6">
        <v>10.61</v>
      </c>
      <c r="AI28" s="6" t="s">
        <v>65</v>
      </c>
      <c r="AJ28" s="6">
        <v>0.3</v>
      </c>
      <c r="AK28" s="6">
        <v>61.201599999999999</v>
      </c>
      <c r="AL28" s="6">
        <v>75.202600000000004</v>
      </c>
      <c r="AN28" s="17">
        <v>22</v>
      </c>
      <c r="AO28" s="6">
        <v>2.77014</v>
      </c>
      <c r="AP28" s="6">
        <v>5.4344999999999999</v>
      </c>
      <c r="AQ28" s="6">
        <v>2.6686999999999999</v>
      </c>
      <c r="AR28" s="6">
        <v>340</v>
      </c>
      <c r="AT28" s="17">
        <v>22</v>
      </c>
      <c r="AU28" s="6">
        <v>5.2492000000000001</v>
      </c>
      <c r="AV28" s="6">
        <v>5.4344999999999999</v>
      </c>
      <c r="AW28" s="6">
        <v>2.6686999999999999</v>
      </c>
      <c r="AX28" s="6">
        <v>340</v>
      </c>
    </row>
    <row r="29" spans="11:50" x14ac:dyDescent="0.25">
      <c r="K29" s="21" t="s">
        <v>47</v>
      </c>
      <c r="L29" s="5">
        <v>9</v>
      </c>
      <c r="M29" s="20">
        <v>68.1233</v>
      </c>
      <c r="N29" s="6">
        <v>1.6626000000000001</v>
      </c>
      <c r="O29" s="6">
        <v>21.4</v>
      </c>
      <c r="P29" s="6">
        <v>40.97</v>
      </c>
      <c r="Q29" s="6" t="s">
        <v>65</v>
      </c>
      <c r="R29" s="6">
        <v>0.3</v>
      </c>
      <c r="S29" s="6">
        <v>66.357299999999995</v>
      </c>
      <c r="T29" s="6">
        <v>69.889200000000002</v>
      </c>
      <c r="V29" s="17">
        <v>23</v>
      </c>
      <c r="W29" s="6">
        <v>1.2778700000000001</v>
      </c>
      <c r="X29" s="19">
        <v>-12.371499999999999</v>
      </c>
      <c r="Y29" s="6">
        <v>1.2319</v>
      </c>
      <c r="Z29" s="6">
        <v>614</v>
      </c>
      <c r="AC29" s="21" t="s">
        <v>47</v>
      </c>
      <c r="AD29" s="5">
        <v>33</v>
      </c>
      <c r="AE29" s="20">
        <v>68.132400000000004</v>
      </c>
      <c r="AF29" s="6">
        <v>6.4279000000000002</v>
      </c>
      <c r="AG29" s="6">
        <v>10.7</v>
      </c>
      <c r="AH29" s="6">
        <v>10.6</v>
      </c>
      <c r="AI29" s="6" t="s">
        <v>65</v>
      </c>
      <c r="AJ29" s="6">
        <v>0.3</v>
      </c>
      <c r="AK29" s="6">
        <v>61.131700000000002</v>
      </c>
      <c r="AL29" s="6">
        <v>75.132999999999996</v>
      </c>
      <c r="AN29" s="17">
        <v>23</v>
      </c>
      <c r="AO29" s="6">
        <v>2.7791899999999998</v>
      </c>
      <c r="AP29" s="19">
        <v>-12.287699999999999</v>
      </c>
      <c r="AQ29" s="6">
        <v>2.6775000000000002</v>
      </c>
      <c r="AR29" s="6">
        <v>344</v>
      </c>
      <c r="AT29" s="17">
        <v>23</v>
      </c>
      <c r="AU29" s="6">
        <v>5.2662199999999997</v>
      </c>
      <c r="AV29" s="19">
        <v>-12.287699999999999</v>
      </c>
      <c r="AW29" s="6">
        <v>2.6775000000000002</v>
      </c>
      <c r="AX29" s="6">
        <v>344</v>
      </c>
    </row>
    <row r="30" spans="11:50" x14ac:dyDescent="0.25">
      <c r="K30" s="21" t="s">
        <v>47</v>
      </c>
      <c r="L30" s="5">
        <v>33</v>
      </c>
      <c r="M30" s="20">
        <v>68.074600000000004</v>
      </c>
      <c r="N30" s="6">
        <v>1.6635</v>
      </c>
      <c r="O30" s="6">
        <v>21.5</v>
      </c>
      <c r="P30" s="6">
        <v>40.92</v>
      </c>
      <c r="Q30" s="6" t="s">
        <v>65</v>
      </c>
      <c r="R30" s="6">
        <v>0.3</v>
      </c>
      <c r="S30" s="6">
        <v>66.307900000000004</v>
      </c>
      <c r="T30" s="6">
        <v>69.841399999999993</v>
      </c>
      <c r="V30" s="17">
        <v>24</v>
      </c>
      <c r="W30" s="6">
        <v>1.28579</v>
      </c>
      <c r="X30" s="19">
        <v>-8.4381000000000004</v>
      </c>
      <c r="Y30" s="6">
        <v>1.2396</v>
      </c>
      <c r="Z30" s="6">
        <v>641</v>
      </c>
      <c r="AC30" s="21" t="s">
        <v>47</v>
      </c>
      <c r="AD30" s="5">
        <v>9</v>
      </c>
      <c r="AE30" s="20">
        <v>68.101799999999997</v>
      </c>
      <c r="AF30" s="6">
        <v>6.4276</v>
      </c>
      <c r="AG30" s="6">
        <v>10.7</v>
      </c>
      <c r="AH30" s="6">
        <v>10.6</v>
      </c>
      <c r="AI30" s="6" t="s">
        <v>65</v>
      </c>
      <c r="AJ30" s="6">
        <v>0.3</v>
      </c>
      <c r="AK30" s="6">
        <v>61.101399999999998</v>
      </c>
      <c r="AL30" s="6">
        <v>75.102199999999996</v>
      </c>
      <c r="AN30" s="17">
        <v>24</v>
      </c>
      <c r="AO30" s="6">
        <v>2.7827799999999998</v>
      </c>
      <c r="AP30" s="19">
        <v>-8.4619999999999997</v>
      </c>
      <c r="AQ30" s="6">
        <v>2.6808999999999998</v>
      </c>
      <c r="AR30" s="6">
        <v>346</v>
      </c>
      <c r="AT30" s="17">
        <v>24</v>
      </c>
      <c r="AU30" s="6">
        <v>5.2729699999999999</v>
      </c>
      <c r="AV30" s="19">
        <v>-8.4619999999999997</v>
      </c>
      <c r="AW30" s="6">
        <v>2.6808999999999998</v>
      </c>
      <c r="AX30" s="6">
        <v>346</v>
      </c>
    </row>
    <row r="31" spans="11:50" x14ac:dyDescent="0.25">
      <c r="K31" s="21" t="s">
        <v>47</v>
      </c>
      <c r="L31" s="5">
        <v>17</v>
      </c>
      <c r="M31" s="20">
        <v>68.034999999999997</v>
      </c>
      <c r="N31" s="6">
        <v>1.6598999999999999</v>
      </c>
      <c r="O31" s="6">
        <v>21.4</v>
      </c>
      <c r="P31" s="6">
        <v>40.99</v>
      </c>
      <c r="Q31" s="6" t="s">
        <v>65</v>
      </c>
      <c r="R31" s="6">
        <v>0.3</v>
      </c>
      <c r="S31" s="6">
        <v>66.271799999999999</v>
      </c>
      <c r="T31" s="6">
        <v>69.798199999999994</v>
      </c>
      <c r="V31" s="17">
        <v>25</v>
      </c>
      <c r="W31" s="6">
        <v>1.2844</v>
      </c>
      <c r="X31" s="19">
        <v>-8.6595999999999993</v>
      </c>
      <c r="Y31" s="6">
        <v>1.2383</v>
      </c>
      <c r="Z31" s="6">
        <v>648</v>
      </c>
      <c r="AC31" s="21" t="s">
        <v>47</v>
      </c>
      <c r="AD31" s="5">
        <v>17</v>
      </c>
      <c r="AE31" s="20">
        <v>68.096299999999999</v>
      </c>
      <c r="AF31" s="6">
        <v>6.4269999999999996</v>
      </c>
      <c r="AG31" s="6">
        <v>10.7</v>
      </c>
      <c r="AH31" s="6">
        <v>10.6</v>
      </c>
      <c r="AI31" s="6" t="s">
        <v>65</v>
      </c>
      <c r="AJ31" s="6">
        <v>0.3</v>
      </c>
      <c r="AK31" s="6">
        <v>61.096400000000003</v>
      </c>
      <c r="AL31" s="6">
        <v>75.096100000000007</v>
      </c>
      <c r="AN31" s="17">
        <v>25</v>
      </c>
      <c r="AO31" s="6">
        <v>2.7819500000000001</v>
      </c>
      <c r="AP31" s="19">
        <v>-8.6613000000000007</v>
      </c>
      <c r="AQ31" s="6">
        <v>2.6800999999999999</v>
      </c>
      <c r="AR31" s="6">
        <v>346</v>
      </c>
      <c r="AT31" s="17">
        <v>25</v>
      </c>
      <c r="AU31" s="6">
        <v>5.27142</v>
      </c>
      <c r="AV31" s="19">
        <v>-8.6613000000000007</v>
      </c>
      <c r="AW31" s="6">
        <v>2.6800999999999999</v>
      </c>
      <c r="AX31" s="6">
        <v>346</v>
      </c>
    </row>
    <row r="32" spans="11:50" x14ac:dyDescent="0.25">
      <c r="K32" s="21" t="s">
        <v>47</v>
      </c>
      <c r="L32" s="5">
        <v>23</v>
      </c>
      <c r="M32" s="20">
        <v>67.894999999999996</v>
      </c>
      <c r="N32" s="6">
        <v>1.671</v>
      </c>
      <c r="O32" s="6">
        <v>21.9</v>
      </c>
      <c r="P32" s="6">
        <v>40.630000000000003</v>
      </c>
      <c r="Q32" s="6" t="s">
        <v>65</v>
      </c>
      <c r="R32" s="6">
        <v>0.3</v>
      </c>
      <c r="S32" s="6">
        <v>66.121099999999998</v>
      </c>
      <c r="T32" s="6">
        <v>69.668899999999994</v>
      </c>
      <c r="V32" s="17">
        <v>26</v>
      </c>
      <c r="W32" s="6">
        <v>1.2644500000000001</v>
      </c>
      <c r="X32" s="19">
        <v>-13.379099999999999</v>
      </c>
      <c r="Y32" s="6">
        <v>1.2190000000000001</v>
      </c>
      <c r="Z32" s="6">
        <v>615</v>
      </c>
      <c r="AC32" s="21" t="s">
        <v>47</v>
      </c>
      <c r="AD32" s="5">
        <v>23</v>
      </c>
      <c r="AE32" s="20">
        <v>67.922300000000007</v>
      </c>
      <c r="AF32" s="6">
        <v>6.4295999999999998</v>
      </c>
      <c r="AG32" s="6">
        <v>10.7</v>
      </c>
      <c r="AH32" s="6">
        <v>10.56</v>
      </c>
      <c r="AI32" s="6" t="s">
        <v>65</v>
      </c>
      <c r="AJ32" s="6">
        <v>0.3</v>
      </c>
      <c r="AK32" s="6">
        <v>60.920200000000001</v>
      </c>
      <c r="AL32" s="6">
        <v>74.924400000000006</v>
      </c>
      <c r="AN32" s="17">
        <v>26</v>
      </c>
      <c r="AO32" s="6">
        <v>2.7738499999999999</v>
      </c>
      <c r="AP32" s="19">
        <v>-13.3133</v>
      </c>
      <c r="AQ32" s="6">
        <v>2.6722999999999999</v>
      </c>
      <c r="AR32" s="6">
        <v>342</v>
      </c>
      <c r="AT32" s="17">
        <v>26</v>
      </c>
      <c r="AU32" s="6">
        <v>5.25617</v>
      </c>
      <c r="AV32" s="19">
        <v>-13.3133</v>
      </c>
      <c r="AW32" s="6">
        <v>2.6722999999999999</v>
      </c>
      <c r="AX32" s="6">
        <v>342</v>
      </c>
    </row>
    <row r="33" spans="11:50" x14ac:dyDescent="0.25">
      <c r="K33" s="21" t="s">
        <v>47</v>
      </c>
      <c r="L33" s="5">
        <v>18</v>
      </c>
      <c r="M33" s="20">
        <v>67.656499999999994</v>
      </c>
      <c r="N33" s="6">
        <v>1.6589</v>
      </c>
      <c r="O33" s="6">
        <v>21.3</v>
      </c>
      <c r="P33" s="6">
        <v>40.78</v>
      </c>
      <c r="Q33" s="6" t="s">
        <v>65</v>
      </c>
      <c r="R33" s="6">
        <v>0.3</v>
      </c>
      <c r="S33" s="6">
        <v>65.894300000000001</v>
      </c>
      <c r="T33" s="6">
        <v>69.418700000000001</v>
      </c>
      <c r="V33" s="17">
        <v>27</v>
      </c>
      <c r="W33" s="6">
        <v>1.2667999999999999</v>
      </c>
      <c r="X33" s="19">
        <v>-12.4086</v>
      </c>
      <c r="Y33" s="6">
        <v>1.2212000000000001</v>
      </c>
      <c r="Z33" s="6">
        <v>599</v>
      </c>
      <c r="AC33" s="21" t="s">
        <v>47</v>
      </c>
      <c r="AD33" s="5">
        <v>18</v>
      </c>
      <c r="AE33" s="20">
        <v>67.728499999999997</v>
      </c>
      <c r="AF33" s="6">
        <v>6.4268999999999998</v>
      </c>
      <c r="AG33" s="6">
        <v>10.7</v>
      </c>
      <c r="AH33" s="6">
        <v>10.54</v>
      </c>
      <c r="AI33" s="6" t="s">
        <v>65</v>
      </c>
      <c r="AJ33" s="6">
        <v>0.3</v>
      </c>
      <c r="AK33" s="6">
        <v>60.7288</v>
      </c>
      <c r="AL33" s="6">
        <v>74.728200000000001</v>
      </c>
      <c r="AN33" s="17">
        <v>27</v>
      </c>
      <c r="AO33" s="6">
        <v>2.7728199999999998</v>
      </c>
      <c r="AP33" s="19">
        <v>-12.2341</v>
      </c>
      <c r="AQ33" s="6">
        <v>2.6713</v>
      </c>
      <c r="AR33" s="6">
        <v>341</v>
      </c>
      <c r="AT33" s="17">
        <v>27</v>
      </c>
      <c r="AU33" s="6">
        <v>5.2542600000000004</v>
      </c>
      <c r="AV33" s="19">
        <v>-12.2341</v>
      </c>
      <c r="AW33" s="6">
        <v>2.6713</v>
      </c>
      <c r="AX33" s="6">
        <v>341</v>
      </c>
    </row>
    <row r="34" spans="11:50" x14ac:dyDescent="0.25">
      <c r="K34" s="21" t="s">
        <v>47</v>
      </c>
      <c r="L34" s="5">
        <v>15</v>
      </c>
      <c r="M34" s="20">
        <v>67.314300000000003</v>
      </c>
      <c r="N34" s="6">
        <v>1.6648000000000001</v>
      </c>
      <c r="O34" s="6">
        <v>21.4</v>
      </c>
      <c r="P34" s="6">
        <v>40.43</v>
      </c>
      <c r="Q34" s="6" t="s">
        <v>65</v>
      </c>
      <c r="R34" s="6">
        <v>0.3</v>
      </c>
      <c r="S34" s="6">
        <v>65.546000000000006</v>
      </c>
      <c r="T34" s="6">
        <v>69.082499999999996</v>
      </c>
      <c r="V34" s="17">
        <v>28</v>
      </c>
      <c r="W34" s="6">
        <v>1.26417</v>
      </c>
      <c r="X34" s="19">
        <v>-12.308999999999999</v>
      </c>
      <c r="Y34" s="6">
        <v>1.2186999999999999</v>
      </c>
      <c r="Z34" s="6">
        <v>631</v>
      </c>
      <c r="AC34" s="21" t="s">
        <v>47</v>
      </c>
      <c r="AD34" s="5">
        <v>15</v>
      </c>
      <c r="AE34" s="20">
        <v>67.406499999999994</v>
      </c>
      <c r="AF34" s="6">
        <v>6.4279999999999999</v>
      </c>
      <c r="AG34" s="6">
        <v>10.7</v>
      </c>
      <c r="AH34" s="6">
        <v>10.49</v>
      </c>
      <c r="AI34" s="6" t="s">
        <v>65</v>
      </c>
      <c r="AJ34" s="6">
        <v>0.3</v>
      </c>
      <c r="AK34" s="6">
        <v>60.405799999999999</v>
      </c>
      <c r="AL34" s="6">
        <v>74.407200000000003</v>
      </c>
      <c r="AN34" s="17">
        <v>28</v>
      </c>
      <c r="AO34" s="6">
        <v>2.7734899999999998</v>
      </c>
      <c r="AP34" s="19">
        <v>-12.279500000000001</v>
      </c>
      <c r="AQ34" s="6">
        <v>2.6718999999999999</v>
      </c>
      <c r="AR34" s="6">
        <v>342</v>
      </c>
      <c r="AT34" s="17">
        <v>28</v>
      </c>
      <c r="AU34" s="6">
        <v>5.2555100000000001</v>
      </c>
      <c r="AV34" s="19">
        <v>-12.279500000000001</v>
      </c>
      <c r="AW34" s="6">
        <v>2.6718999999999999</v>
      </c>
      <c r="AX34" s="6">
        <v>342</v>
      </c>
    </row>
    <row r="35" spans="11:50" x14ac:dyDescent="0.25">
      <c r="K35" s="21" t="s">
        <v>47</v>
      </c>
      <c r="L35" s="5">
        <v>21</v>
      </c>
      <c r="M35" s="20">
        <v>66.791899999999998</v>
      </c>
      <c r="N35" s="6">
        <v>1.663</v>
      </c>
      <c r="O35" s="6">
        <v>21.4</v>
      </c>
      <c r="P35" s="6">
        <v>40.159999999999997</v>
      </c>
      <c r="Q35" s="6" t="s">
        <v>65</v>
      </c>
      <c r="R35" s="6">
        <v>0.3</v>
      </c>
      <c r="S35" s="6">
        <v>65.025400000000005</v>
      </c>
      <c r="T35" s="6">
        <v>68.558300000000003</v>
      </c>
      <c r="V35" s="17">
        <v>29</v>
      </c>
      <c r="W35" s="6">
        <v>1.2868999999999999</v>
      </c>
      <c r="X35" s="19">
        <v>-13.7789</v>
      </c>
      <c r="Y35" s="6">
        <v>1.2406999999999999</v>
      </c>
      <c r="Z35" s="6">
        <v>639</v>
      </c>
      <c r="AC35" s="21" t="s">
        <v>47</v>
      </c>
      <c r="AD35" s="5">
        <v>45</v>
      </c>
      <c r="AE35" s="20">
        <v>66.772199999999998</v>
      </c>
      <c r="AF35" s="6">
        <v>6.4292999999999996</v>
      </c>
      <c r="AG35" s="6">
        <v>10.7</v>
      </c>
      <c r="AH35" s="6">
        <v>10.39</v>
      </c>
      <c r="AI35" s="6" t="s">
        <v>65</v>
      </c>
      <c r="AJ35" s="6">
        <v>0.3</v>
      </c>
      <c r="AK35" s="6">
        <v>59.770400000000002</v>
      </c>
      <c r="AL35" s="6">
        <v>73.774000000000001</v>
      </c>
      <c r="AN35" s="17">
        <v>29</v>
      </c>
      <c r="AO35" s="6">
        <v>2.7830400000000002</v>
      </c>
      <c r="AP35" s="19">
        <v>-13.8161</v>
      </c>
      <c r="AQ35" s="6">
        <v>2.6812</v>
      </c>
      <c r="AR35" s="6">
        <v>346</v>
      </c>
      <c r="AT35" s="17">
        <v>29</v>
      </c>
      <c r="AU35" s="6">
        <v>5.27346</v>
      </c>
      <c r="AV35" s="19">
        <v>-13.8161</v>
      </c>
      <c r="AW35" s="6">
        <v>2.6812</v>
      </c>
      <c r="AX35" s="6">
        <v>346</v>
      </c>
    </row>
    <row r="36" spans="11:50" x14ac:dyDescent="0.25">
      <c r="K36" s="21" t="s">
        <v>47</v>
      </c>
      <c r="L36" s="5">
        <v>45</v>
      </c>
      <c r="M36" s="20">
        <v>66.635900000000007</v>
      </c>
      <c r="N36" s="6">
        <v>1.6679999999999999</v>
      </c>
      <c r="O36" s="6">
        <v>21.9</v>
      </c>
      <c r="P36" s="6">
        <v>39.950000000000003</v>
      </c>
      <c r="Q36" s="6" t="s">
        <v>65</v>
      </c>
      <c r="R36" s="6">
        <v>0.3</v>
      </c>
      <c r="S36" s="6">
        <v>64.865200000000002</v>
      </c>
      <c r="T36" s="6">
        <v>68.406599999999997</v>
      </c>
      <c r="V36" s="17">
        <v>30</v>
      </c>
      <c r="W36" s="6">
        <v>1.2570399999999999</v>
      </c>
      <c r="X36" s="19">
        <v>-15.767099999999999</v>
      </c>
      <c r="Y36" s="6">
        <v>1.2118</v>
      </c>
      <c r="Z36" s="6">
        <v>628</v>
      </c>
      <c r="AC36" s="21" t="s">
        <v>47</v>
      </c>
      <c r="AD36" s="5">
        <v>21</v>
      </c>
      <c r="AE36" s="20">
        <v>66.7453</v>
      </c>
      <c r="AF36" s="6">
        <v>6.4276</v>
      </c>
      <c r="AG36" s="6">
        <v>10.7</v>
      </c>
      <c r="AH36" s="6">
        <v>10.38</v>
      </c>
      <c r="AI36" s="6" t="s">
        <v>65</v>
      </c>
      <c r="AJ36" s="6">
        <v>0.3</v>
      </c>
      <c r="AK36" s="6">
        <v>59.744900000000001</v>
      </c>
      <c r="AL36" s="6">
        <v>73.745599999999996</v>
      </c>
      <c r="AN36" s="17">
        <v>30</v>
      </c>
      <c r="AO36" s="6">
        <v>2.7708400000000002</v>
      </c>
      <c r="AP36" s="19">
        <v>-15.8819</v>
      </c>
      <c r="AQ36" s="6">
        <v>2.6694</v>
      </c>
      <c r="AR36" s="6">
        <v>341</v>
      </c>
      <c r="AT36" s="17">
        <v>30</v>
      </c>
      <c r="AU36" s="6">
        <v>5.2505100000000002</v>
      </c>
      <c r="AV36" s="19">
        <v>-15.8819</v>
      </c>
      <c r="AW36" s="6">
        <v>2.6694</v>
      </c>
      <c r="AX36" s="6">
        <v>341</v>
      </c>
    </row>
    <row r="37" spans="11:50" x14ac:dyDescent="0.25">
      <c r="K37" s="21" t="s">
        <v>47</v>
      </c>
      <c r="L37" s="5">
        <v>24</v>
      </c>
      <c r="M37" s="20">
        <v>66.623000000000005</v>
      </c>
      <c r="N37" s="6">
        <v>1.6761999999999999</v>
      </c>
      <c r="O37" s="6">
        <v>22.1</v>
      </c>
      <c r="P37" s="6">
        <v>39.75</v>
      </c>
      <c r="Q37" s="6" t="s">
        <v>65</v>
      </c>
      <c r="R37" s="6">
        <v>0.3</v>
      </c>
      <c r="S37" s="6">
        <v>64.843900000000005</v>
      </c>
      <c r="T37" s="6">
        <v>68.402000000000001</v>
      </c>
      <c r="V37" s="17">
        <v>31</v>
      </c>
      <c r="W37" s="6">
        <v>1.25726</v>
      </c>
      <c r="X37" s="19">
        <v>-12.567299999999999</v>
      </c>
      <c r="Y37" s="6">
        <v>1.212</v>
      </c>
      <c r="Z37" s="6">
        <v>610</v>
      </c>
      <c r="AC37" s="21" t="s">
        <v>47</v>
      </c>
      <c r="AD37" s="5">
        <v>24</v>
      </c>
      <c r="AE37" s="20">
        <v>66.636700000000005</v>
      </c>
      <c r="AF37" s="6">
        <v>6.4306999999999999</v>
      </c>
      <c r="AG37" s="6">
        <v>10.7</v>
      </c>
      <c r="AH37" s="6">
        <v>10.36</v>
      </c>
      <c r="AI37" s="6" t="s">
        <v>65</v>
      </c>
      <c r="AJ37" s="6">
        <v>0.3</v>
      </c>
      <c r="AK37" s="6">
        <v>59.633600000000001</v>
      </c>
      <c r="AL37" s="6">
        <v>73.639799999999994</v>
      </c>
      <c r="AN37" s="17">
        <v>31</v>
      </c>
      <c r="AO37" s="6">
        <v>2.7698999999999998</v>
      </c>
      <c r="AP37" s="19">
        <v>-12.6759</v>
      </c>
      <c r="AQ37" s="6">
        <v>2.6684000000000001</v>
      </c>
      <c r="AR37" s="6">
        <v>340</v>
      </c>
      <c r="AT37" s="17">
        <v>31</v>
      </c>
      <c r="AU37" s="6">
        <v>5.2487500000000002</v>
      </c>
      <c r="AV37" s="19">
        <v>-12.6759</v>
      </c>
      <c r="AW37" s="6">
        <v>2.6684000000000001</v>
      </c>
      <c r="AX37" s="6">
        <v>340</v>
      </c>
    </row>
    <row r="38" spans="11:50" x14ac:dyDescent="0.25">
      <c r="K38" s="21" t="s">
        <v>47</v>
      </c>
      <c r="L38" s="5">
        <v>14</v>
      </c>
      <c r="M38" s="20">
        <v>66.599500000000006</v>
      </c>
      <c r="N38" s="6">
        <v>1.6616</v>
      </c>
      <c r="O38" s="6">
        <v>21.5</v>
      </c>
      <c r="P38" s="6">
        <v>40.08</v>
      </c>
      <c r="Q38" s="6" t="s">
        <v>65</v>
      </c>
      <c r="R38" s="6">
        <v>0.3</v>
      </c>
      <c r="S38" s="6">
        <v>64.834900000000005</v>
      </c>
      <c r="T38" s="6">
        <v>68.364099999999993</v>
      </c>
      <c r="V38" s="17">
        <v>32</v>
      </c>
      <c r="W38" s="6">
        <v>1.2603</v>
      </c>
      <c r="X38" s="19">
        <v>-8.5334000000000003</v>
      </c>
      <c r="Y38" s="6">
        <v>1.2150000000000001</v>
      </c>
      <c r="Z38" s="6">
        <v>625</v>
      </c>
      <c r="AC38" s="21" t="s">
        <v>47</v>
      </c>
      <c r="AD38" s="5">
        <v>14</v>
      </c>
      <c r="AE38" s="20">
        <v>66.406000000000006</v>
      </c>
      <c r="AF38" s="6">
        <v>6.4275000000000002</v>
      </c>
      <c r="AG38" s="6">
        <v>10.7</v>
      </c>
      <c r="AH38" s="6">
        <v>10.33</v>
      </c>
      <c r="AI38" s="6" t="s">
        <v>65</v>
      </c>
      <c r="AJ38" s="6">
        <v>0.3</v>
      </c>
      <c r="AK38" s="6">
        <v>59.405799999999999</v>
      </c>
      <c r="AL38" s="6">
        <v>73.406300000000002</v>
      </c>
      <c r="AN38" s="17">
        <v>32</v>
      </c>
      <c r="AO38" s="6">
        <v>2.7728100000000002</v>
      </c>
      <c r="AP38" s="19">
        <v>-8.5317000000000007</v>
      </c>
      <c r="AQ38" s="6">
        <v>2.6713</v>
      </c>
      <c r="AR38" s="6">
        <v>342</v>
      </c>
      <c r="AT38" s="17">
        <v>32</v>
      </c>
      <c r="AU38" s="6">
        <v>5.2542099999999996</v>
      </c>
      <c r="AV38" s="19">
        <v>-8.5317000000000007</v>
      </c>
      <c r="AW38" s="6">
        <v>2.6713</v>
      </c>
      <c r="AX38" s="6">
        <v>342</v>
      </c>
    </row>
    <row r="39" spans="11:50" x14ac:dyDescent="0.25">
      <c r="K39" s="21" t="s">
        <v>47</v>
      </c>
      <c r="L39" s="5">
        <v>8</v>
      </c>
      <c r="M39" s="20">
        <v>66.059200000000004</v>
      </c>
      <c r="N39" s="6">
        <v>1.6662999999999999</v>
      </c>
      <c r="O39" s="6">
        <v>21.6</v>
      </c>
      <c r="P39" s="6">
        <v>39.64</v>
      </c>
      <c r="Q39" s="6" t="s">
        <v>65</v>
      </c>
      <c r="R39" s="6">
        <v>0.3</v>
      </c>
      <c r="S39" s="6">
        <v>64.289699999999996</v>
      </c>
      <c r="T39" s="6">
        <v>67.828699999999998</v>
      </c>
      <c r="V39" s="17">
        <v>33</v>
      </c>
      <c r="W39" s="6">
        <v>1.26712</v>
      </c>
      <c r="X39" s="19">
        <v>-10.619899999999999</v>
      </c>
      <c r="Y39" s="6">
        <v>1.2215</v>
      </c>
      <c r="Z39" s="6">
        <v>613</v>
      </c>
      <c r="AC39" s="21" t="s">
        <v>47</v>
      </c>
      <c r="AD39" s="5">
        <v>8</v>
      </c>
      <c r="AE39" s="20">
        <v>66.127300000000005</v>
      </c>
      <c r="AF39" s="6">
        <v>6.4284999999999997</v>
      </c>
      <c r="AG39" s="6">
        <v>10.7</v>
      </c>
      <c r="AH39" s="6">
        <v>10.29</v>
      </c>
      <c r="AI39" s="6" t="s">
        <v>65</v>
      </c>
      <c r="AJ39" s="6">
        <v>0.3</v>
      </c>
      <c r="AK39" s="6">
        <v>59.126199999999997</v>
      </c>
      <c r="AL39" s="6">
        <v>73.128399999999999</v>
      </c>
      <c r="AN39" s="17">
        <v>33</v>
      </c>
      <c r="AO39" s="6">
        <v>2.7743500000000001</v>
      </c>
      <c r="AP39" s="19">
        <v>-10.632999999999999</v>
      </c>
      <c r="AQ39" s="6">
        <v>2.6728000000000001</v>
      </c>
      <c r="AR39" s="6">
        <v>342</v>
      </c>
      <c r="AT39" s="17">
        <v>33</v>
      </c>
      <c r="AU39" s="6">
        <v>5.2571300000000001</v>
      </c>
      <c r="AV39" s="19">
        <v>-10.632999999999999</v>
      </c>
      <c r="AW39" s="6">
        <v>2.6728000000000001</v>
      </c>
      <c r="AX39" s="6">
        <v>342</v>
      </c>
    </row>
    <row r="40" spans="11:50" x14ac:dyDescent="0.25">
      <c r="K40" s="21" t="s">
        <v>47</v>
      </c>
      <c r="L40" s="5">
        <v>22</v>
      </c>
      <c r="M40" s="20">
        <v>65.485399999999998</v>
      </c>
      <c r="N40" s="6">
        <v>1.6626000000000001</v>
      </c>
      <c r="O40" s="6">
        <v>21.4</v>
      </c>
      <c r="P40" s="6">
        <v>39.39</v>
      </c>
      <c r="Q40" s="6" t="s">
        <v>65</v>
      </c>
      <c r="R40" s="6">
        <v>0.3</v>
      </c>
      <c r="S40" s="6">
        <v>63.7196</v>
      </c>
      <c r="T40" s="6">
        <v>67.251300000000001</v>
      </c>
      <c r="V40" s="17">
        <v>34</v>
      </c>
      <c r="W40" s="6">
        <v>1.2554700000000001</v>
      </c>
      <c r="X40" s="19">
        <v>-11.986599999999999</v>
      </c>
      <c r="Y40" s="6">
        <v>1.2102999999999999</v>
      </c>
      <c r="Z40" s="6">
        <v>607</v>
      </c>
      <c r="AC40" s="21" t="s">
        <v>47</v>
      </c>
      <c r="AD40" s="5">
        <v>22</v>
      </c>
      <c r="AE40" s="20">
        <v>65.525000000000006</v>
      </c>
      <c r="AF40" s="6">
        <v>6.4276</v>
      </c>
      <c r="AG40" s="6">
        <v>10.7</v>
      </c>
      <c r="AH40" s="6">
        <v>10.19</v>
      </c>
      <c r="AI40" s="6" t="s">
        <v>65</v>
      </c>
      <c r="AJ40" s="6">
        <v>0.3</v>
      </c>
      <c r="AK40" s="6">
        <v>58.5246</v>
      </c>
      <c r="AL40" s="6">
        <v>72.525300000000001</v>
      </c>
      <c r="AN40" s="17">
        <v>34</v>
      </c>
      <c r="AO40" s="6">
        <v>2.76979</v>
      </c>
      <c r="AP40" s="19">
        <v>-11.987</v>
      </c>
      <c r="AQ40" s="6">
        <v>2.6684000000000001</v>
      </c>
      <c r="AR40" s="6">
        <v>340</v>
      </c>
      <c r="AT40" s="17">
        <v>34</v>
      </c>
      <c r="AU40" s="6">
        <v>5.2485400000000002</v>
      </c>
      <c r="AV40" s="19">
        <v>-11.987</v>
      </c>
      <c r="AW40" s="6">
        <v>2.6684000000000001</v>
      </c>
      <c r="AX40" s="6">
        <v>340</v>
      </c>
    </row>
    <row r="41" spans="11:50" x14ac:dyDescent="0.25">
      <c r="K41" s="21" t="s">
        <v>47</v>
      </c>
      <c r="L41" s="5">
        <v>28</v>
      </c>
      <c r="M41" s="20">
        <v>64.025599999999997</v>
      </c>
      <c r="N41" s="6">
        <v>1.6628000000000001</v>
      </c>
      <c r="O41" s="6">
        <v>21.6</v>
      </c>
      <c r="P41" s="6">
        <v>38.51</v>
      </c>
      <c r="Q41" s="6" t="s">
        <v>65</v>
      </c>
      <c r="R41" s="6">
        <v>0.3</v>
      </c>
      <c r="S41" s="6">
        <v>62.259799999999998</v>
      </c>
      <c r="T41" s="6">
        <v>65.791399999999996</v>
      </c>
      <c r="V41" s="17">
        <v>35</v>
      </c>
      <c r="W41" s="6">
        <v>1.24892</v>
      </c>
      <c r="X41" s="19">
        <v>-10.9808</v>
      </c>
      <c r="Y41" s="6">
        <v>1.204</v>
      </c>
      <c r="Z41" s="6">
        <v>605</v>
      </c>
      <c r="AC41" s="21" t="s">
        <v>47</v>
      </c>
      <c r="AD41" s="5">
        <v>28</v>
      </c>
      <c r="AE41" s="20">
        <v>64.322000000000003</v>
      </c>
      <c r="AF41" s="6">
        <v>6.4279000000000002</v>
      </c>
      <c r="AG41" s="6">
        <v>10.7</v>
      </c>
      <c r="AH41" s="6">
        <v>10.01</v>
      </c>
      <c r="AI41" s="6" t="s">
        <v>65</v>
      </c>
      <c r="AJ41" s="6">
        <v>0.3</v>
      </c>
      <c r="AK41" s="6">
        <v>57.321399999999997</v>
      </c>
      <c r="AL41" s="6">
        <v>71.322599999999994</v>
      </c>
      <c r="AN41" s="17">
        <v>35</v>
      </c>
      <c r="AO41" s="6">
        <v>2.7668599999999999</v>
      </c>
      <c r="AP41" s="19">
        <v>-10.962400000000001</v>
      </c>
      <c r="AQ41" s="6">
        <v>2.6655000000000002</v>
      </c>
      <c r="AR41" s="6">
        <v>339</v>
      </c>
      <c r="AT41" s="17">
        <v>35</v>
      </c>
      <c r="AU41" s="6">
        <v>5.2430300000000001</v>
      </c>
      <c r="AV41" s="19">
        <v>-10.962400000000001</v>
      </c>
      <c r="AW41" s="6">
        <v>2.6655000000000002</v>
      </c>
      <c r="AX41" s="6">
        <v>339</v>
      </c>
    </row>
    <row r="42" spans="11:50" x14ac:dyDescent="0.25">
      <c r="K42" s="21" t="s">
        <v>47</v>
      </c>
      <c r="L42" s="5">
        <v>20</v>
      </c>
      <c r="M42" s="20">
        <v>63.346800000000002</v>
      </c>
      <c r="N42" s="6">
        <v>1.6596</v>
      </c>
      <c r="O42" s="6">
        <v>21.4</v>
      </c>
      <c r="P42" s="6">
        <v>38.17</v>
      </c>
      <c r="Q42" s="6" t="s">
        <v>65</v>
      </c>
      <c r="R42" s="6">
        <v>0.3</v>
      </c>
      <c r="S42" s="6">
        <v>61.584099999999999</v>
      </c>
      <c r="T42" s="6">
        <v>65.109499999999997</v>
      </c>
      <c r="V42" s="17">
        <v>36</v>
      </c>
      <c r="W42" s="6">
        <v>1.2877400000000001</v>
      </c>
      <c r="X42" s="19">
        <v>-6.9992999999999999</v>
      </c>
      <c r="Y42" s="6">
        <v>1.2415</v>
      </c>
      <c r="Z42" s="6">
        <v>638</v>
      </c>
      <c r="AC42" s="21" t="s">
        <v>47</v>
      </c>
      <c r="AD42" s="5">
        <v>20</v>
      </c>
      <c r="AE42" s="20">
        <v>63.186500000000002</v>
      </c>
      <c r="AF42" s="6">
        <v>6.4271000000000003</v>
      </c>
      <c r="AG42" s="6">
        <v>10.7</v>
      </c>
      <c r="AH42" s="6">
        <v>9.83</v>
      </c>
      <c r="AI42" s="6" t="s">
        <v>65</v>
      </c>
      <c r="AJ42" s="6">
        <v>0.3</v>
      </c>
      <c r="AK42" s="6">
        <v>56.186599999999999</v>
      </c>
      <c r="AL42" s="6">
        <v>70.186400000000006</v>
      </c>
      <c r="AN42" s="17">
        <v>36</v>
      </c>
      <c r="AO42" s="6">
        <v>2.7842199999999999</v>
      </c>
      <c r="AP42" s="19">
        <v>-7.1017999999999999</v>
      </c>
      <c r="AQ42" s="6">
        <v>2.6823000000000001</v>
      </c>
      <c r="AR42" s="6">
        <v>347</v>
      </c>
      <c r="AT42" s="17">
        <v>36</v>
      </c>
      <c r="AU42" s="6">
        <v>5.2756800000000004</v>
      </c>
      <c r="AV42" s="19">
        <v>-7.1017999999999999</v>
      </c>
      <c r="AW42" s="6">
        <v>2.6823000000000001</v>
      </c>
      <c r="AX42" s="6">
        <v>347</v>
      </c>
    </row>
    <row r="43" spans="11:50" x14ac:dyDescent="0.25">
      <c r="K43" s="21" t="s">
        <v>47</v>
      </c>
      <c r="L43" s="5">
        <v>2</v>
      </c>
      <c r="M43" s="20">
        <v>59.636499999999998</v>
      </c>
      <c r="N43" s="6">
        <v>1.6654</v>
      </c>
      <c r="O43" s="6">
        <v>21.5</v>
      </c>
      <c r="P43" s="6">
        <v>35.81</v>
      </c>
      <c r="Q43" s="6" t="s">
        <v>65</v>
      </c>
      <c r="R43" s="6">
        <v>0.3</v>
      </c>
      <c r="S43" s="6">
        <v>57.867699999999999</v>
      </c>
      <c r="T43" s="6">
        <v>61.4054</v>
      </c>
      <c r="V43" s="17">
        <v>37</v>
      </c>
      <c r="W43" s="6">
        <v>1.2799</v>
      </c>
      <c r="X43" s="19">
        <v>-13.367599999999999</v>
      </c>
      <c r="Y43" s="6">
        <v>1.2339</v>
      </c>
      <c r="Z43" s="6">
        <v>612</v>
      </c>
      <c r="AC43" s="21" t="s">
        <v>47</v>
      </c>
      <c r="AD43" s="5">
        <v>7</v>
      </c>
      <c r="AE43" s="20">
        <v>59.697099999999999</v>
      </c>
      <c r="AF43" s="6">
        <v>6.43</v>
      </c>
      <c r="AG43" s="6">
        <v>10.7</v>
      </c>
      <c r="AH43" s="6">
        <v>9.2799999999999994</v>
      </c>
      <c r="AI43" s="6" t="s">
        <v>65</v>
      </c>
      <c r="AJ43" s="6">
        <v>0.3</v>
      </c>
      <c r="AK43" s="6">
        <v>52.694699999999997</v>
      </c>
      <c r="AL43" s="6">
        <v>66.699399999999997</v>
      </c>
      <c r="AN43" s="17">
        <v>37</v>
      </c>
      <c r="AO43" s="6">
        <v>2.7794699999999999</v>
      </c>
      <c r="AP43" s="19">
        <v>-13.3398</v>
      </c>
      <c r="AQ43" s="6">
        <v>2.6777000000000002</v>
      </c>
      <c r="AR43" s="6">
        <v>344</v>
      </c>
      <c r="AT43" s="17">
        <v>37</v>
      </c>
      <c r="AU43" s="6">
        <v>5.2667700000000002</v>
      </c>
      <c r="AV43" s="19">
        <v>-13.3398</v>
      </c>
      <c r="AW43" s="6">
        <v>2.6777000000000002</v>
      </c>
      <c r="AX43" s="6">
        <v>344</v>
      </c>
    </row>
    <row r="44" spans="11:50" x14ac:dyDescent="0.25">
      <c r="K44" s="21" t="s">
        <v>47</v>
      </c>
      <c r="L44" s="5">
        <v>7</v>
      </c>
      <c r="M44" s="20">
        <v>59.478700000000003</v>
      </c>
      <c r="N44" s="6">
        <v>1.6734</v>
      </c>
      <c r="O44" s="6">
        <v>21.9</v>
      </c>
      <c r="P44" s="6">
        <v>35.54</v>
      </c>
      <c r="Q44" s="6" t="s">
        <v>65</v>
      </c>
      <c r="R44" s="6">
        <v>0.3</v>
      </c>
      <c r="S44" s="6">
        <v>57.702199999999998</v>
      </c>
      <c r="T44" s="6">
        <v>61.255099999999999</v>
      </c>
      <c r="V44" s="17">
        <v>38</v>
      </c>
      <c r="W44" s="6">
        <v>1.26187</v>
      </c>
      <c r="X44" s="19">
        <v>-12.6333</v>
      </c>
      <c r="Y44" s="6">
        <v>1.2164999999999999</v>
      </c>
      <c r="Z44" s="6">
        <v>616</v>
      </c>
      <c r="AC44" s="21" t="s">
        <v>47</v>
      </c>
      <c r="AD44" s="5">
        <v>2</v>
      </c>
      <c r="AE44" s="20">
        <v>59.670400000000001</v>
      </c>
      <c r="AF44" s="6">
        <v>6.4279999999999999</v>
      </c>
      <c r="AG44" s="6">
        <v>10.7</v>
      </c>
      <c r="AH44" s="6">
        <v>9.2799999999999994</v>
      </c>
      <c r="AI44" s="6" t="s">
        <v>65</v>
      </c>
      <c r="AJ44" s="6">
        <v>0.3</v>
      </c>
      <c r="AK44" s="6">
        <v>52.669699999999999</v>
      </c>
      <c r="AL44" s="6">
        <v>66.671099999999996</v>
      </c>
      <c r="AN44" s="17">
        <v>38</v>
      </c>
      <c r="AO44" s="6">
        <v>2.7724600000000001</v>
      </c>
      <c r="AP44" s="19">
        <v>-12.7424</v>
      </c>
      <c r="AQ44" s="6">
        <v>2.6709000000000001</v>
      </c>
      <c r="AR44" s="6">
        <v>341</v>
      </c>
      <c r="AT44" s="17">
        <v>38</v>
      </c>
      <c r="AU44" s="6">
        <v>5.2535699999999999</v>
      </c>
      <c r="AV44" s="19">
        <v>-12.7424</v>
      </c>
      <c r="AW44" s="6">
        <v>2.6709000000000001</v>
      </c>
      <c r="AX44" s="6">
        <v>341</v>
      </c>
    </row>
    <row r="45" spans="11:50" x14ac:dyDescent="0.25">
      <c r="K45" s="21" t="s">
        <v>47</v>
      </c>
      <c r="L45" s="5">
        <v>31</v>
      </c>
      <c r="M45" s="20">
        <v>54.326799999999999</v>
      </c>
      <c r="N45" s="6">
        <v>1.66</v>
      </c>
      <c r="O45" s="6">
        <v>21.5</v>
      </c>
      <c r="P45" s="6">
        <v>32.729999999999997</v>
      </c>
      <c r="Q45" s="6" t="s">
        <v>65</v>
      </c>
      <c r="R45" s="6">
        <v>0.3</v>
      </c>
      <c r="S45" s="6">
        <v>52.563800000000001</v>
      </c>
      <c r="T45" s="6">
        <v>56.089799999999997</v>
      </c>
      <c r="V45" s="17">
        <v>39</v>
      </c>
      <c r="W45" s="6">
        <v>1.29511</v>
      </c>
      <c r="X45" s="19">
        <v>-6.5804999999999998</v>
      </c>
      <c r="Y45" s="6">
        <v>1.2484999999999999</v>
      </c>
      <c r="Z45" s="6">
        <v>618</v>
      </c>
      <c r="AC45" s="21" t="s">
        <v>47</v>
      </c>
      <c r="AD45" s="5">
        <v>31</v>
      </c>
      <c r="AE45" s="20">
        <v>54.235900000000001</v>
      </c>
      <c r="AF45" s="6">
        <v>6.4272999999999998</v>
      </c>
      <c r="AG45" s="6">
        <v>10.7</v>
      </c>
      <c r="AH45" s="6">
        <v>8.44</v>
      </c>
      <c r="AI45" s="6" t="s">
        <v>65</v>
      </c>
      <c r="AJ45" s="6">
        <v>0.3</v>
      </c>
      <c r="AK45" s="6">
        <v>47.235799999999998</v>
      </c>
      <c r="AL45" s="6">
        <v>61.235999999999997</v>
      </c>
      <c r="AN45" s="17">
        <v>39</v>
      </c>
      <c r="AO45" s="6">
        <v>2.7851300000000001</v>
      </c>
      <c r="AP45" s="19">
        <v>-6.4302000000000001</v>
      </c>
      <c r="AQ45" s="6">
        <v>2.6831999999999998</v>
      </c>
      <c r="AR45" s="6">
        <v>346</v>
      </c>
      <c r="AT45" s="17">
        <v>39</v>
      </c>
      <c r="AU45" s="6">
        <v>5.2774200000000002</v>
      </c>
      <c r="AV45" s="19">
        <v>-6.4302000000000001</v>
      </c>
      <c r="AW45" s="6">
        <v>2.6831999999999998</v>
      </c>
      <c r="AX45" s="6">
        <v>346</v>
      </c>
    </row>
    <row r="46" spans="11:50" x14ac:dyDescent="0.25">
      <c r="V46" s="17">
        <v>40</v>
      </c>
      <c r="W46" s="6">
        <v>1.2741800000000001</v>
      </c>
      <c r="X46" s="19">
        <v>-8.6446000000000005</v>
      </c>
      <c r="Y46" s="6">
        <v>1.2283999999999999</v>
      </c>
      <c r="Z46" s="6">
        <v>614</v>
      </c>
      <c r="AN46" s="17">
        <v>40</v>
      </c>
      <c r="AO46" s="6">
        <v>2.7764099999999998</v>
      </c>
      <c r="AP46" s="19">
        <v>-8.4047000000000001</v>
      </c>
      <c r="AQ46" s="6">
        <v>2.6747999999999998</v>
      </c>
      <c r="AR46" s="6">
        <v>343</v>
      </c>
      <c r="AT46" s="17">
        <v>40</v>
      </c>
      <c r="AU46" s="6">
        <v>5.2610099999999997</v>
      </c>
      <c r="AV46" s="19">
        <v>-8.4047000000000001</v>
      </c>
      <c r="AW46" s="6">
        <v>2.6747999999999998</v>
      </c>
      <c r="AX46" s="6">
        <v>343</v>
      </c>
    </row>
    <row r="47" spans="11:50" x14ac:dyDescent="0.25">
      <c r="V47" s="17">
        <v>41</v>
      </c>
      <c r="W47" s="6">
        <v>1.2799100000000001</v>
      </c>
      <c r="X47" s="19">
        <v>-10.2295</v>
      </c>
      <c r="Y47" s="6">
        <v>1.2339</v>
      </c>
      <c r="Z47" s="6">
        <v>620</v>
      </c>
      <c r="AN47" s="17">
        <v>41</v>
      </c>
      <c r="AO47" s="6">
        <v>2.7789100000000002</v>
      </c>
      <c r="AP47" s="19">
        <v>-9.8557000000000006</v>
      </c>
      <c r="AQ47" s="6">
        <v>2.6772</v>
      </c>
      <c r="AR47" s="6">
        <v>344</v>
      </c>
      <c r="AT47" s="17">
        <v>41</v>
      </c>
      <c r="AU47" s="6">
        <v>5.2657100000000003</v>
      </c>
      <c r="AV47" s="19">
        <v>-9.8557000000000006</v>
      </c>
      <c r="AW47" s="6">
        <v>2.6772</v>
      </c>
      <c r="AX47" s="6">
        <v>344</v>
      </c>
    </row>
    <row r="48" spans="11:50" x14ac:dyDescent="0.25">
      <c r="V48" s="17">
        <v>42</v>
      </c>
      <c r="W48" s="6">
        <v>1.2885200000000001</v>
      </c>
      <c r="X48" s="19">
        <v>-7.1208</v>
      </c>
      <c r="Y48" s="6">
        <v>1.2422</v>
      </c>
      <c r="Z48" s="6">
        <v>618</v>
      </c>
      <c r="AN48" s="17">
        <v>42</v>
      </c>
      <c r="AO48" s="6">
        <v>2.7822399999999998</v>
      </c>
      <c r="AP48" s="19">
        <v>-6.7089999999999996</v>
      </c>
      <c r="AQ48" s="6">
        <v>2.6804000000000001</v>
      </c>
      <c r="AR48" s="6">
        <v>345</v>
      </c>
      <c r="AT48" s="17">
        <v>42</v>
      </c>
      <c r="AU48" s="6">
        <v>5.2719800000000001</v>
      </c>
      <c r="AV48" s="19">
        <v>-6.7089999999999996</v>
      </c>
      <c r="AW48" s="6">
        <v>2.6804000000000001</v>
      </c>
      <c r="AX48" s="6">
        <v>345</v>
      </c>
    </row>
    <row r="49" spans="22:50" x14ac:dyDescent="0.25">
      <c r="V49" s="17">
        <v>43</v>
      </c>
      <c r="W49" s="6">
        <v>1.27091</v>
      </c>
      <c r="X49" s="19">
        <v>-7.8356000000000003</v>
      </c>
      <c r="Y49" s="6">
        <v>1.2252000000000001</v>
      </c>
      <c r="Z49" s="6">
        <v>599</v>
      </c>
      <c r="AN49" s="17">
        <v>43</v>
      </c>
      <c r="AO49" s="6">
        <v>2.77535</v>
      </c>
      <c r="AP49" s="19">
        <v>-7.7095000000000002</v>
      </c>
      <c r="AQ49" s="6">
        <v>2.6737000000000002</v>
      </c>
      <c r="AR49" s="6">
        <v>342</v>
      </c>
      <c r="AT49" s="17">
        <v>43</v>
      </c>
      <c r="AU49" s="6">
        <v>5.25901</v>
      </c>
      <c r="AV49" s="19">
        <v>-7.7095000000000002</v>
      </c>
      <c r="AW49" s="6">
        <v>2.6737000000000002</v>
      </c>
      <c r="AX49" s="6">
        <v>342</v>
      </c>
    </row>
    <row r="50" spans="22:50" x14ac:dyDescent="0.25">
      <c r="V50" s="17">
        <v>44</v>
      </c>
      <c r="W50" s="6">
        <v>1.2960499999999999</v>
      </c>
      <c r="X50" s="19">
        <v>-9.7635000000000005</v>
      </c>
      <c r="Y50" s="6">
        <v>1.2495000000000001</v>
      </c>
      <c r="Z50" s="6">
        <v>639</v>
      </c>
      <c r="AN50" s="17">
        <v>44</v>
      </c>
      <c r="AO50" s="6">
        <v>2.7867000000000002</v>
      </c>
      <c r="AP50" s="19">
        <v>-9.5123999999999995</v>
      </c>
      <c r="AQ50" s="6">
        <v>2.6846999999999999</v>
      </c>
      <c r="AR50" s="6">
        <v>348</v>
      </c>
      <c r="AT50" s="17">
        <v>44</v>
      </c>
      <c r="AU50" s="6">
        <v>5.2803500000000003</v>
      </c>
      <c r="AV50" s="19">
        <v>-9.5123999999999995</v>
      </c>
      <c r="AW50" s="6">
        <v>2.6846999999999999</v>
      </c>
      <c r="AX50" s="6">
        <v>348</v>
      </c>
    </row>
    <row r="51" spans="22:50" x14ac:dyDescent="0.25">
      <c r="V51" s="17">
        <v>45</v>
      </c>
      <c r="W51" s="6">
        <v>1.2809699999999999</v>
      </c>
      <c r="X51" s="19">
        <v>-8.5564</v>
      </c>
      <c r="Y51" s="6">
        <v>1.2349000000000001</v>
      </c>
      <c r="Z51" s="6">
        <v>616</v>
      </c>
      <c r="AN51" s="17">
        <v>45</v>
      </c>
      <c r="AO51" s="6">
        <v>2.7801399999999998</v>
      </c>
      <c r="AP51" s="19">
        <v>-8.3992000000000004</v>
      </c>
      <c r="AQ51" s="6">
        <v>2.6783999999999999</v>
      </c>
      <c r="AR51" s="6">
        <v>345</v>
      </c>
      <c r="AT51" s="17">
        <v>45</v>
      </c>
      <c r="AU51" s="6">
        <v>5.2680100000000003</v>
      </c>
      <c r="AV51" s="19">
        <v>-8.3992000000000004</v>
      </c>
      <c r="AW51" s="6">
        <v>2.6783999999999999</v>
      </c>
      <c r="AX51" s="6">
        <v>345</v>
      </c>
    </row>
    <row r="52" spans="22:50" x14ac:dyDescent="0.25">
      <c r="V52" s="17">
        <v>46</v>
      </c>
      <c r="W52" s="6">
        <v>1.29559</v>
      </c>
      <c r="X52" s="19">
        <v>-8.1777999999999995</v>
      </c>
      <c r="Y52" s="6">
        <v>1.2490000000000001</v>
      </c>
      <c r="Z52" s="6">
        <v>625</v>
      </c>
      <c r="AN52" s="17">
        <v>46</v>
      </c>
      <c r="AO52" s="6">
        <v>2.7858900000000002</v>
      </c>
      <c r="AP52" s="19">
        <v>-8.0313999999999997</v>
      </c>
      <c r="AQ52" s="6">
        <v>2.6839</v>
      </c>
      <c r="AR52" s="6">
        <v>347</v>
      </c>
      <c r="AT52" s="17">
        <v>46</v>
      </c>
      <c r="AU52" s="6">
        <v>5.2788399999999998</v>
      </c>
      <c r="AV52" s="19">
        <v>-8.0313999999999997</v>
      </c>
      <c r="AW52" s="6">
        <v>2.6839</v>
      </c>
      <c r="AX52" s="6">
        <v>347</v>
      </c>
    </row>
    <row r="53" spans="22:50" x14ac:dyDescent="0.25">
      <c r="V53" s="17">
        <v>47</v>
      </c>
      <c r="W53" s="6">
        <v>1.28383</v>
      </c>
      <c r="X53" s="19">
        <v>-10.501300000000001</v>
      </c>
      <c r="Y53" s="6">
        <v>1.2377</v>
      </c>
      <c r="Z53" s="6">
        <v>636</v>
      </c>
      <c r="AN53" s="17">
        <v>47</v>
      </c>
      <c r="AO53" s="6">
        <v>2.7824</v>
      </c>
      <c r="AP53" s="19">
        <v>-10.4922</v>
      </c>
      <c r="AQ53" s="6">
        <v>2.6806000000000001</v>
      </c>
      <c r="AR53" s="6">
        <v>346</v>
      </c>
      <c r="AT53" s="17">
        <v>47</v>
      </c>
      <c r="AU53" s="6">
        <v>5.2722600000000002</v>
      </c>
      <c r="AV53" s="19">
        <v>-10.4922</v>
      </c>
      <c r="AW53" s="6">
        <v>2.6806000000000001</v>
      </c>
      <c r="AX53" s="6">
        <v>346</v>
      </c>
    </row>
    <row r="54" spans="22:50" x14ac:dyDescent="0.25">
      <c r="V54" s="17">
        <v>48</v>
      </c>
      <c r="W54" s="6">
        <v>1.2850200000000001</v>
      </c>
      <c r="X54" s="19">
        <v>-3.8681000000000001</v>
      </c>
      <c r="Y54" s="6">
        <v>1.2387999999999999</v>
      </c>
      <c r="Z54" s="6">
        <v>627</v>
      </c>
      <c r="AN54" s="17">
        <v>48</v>
      </c>
      <c r="AO54" s="6">
        <v>2.7818700000000001</v>
      </c>
      <c r="AP54" s="19">
        <v>-3.4893999999999998</v>
      </c>
      <c r="AQ54" s="6">
        <v>2.6800999999999999</v>
      </c>
      <c r="AR54" s="6">
        <v>345</v>
      </c>
      <c r="AT54" s="17">
        <v>48</v>
      </c>
      <c r="AU54" s="6">
        <v>5.2712700000000003</v>
      </c>
      <c r="AV54" s="19">
        <v>-3.4893999999999998</v>
      </c>
      <c r="AW54" s="6">
        <v>2.6800999999999999</v>
      </c>
      <c r="AX54" s="6">
        <v>345</v>
      </c>
    </row>
    <row r="55" spans="22:50" x14ac:dyDescent="0.25">
      <c r="V55" s="17">
        <v>49</v>
      </c>
      <c r="W55" s="6">
        <v>1.27227</v>
      </c>
      <c r="X55" s="19">
        <v>-7.3132000000000001</v>
      </c>
      <c r="Y55" s="6">
        <v>1.2264999999999999</v>
      </c>
      <c r="Z55" s="6">
        <v>612</v>
      </c>
      <c r="AN55" s="17">
        <v>49</v>
      </c>
      <c r="AO55" s="6">
        <v>2.7761499999999999</v>
      </c>
      <c r="AP55" s="19">
        <v>-7.0481999999999996</v>
      </c>
      <c r="AQ55" s="6">
        <v>2.6745000000000001</v>
      </c>
      <c r="AR55" s="6">
        <v>343</v>
      </c>
      <c r="AT55" s="17">
        <v>49</v>
      </c>
      <c r="AU55" s="6">
        <v>5.2605199999999996</v>
      </c>
      <c r="AV55" s="19">
        <v>-7.0481999999999996</v>
      </c>
      <c r="AW55" s="6">
        <v>2.6745000000000001</v>
      </c>
      <c r="AX55" s="6">
        <v>343</v>
      </c>
    </row>
    <row r="56" spans="22:50" x14ac:dyDescent="0.25">
      <c r="V56" s="17">
        <v>50</v>
      </c>
      <c r="W56" s="6">
        <v>1.2838700000000001</v>
      </c>
      <c r="X56" s="19">
        <v>-6.0068000000000001</v>
      </c>
      <c r="Y56" s="6">
        <v>1.2377</v>
      </c>
      <c r="Z56" s="6">
        <v>632</v>
      </c>
      <c r="AN56" s="17">
        <v>50</v>
      </c>
      <c r="AO56" s="6">
        <v>2.78165</v>
      </c>
      <c r="AP56" s="19">
        <v>-5.8278999999999996</v>
      </c>
      <c r="AQ56" s="6">
        <v>2.6798000000000002</v>
      </c>
      <c r="AR56" s="6">
        <v>346</v>
      </c>
      <c r="AT56" s="17">
        <v>50</v>
      </c>
      <c r="AU56" s="6">
        <v>5.2708599999999999</v>
      </c>
      <c r="AV56" s="19">
        <v>-5.8278999999999996</v>
      </c>
      <c r="AW56" s="6">
        <v>2.6798000000000002</v>
      </c>
      <c r="AX56" s="6">
        <v>346</v>
      </c>
    </row>
    <row r="57" spans="22:50" x14ac:dyDescent="0.25">
      <c r="V57" s="17">
        <v>51</v>
      </c>
      <c r="W57" s="6">
        <v>1.2763800000000001</v>
      </c>
      <c r="X57" s="19">
        <v>-8.4162999999999997</v>
      </c>
      <c r="Y57" s="6">
        <v>1.2303999999999999</v>
      </c>
      <c r="Z57" s="6">
        <v>593</v>
      </c>
      <c r="AN57" s="17">
        <v>51</v>
      </c>
      <c r="AO57" s="6">
        <v>2.7778299999999998</v>
      </c>
      <c r="AP57" s="19">
        <v>-8.2251999999999992</v>
      </c>
      <c r="AQ57" s="6">
        <v>2.6760999999999999</v>
      </c>
      <c r="AR57" s="6">
        <v>344</v>
      </c>
      <c r="AT57" s="17">
        <v>51</v>
      </c>
      <c r="AU57" s="6">
        <v>5.2636700000000003</v>
      </c>
      <c r="AV57" s="19">
        <v>-8.2251999999999992</v>
      </c>
      <c r="AW57" s="6">
        <v>2.6760999999999999</v>
      </c>
      <c r="AX57" s="6">
        <v>344</v>
      </c>
    </row>
    <row r="58" spans="22:50" x14ac:dyDescent="0.25">
      <c r="V58" s="17">
        <v>52</v>
      </c>
      <c r="W58" s="6">
        <v>1.2850999999999999</v>
      </c>
      <c r="X58" s="19">
        <v>-7.1443000000000003</v>
      </c>
      <c r="Y58" s="6">
        <v>1.2388999999999999</v>
      </c>
      <c r="Z58" s="6">
        <v>599</v>
      </c>
      <c r="AN58" s="17">
        <v>52</v>
      </c>
      <c r="AO58" s="6">
        <v>2.7810299999999999</v>
      </c>
      <c r="AP58" s="19">
        <v>-6.9397000000000002</v>
      </c>
      <c r="AQ58" s="6">
        <v>2.6791999999999998</v>
      </c>
      <c r="AR58" s="6">
        <v>345</v>
      </c>
      <c r="AT58" s="17">
        <v>52</v>
      </c>
      <c r="AU58" s="6">
        <v>5.2697000000000003</v>
      </c>
      <c r="AV58" s="19">
        <v>-6.9397000000000002</v>
      </c>
      <c r="AW58" s="6">
        <v>2.6791999999999998</v>
      </c>
      <c r="AX58" s="6">
        <v>345</v>
      </c>
    </row>
    <row r="59" spans="22:50" x14ac:dyDescent="0.25">
      <c r="V59" s="17">
        <v>53</v>
      </c>
      <c r="W59" s="6">
        <v>1.2928599999999999</v>
      </c>
      <c r="X59" s="19">
        <v>-16.809000000000001</v>
      </c>
      <c r="Y59" s="6">
        <v>1.2463</v>
      </c>
      <c r="Z59" s="6">
        <v>606</v>
      </c>
      <c r="AN59" s="17">
        <v>53</v>
      </c>
      <c r="AO59" s="6">
        <v>2.7842600000000002</v>
      </c>
      <c r="AP59" s="19">
        <v>-16.571100000000001</v>
      </c>
      <c r="AQ59" s="6">
        <v>2.6823999999999999</v>
      </c>
      <c r="AR59" s="6">
        <v>346</v>
      </c>
      <c r="AT59" s="17">
        <v>53</v>
      </c>
      <c r="AU59" s="6">
        <v>5.2757800000000001</v>
      </c>
      <c r="AV59" s="19">
        <v>-16.571100000000001</v>
      </c>
      <c r="AW59" s="6">
        <v>2.6823999999999999</v>
      </c>
      <c r="AX59" s="6">
        <v>346</v>
      </c>
    </row>
    <row r="60" spans="22:50" x14ac:dyDescent="0.25">
      <c r="V60" s="17">
        <v>54</v>
      </c>
      <c r="W60" s="6">
        <v>1.2607299999999999</v>
      </c>
      <c r="X60" s="19">
        <v>-12.9057</v>
      </c>
      <c r="Y60" s="6">
        <v>1.2154</v>
      </c>
      <c r="Z60" s="6">
        <v>625</v>
      </c>
      <c r="AN60" s="17">
        <v>54</v>
      </c>
      <c r="AO60" s="6">
        <v>2.77216</v>
      </c>
      <c r="AP60" s="19">
        <v>-12.799200000000001</v>
      </c>
      <c r="AQ60" s="6">
        <v>2.6705999999999999</v>
      </c>
      <c r="AR60" s="6">
        <v>341</v>
      </c>
      <c r="AT60" s="17">
        <v>54</v>
      </c>
      <c r="AU60" s="6">
        <v>5.2530000000000001</v>
      </c>
      <c r="AV60" s="19">
        <v>-12.799200000000001</v>
      </c>
      <c r="AW60" s="6">
        <v>2.6705999999999999</v>
      </c>
      <c r="AX60" s="6">
        <v>341</v>
      </c>
    </row>
    <row r="61" spans="22:50" x14ac:dyDescent="0.25">
      <c r="V61" s="17">
        <v>55</v>
      </c>
      <c r="W61" s="6">
        <v>1.3057300000000001</v>
      </c>
      <c r="X61" s="19">
        <v>-10.1831</v>
      </c>
      <c r="Y61" s="6">
        <v>1.2587999999999999</v>
      </c>
      <c r="Z61" s="6">
        <v>636</v>
      </c>
      <c r="AN61" s="17">
        <v>55</v>
      </c>
      <c r="AO61" s="6">
        <v>2.7901899999999999</v>
      </c>
      <c r="AP61" s="19">
        <v>-9.9667999999999992</v>
      </c>
      <c r="AQ61" s="6">
        <v>2.6880999999999999</v>
      </c>
      <c r="AR61" s="6">
        <v>349</v>
      </c>
      <c r="AT61" s="17">
        <v>55</v>
      </c>
      <c r="AU61" s="6">
        <v>5.2869200000000003</v>
      </c>
      <c r="AV61" s="19">
        <v>-9.9667999999999992</v>
      </c>
      <c r="AW61" s="6">
        <v>2.6880999999999999</v>
      </c>
      <c r="AX61" s="6">
        <v>349</v>
      </c>
    </row>
    <row r="62" spans="22:50" x14ac:dyDescent="0.25">
      <c r="V62" s="17">
        <v>56</v>
      </c>
      <c r="W62" s="6">
        <v>1.2818400000000001</v>
      </c>
      <c r="X62" s="19">
        <v>-4.5468999999999999</v>
      </c>
      <c r="Y62" s="6">
        <v>1.2358</v>
      </c>
      <c r="Z62" s="6">
        <v>632</v>
      </c>
      <c r="AN62" s="17">
        <v>56</v>
      </c>
      <c r="AO62" s="6">
        <v>2.7806500000000001</v>
      </c>
      <c r="AP62" s="19">
        <v>-4.625</v>
      </c>
      <c r="AQ62" s="6">
        <v>2.6789000000000001</v>
      </c>
      <c r="AR62" s="6">
        <v>345</v>
      </c>
      <c r="AT62" s="17">
        <v>56</v>
      </c>
      <c r="AU62" s="6">
        <v>5.2689700000000004</v>
      </c>
      <c r="AV62" s="19">
        <v>-4.625</v>
      </c>
      <c r="AW62" s="6">
        <v>2.6789000000000001</v>
      </c>
      <c r="AX62" s="6">
        <v>345</v>
      </c>
    </row>
    <row r="63" spans="22:50" x14ac:dyDescent="0.25">
      <c r="V63" s="17">
        <v>57</v>
      </c>
      <c r="W63" s="6">
        <v>1.30585</v>
      </c>
      <c r="X63" s="19">
        <v>-9.8099000000000007</v>
      </c>
      <c r="Y63" s="6">
        <v>1.2588999999999999</v>
      </c>
      <c r="Z63" s="6">
        <v>614</v>
      </c>
      <c r="AN63" s="17">
        <v>57</v>
      </c>
      <c r="AO63" s="6">
        <v>2.7893699999999999</v>
      </c>
      <c r="AP63" s="19">
        <v>-9.8610000000000007</v>
      </c>
      <c r="AQ63" s="6">
        <v>2.6873</v>
      </c>
      <c r="AR63" s="6">
        <v>348</v>
      </c>
      <c r="AT63" s="17">
        <v>57</v>
      </c>
      <c r="AU63" s="6">
        <v>5.2853899999999996</v>
      </c>
      <c r="AV63" s="19">
        <v>-9.8610000000000007</v>
      </c>
      <c r="AW63" s="6">
        <v>2.6873</v>
      </c>
      <c r="AX63" s="6">
        <v>348</v>
      </c>
    </row>
    <row r="64" spans="22:50" x14ac:dyDescent="0.25">
      <c r="V64" s="17">
        <v>58</v>
      </c>
      <c r="W64" s="6">
        <v>1.2833399999999999</v>
      </c>
      <c r="X64" s="19">
        <v>-9.5204000000000004</v>
      </c>
      <c r="Y64" s="6">
        <v>1.2372000000000001</v>
      </c>
      <c r="Z64" s="6">
        <v>627</v>
      </c>
      <c r="AN64" s="17">
        <v>58</v>
      </c>
      <c r="AO64" s="6">
        <v>2.78138</v>
      </c>
      <c r="AP64" s="19">
        <v>-9.5456000000000003</v>
      </c>
      <c r="AQ64" s="6">
        <v>2.6796000000000002</v>
      </c>
      <c r="AR64" s="6">
        <v>345</v>
      </c>
      <c r="AT64" s="17">
        <v>58</v>
      </c>
      <c r="AU64" s="6">
        <v>5.2703499999999996</v>
      </c>
      <c r="AV64" s="19">
        <v>-9.5456000000000003</v>
      </c>
      <c r="AW64" s="6">
        <v>2.6796000000000002</v>
      </c>
      <c r="AX64" s="6">
        <v>345</v>
      </c>
    </row>
    <row r="65" spans="22:50" x14ac:dyDescent="0.25">
      <c r="V65" s="17">
        <v>59</v>
      </c>
      <c r="W65" s="6">
        <v>1.28407</v>
      </c>
      <c r="X65" s="6">
        <v>5.1519000000000004</v>
      </c>
      <c r="Y65" s="6">
        <v>1.2379</v>
      </c>
      <c r="Z65" s="6">
        <v>624</v>
      </c>
      <c r="AN65" s="17">
        <v>59</v>
      </c>
      <c r="AO65" s="6">
        <v>2.7814899999999998</v>
      </c>
      <c r="AP65" s="6">
        <v>5.4611999999999998</v>
      </c>
      <c r="AQ65" s="6">
        <v>2.6797</v>
      </c>
      <c r="AR65" s="6">
        <v>345</v>
      </c>
      <c r="AT65" s="17">
        <v>59</v>
      </c>
      <c r="AU65" s="6">
        <v>5.2705599999999997</v>
      </c>
      <c r="AV65" s="6">
        <v>5.4611999999999998</v>
      </c>
      <c r="AW65" s="6">
        <v>2.6797</v>
      </c>
      <c r="AX65" s="6">
        <v>345</v>
      </c>
    </row>
    <row r="66" spans="22:50" x14ac:dyDescent="0.25">
      <c r="V66" s="17">
        <v>60</v>
      </c>
      <c r="W66" s="6">
        <v>1.2974600000000001</v>
      </c>
      <c r="X66" s="19">
        <v>-12.529400000000001</v>
      </c>
      <c r="Y66" s="6">
        <v>1.2507999999999999</v>
      </c>
      <c r="Z66" s="6">
        <v>621</v>
      </c>
      <c r="AN66" s="17">
        <v>60</v>
      </c>
      <c r="AO66" s="6">
        <v>2.7869999999999999</v>
      </c>
      <c r="AP66" s="19">
        <v>-12.260999999999999</v>
      </c>
      <c r="AQ66" s="6">
        <v>2.6850000000000001</v>
      </c>
      <c r="AR66" s="6">
        <v>348</v>
      </c>
      <c r="AT66" s="17">
        <v>60</v>
      </c>
      <c r="AU66" s="6">
        <v>5.2809200000000001</v>
      </c>
      <c r="AV66" s="19">
        <v>-12.260999999999999</v>
      </c>
      <c r="AW66" s="6">
        <v>2.6850000000000001</v>
      </c>
      <c r="AX66" s="6">
        <v>348</v>
      </c>
    </row>
    <row r="67" spans="22:50" x14ac:dyDescent="0.25">
      <c r="V67" s="17">
        <v>61</v>
      </c>
      <c r="W67" s="6">
        <v>1.28847</v>
      </c>
      <c r="X67" s="19">
        <v>-8.5960000000000001</v>
      </c>
      <c r="Y67" s="6">
        <v>1.2421</v>
      </c>
      <c r="Z67" s="6">
        <v>627</v>
      </c>
      <c r="AN67" s="17">
        <v>61</v>
      </c>
      <c r="AO67" s="6">
        <v>2.7831399999999999</v>
      </c>
      <c r="AP67" s="19">
        <v>-8.4352999999999998</v>
      </c>
      <c r="AQ67" s="6">
        <v>2.6812999999999998</v>
      </c>
      <c r="AR67" s="6">
        <v>346</v>
      </c>
      <c r="AT67" s="17">
        <v>61</v>
      </c>
      <c r="AU67" s="6">
        <v>5.2736599999999996</v>
      </c>
      <c r="AV67" s="19">
        <v>-8.4352999999999998</v>
      </c>
      <c r="AW67" s="6">
        <v>2.6812999999999998</v>
      </c>
      <c r="AX67" s="6">
        <v>346</v>
      </c>
    </row>
    <row r="68" spans="22:50" x14ac:dyDescent="0.25">
      <c r="V68" s="17">
        <v>62</v>
      </c>
      <c r="W68" s="6">
        <v>1.29423</v>
      </c>
      <c r="X68" s="19">
        <v>-8.8175000000000008</v>
      </c>
      <c r="Y68" s="6">
        <v>1.2477</v>
      </c>
      <c r="Z68" s="6">
        <v>644</v>
      </c>
      <c r="AN68" s="17">
        <v>62</v>
      </c>
      <c r="AO68" s="6">
        <v>2.78593</v>
      </c>
      <c r="AP68" s="19">
        <v>-8.6347000000000005</v>
      </c>
      <c r="AQ68" s="6">
        <v>2.6840000000000002</v>
      </c>
      <c r="AR68" s="6">
        <v>347</v>
      </c>
      <c r="AT68" s="17">
        <v>62</v>
      </c>
      <c r="AU68" s="6">
        <v>5.2789099999999998</v>
      </c>
      <c r="AV68" s="19">
        <v>-8.6347000000000005</v>
      </c>
      <c r="AW68" s="6">
        <v>2.6840000000000002</v>
      </c>
      <c r="AX68" s="6">
        <v>347</v>
      </c>
    </row>
    <row r="69" spans="22:50" x14ac:dyDescent="0.25">
      <c r="V69" s="17">
        <v>63</v>
      </c>
      <c r="W69" s="6">
        <v>1.29278</v>
      </c>
      <c r="X69" s="19">
        <v>-13.537000000000001</v>
      </c>
      <c r="Y69" s="6">
        <v>1.2463</v>
      </c>
      <c r="Z69" s="6">
        <v>608</v>
      </c>
      <c r="AN69" s="17">
        <v>63</v>
      </c>
      <c r="AO69" s="6">
        <v>2.7841</v>
      </c>
      <c r="AP69" s="19">
        <v>-13.2866</v>
      </c>
      <c r="AQ69" s="6">
        <v>2.6821999999999999</v>
      </c>
      <c r="AR69" s="6">
        <v>346</v>
      </c>
      <c r="AT69" s="17">
        <v>63</v>
      </c>
      <c r="AU69" s="6">
        <v>5.2754799999999999</v>
      </c>
      <c r="AV69" s="19">
        <v>-13.2866</v>
      </c>
      <c r="AW69" s="6">
        <v>2.6821999999999999</v>
      </c>
      <c r="AX69" s="6">
        <v>346</v>
      </c>
    </row>
    <row r="70" spans="22:50" x14ac:dyDescent="0.25">
      <c r="V70" s="17">
        <v>64</v>
      </c>
      <c r="W70" s="6">
        <v>1.2784500000000001</v>
      </c>
      <c r="X70" s="19">
        <v>-12.5664</v>
      </c>
      <c r="Y70" s="6">
        <v>1.2324999999999999</v>
      </c>
      <c r="Z70" s="6">
        <v>609</v>
      </c>
      <c r="AN70" s="17">
        <v>64</v>
      </c>
      <c r="AO70" s="6">
        <v>2.77739</v>
      </c>
      <c r="AP70" s="19">
        <v>-12.2074</v>
      </c>
      <c r="AQ70" s="6">
        <v>2.6757</v>
      </c>
      <c r="AR70" s="6">
        <v>343</v>
      </c>
      <c r="AT70" s="17">
        <v>64</v>
      </c>
      <c r="AU70" s="6">
        <v>5.2628700000000004</v>
      </c>
      <c r="AV70" s="19">
        <v>-12.2074</v>
      </c>
      <c r="AW70" s="6">
        <v>2.6757</v>
      </c>
      <c r="AX70" s="6">
        <v>343</v>
      </c>
    </row>
    <row r="71" spans="22:50" x14ac:dyDescent="0.25">
      <c r="V71" s="17">
        <v>65</v>
      </c>
      <c r="W71" s="6">
        <v>1.2756400000000001</v>
      </c>
      <c r="X71" s="19">
        <v>-12.466900000000001</v>
      </c>
      <c r="Y71" s="6">
        <v>1.2298</v>
      </c>
      <c r="Z71" s="6">
        <v>612</v>
      </c>
      <c r="AN71" s="17">
        <v>65</v>
      </c>
      <c r="AO71" s="6">
        <v>2.7776700000000001</v>
      </c>
      <c r="AP71" s="19">
        <v>-12.252800000000001</v>
      </c>
      <c r="AQ71" s="6">
        <v>2.6760000000000002</v>
      </c>
      <c r="AR71" s="6">
        <v>344</v>
      </c>
      <c r="AT71" s="17">
        <v>65</v>
      </c>
      <c r="AU71" s="6">
        <v>5.2633700000000001</v>
      </c>
      <c r="AV71" s="19">
        <v>-12.252800000000001</v>
      </c>
      <c r="AW71" s="6">
        <v>2.6760000000000002</v>
      </c>
      <c r="AX71" s="6">
        <v>344</v>
      </c>
    </row>
    <row r="72" spans="22:50" x14ac:dyDescent="0.25">
      <c r="V72" s="17">
        <v>66</v>
      </c>
      <c r="W72" s="6">
        <v>1.2969999999999999</v>
      </c>
      <c r="X72" s="19">
        <v>-13.9368</v>
      </c>
      <c r="Y72" s="6">
        <v>1.2503</v>
      </c>
      <c r="Z72" s="6">
        <v>612</v>
      </c>
      <c r="AN72" s="17">
        <v>66</v>
      </c>
      <c r="AO72" s="6">
        <v>2.78586</v>
      </c>
      <c r="AP72" s="19">
        <v>-13.7895</v>
      </c>
      <c r="AQ72" s="6">
        <v>2.6839</v>
      </c>
      <c r="AR72" s="6">
        <v>347</v>
      </c>
      <c r="AT72" s="17">
        <v>66</v>
      </c>
      <c r="AU72" s="6">
        <v>5.2787899999999999</v>
      </c>
      <c r="AV72" s="19">
        <v>-13.7895</v>
      </c>
      <c r="AW72" s="6">
        <v>2.6839</v>
      </c>
      <c r="AX72" s="6">
        <v>347</v>
      </c>
    </row>
    <row r="73" spans="22:50" x14ac:dyDescent="0.25">
      <c r="V73" s="17">
        <v>67</v>
      </c>
      <c r="W73" s="6">
        <v>1.27051</v>
      </c>
      <c r="X73" s="19">
        <v>-15.925000000000001</v>
      </c>
      <c r="Y73" s="6">
        <v>1.2248000000000001</v>
      </c>
      <c r="Z73" s="6">
        <v>619</v>
      </c>
      <c r="AN73" s="17">
        <v>67</v>
      </c>
      <c r="AO73" s="6">
        <v>2.7756699999999999</v>
      </c>
      <c r="AP73" s="19">
        <v>-15.8552</v>
      </c>
      <c r="AQ73" s="6">
        <v>2.6739999999999999</v>
      </c>
      <c r="AR73" s="6">
        <v>343</v>
      </c>
      <c r="AT73" s="17">
        <v>67</v>
      </c>
      <c r="AU73" s="6">
        <v>5.25962</v>
      </c>
      <c r="AV73" s="19">
        <v>-15.8552</v>
      </c>
      <c r="AW73" s="6">
        <v>2.6739999999999999</v>
      </c>
      <c r="AX73" s="6">
        <v>343</v>
      </c>
    </row>
    <row r="74" spans="22:50" x14ac:dyDescent="0.25">
      <c r="V74" s="17">
        <v>68</v>
      </c>
      <c r="W74" s="6">
        <v>1.27586</v>
      </c>
      <c r="X74" s="19">
        <v>-12.725199999999999</v>
      </c>
      <c r="Y74" s="6">
        <v>1.23</v>
      </c>
      <c r="Z74" s="6">
        <v>611</v>
      </c>
      <c r="AN74" s="17">
        <v>68</v>
      </c>
      <c r="AO74" s="6">
        <v>2.7773400000000001</v>
      </c>
      <c r="AP74" s="19">
        <v>-12.6492</v>
      </c>
      <c r="AQ74" s="6">
        <v>2.6757</v>
      </c>
      <c r="AR74" s="6">
        <v>343</v>
      </c>
      <c r="AT74" s="17">
        <v>68</v>
      </c>
      <c r="AU74" s="6">
        <v>5.2627600000000001</v>
      </c>
      <c r="AV74" s="19">
        <v>-12.6492</v>
      </c>
      <c r="AW74" s="6">
        <v>2.6757</v>
      </c>
      <c r="AX74" s="6">
        <v>343</v>
      </c>
    </row>
    <row r="75" spans="22:50" x14ac:dyDescent="0.25">
      <c r="V75" s="17">
        <v>69</v>
      </c>
      <c r="W75" s="6">
        <v>1.28816</v>
      </c>
      <c r="X75" s="19">
        <v>-8.6913</v>
      </c>
      <c r="Y75" s="6">
        <v>1.2419</v>
      </c>
      <c r="Z75" s="6">
        <v>629</v>
      </c>
      <c r="AN75" s="17">
        <v>69</v>
      </c>
      <c r="AO75" s="6">
        <v>2.7834300000000001</v>
      </c>
      <c r="AP75" s="19">
        <v>-8.5050000000000008</v>
      </c>
      <c r="AQ75" s="6">
        <v>2.6816</v>
      </c>
      <c r="AR75" s="6">
        <v>346</v>
      </c>
      <c r="AT75" s="17">
        <v>69</v>
      </c>
      <c r="AU75" s="6">
        <v>5.2742000000000004</v>
      </c>
      <c r="AV75" s="19">
        <v>-8.5050000000000008</v>
      </c>
      <c r="AW75" s="6">
        <v>2.6816</v>
      </c>
      <c r="AX75" s="6">
        <v>346</v>
      </c>
    </row>
    <row r="76" spans="22:50" x14ac:dyDescent="0.25">
      <c r="V76" s="17">
        <v>70</v>
      </c>
      <c r="W76" s="6">
        <v>1.2988500000000001</v>
      </c>
      <c r="X76" s="19">
        <v>-10.777699999999999</v>
      </c>
      <c r="Y76" s="6">
        <v>1.2521</v>
      </c>
      <c r="Z76" s="6">
        <v>618</v>
      </c>
      <c r="AN76" s="17">
        <v>70</v>
      </c>
      <c r="AO76" s="6">
        <v>2.7862300000000002</v>
      </c>
      <c r="AP76" s="19">
        <v>-10.606299999999999</v>
      </c>
      <c r="AQ76" s="6">
        <v>2.6842999999999999</v>
      </c>
      <c r="AR76" s="6">
        <v>347</v>
      </c>
      <c r="AT76" s="17">
        <v>70</v>
      </c>
      <c r="AU76" s="6">
        <v>5.2794999999999996</v>
      </c>
      <c r="AV76" s="19">
        <v>-10.606299999999999</v>
      </c>
      <c r="AW76" s="6">
        <v>2.6842999999999999</v>
      </c>
      <c r="AX76" s="6">
        <v>347</v>
      </c>
    </row>
    <row r="77" spans="22:50" x14ac:dyDescent="0.25">
      <c r="V77" s="17">
        <v>71</v>
      </c>
      <c r="W77" s="6">
        <v>1.28867</v>
      </c>
      <c r="X77" s="19">
        <v>-12.144500000000001</v>
      </c>
      <c r="Y77" s="6">
        <v>1.2423</v>
      </c>
      <c r="Z77" s="6">
        <v>613</v>
      </c>
      <c r="AN77" s="17">
        <v>71</v>
      </c>
      <c r="AO77" s="6">
        <v>2.7825700000000002</v>
      </c>
      <c r="AP77" s="19">
        <v>-11.9604</v>
      </c>
      <c r="AQ77" s="6">
        <v>2.6806999999999999</v>
      </c>
      <c r="AR77" s="6">
        <v>345</v>
      </c>
      <c r="AT77" s="17">
        <v>71</v>
      </c>
      <c r="AU77" s="6">
        <v>5.2725999999999997</v>
      </c>
      <c r="AV77" s="19">
        <v>-11.9604</v>
      </c>
      <c r="AW77" s="6">
        <v>2.6806999999999999</v>
      </c>
      <c r="AX77" s="6">
        <v>345</v>
      </c>
    </row>
    <row r="78" spans="22:50" x14ac:dyDescent="0.25">
      <c r="V78" s="17">
        <v>72</v>
      </c>
      <c r="W78" s="6">
        <v>1.2931900000000001</v>
      </c>
      <c r="X78" s="19">
        <v>-11.1386</v>
      </c>
      <c r="Y78" s="6">
        <v>1.2466999999999999</v>
      </c>
      <c r="Z78" s="6">
        <v>637</v>
      </c>
      <c r="AN78" s="17">
        <v>72</v>
      </c>
      <c r="AO78" s="6">
        <v>2.7855599999999998</v>
      </c>
      <c r="AP78" s="19">
        <v>-10.935700000000001</v>
      </c>
      <c r="AQ78" s="6">
        <v>2.6836000000000002</v>
      </c>
      <c r="AR78" s="6">
        <v>347</v>
      </c>
      <c r="AT78" s="17">
        <v>72</v>
      </c>
      <c r="AU78" s="6">
        <v>5.2782099999999996</v>
      </c>
      <c r="AV78" s="19">
        <v>-10.935700000000001</v>
      </c>
      <c r="AW78" s="6">
        <v>2.6836000000000002</v>
      </c>
      <c r="AX78" s="6">
        <v>347</v>
      </c>
    </row>
    <row r="79" spans="22:50" x14ac:dyDescent="0.25">
      <c r="V79" s="17">
        <v>73</v>
      </c>
      <c r="W79" s="6">
        <v>1.3030900000000001</v>
      </c>
      <c r="X79" s="19">
        <v>-7.1571999999999996</v>
      </c>
      <c r="Y79" s="6">
        <v>1.2563</v>
      </c>
      <c r="Z79" s="6">
        <v>635</v>
      </c>
      <c r="AN79" s="17">
        <v>73</v>
      </c>
      <c r="AO79" s="6">
        <v>2.7900800000000001</v>
      </c>
      <c r="AP79" s="19">
        <v>-7.0751999999999997</v>
      </c>
      <c r="AQ79" s="6">
        <v>2.6880000000000002</v>
      </c>
      <c r="AR79" s="6">
        <v>349</v>
      </c>
      <c r="AT79" s="17">
        <v>73</v>
      </c>
      <c r="AU79" s="6">
        <v>5.2866999999999997</v>
      </c>
      <c r="AV79" s="19">
        <v>-7.0751999999999997</v>
      </c>
      <c r="AW79" s="6">
        <v>2.6880000000000002</v>
      </c>
      <c r="AX79" s="6">
        <v>349</v>
      </c>
    </row>
    <row r="80" spans="22:50" x14ac:dyDescent="0.25">
      <c r="V80" s="17">
        <v>74</v>
      </c>
      <c r="W80" s="6">
        <v>1.2978400000000001</v>
      </c>
      <c r="X80" s="19">
        <v>-13.525399999999999</v>
      </c>
      <c r="Y80" s="6">
        <v>1.2511000000000001</v>
      </c>
      <c r="Z80" s="6">
        <v>599</v>
      </c>
      <c r="AN80" s="17">
        <v>74</v>
      </c>
      <c r="AO80" s="6">
        <v>2.786</v>
      </c>
      <c r="AP80" s="19">
        <v>-13.3131</v>
      </c>
      <c r="AQ80" s="6">
        <v>2.6840000000000002</v>
      </c>
      <c r="AR80" s="6">
        <v>347</v>
      </c>
      <c r="AT80" s="17">
        <v>74</v>
      </c>
      <c r="AU80" s="6">
        <v>5.2790600000000003</v>
      </c>
      <c r="AV80" s="19">
        <v>-13.3131</v>
      </c>
      <c r="AW80" s="6">
        <v>2.6840000000000002</v>
      </c>
      <c r="AX80" s="6">
        <v>347</v>
      </c>
    </row>
    <row r="81" spans="22:50" x14ac:dyDescent="0.25">
      <c r="V81" s="17">
        <v>75</v>
      </c>
      <c r="W81" s="6">
        <v>1.28529</v>
      </c>
      <c r="X81" s="19">
        <v>-12.7912</v>
      </c>
      <c r="Y81" s="6">
        <v>1.2391000000000001</v>
      </c>
      <c r="Z81" s="6">
        <v>617</v>
      </c>
      <c r="AN81" s="17">
        <v>75</v>
      </c>
      <c r="AO81" s="6">
        <v>2.7817699999999999</v>
      </c>
      <c r="AP81" s="19">
        <v>-12.7157</v>
      </c>
      <c r="AQ81" s="6">
        <v>2.68</v>
      </c>
      <c r="AR81" s="6">
        <v>345</v>
      </c>
      <c r="AT81" s="17">
        <v>75</v>
      </c>
      <c r="AU81" s="6">
        <v>5.2710900000000001</v>
      </c>
      <c r="AV81" s="19">
        <v>-12.7157</v>
      </c>
      <c r="AW81" s="6">
        <v>2.68</v>
      </c>
      <c r="AX81" s="6">
        <v>345</v>
      </c>
    </row>
    <row r="82" spans="22:50" x14ac:dyDescent="0.25">
      <c r="V82" s="17">
        <v>76</v>
      </c>
      <c r="W82" s="6">
        <v>1.25898</v>
      </c>
      <c r="X82" s="19">
        <v>-2.0640999999999998</v>
      </c>
      <c r="Y82" s="6">
        <v>1.2137</v>
      </c>
      <c r="Z82" s="6">
        <v>612</v>
      </c>
      <c r="AN82" s="17">
        <v>76</v>
      </c>
      <c r="AO82" s="6">
        <v>2.77136</v>
      </c>
      <c r="AP82" s="19">
        <v>-1.9744999999999999</v>
      </c>
      <c r="AQ82" s="6">
        <v>2.6699000000000002</v>
      </c>
      <c r="AR82" s="6">
        <v>341</v>
      </c>
      <c r="AT82" s="17">
        <v>76</v>
      </c>
      <c r="AU82" s="6">
        <v>5.2515000000000001</v>
      </c>
      <c r="AV82" s="19">
        <v>-1.9744999999999999</v>
      </c>
      <c r="AW82" s="6">
        <v>2.6699000000000002</v>
      </c>
      <c r="AX82" s="6">
        <v>341</v>
      </c>
    </row>
    <row r="83" spans="22:50" x14ac:dyDescent="0.25">
      <c r="V83" s="17">
        <v>77</v>
      </c>
      <c r="W83" s="6">
        <v>1.27956</v>
      </c>
      <c r="X83" s="19">
        <v>-3.649</v>
      </c>
      <c r="Y83" s="6">
        <v>1.2336</v>
      </c>
      <c r="Z83" s="6">
        <v>627</v>
      </c>
      <c r="AN83" s="17">
        <v>77</v>
      </c>
      <c r="AO83" s="6">
        <v>2.7800400000000001</v>
      </c>
      <c r="AP83" s="19">
        <v>-3.4255</v>
      </c>
      <c r="AQ83" s="6">
        <v>2.6783000000000001</v>
      </c>
      <c r="AR83" s="6">
        <v>345</v>
      </c>
      <c r="AT83" s="17">
        <v>77</v>
      </c>
      <c r="AU83" s="6">
        <v>5.26783</v>
      </c>
      <c r="AV83" s="19">
        <v>-3.4255</v>
      </c>
      <c r="AW83" s="6">
        <v>2.6783000000000001</v>
      </c>
      <c r="AX83" s="6">
        <v>345</v>
      </c>
    </row>
    <row r="84" spans="22:50" x14ac:dyDescent="0.25">
      <c r="V84" s="17">
        <v>78</v>
      </c>
      <c r="W84" s="6">
        <v>1.29193</v>
      </c>
      <c r="X84" s="19">
        <v>-0.5403</v>
      </c>
      <c r="Y84" s="6">
        <v>1.2455000000000001</v>
      </c>
      <c r="Z84" s="6">
        <v>644</v>
      </c>
      <c r="AN84" s="17">
        <v>78</v>
      </c>
      <c r="AO84" s="6">
        <v>2.7850799999999998</v>
      </c>
      <c r="AP84" s="19">
        <v>-0.2787</v>
      </c>
      <c r="AQ84" s="6">
        <v>2.6831999999999998</v>
      </c>
      <c r="AR84" s="6">
        <v>347</v>
      </c>
      <c r="AT84" s="17">
        <v>78</v>
      </c>
      <c r="AU84" s="6">
        <v>5.2773199999999996</v>
      </c>
      <c r="AV84" s="19">
        <v>-0.2787</v>
      </c>
      <c r="AW84" s="6">
        <v>2.6831999999999998</v>
      </c>
      <c r="AX84" s="6">
        <v>347</v>
      </c>
    </row>
    <row r="85" spans="22:50" x14ac:dyDescent="0.25">
      <c r="V85" s="17">
        <v>79</v>
      </c>
      <c r="W85" s="6">
        <v>1.25386</v>
      </c>
      <c r="X85" s="19">
        <v>-1.2551000000000001</v>
      </c>
      <c r="Y85" s="6">
        <v>1.2087000000000001</v>
      </c>
      <c r="Z85" s="6">
        <v>606</v>
      </c>
      <c r="AN85" s="17">
        <v>79</v>
      </c>
      <c r="AO85" s="6">
        <v>2.7688100000000002</v>
      </c>
      <c r="AP85" s="19">
        <v>-1.2791999999999999</v>
      </c>
      <c r="AQ85" s="6">
        <v>2.6674000000000002</v>
      </c>
      <c r="AR85" s="6">
        <v>340</v>
      </c>
      <c r="AT85" s="17">
        <v>79</v>
      </c>
      <c r="AU85" s="6">
        <v>5.2467100000000002</v>
      </c>
      <c r="AV85" s="19">
        <v>-1.2791999999999999</v>
      </c>
      <c r="AW85" s="6">
        <v>2.6674000000000002</v>
      </c>
      <c r="AX85" s="6">
        <v>340</v>
      </c>
    </row>
    <row r="86" spans="22:50" x14ac:dyDescent="0.25">
      <c r="V86" s="17">
        <v>80</v>
      </c>
      <c r="W86" s="6">
        <v>1.2634799999999999</v>
      </c>
      <c r="X86" s="19">
        <v>-3.1829999999999998</v>
      </c>
      <c r="Y86" s="6">
        <v>1.2181</v>
      </c>
      <c r="Z86" s="6">
        <v>626</v>
      </c>
      <c r="AN86" s="17">
        <v>80</v>
      </c>
      <c r="AO86" s="6">
        <v>2.77407</v>
      </c>
      <c r="AP86" s="19">
        <v>-3.0821999999999998</v>
      </c>
      <c r="AQ86" s="6">
        <v>2.6724999999999999</v>
      </c>
      <c r="AR86" s="6">
        <v>343</v>
      </c>
      <c r="AT86" s="17">
        <v>80</v>
      </c>
      <c r="AU86" s="6">
        <v>5.2565799999999996</v>
      </c>
      <c r="AV86" s="19">
        <v>-3.0821999999999998</v>
      </c>
      <c r="AW86" s="6">
        <v>2.6724999999999999</v>
      </c>
      <c r="AX86" s="6">
        <v>343</v>
      </c>
    </row>
    <row r="87" spans="22:50" x14ac:dyDescent="0.25">
      <c r="V87" s="17">
        <v>81</v>
      </c>
      <c r="W87" s="6">
        <v>1.2549999999999999</v>
      </c>
      <c r="X87" s="19">
        <v>-1.9758</v>
      </c>
      <c r="Y87" s="6">
        <v>1.2098</v>
      </c>
      <c r="Z87" s="6">
        <v>602</v>
      </c>
      <c r="AN87" s="17">
        <v>81</v>
      </c>
      <c r="AO87" s="6">
        <v>2.7692800000000002</v>
      </c>
      <c r="AP87" s="19">
        <v>-1.9690000000000001</v>
      </c>
      <c r="AQ87" s="6">
        <v>2.6678999999999999</v>
      </c>
      <c r="AR87" s="6">
        <v>340</v>
      </c>
      <c r="AT87" s="17">
        <v>81</v>
      </c>
      <c r="AU87" s="6">
        <v>5.2476000000000003</v>
      </c>
      <c r="AV87" s="19">
        <v>-1.9690000000000001</v>
      </c>
      <c r="AW87" s="6">
        <v>2.6678999999999999</v>
      </c>
      <c r="AX87" s="6">
        <v>340</v>
      </c>
    </row>
    <row r="88" spans="22:50" x14ac:dyDescent="0.25">
      <c r="V88" s="17">
        <v>82</v>
      </c>
      <c r="W88" s="6">
        <v>1.2762899999999999</v>
      </c>
      <c r="X88" s="19">
        <v>-1.5972999999999999</v>
      </c>
      <c r="Y88" s="6">
        <v>1.2303999999999999</v>
      </c>
      <c r="Z88" s="6">
        <v>629</v>
      </c>
      <c r="AN88" s="17">
        <v>82</v>
      </c>
      <c r="AO88" s="6">
        <v>2.7792599999999998</v>
      </c>
      <c r="AP88" s="19">
        <v>-1.6012</v>
      </c>
      <c r="AQ88" s="6">
        <v>2.6775000000000002</v>
      </c>
      <c r="AR88" s="6">
        <v>345</v>
      </c>
      <c r="AT88" s="17">
        <v>82</v>
      </c>
      <c r="AU88" s="6">
        <v>5.2663500000000001</v>
      </c>
      <c r="AV88" s="19">
        <v>-1.6012</v>
      </c>
      <c r="AW88" s="6">
        <v>2.6775000000000002</v>
      </c>
      <c r="AX88" s="6">
        <v>345</v>
      </c>
    </row>
    <row r="89" spans="22:50" x14ac:dyDescent="0.25">
      <c r="V89" s="17">
        <v>83</v>
      </c>
      <c r="W89" s="6">
        <v>1.2684599999999999</v>
      </c>
      <c r="X89" s="19">
        <v>-3.9207999999999998</v>
      </c>
      <c r="Y89" s="6">
        <v>1.2229000000000001</v>
      </c>
      <c r="Z89" s="6">
        <v>627</v>
      </c>
      <c r="AN89" s="17">
        <v>83</v>
      </c>
      <c r="AO89" s="6">
        <v>2.7755000000000001</v>
      </c>
      <c r="AP89" s="19">
        <v>-4.0620000000000003</v>
      </c>
      <c r="AQ89" s="6">
        <v>2.6739000000000002</v>
      </c>
      <c r="AR89" s="6">
        <v>343</v>
      </c>
      <c r="AT89" s="17">
        <v>83</v>
      </c>
      <c r="AU89" s="6">
        <v>5.2592800000000004</v>
      </c>
      <c r="AV89" s="19">
        <v>-4.0620000000000003</v>
      </c>
      <c r="AW89" s="6">
        <v>2.6739000000000002</v>
      </c>
      <c r="AX89" s="6">
        <v>343</v>
      </c>
    </row>
    <row r="90" spans="22:50" x14ac:dyDescent="0.25">
      <c r="V90" s="17">
        <v>84</v>
      </c>
      <c r="W90" s="6">
        <v>1.2565</v>
      </c>
      <c r="X90" s="6">
        <v>2.7124000000000001</v>
      </c>
      <c r="Y90" s="6">
        <v>1.2113</v>
      </c>
      <c r="Z90" s="6">
        <v>617</v>
      </c>
      <c r="AN90" s="17">
        <v>84</v>
      </c>
      <c r="AO90" s="6">
        <v>2.7703899999999999</v>
      </c>
      <c r="AP90" s="6">
        <v>2.9407999999999999</v>
      </c>
      <c r="AQ90" s="6">
        <v>2.6688999999999998</v>
      </c>
      <c r="AR90" s="6">
        <v>341</v>
      </c>
      <c r="AT90" s="17">
        <v>84</v>
      </c>
      <c r="AU90" s="6">
        <v>5.2496700000000001</v>
      </c>
      <c r="AV90" s="6">
        <v>2.9407999999999999</v>
      </c>
      <c r="AW90" s="6">
        <v>2.6688999999999998</v>
      </c>
      <c r="AX90" s="6">
        <v>341</v>
      </c>
    </row>
    <row r="91" spans="22:50" x14ac:dyDescent="0.25">
      <c r="V91" s="17">
        <v>85</v>
      </c>
      <c r="W91" s="6">
        <v>1.2664200000000001</v>
      </c>
      <c r="X91" s="19">
        <v>-0.73270000000000002</v>
      </c>
      <c r="Y91" s="6">
        <v>1.2209000000000001</v>
      </c>
      <c r="Z91" s="6">
        <v>630</v>
      </c>
      <c r="AN91" s="17">
        <v>85</v>
      </c>
      <c r="AO91" s="6">
        <v>2.77521</v>
      </c>
      <c r="AP91" s="19">
        <v>-0.61799999999999999</v>
      </c>
      <c r="AQ91" s="6">
        <v>2.6736</v>
      </c>
      <c r="AR91" s="6">
        <v>343</v>
      </c>
      <c r="AT91" s="17">
        <v>85</v>
      </c>
      <c r="AU91" s="6">
        <v>5.2587200000000003</v>
      </c>
      <c r="AV91" s="19">
        <v>-0.61799999999999999</v>
      </c>
      <c r="AW91" s="6">
        <v>2.6736</v>
      </c>
      <c r="AX91" s="6">
        <v>343</v>
      </c>
    </row>
    <row r="92" spans="22:50" x14ac:dyDescent="0.25">
      <c r="V92" s="17">
        <v>86</v>
      </c>
      <c r="W92" s="6">
        <v>1.26905</v>
      </c>
      <c r="X92" s="6">
        <v>0.57379999999999998</v>
      </c>
      <c r="Y92" s="6">
        <v>1.2234</v>
      </c>
      <c r="Z92" s="6">
        <v>638</v>
      </c>
      <c r="AN92" s="17">
        <v>86</v>
      </c>
      <c r="AO92" s="6">
        <v>2.77555</v>
      </c>
      <c r="AP92" s="6">
        <v>0.60229999999999995</v>
      </c>
      <c r="AQ92" s="6">
        <v>2.6739000000000002</v>
      </c>
      <c r="AR92" s="6">
        <v>343</v>
      </c>
      <c r="AT92" s="17">
        <v>86</v>
      </c>
      <c r="AU92" s="6">
        <v>5.2593800000000002</v>
      </c>
      <c r="AV92" s="6">
        <v>0.60229999999999995</v>
      </c>
      <c r="AW92" s="6">
        <v>2.6739000000000002</v>
      </c>
      <c r="AX92" s="6">
        <v>343</v>
      </c>
    </row>
    <row r="93" spans="22:50" x14ac:dyDescent="0.25">
      <c r="V93" s="17">
        <v>87</v>
      </c>
      <c r="W93" s="6">
        <v>1.27294</v>
      </c>
      <c r="X93" s="19">
        <v>-1.8358000000000001</v>
      </c>
      <c r="Y93" s="6">
        <v>1.2271000000000001</v>
      </c>
      <c r="Z93" s="6">
        <v>605</v>
      </c>
      <c r="AN93" s="17">
        <v>87</v>
      </c>
      <c r="AO93" s="6">
        <v>2.7773300000000001</v>
      </c>
      <c r="AP93" s="19">
        <v>-1.7949999999999999</v>
      </c>
      <c r="AQ93" s="6">
        <v>2.6757</v>
      </c>
      <c r="AR93" s="6">
        <v>344</v>
      </c>
      <c r="AT93" s="17">
        <v>87</v>
      </c>
      <c r="AU93" s="6">
        <v>5.2627199999999998</v>
      </c>
      <c r="AV93" s="19">
        <v>-1.7949999999999999</v>
      </c>
      <c r="AW93" s="6">
        <v>2.6757</v>
      </c>
      <c r="AX93" s="6">
        <v>344</v>
      </c>
    </row>
    <row r="94" spans="22:50" x14ac:dyDescent="0.25">
      <c r="V94" s="17">
        <v>88</v>
      </c>
      <c r="W94" s="6">
        <v>1.2839</v>
      </c>
      <c r="X94" s="19">
        <v>-0.56379999999999997</v>
      </c>
      <c r="Y94" s="6">
        <v>1.2377</v>
      </c>
      <c r="Z94" s="6">
        <v>626</v>
      </c>
      <c r="AN94" s="17">
        <v>88</v>
      </c>
      <c r="AO94" s="6">
        <v>2.7808299999999999</v>
      </c>
      <c r="AP94" s="19">
        <v>-0.50939999999999996</v>
      </c>
      <c r="AQ94" s="6">
        <v>2.6789999999999998</v>
      </c>
      <c r="AR94" s="6">
        <v>345</v>
      </c>
      <c r="AT94" s="17">
        <v>88</v>
      </c>
      <c r="AU94" s="6">
        <v>5.2693199999999996</v>
      </c>
      <c r="AV94" s="19">
        <v>-0.50939999999999996</v>
      </c>
      <c r="AW94" s="6">
        <v>2.6789999999999998</v>
      </c>
      <c r="AX94" s="6">
        <v>345</v>
      </c>
    </row>
    <row r="95" spans="22:50" x14ac:dyDescent="0.25">
      <c r="V95" s="17">
        <v>89</v>
      </c>
      <c r="W95" s="6">
        <v>1.2813699999999999</v>
      </c>
      <c r="X95" s="19">
        <v>-10.2285</v>
      </c>
      <c r="Y95" s="6">
        <v>1.2353000000000001</v>
      </c>
      <c r="Z95" s="6">
        <v>607</v>
      </c>
      <c r="AN95" s="17">
        <v>89</v>
      </c>
      <c r="AO95" s="6">
        <v>2.7799399999999999</v>
      </c>
      <c r="AP95" s="19">
        <v>-10.1409</v>
      </c>
      <c r="AQ95" s="6">
        <v>2.6781999999999999</v>
      </c>
      <c r="AR95" s="6">
        <v>344</v>
      </c>
      <c r="AT95" s="17">
        <v>89</v>
      </c>
      <c r="AU95" s="6">
        <v>5.2676400000000001</v>
      </c>
      <c r="AV95" s="19">
        <v>-10.1409</v>
      </c>
      <c r="AW95" s="6">
        <v>2.6781999999999999</v>
      </c>
      <c r="AX95" s="6">
        <v>344</v>
      </c>
    </row>
    <row r="96" spans="22:50" x14ac:dyDescent="0.25">
      <c r="V96" s="17">
        <v>90</v>
      </c>
      <c r="W96" s="6">
        <v>1.28365</v>
      </c>
      <c r="X96" s="19">
        <v>-6.3250999999999999</v>
      </c>
      <c r="Y96" s="6">
        <v>1.2375</v>
      </c>
      <c r="Z96" s="6">
        <v>637</v>
      </c>
      <c r="AN96" s="17">
        <v>90</v>
      </c>
      <c r="AO96" s="6">
        <v>2.7820800000000001</v>
      </c>
      <c r="AP96" s="19">
        <v>-6.3689999999999998</v>
      </c>
      <c r="AQ96" s="6">
        <v>2.6802999999999999</v>
      </c>
      <c r="AR96" s="6">
        <v>346</v>
      </c>
      <c r="AT96" s="17">
        <v>90</v>
      </c>
      <c r="AU96" s="6">
        <v>5.2716500000000002</v>
      </c>
      <c r="AV96" s="19">
        <v>-6.3689999999999998</v>
      </c>
      <c r="AW96" s="6">
        <v>2.6802999999999999</v>
      </c>
      <c r="AX96" s="6">
        <v>346</v>
      </c>
    </row>
    <row r="97" spans="22:50" x14ac:dyDescent="0.25">
      <c r="V97" s="17">
        <v>91</v>
      </c>
      <c r="W97" s="6">
        <v>1.28261</v>
      </c>
      <c r="X97" s="19">
        <v>-3.6025</v>
      </c>
      <c r="Y97" s="6">
        <v>1.2364999999999999</v>
      </c>
      <c r="Z97" s="6">
        <v>616</v>
      </c>
      <c r="AN97" s="17">
        <v>91</v>
      </c>
      <c r="AO97" s="6">
        <v>2.7812800000000002</v>
      </c>
      <c r="AP97" s="19">
        <v>-3.5366</v>
      </c>
      <c r="AQ97" s="6">
        <v>2.6795</v>
      </c>
      <c r="AR97" s="6">
        <v>345</v>
      </c>
      <c r="AT97" s="17">
        <v>91</v>
      </c>
      <c r="AU97" s="6">
        <v>5.2701500000000001</v>
      </c>
      <c r="AV97" s="19">
        <v>-3.5366</v>
      </c>
      <c r="AW97" s="6">
        <v>2.6795</v>
      </c>
      <c r="AX97" s="6">
        <v>345</v>
      </c>
    </row>
    <row r="98" spans="22:50" x14ac:dyDescent="0.25">
      <c r="V98" s="17">
        <v>92</v>
      </c>
      <c r="W98" s="6">
        <v>1.28925</v>
      </c>
      <c r="X98" s="6">
        <v>2.0335999999999999</v>
      </c>
      <c r="Y98" s="6">
        <v>1.2428999999999999</v>
      </c>
      <c r="Z98" s="6">
        <v>655</v>
      </c>
      <c r="AN98" s="17">
        <v>92</v>
      </c>
      <c r="AO98" s="6">
        <v>2.78477</v>
      </c>
      <c r="AP98" s="6">
        <v>1.8052999999999999</v>
      </c>
      <c r="AQ98" s="6">
        <v>2.6829000000000001</v>
      </c>
      <c r="AR98" s="6">
        <v>347</v>
      </c>
      <c r="AT98" s="17">
        <v>92</v>
      </c>
      <c r="AU98" s="6">
        <v>5.2767200000000001</v>
      </c>
      <c r="AV98" s="6">
        <v>1.8052999999999999</v>
      </c>
      <c r="AW98" s="6">
        <v>2.6829000000000001</v>
      </c>
      <c r="AX98" s="6">
        <v>347</v>
      </c>
    </row>
    <row r="99" spans="22:50" x14ac:dyDescent="0.25">
      <c r="V99" s="17">
        <v>93</v>
      </c>
      <c r="W99" s="6">
        <v>1.2875000000000001</v>
      </c>
      <c r="X99" s="19">
        <v>-3.2294</v>
      </c>
      <c r="Y99" s="6">
        <v>1.2412000000000001</v>
      </c>
      <c r="Z99" s="6">
        <v>622</v>
      </c>
      <c r="AN99" s="17">
        <v>93</v>
      </c>
      <c r="AO99" s="6">
        <v>2.7822900000000002</v>
      </c>
      <c r="AP99" s="19">
        <v>-3.4306999999999999</v>
      </c>
      <c r="AQ99" s="6">
        <v>2.6804999999999999</v>
      </c>
      <c r="AR99" s="6">
        <v>345</v>
      </c>
      <c r="AT99" s="17">
        <v>93</v>
      </c>
      <c r="AU99" s="6">
        <v>5.2720799999999999</v>
      </c>
      <c r="AV99" s="19">
        <v>-3.4306999999999999</v>
      </c>
      <c r="AW99" s="6">
        <v>2.6804999999999999</v>
      </c>
      <c r="AX99" s="6">
        <v>345</v>
      </c>
    </row>
    <row r="100" spans="22:50" x14ac:dyDescent="0.25">
      <c r="V100" s="17">
        <v>94</v>
      </c>
      <c r="W100" s="6">
        <v>1.28146</v>
      </c>
      <c r="X100" s="19">
        <v>-2.9399000000000002</v>
      </c>
      <c r="Y100" s="6">
        <v>1.2354000000000001</v>
      </c>
      <c r="Z100" s="6">
        <v>642</v>
      </c>
      <c r="AN100" s="17">
        <v>94</v>
      </c>
      <c r="AO100" s="6">
        <v>2.7804600000000002</v>
      </c>
      <c r="AP100" s="19">
        <v>-3.1154000000000002</v>
      </c>
      <c r="AQ100" s="6">
        <v>2.6787000000000001</v>
      </c>
      <c r="AR100" s="6">
        <v>345</v>
      </c>
      <c r="AT100" s="17">
        <v>94</v>
      </c>
      <c r="AU100" s="6">
        <v>5.2686200000000003</v>
      </c>
      <c r="AV100" s="19">
        <v>-3.1154000000000002</v>
      </c>
      <c r="AW100" s="6">
        <v>2.6787000000000001</v>
      </c>
      <c r="AX100" s="6">
        <v>345</v>
      </c>
    </row>
    <row r="101" spans="22:50" x14ac:dyDescent="0.25">
      <c r="V101" s="17">
        <v>95</v>
      </c>
      <c r="W101" s="6">
        <v>1.25804</v>
      </c>
      <c r="X101" s="6">
        <v>11.7324</v>
      </c>
      <c r="Y101" s="6">
        <v>1.2128000000000001</v>
      </c>
      <c r="Z101" s="6">
        <v>635</v>
      </c>
      <c r="AN101" s="17">
        <v>95</v>
      </c>
      <c r="AO101" s="6">
        <v>2.7715900000000002</v>
      </c>
      <c r="AP101" s="6">
        <v>11.891400000000001</v>
      </c>
      <c r="AQ101" s="6">
        <v>2.6701000000000001</v>
      </c>
      <c r="AR101" s="6">
        <v>341</v>
      </c>
      <c r="AT101" s="17">
        <v>95</v>
      </c>
      <c r="AU101" s="6">
        <v>5.2519200000000001</v>
      </c>
      <c r="AV101" s="6">
        <v>11.891400000000001</v>
      </c>
      <c r="AW101" s="6">
        <v>2.6701000000000001</v>
      </c>
      <c r="AX101" s="6">
        <v>341</v>
      </c>
    </row>
    <row r="102" spans="22:50" x14ac:dyDescent="0.25">
      <c r="V102" s="17">
        <v>96</v>
      </c>
      <c r="W102" s="6">
        <v>1.29243</v>
      </c>
      <c r="X102" s="19">
        <v>-5.9489000000000001</v>
      </c>
      <c r="Y102" s="6">
        <v>1.246</v>
      </c>
      <c r="Z102" s="6">
        <v>637</v>
      </c>
      <c r="AN102" s="17">
        <v>96</v>
      </c>
      <c r="AO102" s="6">
        <v>2.7862</v>
      </c>
      <c r="AP102" s="19">
        <v>-5.8308</v>
      </c>
      <c r="AQ102" s="6">
        <v>2.6842999999999999</v>
      </c>
      <c r="AR102" s="6">
        <v>348</v>
      </c>
      <c r="AT102" s="17">
        <v>96</v>
      </c>
      <c r="AU102" s="6">
        <v>5.2794100000000004</v>
      </c>
      <c r="AV102" s="19">
        <v>-5.8308</v>
      </c>
      <c r="AW102" s="6">
        <v>2.6842999999999999</v>
      </c>
      <c r="AX102" s="6">
        <v>348</v>
      </c>
    </row>
    <row r="103" spans="22:50" x14ac:dyDescent="0.25">
      <c r="V103" s="17">
        <v>97</v>
      </c>
      <c r="W103" s="6">
        <v>1.2775799999999999</v>
      </c>
      <c r="X103" s="19">
        <v>-2.0154000000000001</v>
      </c>
      <c r="Y103" s="6">
        <v>1.2317</v>
      </c>
      <c r="Z103" s="6">
        <v>639</v>
      </c>
      <c r="AN103" s="17">
        <v>97</v>
      </c>
      <c r="AO103" s="6">
        <v>2.7795299999999998</v>
      </c>
      <c r="AP103" s="19">
        <v>-2.0051000000000001</v>
      </c>
      <c r="AQ103" s="6">
        <v>2.6778</v>
      </c>
      <c r="AR103" s="6">
        <v>345</v>
      </c>
      <c r="AT103" s="17">
        <v>97</v>
      </c>
      <c r="AU103" s="6">
        <v>5.2668600000000003</v>
      </c>
      <c r="AV103" s="19">
        <v>-2.0051000000000001</v>
      </c>
      <c r="AW103" s="6">
        <v>2.6778</v>
      </c>
      <c r="AX103" s="6">
        <v>345</v>
      </c>
    </row>
    <row r="104" spans="22:50" x14ac:dyDescent="0.25">
      <c r="V104" s="17">
        <v>98</v>
      </c>
      <c r="W104" s="6">
        <v>1.28742</v>
      </c>
      <c r="X104" s="19">
        <v>-2.2370000000000001</v>
      </c>
      <c r="Y104" s="6">
        <v>1.2412000000000001</v>
      </c>
      <c r="Z104" s="6">
        <v>642</v>
      </c>
      <c r="AN104" s="17">
        <v>98</v>
      </c>
      <c r="AO104" s="6">
        <v>2.7837700000000001</v>
      </c>
      <c r="AP104" s="19">
        <v>-2.2044000000000001</v>
      </c>
      <c r="AQ104" s="6">
        <v>2.6819000000000002</v>
      </c>
      <c r="AR104" s="6">
        <v>347</v>
      </c>
      <c r="AT104" s="17">
        <v>98</v>
      </c>
      <c r="AU104" s="6">
        <v>5.2748400000000002</v>
      </c>
      <c r="AV104" s="19">
        <v>-2.2044000000000001</v>
      </c>
      <c r="AW104" s="6">
        <v>2.6819000000000002</v>
      </c>
      <c r="AX104" s="6">
        <v>347</v>
      </c>
    </row>
    <row r="105" spans="22:50" x14ac:dyDescent="0.25">
      <c r="V105" s="17">
        <v>99</v>
      </c>
      <c r="W105" s="6">
        <v>1.28583</v>
      </c>
      <c r="X105" s="19">
        <v>-6.9564000000000004</v>
      </c>
      <c r="Y105" s="6">
        <v>1.2396</v>
      </c>
      <c r="Z105" s="6">
        <v>623</v>
      </c>
      <c r="AN105" s="17">
        <v>99</v>
      </c>
      <c r="AO105" s="6">
        <v>2.7829700000000002</v>
      </c>
      <c r="AP105" s="19">
        <v>-6.8563999999999998</v>
      </c>
      <c r="AQ105" s="6">
        <v>2.6810999999999998</v>
      </c>
      <c r="AR105" s="6">
        <v>346</v>
      </c>
      <c r="AT105" s="17">
        <v>99</v>
      </c>
      <c r="AU105" s="6">
        <v>5.2733400000000001</v>
      </c>
      <c r="AV105" s="19">
        <v>-6.8563999999999998</v>
      </c>
      <c r="AW105" s="6">
        <v>2.6810999999999998</v>
      </c>
      <c r="AX105" s="6">
        <v>346</v>
      </c>
    </row>
    <row r="106" spans="22:50" x14ac:dyDescent="0.25">
      <c r="V106" s="17">
        <v>100</v>
      </c>
      <c r="W106" s="6">
        <v>1.26085</v>
      </c>
      <c r="X106" s="19">
        <v>-5.9859</v>
      </c>
      <c r="Y106" s="6">
        <v>1.2155</v>
      </c>
      <c r="Z106" s="6">
        <v>618</v>
      </c>
      <c r="AN106" s="17">
        <v>100</v>
      </c>
      <c r="AO106" s="6">
        <v>2.7717299999999998</v>
      </c>
      <c r="AP106" s="19">
        <v>-5.7771999999999997</v>
      </c>
      <c r="AQ106" s="6">
        <v>2.6701999999999999</v>
      </c>
      <c r="AR106" s="6">
        <v>341</v>
      </c>
      <c r="AT106" s="17">
        <v>100</v>
      </c>
      <c r="AU106" s="6">
        <v>5.2522000000000002</v>
      </c>
      <c r="AV106" s="19">
        <v>-5.7771999999999997</v>
      </c>
      <c r="AW106" s="6">
        <v>2.6701999999999999</v>
      </c>
      <c r="AX106" s="6">
        <v>341</v>
      </c>
    </row>
    <row r="107" spans="22:50" x14ac:dyDescent="0.25">
      <c r="V107" s="17">
        <v>101</v>
      </c>
      <c r="W107" s="6">
        <v>1.26823</v>
      </c>
      <c r="X107" s="19">
        <v>-5.8863000000000003</v>
      </c>
      <c r="Y107" s="6">
        <v>1.2225999999999999</v>
      </c>
      <c r="Z107" s="6">
        <v>626</v>
      </c>
      <c r="AN107" s="17">
        <v>101</v>
      </c>
      <c r="AO107" s="6">
        <v>2.7753800000000002</v>
      </c>
      <c r="AP107" s="19">
        <v>-5.8226000000000004</v>
      </c>
      <c r="AQ107" s="6">
        <v>2.6738</v>
      </c>
      <c r="AR107" s="6">
        <v>343</v>
      </c>
      <c r="AT107" s="17">
        <v>101</v>
      </c>
      <c r="AU107" s="6">
        <v>5.2590599999999998</v>
      </c>
      <c r="AV107" s="19">
        <v>-5.8226000000000004</v>
      </c>
      <c r="AW107" s="6">
        <v>2.6738</v>
      </c>
      <c r="AX107" s="6">
        <v>343</v>
      </c>
    </row>
    <row r="108" spans="22:50" x14ac:dyDescent="0.25">
      <c r="V108" s="17">
        <v>102</v>
      </c>
      <c r="W108" s="6">
        <v>1.3033300000000001</v>
      </c>
      <c r="X108" s="19">
        <v>-7.3563000000000001</v>
      </c>
      <c r="Y108" s="6">
        <v>1.2565</v>
      </c>
      <c r="Z108" s="6">
        <v>634</v>
      </c>
      <c r="AN108" s="17">
        <v>102</v>
      </c>
      <c r="AO108" s="6">
        <v>2.7892199999999998</v>
      </c>
      <c r="AP108" s="19">
        <v>-7.3592000000000004</v>
      </c>
      <c r="AQ108" s="6">
        <v>2.6871999999999998</v>
      </c>
      <c r="AR108" s="6">
        <v>349</v>
      </c>
      <c r="AT108" s="17">
        <v>102</v>
      </c>
      <c r="AU108" s="6">
        <v>5.2851100000000004</v>
      </c>
      <c r="AV108" s="19">
        <v>-7.3592000000000004</v>
      </c>
      <c r="AW108" s="6">
        <v>2.6871999999999998</v>
      </c>
      <c r="AX108" s="6">
        <v>349</v>
      </c>
    </row>
    <row r="109" spans="22:50" x14ac:dyDescent="0.25">
      <c r="V109" s="17">
        <v>103</v>
      </c>
      <c r="W109" s="6">
        <v>1.2807500000000001</v>
      </c>
      <c r="X109" s="19">
        <v>-9.3444000000000003</v>
      </c>
      <c r="Y109" s="6">
        <v>1.2346999999999999</v>
      </c>
      <c r="Z109" s="6">
        <v>630</v>
      </c>
      <c r="AN109" s="17">
        <v>103</v>
      </c>
      <c r="AO109" s="6">
        <v>2.7799100000000001</v>
      </c>
      <c r="AP109" s="19">
        <v>-9.4250000000000007</v>
      </c>
      <c r="AQ109" s="6">
        <v>2.6781999999999999</v>
      </c>
      <c r="AR109" s="6">
        <v>344</v>
      </c>
      <c r="AT109" s="17">
        <v>103</v>
      </c>
      <c r="AU109" s="6">
        <v>5.2675900000000002</v>
      </c>
      <c r="AV109" s="19">
        <v>-9.4250000000000007</v>
      </c>
      <c r="AW109" s="6">
        <v>2.6781999999999999</v>
      </c>
      <c r="AX109" s="6">
        <v>344</v>
      </c>
    </row>
    <row r="110" spans="22:50" x14ac:dyDescent="0.25">
      <c r="V110" s="17">
        <v>104</v>
      </c>
      <c r="W110" s="6">
        <v>1.2786999999999999</v>
      </c>
      <c r="X110" s="19">
        <v>-6.1445999999999996</v>
      </c>
      <c r="Y110" s="6">
        <v>1.2326999999999999</v>
      </c>
      <c r="Z110" s="6">
        <v>636</v>
      </c>
      <c r="AN110" s="17">
        <v>104</v>
      </c>
      <c r="AO110" s="6">
        <v>2.7802799999999999</v>
      </c>
      <c r="AP110" s="19">
        <v>-6.2190000000000003</v>
      </c>
      <c r="AQ110" s="6">
        <v>2.6785000000000001</v>
      </c>
      <c r="AR110" s="6">
        <v>345</v>
      </c>
      <c r="AT110" s="17">
        <v>104</v>
      </c>
      <c r="AU110" s="6">
        <v>5.2682599999999997</v>
      </c>
      <c r="AV110" s="19">
        <v>-6.2190000000000003</v>
      </c>
      <c r="AW110" s="6">
        <v>2.6785000000000001</v>
      </c>
      <c r="AX110" s="6">
        <v>345</v>
      </c>
    </row>
    <row r="111" spans="22:50" x14ac:dyDescent="0.25">
      <c r="V111" s="17">
        <v>105</v>
      </c>
      <c r="W111" s="6">
        <v>1.2645299999999999</v>
      </c>
      <c r="X111" s="19">
        <v>-2.1107999999999998</v>
      </c>
      <c r="Y111" s="6">
        <v>1.2191000000000001</v>
      </c>
      <c r="Z111" s="6">
        <v>633</v>
      </c>
      <c r="AN111" s="17">
        <v>105</v>
      </c>
      <c r="AO111" s="6">
        <v>2.7745600000000001</v>
      </c>
      <c r="AP111" s="19">
        <v>-2.0748000000000002</v>
      </c>
      <c r="AQ111" s="6">
        <v>2.673</v>
      </c>
      <c r="AR111" s="6">
        <v>343</v>
      </c>
      <c r="AT111" s="17">
        <v>105</v>
      </c>
      <c r="AU111" s="6">
        <v>5.2575000000000003</v>
      </c>
      <c r="AV111" s="19">
        <v>-2.0748000000000002</v>
      </c>
      <c r="AW111" s="6">
        <v>2.673</v>
      </c>
      <c r="AX111" s="6">
        <v>343</v>
      </c>
    </row>
    <row r="112" spans="22:50" x14ac:dyDescent="0.25">
      <c r="V112" s="17">
        <v>106</v>
      </c>
      <c r="W112" s="6">
        <v>1.30549</v>
      </c>
      <c r="X112" s="19">
        <v>-4.1971999999999996</v>
      </c>
      <c r="Y112" s="6">
        <v>1.2585</v>
      </c>
      <c r="Z112" s="6">
        <v>623</v>
      </c>
      <c r="AN112" s="17">
        <v>106</v>
      </c>
      <c r="AO112" s="6">
        <v>2.7901199999999999</v>
      </c>
      <c r="AP112" s="19">
        <v>-4.1760999999999999</v>
      </c>
      <c r="AQ112" s="6">
        <v>2.6880000000000002</v>
      </c>
      <c r="AR112" s="6">
        <v>349</v>
      </c>
      <c r="AT112" s="17">
        <v>106</v>
      </c>
      <c r="AU112" s="6">
        <v>5.2868000000000004</v>
      </c>
      <c r="AV112" s="19">
        <v>-4.1760999999999999</v>
      </c>
      <c r="AW112" s="6">
        <v>2.6880000000000002</v>
      </c>
      <c r="AX112" s="6">
        <v>349</v>
      </c>
    </row>
    <row r="113" spans="22:50" x14ac:dyDescent="0.25">
      <c r="V113" s="17">
        <v>107</v>
      </c>
      <c r="W113" s="6">
        <v>1.2990600000000001</v>
      </c>
      <c r="X113" s="19">
        <v>-5.5639000000000003</v>
      </c>
      <c r="Y113" s="6">
        <v>1.2524</v>
      </c>
      <c r="Z113" s="6">
        <v>628</v>
      </c>
      <c r="AN113" s="17">
        <v>107</v>
      </c>
      <c r="AO113" s="6">
        <v>2.78775</v>
      </c>
      <c r="AP113" s="19">
        <v>-5.5301</v>
      </c>
      <c r="AQ113" s="6">
        <v>2.6857000000000002</v>
      </c>
      <c r="AR113" s="6">
        <v>348</v>
      </c>
      <c r="AT113" s="17">
        <v>107</v>
      </c>
      <c r="AU113" s="6">
        <v>5.28233</v>
      </c>
      <c r="AV113" s="19">
        <v>-5.5301</v>
      </c>
      <c r="AW113" s="6">
        <v>2.6857000000000002</v>
      </c>
      <c r="AX113" s="6">
        <v>348</v>
      </c>
    </row>
    <row r="114" spans="22:50" x14ac:dyDescent="0.25">
      <c r="V114" s="17">
        <v>108</v>
      </c>
      <c r="W114" s="6">
        <v>1.2910999999999999</v>
      </c>
      <c r="X114" s="19">
        <v>-4.5580999999999996</v>
      </c>
      <c r="Y114" s="6">
        <v>1.2446999999999999</v>
      </c>
      <c r="Z114" s="6">
        <v>640</v>
      </c>
      <c r="AN114" s="17">
        <v>108</v>
      </c>
      <c r="AO114" s="6">
        <v>2.7852399999999999</v>
      </c>
      <c r="AP114" s="19">
        <v>-4.5054999999999996</v>
      </c>
      <c r="AQ114" s="6">
        <v>2.6833</v>
      </c>
      <c r="AR114" s="6">
        <v>347</v>
      </c>
      <c r="AT114" s="17">
        <v>108</v>
      </c>
      <c r="AU114" s="6">
        <v>5.2775999999999996</v>
      </c>
      <c r="AV114" s="19">
        <v>-4.5054999999999996</v>
      </c>
      <c r="AW114" s="6">
        <v>2.6833</v>
      </c>
      <c r="AX114" s="6">
        <v>347</v>
      </c>
    </row>
    <row r="115" spans="22:50" x14ac:dyDescent="0.25">
      <c r="V115" s="17">
        <v>109</v>
      </c>
      <c r="W115" s="6">
        <v>1.2969599999999999</v>
      </c>
      <c r="X115" s="19">
        <v>-0.57669999999999999</v>
      </c>
      <c r="Y115" s="6">
        <v>1.2504</v>
      </c>
      <c r="Z115" s="6">
        <v>652</v>
      </c>
      <c r="AN115" s="17">
        <v>109</v>
      </c>
      <c r="AO115" s="6">
        <v>2.7877999999999998</v>
      </c>
      <c r="AP115" s="19">
        <v>-0.64490000000000003</v>
      </c>
      <c r="AQ115" s="6">
        <v>2.6858</v>
      </c>
      <c r="AR115" s="6">
        <v>348</v>
      </c>
      <c r="AT115" s="17">
        <v>109</v>
      </c>
      <c r="AU115" s="6">
        <v>5.2824200000000001</v>
      </c>
      <c r="AV115" s="19">
        <v>-0.64490000000000003</v>
      </c>
      <c r="AW115" s="6">
        <v>2.6858</v>
      </c>
      <c r="AX115" s="6">
        <v>348</v>
      </c>
    </row>
    <row r="116" spans="22:50" x14ac:dyDescent="0.25">
      <c r="V116" s="17">
        <v>110</v>
      </c>
      <c r="W116" s="6">
        <v>1.30887</v>
      </c>
      <c r="X116" s="19">
        <v>-6.9448999999999996</v>
      </c>
      <c r="Y116" s="6">
        <v>1.2618</v>
      </c>
      <c r="Z116" s="6">
        <v>641</v>
      </c>
      <c r="AN116" s="17">
        <v>110</v>
      </c>
      <c r="AO116" s="6">
        <v>2.7930000000000001</v>
      </c>
      <c r="AP116" s="19">
        <v>-6.8829000000000002</v>
      </c>
      <c r="AQ116" s="6">
        <v>2.6907999999999999</v>
      </c>
      <c r="AR116" s="6">
        <v>351</v>
      </c>
      <c r="AT116" s="17">
        <v>110</v>
      </c>
      <c r="AU116" s="6">
        <v>5.2922099999999999</v>
      </c>
      <c r="AV116" s="19">
        <v>-6.8829000000000002</v>
      </c>
      <c r="AW116" s="6">
        <v>2.6907999999999999</v>
      </c>
      <c r="AX116" s="6">
        <v>351</v>
      </c>
    </row>
    <row r="117" spans="22:50" x14ac:dyDescent="0.25">
      <c r="V117" s="17">
        <v>111</v>
      </c>
      <c r="W117" s="6">
        <v>1.2845299999999999</v>
      </c>
      <c r="X117" s="19">
        <v>-6.2107000000000001</v>
      </c>
      <c r="Y117" s="6">
        <v>1.2383999999999999</v>
      </c>
      <c r="Z117" s="6">
        <v>646</v>
      </c>
      <c r="AN117" s="17">
        <v>111</v>
      </c>
      <c r="AO117" s="6">
        <v>2.7828499999999998</v>
      </c>
      <c r="AP117" s="19">
        <v>-6.2854999999999999</v>
      </c>
      <c r="AQ117" s="6">
        <v>2.681</v>
      </c>
      <c r="AR117" s="6">
        <v>346</v>
      </c>
      <c r="AT117" s="17">
        <v>111</v>
      </c>
      <c r="AU117" s="6">
        <v>5.2731000000000003</v>
      </c>
      <c r="AV117" s="19">
        <v>-6.2854999999999999</v>
      </c>
      <c r="AW117" s="6">
        <v>2.681</v>
      </c>
      <c r="AX117" s="6">
        <v>346</v>
      </c>
    </row>
    <row r="118" spans="22:50" x14ac:dyDescent="0.25">
      <c r="V118" s="17">
        <v>112</v>
      </c>
      <c r="W118" s="6">
        <v>1.2664299999999999</v>
      </c>
      <c r="X118" s="19">
        <v>-1.5849</v>
      </c>
      <c r="Y118" s="6">
        <v>1.2209000000000001</v>
      </c>
      <c r="Z118" s="6">
        <v>625</v>
      </c>
      <c r="AN118" s="17">
        <v>112</v>
      </c>
      <c r="AO118" s="6">
        <v>2.7743600000000002</v>
      </c>
      <c r="AP118" s="19">
        <v>-1.4510000000000001</v>
      </c>
      <c r="AQ118" s="6">
        <v>2.6728000000000001</v>
      </c>
      <c r="AR118" s="6">
        <v>342</v>
      </c>
      <c r="AT118" s="17">
        <v>112</v>
      </c>
      <c r="AU118" s="6">
        <v>5.2571399999999997</v>
      </c>
      <c r="AV118" s="19">
        <v>-1.4510000000000001</v>
      </c>
      <c r="AW118" s="6">
        <v>2.6728000000000001</v>
      </c>
      <c r="AX118" s="6">
        <v>342</v>
      </c>
    </row>
    <row r="119" spans="22:50" x14ac:dyDescent="0.25">
      <c r="V119" s="17">
        <v>113</v>
      </c>
      <c r="W119" s="6">
        <v>1.27434</v>
      </c>
      <c r="X119" s="6">
        <v>1.5238</v>
      </c>
      <c r="Y119" s="6">
        <v>1.2284999999999999</v>
      </c>
      <c r="Z119" s="6">
        <v>624</v>
      </c>
      <c r="AN119" s="17">
        <v>113</v>
      </c>
      <c r="AO119" s="6">
        <v>2.77752</v>
      </c>
      <c r="AP119" s="6">
        <v>1.6958</v>
      </c>
      <c r="AQ119" s="6">
        <v>2.6758000000000002</v>
      </c>
      <c r="AR119" s="6">
        <v>343</v>
      </c>
      <c r="AT119" s="17">
        <v>113</v>
      </c>
      <c r="AU119" s="6">
        <v>5.2630999999999997</v>
      </c>
      <c r="AV119" s="6">
        <v>1.6958</v>
      </c>
      <c r="AW119" s="6">
        <v>2.6758000000000002</v>
      </c>
      <c r="AX119" s="6">
        <v>343</v>
      </c>
    </row>
    <row r="120" spans="22:50" x14ac:dyDescent="0.25">
      <c r="V120" s="17">
        <v>114</v>
      </c>
      <c r="W120" s="6">
        <v>1.2553000000000001</v>
      </c>
      <c r="X120" s="6">
        <v>0.80900000000000005</v>
      </c>
      <c r="Y120" s="6">
        <v>1.2101</v>
      </c>
      <c r="Z120" s="6">
        <v>613</v>
      </c>
      <c r="AN120" s="17">
        <v>114</v>
      </c>
      <c r="AO120" s="6">
        <v>2.76993</v>
      </c>
      <c r="AP120" s="6">
        <v>0.69530000000000003</v>
      </c>
      <c r="AQ120" s="6">
        <v>2.6684999999999999</v>
      </c>
      <c r="AR120" s="6">
        <v>340</v>
      </c>
      <c r="AT120" s="17">
        <v>114</v>
      </c>
      <c r="AU120" s="6">
        <v>5.2487899999999996</v>
      </c>
      <c r="AV120" s="6">
        <v>0.69530000000000003</v>
      </c>
      <c r="AW120" s="6">
        <v>2.6684999999999999</v>
      </c>
      <c r="AX120" s="6">
        <v>340</v>
      </c>
    </row>
    <row r="121" spans="22:50" x14ac:dyDescent="0.25">
      <c r="V121" s="17">
        <v>115</v>
      </c>
      <c r="W121" s="6">
        <v>1.27535</v>
      </c>
      <c r="X121" s="19">
        <v>-1.1189</v>
      </c>
      <c r="Y121" s="6">
        <v>1.2295</v>
      </c>
      <c r="Z121" s="6">
        <v>646</v>
      </c>
      <c r="AN121" s="17">
        <v>115</v>
      </c>
      <c r="AO121" s="6">
        <v>2.7787899999999999</v>
      </c>
      <c r="AP121" s="19">
        <v>-1.1076999999999999</v>
      </c>
      <c r="AQ121" s="6">
        <v>2.6770999999999998</v>
      </c>
      <c r="AR121" s="6">
        <v>344</v>
      </c>
      <c r="AT121" s="17">
        <v>115</v>
      </c>
      <c r="AU121" s="6">
        <v>5.2654699999999997</v>
      </c>
      <c r="AV121" s="19">
        <v>-1.1076999999999999</v>
      </c>
      <c r="AW121" s="6">
        <v>2.6770999999999998</v>
      </c>
      <c r="AX121" s="6">
        <v>344</v>
      </c>
    </row>
    <row r="122" spans="22:50" x14ac:dyDescent="0.25">
      <c r="V122" s="17">
        <v>116</v>
      </c>
      <c r="W122" s="6">
        <v>1.2475499999999999</v>
      </c>
      <c r="X122" s="6">
        <v>8.8209999999999997E-2</v>
      </c>
      <c r="Y122" s="6">
        <v>1.2027000000000001</v>
      </c>
      <c r="Z122" s="6">
        <v>601</v>
      </c>
      <c r="AN122" s="17">
        <v>116</v>
      </c>
      <c r="AO122" s="6">
        <v>2.7657699999999998</v>
      </c>
      <c r="AP122" s="6">
        <v>5.5300000000000002E-3</v>
      </c>
      <c r="AQ122" s="6">
        <v>2.6644999999999999</v>
      </c>
      <c r="AR122" s="6">
        <v>338</v>
      </c>
      <c r="AT122" s="17">
        <v>116</v>
      </c>
      <c r="AU122" s="6">
        <v>5.2409999999999997</v>
      </c>
      <c r="AV122" s="6">
        <v>5.5300000000000002E-3</v>
      </c>
      <c r="AW122" s="6">
        <v>2.6644999999999999</v>
      </c>
      <c r="AX122" s="6">
        <v>338</v>
      </c>
    </row>
    <row r="123" spans="22:50" x14ac:dyDescent="0.25">
      <c r="V123" s="17">
        <v>117</v>
      </c>
      <c r="W123" s="6">
        <v>1.2706</v>
      </c>
      <c r="X123" s="6">
        <v>0.46679999999999999</v>
      </c>
      <c r="Y123" s="6">
        <v>1.2249000000000001</v>
      </c>
      <c r="Z123" s="6">
        <v>620</v>
      </c>
      <c r="AN123" s="17">
        <v>117</v>
      </c>
      <c r="AO123" s="6">
        <v>2.7764700000000002</v>
      </c>
      <c r="AP123" s="6">
        <v>0.37330000000000002</v>
      </c>
      <c r="AQ123" s="6">
        <v>2.6747999999999998</v>
      </c>
      <c r="AR123" s="6">
        <v>343</v>
      </c>
      <c r="AT123" s="17">
        <v>117</v>
      </c>
      <c r="AU123" s="6">
        <v>5.2610999999999999</v>
      </c>
      <c r="AV123" s="6">
        <v>0.37330000000000002</v>
      </c>
      <c r="AW123" s="6">
        <v>2.6747999999999998</v>
      </c>
      <c r="AX123" s="6">
        <v>343</v>
      </c>
    </row>
    <row r="124" spans="22:50" x14ac:dyDescent="0.25">
      <c r="V124" s="17">
        <v>118</v>
      </c>
      <c r="W124" s="6">
        <v>1.24909</v>
      </c>
      <c r="X124" s="19">
        <v>-1.8567</v>
      </c>
      <c r="Y124" s="6">
        <v>1.2041999999999999</v>
      </c>
      <c r="Z124" s="6">
        <v>611</v>
      </c>
      <c r="AN124" s="17">
        <v>118</v>
      </c>
      <c r="AO124" s="6">
        <v>2.7677900000000002</v>
      </c>
      <c r="AP124" s="19">
        <v>-2.0874999999999999</v>
      </c>
      <c r="AQ124" s="6">
        <v>2.6663999999999999</v>
      </c>
      <c r="AR124" s="6">
        <v>340</v>
      </c>
      <c r="AT124" s="17">
        <v>118</v>
      </c>
      <c r="AU124" s="6">
        <v>5.2447800000000004</v>
      </c>
      <c r="AV124" s="19">
        <v>-2.0874999999999999</v>
      </c>
      <c r="AW124" s="6">
        <v>2.6663999999999999</v>
      </c>
      <c r="AX124" s="6">
        <v>340</v>
      </c>
    </row>
    <row r="125" spans="22:50" x14ac:dyDescent="0.25">
      <c r="V125" s="17">
        <v>119</v>
      </c>
      <c r="W125" s="6">
        <v>1.2604900000000001</v>
      </c>
      <c r="X125" s="6">
        <v>4.7765000000000004</v>
      </c>
      <c r="Y125" s="6">
        <v>1.2152000000000001</v>
      </c>
      <c r="Z125" s="6">
        <v>614</v>
      </c>
      <c r="AN125" s="17">
        <v>119</v>
      </c>
      <c r="AO125" s="6">
        <v>2.7719100000000001</v>
      </c>
      <c r="AP125" s="6">
        <v>4.9153000000000002</v>
      </c>
      <c r="AQ125" s="6">
        <v>2.6703999999999999</v>
      </c>
      <c r="AR125" s="6">
        <v>341</v>
      </c>
      <c r="AT125" s="17">
        <v>119</v>
      </c>
      <c r="AU125" s="6">
        <v>5.2525199999999996</v>
      </c>
      <c r="AV125" s="6">
        <v>4.9153000000000002</v>
      </c>
      <c r="AW125" s="6">
        <v>2.6703999999999999</v>
      </c>
      <c r="AX125" s="6">
        <v>341</v>
      </c>
    </row>
    <row r="126" spans="22:50" x14ac:dyDescent="0.25">
      <c r="V126" s="17">
        <v>120</v>
      </c>
      <c r="W126" s="6">
        <v>1.26264</v>
      </c>
      <c r="X126" s="6">
        <v>1.3313999999999999</v>
      </c>
      <c r="Y126" s="6">
        <v>1.2173</v>
      </c>
      <c r="Z126" s="6">
        <v>637</v>
      </c>
      <c r="AN126" s="17">
        <v>120</v>
      </c>
      <c r="AO126" s="6">
        <v>2.77372</v>
      </c>
      <c r="AP126" s="6">
        <v>1.3565</v>
      </c>
      <c r="AQ126" s="6">
        <v>2.6722000000000001</v>
      </c>
      <c r="AR126" s="6">
        <v>342</v>
      </c>
      <c r="AT126" s="17">
        <v>120</v>
      </c>
      <c r="AU126" s="6">
        <v>5.2559300000000002</v>
      </c>
      <c r="AV126" s="6">
        <v>1.3565</v>
      </c>
      <c r="AW126" s="6">
        <v>2.6722000000000001</v>
      </c>
      <c r="AX126" s="6">
        <v>342</v>
      </c>
    </row>
    <row r="127" spans="22:50" x14ac:dyDescent="0.25">
      <c r="V127" s="17">
        <v>121</v>
      </c>
      <c r="W127" s="6">
        <v>1.2618</v>
      </c>
      <c r="X127" s="6">
        <v>2.6377999999999999</v>
      </c>
      <c r="Y127" s="6">
        <v>1.2163999999999999</v>
      </c>
      <c r="Z127" s="6">
        <v>625</v>
      </c>
      <c r="AN127" s="17">
        <v>121</v>
      </c>
      <c r="AO127" s="6">
        <v>2.77284</v>
      </c>
      <c r="AP127" s="6">
        <v>2.5768</v>
      </c>
      <c r="AQ127" s="6">
        <v>2.6713</v>
      </c>
      <c r="AR127" s="6">
        <v>342</v>
      </c>
      <c r="AT127" s="17">
        <v>121</v>
      </c>
      <c r="AU127" s="6">
        <v>5.25427</v>
      </c>
      <c r="AV127" s="6">
        <v>2.5768</v>
      </c>
      <c r="AW127" s="6">
        <v>2.6713</v>
      </c>
      <c r="AX127" s="6">
        <v>342</v>
      </c>
    </row>
    <row r="128" spans="22:50" x14ac:dyDescent="0.25">
      <c r="V128" s="17">
        <v>122</v>
      </c>
      <c r="W128" s="6">
        <v>1.2723</v>
      </c>
      <c r="X128" s="6">
        <v>0.2283</v>
      </c>
      <c r="Y128" s="6">
        <v>1.2264999999999999</v>
      </c>
      <c r="Z128" s="6">
        <v>616</v>
      </c>
      <c r="AN128" s="17">
        <v>122</v>
      </c>
      <c r="AO128" s="6">
        <v>2.7768700000000002</v>
      </c>
      <c r="AP128" s="6">
        <v>0.17949999999999999</v>
      </c>
      <c r="AQ128" s="6">
        <v>2.6751999999999998</v>
      </c>
      <c r="AR128" s="6">
        <v>343</v>
      </c>
      <c r="AT128" s="17">
        <v>122</v>
      </c>
      <c r="AU128" s="6">
        <v>5.2618600000000004</v>
      </c>
      <c r="AV128" s="6">
        <v>0.17949999999999999</v>
      </c>
      <c r="AW128" s="6">
        <v>2.6751999999999998</v>
      </c>
      <c r="AX128" s="6">
        <v>343</v>
      </c>
    </row>
    <row r="129" spans="22:50" x14ac:dyDescent="0.25">
      <c r="V129" s="17">
        <v>123</v>
      </c>
      <c r="W129" s="6">
        <v>1.27993</v>
      </c>
      <c r="X129" s="6">
        <v>1.5003</v>
      </c>
      <c r="Y129" s="6">
        <v>1.2339</v>
      </c>
      <c r="Z129" s="6">
        <v>615</v>
      </c>
      <c r="AN129" s="17">
        <v>123</v>
      </c>
      <c r="AO129" s="6">
        <v>2.7791000000000001</v>
      </c>
      <c r="AP129" s="6">
        <v>1.4651000000000001</v>
      </c>
      <c r="AQ129" s="6">
        <v>2.6774</v>
      </c>
      <c r="AR129" s="6">
        <v>344</v>
      </c>
      <c r="AT129" s="17">
        <v>123</v>
      </c>
      <c r="AU129" s="6">
        <v>5.26607</v>
      </c>
      <c r="AV129" s="6">
        <v>1.4651000000000001</v>
      </c>
      <c r="AW129" s="6">
        <v>2.6774</v>
      </c>
      <c r="AX129" s="6">
        <v>344</v>
      </c>
    </row>
    <row r="130" spans="22:50" x14ac:dyDescent="0.25">
      <c r="V130" s="17">
        <v>124</v>
      </c>
      <c r="W130" s="6">
        <v>1.2732300000000001</v>
      </c>
      <c r="X130" s="19">
        <v>-8.1644000000000005</v>
      </c>
      <c r="Y130" s="6">
        <v>1.2274</v>
      </c>
      <c r="Z130" s="6">
        <v>610</v>
      </c>
      <c r="AN130" s="17">
        <v>124</v>
      </c>
      <c r="AO130" s="6">
        <v>2.7765900000000001</v>
      </c>
      <c r="AP130" s="19">
        <v>-8.1663999999999994</v>
      </c>
      <c r="AQ130" s="6">
        <v>2.6749000000000001</v>
      </c>
      <c r="AR130" s="6">
        <v>343</v>
      </c>
      <c r="AT130" s="17">
        <v>124</v>
      </c>
      <c r="AU130" s="6">
        <v>5.2613399999999997</v>
      </c>
      <c r="AV130" s="19">
        <v>-8.1663999999999994</v>
      </c>
      <c r="AW130" s="6">
        <v>2.6749000000000001</v>
      </c>
      <c r="AX130" s="6">
        <v>343</v>
      </c>
    </row>
    <row r="131" spans="22:50" x14ac:dyDescent="0.25">
      <c r="V131" s="17">
        <v>125</v>
      </c>
      <c r="W131" s="6">
        <v>1.2648900000000001</v>
      </c>
      <c r="X131" s="19">
        <v>-4.2610999999999999</v>
      </c>
      <c r="Y131" s="6">
        <v>1.2194</v>
      </c>
      <c r="Z131" s="6">
        <v>641</v>
      </c>
      <c r="AN131" s="17">
        <v>125</v>
      </c>
      <c r="AO131" s="6">
        <v>2.7742900000000001</v>
      </c>
      <c r="AP131" s="19">
        <v>-4.3944999999999999</v>
      </c>
      <c r="AQ131" s="6">
        <v>2.6726999999999999</v>
      </c>
      <c r="AR131" s="6">
        <v>342</v>
      </c>
      <c r="AT131" s="17">
        <v>125</v>
      </c>
      <c r="AU131" s="6">
        <v>5.2569999999999997</v>
      </c>
      <c r="AV131" s="19">
        <v>-4.3944999999999999</v>
      </c>
      <c r="AW131" s="6">
        <v>2.6726999999999999</v>
      </c>
      <c r="AX131" s="6">
        <v>342</v>
      </c>
    </row>
    <row r="132" spans="22:50" x14ac:dyDescent="0.25">
      <c r="V132" s="17">
        <v>126</v>
      </c>
      <c r="W132" s="6">
        <v>1.2863</v>
      </c>
      <c r="X132" s="19">
        <v>-1.5385</v>
      </c>
      <c r="Y132" s="6">
        <v>1.24</v>
      </c>
      <c r="Z132" s="6">
        <v>618</v>
      </c>
      <c r="AN132" s="17">
        <v>126</v>
      </c>
      <c r="AO132" s="6">
        <v>2.7819699999999998</v>
      </c>
      <c r="AP132" s="19">
        <v>-1.5621</v>
      </c>
      <c r="AQ132" s="6">
        <v>2.6800999999999999</v>
      </c>
      <c r="AR132" s="6">
        <v>345</v>
      </c>
      <c r="AT132" s="17">
        <v>126</v>
      </c>
      <c r="AU132" s="6">
        <v>5.2714699999999999</v>
      </c>
      <c r="AV132" s="19">
        <v>-1.5621</v>
      </c>
      <c r="AW132" s="6">
        <v>2.6800999999999999</v>
      </c>
      <c r="AX132" s="6">
        <v>345</v>
      </c>
    </row>
    <row r="133" spans="22:50" x14ac:dyDescent="0.25">
      <c r="V133" s="17">
        <v>127</v>
      </c>
      <c r="W133" s="6">
        <v>1.2638199999999999</v>
      </c>
      <c r="X133" s="6">
        <v>4.0975999999999999</v>
      </c>
      <c r="Y133" s="6">
        <v>1.2183999999999999</v>
      </c>
      <c r="Z133" s="6">
        <v>630</v>
      </c>
      <c r="AN133" s="17">
        <v>127</v>
      </c>
      <c r="AO133" s="6">
        <v>2.7735799999999999</v>
      </c>
      <c r="AP133" s="6">
        <v>3.7797999999999998</v>
      </c>
      <c r="AQ133" s="6">
        <v>2.6720000000000002</v>
      </c>
      <c r="AR133" s="6">
        <v>342</v>
      </c>
      <c r="AT133" s="17">
        <v>127</v>
      </c>
      <c r="AU133" s="6">
        <v>5.2556700000000003</v>
      </c>
      <c r="AV133" s="6">
        <v>3.7797999999999998</v>
      </c>
      <c r="AW133" s="6">
        <v>2.6720000000000002</v>
      </c>
      <c r="AX133" s="6">
        <v>342</v>
      </c>
    </row>
    <row r="134" spans="22:50" x14ac:dyDescent="0.25">
      <c r="V134" s="17">
        <v>128</v>
      </c>
      <c r="W134" s="6">
        <v>1.2823</v>
      </c>
      <c r="X134" s="19">
        <v>-1.1653</v>
      </c>
      <c r="Y134" s="6">
        <v>1.2362</v>
      </c>
      <c r="Z134" s="6">
        <v>631</v>
      </c>
      <c r="AN134" s="17">
        <v>128</v>
      </c>
      <c r="AO134" s="6">
        <v>2.7808999999999999</v>
      </c>
      <c r="AP134" s="19">
        <v>-1.4561999999999999</v>
      </c>
      <c r="AQ134" s="6">
        <v>2.6791</v>
      </c>
      <c r="AR134" s="6">
        <v>345</v>
      </c>
      <c r="AT134" s="17">
        <v>128</v>
      </c>
      <c r="AU134" s="6">
        <v>5.2694400000000003</v>
      </c>
      <c r="AV134" s="19">
        <v>-1.4561999999999999</v>
      </c>
      <c r="AW134" s="6">
        <v>2.6791</v>
      </c>
      <c r="AX134" s="6">
        <v>345</v>
      </c>
    </row>
    <row r="135" spans="22:50" x14ac:dyDescent="0.25">
      <c r="V135" s="17">
        <v>129</v>
      </c>
      <c r="W135" s="6">
        <v>1.2582800000000001</v>
      </c>
      <c r="X135" s="19">
        <v>-0.87580000000000002</v>
      </c>
      <c r="Y135" s="6">
        <v>1.2130000000000001</v>
      </c>
      <c r="Z135" s="6">
        <v>625</v>
      </c>
      <c r="AN135" s="17">
        <v>129</v>
      </c>
      <c r="AO135" s="6">
        <v>2.7708599999999999</v>
      </c>
      <c r="AP135" s="19">
        <v>-1.1408</v>
      </c>
      <c r="AQ135" s="6">
        <v>2.6694</v>
      </c>
      <c r="AR135" s="6">
        <v>341</v>
      </c>
      <c r="AT135" s="17">
        <v>129</v>
      </c>
      <c r="AU135" s="6">
        <v>5.2505499999999996</v>
      </c>
      <c r="AV135" s="19">
        <v>-1.1408</v>
      </c>
      <c r="AW135" s="6">
        <v>2.6694</v>
      </c>
      <c r="AX135" s="6">
        <v>341</v>
      </c>
    </row>
    <row r="136" spans="22:50" x14ac:dyDescent="0.25">
      <c r="V136" s="17">
        <v>130</v>
      </c>
      <c r="W136" s="6">
        <v>1.2559400000000001</v>
      </c>
      <c r="X136" s="6">
        <v>13.7965</v>
      </c>
      <c r="Y136" s="6">
        <v>1.2108000000000001</v>
      </c>
      <c r="Z136" s="6">
        <v>637</v>
      </c>
      <c r="AN136" s="17">
        <v>130</v>
      </c>
      <c r="AO136" s="6">
        <v>2.77088</v>
      </c>
      <c r="AP136" s="6">
        <v>13.8659</v>
      </c>
      <c r="AQ136" s="6">
        <v>2.6694</v>
      </c>
      <c r="AR136" s="6">
        <v>341</v>
      </c>
      <c r="AT136" s="17">
        <v>130</v>
      </c>
      <c r="AU136" s="6">
        <v>5.2505899999999999</v>
      </c>
      <c r="AV136" s="6">
        <v>13.8659</v>
      </c>
      <c r="AW136" s="6">
        <v>2.6694</v>
      </c>
      <c r="AX136" s="6">
        <v>341</v>
      </c>
    </row>
    <row r="137" spans="22:50" x14ac:dyDescent="0.25">
      <c r="V137" s="17">
        <v>131</v>
      </c>
      <c r="W137" s="6">
        <v>1.2898400000000001</v>
      </c>
      <c r="X137" s="19">
        <v>-3.8847999999999998</v>
      </c>
      <c r="Y137" s="6">
        <v>1.2435</v>
      </c>
      <c r="Z137" s="6">
        <v>628</v>
      </c>
      <c r="AN137" s="17">
        <v>131</v>
      </c>
      <c r="AO137" s="6">
        <v>2.7846500000000001</v>
      </c>
      <c r="AP137" s="19">
        <v>-3.8563000000000001</v>
      </c>
      <c r="AQ137" s="6">
        <v>2.6827000000000001</v>
      </c>
      <c r="AR137" s="6">
        <v>347</v>
      </c>
      <c r="AT137" s="17">
        <v>131</v>
      </c>
      <c r="AU137" s="6">
        <v>5.2764899999999999</v>
      </c>
      <c r="AV137" s="19">
        <v>-3.8563000000000001</v>
      </c>
      <c r="AW137" s="6">
        <v>2.6827000000000001</v>
      </c>
      <c r="AX137" s="6">
        <v>347</v>
      </c>
    </row>
    <row r="138" spans="22:50" x14ac:dyDescent="0.25">
      <c r="V138" s="17">
        <v>132</v>
      </c>
      <c r="W138" s="6">
        <v>1.27182</v>
      </c>
      <c r="X138" s="6">
        <v>4.861E-2</v>
      </c>
      <c r="Y138" s="6">
        <v>1.2261</v>
      </c>
      <c r="Z138" s="6">
        <v>633</v>
      </c>
      <c r="AN138" s="17">
        <v>132</v>
      </c>
      <c r="AO138" s="6">
        <v>2.7769499999999998</v>
      </c>
      <c r="AP138" s="19">
        <v>-3.0589999999999999E-2</v>
      </c>
      <c r="AQ138" s="6">
        <v>2.6753</v>
      </c>
      <c r="AR138" s="6">
        <v>343</v>
      </c>
      <c r="AT138" s="17">
        <v>132</v>
      </c>
      <c r="AU138" s="6">
        <v>5.2619999999999996</v>
      </c>
      <c r="AV138" s="19">
        <v>-3.0589999999999999E-2</v>
      </c>
      <c r="AW138" s="6">
        <v>2.6753</v>
      </c>
      <c r="AX138" s="6">
        <v>343</v>
      </c>
    </row>
    <row r="139" spans="22:50" x14ac:dyDescent="0.25">
      <c r="V139" s="17">
        <v>133</v>
      </c>
      <c r="W139" s="6">
        <v>1.2699</v>
      </c>
      <c r="X139" s="19">
        <v>-0.1729</v>
      </c>
      <c r="Y139" s="6">
        <v>1.2242999999999999</v>
      </c>
      <c r="Z139" s="6">
        <v>643</v>
      </c>
      <c r="AN139" s="17">
        <v>133</v>
      </c>
      <c r="AO139" s="6">
        <v>2.7769400000000002</v>
      </c>
      <c r="AP139" s="19">
        <v>-0.22989999999999999</v>
      </c>
      <c r="AQ139" s="6">
        <v>2.6753</v>
      </c>
      <c r="AR139" s="6">
        <v>344</v>
      </c>
      <c r="AT139" s="17">
        <v>133</v>
      </c>
      <c r="AU139" s="6">
        <v>5.2619800000000003</v>
      </c>
      <c r="AV139" s="19">
        <v>-0.22989999999999999</v>
      </c>
      <c r="AW139" s="6">
        <v>2.6753</v>
      </c>
      <c r="AX139" s="6">
        <v>344</v>
      </c>
    </row>
    <row r="140" spans="22:50" x14ac:dyDescent="0.25">
      <c r="V140" s="17">
        <v>134</v>
      </c>
      <c r="W140" s="6">
        <v>1.2724200000000001</v>
      </c>
      <c r="X140" s="19">
        <v>-4.8924000000000003</v>
      </c>
      <c r="Y140" s="6">
        <v>1.2265999999999999</v>
      </c>
      <c r="Z140" s="6">
        <v>607</v>
      </c>
      <c r="AN140" s="17">
        <v>134</v>
      </c>
      <c r="AO140" s="6">
        <v>2.7764000000000002</v>
      </c>
      <c r="AP140" s="19">
        <v>-4.8818999999999999</v>
      </c>
      <c r="AQ140" s="6">
        <v>2.6747999999999998</v>
      </c>
      <c r="AR140" s="6">
        <v>343</v>
      </c>
      <c r="AT140" s="17">
        <v>134</v>
      </c>
      <c r="AU140" s="6">
        <v>5.2609899999999996</v>
      </c>
      <c r="AV140" s="19">
        <v>-4.8818999999999999</v>
      </c>
      <c r="AW140" s="6">
        <v>2.6747999999999998</v>
      </c>
      <c r="AX140" s="6">
        <v>343</v>
      </c>
    </row>
    <row r="141" spans="22:50" x14ac:dyDescent="0.25">
      <c r="V141" s="17">
        <v>135</v>
      </c>
      <c r="W141" s="6">
        <v>1.2572300000000001</v>
      </c>
      <c r="X141" s="19">
        <v>-3.9218000000000002</v>
      </c>
      <c r="Y141" s="6">
        <v>1.212</v>
      </c>
      <c r="Z141" s="6">
        <v>624</v>
      </c>
      <c r="AN141" s="17">
        <v>135</v>
      </c>
      <c r="AO141" s="6">
        <v>2.7711600000000001</v>
      </c>
      <c r="AP141" s="19">
        <v>-3.8027000000000002</v>
      </c>
      <c r="AQ141" s="6">
        <v>2.6697000000000002</v>
      </c>
      <c r="AR141" s="6">
        <v>341</v>
      </c>
      <c r="AT141" s="17">
        <v>135</v>
      </c>
      <c r="AU141" s="6">
        <v>5.2511099999999997</v>
      </c>
      <c r="AV141" s="19">
        <v>-3.8027000000000002</v>
      </c>
      <c r="AW141" s="6">
        <v>2.6697000000000002</v>
      </c>
      <c r="AX141" s="6">
        <v>341</v>
      </c>
    </row>
    <row r="142" spans="22:50" x14ac:dyDescent="0.25">
      <c r="V142" s="17">
        <v>136</v>
      </c>
      <c r="W142" s="6">
        <v>1.2807599999999999</v>
      </c>
      <c r="X142" s="19">
        <v>-3.8222999999999998</v>
      </c>
      <c r="Y142" s="6">
        <v>1.2346999999999999</v>
      </c>
      <c r="Z142" s="6">
        <v>631</v>
      </c>
      <c r="AN142" s="17">
        <v>136</v>
      </c>
      <c r="AO142" s="6">
        <v>2.7804099999999998</v>
      </c>
      <c r="AP142" s="19">
        <v>-3.8481000000000001</v>
      </c>
      <c r="AQ142" s="6">
        <v>2.6785999999999999</v>
      </c>
      <c r="AR142" s="6">
        <v>345</v>
      </c>
      <c r="AT142" s="17">
        <v>136</v>
      </c>
      <c r="AU142" s="6">
        <v>5.2685199999999996</v>
      </c>
      <c r="AV142" s="19">
        <v>-3.8481000000000001</v>
      </c>
      <c r="AW142" s="6">
        <v>2.6785999999999999</v>
      </c>
      <c r="AX142" s="6">
        <v>345</v>
      </c>
    </row>
    <row r="143" spans="22:50" x14ac:dyDescent="0.25">
      <c r="V143" s="17">
        <v>137</v>
      </c>
      <c r="W143" s="6">
        <v>1.2949900000000001</v>
      </c>
      <c r="X143" s="19">
        <v>-5.2922000000000002</v>
      </c>
      <c r="Y143" s="6">
        <v>1.2484</v>
      </c>
      <c r="Z143" s="6">
        <v>637</v>
      </c>
      <c r="AN143" s="17">
        <v>137</v>
      </c>
      <c r="AO143" s="6">
        <v>2.7857500000000002</v>
      </c>
      <c r="AP143" s="19">
        <v>-5.3846999999999996</v>
      </c>
      <c r="AQ143" s="6">
        <v>2.6838000000000002</v>
      </c>
      <c r="AR143" s="6">
        <v>347</v>
      </c>
      <c r="AT143" s="17">
        <v>137</v>
      </c>
      <c r="AU143" s="6">
        <v>5.2785799999999998</v>
      </c>
      <c r="AV143" s="19">
        <v>-5.3846999999999996</v>
      </c>
      <c r="AW143" s="6">
        <v>2.6838000000000002</v>
      </c>
      <c r="AX143" s="6">
        <v>347</v>
      </c>
    </row>
    <row r="144" spans="22:50" x14ac:dyDescent="0.25">
      <c r="V144" s="17">
        <v>138</v>
      </c>
      <c r="W144" s="6">
        <v>1.2757099999999999</v>
      </c>
      <c r="X144" s="19">
        <v>-7.2804000000000002</v>
      </c>
      <c r="Y144" s="6">
        <v>1.2299</v>
      </c>
      <c r="Z144" s="6">
        <v>642</v>
      </c>
      <c r="AN144" s="17">
        <v>138</v>
      </c>
      <c r="AO144" s="6">
        <v>2.7782399999999998</v>
      </c>
      <c r="AP144" s="19">
        <v>-7.4504999999999999</v>
      </c>
      <c r="AQ144" s="6">
        <v>2.6764999999999999</v>
      </c>
      <c r="AR144" s="6">
        <v>344</v>
      </c>
      <c r="AT144" s="17">
        <v>138</v>
      </c>
      <c r="AU144" s="6">
        <v>5.2644299999999999</v>
      </c>
      <c r="AV144" s="19">
        <v>-7.4504999999999999</v>
      </c>
      <c r="AW144" s="6">
        <v>2.6764999999999999</v>
      </c>
      <c r="AX144" s="6">
        <v>344</v>
      </c>
    </row>
    <row r="145" spans="22:50" x14ac:dyDescent="0.25">
      <c r="V145" s="17">
        <v>139</v>
      </c>
      <c r="W145" s="6">
        <v>1.23909</v>
      </c>
      <c r="X145" s="19">
        <v>-4.0805999999999996</v>
      </c>
      <c r="Y145" s="6">
        <v>1.1944999999999999</v>
      </c>
      <c r="Z145" s="6">
        <v>606</v>
      </c>
      <c r="AN145" s="17">
        <v>139</v>
      </c>
      <c r="AO145" s="6">
        <v>2.7629700000000001</v>
      </c>
      <c r="AP145" s="19">
        <v>-4.2445000000000004</v>
      </c>
      <c r="AQ145" s="6">
        <v>2.6617000000000002</v>
      </c>
      <c r="AR145" s="6">
        <v>337</v>
      </c>
      <c r="AT145" s="17">
        <v>139</v>
      </c>
      <c r="AU145" s="6">
        <v>5.2357100000000001</v>
      </c>
      <c r="AV145" s="19">
        <v>-4.2445000000000004</v>
      </c>
      <c r="AW145" s="6">
        <v>2.6617000000000002</v>
      </c>
      <c r="AX145" s="6">
        <v>337</v>
      </c>
    </row>
    <row r="146" spans="22:50" x14ac:dyDescent="0.25">
      <c r="V146" s="17">
        <v>140</v>
      </c>
      <c r="W146" s="6">
        <v>1.2690300000000001</v>
      </c>
      <c r="X146" s="19">
        <v>-4.6730000000000001E-2</v>
      </c>
      <c r="Y146" s="6">
        <v>1.2234</v>
      </c>
      <c r="Z146" s="6">
        <v>641</v>
      </c>
      <c r="AN146" s="17">
        <v>140</v>
      </c>
      <c r="AO146" s="6">
        <v>2.7764500000000001</v>
      </c>
      <c r="AP146" s="19">
        <v>-0.1003</v>
      </c>
      <c r="AQ146" s="6">
        <v>2.6747999999999998</v>
      </c>
      <c r="AR146" s="6">
        <v>344</v>
      </c>
      <c r="AT146" s="17">
        <v>140</v>
      </c>
      <c r="AU146" s="6">
        <v>5.26105</v>
      </c>
      <c r="AV146" s="19">
        <v>-0.1003</v>
      </c>
      <c r="AW146" s="6">
        <v>2.6747999999999998</v>
      </c>
      <c r="AX146" s="6">
        <v>344</v>
      </c>
    </row>
    <row r="147" spans="22:50" x14ac:dyDescent="0.25">
      <c r="V147" s="17">
        <v>141</v>
      </c>
      <c r="W147" s="6">
        <v>1.2870200000000001</v>
      </c>
      <c r="X147" s="19">
        <v>-2.1331000000000002</v>
      </c>
      <c r="Y147" s="6">
        <v>1.2407999999999999</v>
      </c>
      <c r="Z147" s="6">
        <v>633</v>
      </c>
      <c r="AN147" s="17">
        <v>141</v>
      </c>
      <c r="AO147" s="6">
        <v>2.78322</v>
      </c>
      <c r="AP147" s="19">
        <v>-2.2016</v>
      </c>
      <c r="AQ147" s="6">
        <v>2.6814</v>
      </c>
      <c r="AR147" s="6">
        <v>346</v>
      </c>
      <c r="AT147" s="17">
        <v>141</v>
      </c>
      <c r="AU147" s="6">
        <v>5.2737999999999996</v>
      </c>
      <c r="AV147" s="19">
        <v>-2.2016</v>
      </c>
      <c r="AW147" s="6">
        <v>2.6814</v>
      </c>
      <c r="AX147" s="6">
        <v>346</v>
      </c>
    </row>
    <row r="148" spans="22:50" x14ac:dyDescent="0.25">
      <c r="V148" s="17">
        <v>142</v>
      </c>
      <c r="W148" s="6">
        <v>1.2845299999999999</v>
      </c>
      <c r="X148" s="19">
        <v>-3.4998999999999998</v>
      </c>
      <c r="Y148" s="6">
        <v>1.2383999999999999</v>
      </c>
      <c r="Z148" s="6">
        <v>629</v>
      </c>
      <c r="AN148" s="17">
        <v>142</v>
      </c>
      <c r="AO148" s="6">
        <v>2.78241</v>
      </c>
      <c r="AP148" s="19">
        <v>-3.5556000000000001</v>
      </c>
      <c r="AQ148" s="6">
        <v>2.6806000000000001</v>
      </c>
      <c r="AR148" s="6">
        <v>346</v>
      </c>
      <c r="AT148" s="17">
        <v>142</v>
      </c>
      <c r="AU148" s="6">
        <v>5.2722699999999998</v>
      </c>
      <c r="AV148" s="19">
        <v>-3.5556000000000001</v>
      </c>
      <c r="AW148" s="6">
        <v>2.6806000000000001</v>
      </c>
      <c r="AX148" s="6">
        <v>346</v>
      </c>
    </row>
    <row r="149" spans="22:50" x14ac:dyDescent="0.25">
      <c r="V149" s="17">
        <v>143</v>
      </c>
      <c r="W149" s="6">
        <v>1.26118</v>
      </c>
      <c r="X149" s="19">
        <v>-2.4941</v>
      </c>
      <c r="Y149" s="6">
        <v>1.2158</v>
      </c>
      <c r="Z149" s="6">
        <v>608</v>
      </c>
      <c r="AN149" s="17">
        <v>143</v>
      </c>
      <c r="AO149" s="6">
        <v>2.77176</v>
      </c>
      <c r="AP149" s="19">
        <v>-2.5310000000000001</v>
      </c>
      <c r="AQ149" s="6">
        <v>2.6703000000000001</v>
      </c>
      <c r="AR149" s="6">
        <v>341</v>
      </c>
      <c r="AT149" s="17">
        <v>143</v>
      </c>
      <c r="AU149" s="6">
        <v>5.2522500000000001</v>
      </c>
      <c r="AV149" s="19">
        <v>-2.5310000000000001</v>
      </c>
      <c r="AW149" s="6">
        <v>2.6703000000000001</v>
      </c>
      <c r="AX149" s="6">
        <v>341</v>
      </c>
    </row>
    <row r="150" spans="22:50" x14ac:dyDescent="0.25">
      <c r="V150" s="17">
        <v>144</v>
      </c>
      <c r="W150" s="6">
        <v>1.2745599999999999</v>
      </c>
      <c r="X150" s="6">
        <v>1.4874000000000001</v>
      </c>
      <c r="Y150" s="6">
        <v>1.2286999999999999</v>
      </c>
      <c r="Z150" s="6">
        <v>628</v>
      </c>
      <c r="AN150" s="17">
        <v>144</v>
      </c>
      <c r="AO150" s="6">
        <v>2.7787999999999999</v>
      </c>
      <c r="AP150" s="6">
        <v>1.3295999999999999</v>
      </c>
      <c r="AQ150" s="6">
        <v>2.6770999999999998</v>
      </c>
      <c r="AR150" s="6">
        <v>345</v>
      </c>
      <c r="AT150" s="17">
        <v>144</v>
      </c>
      <c r="AU150" s="6">
        <v>5.2654699999999997</v>
      </c>
      <c r="AV150" s="6">
        <v>1.3295999999999999</v>
      </c>
      <c r="AW150" s="6">
        <v>2.6770999999999998</v>
      </c>
      <c r="AX150" s="6">
        <v>345</v>
      </c>
    </row>
    <row r="151" spans="22:50" x14ac:dyDescent="0.25">
      <c r="V151" s="17">
        <v>145</v>
      </c>
      <c r="W151" s="6">
        <v>1.28389</v>
      </c>
      <c r="X151" s="19">
        <v>-4.8808999999999996</v>
      </c>
      <c r="Y151" s="6">
        <v>1.2377</v>
      </c>
      <c r="Z151" s="6">
        <v>628</v>
      </c>
      <c r="AN151" s="17">
        <v>145</v>
      </c>
      <c r="AO151" s="6">
        <v>2.7821899999999999</v>
      </c>
      <c r="AP151" s="19">
        <v>-4.9084000000000003</v>
      </c>
      <c r="AQ151" s="6">
        <v>2.6804000000000001</v>
      </c>
      <c r="AR151" s="6">
        <v>346</v>
      </c>
      <c r="AT151" s="17">
        <v>145</v>
      </c>
      <c r="AU151" s="6">
        <v>5.2718699999999998</v>
      </c>
      <c r="AV151" s="19">
        <v>-4.9084000000000003</v>
      </c>
      <c r="AW151" s="6">
        <v>2.6804000000000001</v>
      </c>
      <c r="AX151" s="6">
        <v>346</v>
      </c>
    </row>
    <row r="152" spans="22:50" x14ac:dyDescent="0.25">
      <c r="V152" s="17">
        <v>146</v>
      </c>
      <c r="W152" s="6">
        <v>1.2802500000000001</v>
      </c>
      <c r="X152" s="19">
        <v>-4.1466000000000003</v>
      </c>
      <c r="Y152" s="6">
        <v>1.2342</v>
      </c>
      <c r="Z152" s="6">
        <v>632</v>
      </c>
      <c r="AN152" s="17">
        <v>146</v>
      </c>
      <c r="AO152" s="6">
        <v>2.7806899999999999</v>
      </c>
      <c r="AP152" s="19">
        <v>-4.3109999999999999</v>
      </c>
      <c r="AQ152" s="6">
        <v>2.6789000000000001</v>
      </c>
      <c r="AR152" s="6">
        <v>345</v>
      </c>
      <c r="AT152" s="17">
        <v>146</v>
      </c>
      <c r="AU152" s="6">
        <v>5.26905</v>
      </c>
      <c r="AV152" s="19">
        <v>-4.3109999999999999</v>
      </c>
      <c r="AW152" s="6">
        <v>2.6789000000000001</v>
      </c>
      <c r="AX152" s="6">
        <v>345</v>
      </c>
    </row>
    <row r="153" spans="22:50" x14ac:dyDescent="0.25">
      <c r="V153" s="17">
        <v>147</v>
      </c>
      <c r="W153" s="6">
        <v>1.2461899999999999</v>
      </c>
      <c r="X153" s="6">
        <v>3.1086999999999998</v>
      </c>
      <c r="Y153" s="6">
        <v>1.2014</v>
      </c>
      <c r="Z153" s="6">
        <v>621</v>
      </c>
      <c r="AN153" s="17">
        <v>147</v>
      </c>
      <c r="AO153" s="6">
        <v>2.7656299999999998</v>
      </c>
      <c r="AP153" s="6">
        <v>3.1467000000000001</v>
      </c>
      <c r="AQ153" s="6">
        <v>2.6642999999999999</v>
      </c>
      <c r="AR153" s="6">
        <v>338</v>
      </c>
      <c r="AT153" s="17">
        <v>147</v>
      </c>
      <c r="AU153" s="6">
        <v>5.2407300000000001</v>
      </c>
      <c r="AV153" s="6">
        <v>3.1467000000000001</v>
      </c>
      <c r="AW153" s="6">
        <v>2.6642999999999999</v>
      </c>
      <c r="AX153" s="6">
        <v>338</v>
      </c>
    </row>
    <row r="154" spans="22:50" x14ac:dyDescent="0.25">
      <c r="V154" s="17">
        <v>148</v>
      </c>
      <c r="W154" s="6">
        <v>1.2782899999999999</v>
      </c>
      <c r="X154" s="6">
        <v>2.3938999999999999</v>
      </c>
      <c r="Y154" s="6">
        <v>1.2323999999999999</v>
      </c>
      <c r="Z154" s="6">
        <v>642</v>
      </c>
      <c r="AN154" s="17">
        <v>148</v>
      </c>
      <c r="AO154" s="6">
        <v>2.7793199999999998</v>
      </c>
      <c r="AP154" s="6">
        <v>2.1461999999999999</v>
      </c>
      <c r="AQ154" s="6">
        <v>2.6776</v>
      </c>
      <c r="AR154" s="6">
        <v>344</v>
      </c>
      <c r="AT154" s="17">
        <v>148</v>
      </c>
      <c r="AU154" s="6">
        <v>5.26647</v>
      </c>
      <c r="AV154" s="6">
        <v>2.1461999999999999</v>
      </c>
      <c r="AW154" s="6">
        <v>2.6776</v>
      </c>
      <c r="AX154" s="6">
        <v>344</v>
      </c>
    </row>
    <row r="155" spans="22:50" x14ac:dyDescent="0.25">
      <c r="V155" s="17">
        <v>149</v>
      </c>
      <c r="W155" s="6">
        <v>1.2677499999999999</v>
      </c>
      <c r="X155" s="6">
        <v>0.46600000000000003</v>
      </c>
      <c r="Y155" s="6">
        <v>1.2222</v>
      </c>
      <c r="Z155" s="6">
        <v>630</v>
      </c>
      <c r="AN155" s="17">
        <v>149</v>
      </c>
      <c r="AO155" s="6">
        <v>2.77461</v>
      </c>
      <c r="AP155" s="6">
        <v>0.34329999999999999</v>
      </c>
      <c r="AQ155" s="6">
        <v>2.673</v>
      </c>
      <c r="AR155" s="6">
        <v>342</v>
      </c>
      <c r="AT155" s="17">
        <v>149</v>
      </c>
      <c r="AU155" s="6">
        <v>5.2576299999999998</v>
      </c>
      <c r="AV155" s="6">
        <v>0.34329999999999999</v>
      </c>
      <c r="AW155" s="6">
        <v>2.673</v>
      </c>
      <c r="AX155" s="6">
        <v>342</v>
      </c>
    </row>
    <row r="156" spans="22:50" x14ac:dyDescent="0.25">
      <c r="V156" s="17">
        <v>150</v>
      </c>
      <c r="W156" s="6">
        <v>1.2700899999999999</v>
      </c>
      <c r="X156" s="6">
        <v>1.6732</v>
      </c>
      <c r="Y156" s="6">
        <v>1.2243999999999999</v>
      </c>
      <c r="Z156" s="6">
        <v>620</v>
      </c>
      <c r="AN156" s="17">
        <v>150</v>
      </c>
      <c r="AO156" s="6">
        <v>2.7757499999999999</v>
      </c>
      <c r="AP156" s="6">
        <v>1.4564999999999999</v>
      </c>
      <c r="AQ156" s="6">
        <v>2.6741000000000001</v>
      </c>
      <c r="AR156" s="6">
        <v>343</v>
      </c>
      <c r="AT156" s="17">
        <v>150</v>
      </c>
      <c r="AU156" s="6">
        <v>5.2597500000000004</v>
      </c>
      <c r="AV156" s="6">
        <v>1.4564999999999999</v>
      </c>
      <c r="AW156" s="6">
        <v>2.6741000000000001</v>
      </c>
      <c r="AX156" s="6">
        <v>343</v>
      </c>
    </row>
    <row r="157" spans="22:50" x14ac:dyDescent="0.25">
      <c r="V157" s="17">
        <v>151</v>
      </c>
      <c r="W157" s="6">
        <v>1.2479499999999999</v>
      </c>
      <c r="X157" s="6">
        <v>2.0516999999999999</v>
      </c>
      <c r="Y157" s="6">
        <v>1.2030000000000001</v>
      </c>
      <c r="Z157" s="6">
        <v>596</v>
      </c>
      <c r="AN157" s="17">
        <v>151</v>
      </c>
      <c r="AO157" s="6">
        <v>2.7664399999999998</v>
      </c>
      <c r="AP157" s="6">
        <v>1.8243</v>
      </c>
      <c r="AQ157" s="6">
        <v>2.6650999999999998</v>
      </c>
      <c r="AR157" s="6">
        <v>339</v>
      </c>
      <c r="AT157" s="17">
        <v>151</v>
      </c>
      <c r="AU157" s="6">
        <v>5.2422399999999998</v>
      </c>
      <c r="AV157" s="6">
        <v>1.8243</v>
      </c>
      <c r="AW157" s="6">
        <v>2.6650999999999998</v>
      </c>
      <c r="AX157" s="6">
        <v>339</v>
      </c>
    </row>
    <row r="158" spans="22:50" x14ac:dyDescent="0.25">
      <c r="V158" s="17">
        <v>152</v>
      </c>
      <c r="W158" s="6">
        <v>1.2521599999999999</v>
      </c>
      <c r="X158" s="19">
        <v>-0.27179999999999999</v>
      </c>
      <c r="Y158" s="6">
        <v>1.2071000000000001</v>
      </c>
      <c r="Z158" s="6">
        <v>616</v>
      </c>
      <c r="AN158" s="17">
        <v>152</v>
      </c>
      <c r="AO158" s="6">
        <v>2.7684600000000001</v>
      </c>
      <c r="AP158" s="19">
        <v>-0.63649999999999995</v>
      </c>
      <c r="AQ158" s="6">
        <v>2.6671</v>
      </c>
      <c r="AR158" s="6">
        <v>340</v>
      </c>
      <c r="AT158" s="17">
        <v>152</v>
      </c>
      <c r="AU158" s="6">
        <v>5.2460399999999998</v>
      </c>
      <c r="AV158" s="19">
        <v>-0.63649999999999995</v>
      </c>
      <c r="AW158" s="6">
        <v>2.6671</v>
      </c>
      <c r="AX158" s="6">
        <v>340</v>
      </c>
    </row>
    <row r="159" spans="22:50" x14ac:dyDescent="0.25">
      <c r="V159" s="17">
        <v>153</v>
      </c>
      <c r="W159" s="6">
        <v>1.2722</v>
      </c>
      <c r="X159" s="6">
        <v>6.3613999999999997</v>
      </c>
      <c r="Y159" s="6">
        <v>1.2264999999999999</v>
      </c>
      <c r="Z159" s="6">
        <v>636</v>
      </c>
      <c r="AN159" s="17">
        <v>153</v>
      </c>
      <c r="AO159" s="6">
        <v>2.7769300000000001</v>
      </c>
      <c r="AP159" s="6">
        <v>6.3662999999999998</v>
      </c>
      <c r="AQ159" s="6">
        <v>2.6753</v>
      </c>
      <c r="AR159" s="6">
        <v>343</v>
      </c>
      <c r="AT159" s="17">
        <v>153</v>
      </c>
      <c r="AU159" s="6">
        <v>5.2619800000000003</v>
      </c>
      <c r="AV159" s="6">
        <v>6.3662999999999998</v>
      </c>
      <c r="AW159" s="6">
        <v>2.6753</v>
      </c>
      <c r="AX159" s="6">
        <v>343</v>
      </c>
    </row>
    <row r="160" spans="22:50" x14ac:dyDescent="0.25">
      <c r="V160" s="17">
        <v>154</v>
      </c>
      <c r="W160" s="6">
        <v>1.27193</v>
      </c>
      <c r="X160" s="6">
        <v>2.9163000000000001</v>
      </c>
      <c r="Y160" s="6">
        <v>1.2262</v>
      </c>
      <c r="Z160" s="6">
        <v>631</v>
      </c>
      <c r="AN160" s="17">
        <v>154</v>
      </c>
      <c r="AO160" s="6">
        <v>2.77718</v>
      </c>
      <c r="AP160" s="6">
        <v>2.8075000000000001</v>
      </c>
      <c r="AQ160" s="6">
        <v>2.6755</v>
      </c>
      <c r="AR160" s="6">
        <v>344</v>
      </c>
      <c r="AT160" s="17">
        <v>154</v>
      </c>
      <c r="AU160" s="6">
        <v>5.2624300000000002</v>
      </c>
      <c r="AV160" s="6">
        <v>2.8075000000000001</v>
      </c>
      <c r="AW160" s="6">
        <v>2.6755</v>
      </c>
      <c r="AX160" s="6">
        <v>344</v>
      </c>
    </row>
    <row r="161" spans="22:50" x14ac:dyDescent="0.25">
      <c r="V161" s="17">
        <v>155</v>
      </c>
      <c r="W161" s="6">
        <v>1.26637</v>
      </c>
      <c r="X161" s="6">
        <v>4.2228000000000003</v>
      </c>
      <c r="Y161" s="6">
        <v>1.2208000000000001</v>
      </c>
      <c r="Z161" s="6">
        <v>612</v>
      </c>
      <c r="AN161" s="17">
        <v>155</v>
      </c>
      <c r="AO161" s="6">
        <v>2.7738999999999998</v>
      </c>
      <c r="AP161" s="6">
        <v>4.0278</v>
      </c>
      <c r="AQ161" s="6">
        <v>2.6722999999999999</v>
      </c>
      <c r="AR161" s="6">
        <v>342</v>
      </c>
      <c r="AT161" s="17">
        <v>155</v>
      </c>
      <c r="AU161" s="6">
        <v>5.2562800000000003</v>
      </c>
      <c r="AV161" s="6">
        <v>4.0278</v>
      </c>
      <c r="AW161" s="6">
        <v>2.6722999999999999</v>
      </c>
      <c r="AX161" s="6">
        <v>342</v>
      </c>
    </row>
    <row r="162" spans="22:50" x14ac:dyDescent="0.25">
      <c r="V162" s="17">
        <v>156</v>
      </c>
      <c r="W162" s="6">
        <v>1.28328</v>
      </c>
      <c r="X162" s="6">
        <v>1.8131999999999999</v>
      </c>
      <c r="Y162" s="6">
        <v>1.2372000000000001</v>
      </c>
      <c r="Z162" s="6">
        <v>634</v>
      </c>
      <c r="AN162" s="17">
        <v>156</v>
      </c>
      <c r="AO162" s="6">
        <v>2.78166</v>
      </c>
      <c r="AP162" s="6">
        <v>1.6305000000000001</v>
      </c>
      <c r="AQ162" s="6">
        <v>2.6798999999999999</v>
      </c>
      <c r="AR162" s="6">
        <v>346</v>
      </c>
      <c r="AT162" s="17">
        <v>156</v>
      </c>
      <c r="AU162" s="6">
        <v>5.27088</v>
      </c>
      <c r="AV162" s="6">
        <v>1.6305000000000001</v>
      </c>
      <c r="AW162" s="6">
        <v>2.6798999999999999</v>
      </c>
      <c r="AX162" s="6">
        <v>346</v>
      </c>
    </row>
    <row r="163" spans="22:50" x14ac:dyDescent="0.25">
      <c r="V163" s="17">
        <v>157</v>
      </c>
      <c r="W163" s="6">
        <v>1.2760199999999999</v>
      </c>
      <c r="X163" s="6">
        <v>3.0851999999999999</v>
      </c>
      <c r="Y163" s="6">
        <v>1.2301</v>
      </c>
      <c r="Z163" s="6">
        <v>629</v>
      </c>
      <c r="AN163" s="17">
        <v>157</v>
      </c>
      <c r="AO163" s="6">
        <v>2.77921</v>
      </c>
      <c r="AP163" s="6">
        <v>2.9159999999999999</v>
      </c>
      <c r="AQ163" s="6">
        <v>2.6775000000000002</v>
      </c>
      <c r="AR163" s="6">
        <v>345</v>
      </c>
      <c r="AT163" s="17">
        <v>157</v>
      </c>
      <c r="AU163" s="6">
        <v>5.2662599999999999</v>
      </c>
      <c r="AV163" s="6">
        <v>2.9159999999999999</v>
      </c>
      <c r="AW163" s="6">
        <v>2.6775000000000002</v>
      </c>
      <c r="AX163" s="6">
        <v>345</v>
      </c>
    </row>
    <row r="164" spans="22:50" x14ac:dyDescent="0.25">
      <c r="V164" s="17">
        <v>158</v>
      </c>
      <c r="W164" s="6">
        <v>1.2686500000000001</v>
      </c>
      <c r="X164" s="19">
        <v>-6.5795000000000003</v>
      </c>
      <c r="Y164" s="6">
        <v>1.2230000000000001</v>
      </c>
      <c r="Z164" s="6">
        <v>622</v>
      </c>
      <c r="AN164" s="17">
        <v>158</v>
      </c>
      <c r="AO164" s="6">
        <v>2.7754300000000001</v>
      </c>
      <c r="AP164" s="19">
        <v>-6.7153999999999998</v>
      </c>
      <c r="AQ164" s="6">
        <v>2.6738</v>
      </c>
      <c r="AR164" s="6">
        <v>343</v>
      </c>
      <c r="AT164" s="17">
        <v>158</v>
      </c>
      <c r="AU164" s="6">
        <v>5.25915</v>
      </c>
      <c r="AV164" s="19">
        <v>-6.7153999999999998</v>
      </c>
      <c r="AW164" s="6">
        <v>2.6738</v>
      </c>
      <c r="AX164" s="6">
        <v>343</v>
      </c>
    </row>
    <row r="165" spans="22:50" x14ac:dyDescent="0.25">
      <c r="V165" s="17">
        <v>159</v>
      </c>
      <c r="W165" s="6">
        <v>1.27291</v>
      </c>
      <c r="X165" s="19">
        <v>-2.6760999999999999</v>
      </c>
      <c r="Y165" s="6">
        <v>1.2272000000000001</v>
      </c>
      <c r="Z165" s="6">
        <v>644</v>
      </c>
      <c r="AN165" s="17">
        <v>159</v>
      </c>
      <c r="AO165" s="6">
        <v>2.7778999999999998</v>
      </c>
      <c r="AP165" s="19">
        <v>-2.9434999999999998</v>
      </c>
      <c r="AQ165" s="6">
        <v>2.6762000000000001</v>
      </c>
      <c r="AR165" s="6">
        <v>344</v>
      </c>
      <c r="AT165" s="17">
        <v>159</v>
      </c>
      <c r="AU165" s="6">
        <v>5.2637900000000002</v>
      </c>
      <c r="AV165" s="19">
        <v>-2.9434999999999998</v>
      </c>
      <c r="AW165" s="6">
        <v>2.6762000000000001</v>
      </c>
      <c r="AX165" s="6">
        <v>344</v>
      </c>
    </row>
    <row r="166" spans="22:50" x14ac:dyDescent="0.25">
      <c r="V166" s="17">
        <v>160</v>
      </c>
      <c r="W166" s="6">
        <v>1.2842499999999999</v>
      </c>
      <c r="X166" s="6">
        <v>4.648E-2</v>
      </c>
      <c r="Y166" s="6">
        <v>1.2381</v>
      </c>
      <c r="Z166" s="6">
        <v>633</v>
      </c>
      <c r="AN166" s="17">
        <v>160</v>
      </c>
      <c r="AO166" s="6">
        <v>2.7816999999999998</v>
      </c>
      <c r="AP166" s="19">
        <v>-0.1111</v>
      </c>
      <c r="AQ166" s="6">
        <v>2.6798999999999999</v>
      </c>
      <c r="AR166" s="6">
        <v>345</v>
      </c>
      <c r="AT166" s="17">
        <v>160</v>
      </c>
      <c r="AU166" s="6">
        <v>5.27095</v>
      </c>
      <c r="AV166" s="19">
        <v>-0.1111</v>
      </c>
      <c r="AW166" s="6">
        <v>2.6798999999999999</v>
      </c>
      <c r="AX166" s="6">
        <v>345</v>
      </c>
    </row>
    <row r="167" spans="22:50" x14ac:dyDescent="0.25">
      <c r="V167" s="17">
        <v>161</v>
      </c>
      <c r="W167" s="6">
        <v>1.2740800000000001</v>
      </c>
      <c r="X167" s="6">
        <v>5.6825999999999999</v>
      </c>
      <c r="Y167" s="6">
        <v>1.2282999999999999</v>
      </c>
      <c r="Z167" s="6">
        <v>638</v>
      </c>
      <c r="AN167" s="17">
        <v>161</v>
      </c>
      <c r="AO167" s="6">
        <v>2.7778999999999998</v>
      </c>
      <c r="AP167" s="6">
        <v>5.2306999999999997</v>
      </c>
      <c r="AQ167" s="6">
        <v>2.6762000000000001</v>
      </c>
      <c r="AR167" s="6">
        <v>344</v>
      </c>
      <c r="AT167" s="17">
        <v>161</v>
      </c>
      <c r="AU167" s="6">
        <v>5.2637999999999998</v>
      </c>
      <c r="AV167" s="6">
        <v>5.2306999999999997</v>
      </c>
      <c r="AW167" s="6">
        <v>2.6762000000000001</v>
      </c>
      <c r="AX167" s="6">
        <v>344</v>
      </c>
    </row>
    <row r="168" spans="22:50" x14ac:dyDescent="0.25">
      <c r="V168" s="17">
        <v>162</v>
      </c>
      <c r="W168" s="6">
        <v>1.2903199999999999</v>
      </c>
      <c r="X168" s="6">
        <v>0.41959999999999997</v>
      </c>
      <c r="Y168" s="6">
        <v>1.2439</v>
      </c>
      <c r="Z168" s="6">
        <v>626</v>
      </c>
      <c r="AN168" s="17">
        <v>162</v>
      </c>
      <c r="AO168" s="6">
        <v>2.7835399999999999</v>
      </c>
      <c r="AP168" s="19">
        <v>-5.2900000000000004E-3</v>
      </c>
      <c r="AQ168" s="6">
        <v>2.6817000000000002</v>
      </c>
      <c r="AR168" s="6">
        <v>346</v>
      </c>
      <c r="AT168" s="17">
        <v>162</v>
      </c>
      <c r="AU168" s="6">
        <v>5.2744299999999997</v>
      </c>
      <c r="AV168" s="19">
        <v>-5.2900000000000004E-3</v>
      </c>
      <c r="AW168" s="6">
        <v>2.6817000000000002</v>
      </c>
      <c r="AX168" s="6">
        <v>346</v>
      </c>
    </row>
    <row r="169" spans="22:50" x14ac:dyDescent="0.25">
      <c r="V169" s="17">
        <v>163</v>
      </c>
      <c r="W169" s="6">
        <v>1.28407</v>
      </c>
      <c r="X169" s="6">
        <v>0.70909999999999995</v>
      </c>
      <c r="Y169" s="6">
        <v>1.2379</v>
      </c>
      <c r="Z169" s="6">
        <v>646</v>
      </c>
      <c r="AN169" s="17">
        <v>163</v>
      </c>
      <c r="AO169" s="6">
        <v>2.7816700000000001</v>
      </c>
      <c r="AP169" s="6">
        <v>0.31009999999999999</v>
      </c>
      <c r="AQ169" s="6">
        <v>2.6798999999999999</v>
      </c>
      <c r="AR169" s="6">
        <v>345</v>
      </c>
      <c r="AT169" s="17">
        <v>163</v>
      </c>
      <c r="AU169" s="6">
        <v>5.2709000000000001</v>
      </c>
      <c r="AV169" s="6">
        <v>0.31009999999999999</v>
      </c>
      <c r="AW169" s="6">
        <v>2.6798999999999999</v>
      </c>
      <c r="AX169" s="6">
        <v>345</v>
      </c>
    </row>
    <row r="170" spans="22:50" x14ac:dyDescent="0.25">
      <c r="V170" s="17">
        <v>164</v>
      </c>
      <c r="W170" s="6">
        <v>1.2895300000000001</v>
      </c>
      <c r="X170" s="6">
        <v>15.381399999999999</v>
      </c>
      <c r="Y170" s="6">
        <v>1.2432000000000001</v>
      </c>
      <c r="Z170" s="6">
        <v>648</v>
      </c>
      <c r="AN170" s="17">
        <v>164</v>
      </c>
      <c r="AO170" s="6">
        <v>2.78505</v>
      </c>
      <c r="AP170" s="6">
        <v>15.3169</v>
      </c>
      <c r="AQ170" s="6">
        <v>2.6831</v>
      </c>
      <c r="AR170" s="6">
        <v>347</v>
      </c>
      <c r="AT170" s="17">
        <v>164</v>
      </c>
      <c r="AU170" s="6">
        <v>5.2772300000000003</v>
      </c>
      <c r="AV170" s="6">
        <v>15.3169</v>
      </c>
      <c r="AW170" s="6">
        <v>2.6831</v>
      </c>
      <c r="AX170" s="6">
        <v>347</v>
      </c>
    </row>
    <row r="171" spans="22:50" x14ac:dyDescent="0.25">
      <c r="V171" s="17">
        <v>165</v>
      </c>
      <c r="W171" s="6">
        <v>1.27183</v>
      </c>
      <c r="X171" s="19">
        <v>-2.2999000000000001</v>
      </c>
      <c r="Y171" s="6">
        <v>1.2261</v>
      </c>
      <c r="Z171" s="6">
        <v>616</v>
      </c>
      <c r="AN171" s="17">
        <v>165</v>
      </c>
      <c r="AO171" s="6">
        <v>2.7766000000000002</v>
      </c>
      <c r="AP171" s="19">
        <v>-2.4053</v>
      </c>
      <c r="AQ171" s="6">
        <v>2.6749000000000001</v>
      </c>
      <c r="AR171" s="6">
        <v>343</v>
      </c>
      <c r="AT171" s="17">
        <v>165</v>
      </c>
      <c r="AU171" s="6">
        <v>5.2613500000000002</v>
      </c>
      <c r="AV171" s="19">
        <v>-2.4053</v>
      </c>
      <c r="AW171" s="6">
        <v>2.6749000000000001</v>
      </c>
      <c r="AX171" s="6">
        <v>343</v>
      </c>
    </row>
    <row r="172" spans="22:50" x14ac:dyDescent="0.25">
      <c r="V172" s="17">
        <v>166</v>
      </c>
      <c r="W172" s="6">
        <v>1.28196</v>
      </c>
      <c r="X172" s="6">
        <v>1.6335</v>
      </c>
      <c r="Y172" s="6">
        <v>1.2359</v>
      </c>
      <c r="Z172" s="6">
        <v>641</v>
      </c>
      <c r="AN172" s="17">
        <v>166</v>
      </c>
      <c r="AO172" s="6">
        <v>2.7815599999999998</v>
      </c>
      <c r="AP172" s="6">
        <v>1.4204000000000001</v>
      </c>
      <c r="AQ172" s="6">
        <v>2.6798000000000002</v>
      </c>
      <c r="AR172" s="6">
        <v>346</v>
      </c>
      <c r="AT172" s="17">
        <v>166</v>
      </c>
      <c r="AU172" s="6">
        <v>5.27067</v>
      </c>
      <c r="AV172" s="6">
        <v>1.4204000000000001</v>
      </c>
      <c r="AW172" s="6">
        <v>2.6798000000000002</v>
      </c>
      <c r="AX172" s="6">
        <v>346</v>
      </c>
    </row>
    <row r="173" spans="22:50" x14ac:dyDescent="0.25">
      <c r="V173" s="17">
        <v>167</v>
      </c>
      <c r="W173" s="6">
        <v>1.28382</v>
      </c>
      <c r="X173" s="6">
        <v>1.4119999999999999</v>
      </c>
      <c r="Y173" s="6">
        <v>1.2377</v>
      </c>
      <c r="Z173" s="6">
        <v>641</v>
      </c>
      <c r="AN173" s="17">
        <v>167</v>
      </c>
      <c r="AO173" s="6">
        <v>2.7814700000000001</v>
      </c>
      <c r="AP173" s="6">
        <v>1.2210000000000001</v>
      </c>
      <c r="AQ173" s="6">
        <v>2.6797</v>
      </c>
      <c r="AR173" s="6">
        <v>345</v>
      </c>
      <c r="AT173" s="17">
        <v>167</v>
      </c>
      <c r="AU173" s="6">
        <v>5.2705200000000003</v>
      </c>
      <c r="AV173" s="6">
        <v>1.2210000000000001</v>
      </c>
      <c r="AW173" s="6">
        <v>2.6797</v>
      </c>
      <c r="AX173" s="6">
        <v>345</v>
      </c>
    </row>
    <row r="174" spans="22:50" x14ac:dyDescent="0.25">
      <c r="V174" s="17">
        <v>168</v>
      </c>
      <c r="W174" s="6">
        <v>1.2746999999999999</v>
      </c>
      <c r="X174" s="19">
        <v>-3.3073999999999999</v>
      </c>
      <c r="Y174" s="6">
        <v>1.2289000000000001</v>
      </c>
      <c r="Z174" s="6">
        <v>623</v>
      </c>
      <c r="AN174" s="17">
        <v>168</v>
      </c>
      <c r="AO174" s="6">
        <v>2.7780499999999999</v>
      </c>
      <c r="AP174" s="19">
        <v>-3.4308999999999998</v>
      </c>
      <c r="AQ174" s="6">
        <v>2.6762999999999999</v>
      </c>
      <c r="AR174" s="6">
        <v>344</v>
      </c>
      <c r="AT174" s="17">
        <v>168</v>
      </c>
      <c r="AU174" s="6">
        <v>5.2640700000000002</v>
      </c>
      <c r="AV174" s="19">
        <v>-3.4308999999999998</v>
      </c>
      <c r="AW174" s="6">
        <v>2.6762999999999999</v>
      </c>
      <c r="AX174" s="6">
        <v>344</v>
      </c>
    </row>
    <row r="175" spans="22:50" x14ac:dyDescent="0.25">
      <c r="V175" s="17">
        <v>169</v>
      </c>
      <c r="W175" s="6">
        <v>1.2444500000000001</v>
      </c>
      <c r="X175" s="19">
        <v>-2.3369</v>
      </c>
      <c r="Y175" s="6">
        <v>1.1997</v>
      </c>
      <c r="Z175" s="6">
        <v>595</v>
      </c>
      <c r="AN175" s="17">
        <v>169</v>
      </c>
      <c r="AO175" s="6">
        <v>2.7646999999999999</v>
      </c>
      <c r="AP175" s="19">
        <v>-2.3517000000000001</v>
      </c>
      <c r="AQ175" s="6">
        <v>2.6634000000000002</v>
      </c>
      <c r="AR175" s="6">
        <v>338</v>
      </c>
      <c r="AT175" s="17">
        <v>169</v>
      </c>
      <c r="AU175" s="6">
        <v>5.2389799999999997</v>
      </c>
      <c r="AV175" s="19">
        <v>-2.3517000000000001</v>
      </c>
      <c r="AW175" s="6">
        <v>2.6634000000000002</v>
      </c>
      <c r="AX175" s="6">
        <v>338</v>
      </c>
    </row>
    <row r="176" spans="22:50" x14ac:dyDescent="0.25">
      <c r="V176" s="17">
        <v>170</v>
      </c>
      <c r="W176" s="6">
        <v>1.2423299999999999</v>
      </c>
      <c r="X176" s="19">
        <v>-2.2372999999999998</v>
      </c>
      <c r="Y176" s="6">
        <v>1.1976</v>
      </c>
      <c r="Z176" s="6">
        <v>601</v>
      </c>
      <c r="AN176" s="17">
        <v>170</v>
      </c>
      <c r="AO176" s="6">
        <v>2.7640699999999998</v>
      </c>
      <c r="AP176" s="19">
        <v>-2.3971</v>
      </c>
      <c r="AQ176" s="6">
        <v>2.6627999999999998</v>
      </c>
      <c r="AR176" s="6">
        <v>338</v>
      </c>
      <c r="AT176" s="17">
        <v>170</v>
      </c>
      <c r="AU176" s="6">
        <v>5.2378</v>
      </c>
      <c r="AV176" s="19">
        <v>-2.3971</v>
      </c>
      <c r="AW176" s="6">
        <v>2.6627999999999998</v>
      </c>
      <c r="AX176" s="6">
        <v>338</v>
      </c>
    </row>
    <row r="177" spans="22:50" x14ac:dyDescent="0.25">
      <c r="V177" s="17">
        <v>171</v>
      </c>
      <c r="W177" s="6">
        <v>1.2909299999999999</v>
      </c>
      <c r="X177" s="19">
        <v>-3.7073</v>
      </c>
      <c r="Y177" s="6">
        <v>1.2444999999999999</v>
      </c>
      <c r="Z177" s="6">
        <v>642</v>
      </c>
      <c r="AN177" s="17">
        <v>171</v>
      </c>
      <c r="AO177" s="6">
        <v>2.7851300000000001</v>
      </c>
      <c r="AP177" s="19">
        <v>-3.9338000000000002</v>
      </c>
      <c r="AQ177" s="6">
        <v>2.6831999999999998</v>
      </c>
      <c r="AR177" s="6">
        <v>347</v>
      </c>
      <c r="AT177" s="17">
        <v>171</v>
      </c>
      <c r="AU177" s="6">
        <v>5.2774000000000001</v>
      </c>
      <c r="AV177" s="19">
        <v>-3.9338000000000002</v>
      </c>
      <c r="AW177" s="6">
        <v>2.6831999999999998</v>
      </c>
      <c r="AX177" s="6">
        <v>347</v>
      </c>
    </row>
    <row r="178" spans="22:50" x14ac:dyDescent="0.25">
      <c r="V178" s="17">
        <v>172</v>
      </c>
      <c r="W178" s="6">
        <v>1.24895</v>
      </c>
      <c r="X178" s="19">
        <v>-5.6954000000000002</v>
      </c>
      <c r="Y178" s="6">
        <v>1.204</v>
      </c>
      <c r="Z178" s="6">
        <v>603</v>
      </c>
      <c r="AN178" s="17">
        <v>172</v>
      </c>
      <c r="AO178" s="6">
        <v>2.76661</v>
      </c>
      <c r="AP178" s="19">
        <v>-5.9995000000000003</v>
      </c>
      <c r="AQ178" s="6">
        <v>2.6652999999999998</v>
      </c>
      <c r="AR178" s="6">
        <v>339</v>
      </c>
      <c r="AT178" s="17">
        <v>172</v>
      </c>
      <c r="AU178" s="6">
        <v>5.2425800000000002</v>
      </c>
      <c r="AV178" s="19">
        <v>-5.9995000000000003</v>
      </c>
      <c r="AW178" s="6">
        <v>2.6652999999999998</v>
      </c>
      <c r="AX178" s="6">
        <v>339</v>
      </c>
    </row>
    <row r="179" spans="22:50" x14ac:dyDescent="0.25">
      <c r="V179" s="17">
        <v>173</v>
      </c>
      <c r="W179" s="6">
        <v>1.2553700000000001</v>
      </c>
      <c r="X179" s="19">
        <v>-2.4956</v>
      </c>
      <c r="Y179" s="6">
        <v>1.2101999999999999</v>
      </c>
      <c r="Z179" s="6">
        <v>618</v>
      </c>
      <c r="AN179" s="17">
        <v>173</v>
      </c>
      <c r="AO179" s="6">
        <v>2.7699699999999998</v>
      </c>
      <c r="AP179" s="19">
        <v>-2.7934999999999999</v>
      </c>
      <c r="AQ179" s="6">
        <v>2.6684999999999999</v>
      </c>
      <c r="AR179" s="6">
        <v>340</v>
      </c>
      <c r="AT179" s="17">
        <v>173</v>
      </c>
      <c r="AU179" s="6">
        <v>5.2488900000000003</v>
      </c>
      <c r="AV179" s="19">
        <v>-2.7934999999999999</v>
      </c>
      <c r="AW179" s="6">
        <v>2.6684999999999999</v>
      </c>
      <c r="AX179" s="6">
        <v>340</v>
      </c>
    </row>
    <row r="180" spans="22:50" x14ac:dyDescent="0.25">
      <c r="V180" s="17">
        <v>174</v>
      </c>
      <c r="W180" s="6">
        <v>1.2567900000000001</v>
      </c>
      <c r="X180" s="6">
        <v>1.5382</v>
      </c>
      <c r="Y180" s="6">
        <v>1.2116</v>
      </c>
      <c r="Z180" s="6">
        <v>627</v>
      </c>
      <c r="AN180" s="17">
        <v>174</v>
      </c>
      <c r="AO180" s="6">
        <v>2.77135</v>
      </c>
      <c r="AP180" s="6">
        <v>1.3507</v>
      </c>
      <c r="AQ180" s="6">
        <v>2.6699000000000002</v>
      </c>
      <c r="AR180" s="6">
        <v>341</v>
      </c>
      <c r="AT180" s="17">
        <v>174</v>
      </c>
      <c r="AU180" s="6">
        <v>5.2514599999999998</v>
      </c>
      <c r="AV180" s="6">
        <v>1.3507</v>
      </c>
      <c r="AW180" s="6">
        <v>2.6699000000000002</v>
      </c>
      <c r="AX180" s="6">
        <v>341</v>
      </c>
    </row>
    <row r="181" spans="22:50" x14ac:dyDescent="0.25">
      <c r="V181" s="17">
        <v>175</v>
      </c>
      <c r="W181" s="6">
        <v>1.30016</v>
      </c>
      <c r="X181" s="19">
        <v>-0.54820000000000002</v>
      </c>
      <c r="Y181" s="6">
        <v>1.2534000000000001</v>
      </c>
      <c r="Z181" s="6">
        <v>641</v>
      </c>
      <c r="AN181" s="17">
        <v>175</v>
      </c>
      <c r="AO181" s="6">
        <v>2.7882500000000001</v>
      </c>
      <c r="AP181" s="19">
        <v>-0.75060000000000004</v>
      </c>
      <c r="AQ181" s="6">
        <v>2.6861999999999999</v>
      </c>
      <c r="AR181" s="6">
        <v>348</v>
      </c>
      <c r="AT181" s="17">
        <v>175</v>
      </c>
      <c r="AU181" s="6">
        <v>5.2832800000000004</v>
      </c>
      <c r="AV181" s="19">
        <v>-0.75060000000000004</v>
      </c>
      <c r="AW181" s="6">
        <v>2.6861999999999999</v>
      </c>
      <c r="AX181" s="6">
        <v>348</v>
      </c>
    </row>
    <row r="182" spans="22:50" x14ac:dyDescent="0.25">
      <c r="V182" s="17">
        <v>176</v>
      </c>
      <c r="W182" s="6">
        <v>1.27274</v>
      </c>
      <c r="X182" s="19">
        <v>-1.9149</v>
      </c>
      <c r="Y182" s="6">
        <v>1.2270000000000001</v>
      </c>
      <c r="Z182" s="6">
        <v>621</v>
      </c>
      <c r="AN182" s="17">
        <v>176</v>
      </c>
      <c r="AO182" s="6">
        <v>2.7774700000000001</v>
      </c>
      <c r="AP182" s="19">
        <v>-2.1046999999999998</v>
      </c>
      <c r="AQ182" s="6">
        <v>2.6758000000000002</v>
      </c>
      <c r="AR182" s="6">
        <v>344</v>
      </c>
      <c r="AT182" s="17">
        <v>176</v>
      </c>
      <c r="AU182" s="6">
        <v>5.2629900000000003</v>
      </c>
      <c r="AV182" s="19">
        <v>-2.1046999999999998</v>
      </c>
      <c r="AW182" s="6">
        <v>2.6758000000000002</v>
      </c>
      <c r="AX182" s="6">
        <v>344</v>
      </c>
    </row>
    <row r="183" spans="22:50" x14ac:dyDescent="0.25">
      <c r="V183" s="17">
        <v>177</v>
      </c>
      <c r="W183" s="6">
        <v>1.25214</v>
      </c>
      <c r="X183" s="19">
        <v>-0.90910000000000002</v>
      </c>
      <c r="Y183" s="6">
        <v>1.2071000000000001</v>
      </c>
      <c r="Z183" s="6">
        <v>611</v>
      </c>
      <c r="AN183" s="17">
        <v>177</v>
      </c>
      <c r="AO183" s="6">
        <v>2.7673700000000001</v>
      </c>
      <c r="AP183" s="19">
        <v>-1.08</v>
      </c>
      <c r="AQ183" s="6">
        <v>2.6659999999999999</v>
      </c>
      <c r="AR183" s="6">
        <v>339</v>
      </c>
      <c r="AT183" s="17">
        <v>177</v>
      </c>
      <c r="AU183" s="6">
        <v>5.2440199999999999</v>
      </c>
      <c r="AV183" s="19">
        <v>-1.08</v>
      </c>
      <c r="AW183" s="6">
        <v>2.6659999999999999</v>
      </c>
      <c r="AX183" s="6">
        <v>339</v>
      </c>
    </row>
    <row r="184" spans="22:50" x14ac:dyDescent="0.25">
      <c r="V184" s="17">
        <v>178</v>
      </c>
      <c r="W184" s="6">
        <v>1.2863199999999999</v>
      </c>
      <c r="X184" s="6">
        <v>3.0722999999999998</v>
      </c>
      <c r="Y184" s="6">
        <v>1.2401</v>
      </c>
      <c r="Z184" s="6">
        <v>637</v>
      </c>
      <c r="AN184" s="17">
        <v>178</v>
      </c>
      <c r="AO184" s="6">
        <v>2.7835399999999999</v>
      </c>
      <c r="AP184" s="6">
        <v>2.7805</v>
      </c>
      <c r="AQ184" s="6">
        <v>2.6817000000000002</v>
      </c>
      <c r="AR184" s="6">
        <v>347</v>
      </c>
      <c r="AT184" s="17">
        <v>178</v>
      </c>
      <c r="AU184" s="6">
        <v>5.2744099999999996</v>
      </c>
      <c r="AV184" s="6">
        <v>2.7805</v>
      </c>
      <c r="AW184" s="6">
        <v>2.6817000000000002</v>
      </c>
      <c r="AX184" s="6">
        <v>347</v>
      </c>
    </row>
    <row r="185" spans="22:50" x14ac:dyDescent="0.25">
      <c r="V185" s="17">
        <v>179</v>
      </c>
      <c r="W185" s="6">
        <v>1.2938700000000001</v>
      </c>
      <c r="X185" s="19">
        <v>-3.2959000000000001</v>
      </c>
      <c r="Y185" s="6">
        <v>1.2474000000000001</v>
      </c>
      <c r="Z185" s="6">
        <v>625</v>
      </c>
      <c r="AN185" s="17">
        <v>179</v>
      </c>
      <c r="AO185" s="6">
        <v>2.78634</v>
      </c>
      <c r="AP185" s="19">
        <v>-3.4573999999999998</v>
      </c>
      <c r="AQ185" s="6">
        <v>2.6844000000000001</v>
      </c>
      <c r="AR185" s="6">
        <v>348</v>
      </c>
      <c r="AT185" s="17">
        <v>179</v>
      </c>
      <c r="AU185" s="6">
        <v>5.2796700000000003</v>
      </c>
      <c r="AV185" s="19">
        <v>-3.4573999999999998</v>
      </c>
      <c r="AW185" s="6">
        <v>2.6844000000000001</v>
      </c>
      <c r="AX185" s="6">
        <v>348</v>
      </c>
    </row>
    <row r="186" spans="22:50" x14ac:dyDescent="0.25">
      <c r="V186" s="17">
        <v>180</v>
      </c>
      <c r="W186" s="6">
        <v>1.26471</v>
      </c>
      <c r="X186" s="19">
        <v>-2.5617000000000001</v>
      </c>
      <c r="Y186" s="6">
        <v>1.2192000000000001</v>
      </c>
      <c r="Z186" s="6">
        <v>626</v>
      </c>
      <c r="AN186" s="17">
        <v>180</v>
      </c>
      <c r="AO186" s="6">
        <v>2.7738299999999998</v>
      </c>
      <c r="AP186" s="19">
        <v>-2.86</v>
      </c>
      <c r="AQ186" s="6">
        <v>2.6722999999999999</v>
      </c>
      <c r="AR186" s="6">
        <v>342</v>
      </c>
      <c r="AT186" s="17">
        <v>180</v>
      </c>
      <c r="AU186" s="6">
        <v>5.2561299999999997</v>
      </c>
      <c r="AV186" s="19">
        <v>-2.86</v>
      </c>
      <c r="AW186" s="6">
        <v>2.6722999999999999</v>
      </c>
      <c r="AX186" s="6">
        <v>342</v>
      </c>
    </row>
    <row r="187" spans="22:50" x14ac:dyDescent="0.25">
      <c r="V187" s="17">
        <v>181</v>
      </c>
      <c r="W187" s="6">
        <v>1.25779</v>
      </c>
      <c r="X187" s="19">
        <v>-0.71479999999999999</v>
      </c>
      <c r="Y187" s="6">
        <v>1.2124999999999999</v>
      </c>
      <c r="Z187" s="6">
        <v>611</v>
      </c>
      <c r="AN187" s="17">
        <v>181</v>
      </c>
      <c r="AO187" s="6">
        <v>2.7707000000000002</v>
      </c>
      <c r="AP187" s="19">
        <v>-1.0004999999999999</v>
      </c>
      <c r="AQ187" s="6">
        <v>2.6692</v>
      </c>
      <c r="AR187" s="6">
        <v>341</v>
      </c>
      <c r="AT187" s="17">
        <v>181</v>
      </c>
      <c r="AU187" s="6">
        <v>5.2502500000000003</v>
      </c>
      <c r="AV187" s="19">
        <v>-1.0004999999999999</v>
      </c>
      <c r="AW187" s="6">
        <v>2.6692</v>
      </c>
      <c r="AX187" s="6">
        <v>341</v>
      </c>
    </row>
    <row r="188" spans="22:50" x14ac:dyDescent="0.25">
      <c r="V188" s="17">
        <v>182</v>
      </c>
      <c r="W188" s="6">
        <v>1.2563599999999999</v>
      </c>
      <c r="X188" s="19">
        <v>-2.6427</v>
      </c>
      <c r="Y188" s="6">
        <v>1.2112000000000001</v>
      </c>
      <c r="Z188" s="6">
        <v>619</v>
      </c>
      <c r="AN188" s="17">
        <v>182</v>
      </c>
      <c r="AO188" s="6">
        <v>2.7701099999999999</v>
      </c>
      <c r="AP188" s="19">
        <v>-2.8035000000000001</v>
      </c>
      <c r="AQ188" s="6">
        <v>2.6686999999999999</v>
      </c>
      <c r="AR188" s="6">
        <v>340</v>
      </c>
      <c r="AT188" s="17">
        <v>182</v>
      </c>
      <c r="AU188" s="6">
        <v>5.2491500000000002</v>
      </c>
      <c r="AV188" s="19">
        <v>-2.8035000000000001</v>
      </c>
      <c r="AW188" s="6">
        <v>2.6686999999999999</v>
      </c>
      <c r="AX188" s="6">
        <v>340</v>
      </c>
    </row>
    <row r="189" spans="22:50" x14ac:dyDescent="0.25">
      <c r="V189" s="17">
        <v>183</v>
      </c>
      <c r="W189" s="6">
        <v>1.2738499999999999</v>
      </c>
      <c r="X189" s="19">
        <v>-1.4355</v>
      </c>
      <c r="Y189" s="6">
        <v>1.2281</v>
      </c>
      <c r="Z189" s="6">
        <v>631</v>
      </c>
      <c r="AN189" s="17">
        <v>183</v>
      </c>
      <c r="AO189" s="6">
        <v>2.7783899999999999</v>
      </c>
      <c r="AP189" s="19">
        <v>-1.6902999999999999</v>
      </c>
      <c r="AQ189" s="6">
        <v>2.6766999999999999</v>
      </c>
      <c r="AR189" s="6">
        <v>344</v>
      </c>
      <c r="AT189" s="17">
        <v>183</v>
      </c>
      <c r="AU189" s="6">
        <v>5.26471</v>
      </c>
      <c r="AV189" s="19">
        <v>-1.6902999999999999</v>
      </c>
      <c r="AW189" s="6">
        <v>2.6766999999999999</v>
      </c>
      <c r="AX189" s="6">
        <v>344</v>
      </c>
    </row>
    <row r="190" spans="22:50" x14ac:dyDescent="0.25">
      <c r="V190" s="17">
        <v>184</v>
      </c>
      <c r="W190" s="6">
        <v>1.2711600000000001</v>
      </c>
      <c r="X190" s="19">
        <v>-1.0569999999999999</v>
      </c>
      <c r="Y190" s="6">
        <v>1.2255</v>
      </c>
      <c r="Z190" s="6">
        <v>636</v>
      </c>
      <c r="AN190" s="17">
        <v>184</v>
      </c>
      <c r="AO190" s="6">
        <v>2.7771400000000002</v>
      </c>
      <c r="AP190" s="19">
        <v>-1.3225</v>
      </c>
      <c r="AQ190" s="6">
        <v>2.6755</v>
      </c>
      <c r="AR190" s="6">
        <v>344</v>
      </c>
      <c r="AT190" s="17">
        <v>184</v>
      </c>
      <c r="AU190" s="6">
        <v>5.2623499999999996</v>
      </c>
      <c r="AV190" s="19">
        <v>-1.3225</v>
      </c>
      <c r="AW190" s="6">
        <v>2.6755</v>
      </c>
      <c r="AX190" s="6">
        <v>344</v>
      </c>
    </row>
    <row r="191" spans="22:50" x14ac:dyDescent="0.25">
      <c r="V191" s="17">
        <v>185</v>
      </c>
      <c r="W191" s="6">
        <v>1.25753</v>
      </c>
      <c r="X191" s="19">
        <v>-3.3805000000000001</v>
      </c>
      <c r="Y191" s="6">
        <v>1.2122999999999999</v>
      </c>
      <c r="Z191" s="6">
        <v>622</v>
      </c>
      <c r="AN191" s="17">
        <v>185</v>
      </c>
      <c r="AO191" s="6">
        <v>2.7715800000000002</v>
      </c>
      <c r="AP191" s="19">
        <v>-3.7833000000000001</v>
      </c>
      <c r="AQ191" s="6">
        <v>2.6701000000000001</v>
      </c>
      <c r="AR191" s="6">
        <v>341</v>
      </c>
      <c r="AT191" s="17">
        <v>185</v>
      </c>
      <c r="AU191" s="6">
        <v>5.2519099999999996</v>
      </c>
      <c r="AV191" s="19">
        <v>-3.7833000000000001</v>
      </c>
      <c r="AW191" s="6">
        <v>2.6701000000000001</v>
      </c>
      <c r="AX191" s="6">
        <v>341</v>
      </c>
    </row>
    <row r="192" spans="22:50" x14ac:dyDescent="0.25">
      <c r="V192" s="17">
        <v>186</v>
      </c>
      <c r="W192" s="6">
        <v>1.2489600000000001</v>
      </c>
      <c r="X192" s="6">
        <v>3.2526999999999999</v>
      </c>
      <c r="Y192" s="6">
        <v>1.204</v>
      </c>
      <c r="Z192" s="6">
        <v>591</v>
      </c>
      <c r="AN192" s="17">
        <v>186</v>
      </c>
      <c r="AO192" s="6">
        <v>2.7665999999999999</v>
      </c>
      <c r="AP192" s="6">
        <v>3.2195</v>
      </c>
      <c r="AQ192" s="6">
        <v>2.6652999999999998</v>
      </c>
      <c r="AR192" s="6">
        <v>339</v>
      </c>
      <c r="AT192" s="17">
        <v>186</v>
      </c>
      <c r="AU192" s="6">
        <v>5.2425499999999996</v>
      </c>
      <c r="AV192" s="6">
        <v>3.2195</v>
      </c>
      <c r="AW192" s="6">
        <v>2.6652999999999998</v>
      </c>
      <c r="AX192" s="6">
        <v>339</v>
      </c>
    </row>
    <row r="193" spans="22:50" x14ac:dyDescent="0.25">
      <c r="V193" s="17">
        <v>187</v>
      </c>
      <c r="W193" s="6">
        <v>1.2631399999999999</v>
      </c>
      <c r="X193" s="19">
        <v>-0.19239999999999999</v>
      </c>
      <c r="Y193" s="6">
        <v>1.2177</v>
      </c>
      <c r="Z193" s="6">
        <v>612</v>
      </c>
      <c r="AN193" s="17">
        <v>187</v>
      </c>
      <c r="AO193" s="6">
        <v>2.7726199999999999</v>
      </c>
      <c r="AP193" s="19">
        <v>-0.3392</v>
      </c>
      <c r="AQ193" s="6">
        <v>2.6711</v>
      </c>
      <c r="AR193" s="6">
        <v>341</v>
      </c>
      <c r="AT193" s="17">
        <v>187</v>
      </c>
      <c r="AU193" s="6">
        <v>5.2538799999999997</v>
      </c>
      <c r="AV193" s="19">
        <v>-0.3392</v>
      </c>
      <c r="AW193" s="6">
        <v>2.6711</v>
      </c>
      <c r="AX193" s="6">
        <v>341</v>
      </c>
    </row>
    <row r="194" spans="22:50" x14ac:dyDescent="0.25">
      <c r="V194" s="17">
        <v>188</v>
      </c>
      <c r="W194" s="6">
        <v>1.27013</v>
      </c>
      <c r="X194" s="6">
        <v>1.1141000000000001</v>
      </c>
      <c r="Y194" s="6">
        <v>1.2244999999999999</v>
      </c>
      <c r="Z194" s="6">
        <v>637</v>
      </c>
      <c r="AN194" s="17">
        <v>188</v>
      </c>
      <c r="AO194" s="6">
        <v>2.7766799999999998</v>
      </c>
      <c r="AP194" s="6">
        <v>0.88100000000000001</v>
      </c>
      <c r="AQ194" s="6">
        <v>2.6749999999999998</v>
      </c>
      <c r="AR194" s="6">
        <v>344</v>
      </c>
      <c r="AT194" s="17">
        <v>188</v>
      </c>
      <c r="AU194" s="6">
        <v>5.2614900000000002</v>
      </c>
      <c r="AV194" s="6">
        <v>0.88100000000000001</v>
      </c>
      <c r="AW194" s="6">
        <v>2.6749999999999998</v>
      </c>
      <c r="AX194" s="6">
        <v>344</v>
      </c>
    </row>
    <row r="195" spans="22:50" x14ac:dyDescent="0.25">
      <c r="V195" s="17">
        <v>189</v>
      </c>
      <c r="W195" s="6">
        <v>1.3033300000000001</v>
      </c>
      <c r="X195" s="19">
        <v>-1.2955000000000001</v>
      </c>
      <c r="Y195" s="6">
        <v>1.2565</v>
      </c>
      <c r="Z195" s="6">
        <v>638</v>
      </c>
      <c r="AN195" s="17">
        <v>189</v>
      </c>
      <c r="AO195" s="6">
        <v>2.7903199999999999</v>
      </c>
      <c r="AP195" s="19">
        <v>-1.5163</v>
      </c>
      <c r="AQ195" s="6">
        <v>2.6882000000000001</v>
      </c>
      <c r="AR195" s="6">
        <v>349</v>
      </c>
      <c r="AT195" s="17">
        <v>189</v>
      </c>
      <c r="AU195" s="6">
        <v>5.2871600000000001</v>
      </c>
      <c r="AV195" s="19">
        <v>-1.5163</v>
      </c>
      <c r="AW195" s="6">
        <v>2.6882000000000001</v>
      </c>
      <c r="AX195" s="6">
        <v>349</v>
      </c>
    </row>
    <row r="196" spans="22:50" x14ac:dyDescent="0.25">
      <c r="V196" s="17">
        <v>190</v>
      </c>
      <c r="W196" s="6">
        <v>1.2883</v>
      </c>
      <c r="X196" s="19">
        <v>-2.3460000000000002E-2</v>
      </c>
      <c r="Y196" s="6">
        <v>1.242</v>
      </c>
      <c r="Z196" s="6">
        <v>644</v>
      </c>
      <c r="AN196" s="17">
        <v>190</v>
      </c>
      <c r="AO196" s="6">
        <v>2.7833399999999999</v>
      </c>
      <c r="AP196" s="19">
        <v>-0.23069999999999999</v>
      </c>
      <c r="AQ196" s="6">
        <v>2.6815000000000002</v>
      </c>
      <c r="AR196" s="6">
        <v>346</v>
      </c>
      <c r="AT196" s="17">
        <v>190</v>
      </c>
      <c r="AU196" s="6">
        <v>5.2740499999999999</v>
      </c>
      <c r="AV196" s="19">
        <v>-0.23069999999999999</v>
      </c>
      <c r="AW196" s="6">
        <v>2.6815000000000002</v>
      </c>
      <c r="AX196" s="6">
        <v>346</v>
      </c>
    </row>
    <row r="197" spans="22:50" x14ac:dyDescent="0.25">
      <c r="V197" s="17">
        <v>191</v>
      </c>
      <c r="W197" s="6">
        <v>1.27908</v>
      </c>
      <c r="X197" s="19">
        <v>-9.6882000000000001</v>
      </c>
      <c r="Y197" s="6">
        <v>1.2331000000000001</v>
      </c>
      <c r="Z197" s="6">
        <v>620</v>
      </c>
      <c r="AN197" s="17">
        <v>191</v>
      </c>
      <c r="AO197" s="6">
        <v>2.77902</v>
      </c>
      <c r="AP197" s="19">
        <v>-9.8620999999999999</v>
      </c>
      <c r="AQ197" s="6">
        <v>2.6772999999999998</v>
      </c>
      <c r="AR197" s="6">
        <v>344</v>
      </c>
      <c r="AT197" s="17">
        <v>191</v>
      </c>
      <c r="AU197" s="6">
        <v>5.2659200000000004</v>
      </c>
      <c r="AV197" s="19">
        <v>-9.8620999999999999</v>
      </c>
      <c r="AW197" s="6">
        <v>2.6772999999999998</v>
      </c>
      <c r="AX197" s="6">
        <v>344</v>
      </c>
    </row>
    <row r="198" spans="22:50" x14ac:dyDescent="0.25">
      <c r="V198" s="17">
        <v>192</v>
      </c>
      <c r="W198" s="6">
        <v>1.2707200000000001</v>
      </c>
      <c r="X198" s="19">
        <v>-5.7847999999999997</v>
      </c>
      <c r="Y198" s="6">
        <v>1.2251000000000001</v>
      </c>
      <c r="Z198" s="6">
        <v>638</v>
      </c>
      <c r="AN198" s="17">
        <v>192</v>
      </c>
      <c r="AO198" s="6">
        <v>2.7762600000000002</v>
      </c>
      <c r="AP198" s="19">
        <v>-6.0902000000000003</v>
      </c>
      <c r="AQ198" s="6">
        <v>2.6745999999999999</v>
      </c>
      <c r="AR198" s="6">
        <v>343</v>
      </c>
      <c r="AT198" s="17">
        <v>192</v>
      </c>
      <c r="AU198" s="6">
        <v>5.2607100000000004</v>
      </c>
      <c r="AV198" s="19">
        <v>-6.0902000000000003</v>
      </c>
      <c r="AW198" s="6">
        <v>2.6745999999999999</v>
      </c>
      <c r="AX198" s="6">
        <v>343</v>
      </c>
    </row>
    <row r="199" spans="22:50" x14ac:dyDescent="0.25">
      <c r="V199" s="17">
        <v>193</v>
      </c>
      <c r="W199" s="6">
        <v>1.2821100000000001</v>
      </c>
      <c r="X199" s="19">
        <v>-3.0621999999999998</v>
      </c>
      <c r="Y199" s="6">
        <v>1.236</v>
      </c>
      <c r="Z199" s="6">
        <v>632</v>
      </c>
      <c r="AN199" s="17">
        <v>193</v>
      </c>
      <c r="AO199" s="6">
        <v>2.7801200000000001</v>
      </c>
      <c r="AP199" s="19">
        <v>-3.2578</v>
      </c>
      <c r="AQ199" s="6">
        <v>2.6783999999999999</v>
      </c>
      <c r="AR199" s="6">
        <v>344</v>
      </c>
      <c r="AT199" s="17">
        <v>193</v>
      </c>
      <c r="AU199" s="6">
        <v>5.2679799999999997</v>
      </c>
      <c r="AV199" s="19">
        <v>-3.2578</v>
      </c>
      <c r="AW199" s="6">
        <v>2.6783999999999999</v>
      </c>
      <c r="AX199" s="6">
        <v>344</v>
      </c>
    </row>
    <row r="200" spans="22:50" x14ac:dyDescent="0.25">
      <c r="V200" s="17">
        <v>194</v>
      </c>
      <c r="W200" s="6">
        <v>1.2890299999999999</v>
      </c>
      <c r="X200" s="6">
        <v>2.5739000000000001</v>
      </c>
      <c r="Y200" s="6">
        <v>1.2426999999999999</v>
      </c>
      <c r="Z200" s="6">
        <v>654</v>
      </c>
      <c r="AN200" s="17">
        <v>194</v>
      </c>
      <c r="AO200" s="6">
        <v>2.7848199999999999</v>
      </c>
      <c r="AP200" s="6">
        <v>2.0840000000000001</v>
      </c>
      <c r="AQ200" s="6">
        <v>2.6829000000000001</v>
      </c>
      <c r="AR200" s="6">
        <v>347</v>
      </c>
      <c r="AT200" s="17">
        <v>194</v>
      </c>
      <c r="AU200" s="6">
        <v>5.2768100000000002</v>
      </c>
      <c r="AV200" s="6">
        <v>2.0840000000000001</v>
      </c>
      <c r="AW200" s="6">
        <v>2.6829000000000001</v>
      </c>
      <c r="AX200" s="6">
        <v>347</v>
      </c>
    </row>
    <row r="201" spans="22:50" x14ac:dyDescent="0.25">
      <c r="V201" s="17">
        <v>195</v>
      </c>
      <c r="W201" s="6">
        <v>1.28077</v>
      </c>
      <c r="X201" s="19">
        <v>-2.6890999999999998</v>
      </c>
      <c r="Y201" s="6">
        <v>1.2346999999999999</v>
      </c>
      <c r="Z201" s="6">
        <v>635</v>
      </c>
      <c r="AN201" s="17">
        <v>195</v>
      </c>
      <c r="AO201" s="6">
        <v>2.7804500000000001</v>
      </c>
      <c r="AP201" s="19">
        <v>-3.1520000000000001</v>
      </c>
      <c r="AQ201" s="6">
        <v>2.6787000000000001</v>
      </c>
      <c r="AR201" s="6">
        <v>345</v>
      </c>
      <c r="AT201" s="17">
        <v>195</v>
      </c>
      <c r="AU201" s="6">
        <v>5.2686000000000002</v>
      </c>
      <c r="AV201" s="19">
        <v>-3.1520000000000001</v>
      </c>
      <c r="AW201" s="6">
        <v>2.6787000000000001</v>
      </c>
      <c r="AX201" s="6">
        <v>345</v>
      </c>
    </row>
    <row r="202" spans="22:50" x14ac:dyDescent="0.25">
      <c r="V202" s="17">
        <v>196</v>
      </c>
      <c r="W202" s="6">
        <v>1.28853</v>
      </c>
      <c r="X202" s="19">
        <v>-2.3996</v>
      </c>
      <c r="Y202" s="6">
        <v>1.2422</v>
      </c>
      <c r="Z202" s="6">
        <v>649</v>
      </c>
      <c r="AN202" s="17">
        <v>196</v>
      </c>
      <c r="AO202" s="6">
        <v>2.78376</v>
      </c>
      <c r="AP202" s="19">
        <v>-2.8365999999999998</v>
      </c>
      <c r="AQ202" s="6">
        <v>2.6819000000000002</v>
      </c>
      <c r="AR202" s="6">
        <v>346</v>
      </c>
      <c r="AT202" s="17">
        <v>196</v>
      </c>
      <c r="AU202" s="6">
        <v>5.2748200000000001</v>
      </c>
      <c r="AV202" s="19">
        <v>-2.8365999999999998</v>
      </c>
      <c r="AW202" s="6">
        <v>2.6819000000000002</v>
      </c>
      <c r="AX202" s="6">
        <v>346</v>
      </c>
    </row>
    <row r="203" spans="22:50" x14ac:dyDescent="0.25">
      <c r="V203" s="17">
        <v>197</v>
      </c>
      <c r="W203" s="6">
        <v>1.2910600000000001</v>
      </c>
      <c r="X203" s="6">
        <v>12.2727</v>
      </c>
      <c r="Y203" s="6">
        <v>1.2446999999999999</v>
      </c>
      <c r="Z203" s="6">
        <v>649</v>
      </c>
      <c r="AN203" s="17">
        <v>197</v>
      </c>
      <c r="AO203" s="6">
        <v>2.78606</v>
      </c>
      <c r="AP203" s="6">
        <v>12.1701</v>
      </c>
      <c r="AQ203" s="6">
        <v>2.6840999999999999</v>
      </c>
      <c r="AR203" s="6">
        <v>348</v>
      </c>
      <c r="AT203" s="17">
        <v>197</v>
      </c>
      <c r="AU203" s="6">
        <v>5.2791300000000003</v>
      </c>
      <c r="AV203" s="6">
        <v>12.1701</v>
      </c>
      <c r="AW203" s="6">
        <v>2.6840999999999999</v>
      </c>
      <c r="AX203" s="6">
        <v>348</v>
      </c>
    </row>
    <row r="204" spans="22:50" x14ac:dyDescent="0.25">
      <c r="V204" s="17">
        <v>198</v>
      </c>
      <c r="W204" s="6">
        <v>1.2816700000000001</v>
      </c>
      <c r="X204" s="19">
        <v>-5.4085999999999999</v>
      </c>
      <c r="Y204" s="6">
        <v>1.2356</v>
      </c>
      <c r="Z204" s="6">
        <v>626</v>
      </c>
      <c r="AN204" s="17">
        <v>198</v>
      </c>
      <c r="AO204" s="6">
        <v>2.7811499999999998</v>
      </c>
      <c r="AP204" s="19">
        <v>-5.5521000000000003</v>
      </c>
      <c r="AQ204" s="6">
        <v>2.6793999999999998</v>
      </c>
      <c r="AR204" s="6">
        <v>345</v>
      </c>
      <c r="AT204" s="17">
        <v>198</v>
      </c>
      <c r="AU204" s="6">
        <v>5.2698999999999998</v>
      </c>
      <c r="AV204" s="19">
        <v>-5.5521000000000003</v>
      </c>
      <c r="AW204" s="6">
        <v>2.6793999999999998</v>
      </c>
      <c r="AX204" s="6">
        <v>345</v>
      </c>
    </row>
    <row r="205" spans="22:50" x14ac:dyDescent="0.25">
      <c r="V205" s="17">
        <v>199</v>
      </c>
      <c r="W205" s="6">
        <v>1.26667</v>
      </c>
      <c r="X205" s="19">
        <v>-1.4751000000000001</v>
      </c>
      <c r="Y205" s="6">
        <v>1.2211000000000001</v>
      </c>
      <c r="Z205" s="6">
        <v>630</v>
      </c>
      <c r="AN205" s="17">
        <v>199</v>
      </c>
      <c r="AO205" s="6">
        <v>2.7750699999999999</v>
      </c>
      <c r="AP205" s="19">
        <v>-1.7263999999999999</v>
      </c>
      <c r="AQ205" s="6">
        <v>2.6735000000000002</v>
      </c>
      <c r="AR205" s="6">
        <v>343</v>
      </c>
      <c r="AT205" s="17">
        <v>199</v>
      </c>
      <c r="AU205" s="6">
        <v>5.2584799999999996</v>
      </c>
      <c r="AV205" s="19">
        <v>-1.7263999999999999</v>
      </c>
      <c r="AW205" s="6">
        <v>2.6735000000000002</v>
      </c>
      <c r="AX205" s="6">
        <v>343</v>
      </c>
    </row>
    <row r="206" spans="22:50" x14ac:dyDescent="0.25">
      <c r="V206" s="17">
        <v>200</v>
      </c>
      <c r="W206" s="6">
        <v>1.29396</v>
      </c>
      <c r="X206" s="19">
        <v>-1.6967000000000001</v>
      </c>
      <c r="Y206" s="6">
        <v>1.2475000000000001</v>
      </c>
      <c r="Z206" s="6">
        <v>656</v>
      </c>
      <c r="AN206" s="17">
        <v>200</v>
      </c>
      <c r="AO206" s="6">
        <v>2.78695</v>
      </c>
      <c r="AP206" s="19">
        <v>-1.9257</v>
      </c>
      <c r="AQ206" s="6">
        <v>2.6850000000000001</v>
      </c>
      <c r="AR206" s="6">
        <v>348</v>
      </c>
      <c r="AT206" s="17">
        <v>200</v>
      </c>
      <c r="AU206" s="6">
        <v>5.2808200000000003</v>
      </c>
      <c r="AV206" s="19">
        <v>-1.9257</v>
      </c>
      <c r="AW206" s="6">
        <v>2.6850000000000001</v>
      </c>
      <c r="AX206" s="6">
        <v>348</v>
      </c>
    </row>
    <row r="207" spans="22:50" x14ac:dyDescent="0.25">
      <c r="V207" s="17">
        <v>201</v>
      </c>
      <c r="W207" s="6">
        <v>1.2786299999999999</v>
      </c>
      <c r="X207" s="19">
        <v>-6.4161000000000001</v>
      </c>
      <c r="Y207" s="6">
        <v>1.2326999999999999</v>
      </c>
      <c r="Z207" s="6">
        <v>628</v>
      </c>
      <c r="AN207" s="17">
        <v>201</v>
      </c>
      <c r="AO207" s="6">
        <v>2.7801999999999998</v>
      </c>
      <c r="AP207" s="19">
        <v>-6.5777000000000001</v>
      </c>
      <c r="AQ207" s="6">
        <v>2.6783999999999999</v>
      </c>
      <c r="AR207" s="6">
        <v>345</v>
      </c>
      <c r="AT207" s="17">
        <v>201</v>
      </c>
      <c r="AU207" s="6">
        <v>5.2681199999999997</v>
      </c>
      <c r="AV207" s="19">
        <v>-6.5777000000000001</v>
      </c>
      <c r="AW207" s="6">
        <v>2.6783999999999999</v>
      </c>
      <c r="AX207" s="6">
        <v>345</v>
      </c>
    </row>
    <row r="208" spans="22:50" x14ac:dyDescent="0.25">
      <c r="V208" s="17">
        <v>202</v>
      </c>
      <c r="W208" s="6">
        <v>1.2653700000000001</v>
      </c>
      <c r="X208" s="19">
        <v>-5.4455999999999998</v>
      </c>
      <c r="Y208" s="6">
        <v>1.2199</v>
      </c>
      <c r="Z208" s="6">
        <v>615</v>
      </c>
      <c r="AN208" s="17">
        <v>202</v>
      </c>
      <c r="AO208" s="6">
        <v>2.7732299999999999</v>
      </c>
      <c r="AP208" s="19">
        <v>-5.4984999999999999</v>
      </c>
      <c r="AQ208" s="6">
        <v>2.6717</v>
      </c>
      <c r="AR208" s="6">
        <v>341</v>
      </c>
      <c r="AT208" s="17">
        <v>202</v>
      </c>
      <c r="AU208" s="6">
        <v>5.25502</v>
      </c>
      <c r="AV208" s="19">
        <v>-5.4984999999999999</v>
      </c>
      <c r="AW208" s="6">
        <v>2.6717</v>
      </c>
      <c r="AX208" s="6">
        <v>341</v>
      </c>
    </row>
    <row r="209" spans="22:50" x14ac:dyDescent="0.25">
      <c r="V209" s="17">
        <v>203</v>
      </c>
      <c r="W209" s="6">
        <v>1.2597100000000001</v>
      </c>
      <c r="X209" s="19">
        <v>-5.3460000000000001</v>
      </c>
      <c r="Y209" s="6">
        <v>1.2143999999999999</v>
      </c>
      <c r="Z209" s="6">
        <v>623</v>
      </c>
      <c r="AN209" s="17">
        <v>203</v>
      </c>
      <c r="AO209" s="6">
        <v>2.7713299999999998</v>
      </c>
      <c r="AP209" s="19">
        <v>-5.5438999999999998</v>
      </c>
      <c r="AQ209" s="6">
        <v>2.6698</v>
      </c>
      <c r="AR209" s="6">
        <v>341</v>
      </c>
      <c r="AT209" s="17">
        <v>203</v>
      </c>
      <c r="AU209" s="6">
        <v>5.2514500000000002</v>
      </c>
      <c r="AV209" s="19">
        <v>-5.5438999999999998</v>
      </c>
      <c r="AW209" s="6">
        <v>2.6698</v>
      </c>
      <c r="AX209" s="6">
        <v>341</v>
      </c>
    </row>
    <row r="210" spans="22:50" x14ac:dyDescent="0.25">
      <c r="V210" s="17">
        <v>204</v>
      </c>
      <c r="W210" s="6">
        <v>1.31443</v>
      </c>
      <c r="X210" s="19">
        <v>-6.8159999999999998</v>
      </c>
      <c r="Y210" s="6">
        <v>1.2672000000000001</v>
      </c>
      <c r="Z210" s="6">
        <v>663</v>
      </c>
      <c r="AN210" s="17">
        <v>204</v>
      </c>
      <c r="AO210" s="6">
        <v>2.7954599999999998</v>
      </c>
      <c r="AP210" s="19">
        <v>-7.0804999999999998</v>
      </c>
      <c r="AQ210" s="6">
        <v>2.6932</v>
      </c>
      <c r="AR210" s="6">
        <v>352</v>
      </c>
      <c r="AT210" s="17">
        <v>204</v>
      </c>
      <c r="AU210" s="6">
        <v>5.2968200000000003</v>
      </c>
      <c r="AV210" s="19">
        <v>-7.0804999999999998</v>
      </c>
      <c r="AW210" s="6">
        <v>2.6932</v>
      </c>
      <c r="AX210" s="6">
        <v>352</v>
      </c>
    </row>
    <row r="211" spans="22:50" x14ac:dyDescent="0.25">
      <c r="V211" s="17">
        <v>205</v>
      </c>
      <c r="W211" s="6">
        <v>1.2583500000000001</v>
      </c>
      <c r="X211" s="19">
        <v>-8.8041</v>
      </c>
      <c r="Y211" s="6">
        <v>1.2131000000000001</v>
      </c>
      <c r="Z211" s="6">
        <v>627</v>
      </c>
      <c r="AN211" s="17">
        <v>205</v>
      </c>
      <c r="AO211" s="6">
        <v>2.7719</v>
      </c>
      <c r="AP211" s="19">
        <v>-9.1463000000000001</v>
      </c>
      <c r="AQ211" s="6">
        <v>2.6703999999999999</v>
      </c>
      <c r="AR211" s="6">
        <v>341</v>
      </c>
      <c r="AT211" s="17">
        <v>205</v>
      </c>
      <c r="AU211" s="6">
        <v>5.2525000000000004</v>
      </c>
      <c r="AV211" s="19">
        <v>-9.1463000000000001</v>
      </c>
      <c r="AW211" s="6">
        <v>2.6703999999999999</v>
      </c>
      <c r="AX211" s="6">
        <v>341</v>
      </c>
    </row>
    <row r="212" spans="22:50" x14ac:dyDescent="0.25">
      <c r="V212" s="17">
        <v>206</v>
      </c>
      <c r="W212" s="6">
        <v>1.2758799999999999</v>
      </c>
      <c r="X212" s="19">
        <v>-5.6043000000000003</v>
      </c>
      <c r="Y212" s="6">
        <v>1.23</v>
      </c>
      <c r="Z212" s="6">
        <v>634</v>
      </c>
      <c r="AN212" s="17">
        <v>206</v>
      </c>
      <c r="AO212" s="6">
        <v>2.7785700000000002</v>
      </c>
      <c r="AP212" s="19">
        <v>-5.9401999999999999</v>
      </c>
      <c r="AQ212" s="6">
        <v>2.6768999999999998</v>
      </c>
      <c r="AR212" s="6">
        <v>344</v>
      </c>
      <c r="AT212" s="17">
        <v>206</v>
      </c>
      <c r="AU212" s="6">
        <v>5.2650600000000001</v>
      </c>
      <c r="AV212" s="19">
        <v>-5.9401999999999999</v>
      </c>
      <c r="AW212" s="6">
        <v>2.6768999999999998</v>
      </c>
      <c r="AX212" s="6">
        <v>344</v>
      </c>
    </row>
    <row r="213" spans="22:50" x14ac:dyDescent="0.25">
      <c r="V213" s="17">
        <v>207</v>
      </c>
      <c r="W213" s="6">
        <v>1.26627</v>
      </c>
      <c r="X213" s="19">
        <v>-1.5705</v>
      </c>
      <c r="Y213" s="6">
        <v>1.2208000000000001</v>
      </c>
      <c r="Z213" s="6">
        <v>639</v>
      </c>
      <c r="AN213" s="17">
        <v>207</v>
      </c>
      <c r="AO213" s="6">
        <v>2.7752599999999998</v>
      </c>
      <c r="AP213" s="19">
        <v>-1.7961</v>
      </c>
      <c r="AQ213" s="6">
        <v>2.6737000000000002</v>
      </c>
      <c r="AR213" s="6">
        <v>343</v>
      </c>
      <c r="AT213" s="17">
        <v>207</v>
      </c>
      <c r="AU213" s="6">
        <v>5.2588200000000001</v>
      </c>
      <c r="AV213" s="19">
        <v>-1.7961</v>
      </c>
      <c r="AW213" s="6">
        <v>2.6737000000000002</v>
      </c>
      <c r="AX213" s="6">
        <v>343</v>
      </c>
    </row>
    <row r="214" spans="22:50" x14ac:dyDescent="0.25">
      <c r="V214" s="17">
        <v>208</v>
      </c>
      <c r="W214" s="6">
        <v>1.2900100000000001</v>
      </c>
      <c r="X214" s="19">
        <v>-3.6568999999999998</v>
      </c>
      <c r="Y214" s="6">
        <v>1.2436</v>
      </c>
      <c r="Z214" s="6">
        <v>623</v>
      </c>
      <c r="AN214" s="17">
        <v>208</v>
      </c>
      <c r="AO214" s="6">
        <v>2.7838099999999999</v>
      </c>
      <c r="AP214" s="19">
        <v>-3.8974000000000002</v>
      </c>
      <c r="AQ214" s="6">
        <v>2.6819000000000002</v>
      </c>
      <c r="AR214" s="6">
        <v>346</v>
      </c>
      <c r="AT214" s="17">
        <v>208</v>
      </c>
      <c r="AU214" s="6">
        <v>5.2749199999999998</v>
      </c>
      <c r="AV214" s="19">
        <v>-3.8974000000000002</v>
      </c>
      <c r="AW214" s="6">
        <v>2.6819000000000002</v>
      </c>
      <c r="AX214" s="6">
        <v>346</v>
      </c>
    </row>
    <row r="215" spans="22:50" x14ac:dyDescent="0.25">
      <c r="V215" s="17">
        <v>209</v>
      </c>
      <c r="W215" s="6">
        <v>1.28024</v>
      </c>
      <c r="X215" s="19">
        <v>-5.0236000000000001</v>
      </c>
      <c r="Y215" s="6">
        <v>1.2342</v>
      </c>
      <c r="Z215" s="6">
        <v>625</v>
      </c>
      <c r="AN215" s="17">
        <v>209</v>
      </c>
      <c r="AO215" s="6">
        <v>2.7805399999999998</v>
      </c>
      <c r="AP215" s="19">
        <v>-5.2514000000000003</v>
      </c>
      <c r="AQ215" s="6">
        <v>2.6787999999999998</v>
      </c>
      <c r="AR215" s="6">
        <v>345</v>
      </c>
      <c r="AT215" s="17">
        <v>209</v>
      </c>
      <c r="AU215" s="6">
        <v>5.2687600000000003</v>
      </c>
      <c r="AV215" s="19">
        <v>-5.2514000000000003</v>
      </c>
      <c r="AW215" s="6">
        <v>2.6787999999999998</v>
      </c>
      <c r="AX215" s="6">
        <v>345</v>
      </c>
    </row>
    <row r="216" spans="22:50" x14ac:dyDescent="0.25">
      <c r="V216" s="17">
        <v>210</v>
      </c>
      <c r="W216" s="6">
        <v>1.2583800000000001</v>
      </c>
      <c r="X216" s="19">
        <v>-4.0178000000000003</v>
      </c>
      <c r="Y216" s="6">
        <v>1.2131000000000001</v>
      </c>
      <c r="Z216" s="6">
        <v>628</v>
      </c>
      <c r="AN216" s="17">
        <v>210</v>
      </c>
      <c r="AO216" s="6">
        <v>2.7717800000000001</v>
      </c>
      <c r="AP216" s="19">
        <v>-4.2267000000000001</v>
      </c>
      <c r="AQ216" s="6">
        <v>2.6703000000000001</v>
      </c>
      <c r="AR216" s="6">
        <v>341</v>
      </c>
      <c r="AT216" s="17">
        <v>210</v>
      </c>
      <c r="AU216" s="6">
        <v>5.2522799999999998</v>
      </c>
      <c r="AV216" s="19">
        <v>-4.2267000000000001</v>
      </c>
      <c r="AW216" s="6">
        <v>2.6703000000000001</v>
      </c>
      <c r="AX216" s="6">
        <v>341</v>
      </c>
    </row>
    <row r="217" spans="22:50" x14ac:dyDescent="0.25">
      <c r="V217" s="17">
        <v>211</v>
      </c>
      <c r="W217" s="6">
        <v>1.2720100000000001</v>
      </c>
      <c r="X217" s="19">
        <v>-3.6380000000000003E-2</v>
      </c>
      <c r="Y217" s="6">
        <v>1.2262999999999999</v>
      </c>
      <c r="Z217" s="6">
        <v>627</v>
      </c>
      <c r="AN217" s="17">
        <v>211</v>
      </c>
      <c r="AO217" s="6">
        <v>2.77738</v>
      </c>
      <c r="AP217" s="19">
        <v>-0.36620000000000003</v>
      </c>
      <c r="AQ217" s="6">
        <v>2.6757</v>
      </c>
      <c r="AR217" s="6">
        <v>344</v>
      </c>
      <c r="AT217" s="17">
        <v>211</v>
      </c>
      <c r="AU217" s="6">
        <v>5.2628000000000004</v>
      </c>
      <c r="AV217" s="19">
        <v>-0.36620000000000003</v>
      </c>
      <c r="AW217" s="6">
        <v>2.6757</v>
      </c>
      <c r="AX217" s="6">
        <v>344</v>
      </c>
    </row>
    <row r="218" spans="22:50" x14ac:dyDescent="0.25">
      <c r="V218" s="17">
        <v>212</v>
      </c>
      <c r="W218" s="6">
        <v>1.31033</v>
      </c>
      <c r="X218" s="19">
        <v>-6.4046000000000003</v>
      </c>
      <c r="Y218" s="6">
        <v>1.2632000000000001</v>
      </c>
      <c r="Z218" s="6">
        <v>641</v>
      </c>
      <c r="AN218" s="17">
        <v>212</v>
      </c>
      <c r="AO218" s="6">
        <v>2.79305</v>
      </c>
      <c r="AP218" s="19">
        <v>-6.6041999999999996</v>
      </c>
      <c r="AQ218" s="6">
        <v>2.6909000000000001</v>
      </c>
      <c r="AR218" s="6">
        <v>350</v>
      </c>
      <c r="AT218" s="17">
        <v>212</v>
      </c>
      <c r="AU218" s="6">
        <v>5.2922900000000004</v>
      </c>
      <c r="AV218" s="19">
        <v>-6.6041999999999996</v>
      </c>
      <c r="AW218" s="6">
        <v>2.6909000000000001</v>
      </c>
      <c r="AX218" s="6">
        <v>350</v>
      </c>
    </row>
    <row r="219" spans="22:50" x14ac:dyDescent="0.25">
      <c r="V219" s="17">
        <v>213</v>
      </c>
      <c r="W219" s="6">
        <v>1.2613099999999999</v>
      </c>
      <c r="X219" s="19">
        <v>-5.6703999999999999</v>
      </c>
      <c r="Y219" s="6">
        <v>1.216</v>
      </c>
      <c r="Z219" s="6">
        <v>623</v>
      </c>
      <c r="AN219" s="17">
        <v>213</v>
      </c>
      <c r="AO219" s="6">
        <v>2.7723</v>
      </c>
      <c r="AP219" s="19">
        <v>-6.0067000000000004</v>
      </c>
      <c r="AQ219" s="6">
        <v>2.6707999999999998</v>
      </c>
      <c r="AR219" s="6">
        <v>341</v>
      </c>
      <c r="AT219" s="17">
        <v>213</v>
      </c>
      <c r="AU219" s="6">
        <v>5.2532699999999997</v>
      </c>
      <c r="AV219" s="19">
        <v>-6.0067000000000004</v>
      </c>
      <c r="AW219" s="6">
        <v>2.6707999999999998</v>
      </c>
      <c r="AX219" s="6">
        <v>341</v>
      </c>
    </row>
    <row r="220" spans="22:50" x14ac:dyDescent="0.25">
      <c r="V220" s="17">
        <v>214</v>
      </c>
      <c r="W220" s="6">
        <v>1.24261</v>
      </c>
      <c r="X220" s="19">
        <v>-1.9278999999999999</v>
      </c>
      <c r="Y220" s="6">
        <v>1.1979</v>
      </c>
      <c r="Z220" s="6">
        <v>616</v>
      </c>
      <c r="AN220" s="17">
        <v>214</v>
      </c>
      <c r="AO220" s="6">
        <v>2.7654700000000001</v>
      </c>
      <c r="AP220" s="19">
        <v>-1.8028999999999999</v>
      </c>
      <c r="AQ220" s="6">
        <v>2.6642000000000001</v>
      </c>
      <c r="AR220" s="6">
        <v>339</v>
      </c>
      <c r="AT220" s="17">
        <v>214</v>
      </c>
      <c r="AU220" s="6">
        <v>5.2404000000000002</v>
      </c>
      <c r="AV220" s="19">
        <v>-1.8028999999999999</v>
      </c>
      <c r="AW220" s="6">
        <v>2.6642000000000001</v>
      </c>
      <c r="AX220" s="6">
        <v>339</v>
      </c>
    </row>
    <row r="221" spans="22:50" x14ac:dyDescent="0.25">
      <c r="V221" s="17">
        <v>215</v>
      </c>
      <c r="W221" s="6">
        <v>1.2694399999999999</v>
      </c>
      <c r="X221" s="19">
        <v>-0.7208</v>
      </c>
      <c r="Y221" s="6">
        <v>1.2238</v>
      </c>
      <c r="Z221" s="6">
        <v>628</v>
      </c>
      <c r="AN221" s="17">
        <v>215</v>
      </c>
      <c r="AO221" s="6">
        <v>2.77658</v>
      </c>
      <c r="AP221" s="19">
        <v>-0.68969999999999998</v>
      </c>
      <c r="AQ221" s="6">
        <v>2.6749000000000001</v>
      </c>
      <c r="AR221" s="6">
        <v>344</v>
      </c>
      <c r="AT221" s="17">
        <v>215</v>
      </c>
      <c r="AU221" s="6">
        <v>5.2613099999999999</v>
      </c>
      <c r="AV221" s="19">
        <v>-0.68969999999999998</v>
      </c>
      <c r="AW221" s="6">
        <v>2.6749000000000001</v>
      </c>
      <c r="AX221" s="6">
        <v>344</v>
      </c>
    </row>
    <row r="222" spans="22:50" x14ac:dyDescent="0.25">
      <c r="V222" s="17">
        <v>216</v>
      </c>
      <c r="W222" s="6">
        <v>1.27505</v>
      </c>
      <c r="X222" s="19">
        <v>-0.3422</v>
      </c>
      <c r="Y222" s="6">
        <v>1.2292000000000001</v>
      </c>
      <c r="Z222" s="6">
        <v>626</v>
      </c>
      <c r="AN222" s="17">
        <v>216</v>
      </c>
      <c r="AO222" s="6">
        <v>2.7786</v>
      </c>
      <c r="AP222" s="19">
        <v>-0.32200000000000001</v>
      </c>
      <c r="AQ222" s="6">
        <v>2.6768999999999998</v>
      </c>
      <c r="AR222" s="6">
        <v>344</v>
      </c>
      <c r="AT222" s="17">
        <v>216</v>
      </c>
      <c r="AU222" s="6">
        <v>5.2651000000000003</v>
      </c>
      <c r="AV222" s="19">
        <v>-0.32200000000000001</v>
      </c>
      <c r="AW222" s="6">
        <v>2.6768999999999998</v>
      </c>
      <c r="AX222" s="6">
        <v>344</v>
      </c>
    </row>
    <row r="223" spans="22:50" x14ac:dyDescent="0.25">
      <c r="V223" s="17">
        <v>217</v>
      </c>
      <c r="W223" s="6">
        <v>1.2707900000000001</v>
      </c>
      <c r="X223" s="19">
        <v>-2.6657000000000002</v>
      </c>
      <c r="Y223" s="6">
        <v>1.2251000000000001</v>
      </c>
      <c r="Z223" s="6">
        <v>626</v>
      </c>
      <c r="AN223" s="17">
        <v>217</v>
      </c>
      <c r="AO223" s="6">
        <v>2.7770299999999999</v>
      </c>
      <c r="AP223" s="19">
        <v>-2.7827999999999999</v>
      </c>
      <c r="AQ223" s="6">
        <v>2.6753999999999998</v>
      </c>
      <c r="AR223" s="6">
        <v>344</v>
      </c>
      <c r="AT223" s="17">
        <v>217</v>
      </c>
      <c r="AU223" s="6">
        <v>5.2621399999999996</v>
      </c>
      <c r="AV223" s="19">
        <v>-2.7827999999999999</v>
      </c>
      <c r="AW223" s="6">
        <v>2.6753999999999998</v>
      </c>
      <c r="AX223" s="6">
        <v>344</v>
      </c>
    </row>
    <row r="224" spans="22:50" x14ac:dyDescent="0.25">
      <c r="V224" s="17">
        <v>218</v>
      </c>
      <c r="W224" s="6">
        <v>1.2717099999999999</v>
      </c>
      <c r="X224" s="6">
        <v>3.9674999999999998</v>
      </c>
      <c r="Y224" s="6">
        <v>1.226</v>
      </c>
      <c r="Z224" s="6">
        <v>633</v>
      </c>
      <c r="AN224" s="17">
        <v>218</v>
      </c>
      <c r="AO224" s="6">
        <v>2.7777699999999999</v>
      </c>
      <c r="AP224" s="6">
        <v>4.22</v>
      </c>
      <c r="AQ224" s="6">
        <v>2.6760999999999999</v>
      </c>
      <c r="AR224" s="6">
        <v>344</v>
      </c>
      <c r="AT224" s="17">
        <v>218</v>
      </c>
      <c r="AU224" s="6">
        <v>5.2635399999999999</v>
      </c>
      <c r="AV224" s="6">
        <v>4.22</v>
      </c>
      <c r="AW224" s="6">
        <v>2.6760999999999999</v>
      </c>
      <c r="AX224" s="6">
        <v>344</v>
      </c>
    </row>
    <row r="225" spans="22:50" x14ac:dyDescent="0.25">
      <c r="V225" s="17">
        <v>219</v>
      </c>
      <c r="W225" s="6">
        <v>1.2511399999999999</v>
      </c>
      <c r="X225" s="6">
        <v>0.52239999999999998</v>
      </c>
      <c r="Y225" s="6">
        <v>1.2060999999999999</v>
      </c>
      <c r="Z225" s="6">
        <v>608</v>
      </c>
      <c r="AN225" s="17">
        <v>219</v>
      </c>
      <c r="AO225" s="6">
        <v>2.7691300000000001</v>
      </c>
      <c r="AP225" s="6">
        <v>0.6613</v>
      </c>
      <c r="AQ225" s="6">
        <v>2.6677</v>
      </c>
      <c r="AR225" s="6">
        <v>340</v>
      </c>
      <c r="AT225" s="17">
        <v>219</v>
      </c>
      <c r="AU225" s="6">
        <v>5.2472799999999999</v>
      </c>
      <c r="AV225" s="6">
        <v>0.6613</v>
      </c>
      <c r="AW225" s="6">
        <v>2.6677</v>
      </c>
      <c r="AX225" s="6">
        <v>340</v>
      </c>
    </row>
    <row r="226" spans="22:50" x14ac:dyDescent="0.25">
      <c r="V226" s="17">
        <v>220</v>
      </c>
      <c r="W226" s="6">
        <v>1.2725</v>
      </c>
      <c r="X226" s="6">
        <v>1.8288</v>
      </c>
      <c r="Y226" s="6">
        <v>1.2266999999999999</v>
      </c>
      <c r="Z226" s="6">
        <v>623</v>
      </c>
      <c r="AN226" s="17">
        <v>220</v>
      </c>
      <c r="AO226" s="6">
        <v>2.7773300000000001</v>
      </c>
      <c r="AP226" s="6">
        <v>1.8815</v>
      </c>
      <c r="AQ226" s="6">
        <v>2.6757</v>
      </c>
      <c r="AR226" s="6">
        <v>344</v>
      </c>
      <c r="AT226" s="17">
        <v>220</v>
      </c>
      <c r="AU226" s="6">
        <v>5.2627300000000004</v>
      </c>
      <c r="AV226" s="6">
        <v>1.8815</v>
      </c>
      <c r="AW226" s="6">
        <v>2.6757</v>
      </c>
      <c r="AX226" s="6">
        <v>344</v>
      </c>
    </row>
    <row r="227" spans="22:50" x14ac:dyDescent="0.25">
      <c r="V227" s="17">
        <v>221</v>
      </c>
      <c r="W227" s="6">
        <v>1.2651699999999999</v>
      </c>
      <c r="X227" s="19">
        <v>-0.58069999999999999</v>
      </c>
      <c r="Y227" s="6">
        <v>1.2197</v>
      </c>
      <c r="Z227" s="6">
        <v>616</v>
      </c>
      <c r="AN227" s="17">
        <v>221</v>
      </c>
      <c r="AO227" s="6">
        <v>2.7742300000000002</v>
      </c>
      <c r="AP227" s="19">
        <v>-0.51580000000000004</v>
      </c>
      <c r="AQ227" s="6">
        <v>2.6726999999999999</v>
      </c>
      <c r="AR227" s="6">
        <v>343</v>
      </c>
      <c r="AT227" s="17">
        <v>221</v>
      </c>
      <c r="AU227" s="6">
        <v>5.2568900000000003</v>
      </c>
      <c r="AV227" s="19">
        <v>-0.51580000000000004</v>
      </c>
      <c r="AW227" s="6">
        <v>2.6726999999999999</v>
      </c>
      <c r="AX227" s="6">
        <v>343</v>
      </c>
    </row>
    <row r="228" spans="22:50" x14ac:dyDescent="0.25">
      <c r="V228" s="17">
        <v>222</v>
      </c>
      <c r="W228" s="6">
        <v>1.2792600000000001</v>
      </c>
      <c r="X228" s="6">
        <v>0.69130000000000003</v>
      </c>
      <c r="Y228" s="6">
        <v>1.2332000000000001</v>
      </c>
      <c r="Z228" s="6">
        <v>612</v>
      </c>
      <c r="AN228" s="17">
        <v>222</v>
      </c>
      <c r="AO228" s="6">
        <v>2.7783500000000001</v>
      </c>
      <c r="AP228" s="6">
        <v>0.76980000000000004</v>
      </c>
      <c r="AQ228" s="6">
        <v>2.6766000000000001</v>
      </c>
      <c r="AR228" s="6">
        <v>344</v>
      </c>
      <c r="AT228" s="17">
        <v>222</v>
      </c>
      <c r="AU228" s="6">
        <v>5.2646699999999997</v>
      </c>
      <c r="AV228" s="6">
        <v>0.76980000000000004</v>
      </c>
      <c r="AW228" s="6">
        <v>2.6766000000000001</v>
      </c>
      <c r="AX228" s="6">
        <v>344</v>
      </c>
    </row>
    <row r="229" spans="22:50" x14ac:dyDescent="0.25">
      <c r="V229" s="17">
        <v>223</v>
      </c>
      <c r="W229" s="6">
        <v>1.26993</v>
      </c>
      <c r="X229" s="19">
        <v>-8.9733999999999998</v>
      </c>
      <c r="Y229" s="6">
        <v>1.2242999999999999</v>
      </c>
      <c r="Z229" s="6">
        <v>614</v>
      </c>
      <c r="AN229" s="17">
        <v>223</v>
      </c>
      <c r="AO229" s="6">
        <v>2.7761100000000001</v>
      </c>
      <c r="AP229" s="19">
        <v>-8.8615999999999993</v>
      </c>
      <c r="AQ229" s="6">
        <v>2.6745000000000001</v>
      </c>
      <c r="AR229" s="6">
        <v>343</v>
      </c>
      <c r="AT229" s="17">
        <v>223</v>
      </c>
      <c r="AU229" s="6">
        <v>5.26044</v>
      </c>
      <c r="AV229" s="19">
        <v>-8.8615999999999993</v>
      </c>
      <c r="AW229" s="6">
        <v>2.6745000000000001</v>
      </c>
      <c r="AX229" s="6">
        <v>343</v>
      </c>
    </row>
    <row r="230" spans="22:50" x14ac:dyDescent="0.25">
      <c r="V230" s="17">
        <v>224</v>
      </c>
      <c r="W230" s="6">
        <v>1.2754399999999999</v>
      </c>
      <c r="X230" s="19">
        <v>-5.07</v>
      </c>
      <c r="Y230" s="6">
        <v>1.2296</v>
      </c>
      <c r="Z230" s="6">
        <v>641</v>
      </c>
      <c r="AN230" s="17">
        <v>224</v>
      </c>
      <c r="AO230" s="6">
        <v>2.7793000000000001</v>
      </c>
      <c r="AP230" s="19">
        <v>-5.0896999999999997</v>
      </c>
      <c r="AQ230" s="6">
        <v>2.6776</v>
      </c>
      <c r="AR230" s="6">
        <v>345</v>
      </c>
      <c r="AT230" s="17">
        <v>224</v>
      </c>
      <c r="AU230" s="6">
        <v>5.2664200000000001</v>
      </c>
      <c r="AV230" s="19">
        <v>-5.0896999999999997</v>
      </c>
      <c r="AW230" s="6">
        <v>2.6776</v>
      </c>
      <c r="AX230" s="6">
        <v>345</v>
      </c>
    </row>
    <row r="231" spans="22:50" x14ac:dyDescent="0.25">
      <c r="V231" s="17">
        <v>225</v>
      </c>
      <c r="W231" s="6">
        <v>1.2831399999999999</v>
      </c>
      <c r="X231" s="19">
        <v>-2.3473999999999999</v>
      </c>
      <c r="Y231" s="6">
        <v>1.2370000000000001</v>
      </c>
      <c r="Z231" s="6">
        <v>641</v>
      </c>
      <c r="AN231" s="17">
        <v>225</v>
      </c>
      <c r="AO231" s="6">
        <v>2.7821899999999999</v>
      </c>
      <c r="AP231" s="19">
        <v>-2.2572999999999999</v>
      </c>
      <c r="AQ231" s="6">
        <v>2.6804000000000001</v>
      </c>
      <c r="AR231" s="6">
        <v>346</v>
      </c>
      <c r="AT231" s="17">
        <v>225</v>
      </c>
      <c r="AU231" s="6">
        <v>5.2718499999999997</v>
      </c>
      <c r="AV231" s="19">
        <v>-2.2572999999999999</v>
      </c>
      <c r="AW231" s="6">
        <v>2.6804000000000001</v>
      </c>
      <c r="AX231" s="6">
        <v>346</v>
      </c>
    </row>
    <row r="232" spans="22:50" x14ac:dyDescent="0.25">
      <c r="V232" s="17">
        <v>226</v>
      </c>
      <c r="W232" s="6">
        <v>1.2684299999999999</v>
      </c>
      <c r="X232" s="6">
        <v>3.2887</v>
      </c>
      <c r="Y232" s="6">
        <v>1.2228000000000001</v>
      </c>
      <c r="Z232" s="6">
        <v>630</v>
      </c>
      <c r="AN232" s="17">
        <v>226</v>
      </c>
      <c r="AO232" s="6">
        <v>2.77434</v>
      </c>
      <c r="AP232" s="6">
        <v>3.0844999999999998</v>
      </c>
      <c r="AQ232" s="6">
        <v>2.6728000000000001</v>
      </c>
      <c r="AR232" s="6">
        <v>342</v>
      </c>
      <c r="AT232" s="17">
        <v>226</v>
      </c>
      <c r="AU232" s="6">
        <v>5.2571099999999999</v>
      </c>
      <c r="AV232" s="6">
        <v>3.0844999999999998</v>
      </c>
      <c r="AW232" s="6">
        <v>2.6728000000000001</v>
      </c>
      <c r="AX232" s="6">
        <v>342</v>
      </c>
    </row>
    <row r="233" spans="22:50" x14ac:dyDescent="0.25">
      <c r="V233" s="17">
        <v>227</v>
      </c>
      <c r="W233" s="6">
        <v>1.25962</v>
      </c>
      <c r="X233" s="19">
        <v>-1.9742999999999999</v>
      </c>
      <c r="Y233" s="6">
        <v>1.2142999999999999</v>
      </c>
      <c r="Z233" s="6">
        <v>603</v>
      </c>
      <c r="AN233" s="17">
        <v>227</v>
      </c>
      <c r="AO233" s="6">
        <v>2.7709700000000002</v>
      </c>
      <c r="AP233" s="19">
        <v>-2.1515</v>
      </c>
      <c r="AQ233" s="6">
        <v>2.6695000000000002</v>
      </c>
      <c r="AR233" s="6">
        <v>341</v>
      </c>
      <c r="AT233" s="17">
        <v>227</v>
      </c>
      <c r="AU233" s="6">
        <v>5.2507599999999996</v>
      </c>
      <c r="AV233" s="19">
        <v>-2.1515</v>
      </c>
      <c r="AW233" s="6">
        <v>2.6695000000000002</v>
      </c>
      <c r="AX233" s="6">
        <v>341</v>
      </c>
    </row>
    <row r="234" spans="22:50" x14ac:dyDescent="0.25">
      <c r="V234" s="17">
        <v>228</v>
      </c>
      <c r="W234" s="6">
        <v>1.2643200000000001</v>
      </c>
      <c r="X234" s="19">
        <v>-1.6848000000000001</v>
      </c>
      <c r="Y234" s="6">
        <v>1.2189000000000001</v>
      </c>
      <c r="Z234" s="6">
        <v>626</v>
      </c>
      <c r="AN234" s="17">
        <v>228</v>
      </c>
      <c r="AO234" s="6">
        <v>2.7741699999999998</v>
      </c>
      <c r="AP234" s="19">
        <v>-1.8361000000000001</v>
      </c>
      <c r="AQ234" s="6">
        <v>2.6726000000000001</v>
      </c>
      <c r="AR234" s="6">
        <v>342</v>
      </c>
      <c r="AT234" s="17">
        <v>228</v>
      </c>
      <c r="AU234" s="6">
        <v>5.2567700000000004</v>
      </c>
      <c r="AV234" s="19">
        <v>-1.8361000000000001</v>
      </c>
      <c r="AW234" s="6">
        <v>2.6726000000000001</v>
      </c>
      <c r="AX234" s="6">
        <v>342</v>
      </c>
    </row>
    <row r="235" spans="22:50" x14ac:dyDescent="0.25">
      <c r="V235" s="17">
        <v>229</v>
      </c>
      <c r="W235" s="6">
        <v>1.2623</v>
      </c>
      <c r="X235" s="6">
        <v>12.987500000000001</v>
      </c>
      <c r="Y235" s="6">
        <v>1.2169000000000001</v>
      </c>
      <c r="Z235" s="6">
        <v>635</v>
      </c>
      <c r="AN235" s="17">
        <v>229</v>
      </c>
      <c r="AO235" s="6">
        <v>2.77393</v>
      </c>
      <c r="AP235" s="6">
        <v>13.1707</v>
      </c>
      <c r="AQ235" s="6">
        <v>2.6724000000000001</v>
      </c>
      <c r="AR235" s="6">
        <v>343</v>
      </c>
      <c r="AT235" s="17">
        <v>229</v>
      </c>
      <c r="AU235" s="6">
        <v>5.25631</v>
      </c>
      <c r="AV235" s="6">
        <v>13.1707</v>
      </c>
      <c r="AW235" s="6">
        <v>2.6724000000000001</v>
      </c>
      <c r="AX235" s="6">
        <v>343</v>
      </c>
    </row>
    <row r="236" spans="22:50" x14ac:dyDescent="0.25">
      <c r="V236" s="17">
        <v>230</v>
      </c>
      <c r="W236" s="6">
        <v>1.26746</v>
      </c>
      <c r="X236" s="19">
        <v>-4.6938000000000004</v>
      </c>
      <c r="Y236" s="6">
        <v>1.2219</v>
      </c>
      <c r="Z236" s="6">
        <v>614</v>
      </c>
      <c r="AN236" s="17">
        <v>230</v>
      </c>
      <c r="AO236" s="6">
        <v>2.7754400000000001</v>
      </c>
      <c r="AP236" s="19">
        <v>-4.5515999999999996</v>
      </c>
      <c r="AQ236" s="6">
        <v>2.6738</v>
      </c>
      <c r="AR236" s="6">
        <v>343</v>
      </c>
      <c r="AT236" s="17">
        <v>230</v>
      </c>
      <c r="AU236" s="6">
        <v>5.2591700000000001</v>
      </c>
      <c r="AV236" s="19">
        <v>-4.5515999999999996</v>
      </c>
      <c r="AW236" s="6">
        <v>2.6738</v>
      </c>
      <c r="AX236" s="6">
        <v>343</v>
      </c>
    </row>
    <row r="237" spans="22:50" x14ac:dyDescent="0.25">
      <c r="V237" s="17">
        <v>231</v>
      </c>
      <c r="W237" s="6">
        <v>1.25681</v>
      </c>
      <c r="X237" s="19">
        <v>-0.76039999999999996</v>
      </c>
      <c r="Y237" s="6">
        <v>1.2116</v>
      </c>
      <c r="Z237" s="6">
        <v>624</v>
      </c>
      <c r="AN237" s="17">
        <v>231</v>
      </c>
      <c r="AO237" s="6">
        <v>2.7709100000000002</v>
      </c>
      <c r="AP237" s="19">
        <v>-0.72589999999999999</v>
      </c>
      <c r="AQ237" s="6">
        <v>2.6694</v>
      </c>
      <c r="AR237" s="6">
        <v>341</v>
      </c>
      <c r="AT237" s="17">
        <v>231</v>
      </c>
      <c r="AU237" s="6">
        <v>5.2506399999999998</v>
      </c>
      <c r="AV237" s="19">
        <v>-0.72589999999999999</v>
      </c>
      <c r="AW237" s="6">
        <v>2.6694</v>
      </c>
      <c r="AX237" s="6">
        <v>341</v>
      </c>
    </row>
    <row r="238" spans="22:50" x14ac:dyDescent="0.25">
      <c r="V238" s="17">
        <v>232</v>
      </c>
      <c r="W238" s="6">
        <v>1.2653399999999999</v>
      </c>
      <c r="X238" s="19">
        <v>-0.9819</v>
      </c>
      <c r="Y238" s="6">
        <v>1.2198</v>
      </c>
      <c r="Z238" s="6">
        <v>627</v>
      </c>
      <c r="AN238" s="17">
        <v>232</v>
      </c>
      <c r="AO238" s="6">
        <v>2.7745899999999999</v>
      </c>
      <c r="AP238" s="19">
        <v>-0.92520000000000002</v>
      </c>
      <c r="AQ238" s="6">
        <v>2.673</v>
      </c>
      <c r="AR238" s="6">
        <v>343</v>
      </c>
      <c r="AT238" s="17">
        <v>232</v>
      </c>
      <c r="AU238" s="6">
        <v>5.2575700000000003</v>
      </c>
      <c r="AV238" s="19">
        <v>-0.92520000000000002</v>
      </c>
      <c r="AW238" s="6">
        <v>2.673</v>
      </c>
      <c r="AX238" s="6">
        <v>343</v>
      </c>
    </row>
    <row r="239" spans="22:50" x14ac:dyDescent="0.25">
      <c r="V239" s="17">
        <v>233</v>
      </c>
      <c r="W239" s="6">
        <v>1.2901400000000001</v>
      </c>
      <c r="X239" s="19">
        <v>-5.7013999999999996</v>
      </c>
      <c r="Y239" s="6">
        <v>1.2438</v>
      </c>
      <c r="Z239" s="6">
        <v>632</v>
      </c>
      <c r="AN239" s="17">
        <v>233</v>
      </c>
      <c r="AO239" s="6">
        <v>2.78531</v>
      </c>
      <c r="AP239" s="19">
        <v>-5.5772000000000004</v>
      </c>
      <c r="AQ239" s="6">
        <v>2.6833999999999998</v>
      </c>
      <c r="AR239" s="6">
        <v>348</v>
      </c>
      <c r="AT239" s="17">
        <v>233</v>
      </c>
      <c r="AU239" s="6">
        <v>5.27773</v>
      </c>
      <c r="AV239" s="19">
        <v>-5.5772000000000004</v>
      </c>
      <c r="AW239" s="6">
        <v>2.6833999999999998</v>
      </c>
      <c r="AX239" s="6">
        <v>348</v>
      </c>
    </row>
    <row r="240" spans="22:50" x14ac:dyDescent="0.25">
      <c r="V240" s="17">
        <v>234</v>
      </c>
      <c r="W240" s="6">
        <v>1.2668699999999999</v>
      </c>
      <c r="X240" s="19">
        <v>-4.7308000000000003</v>
      </c>
      <c r="Y240" s="6">
        <v>1.2213000000000001</v>
      </c>
      <c r="Z240" s="6">
        <v>622</v>
      </c>
      <c r="AN240" s="17">
        <v>234</v>
      </c>
      <c r="AO240" s="6">
        <v>2.7747700000000002</v>
      </c>
      <c r="AP240" s="19">
        <v>-4.4980000000000002</v>
      </c>
      <c r="AQ240" s="6">
        <v>2.6732</v>
      </c>
      <c r="AR240" s="6">
        <v>343</v>
      </c>
      <c r="AT240" s="17">
        <v>234</v>
      </c>
      <c r="AU240" s="6">
        <v>5.2579000000000002</v>
      </c>
      <c r="AV240" s="19">
        <v>-4.4980000000000002</v>
      </c>
      <c r="AW240" s="6">
        <v>2.6732</v>
      </c>
      <c r="AX240" s="6">
        <v>343</v>
      </c>
    </row>
    <row r="241" spans="22:50" x14ac:dyDescent="0.25">
      <c r="V241" s="17">
        <v>235</v>
      </c>
      <c r="W241" s="6">
        <v>1.2682800000000001</v>
      </c>
      <c r="X241" s="19">
        <v>-4.6313000000000004</v>
      </c>
      <c r="Y241" s="6">
        <v>1.2226999999999999</v>
      </c>
      <c r="Z241" s="6">
        <v>626</v>
      </c>
      <c r="AN241" s="17">
        <v>235</v>
      </c>
      <c r="AO241" s="6">
        <v>2.7749600000000001</v>
      </c>
      <c r="AP241" s="19">
        <v>-4.5434000000000001</v>
      </c>
      <c r="AQ241" s="6">
        <v>2.6734</v>
      </c>
      <c r="AR241" s="6">
        <v>342</v>
      </c>
      <c r="AT241" s="17">
        <v>235</v>
      </c>
      <c r="AU241" s="6">
        <v>5.2582599999999999</v>
      </c>
      <c r="AV241" s="19">
        <v>-4.5434000000000001</v>
      </c>
      <c r="AW241" s="6">
        <v>2.6734</v>
      </c>
      <c r="AX241" s="6">
        <v>342</v>
      </c>
    </row>
    <row r="242" spans="22:50" x14ac:dyDescent="0.25">
      <c r="V242" s="17">
        <v>236</v>
      </c>
      <c r="W242" s="6">
        <v>1.28993</v>
      </c>
      <c r="X242" s="19">
        <v>-6.1012000000000004</v>
      </c>
      <c r="Y242" s="6">
        <v>1.2436</v>
      </c>
      <c r="Z242" s="6">
        <v>641</v>
      </c>
      <c r="AN242" s="17">
        <v>236</v>
      </c>
      <c r="AO242" s="6">
        <v>2.7845800000000001</v>
      </c>
      <c r="AP242" s="19">
        <v>-6.08</v>
      </c>
      <c r="AQ242" s="6">
        <v>2.6827000000000001</v>
      </c>
      <c r="AR242" s="6">
        <v>347</v>
      </c>
      <c r="AT242" s="17">
        <v>236</v>
      </c>
      <c r="AU242" s="6">
        <v>5.2763499999999999</v>
      </c>
      <c r="AV242" s="19">
        <v>-6.08</v>
      </c>
      <c r="AW242" s="6">
        <v>2.6827000000000001</v>
      </c>
      <c r="AX242" s="6">
        <v>347</v>
      </c>
    </row>
    <row r="243" spans="22:50" x14ac:dyDescent="0.25">
      <c r="V243" s="17">
        <v>237</v>
      </c>
      <c r="W243" s="6">
        <v>1.2742599999999999</v>
      </c>
      <c r="X243" s="19">
        <v>-8.0892999999999997</v>
      </c>
      <c r="Y243" s="6">
        <v>1.2284999999999999</v>
      </c>
      <c r="Z243" s="6">
        <v>631</v>
      </c>
      <c r="AN243" s="17">
        <v>237</v>
      </c>
      <c r="AO243" s="6">
        <v>2.7781799999999999</v>
      </c>
      <c r="AP243" s="19">
        <v>-8.1457999999999995</v>
      </c>
      <c r="AQ243" s="6">
        <v>2.6764999999999999</v>
      </c>
      <c r="AR243" s="6">
        <v>344</v>
      </c>
      <c r="AT243" s="17">
        <v>237</v>
      </c>
      <c r="AU243" s="6">
        <v>5.26431</v>
      </c>
      <c r="AV243" s="19">
        <v>-8.1457999999999995</v>
      </c>
      <c r="AW243" s="6">
        <v>2.6764999999999999</v>
      </c>
      <c r="AX243" s="6">
        <v>344</v>
      </c>
    </row>
    <row r="244" spans="22:50" x14ac:dyDescent="0.25">
      <c r="V244" s="17">
        <v>238</v>
      </c>
      <c r="W244" s="6">
        <v>1.2541500000000001</v>
      </c>
      <c r="X244" s="19">
        <v>-4.8895999999999997</v>
      </c>
      <c r="Y244" s="6">
        <v>1.2091000000000001</v>
      </c>
      <c r="Z244" s="6">
        <v>633</v>
      </c>
      <c r="AN244" s="17">
        <v>238</v>
      </c>
      <c r="AO244" s="6">
        <v>2.7702599999999999</v>
      </c>
      <c r="AP244" s="19">
        <v>-4.9397000000000002</v>
      </c>
      <c r="AQ244" s="6">
        <v>2.6688000000000001</v>
      </c>
      <c r="AR244" s="6">
        <v>341</v>
      </c>
      <c r="AT244" s="17">
        <v>238</v>
      </c>
      <c r="AU244" s="6">
        <v>5.2494199999999998</v>
      </c>
      <c r="AV244" s="19">
        <v>-4.9397000000000002</v>
      </c>
      <c r="AW244" s="6">
        <v>2.6688000000000001</v>
      </c>
      <c r="AX244" s="6">
        <v>341</v>
      </c>
    </row>
    <row r="245" spans="22:50" x14ac:dyDescent="0.25">
      <c r="V245" s="17">
        <v>239</v>
      </c>
      <c r="W245" s="6">
        <v>1.2402</v>
      </c>
      <c r="X245" s="19">
        <v>-0.85570000000000002</v>
      </c>
      <c r="Y245" s="6">
        <v>1.1956</v>
      </c>
      <c r="Z245" s="6">
        <v>605</v>
      </c>
      <c r="AN245" s="17">
        <v>239</v>
      </c>
      <c r="AO245" s="6">
        <v>2.7641200000000001</v>
      </c>
      <c r="AP245" s="19">
        <v>-0.79559999999999997</v>
      </c>
      <c r="AQ245" s="6">
        <v>2.6629</v>
      </c>
      <c r="AR245" s="6">
        <v>338</v>
      </c>
      <c r="AT245" s="17">
        <v>239</v>
      </c>
      <c r="AU245" s="6">
        <v>5.23787</v>
      </c>
      <c r="AV245" s="19">
        <v>-0.79559999999999997</v>
      </c>
      <c r="AW245" s="6">
        <v>2.6629</v>
      </c>
      <c r="AX245" s="6">
        <v>338</v>
      </c>
    </row>
    <row r="246" spans="22:50" x14ac:dyDescent="0.25">
      <c r="V246" s="17">
        <v>240</v>
      </c>
      <c r="W246" s="6">
        <v>1.2543200000000001</v>
      </c>
      <c r="X246" s="19">
        <v>-2.9420999999999999</v>
      </c>
      <c r="Y246" s="6">
        <v>1.2092000000000001</v>
      </c>
      <c r="Z246" s="6">
        <v>589</v>
      </c>
      <c r="AN246" s="17">
        <v>240</v>
      </c>
      <c r="AO246" s="6">
        <v>2.7690999999999999</v>
      </c>
      <c r="AP246" s="19">
        <v>-2.8969</v>
      </c>
      <c r="AQ246" s="6">
        <v>2.6677</v>
      </c>
      <c r="AR246" s="6">
        <v>340</v>
      </c>
      <c r="AT246" s="17">
        <v>240</v>
      </c>
      <c r="AU246" s="6">
        <v>5.2472500000000002</v>
      </c>
      <c r="AV246" s="19">
        <v>-2.8969</v>
      </c>
      <c r="AW246" s="6">
        <v>2.6677</v>
      </c>
      <c r="AX246" s="6">
        <v>340</v>
      </c>
    </row>
    <row r="247" spans="22:50" x14ac:dyDescent="0.25">
      <c r="V247" s="17">
        <v>241</v>
      </c>
      <c r="W247" s="6">
        <v>1.27406</v>
      </c>
      <c r="X247" s="19">
        <v>-4.3087999999999997</v>
      </c>
      <c r="Y247" s="6">
        <v>1.2282</v>
      </c>
      <c r="Z247" s="6">
        <v>614</v>
      </c>
      <c r="AN247" s="17">
        <v>241</v>
      </c>
      <c r="AO247" s="6">
        <v>2.7773599999999998</v>
      </c>
      <c r="AP247" s="19">
        <v>-4.2508999999999997</v>
      </c>
      <c r="AQ247" s="6">
        <v>2.6757</v>
      </c>
      <c r="AR247" s="6">
        <v>344</v>
      </c>
      <c r="AT247" s="17">
        <v>241</v>
      </c>
      <c r="AU247" s="6">
        <v>5.2627800000000002</v>
      </c>
      <c r="AV247" s="19">
        <v>-4.2508999999999997</v>
      </c>
      <c r="AW247" s="6">
        <v>2.6757</v>
      </c>
      <c r="AX247" s="6">
        <v>344</v>
      </c>
    </row>
    <row r="248" spans="22:50" x14ac:dyDescent="0.25">
      <c r="V248" s="17">
        <v>242</v>
      </c>
      <c r="W248" s="6">
        <v>1.27485</v>
      </c>
      <c r="X248" s="19">
        <v>-3.3029999999999999</v>
      </c>
      <c r="Y248" s="6">
        <v>1.2290000000000001</v>
      </c>
      <c r="Z248" s="6">
        <v>624</v>
      </c>
      <c r="AN248" s="17">
        <v>242</v>
      </c>
      <c r="AO248" s="6">
        <v>2.7787999999999999</v>
      </c>
      <c r="AP248" s="19">
        <v>-3.2262</v>
      </c>
      <c r="AQ248" s="6">
        <v>2.6770999999999998</v>
      </c>
      <c r="AR248" s="6">
        <v>345</v>
      </c>
      <c r="AT248" s="17">
        <v>242</v>
      </c>
      <c r="AU248" s="6">
        <v>5.2654699999999997</v>
      </c>
      <c r="AV248" s="19">
        <v>-3.2262</v>
      </c>
      <c r="AW248" s="6">
        <v>2.6770999999999998</v>
      </c>
      <c r="AX248" s="6">
        <v>345</v>
      </c>
    </row>
    <row r="249" spans="22:50" x14ac:dyDescent="0.25">
      <c r="V249" s="17">
        <v>243</v>
      </c>
      <c r="W249" s="6">
        <v>1.282</v>
      </c>
      <c r="X249" s="6">
        <v>0.6784</v>
      </c>
      <c r="Y249" s="6">
        <v>1.2359</v>
      </c>
      <c r="Z249" s="6">
        <v>628</v>
      </c>
      <c r="AN249" s="17">
        <v>243</v>
      </c>
      <c r="AO249" s="6">
        <v>2.7818999999999998</v>
      </c>
      <c r="AP249" s="6">
        <v>0.63429999999999997</v>
      </c>
      <c r="AQ249" s="6">
        <v>2.6800999999999999</v>
      </c>
      <c r="AR249" s="6">
        <v>346</v>
      </c>
      <c r="AT249" s="17">
        <v>243</v>
      </c>
      <c r="AU249" s="6">
        <v>5.2713099999999997</v>
      </c>
      <c r="AV249" s="6">
        <v>0.63429999999999997</v>
      </c>
      <c r="AW249" s="6">
        <v>2.6800999999999999</v>
      </c>
      <c r="AX249" s="6">
        <v>346</v>
      </c>
    </row>
    <row r="250" spans="22:50" x14ac:dyDescent="0.25">
      <c r="V250" s="17">
        <v>244</v>
      </c>
      <c r="W250" s="6">
        <v>1.3036700000000001</v>
      </c>
      <c r="X250" s="19">
        <v>-5.6898</v>
      </c>
      <c r="Y250" s="6">
        <v>1.2567999999999999</v>
      </c>
      <c r="Z250" s="6">
        <v>631</v>
      </c>
      <c r="AN250" s="17">
        <v>244</v>
      </c>
      <c r="AO250" s="6">
        <v>2.7905899999999999</v>
      </c>
      <c r="AP250" s="19">
        <v>-5.6036999999999999</v>
      </c>
      <c r="AQ250" s="6">
        <v>2.6884999999999999</v>
      </c>
      <c r="AR250" s="6">
        <v>350</v>
      </c>
      <c r="AT250" s="17">
        <v>244</v>
      </c>
      <c r="AU250" s="6">
        <v>5.2876599999999998</v>
      </c>
      <c r="AV250" s="19">
        <v>-5.6036999999999999</v>
      </c>
      <c r="AW250" s="6">
        <v>2.6884999999999999</v>
      </c>
      <c r="AX250" s="6">
        <v>350</v>
      </c>
    </row>
    <row r="251" spans="22:50" x14ac:dyDescent="0.25">
      <c r="V251" s="17">
        <v>245</v>
      </c>
      <c r="W251" s="6">
        <v>1.25593</v>
      </c>
      <c r="X251" s="19">
        <v>-4.9555999999999996</v>
      </c>
      <c r="Y251" s="6">
        <v>1.2107000000000001</v>
      </c>
      <c r="Z251" s="6">
        <v>606</v>
      </c>
      <c r="AN251" s="17">
        <v>245</v>
      </c>
      <c r="AO251" s="6">
        <v>2.7703899999999999</v>
      </c>
      <c r="AP251" s="19">
        <v>-5.0061999999999998</v>
      </c>
      <c r="AQ251" s="6">
        <v>2.6688999999999998</v>
      </c>
      <c r="AR251" s="6">
        <v>341</v>
      </c>
      <c r="AT251" s="17">
        <v>245</v>
      </c>
      <c r="AU251" s="6">
        <v>5.2496600000000004</v>
      </c>
      <c r="AV251" s="19">
        <v>-5.0061999999999998</v>
      </c>
      <c r="AW251" s="6">
        <v>2.6688999999999998</v>
      </c>
      <c r="AX251" s="6">
        <v>341</v>
      </c>
    </row>
    <row r="252" spans="22:50" x14ac:dyDescent="0.25">
      <c r="V252" s="17">
        <v>246</v>
      </c>
      <c r="W252" s="6">
        <v>1.25404</v>
      </c>
      <c r="X252" s="6">
        <v>1.2072000000000001</v>
      </c>
      <c r="Y252" s="6">
        <v>1.2090000000000001</v>
      </c>
      <c r="Z252" s="6">
        <v>630</v>
      </c>
      <c r="AN252" s="17">
        <v>246</v>
      </c>
      <c r="AO252" s="6">
        <v>2.7699400000000001</v>
      </c>
      <c r="AP252" s="6">
        <v>1.1132</v>
      </c>
      <c r="AQ252" s="6">
        <v>2.6684999999999999</v>
      </c>
      <c r="AR252" s="6">
        <v>341</v>
      </c>
      <c r="AT252" s="17">
        <v>246</v>
      </c>
      <c r="AU252" s="6">
        <v>5.2488200000000003</v>
      </c>
      <c r="AV252" s="6">
        <v>1.1132</v>
      </c>
      <c r="AW252" s="6">
        <v>2.6684999999999999</v>
      </c>
      <c r="AX252" s="6">
        <v>341</v>
      </c>
    </row>
    <row r="253" spans="22:50" x14ac:dyDescent="0.25">
      <c r="V253" s="17">
        <v>247</v>
      </c>
      <c r="W253" s="6">
        <v>1.2628999999999999</v>
      </c>
      <c r="X253" s="6">
        <v>1.5857000000000001</v>
      </c>
      <c r="Y253" s="6">
        <v>1.2175</v>
      </c>
      <c r="Z253" s="6">
        <v>620</v>
      </c>
      <c r="AN253" s="17">
        <v>247</v>
      </c>
      <c r="AO253" s="6">
        <v>2.7727400000000002</v>
      </c>
      <c r="AP253" s="6">
        <v>1.4810000000000001</v>
      </c>
      <c r="AQ253" s="6">
        <v>2.6711999999999998</v>
      </c>
      <c r="AR253" s="6">
        <v>342</v>
      </c>
      <c r="AT253" s="17">
        <v>247</v>
      </c>
      <c r="AU253" s="6">
        <v>5.2541000000000002</v>
      </c>
      <c r="AV253" s="6">
        <v>1.4810000000000001</v>
      </c>
      <c r="AW253" s="6">
        <v>2.6711999999999998</v>
      </c>
      <c r="AX253" s="6">
        <v>342</v>
      </c>
    </row>
    <row r="254" spans="22:50" x14ac:dyDescent="0.25">
      <c r="V254" s="17">
        <v>248</v>
      </c>
      <c r="W254" s="6">
        <v>1.2658100000000001</v>
      </c>
      <c r="X254" s="19">
        <v>-0.73780000000000001</v>
      </c>
      <c r="Y254" s="6">
        <v>1.2202999999999999</v>
      </c>
      <c r="Z254" s="6">
        <v>637</v>
      </c>
      <c r="AN254" s="17">
        <v>248</v>
      </c>
      <c r="AO254" s="6">
        <v>2.7749100000000002</v>
      </c>
      <c r="AP254" s="19">
        <v>-0.9798</v>
      </c>
      <c r="AQ254" s="6">
        <v>2.6732999999999998</v>
      </c>
      <c r="AR254" s="6">
        <v>343</v>
      </c>
      <c r="AT254" s="17">
        <v>248</v>
      </c>
      <c r="AU254" s="6">
        <v>5.2581600000000002</v>
      </c>
      <c r="AV254" s="19">
        <v>-0.9798</v>
      </c>
      <c r="AW254" s="6">
        <v>2.6732999999999998</v>
      </c>
      <c r="AX254" s="6">
        <v>343</v>
      </c>
    </row>
    <row r="255" spans="22:50" x14ac:dyDescent="0.25">
      <c r="V255" s="17">
        <v>249</v>
      </c>
      <c r="W255" s="6">
        <v>1.2782100000000001</v>
      </c>
      <c r="X255" s="6">
        <v>5.8954000000000004</v>
      </c>
      <c r="Y255" s="6">
        <v>1.2323</v>
      </c>
      <c r="Z255" s="6">
        <v>634</v>
      </c>
      <c r="AN255" s="17">
        <v>249</v>
      </c>
      <c r="AO255" s="6">
        <v>2.78064</v>
      </c>
      <c r="AP255" s="6">
        <v>6.0229999999999997</v>
      </c>
      <c r="AQ255" s="6">
        <v>2.6789000000000001</v>
      </c>
      <c r="AR255" s="6">
        <v>346</v>
      </c>
      <c r="AT255" s="17">
        <v>249</v>
      </c>
      <c r="AU255" s="6">
        <v>5.2689300000000001</v>
      </c>
      <c r="AV255" s="6">
        <v>6.0229999999999997</v>
      </c>
      <c r="AW255" s="6">
        <v>2.6789000000000001</v>
      </c>
      <c r="AX255" s="6">
        <v>346</v>
      </c>
    </row>
    <row r="256" spans="22:50" x14ac:dyDescent="0.25">
      <c r="V256" s="17">
        <v>250</v>
      </c>
      <c r="W256" s="6">
        <v>1.2675700000000001</v>
      </c>
      <c r="X256" s="6">
        <v>2.4502999999999999</v>
      </c>
      <c r="Y256" s="6">
        <v>1.222</v>
      </c>
      <c r="Z256" s="6">
        <v>637</v>
      </c>
      <c r="AN256" s="17">
        <v>250</v>
      </c>
      <c r="AO256" s="6">
        <v>2.7761399999999998</v>
      </c>
      <c r="AP256" s="6">
        <v>2.4641999999999999</v>
      </c>
      <c r="AQ256" s="6">
        <v>2.6745000000000001</v>
      </c>
      <c r="AR256" s="6">
        <v>344</v>
      </c>
      <c r="AT256" s="17">
        <v>250</v>
      </c>
      <c r="AU256" s="6">
        <v>5.2604699999999998</v>
      </c>
      <c r="AV256" s="6">
        <v>2.4641999999999999</v>
      </c>
      <c r="AW256" s="6">
        <v>2.6745000000000001</v>
      </c>
      <c r="AX256" s="6">
        <v>344</v>
      </c>
    </row>
    <row r="257" spans="22:50" x14ac:dyDescent="0.25">
      <c r="V257" s="17">
        <v>251</v>
      </c>
      <c r="W257" s="6">
        <v>1.2733399999999999</v>
      </c>
      <c r="X257" s="6">
        <v>3.7568000000000001</v>
      </c>
      <c r="Y257" s="6">
        <v>1.2276</v>
      </c>
      <c r="Z257" s="6">
        <v>654</v>
      </c>
      <c r="AN257" s="17">
        <v>251</v>
      </c>
      <c r="AO257" s="6">
        <v>2.7789299999999999</v>
      </c>
      <c r="AP257" s="6">
        <v>3.6844999999999999</v>
      </c>
      <c r="AQ257" s="6">
        <v>2.6772</v>
      </c>
      <c r="AR257" s="6">
        <v>345</v>
      </c>
      <c r="AT257" s="17">
        <v>251</v>
      </c>
      <c r="AU257" s="6">
        <v>5.2657299999999996</v>
      </c>
      <c r="AV257" s="6">
        <v>3.6844999999999999</v>
      </c>
      <c r="AW257" s="6">
        <v>2.6772</v>
      </c>
      <c r="AX257" s="6">
        <v>345</v>
      </c>
    </row>
    <row r="258" spans="22:50" x14ac:dyDescent="0.25">
      <c r="V258" s="17">
        <v>252</v>
      </c>
      <c r="W258" s="6">
        <v>1.2564200000000001</v>
      </c>
      <c r="X258" s="6">
        <v>1.3472</v>
      </c>
      <c r="Y258" s="6">
        <v>1.2112000000000001</v>
      </c>
      <c r="Z258" s="6">
        <v>609</v>
      </c>
      <c r="AN258" s="17">
        <v>252</v>
      </c>
      <c r="AO258" s="6">
        <v>2.7700900000000002</v>
      </c>
      <c r="AP258" s="6">
        <v>1.2871999999999999</v>
      </c>
      <c r="AQ258" s="6">
        <v>2.6686000000000001</v>
      </c>
      <c r="AR258" s="6">
        <v>340</v>
      </c>
      <c r="AT258" s="17">
        <v>252</v>
      </c>
      <c r="AU258" s="6">
        <v>5.2491000000000003</v>
      </c>
      <c r="AV258" s="6">
        <v>1.2871999999999999</v>
      </c>
      <c r="AW258" s="6">
        <v>2.6686000000000001</v>
      </c>
      <c r="AX258" s="6">
        <v>340</v>
      </c>
    </row>
    <row r="259" spans="22:50" x14ac:dyDescent="0.25">
      <c r="V259" s="17">
        <v>253</v>
      </c>
      <c r="W259" s="6">
        <v>1.2784800000000001</v>
      </c>
      <c r="X259" s="6">
        <v>2.6192000000000002</v>
      </c>
      <c r="Y259" s="6">
        <v>1.2324999999999999</v>
      </c>
      <c r="Z259" s="6">
        <v>636</v>
      </c>
      <c r="AN259" s="17">
        <v>253</v>
      </c>
      <c r="AO259" s="6">
        <v>2.7791399999999999</v>
      </c>
      <c r="AP259" s="6">
        <v>2.5728</v>
      </c>
      <c r="AQ259" s="6">
        <v>2.6774</v>
      </c>
      <c r="AR259" s="6">
        <v>344</v>
      </c>
      <c r="AT259" s="17">
        <v>253</v>
      </c>
      <c r="AU259" s="6">
        <v>5.2661300000000004</v>
      </c>
      <c r="AV259" s="6">
        <v>2.5728</v>
      </c>
      <c r="AW259" s="6">
        <v>2.6774</v>
      </c>
      <c r="AX259" s="6">
        <v>344</v>
      </c>
    </row>
    <row r="260" spans="22:50" x14ac:dyDescent="0.25">
      <c r="V260" s="17">
        <v>254</v>
      </c>
      <c r="W260" s="6">
        <v>1.2510300000000001</v>
      </c>
      <c r="X260" s="19">
        <v>-7.0454999999999997</v>
      </c>
      <c r="Y260" s="6">
        <v>1.206</v>
      </c>
      <c r="Z260" s="6">
        <v>599</v>
      </c>
      <c r="AN260" s="17">
        <v>254</v>
      </c>
      <c r="AO260" s="6">
        <v>2.7684199999999999</v>
      </c>
      <c r="AP260" s="19">
        <v>-7.0587</v>
      </c>
      <c r="AQ260" s="6">
        <v>2.6669999999999998</v>
      </c>
      <c r="AR260" s="6">
        <v>340</v>
      </c>
      <c r="AT260" s="17">
        <v>254</v>
      </c>
      <c r="AU260" s="6">
        <v>5.2459699999999998</v>
      </c>
      <c r="AV260" s="19">
        <v>-7.0587</v>
      </c>
      <c r="AW260" s="6">
        <v>2.6669999999999998</v>
      </c>
      <c r="AX260" s="6">
        <v>340</v>
      </c>
    </row>
    <row r="261" spans="22:50" x14ac:dyDescent="0.25">
      <c r="V261" s="17">
        <v>255</v>
      </c>
      <c r="W261" s="6">
        <v>1.2853699999999999</v>
      </c>
      <c r="X261" s="19">
        <v>-3.1421000000000001</v>
      </c>
      <c r="Y261" s="6">
        <v>1.2392000000000001</v>
      </c>
      <c r="Z261" s="6">
        <v>656</v>
      </c>
      <c r="AN261" s="17">
        <v>255</v>
      </c>
      <c r="AO261" s="6">
        <v>2.78362</v>
      </c>
      <c r="AP261" s="19">
        <v>-3.2867999999999999</v>
      </c>
      <c r="AQ261" s="6">
        <v>2.6818</v>
      </c>
      <c r="AR261" s="6">
        <v>347</v>
      </c>
      <c r="AT261" s="17">
        <v>255</v>
      </c>
      <c r="AU261" s="6">
        <v>5.2745499999999996</v>
      </c>
      <c r="AV261" s="19">
        <v>-3.2867999999999999</v>
      </c>
      <c r="AW261" s="6">
        <v>2.6818</v>
      </c>
      <c r="AX261" s="6">
        <v>347</v>
      </c>
    </row>
    <row r="262" spans="22:50" x14ac:dyDescent="0.25">
      <c r="V262" s="17">
        <v>256</v>
      </c>
      <c r="W262" s="6">
        <v>1.2612699999999999</v>
      </c>
      <c r="X262" s="19">
        <v>-0.41949999999999998</v>
      </c>
      <c r="Y262" s="6">
        <v>1.2159</v>
      </c>
      <c r="Z262" s="6">
        <v>615</v>
      </c>
      <c r="AN262" s="17">
        <v>256</v>
      </c>
      <c r="AO262" s="6">
        <v>2.7723499999999999</v>
      </c>
      <c r="AP262" s="19">
        <v>-0.45440000000000003</v>
      </c>
      <c r="AQ262" s="6">
        <v>2.6707999999999998</v>
      </c>
      <c r="AR262" s="6">
        <v>342</v>
      </c>
      <c r="AT262" s="17">
        <v>256</v>
      </c>
      <c r="AU262" s="6">
        <v>5.2533500000000002</v>
      </c>
      <c r="AV262" s="19">
        <v>-0.45440000000000003</v>
      </c>
      <c r="AW262" s="6">
        <v>2.6707999999999998</v>
      </c>
      <c r="AX262" s="6">
        <v>342</v>
      </c>
    </row>
    <row r="263" spans="22:50" x14ac:dyDescent="0.25">
      <c r="V263" s="17">
        <v>257</v>
      </c>
      <c r="W263" s="6">
        <v>1.28121</v>
      </c>
      <c r="X263" s="6">
        <v>5.2165999999999997</v>
      </c>
      <c r="Y263" s="6">
        <v>1.2352000000000001</v>
      </c>
      <c r="Z263" s="6">
        <v>648</v>
      </c>
      <c r="AN263" s="17">
        <v>257</v>
      </c>
      <c r="AO263" s="6">
        <v>2.7813699999999999</v>
      </c>
      <c r="AP263" s="6">
        <v>4.8874000000000004</v>
      </c>
      <c r="AQ263" s="6">
        <v>2.6796000000000002</v>
      </c>
      <c r="AR263" s="6">
        <v>346</v>
      </c>
      <c r="AT263" s="17">
        <v>257</v>
      </c>
      <c r="AU263" s="6">
        <v>5.2703100000000003</v>
      </c>
      <c r="AV263" s="6">
        <v>4.8874000000000004</v>
      </c>
      <c r="AW263" s="6">
        <v>2.6796000000000002</v>
      </c>
      <c r="AX263" s="6">
        <v>346</v>
      </c>
    </row>
    <row r="264" spans="22:50" x14ac:dyDescent="0.25">
      <c r="V264" s="17">
        <v>258</v>
      </c>
      <c r="W264" s="6">
        <v>1.26888</v>
      </c>
      <c r="X264" s="19">
        <v>-4.6379999999999998E-2</v>
      </c>
      <c r="Y264" s="6">
        <v>1.2233000000000001</v>
      </c>
      <c r="Z264" s="6">
        <v>621</v>
      </c>
      <c r="AN264" s="17">
        <v>258</v>
      </c>
      <c r="AO264" s="6">
        <v>2.7753100000000002</v>
      </c>
      <c r="AP264" s="19">
        <v>-0.34860000000000002</v>
      </c>
      <c r="AQ264" s="6">
        <v>2.6737000000000002</v>
      </c>
      <c r="AR264" s="6">
        <v>343</v>
      </c>
      <c r="AT264" s="17">
        <v>258</v>
      </c>
      <c r="AU264" s="6">
        <v>5.2589300000000003</v>
      </c>
      <c r="AV264" s="19">
        <v>-0.34860000000000002</v>
      </c>
      <c r="AW264" s="6">
        <v>2.6737000000000002</v>
      </c>
      <c r="AX264" s="6">
        <v>343</v>
      </c>
    </row>
    <row r="265" spans="22:50" x14ac:dyDescent="0.25">
      <c r="V265" s="17">
        <v>259</v>
      </c>
      <c r="W265" s="6">
        <v>1.2728900000000001</v>
      </c>
      <c r="X265" s="6">
        <v>0.24310000000000001</v>
      </c>
      <c r="Y265" s="6">
        <v>1.2272000000000001</v>
      </c>
      <c r="Z265" s="6">
        <v>646</v>
      </c>
      <c r="AN265" s="17">
        <v>259</v>
      </c>
      <c r="AO265" s="6">
        <v>2.7785000000000002</v>
      </c>
      <c r="AP265" s="19">
        <v>-3.3180000000000001E-2</v>
      </c>
      <c r="AQ265" s="6">
        <v>2.6768000000000001</v>
      </c>
      <c r="AR265" s="6">
        <v>345</v>
      </c>
      <c r="AT265" s="17">
        <v>259</v>
      </c>
      <c r="AU265" s="6">
        <v>5.26492</v>
      </c>
      <c r="AV265" s="19">
        <v>-3.3180000000000001E-2</v>
      </c>
      <c r="AW265" s="6">
        <v>2.6768000000000001</v>
      </c>
      <c r="AX265" s="6">
        <v>345</v>
      </c>
    </row>
    <row r="266" spans="22:50" x14ac:dyDescent="0.25">
      <c r="V266" s="17">
        <v>260</v>
      </c>
      <c r="W266" s="6">
        <v>1.27756</v>
      </c>
      <c r="X266" s="6">
        <v>14.9154</v>
      </c>
      <c r="Y266" s="6">
        <v>1.2317</v>
      </c>
      <c r="Z266" s="6">
        <v>643</v>
      </c>
      <c r="AN266" s="17">
        <v>260</v>
      </c>
      <c r="AO266" s="6">
        <v>2.78077</v>
      </c>
      <c r="AP266" s="6">
        <v>14.973599999999999</v>
      </c>
      <c r="AQ266" s="6">
        <v>2.6789999999999998</v>
      </c>
      <c r="AR266" s="6">
        <v>346</v>
      </c>
      <c r="AT266" s="17">
        <v>260</v>
      </c>
      <c r="AU266" s="6">
        <v>5.26919</v>
      </c>
      <c r="AV266" s="6">
        <v>14.973599999999999</v>
      </c>
      <c r="AW266" s="6">
        <v>2.6789999999999998</v>
      </c>
      <c r="AX266" s="6">
        <v>346</v>
      </c>
    </row>
    <row r="267" spans="22:50" x14ac:dyDescent="0.25">
      <c r="V267" s="17">
        <v>261</v>
      </c>
      <c r="W267" s="6">
        <v>1.28861</v>
      </c>
      <c r="X267" s="19">
        <v>-2.7658999999999998</v>
      </c>
      <c r="Y267" s="6">
        <v>1.2423</v>
      </c>
      <c r="Z267" s="6">
        <v>645</v>
      </c>
      <c r="AN267" s="17">
        <v>261</v>
      </c>
      <c r="AO267" s="6">
        <v>2.7845200000000001</v>
      </c>
      <c r="AP267" s="19">
        <v>-2.7486000000000002</v>
      </c>
      <c r="AQ267" s="6">
        <v>2.6825999999999999</v>
      </c>
      <c r="AR267" s="6">
        <v>347</v>
      </c>
      <c r="AT267" s="17">
        <v>261</v>
      </c>
      <c r="AU267" s="6">
        <v>5.2762399999999996</v>
      </c>
      <c r="AV267" s="19">
        <v>-2.7486000000000002</v>
      </c>
      <c r="AW267" s="6">
        <v>2.6825999999999999</v>
      </c>
      <c r="AX267" s="6">
        <v>347</v>
      </c>
    </row>
    <row r="268" spans="22:50" x14ac:dyDescent="0.25">
      <c r="V268" s="17">
        <v>262</v>
      </c>
      <c r="W268" s="6">
        <v>1.2652099999999999</v>
      </c>
      <c r="X268" s="6">
        <v>1.1675</v>
      </c>
      <c r="Y268" s="6">
        <v>1.2197</v>
      </c>
      <c r="Z268" s="6">
        <v>634</v>
      </c>
      <c r="AN268" s="17">
        <v>262</v>
      </c>
      <c r="AO268" s="6">
        <v>2.7746599999999999</v>
      </c>
      <c r="AP268" s="6">
        <v>1.0770999999999999</v>
      </c>
      <c r="AQ268" s="6">
        <v>2.6730999999999998</v>
      </c>
      <c r="AR268" s="6">
        <v>343</v>
      </c>
      <c r="AT268" s="17">
        <v>262</v>
      </c>
      <c r="AU268" s="6">
        <v>5.2576999999999998</v>
      </c>
      <c r="AV268" s="6">
        <v>1.0770999999999999</v>
      </c>
      <c r="AW268" s="6">
        <v>2.6730999999999998</v>
      </c>
      <c r="AX268" s="6">
        <v>343</v>
      </c>
    </row>
    <row r="269" spans="22:50" x14ac:dyDescent="0.25">
      <c r="V269" s="17">
        <v>263</v>
      </c>
      <c r="W269" s="6">
        <v>1.2665</v>
      </c>
      <c r="X269" s="6">
        <v>0.94599999999999995</v>
      </c>
      <c r="Y269" s="6">
        <v>1.2210000000000001</v>
      </c>
      <c r="Z269" s="6">
        <v>638</v>
      </c>
      <c r="AN269" s="17">
        <v>263</v>
      </c>
      <c r="AO269" s="6">
        <v>2.7760899999999999</v>
      </c>
      <c r="AP269" s="6">
        <v>0.87770000000000004</v>
      </c>
      <c r="AQ269" s="6">
        <v>2.6745000000000001</v>
      </c>
      <c r="AR269" s="6">
        <v>344</v>
      </c>
      <c r="AT269" s="17">
        <v>263</v>
      </c>
      <c r="AU269" s="6">
        <v>5.2603799999999996</v>
      </c>
      <c r="AV269" s="6">
        <v>0.87770000000000004</v>
      </c>
      <c r="AW269" s="6">
        <v>2.6745000000000001</v>
      </c>
      <c r="AX269" s="6">
        <v>344</v>
      </c>
    </row>
    <row r="270" spans="22:50" x14ac:dyDescent="0.25">
      <c r="V270" s="17">
        <v>264</v>
      </c>
      <c r="W270" s="6">
        <v>1.2883899999999999</v>
      </c>
      <c r="X270" s="19">
        <v>-3.7734000000000001</v>
      </c>
      <c r="Y270" s="6">
        <v>1.2421</v>
      </c>
      <c r="Z270" s="6">
        <v>634</v>
      </c>
      <c r="AN270" s="17">
        <v>264</v>
      </c>
      <c r="AO270" s="6">
        <v>2.7845399999999998</v>
      </c>
      <c r="AP270" s="19">
        <v>-3.7742</v>
      </c>
      <c r="AQ270" s="6">
        <v>2.6825999999999999</v>
      </c>
      <c r="AR270" s="6">
        <v>347</v>
      </c>
      <c r="AT270" s="17">
        <v>264</v>
      </c>
      <c r="AU270" s="6">
        <v>5.2762799999999999</v>
      </c>
      <c r="AV270" s="19">
        <v>-3.7742</v>
      </c>
      <c r="AW270" s="6">
        <v>2.6825999999999999</v>
      </c>
      <c r="AX270" s="6">
        <v>347</v>
      </c>
    </row>
    <row r="271" spans="22:50" x14ac:dyDescent="0.25">
      <c r="V271" s="17">
        <v>265</v>
      </c>
      <c r="W271" s="6">
        <v>1.2661800000000001</v>
      </c>
      <c r="X271" s="19">
        <v>-2.8029000000000002</v>
      </c>
      <c r="Y271" s="6">
        <v>1.2206999999999999</v>
      </c>
      <c r="Z271" s="6">
        <v>639</v>
      </c>
      <c r="AN271" s="17">
        <v>265</v>
      </c>
      <c r="AO271" s="6">
        <v>2.77474</v>
      </c>
      <c r="AP271" s="19">
        <v>-2.6949999999999998</v>
      </c>
      <c r="AQ271" s="6">
        <v>2.6730999999999998</v>
      </c>
      <c r="AR271" s="6">
        <v>343</v>
      </c>
      <c r="AT271" s="17">
        <v>265</v>
      </c>
      <c r="AU271" s="6">
        <v>5.25786</v>
      </c>
      <c r="AV271" s="19">
        <v>-2.6949999999999998</v>
      </c>
      <c r="AW271" s="6">
        <v>2.6730999999999998</v>
      </c>
      <c r="AX271" s="6">
        <v>343</v>
      </c>
    </row>
    <row r="272" spans="22:50" x14ac:dyDescent="0.25">
      <c r="V272" s="17">
        <v>266</v>
      </c>
      <c r="W272" s="6">
        <v>1.2661</v>
      </c>
      <c r="X272" s="19">
        <v>-2.7033</v>
      </c>
      <c r="Y272" s="6">
        <v>1.2205999999999999</v>
      </c>
      <c r="Z272" s="6">
        <v>630</v>
      </c>
      <c r="AN272" s="17">
        <v>266</v>
      </c>
      <c r="AO272" s="6">
        <v>2.7742399999999998</v>
      </c>
      <c r="AP272" s="19">
        <v>-2.7404000000000002</v>
      </c>
      <c r="AQ272" s="6">
        <v>2.6726999999999999</v>
      </c>
      <c r="AR272" s="6">
        <v>342</v>
      </c>
      <c r="AT272" s="17">
        <v>266</v>
      </c>
      <c r="AU272" s="6">
        <v>5.25692</v>
      </c>
      <c r="AV272" s="19">
        <v>-2.7404000000000002</v>
      </c>
      <c r="AW272" s="6">
        <v>2.6726999999999999</v>
      </c>
      <c r="AX272" s="6">
        <v>342</v>
      </c>
    </row>
    <row r="273" spans="22:50" x14ac:dyDescent="0.25">
      <c r="V273" s="17">
        <v>267</v>
      </c>
      <c r="W273" s="6">
        <v>1.2795300000000001</v>
      </c>
      <c r="X273" s="19">
        <v>-4.1733000000000002</v>
      </c>
      <c r="Y273" s="6">
        <v>1.2336</v>
      </c>
      <c r="Z273" s="6">
        <v>648</v>
      </c>
      <c r="AN273" s="17">
        <v>267</v>
      </c>
      <c r="AO273" s="6">
        <v>2.7803900000000001</v>
      </c>
      <c r="AP273" s="19">
        <v>-4.2770000000000001</v>
      </c>
      <c r="AQ273" s="6">
        <v>2.6785999999999999</v>
      </c>
      <c r="AR273" s="6">
        <v>345</v>
      </c>
      <c r="AT273" s="17">
        <v>267</v>
      </c>
      <c r="AU273" s="6">
        <v>5.2684800000000003</v>
      </c>
      <c r="AV273" s="19">
        <v>-4.2770000000000001</v>
      </c>
      <c r="AW273" s="6">
        <v>2.6785999999999999</v>
      </c>
      <c r="AX273" s="6">
        <v>345</v>
      </c>
    </row>
    <row r="274" spans="22:50" x14ac:dyDescent="0.25">
      <c r="V274" s="17">
        <v>268</v>
      </c>
      <c r="W274" s="6">
        <v>1.25746</v>
      </c>
      <c r="X274" s="19">
        <v>-6.1614000000000004</v>
      </c>
      <c r="Y274" s="6">
        <v>1.2121999999999999</v>
      </c>
      <c r="Z274" s="6">
        <v>619</v>
      </c>
      <c r="AN274" s="17">
        <v>268</v>
      </c>
      <c r="AO274" s="6">
        <v>2.7709999999999999</v>
      </c>
      <c r="AP274" s="19">
        <v>-6.3428000000000004</v>
      </c>
      <c r="AQ274" s="6">
        <v>2.6695000000000002</v>
      </c>
      <c r="AR274" s="6">
        <v>341</v>
      </c>
      <c r="AT274" s="17">
        <v>268</v>
      </c>
      <c r="AU274" s="6">
        <v>5.25082</v>
      </c>
      <c r="AV274" s="19">
        <v>-6.3428000000000004</v>
      </c>
      <c r="AW274" s="6">
        <v>2.6695000000000002</v>
      </c>
      <c r="AX274" s="6">
        <v>341</v>
      </c>
    </row>
    <row r="275" spans="22:50" x14ac:dyDescent="0.25">
      <c r="V275" s="17">
        <v>269</v>
      </c>
      <c r="W275" s="6">
        <v>1.2639899999999999</v>
      </c>
      <c r="X275" s="19">
        <v>-2.9615999999999998</v>
      </c>
      <c r="Y275" s="6">
        <v>1.2185999999999999</v>
      </c>
      <c r="Z275" s="6">
        <v>632</v>
      </c>
      <c r="AN275" s="17">
        <v>269</v>
      </c>
      <c r="AO275" s="6">
        <v>2.77433</v>
      </c>
      <c r="AP275" s="19">
        <v>-3.1368</v>
      </c>
      <c r="AQ275" s="6">
        <v>2.6728000000000001</v>
      </c>
      <c r="AR275" s="6">
        <v>343</v>
      </c>
      <c r="AT275" s="17">
        <v>269</v>
      </c>
      <c r="AU275" s="6">
        <v>5.2570699999999997</v>
      </c>
      <c r="AV275" s="19">
        <v>-3.1368</v>
      </c>
      <c r="AW275" s="6">
        <v>2.6728000000000001</v>
      </c>
      <c r="AX275" s="6">
        <v>343</v>
      </c>
    </row>
    <row r="276" spans="22:50" x14ac:dyDescent="0.25">
      <c r="V276" s="17">
        <v>270</v>
      </c>
      <c r="W276" s="6">
        <v>1.2497799999999999</v>
      </c>
      <c r="X276" s="6">
        <v>1.0722</v>
      </c>
      <c r="Y276" s="6">
        <v>1.2048000000000001</v>
      </c>
      <c r="Z276" s="6">
        <v>619</v>
      </c>
      <c r="AN276" s="17">
        <v>270</v>
      </c>
      <c r="AO276" s="6">
        <v>2.76824</v>
      </c>
      <c r="AP276" s="6">
        <v>1.0074000000000001</v>
      </c>
      <c r="AQ276" s="6">
        <v>2.6669</v>
      </c>
      <c r="AR276" s="6">
        <v>340</v>
      </c>
      <c r="AT276" s="17">
        <v>270</v>
      </c>
      <c r="AU276" s="6">
        <v>5.2456199999999997</v>
      </c>
      <c r="AV276" s="6">
        <v>1.0074000000000001</v>
      </c>
      <c r="AW276" s="6">
        <v>2.6669</v>
      </c>
      <c r="AX276" s="6">
        <v>340</v>
      </c>
    </row>
    <row r="277" spans="22:50" x14ac:dyDescent="0.25">
      <c r="V277" s="17">
        <v>271</v>
      </c>
      <c r="W277" s="6">
        <v>1.2750600000000001</v>
      </c>
      <c r="X277" s="19">
        <v>-1.0142</v>
      </c>
      <c r="Y277" s="6">
        <v>1.2292000000000001</v>
      </c>
      <c r="Z277" s="6">
        <v>617</v>
      </c>
      <c r="AN277" s="17">
        <v>271</v>
      </c>
      <c r="AO277" s="6">
        <v>2.7779500000000001</v>
      </c>
      <c r="AP277" s="19">
        <v>-1.0939000000000001</v>
      </c>
      <c r="AQ277" s="6">
        <v>2.6762999999999999</v>
      </c>
      <c r="AR277" s="6">
        <v>344</v>
      </c>
      <c r="AT277" s="17">
        <v>271</v>
      </c>
      <c r="AU277" s="6">
        <v>5.2638800000000003</v>
      </c>
      <c r="AV277" s="19">
        <v>-1.0939000000000001</v>
      </c>
      <c r="AW277" s="6">
        <v>2.6762999999999999</v>
      </c>
      <c r="AX277" s="6">
        <v>344</v>
      </c>
    </row>
    <row r="278" spans="22:50" x14ac:dyDescent="0.25">
      <c r="V278" s="17">
        <v>272</v>
      </c>
      <c r="W278" s="6">
        <v>1.26799</v>
      </c>
      <c r="X278" s="19">
        <v>-2.3809</v>
      </c>
      <c r="Y278" s="6">
        <v>1.2223999999999999</v>
      </c>
      <c r="Z278" s="6">
        <v>625</v>
      </c>
      <c r="AN278" s="17">
        <v>272</v>
      </c>
      <c r="AO278" s="6">
        <v>2.7757200000000002</v>
      </c>
      <c r="AP278" s="19">
        <v>-2.448</v>
      </c>
      <c r="AQ278" s="6">
        <v>2.6741000000000001</v>
      </c>
      <c r="AR278" s="6">
        <v>343</v>
      </c>
      <c r="AT278" s="17">
        <v>272</v>
      </c>
      <c r="AU278" s="6">
        <v>5.25969</v>
      </c>
      <c r="AV278" s="19">
        <v>-2.448</v>
      </c>
      <c r="AW278" s="6">
        <v>2.6741000000000001</v>
      </c>
      <c r="AX278" s="6">
        <v>343</v>
      </c>
    </row>
    <row r="279" spans="22:50" x14ac:dyDescent="0.25">
      <c r="V279" s="17">
        <v>273</v>
      </c>
      <c r="W279" s="6">
        <v>1.2827</v>
      </c>
      <c r="X279" s="19">
        <v>-1.3751</v>
      </c>
      <c r="Y279" s="6">
        <v>1.2365999999999999</v>
      </c>
      <c r="Z279" s="6">
        <v>637</v>
      </c>
      <c r="AN279" s="17">
        <v>273</v>
      </c>
      <c r="AO279" s="6">
        <v>2.7821099999999999</v>
      </c>
      <c r="AP279" s="19">
        <v>-1.4233</v>
      </c>
      <c r="AQ279" s="6">
        <v>2.6802999999999999</v>
      </c>
      <c r="AR279" s="6">
        <v>346</v>
      </c>
      <c r="AT279" s="17">
        <v>273</v>
      </c>
      <c r="AU279" s="6">
        <v>5.2717099999999997</v>
      </c>
      <c r="AV279" s="19">
        <v>-1.4233</v>
      </c>
      <c r="AW279" s="6">
        <v>2.6802999999999999</v>
      </c>
      <c r="AX279" s="6">
        <v>346</v>
      </c>
    </row>
    <row r="280" spans="22:50" x14ac:dyDescent="0.25">
      <c r="V280" s="17">
        <v>274</v>
      </c>
      <c r="W280" s="6">
        <v>1.27518</v>
      </c>
      <c r="X280" s="6">
        <v>2.6063000000000001</v>
      </c>
      <c r="Y280" s="6">
        <v>1.2293000000000001</v>
      </c>
      <c r="Z280" s="6">
        <v>627</v>
      </c>
      <c r="AN280" s="17">
        <v>274</v>
      </c>
      <c r="AO280" s="6">
        <v>2.77827</v>
      </c>
      <c r="AP280" s="6">
        <v>2.4373</v>
      </c>
      <c r="AQ280" s="6">
        <v>2.6766000000000001</v>
      </c>
      <c r="AR280" s="6">
        <v>344</v>
      </c>
      <c r="AT280" s="17">
        <v>274</v>
      </c>
      <c r="AU280" s="6">
        <v>5.2644900000000003</v>
      </c>
      <c r="AV280" s="6">
        <v>2.4373</v>
      </c>
      <c r="AW280" s="6">
        <v>2.6766000000000001</v>
      </c>
      <c r="AX280" s="6">
        <v>344</v>
      </c>
    </row>
    <row r="281" spans="22:50" x14ac:dyDescent="0.25">
      <c r="V281" s="17">
        <v>275</v>
      </c>
      <c r="W281" s="6">
        <v>1.3029500000000001</v>
      </c>
      <c r="X281" s="19">
        <v>-3.7618999999999998</v>
      </c>
      <c r="Y281" s="6">
        <v>1.2561</v>
      </c>
      <c r="Z281" s="6">
        <v>640</v>
      </c>
      <c r="AN281" s="17">
        <v>275</v>
      </c>
      <c r="AO281" s="6">
        <v>2.7901600000000002</v>
      </c>
      <c r="AP281" s="19">
        <v>-3.8007</v>
      </c>
      <c r="AQ281" s="6">
        <v>2.6880999999999999</v>
      </c>
      <c r="AR281" s="6">
        <v>349</v>
      </c>
      <c r="AT281" s="17">
        <v>275</v>
      </c>
      <c r="AU281" s="6">
        <v>5.2868700000000004</v>
      </c>
      <c r="AV281" s="19">
        <v>-3.8007</v>
      </c>
      <c r="AW281" s="6">
        <v>2.6880999999999999</v>
      </c>
      <c r="AX281" s="6">
        <v>349</v>
      </c>
    </row>
    <row r="282" spans="22:50" x14ac:dyDescent="0.25">
      <c r="V282" s="17">
        <v>276</v>
      </c>
      <c r="W282" s="6">
        <v>1.2604</v>
      </c>
      <c r="X282" s="19">
        <v>-3.0276999999999998</v>
      </c>
      <c r="Y282" s="6">
        <v>1.2151000000000001</v>
      </c>
      <c r="Z282" s="6">
        <v>622</v>
      </c>
      <c r="AN282" s="17">
        <v>276</v>
      </c>
      <c r="AO282" s="6">
        <v>2.7724000000000002</v>
      </c>
      <c r="AP282" s="19">
        <v>-3.2033</v>
      </c>
      <c r="AQ282" s="6">
        <v>2.6709000000000001</v>
      </c>
      <c r="AR282" s="6">
        <v>342</v>
      </c>
      <c r="AT282" s="17">
        <v>276</v>
      </c>
      <c r="AU282" s="6">
        <v>5.2534400000000003</v>
      </c>
      <c r="AV282" s="19">
        <v>-3.2033</v>
      </c>
      <c r="AW282" s="6">
        <v>2.6709000000000001</v>
      </c>
      <c r="AX282" s="6">
        <v>342</v>
      </c>
    </row>
    <row r="283" spans="22:50" x14ac:dyDescent="0.25">
      <c r="V283" s="17">
        <v>277</v>
      </c>
      <c r="W283" s="6">
        <v>1.2535400000000001</v>
      </c>
      <c r="X283" s="6">
        <v>0.37859999999999999</v>
      </c>
      <c r="Y283" s="6">
        <v>1.2083999999999999</v>
      </c>
      <c r="Z283" s="6">
        <v>610</v>
      </c>
      <c r="AN283" s="17">
        <v>277</v>
      </c>
      <c r="AO283" s="6">
        <v>2.7692199999999998</v>
      </c>
      <c r="AP283" s="6">
        <v>0.36780000000000002</v>
      </c>
      <c r="AQ283" s="6">
        <v>2.6678000000000002</v>
      </c>
      <c r="AR283" s="6">
        <v>340</v>
      </c>
      <c r="AT283" s="17">
        <v>277</v>
      </c>
      <c r="AU283" s="6">
        <v>5.2474600000000002</v>
      </c>
      <c r="AV283" s="6">
        <v>0.36780000000000002</v>
      </c>
      <c r="AW283" s="6">
        <v>2.6678000000000002</v>
      </c>
      <c r="AX283" s="6">
        <v>340</v>
      </c>
    </row>
    <row r="284" spans="22:50" x14ac:dyDescent="0.25">
      <c r="V284" s="17">
        <v>278</v>
      </c>
      <c r="W284" s="6">
        <v>1.24505</v>
      </c>
      <c r="X284" s="19">
        <v>-1.9450000000000001</v>
      </c>
      <c r="Y284" s="6">
        <v>1.2001999999999999</v>
      </c>
      <c r="Z284" s="6">
        <v>600</v>
      </c>
      <c r="AN284" s="17">
        <v>278</v>
      </c>
      <c r="AO284" s="6">
        <v>2.7659099999999999</v>
      </c>
      <c r="AP284" s="19">
        <v>-2.093</v>
      </c>
      <c r="AQ284" s="6">
        <v>2.6646000000000001</v>
      </c>
      <c r="AR284" s="6">
        <v>339</v>
      </c>
      <c r="AT284" s="17">
        <v>278</v>
      </c>
      <c r="AU284" s="6">
        <v>5.2412400000000003</v>
      </c>
      <c r="AV284" s="19">
        <v>-2.093</v>
      </c>
      <c r="AW284" s="6">
        <v>2.6646000000000001</v>
      </c>
      <c r="AX284" s="6">
        <v>339</v>
      </c>
    </row>
    <row r="285" spans="22:50" x14ac:dyDescent="0.25">
      <c r="V285" s="17">
        <v>279</v>
      </c>
      <c r="W285" s="6">
        <v>1.2686999999999999</v>
      </c>
      <c r="X285" s="6">
        <v>4.6882999999999999</v>
      </c>
      <c r="Y285" s="6">
        <v>1.2231000000000001</v>
      </c>
      <c r="Z285" s="6">
        <v>627</v>
      </c>
      <c r="AN285" s="17">
        <v>279</v>
      </c>
      <c r="AO285" s="6">
        <v>2.77583</v>
      </c>
      <c r="AP285" s="6">
        <v>4.9097999999999997</v>
      </c>
      <c r="AQ285" s="6">
        <v>2.6741999999999999</v>
      </c>
      <c r="AR285" s="6">
        <v>343</v>
      </c>
      <c r="AT285" s="17">
        <v>279</v>
      </c>
      <c r="AU285" s="6">
        <v>5.2599</v>
      </c>
      <c r="AV285" s="6">
        <v>4.9097999999999997</v>
      </c>
      <c r="AW285" s="6">
        <v>2.6741999999999999</v>
      </c>
      <c r="AX285" s="6">
        <v>343</v>
      </c>
    </row>
    <row r="286" spans="22:50" x14ac:dyDescent="0.25">
      <c r="V286" s="17">
        <v>280</v>
      </c>
      <c r="W286" s="6">
        <v>1.2698199999999999</v>
      </c>
      <c r="X286" s="6">
        <v>1.2432000000000001</v>
      </c>
      <c r="Y286" s="6">
        <v>1.2242</v>
      </c>
      <c r="Z286" s="6">
        <v>641</v>
      </c>
      <c r="AN286" s="17">
        <v>280</v>
      </c>
      <c r="AO286" s="6">
        <v>2.7770899999999998</v>
      </c>
      <c r="AP286" s="6">
        <v>1.351</v>
      </c>
      <c r="AQ286" s="6">
        <v>2.6753999999999998</v>
      </c>
      <c r="AR286" s="6">
        <v>344</v>
      </c>
      <c r="AT286" s="17">
        <v>280</v>
      </c>
      <c r="AU286" s="6">
        <v>5.2622600000000004</v>
      </c>
      <c r="AV286" s="6">
        <v>1.351</v>
      </c>
      <c r="AW286" s="6">
        <v>2.6753999999999998</v>
      </c>
      <c r="AX286" s="6">
        <v>344</v>
      </c>
    </row>
    <row r="287" spans="22:50" x14ac:dyDescent="0.25">
      <c r="V287" s="17">
        <v>281</v>
      </c>
      <c r="W287" s="6">
        <v>1.28009</v>
      </c>
      <c r="X287" s="6">
        <v>2.5495999999999999</v>
      </c>
      <c r="Y287" s="6">
        <v>1.2341</v>
      </c>
      <c r="Z287" s="6">
        <v>627</v>
      </c>
      <c r="AN287" s="17">
        <v>281</v>
      </c>
      <c r="AO287" s="6">
        <v>2.77989</v>
      </c>
      <c r="AP287" s="6">
        <v>2.5712999999999999</v>
      </c>
      <c r="AQ287" s="6">
        <v>2.6781000000000001</v>
      </c>
      <c r="AR287" s="6">
        <v>345</v>
      </c>
      <c r="AT287" s="17">
        <v>281</v>
      </c>
      <c r="AU287" s="6">
        <v>5.2675400000000003</v>
      </c>
      <c r="AV287" s="6">
        <v>2.5712999999999999</v>
      </c>
      <c r="AW287" s="6">
        <v>2.6781000000000001</v>
      </c>
      <c r="AX287" s="6">
        <v>345</v>
      </c>
    </row>
    <row r="288" spans="22:50" x14ac:dyDescent="0.25">
      <c r="V288" s="17">
        <v>282</v>
      </c>
      <c r="W288" s="6">
        <v>1.2715399999999999</v>
      </c>
      <c r="X288" s="6">
        <v>0.1401</v>
      </c>
      <c r="Y288" s="6">
        <v>1.2258</v>
      </c>
      <c r="Z288" s="6">
        <v>623</v>
      </c>
      <c r="AN288" s="17">
        <v>282</v>
      </c>
      <c r="AO288" s="6">
        <v>2.77685</v>
      </c>
      <c r="AP288" s="6">
        <v>0.17399999999999999</v>
      </c>
      <c r="AQ288" s="6">
        <v>2.6751999999999998</v>
      </c>
      <c r="AR288" s="6">
        <v>344</v>
      </c>
      <c r="AT288" s="17">
        <v>282</v>
      </c>
      <c r="AU288" s="6">
        <v>5.2618299999999998</v>
      </c>
      <c r="AV288" s="6">
        <v>0.17399999999999999</v>
      </c>
      <c r="AW288" s="6">
        <v>2.6751999999999998</v>
      </c>
      <c r="AX288" s="6">
        <v>344</v>
      </c>
    </row>
    <row r="289" spans="22:50" x14ac:dyDescent="0.25">
      <c r="V289" s="17">
        <v>283</v>
      </c>
      <c r="W289" s="6">
        <v>1.28471</v>
      </c>
      <c r="X289" s="6">
        <v>1.4120999999999999</v>
      </c>
      <c r="Y289" s="6">
        <v>1.2384999999999999</v>
      </c>
      <c r="Z289" s="6">
        <v>631</v>
      </c>
      <c r="AN289" s="17">
        <v>283</v>
      </c>
      <c r="AO289" s="6">
        <v>2.7818800000000001</v>
      </c>
      <c r="AP289" s="6">
        <v>1.4596</v>
      </c>
      <c r="AQ289" s="6">
        <v>2.6800999999999999</v>
      </c>
      <c r="AR289" s="6">
        <v>345</v>
      </c>
      <c r="AT289" s="17">
        <v>283</v>
      </c>
      <c r="AU289" s="6">
        <v>5.2712899999999996</v>
      </c>
      <c r="AV289" s="6">
        <v>1.4596</v>
      </c>
      <c r="AW289" s="6">
        <v>2.6800999999999999</v>
      </c>
      <c r="AX289" s="6">
        <v>345</v>
      </c>
    </row>
    <row r="290" spans="22:50" x14ac:dyDescent="0.25">
      <c r="V290" s="17">
        <v>284</v>
      </c>
      <c r="W290" s="6">
        <v>1.27475</v>
      </c>
      <c r="X290" s="19">
        <v>-8.2525999999999993</v>
      </c>
      <c r="Y290" s="6">
        <v>1.2289000000000001</v>
      </c>
      <c r="Z290" s="6">
        <v>614</v>
      </c>
      <c r="AN290" s="17">
        <v>284</v>
      </c>
      <c r="AO290" s="6">
        <v>2.7774899999999998</v>
      </c>
      <c r="AP290" s="19">
        <v>-8.1719000000000008</v>
      </c>
      <c r="AQ290" s="6">
        <v>2.6758000000000002</v>
      </c>
      <c r="AR290" s="6">
        <v>343</v>
      </c>
      <c r="AT290" s="17">
        <v>284</v>
      </c>
      <c r="AU290" s="6">
        <v>5.26302</v>
      </c>
      <c r="AV290" s="19">
        <v>-8.1719000000000008</v>
      </c>
      <c r="AW290" s="6">
        <v>2.6758000000000002</v>
      </c>
      <c r="AX290" s="6">
        <v>343</v>
      </c>
    </row>
    <row r="291" spans="22:50" x14ac:dyDescent="0.25">
      <c r="V291" s="17">
        <v>285</v>
      </c>
      <c r="W291" s="6">
        <v>1.2547999999999999</v>
      </c>
      <c r="X291" s="19">
        <v>-4.3493000000000004</v>
      </c>
      <c r="Y291" s="6">
        <v>1.2097</v>
      </c>
      <c r="Z291" s="6">
        <v>628</v>
      </c>
      <c r="AN291" s="17">
        <v>285</v>
      </c>
      <c r="AO291" s="6">
        <v>2.77</v>
      </c>
      <c r="AP291" s="19">
        <v>-4.4000000000000004</v>
      </c>
      <c r="AQ291" s="6">
        <v>2.6686000000000001</v>
      </c>
      <c r="AR291" s="6">
        <v>340</v>
      </c>
      <c r="AT291" s="17">
        <v>285</v>
      </c>
      <c r="AU291" s="6">
        <v>5.2489400000000002</v>
      </c>
      <c r="AV291" s="19">
        <v>-4.4000000000000004</v>
      </c>
      <c r="AW291" s="6">
        <v>2.6686000000000001</v>
      </c>
      <c r="AX291" s="6">
        <v>340</v>
      </c>
    </row>
    <row r="292" spans="22:50" x14ac:dyDescent="0.25">
      <c r="V292" s="17">
        <v>286</v>
      </c>
      <c r="W292" s="6">
        <v>1.30027</v>
      </c>
      <c r="X292" s="19">
        <v>-1.6267</v>
      </c>
      <c r="Y292" s="6">
        <v>1.2535000000000001</v>
      </c>
      <c r="Z292" s="6">
        <v>636</v>
      </c>
      <c r="AN292" s="17">
        <v>286</v>
      </c>
      <c r="AO292" s="6">
        <v>2.7880699999999998</v>
      </c>
      <c r="AP292" s="19">
        <v>-1.5676000000000001</v>
      </c>
      <c r="AQ292" s="6">
        <v>2.6861000000000002</v>
      </c>
      <c r="AR292" s="6">
        <v>348</v>
      </c>
      <c r="AT292" s="17">
        <v>286</v>
      </c>
      <c r="AU292" s="6">
        <v>5.2829300000000003</v>
      </c>
      <c r="AV292" s="19">
        <v>-1.5676000000000001</v>
      </c>
      <c r="AW292" s="6">
        <v>2.6861000000000002</v>
      </c>
      <c r="AX292" s="6">
        <v>348</v>
      </c>
    </row>
    <row r="293" spans="22:50" x14ac:dyDescent="0.25">
      <c r="V293" s="17">
        <v>287</v>
      </c>
      <c r="W293" s="6">
        <v>1.2656799999999999</v>
      </c>
      <c r="X293" s="6">
        <v>4.0094000000000003</v>
      </c>
      <c r="Y293" s="6">
        <v>1.2202</v>
      </c>
      <c r="Z293" s="6">
        <v>632</v>
      </c>
      <c r="AN293" s="17">
        <v>287</v>
      </c>
      <c r="AO293" s="6">
        <v>2.7749100000000002</v>
      </c>
      <c r="AP293" s="6">
        <v>3.7742</v>
      </c>
      <c r="AQ293" s="6">
        <v>2.6732999999999998</v>
      </c>
      <c r="AR293" s="6">
        <v>343</v>
      </c>
      <c r="AT293" s="17">
        <v>287</v>
      </c>
      <c r="AU293" s="6">
        <v>5.2581699999999998</v>
      </c>
      <c r="AV293" s="6">
        <v>3.7742</v>
      </c>
      <c r="AW293" s="6">
        <v>2.6732999999999998</v>
      </c>
      <c r="AX293" s="6">
        <v>343</v>
      </c>
    </row>
    <row r="294" spans="22:50" x14ac:dyDescent="0.25">
      <c r="V294" s="17">
        <v>288</v>
      </c>
      <c r="W294" s="6">
        <v>1.2791600000000001</v>
      </c>
      <c r="X294" s="19">
        <v>-1.2535000000000001</v>
      </c>
      <c r="Y294" s="6">
        <v>1.2332000000000001</v>
      </c>
      <c r="Z294" s="6">
        <v>615</v>
      </c>
      <c r="AN294" s="17">
        <v>288</v>
      </c>
      <c r="AO294" s="6">
        <v>2.7785299999999999</v>
      </c>
      <c r="AP294" s="19">
        <v>-1.4618</v>
      </c>
      <c r="AQ294" s="6">
        <v>2.6768000000000001</v>
      </c>
      <c r="AR294" s="6">
        <v>344</v>
      </c>
      <c r="AT294" s="17">
        <v>288</v>
      </c>
      <c r="AU294" s="6">
        <v>5.2649999999999997</v>
      </c>
      <c r="AV294" s="19">
        <v>-1.4618</v>
      </c>
      <c r="AW294" s="6">
        <v>2.6768000000000001</v>
      </c>
      <c r="AX294" s="6">
        <v>344</v>
      </c>
    </row>
    <row r="295" spans="22:50" x14ac:dyDescent="0.25">
      <c r="V295" s="17">
        <v>289</v>
      </c>
      <c r="W295" s="6">
        <v>1.2612699999999999</v>
      </c>
      <c r="X295" s="19">
        <v>-0.96399999999999997</v>
      </c>
      <c r="Y295" s="6">
        <v>1.2159</v>
      </c>
      <c r="Z295" s="6">
        <v>619</v>
      </c>
      <c r="AN295" s="17">
        <v>289</v>
      </c>
      <c r="AO295" s="6">
        <v>2.7713100000000002</v>
      </c>
      <c r="AP295" s="19">
        <v>-1.1464000000000001</v>
      </c>
      <c r="AQ295" s="6">
        <v>2.6698</v>
      </c>
      <c r="AR295" s="6">
        <v>341</v>
      </c>
      <c r="AT295" s="17">
        <v>289</v>
      </c>
      <c r="AU295" s="6">
        <v>5.2514099999999999</v>
      </c>
      <c r="AV295" s="19">
        <v>-1.1464000000000001</v>
      </c>
      <c r="AW295" s="6">
        <v>2.6698</v>
      </c>
      <c r="AX295" s="6">
        <v>341</v>
      </c>
    </row>
    <row r="296" spans="22:50" x14ac:dyDescent="0.25">
      <c r="V296" s="17">
        <v>290</v>
      </c>
      <c r="W296" s="6">
        <v>1.2515400000000001</v>
      </c>
      <c r="X296" s="6">
        <v>13.7082</v>
      </c>
      <c r="Y296" s="6">
        <v>1.2065999999999999</v>
      </c>
      <c r="Z296" s="6">
        <v>631</v>
      </c>
      <c r="AN296" s="17">
        <v>290</v>
      </c>
      <c r="AO296" s="6">
        <v>2.7690899999999998</v>
      </c>
      <c r="AP296" s="6">
        <v>13.8604</v>
      </c>
      <c r="AQ296" s="6">
        <v>2.6677</v>
      </c>
      <c r="AR296" s="6">
        <v>340</v>
      </c>
      <c r="AT296" s="17">
        <v>290</v>
      </c>
      <c r="AU296" s="6">
        <v>5.2472099999999999</v>
      </c>
      <c r="AV296" s="6">
        <v>13.8604</v>
      </c>
      <c r="AW296" s="6">
        <v>2.6677</v>
      </c>
      <c r="AX296" s="6">
        <v>340</v>
      </c>
    </row>
    <row r="297" spans="22:50" x14ac:dyDescent="0.25">
      <c r="V297" s="17">
        <v>291</v>
      </c>
      <c r="W297" s="6">
        <v>1.2919799999999999</v>
      </c>
      <c r="X297" s="19">
        <v>-3.9729999999999999</v>
      </c>
      <c r="Y297" s="6">
        <v>1.2456</v>
      </c>
      <c r="Z297" s="6">
        <v>643</v>
      </c>
      <c r="AN297" s="17">
        <v>291</v>
      </c>
      <c r="AO297" s="6">
        <v>2.78653</v>
      </c>
      <c r="AP297" s="19">
        <v>-3.8618000000000001</v>
      </c>
      <c r="AQ297" s="6">
        <v>2.6846000000000001</v>
      </c>
      <c r="AR297" s="6">
        <v>348</v>
      </c>
      <c r="AT297" s="17">
        <v>291</v>
      </c>
      <c r="AU297" s="6">
        <v>5.2800099999999999</v>
      </c>
      <c r="AV297" s="19">
        <v>-3.8618000000000001</v>
      </c>
      <c r="AW297" s="6">
        <v>2.6846000000000001</v>
      </c>
      <c r="AX297" s="6">
        <v>348</v>
      </c>
    </row>
    <row r="298" spans="22:50" x14ac:dyDescent="0.25">
      <c r="V298" s="17">
        <v>292</v>
      </c>
      <c r="W298" s="6">
        <v>1.2749600000000001</v>
      </c>
      <c r="X298" s="19">
        <v>-3.9600000000000003E-2</v>
      </c>
      <c r="Y298" s="6">
        <v>1.2291000000000001</v>
      </c>
      <c r="Z298" s="6">
        <v>639</v>
      </c>
      <c r="AN298" s="17">
        <v>292</v>
      </c>
      <c r="AO298" s="6">
        <v>2.77861</v>
      </c>
      <c r="AP298" s="19">
        <v>-3.6119999999999999E-2</v>
      </c>
      <c r="AQ298" s="6">
        <v>2.6768999999999998</v>
      </c>
      <c r="AR298" s="6">
        <v>344</v>
      </c>
      <c r="AT298" s="17">
        <v>292</v>
      </c>
      <c r="AU298" s="6">
        <v>5.2651199999999996</v>
      </c>
      <c r="AV298" s="19">
        <v>-3.6119999999999999E-2</v>
      </c>
      <c r="AW298" s="6">
        <v>2.6768999999999998</v>
      </c>
      <c r="AX298" s="6">
        <v>344</v>
      </c>
    </row>
    <row r="299" spans="22:50" x14ac:dyDescent="0.25">
      <c r="V299" s="17">
        <v>293</v>
      </c>
      <c r="W299" s="6">
        <v>1.2778700000000001</v>
      </c>
      <c r="X299" s="19">
        <v>-0.2611</v>
      </c>
      <c r="Y299" s="6">
        <v>1.2319</v>
      </c>
      <c r="Z299" s="6">
        <v>640</v>
      </c>
      <c r="AN299" s="17">
        <v>293</v>
      </c>
      <c r="AO299" s="6">
        <v>2.7793700000000001</v>
      </c>
      <c r="AP299" s="19">
        <v>-0.23549999999999999</v>
      </c>
      <c r="AQ299" s="6">
        <v>2.6776</v>
      </c>
      <c r="AR299" s="6">
        <v>345</v>
      </c>
      <c r="AT299" s="17">
        <v>293</v>
      </c>
      <c r="AU299" s="6">
        <v>5.2665600000000001</v>
      </c>
      <c r="AV299" s="19">
        <v>-0.23549999999999999</v>
      </c>
      <c r="AW299" s="6">
        <v>2.6776</v>
      </c>
      <c r="AX299" s="6">
        <v>345</v>
      </c>
    </row>
    <row r="300" spans="22:50" x14ac:dyDescent="0.25">
      <c r="V300" s="17">
        <v>294</v>
      </c>
      <c r="W300" s="6">
        <v>1.2818400000000001</v>
      </c>
      <c r="X300" s="19">
        <v>-4.9805999999999999</v>
      </c>
      <c r="Y300" s="6">
        <v>1.2357</v>
      </c>
      <c r="Z300" s="6">
        <v>618</v>
      </c>
      <c r="AN300" s="17">
        <v>294</v>
      </c>
      <c r="AO300" s="6">
        <v>2.7812000000000001</v>
      </c>
      <c r="AP300" s="19">
        <v>-4.8874000000000004</v>
      </c>
      <c r="AQ300" s="6">
        <v>2.6793999999999998</v>
      </c>
      <c r="AR300" s="6">
        <v>346</v>
      </c>
      <c r="AT300" s="17">
        <v>294</v>
      </c>
      <c r="AU300" s="6">
        <v>5.27</v>
      </c>
      <c r="AV300" s="19">
        <v>-4.8874000000000004</v>
      </c>
      <c r="AW300" s="6">
        <v>2.6793999999999998</v>
      </c>
      <c r="AX300" s="6">
        <v>346</v>
      </c>
    </row>
    <row r="301" spans="22:50" x14ac:dyDescent="0.25">
      <c r="V301" s="17">
        <v>295</v>
      </c>
      <c r="W301" s="6">
        <v>1.2685900000000001</v>
      </c>
      <c r="X301" s="19">
        <v>-4.0101000000000004</v>
      </c>
      <c r="Y301" s="6">
        <v>1.2230000000000001</v>
      </c>
      <c r="Z301" s="6">
        <v>625</v>
      </c>
      <c r="AN301" s="17">
        <v>295</v>
      </c>
      <c r="AO301" s="6">
        <v>2.7746499999999998</v>
      </c>
      <c r="AP301" s="19">
        <v>-3.8081999999999998</v>
      </c>
      <c r="AQ301" s="6">
        <v>2.6730999999999998</v>
      </c>
      <c r="AR301" s="6">
        <v>342</v>
      </c>
      <c r="AT301" s="17">
        <v>295</v>
      </c>
      <c r="AU301" s="6">
        <v>5.2576900000000002</v>
      </c>
      <c r="AV301" s="19">
        <v>-3.8081999999999998</v>
      </c>
      <c r="AW301" s="6">
        <v>2.6730999999999998</v>
      </c>
      <c r="AX301" s="6">
        <v>342</v>
      </c>
    </row>
    <row r="302" spans="22:50" x14ac:dyDescent="0.25">
      <c r="V302" s="17">
        <v>296</v>
      </c>
      <c r="W302" s="6">
        <v>1.2806999999999999</v>
      </c>
      <c r="X302" s="19">
        <v>-3.9104999999999999</v>
      </c>
      <c r="Y302" s="6">
        <v>1.2346999999999999</v>
      </c>
      <c r="Z302" s="6">
        <v>633</v>
      </c>
      <c r="AN302" s="17">
        <v>296</v>
      </c>
      <c r="AO302" s="6">
        <v>2.7804799999999998</v>
      </c>
      <c r="AP302" s="19">
        <v>-3.8536000000000001</v>
      </c>
      <c r="AQ302" s="6">
        <v>2.6787000000000001</v>
      </c>
      <c r="AR302" s="6">
        <v>345</v>
      </c>
      <c r="AT302" s="17">
        <v>296</v>
      </c>
      <c r="AU302" s="6">
        <v>5.2686500000000001</v>
      </c>
      <c r="AV302" s="19">
        <v>-3.8536000000000001</v>
      </c>
      <c r="AW302" s="6">
        <v>2.6787000000000001</v>
      </c>
      <c r="AX302" s="6">
        <v>345</v>
      </c>
    </row>
    <row r="303" spans="22:50" x14ac:dyDescent="0.25">
      <c r="V303" s="17">
        <v>297</v>
      </c>
      <c r="W303" s="6">
        <v>1.26878</v>
      </c>
      <c r="X303" s="19">
        <v>-5.3803999999999998</v>
      </c>
      <c r="Y303" s="6">
        <v>1.2232000000000001</v>
      </c>
      <c r="Z303" s="6">
        <v>628</v>
      </c>
      <c r="AN303" s="17">
        <v>297</v>
      </c>
      <c r="AO303" s="6">
        <v>2.7746</v>
      </c>
      <c r="AP303" s="19">
        <v>-5.3902000000000001</v>
      </c>
      <c r="AQ303" s="6">
        <v>2.673</v>
      </c>
      <c r="AR303" s="6">
        <v>342</v>
      </c>
      <c r="AT303" s="17">
        <v>297</v>
      </c>
      <c r="AU303" s="6">
        <v>5.2576099999999997</v>
      </c>
      <c r="AV303" s="19">
        <v>-5.3902000000000001</v>
      </c>
      <c r="AW303" s="6">
        <v>2.673</v>
      </c>
      <c r="AX303" s="6">
        <v>342</v>
      </c>
    </row>
    <row r="304" spans="22:50" x14ac:dyDescent="0.25">
      <c r="V304" s="17">
        <v>298</v>
      </c>
      <c r="W304" s="6">
        <v>1.2482899999999999</v>
      </c>
      <c r="X304" s="19">
        <v>-7.3685999999999998</v>
      </c>
      <c r="Y304" s="6">
        <v>1.2034</v>
      </c>
      <c r="Z304" s="6">
        <v>603</v>
      </c>
      <c r="AN304" s="17">
        <v>298</v>
      </c>
      <c r="AO304" s="6">
        <v>2.7669199999999998</v>
      </c>
      <c r="AP304" s="19">
        <v>-7.4560000000000004</v>
      </c>
      <c r="AQ304" s="6">
        <v>2.6656</v>
      </c>
      <c r="AR304" s="6">
        <v>339</v>
      </c>
      <c r="AT304" s="17">
        <v>298</v>
      </c>
      <c r="AU304" s="6">
        <v>5.24315</v>
      </c>
      <c r="AV304" s="19">
        <v>-7.4560000000000004</v>
      </c>
      <c r="AW304" s="6">
        <v>2.6656</v>
      </c>
      <c r="AX304" s="6">
        <v>339</v>
      </c>
    </row>
    <row r="305" spans="22:50" x14ac:dyDescent="0.25">
      <c r="V305" s="17">
        <v>299</v>
      </c>
      <c r="W305" s="6">
        <v>1.2645</v>
      </c>
      <c r="X305" s="19">
        <v>-4.1688000000000001</v>
      </c>
      <c r="Y305" s="6">
        <v>1.2190000000000001</v>
      </c>
      <c r="Z305" s="6">
        <v>631</v>
      </c>
      <c r="AN305" s="17">
        <v>299</v>
      </c>
      <c r="AO305" s="6">
        <v>2.7737699999999998</v>
      </c>
      <c r="AP305" s="19">
        <v>-4.25</v>
      </c>
      <c r="AQ305" s="6">
        <v>2.6722000000000001</v>
      </c>
      <c r="AR305" s="6">
        <v>342</v>
      </c>
      <c r="AT305" s="17">
        <v>299</v>
      </c>
      <c r="AU305" s="6">
        <v>5.25603</v>
      </c>
      <c r="AV305" s="19">
        <v>-4.25</v>
      </c>
      <c r="AW305" s="6">
        <v>2.6722000000000001</v>
      </c>
      <c r="AX305" s="6">
        <v>342</v>
      </c>
    </row>
    <row r="306" spans="22:50" x14ac:dyDescent="0.25">
      <c r="V306" s="17">
        <v>300</v>
      </c>
      <c r="W306" s="6">
        <v>1.26285</v>
      </c>
      <c r="X306" s="19">
        <v>-0.13489999999999999</v>
      </c>
      <c r="Y306" s="6">
        <v>1.2175</v>
      </c>
      <c r="Z306" s="6">
        <v>632</v>
      </c>
      <c r="AN306" s="17">
        <v>300</v>
      </c>
      <c r="AO306" s="6">
        <v>2.7738200000000002</v>
      </c>
      <c r="AP306" s="19">
        <v>-0.10580000000000001</v>
      </c>
      <c r="AQ306" s="6">
        <v>2.6722999999999999</v>
      </c>
      <c r="AR306" s="6">
        <v>342</v>
      </c>
      <c r="AT306" s="17">
        <v>300</v>
      </c>
      <c r="AU306" s="6">
        <v>5.2561099999999996</v>
      </c>
      <c r="AV306" s="19">
        <v>-0.10580000000000001</v>
      </c>
      <c r="AW306" s="6">
        <v>2.6722999999999999</v>
      </c>
      <c r="AX306" s="6">
        <v>342</v>
      </c>
    </row>
    <row r="307" spans="22:50" x14ac:dyDescent="0.25">
      <c r="V307" s="17">
        <v>301</v>
      </c>
      <c r="W307" s="6">
        <v>1.2990699999999999</v>
      </c>
      <c r="X307" s="19">
        <v>-2.2214</v>
      </c>
      <c r="Y307" s="6">
        <v>1.2524</v>
      </c>
      <c r="Z307" s="6">
        <v>630</v>
      </c>
      <c r="AN307" s="17">
        <v>301</v>
      </c>
      <c r="AO307" s="6">
        <v>2.7877800000000001</v>
      </c>
      <c r="AP307" s="19">
        <v>-2.2071000000000001</v>
      </c>
      <c r="AQ307" s="6">
        <v>2.6858</v>
      </c>
      <c r="AR307" s="6">
        <v>348</v>
      </c>
      <c r="AT307" s="17">
        <v>301</v>
      </c>
      <c r="AU307" s="6">
        <v>5.2823799999999999</v>
      </c>
      <c r="AV307" s="19">
        <v>-2.2071000000000001</v>
      </c>
      <c r="AW307" s="6">
        <v>2.6858</v>
      </c>
      <c r="AX307" s="6">
        <v>348</v>
      </c>
    </row>
    <row r="308" spans="22:50" x14ac:dyDescent="0.25">
      <c r="V308" s="17">
        <v>302</v>
      </c>
      <c r="W308" s="6">
        <v>1.27522</v>
      </c>
      <c r="X308" s="19">
        <v>-3.5880999999999998</v>
      </c>
      <c r="Y308" s="6">
        <v>1.2294</v>
      </c>
      <c r="Z308" s="6">
        <v>626</v>
      </c>
      <c r="AN308" s="17">
        <v>302</v>
      </c>
      <c r="AO308" s="6">
        <v>2.77868</v>
      </c>
      <c r="AP308" s="19">
        <v>-3.5611999999999999</v>
      </c>
      <c r="AQ308" s="6">
        <v>2.677</v>
      </c>
      <c r="AR308" s="6">
        <v>344</v>
      </c>
      <c r="AT308" s="17">
        <v>302</v>
      </c>
      <c r="AU308" s="6">
        <v>5.26525</v>
      </c>
      <c r="AV308" s="19">
        <v>-3.5611999999999999</v>
      </c>
      <c r="AW308" s="6">
        <v>2.677</v>
      </c>
      <c r="AX308" s="6">
        <v>344</v>
      </c>
    </row>
    <row r="309" spans="22:50" x14ac:dyDescent="0.25">
      <c r="V309" s="17">
        <v>303</v>
      </c>
      <c r="W309" s="6">
        <v>1.2605900000000001</v>
      </c>
      <c r="X309" s="19">
        <v>-2.5823</v>
      </c>
      <c r="Y309" s="6">
        <v>1.2152000000000001</v>
      </c>
      <c r="Z309" s="6">
        <v>603</v>
      </c>
      <c r="AN309" s="17">
        <v>303</v>
      </c>
      <c r="AO309" s="6">
        <v>2.7715999999999998</v>
      </c>
      <c r="AP309" s="19">
        <v>-2.5365000000000002</v>
      </c>
      <c r="AQ309" s="6">
        <v>2.6701000000000001</v>
      </c>
      <c r="AR309" s="6">
        <v>341</v>
      </c>
      <c r="AT309" s="17">
        <v>303</v>
      </c>
      <c r="AU309" s="6">
        <v>5.2519600000000004</v>
      </c>
      <c r="AV309" s="19">
        <v>-2.5365000000000002</v>
      </c>
      <c r="AW309" s="6">
        <v>2.6701000000000001</v>
      </c>
      <c r="AX309" s="6">
        <v>341</v>
      </c>
    </row>
    <row r="310" spans="22:50" x14ac:dyDescent="0.25">
      <c r="V310" s="17">
        <v>304</v>
      </c>
      <c r="W310" s="6">
        <v>1.28074</v>
      </c>
      <c r="X310" s="6">
        <v>1.3992</v>
      </c>
      <c r="Y310" s="6">
        <v>1.2346999999999999</v>
      </c>
      <c r="Z310" s="6">
        <v>641</v>
      </c>
      <c r="AN310" s="17">
        <v>304</v>
      </c>
      <c r="AO310" s="6">
        <v>2.7809900000000001</v>
      </c>
      <c r="AP310" s="6">
        <v>1.3241000000000001</v>
      </c>
      <c r="AQ310" s="6">
        <v>2.6791999999999998</v>
      </c>
      <c r="AR310" s="6">
        <v>345</v>
      </c>
      <c r="AT310" s="17">
        <v>304</v>
      </c>
      <c r="AU310" s="6">
        <v>5.2696100000000001</v>
      </c>
      <c r="AV310" s="6">
        <v>1.3241000000000001</v>
      </c>
      <c r="AW310" s="6">
        <v>2.6791999999999998</v>
      </c>
      <c r="AX310" s="6">
        <v>345</v>
      </c>
    </row>
    <row r="311" spans="22:50" x14ac:dyDescent="0.25">
      <c r="V311" s="17">
        <v>305</v>
      </c>
      <c r="W311" s="6">
        <v>1.2800199999999999</v>
      </c>
      <c r="X311" s="19">
        <v>-4.9691000000000001</v>
      </c>
      <c r="Y311" s="6">
        <v>1.234</v>
      </c>
      <c r="Z311" s="6">
        <v>615</v>
      </c>
      <c r="AN311" s="17">
        <v>305</v>
      </c>
      <c r="AO311" s="6">
        <v>2.7800400000000001</v>
      </c>
      <c r="AP311" s="19">
        <v>-4.9138999999999999</v>
      </c>
      <c r="AQ311" s="6">
        <v>2.6783000000000001</v>
      </c>
      <c r="AR311" s="6">
        <v>345</v>
      </c>
      <c r="AT311" s="17">
        <v>305</v>
      </c>
      <c r="AU311" s="6">
        <v>5.2678200000000004</v>
      </c>
      <c r="AV311" s="19">
        <v>-4.9138999999999999</v>
      </c>
      <c r="AW311" s="6">
        <v>2.6783000000000001</v>
      </c>
      <c r="AX311" s="6">
        <v>345</v>
      </c>
    </row>
    <row r="312" spans="22:50" x14ac:dyDescent="0.25">
      <c r="V312" s="17">
        <v>306</v>
      </c>
      <c r="W312" s="6">
        <v>1.2666299999999999</v>
      </c>
      <c r="X312" s="19">
        <v>-4.2347999999999999</v>
      </c>
      <c r="Y312" s="6">
        <v>1.2211000000000001</v>
      </c>
      <c r="Z312" s="6">
        <v>628</v>
      </c>
      <c r="AN312" s="17">
        <v>306</v>
      </c>
      <c r="AO312" s="6">
        <v>2.7749000000000001</v>
      </c>
      <c r="AP312" s="19">
        <v>-4.3164999999999996</v>
      </c>
      <c r="AQ312" s="6">
        <v>2.6732999999999998</v>
      </c>
      <c r="AR312" s="6">
        <v>343</v>
      </c>
      <c r="AT312" s="17">
        <v>306</v>
      </c>
      <c r="AU312" s="6">
        <v>5.2581499999999997</v>
      </c>
      <c r="AV312" s="19">
        <v>-4.3164999999999996</v>
      </c>
      <c r="AW312" s="6">
        <v>2.6732999999999998</v>
      </c>
      <c r="AX312" s="6">
        <v>343</v>
      </c>
    </row>
    <row r="313" spans="22:50" x14ac:dyDescent="0.25">
      <c r="V313" s="17">
        <v>307</v>
      </c>
      <c r="W313" s="6">
        <v>1.2487600000000001</v>
      </c>
      <c r="X313" s="19">
        <v>-2.3235000000000001</v>
      </c>
      <c r="Y313" s="6">
        <v>1.2038</v>
      </c>
      <c r="Z313" s="6">
        <v>607</v>
      </c>
      <c r="AN313" s="17">
        <v>307</v>
      </c>
      <c r="AO313" s="6">
        <v>2.7680199999999999</v>
      </c>
      <c r="AP313" s="19">
        <v>-2.4607999999999999</v>
      </c>
      <c r="AQ313" s="6">
        <v>2.6665999999999999</v>
      </c>
      <c r="AR313" s="6">
        <v>340</v>
      </c>
      <c r="AT313" s="17">
        <v>307</v>
      </c>
      <c r="AU313" s="6">
        <v>5.2451999999999996</v>
      </c>
      <c r="AV313" s="19">
        <v>-2.4607999999999999</v>
      </c>
      <c r="AW313" s="6">
        <v>2.6665999999999999</v>
      </c>
      <c r="AX313" s="6">
        <v>340</v>
      </c>
    </row>
    <row r="314" spans="22:50" x14ac:dyDescent="0.25">
      <c r="V314" s="17">
        <v>308</v>
      </c>
      <c r="W314" s="6">
        <v>1.2751699999999999</v>
      </c>
      <c r="X314" s="6">
        <v>4.3097000000000003</v>
      </c>
      <c r="Y314" s="6">
        <v>1.2293000000000001</v>
      </c>
      <c r="Z314" s="6">
        <v>633</v>
      </c>
      <c r="AN314" s="17">
        <v>308</v>
      </c>
      <c r="AO314" s="6">
        <v>2.7784300000000002</v>
      </c>
      <c r="AP314" s="6">
        <v>4.5419999999999998</v>
      </c>
      <c r="AQ314" s="6">
        <v>2.6766999999999999</v>
      </c>
      <c r="AR314" s="6">
        <v>344</v>
      </c>
      <c r="AT314" s="17">
        <v>308</v>
      </c>
      <c r="AU314" s="6">
        <v>5.2647899999999996</v>
      </c>
      <c r="AV314" s="6">
        <v>4.5419999999999998</v>
      </c>
      <c r="AW314" s="6">
        <v>2.6766999999999999</v>
      </c>
      <c r="AX314" s="6">
        <v>344</v>
      </c>
    </row>
    <row r="315" spans="22:50" x14ac:dyDescent="0.25">
      <c r="V315" s="17">
        <v>309</v>
      </c>
      <c r="W315" s="6">
        <v>1.2564299999999999</v>
      </c>
      <c r="X315" s="6">
        <v>0.86460000000000004</v>
      </c>
      <c r="Y315" s="6">
        <v>1.2112000000000001</v>
      </c>
      <c r="Z315" s="6">
        <v>611</v>
      </c>
      <c r="AN315" s="17">
        <v>309</v>
      </c>
      <c r="AO315" s="6">
        <v>2.7705700000000002</v>
      </c>
      <c r="AP315" s="6">
        <v>0.98319999999999996</v>
      </c>
      <c r="AQ315" s="6">
        <v>2.6690999999999998</v>
      </c>
      <c r="AR315" s="6">
        <v>341</v>
      </c>
      <c r="AT315" s="17">
        <v>309</v>
      </c>
      <c r="AU315" s="6">
        <v>5.2500099999999996</v>
      </c>
      <c r="AV315" s="6">
        <v>0.98319999999999996</v>
      </c>
      <c r="AW315" s="6">
        <v>2.6690999999999998</v>
      </c>
      <c r="AX315" s="6">
        <v>341</v>
      </c>
    </row>
    <row r="316" spans="22:50" x14ac:dyDescent="0.25">
      <c r="V316" s="17">
        <v>310</v>
      </c>
      <c r="W316" s="6">
        <v>1.25956</v>
      </c>
      <c r="X316" s="6">
        <v>2.1709999999999998</v>
      </c>
      <c r="Y316" s="6">
        <v>1.2142999999999999</v>
      </c>
      <c r="Z316" s="6">
        <v>627</v>
      </c>
      <c r="AN316" s="17">
        <v>310</v>
      </c>
      <c r="AO316" s="6">
        <v>2.7724600000000001</v>
      </c>
      <c r="AP316" s="6">
        <v>2.2035</v>
      </c>
      <c r="AQ316" s="6">
        <v>2.6709000000000001</v>
      </c>
      <c r="AR316" s="6">
        <v>342</v>
      </c>
      <c r="AT316" s="17">
        <v>310</v>
      </c>
      <c r="AU316" s="6">
        <v>5.2535600000000002</v>
      </c>
      <c r="AV316" s="6">
        <v>2.2035</v>
      </c>
      <c r="AW316" s="6">
        <v>2.6709000000000001</v>
      </c>
      <c r="AX316" s="6">
        <v>342</v>
      </c>
    </row>
    <row r="317" spans="22:50" x14ac:dyDescent="0.25">
      <c r="V317" s="17">
        <v>311</v>
      </c>
      <c r="W317" s="6">
        <v>1.2794000000000001</v>
      </c>
      <c r="X317" s="19">
        <v>-0.23849999999999999</v>
      </c>
      <c r="Y317" s="6">
        <v>1.2334000000000001</v>
      </c>
      <c r="Z317" s="6">
        <v>621</v>
      </c>
      <c r="AN317" s="17">
        <v>311</v>
      </c>
      <c r="AO317" s="6">
        <v>2.7797399999999999</v>
      </c>
      <c r="AP317" s="19">
        <v>-0.1938</v>
      </c>
      <c r="AQ317" s="6">
        <v>2.6779999999999999</v>
      </c>
      <c r="AR317" s="6">
        <v>345</v>
      </c>
      <c r="AT317" s="17">
        <v>311</v>
      </c>
      <c r="AU317" s="6">
        <v>5.2672699999999999</v>
      </c>
      <c r="AV317" s="19">
        <v>-0.1938</v>
      </c>
      <c r="AW317" s="6">
        <v>2.6779999999999999</v>
      </c>
      <c r="AX317" s="6">
        <v>345</v>
      </c>
    </row>
    <row r="318" spans="22:50" x14ac:dyDescent="0.25">
      <c r="V318" s="17">
        <v>312</v>
      </c>
      <c r="W318" s="6">
        <v>1.2643800000000001</v>
      </c>
      <c r="X318" s="6">
        <v>1.0335000000000001</v>
      </c>
      <c r="Y318" s="6">
        <v>1.2189000000000001</v>
      </c>
      <c r="Z318" s="6">
        <v>605</v>
      </c>
      <c r="AN318" s="17">
        <v>312</v>
      </c>
      <c r="AO318" s="6">
        <v>2.77413</v>
      </c>
      <c r="AP318" s="6">
        <v>1.0918000000000001</v>
      </c>
      <c r="AQ318" s="6">
        <v>2.6726000000000001</v>
      </c>
      <c r="AR318" s="6">
        <v>342</v>
      </c>
      <c r="AT318" s="17">
        <v>312</v>
      </c>
      <c r="AU318" s="6">
        <v>5.2566899999999999</v>
      </c>
      <c r="AV318" s="6">
        <v>1.0918000000000001</v>
      </c>
      <c r="AW318" s="6">
        <v>2.6726000000000001</v>
      </c>
      <c r="AX318" s="6">
        <v>342</v>
      </c>
    </row>
    <row r="319" spans="22:50" x14ac:dyDescent="0.25">
      <c r="V319" s="17">
        <v>313</v>
      </c>
      <c r="W319" s="6">
        <v>1.28345</v>
      </c>
      <c r="X319" s="19">
        <v>-8.6311999999999998</v>
      </c>
      <c r="Y319" s="6">
        <v>1.2373000000000001</v>
      </c>
      <c r="Z319" s="6">
        <v>616</v>
      </c>
      <c r="AN319" s="17">
        <v>313</v>
      </c>
      <c r="AO319" s="6">
        <v>2.78091</v>
      </c>
      <c r="AP319" s="19">
        <v>-8.5396999999999998</v>
      </c>
      <c r="AQ319" s="6">
        <v>2.6791</v>
      </c>
      <c r="AR319" s="6">
        <v>345</v>
      </c>
      <c r="AT319" s="17">
        <v>313</v>
      </c>
      <c r="AU319" s="6">
        <v>5.2694700000000001</v>
      </c>
      <c r="AV319" s="19">
        <v>-8.5396999999999998</v>
      </c>
      <c r="AW319" s="6">
        <v>2.6791</v>
      </c>
      <c r="AX319" s="6">
        <v>345</v>
      </c>
    </row>
    <row r="320" spans="22:50" x14ac:dyDescent="0.25">
      <c r="V320" s="17">
        <v>314</v>
      </c>
      <c r="W320" s="6">
        <v>1.26349</v>
      </c>
      <c r="X320" s="19">
        <v>-4.7279</v>
      </c>
      <c r="Y320" s="6">
        <v>1.2181</v>
      </c>
      <c r="Z320" s="6">
        <v>635</v>
      </c>
      <c r="AN320" s="17">
        <v>314</v>
      </c>
      <c r="AO320" s="6">
        <v>2.7746499999999998</v>
      </c>
      <c r="AP320" s="19">
        <v>-4.7678000000000003</v>
      </c>
      <c r="AQ320" s="6">
        <v>2.6730999999999998</v>
      </c>
      <c r="AR320" s="6">
        <v>343</v>
      </c>
      <c r="AT320" s="17">
        <v>314</v>
      </c>
      <c r="AU320" s="6">
        <v>5.2576799999999997</v>
      </c>
      <c r="AV320" s="19">
        <v>-4.7678000000000003</v>
      </c>
      <c r="AW320" s="6">
        <v>2.6730999999999998</v>
      </c>
      <c r="AX320" s="6">
        <v>343</v>
      </c>
    </row>
    <row r="321" spans="22:50" x14ac:dyDescent="0.25">
      <c r="V321" s="17">
        <v>315</v>
      </c>
      <c r="W321" s="6">
        <v>1.28413</v>
      </c>
      <c r="X321" s="19">
        <v>-2.0051999999999999</v>
      </c>
      <c r="Y321" s="6">
        <v>1.238</v>
      </c>
      <c r="Z321" s="6">
        <v>633</v>
      </c>
      <c r="AN321" s="17">
        <v>315</v>
      </c>
      <c r="AO321" s="6">
        <v>2.7823699999999998</v>
      </c>
      <c r="AP321" s="19">
        <v>-1.9354</v>
      </c>
      <c r="AQ321" s="6">
        <v>2.6804999999999999</v>
      </c>
      <c r="AR321" s="6">
        <v>346</v>
      </c>
      <c r="AT321" s="17">
        <v>315</v>
      </c>
      <c r="AU321" s="6">
        <v>5.2722100000000003</v>
      </c>
      <c r="AV321" s="19">
        <v>-1.9354</v>
      </c>
      <c r="AW321" s="6">
        <v>2.6804999999999999</v>
      </c>
      <c r="AX321" s="6">
        <v>346</v>
      </c>
    </row>
    <row r="322" spans="22:50" x14ac:dyDescent="0.25">
      <c r="V322" s="17">
        <v>316</v>
      </c>
      <c r="W322" s="6">
        <v>1.24624</v>
      </c>
      <c r="X322" s="6">
        <v>3.6309</v>
      </c>
      <c r="Y322" s="6">
        <v>1.2014</v>
      </c>
      <c r="Z322" s="6">
        <v>609</v>
      </c>
      <c r="AN322" s="17">
        <v>316</v>
      </c>
      <c r="AO322" s="6">
        <v>2.7665099999999998</v>
      </c>
      <c r="AP322" s="6">
        <v>3.4064000000000001</v>
      </c>
      <c r="AQ322" s="6">
        <v>2.6652</v>
      </c>
      <c r="AR322" s="6">
        <v>339</v>
      </c>
      <c r="AT322" s="17">
        <v>316</v>
      </c>
      <c r="AU322" s="6">
        <v>5.2423599999999997</v>
      </c>
      <c r="AV322" s="6">
        <v>3.4064000000000001</v>
      </c>
      <c r="AW322" s="6">
        <v>2.6652</v>
      </c>
      <c r="AX322" s="6">
        <v>339</v>
      </c>
    </row>
    <row r="323" spans="22:50" x14ac:dyDescent="0.25">
      <c r="V323" s="17">
        <v>317</v>
      </c>
      <c r="W323" s="6">
        <v>1.2743899999999999</v>
      </c>
      <c r="X323" s="19">
        <v>-1.6321000000000001</v>
      </c>
      <c r="Y323" s="6">
        <v>1.2284999999999999</v>
      </c>
      <c r="Z323" s="6">
        <v>610</v>
      </c>
      <c r="AN323" s="17">
        <v>317</v>
      </c>
      <c r="AO323" s="6">
        <v>2.7774100000000002</v>
      </c>
      <c r="AP323" s="19">
        <v>-1.8295999999999999</v>
      </c>
      <c r="AQ323" s="6">
        <v>2.6757</v>
      </c>
      <c r="AR323" s="6">
        <v>344</v>
      </c>
      <c r="AT323" s="17">
        <v>317</v>
      </c>
      <c r="AU323" s="6">
        <v>5.26288</v>
      </c>
      <c r="AV323" s="19">
        <v>-1.8295999999999999</v>
      </c>
      <c r="AW323" s="6">
        <v>2.6757</v>
      </c>
      <c r="AX323" s="6">
        <v>344</v>
      </c>
    </row>
    <row r="324" spans="22:50" x14ac:dyDescent="0.25">
      <c r="V324" s="17">
        <v>318</v>
      </c>
      <c r="W324" s="6">
        <v>1.2695700000000001</v>
      </c>
      <c r="X324" s="19">
        <v>-1.3426</v>
      </c>
      <c r="Y324" s="6">
        <v>1.2239</v>
      </c>
      <c r="Z324" s="6">
        <v>629</v>
      </c>
      <c r="AN324" s="17">
        <v>318</v>
      </c>
      <c r="AO324" s="6">
        <v>2.77589</v>
      </c>
      <c r="AP324" s="19">
        <v>-1.5142</v>
      </c>
      <c r="AQ324" s="6">
        <v>2.6743000000000001</v>
      </c>
      <c r="AR324" s="6">
        <v>343</v>
      </c>
      <c r="AT324" s="17">
        <v>318</v>
      </c>
      <c r="AU324" s="6">
        <v>5.2600100000000003</v>
      </c>
      <c r="AV324" s="19">
        <v>-1.5142</v>
      </c>
      <c r="AW324" s="6">
        <v>2.6743000000000001</v>
      </c>
      <c r="AX324" s="6">
        <v>343</v>
      </c>
    </row>
    <row r="325" spans="22:50" x14ac:dyDescent="0.25">
      <c r="V325" s="17">
        <v>319</v>
      </c>
      <c r="W325" s="6">
        <v>1.2651699999999999</v>
      </c>
      <c r="X325" s="6">
        <v>13.329700000000001</v>
      </c>
      <c r="Y325" s="6">
        <v>1.2197</v>
      </c>
      <c r="Z325" s="6">
        <v>620</v>
      </c>
      <c r="AN325" s="17">
        <v>319</v>
      </c>
      <c r="AO325" s="6">
        <v>2.7743000000000002</v>
      </c>
      <c r="AP325" s="6">
        <v>13.492599999999999</v>
      </c>
      <c r="AQ325" s="6">
        <v>2.6726999999999999</v>
      </c>
      <c r="AR325" s="6">
        <v>342</v>
      </c>
      <c r="AT325" s="17">
        <v>319</v>
      </c>
      <c r="AU325" s="6">
        <v>5.2570100000000002</v>
      </c>
      <c r="AV325" s="6">
        <v>13.492599999999999</v>
      </c>
      <c r="AW325" s="6">
        <v>2.6726999999999999</v>
      </c>
      <c r="AX325" s="6">
        <v>342</v>
      </c>
    </row>
    <row r="326" spans="22:50" x14ac:dyDescent="0.25">
      <c r="V326" s="17">
        <v>320</v>
      </c>
      <c r="W326" s="6">
        <v>1.27786</v>
      </c>
      <c r="X326" s="19">
        <v>-4.3516000000000004</v>
      </c>
      <c r="Y326" s="6">
        <v>1.2319</v>
      </c>
      <c r="Z326" s="6">
        <v>614</v>
      </c>
      <c r="AN326" s="17">
        <v>320</v>
      </c>
      <c r="AO326" s="6">
        <v>2.7789000000000001</v>
      </c>
      <c r="AP326" s="19">
        <v>-4.2295999999999996</v>
      </c>
      <c r="AQ326" s="6">
        <v>2.6772</v>
      </c>
      <c r="AR326" s="6">
        <v>344</v>
      </c>
      <c r="AT326" s="17">
        <v>320</v>
      </c>
      <c r="AU326" s="6">
        <v>5.2656700000000001</v>
      </c>
      <c r="AV326" s="19">
        <v>-4.2295999999999996</v>
      </c>
      <c r="AW326" s="6">
        <v>2.6772</v>
      </c>
      <c r="AX326" s="6">
        <v>344</v>
      </c>
    </row>
    <row r="327" spans="22:50" x14ac:dyDescent="0.25">
      <c r="V327" s="17">
        <v>321</v>
      </c>
      <c r="W327" s="6">
        <v>1.26491</v>
      </c>
      <c r="X327" s="19">
        <v>-0.41820000000000002</v>
      </c>
      <c r="Y327" s="6">
        <v>1.2194</v>
      </c>
      <c r="Z327" s="6">
        <v>636</v>
      </c>
      <c r="AN327" s="17">
        <v>321</v>
      </c>
      <c r="AO327" s="6">
        <v>2.7754099999999999</v>
      </c>
      <c r="AP327" s="19">
        <v>-0.40389999999999998</v>
      </c>
      <c r="AQ327" s="6">
        <v>2.6738</v>
      </c>
      <c r="AR327" s="6">
        <v>343</v>
      </c>
      <c r="AT327" s="17">
        <v>321</v>
      </c>
      <c r="AU327" s="6">
        <v>5.2590899999999996</v>
      </c>
      <c r="AV327" s="19">
        <v>-0.40389999999999998</v>
      </c>
      <c r="AW327" s="6">
        <v>2.6738</v>
      </c>
      <c r="AX327" s="6">
        <v>343</v>
      </c>
    </row>
    <row r="328" spans="22:50" x14ac:dyDescent="0.25">
      <c r="V328" s="17">
        <v>322</v>
      </c>
      <c r="W328" s="6">
        <v>1.26691</v>
      </c>
      <c r="X328" s="19">
        <v>-0.63970000000000005</v>
      </c>
      <c r="Y328" s="6">
        <v>1.2214</v>
      </c>
      <c r="Z328" s="6">
        <v>632</v>
      </c>
      <c r="AN328" s="17">
        <v>322</v>
      </c>
      <c r="AO328" s="6">
        <v>2.77542</v>
      </c>
      <c r="AP328" s="19">
        <v>-0.60329999999999995</v>
      </c>
      <c r="AQ328" s="6">
        <v>2.6738</v>
      </c>
      <c r="AR328" s="6">
        <v>343</v>
      </c>
      <c r="AT328" s="17">
        <v>322</v>
      </c>
      <c r="AU328" s="6">
        <v>5.2591200000000002</v>
      </c>
      <c r="AV328" s="19">
        <v>-0.60329999999999995</v>
      </c>
      <c r="AW328" s="6">
        <v>2.6738</v>
      </c>
      <c r="AX328" s="6">
        <v>343</v>
      </c>
    </row>
    <row r="329" spans="22:50" x14ac:dyDescent="0.25">
      <c r="V329" s="17">
        <v>323</v>
      </c>
      <c r="W329" s="6">
        <v>1.27721</v>
      </c>
      <c r="X329" s="19">
        <v>-5.3592000000000004</v>
      </c>
      <c r="Y329" s="6">
        <v>1.2313000000000001</v>
      </c>
      <c r="Z329" s="6">
        <v>624</v>
      </c>
      <c r="AN329" s="17">
        <v>323</v>
      </c>
      <c r="AO329" s="6">
        <v>2.77854</v>
      </c>
      <c r="AP329" s="19">
        <v>-5.2552000000000003</v>
      </c>
      <c r="AQ329" s="6">
        <v>2.6768000000000001</v>
      </c>
      <c r="AR329" s="6">
        <v>344</v>
      </c>
      <c r="AT329" s="17">
        <v>323</v>
      </c>
      <c r="AU329" s="6">
        <v>5.2650100000000002</v>
      </c>
      <c r="AV329" s="19">
        <v>-5.2552000000000003</v>
      </c>
      <c r="AW329" s="6">
        <v>2.6768000000000001</v>
      </c>
      <c r="AX329" s="6">
        <v>344</v>
      </c>
    </row>
    <row r="330" spans="22:50" x14ac:dyDescent="0.25">
      <c r="V330" s="17">
        <v>324</v>
      </c>
      <c r="W330" s="6">
        <v>1.2501500000000001</v>
      </c>
      <c r="X330" s="19">
        <v>-4.3886000000000003</v>
      </c>
      <c r="Y330" s="6">
        <v>1.2052</v>
      </c>
      <c r="Z330" s="6">
        <v>615</v>
      </c>
      <c r="AN330" s="17">
        <v>324</v>
      </c>
      <c r="AO330" s="6">
        <v>2.7675999999999998</v>
      </c>
      <c r="AP330" s="19">
        <v>-4.1760000000000002</v>
      </c>
      <c r="AQ330" s="6">
        <v>2.6661999999999999</v>
      </c>
      <c r="AR330" s="6">
        <v>339</v>
      </c>
      <c r="AT330" s="17">
        <v>324</v>
      </c>
      <c r="AU330" s="6">
        <v>5.2444300000000004</v>
      </c>
      <c r="AV330" s="19">
        <v>-4.1760000000000002</v>
      </c>
      <c r="AW330" s="6">
        <v>2.6661999999999999</v>
      </c>
      <c r="AX330" s="6">
        <v>339</v>
      </c>
    </row>
    <row r="331" spans="22:50" x14ac:dyDescent="0.25">
      <c r="V331" s="17">
        <v>325</v>
      </c>
      <c r="W331" s="6">
        <v>1.2601500000000001</v>
      </c>
      <c r="X331" s="19">
        <v>-4.2891000000000004</v>
      </c>
      <c r="Y331" s="6">
        <v>1.2148000000000001</v>
      </c>
      <c r="Z331" s="6">
        <v>621</v>
      </c>
      <c r="AN331" s="17">
        <v>325</v>
      </c>
      <c r="AO331" s="6">
        <v>2.7726299999999999</v>
      </c>
      <c r="AP331" s="19">
        <v>-4.2214</v>
      </c>
      <c r="AQ331" s="6">
        <v>2.6711</v>
      </c>
      <c r="AR331" s="6">
        <v>342</v>
      </c>
      <c r="AT331" s="17">
        <v>325</v>
      </c>
      <c r="AU331" s="6">
        <v>5.25387</v>
      </c>
      <c r="AV331" s="19">
        <v>-4.2214</v>
      </c>
      <c r="AW331" s="6">
        <v>2.6711</v>
      </c>
      <c r="AX331" s="6">
        <v>342</v>
      </c>
    </row>
    <row r="332" spans="22:50" x14ac:dyDescent="0.25">
      <c r="V332" s="17">
        <v>326</v>
      </c>
      <c r="W332" s="6">
        <v>1.2955300000000001</v>
      </c>
      <c r="X332" s="19">
        <v>-5.7590000000000003</v>
      </c>
      <c r="Y332" s="6">
        <v>1.2490000000000001</v>
      </c>
      <c r="Z332" s="6">
        <v>639</v>
      </c>
      <c r="AN332" s="17">
        <v>326</v>
      </c>
      <c r="AO332" s="6">
        <v>2.7873399999999999</v>
      </c>
      <c r="AP332" s="19">
        <v>-5.758</v>
      </c>
      <c r="AQ332" s="6">
        <v>2.6854</v>
      </c>
      <c r="AR332" s="6">
        <v>348</v>
      </c>
      <c r="AT332" s="17">
        <v>326</v>
      </c>
      <c r="AU332" s="6">
        <v>5.2815399999999997</v>
      </c>
      <c r="AV332" s="19">
        <v>-5.758</v>
      </c>
      <c r="AW332" s="6">
        <v>2.6854</v>
      </c>
      <c r="AX332" s="6">
        <v>348</v>
      </c>
    </row>
    <row r="333" spans="22:50" x14ac:dyDescent="0.25">
      <c r="V333" s="17">
        <v>327</v>
      </c>
      <c r="W333" s="6">
        <v>1.2530399999999999</v>
      </c>
      <c r="X333" s="19">
        <v>-7.7472000000000003</v>
      </c>
      <c r="Y333" s="6">
        <v>1.2079</v>
      </c>
      <c r="Z333" s="6">
        <v>603</v>
      </c>
      <c r="AN333" s="17">
        <v>327</v>
      </c>
      <c r="AO333" s="6">
        <v>2.7688999999999999</v>
      </c>
      <c r="AP333" s="19">
        <v>-7.8238000000000003</v>
      </c>
      <c r="AQ333" s="6">
        <v>2.6675</v>
      </c>
      <c r="AR333" s="6">
        <v>340</v>
      </c>
      <c r="AT333" s="17">
        <v>327</v>
      </c>
      <c r="AU333" s="6">
        <v>5.2468599999999999</v>
      </c>
      <c r="AV333" s="19">
        <v>-7.8238000000000003</v>
      </c>
      <c r="AW333" s="6">
        <v>2.6675</v>
      </c>
      <c r="AX333" s="6">
        <v>340</v>
      </c>
    </row>
    <row r="334" spans="22:50" x14ac:dyDescent="0.25">
      <c r="V334" s="17">
        <v>328</v>
      </c>
      <c r="W334" s="6">
        <v>1.26698</v>
      </c>
      <c r="X334" s="19">
        <v>-4.5473999999999997</v>
      </c>
      <c r="Y334" s="6">
        <v>1.2214</v>
      </c>
      <c r="Z334" s="6">
        <v>629</v>
      </c>
      <c r="AN334" s="17">
        <v>328</v>
      </c>
      <c r="AO334" s="6">
        <v>2.7750300000000001</v>
      </c>
      <c r="AP334" s="19">
        <v>-4.6177999999999999</v>
      </c>
      <c r="AQ334" s="6">
        <v>2.6734</v>
      </c>
      <c r="AR334" s="6">
        <v>343</v>
      </c>
      <c r="AT334" s="17">
        <v>328</v>
      </c>
      <c r="AU334" s="6">
        <v>5.2583900000000003</v>
      </c>
      <c r="AV334" s="19">
        <v>-4.6177999999999999</v>
      </c>
      <c r="AW334" s="6">
        <v>2.6734</v>
      </c>
      <c r="AX334" s="6">
        <v>343</v>
      </c>
    </row>
    <row r="335" spans="22:50" x14ac:dyDescent="0.25">
      <c r="V335" s="17">
        <v>329</v>
      </c>
      <c r="W335" s="6">
        <v>1.2717700000000001</v>
      </c>
      <c r="X335" s="19">
        <v>-0.51349999999999996</v>
      </c>
      <c r="Y335" s="6">
        <v>1.2261</v>
      </c>
      <c r="Z335" s="6">
        <v>636</v>
      </c>
      <c r="AN335" s="17">
        <v>329</v>
      </c>
      <c r="AO335" s="6">
        <v>2.77834</v>
      </c>
      <c r="AP335" s="19">
        <v>-0.47360000000000002</v>
      </c>
      <c r="AQ335" s="6">
        <v>2.6766000000000001</v>
      </c>
      <c r="AR335" s="6">
        <v>345</v>
      </c>
      <c r="AT335" s="17">
        <v>329</v>
      </c>
      <c r="AU335" s="6">
        <v>5.2645999999999997</v>
      </c>
      <c r="AV335" s="19">
        <v>-0.47360000000000002</v>
      </c>
      <c r="AW335" s="6">
        <v>2.6766000000000001</v>
      </c>
      <c r="AX335" s="6">
        <v>345</v>
      </c>
    </row>
    <row r="336" spans="22:50" x14ac:dyDescent="0.25">
      <c r="V336" s="17">
        <v>330</v>
      </c>
      <c r="W336" s="6">
        <v>1.2936700000000001</v>
      </c>
      <c r="X336" s="19">
        <v>-2.5998999999999999</v>
      </c>
      <c r="Y336" s="6">
        <v>1.2472000000000001</v>
      </c>
      <c r="Z336" s="6">
        <v>624</v>
      </c>
      <c r="AN336" s="17">
        <v>330</v>
      </c>
      <c r="AO336" s="6">
        <v>2.7854399999999999</v>
      </c>
      <c r="AP336" s="19">
        <v>-2.5749</v>
      </c>
      <c r="AQ336" s="6">
        <v>2.6835</v>
      </c>
      <c r="AR336" s="6">
        <v>347</v>
      </c>
      <c r="AT336" s="17">
        <v>330</v>
      </c>
      <c r="AU336" s="6">
        <v>5.27799</v>
      </c>
      <c r="AV336" s="19">
        <v>-2.5749</v>
      </c>
      <c r="AW336" s="6">
        <v>2.6835</v>
      </c>
      <c r="AX336" s="6">
        <v>347</v>
      </c>
    </row>
    <row r="337" spans="22:50" x14ac:dyDescent="0.25">
      <c r="V337" s="17">
        <v>331</v>
      </c>
      <c r="W337" s="6">
        <v>1.2723199999999999</v>
      </c>
      <c r="X337" s="19">
        <v>-3.9666000000000001</v>
      </c>
      <c r="Y337" s="6">
        <v>1.2265999999999999</v>
      </c>
      <c r="Z337" s="6">
        <v>618</v>
      </c>
      <c r="AN337" s="17">
        <v>331</v>
      </c>
      <c r="AO337" s="6">
        <v>2.7768700000000002</v>
      </c>
      <c r="AP337" s="19">
        <v>-3.9289999999999998</v>
      </c>
      <c r="AQ337" s="6">
        <v>2.6751999999999998</v>
      </c>
      <c r="AR337" s="6">
        <v>343</v>
      </c>
      <c r="AT337" s="17">
        <v>331</v>
      </c>
      <c r="AU337" s="6">
        <v>5.26187</v>
      </c>
      <c r="AV337" s="19">
        <v>-3.9289999999999998</v>
      </c>
      <c r="AW337" s="6">
        <v>2.6751999999999998</v>
      </c>
      <c r="AX337" s="6">
        <v>343</v>
      </c>
    </row>
    <row r="338" spans="22:50" x14ac:dyDescent="0.25">
      <c r="V338" s="17">
        <v>332</v>
      </c>
      <c r="W338" s="6">
        <v>1.27308</v>
      </c>
      <c r="X338" s="19">
        <v>-2.9607999999999999</v>
      </c>
      <c r="Y338" s="6">
        <v>1.2273000000000001</v>
      </c>
      <c r="Z338" s="6">
        <v>627</v>
      </c>
      <c r="AN338" s="17">
        <v>332</v>
      </c>
      <c r="AO338" s="6">
        <v>2.77765</v>
      </c>
      <c r="AP338" s="19">
        <v>-2.9043000000000001</v>
      </c>
      <c r="AQ338" s="6">
        <v>2.6760000000000002</v>
      </c>
      <c r="AR338" s="6">
        <v>344</v>
      </c>
      <c r="AT338" s="17">
        <v>332</v>
      </c>
      <c r="AU338" s="6">
        <v>5.2633299999999998</v>
      </c>
      <c r="AV338" s="19">
        <v>-2.9043000000000001</v>
      </c>
      <c r="AW338" s="6">
        <v>2.6760000000000002</v>
      </c>
      <c r="AX338" s="6">
        <v>344</v>
      </c>
    </row>
    <row r="339" spans="22:50" x14ac:dyDescent="0.25">
      <c r="V339" s="17">
        <v>333</v>
      </c>
      <c r="W339" s="6">
        <v>1.2888299999999999</v>
      </c>
      <c r="X339" s="6">
        <v>1.0206</v>
      </c>
      <c r="Y339" s="6">
        <v>1.2424999999999999</v>
      </c>
      <c r="Z339" s="6">
        <v>638</v>
      </c>
      <c r="AN339" s="17">
        <v>333</v>
      </c>
      <c r="AO339" s="6">
        <v>2.7850000000000001</v>
      </c>
      <c r="AP339" s="6">
        <v>0.95630000000000004</v>
      </c>
      <c r="AQ339" s="6">
        <v>2.6831</v>
      </c>
      <c r="AR339" s="6">
        <v>347</v>
      </c>
      <c r="AT339" s="17">
        <v>333</v>
      </c>
      <c r="AU339" s="6">
        <v>5.2771299999999997</v>
      </c>
      <c r="AV339" s="6">
        <v>0.95630000000000004</v>
      </c>
      <c r="AW339" s="6">
        <v>2.6831</v>
      </c>
      <c r="AX339" s="6">
        <v>347</v>
      </c>
    </row>
    <row r="340" spans="22:50" x14ac:dyDescent="0.25">
      <c r="V340" s="17">
        <v>334</v>
      </c>
      <c r="W340" s="6">
        <v>1.27502</v>
      </c>
      <c r="X340" s="19">
        <v>-5.3475999999999999</v>
      </c>
      <c r="Y340" s="6">
        <v>1.2291000000000001</v>
      </c>
      <c r="Z340" s="6">
        <v>607</v>
      </c>
      <c r="AN340" s="17">
        <v>334</v>
      </c>
      <c r="AO340" s="6">
        <v>2.77827</v>
      </c>
      <c r="AP340" s="19">
        <v>-5.2816999999999998</v>
      </c>
      <c r="AQ340" s="6">
        <v>2.6766000000000001</v>
      </c>
      <c r="AR340" s="6">
        <v>344</v>
      </c>
      <c r="AT340" s="17">
        <v>334</v>
      </c>
      <c r="AU340" s="6">
        <v>5.2644900000000003</v>
      </c>
      <c r="AV340" s="19">
        <v>-5.2816999999999998</v>
      </c>
      <c r="AW340" s="6">
        <v>2.6766000000000001</v>
      </c>
      <c r="AX340" s="6">
        <v>344</v>
      </c>
    </row>
    <row r="341" spans="22:50" x14ac:dyDescent="0.25">
      <c r="V341" s="17">
        <v>335</v>
      </c>
      <c r="W341" s="6">
        <v>1.25888</v>
      </c>
      <c r="X341" s="19">
        <v>-4.6134000000000004</v>
      </c>
      <c r="Y341" s="6">
        <v>1.2136</v>
      </c>
      <c r="Z341" s="6">
        <v>616</v>
      </c>
      <c r="AN341" s="17">
        <v>335</v>
      </c>
      <c r="AO341" s="6">
        <v>2.7725399999999998</v>
      </c>
      <c r="AP341" s="19">
        <v>-4.6843000000000004</v>
      </c>
      <c r="AQ341" s="6">
        <v>2.6709999999999998</v>
      </c>
      <c r="AR341" s="6">
        <v>342</v>
      </c>
      <c r="AT341" s="17">
        <v>335</v>
      </c>
      <c r="AU341" s="6">
        <v>5.2536899999999997</v>
      </c>
      <c r="AV341" s="19">
        <v>-4.6843000000000004</v>
      </c>
      <c r="AW341" s="6">
        <v>2.6709999999999998</v>
      </c>
      <c r="AX341" s="6">
        <v>342</v>
      </c>
    </row>
    <row r="342" spans="22:50" x14ac:dyDescent="0.25">
      <c r="V342" s="17">
        <v>336</v>
      </c>
      <c r="W342" s="6">
        <v>1.2600499999999999</v>
      </c>
      <c r="X342" s="6">
        <v>6.6332000000000004</v>
      </c>
      <c r="Y342" s="6">
        <v>1.2148000000000001</v>
      </c>
      <c r="Z342" s="6">
        <v>631</v>
      </c>
      <c r="AN342" s="17">
        <v>336</v>
      </c>
      <c r="AO342" s="6">
        <v>2.7728999999999999</v>
      </c>
      <c r="AP342" s="6">
        <v>7.0027999999999997</v>
      </c>
      <c r="AQ342" s="6">
        <v>2.6714000000000002</v>
      </c>
      <c r="AR342" s="6">
        <v>342</v>
      </c>
      <c r="AT342" s="17">
        <v>336</v>
      </c>
      <c r="AU342" s="6">
        <v>5.2543800000000003</v>
      </c>
      <c r="AV342" s="6">
        <v>7.0027999999999997</v>
      </c>
      <c r="AW342" s="6">
        <v>2.6714000000000002</v>
      </c>
      <c r="AX342" s="6">
        <v>342</v>
      </c>
    </row>
    <row r="343" spans="22:50" x14ac:dyDescent="0.25">
      <c r="V343" s="17">
        <v>337</v>
      </c>
      <c r="W343" s="6">
        <v>1.2459499999999999</v>
      </c>
      <c r="X343" s="6">
        <v>3.1880999999999999</v>
      </c>
      <c r="Y343" s="6">
        <v>1.2011000000000001</v>
      </c>
      <c r="Z343" s="6">
        <v>616</v>
      </c>
      <c r="AN343" s="17">
        <v>337</v>
      </c>
      <c r="AO343" s="6">
        <v>2.7662800000000001</v>
      </c>
      <c r="AP343" s="6">
        <v>3.444</v>
      </c>
      <c r="AQ343" s="6">
        <v>2.6648999999999998</v>
      </c>
      <c r="AR343" s="6">
        <v>339</v>
      </c>
      <c r="AT343" s="17">
        <v>337</v>
      </c>
      <c r="AU343" s="6">
        <v>5.24193</v>
      </c>
      <c r="AV343" s="6">
        <v>3.444</v>
      </c>
      <c r="AW343" s="6">
        <v>2.6648999999999998</v>
      </c>
      <c r="AX343" s="6">
        <v>339</v>
      </c>
    </row>
    <row r="344" spans="22:50" x14ac:dyDescent="0.25">
      <c r="V344" s="17">
        <v>338</v>
      </c>
      <c r="W344" s="6">
        <v>1.2563599999999999</v>
      </c>
      <c r="X344" s="6">
        <v>4.4946000000000002</v>
      </c>
      <c r="Y344" s="6">
        <v>1.2112000000000001</v>
      </c>
      <c r="Z344" s="6">
        <v>610</v>
      </c>
      <c r="AN344" s="17">
        <v>338</v>
      </c>
      <c r="AO344" s="6">
        <v>2.7703700000000002</v>
      </c>
      <c r="AP344" s="6">
        <v>4.6642999999999999</v>
      </c>
      <c r="AQ344" s="6">
        <v>2.6688999999999998</v>
      </c>
      <c r="AR344" s="6">
        <v>341</v>
      </c>
      <c r="AT344" s="17">
        <v>338</v>
      </c>
      <c r="AU344" s="6">
        <v>5.2496200000000002</v>
      </c>
      <c r="AV344" s="6">
        <v>4.6642999999999999</v>
      </c>
      <c r="AW344" s="6">
        <v>2.6688999999999998</v>
      </c>
      <c r="AX344" s="6">
        <v>341</v>
      </c>
    </row>
    <row r="345" spans="22:50" x14ac:dyDescent="0.25">
      <c r="V345" s="17">
        <v>339</v>
      </c>
      <c r="W345" s="6">
        <v>1.2741199999999999</v>
      </c>
      <c r="X345" s="6">
        <v>2.085</v>
      </c>
      <c r="Y345" s="6">
        <v>1.2282999999999999</v>
      </c>
      <c r="Z345" s="6">
        <v>621</v>
      </c>
      <c r="AN345" s="17">
        <v>339</v>
      </c>
      <c r="AO345" s="6">
        <v>2.77759</v>
      </c>
      <c r="AP345" s="6">
        <v>2.2669999999999999</v>
      </c>
      <c r="AQ345" s="6">
        <v>2.6758999999999999</v>
      </c>
      <c r="AR345" s="6">
        <v>344</v>
      </c>
      <c r="AT345" s="17">
        <v>339</v>
      </c>
      <c r="AU345" s="6">
        <v>5.2632099999999999</v>
      </c>
      <c r="AV345" s="6">
        <v>2.2669999999999999</v>
      </c>
      <c r="AW345" s="6">
        <v>2.6758999999999999</v>
      </c>
      <c r="AX345" s="6">
        <v>344</v>
      </c>
    </row>
    <row r="346" spans="22:50" x14ac:dyDescent="0.25">
      <c r="V346" s="17">
        <v>340</v>
      </c>
      <c r="W346" s="6">
        <v>1.2798499999999999</v>
      </c>
      <c r="X346" s="6">
        <v>3.3570000000000002</v>
      </c>
      <c r="Y346" s="6">
        <v>1.2338</v>
      </c>
      <c r="Z346" s="6">
        <v>630</v>
      </c>
      <c r="AN346" s="17">
        <v>340</v>
      </c>
      <c r="AO346" s="6">
        <v>2.7807300000000001</v>
      </c>
      <c r="AP346" s="6">
        <v>3.5526</v>
      </c>
      <c r="AQ346" s="6">
        <v>2.6789999999999998</v>
      </c>
      <c r="AR346" s="6">
        <v>345</v>
      </c>
      <c r="AT346" s="17">
        <v>340</v>
      </c>
      <c r="AU346" s="6">
        <v>5.26912</v>
      </c>
      <c r="AV346" s="6">
        <v>3.5526</v>
      </c>
      <c r="AW346" s="6">
        <v>2.6789999999999998</v>
      </c>
      <c r="AX346" s="6">
        <v>345</v>
      </c>
    </row>
    <row r="347" spans="22:50" x14ac:dyDescent="0.25">
      <c r="V347" s="17">
        <v>341</v>
      </c>
      <c r="W347" s="6">
        <v>1.28653</v>
      </c>
      <c r="X347" s="19">
        <v>-6.3076999999999996</v>
      </c>
      <c r="Y347" s="6">
        <v>1.2403</v>
      </c>
      <c r="Z347" s="6">
        <v>628</v>
      </c>
      <c r="AN347" s="17">
        <v>341</v>
      </c>
      <c r="AO347" s="6">
        <v>2.7829299999999999</v>
      </c>
      <c r="AP347" s="19">
        <v>-6.0789</v>
      </c>
      <c r="AQ347" s="6">
        <v>2.6810999999999998</v>
      </c>
      <c r="AR347" s="6">
        <v>346</v>
      </c>
      <c r="AT347" s="17">
        <v>341</v>
      </c>
      <c r="AU347" s="6">
        <v>5.27325</v>
      </c>
      <c r="AV347" s="19">
        <v>-6.0789</v>
      </c>
      <c r="AW347" s="6">
        <v>2.6810999999999998</v>
      </c>
      <c r="AX347" s="6">
        <v>346</v>
      </c>
    </row>
    <row r="348" spans="22:50" x14ac:dyDescent="0.25">
      <c r="V348" s="17">
        <v>342</v>
      </c>
      <c r="W348" s="6">
        <v>1.2773399999999999</v>
      </c>
      <c r="X348" s="19">
        <v>-2.4043000000000001</v>
      </c>
      <c r="Y348" s="6">
        <v>1.2315</v>
      </c>
      <c r="Z348" s="6">
        <v>646</v>
      </c>
      <c r="AN348" s="17">
        <v>342</v>
      </c>
      <c r="AO348" s="6">
        <v>2.7806799999999998</v>
      </c>
      <c r="AP348" s="19">
        <v>-2.3069999999999999</v>
      </c>
      <c r="AQ348" s="6">
        <v>2.6789000000000001</v>
      </c>
      <c r="AR348" s="6">
        <v>346</v>
      </c>
      <c r="AT348" s="17">
        <v>342</v>
      </c>
      <c r="AU348" s="6">
        <v>5.2690200000000003</v>
      </c>
      <c r="AV348" s="19">
        <v>-2.3069999999999999</v>
      </c>
      <c r="AW348" s="6">
        <v>2.6789000000000001</v>
      </c>
      <c r="AX348" s="6">
        <v>346</v>
      </c>
    </row>
    <row r="349" spans="22:50" x14ac:dyDescent="0.25">
      <c r="V349" s="17">
        <v>343</v>
      </c>
      <c r="W349" s="6">
        <v>1.2990999999999999</v>
      </c>
      <c r="X349" s="6">
        <v>0.31830000000000003</v>
      </c>
      <c r="Y349" s="6">
        <v>1.2524</v>
      </c>
      <c r="Z349" s="6">
        <v>641</v>
      </c>
      <c r="AN349" s="17">
        <v>343</v>
      </c>
      <c r="AO349" s="6">
        <v>2.78884</v>
      </c>
      <c r="AP349" s="6">
        <v>0.52539999999999998</v>
      </c>
      <c r="AQ349" s="6">
        <v>2.6867999999999999</v>
      </c>
      <c r="AR349" s="6">
        <v>349</v>
      </c>
      <c r="AT349" s="17">
        <v>343</v>
      </c>
      <c r="AU349" s="6">
        <v>5.2843799999999996</v>
      </c>
      <c r="AV349" s="6">
        <v>0.52539999999999998</v>
      </c>
      <c r="AW349" s="6">
        <v>2.6867999999999999</v>
      </c>
      <c r="AX349" s="6">
        <v>349</v>
      </c>
    </row>
    <row r="350" spans="22:50" x14ac:dyDescent="0.25">
      <c r="V350" s="17">
        <v>344</v>
      </c>
      <c r="W350" s="6">
        <v>1.2603500000000001</v>
      </c>
      <c r="X350" s="6">
        <v>5.9543999999999997</v>
      </c>
      <c r="Y350" s="6">
        <v>1.2150000000000001</v>
      </c>
      <c r="Z350" s="6">
        <v>623</v>
      </c>
      <c r="AN350" s="17">
        <v>344</v>
      </c>
      <c r="AO350" s="6">
        <v>2.7728999999999999</v>
      </c>
      <c r="AP350" s="6">
        <v>5.8673000000000002</v>
      </c>
      <c r="AQ350" s="6">
        <v>2.6714000000000002</v>
      </c>
      <c r="AR350" s="6">
        <v>342</v>
      </c>
      <c r="AT350" s="17">
        <v>344</v>
      </c>
      <c r="AU350" s="6">
        <v>5.2543800000000003</v>
      </c>
      <c r="AV350" s="6">
        <v>5.8673000000000002</v>
      </c>
      <c r="AW350" s="6">
        <v>2.6714000000000002</v>
      </c>
      <c r="AX350" s="6">
        <v>342</v>
      </c>
    </row>
    <row r="351" spans="22:50" x14ac:dyDescent="0.25">
      <c r="V351" s="17">
        <v>345</v>
      </c>
      <c r="W351" s="6">
        <v>1.2856700000000001</v>
      </c>
      <c r="X351" s="6">
        <v>0.69140000000000001</v>
      </c>
      <c r="Y351" s="6">
        <v>1.2394000000000001</v>
      </c>
      <c r="Z351" s="6">
        <v>617</v>
      </c>
      <c r="AN351" s="17">
        <v>345</v>
      </c>
      <c r="AO351" s="6">
        <v>2.78179</v>
      </c>
      <c r="AP351" s="6">
        <v>0.63119999999999998</v>
      </c>
      <c r="AQ351" s="6">
        <v>2.68</v>
      </c>
      <c r="AR351" s="6">
        <v>345</v>
      </c>
      <c r="AT351" s="17">
        <v>345</v>
      </c>
      <c r="AU351" s="6">
        <v>5.2711300000000003</v>
      </c>
      <c r="AV351" s="6">
        <v>0.63119999999999998</v>
      </c>
      <c r="AW351" s="6">
        <v>2.68</v>
      </c>
      <c r="AX351" s="6">
        <v>345</v>
      </c>
    </row>
    <row r="352" spans="22:50" x14ac:dyDescent="0.25">
      <c r="V352" s="17">
        <v>346</v>
      </c>
      <c r="W352" s="6">
        <v>1.2677700000000001</v>
      </c>
      <c r="X352" s="6">
        <v>0.98089999999999999</v>
      </c>
      <c r="Y352" s="6">
        <v>1.2222</v>
      </c>
      <c r="Z352" s="6">
        <v>633</v>
      </c>
      <c r="AN352" s="17">
        <v>346</v>
      </c>
      <c r="AO352" s="6">
        <v>2.7757299999999998</v>
      </c>
      <c r="AP352" s="6">
        <v>0.9466</v>
      </c>
      <c r="AQ352" s="6">
        <v>2.6741000000000001</v>
      </c>
      <c r="AR352" s="6">
        <v>343</v>
      </c>
      <c r="AT352" s="17">
        <v>346</v>
      </c>
      <c r="AU352" s="6">
        <v>5.2596999999999996</v>
      </c>
      <c r="AV352" s="6">
        <v>0.9466</v>
      </c>
      <c r="AW352" s="6">
        <v>2.6741000000000001</v>
      </c>
      <c r="AX352" s="6">
        <v>343</v>
      </c>
    </row>
    <row r="353" spans="22:50" x14ac:dyDescent="0.25">
      <c r="V353" s="17">
        <v>347</v>
      </c>
      <c r="W353" s="6">
        <v>1.27</v>
      </c>
      <c r="X353" s="6">
        <v>15.6532</v>
      </c>
      <c r="Y353" s="6">
        <v>1.2243999999999999</v>
      </c>
      <c r="Z353" s="6">
        <v>639</v>
      </c>
      <c r="AN353" s="17">
        <v>347</v>
      </c>
      <c r="AO353" s="6">
        <v>2.7771300000000001</v>
      </c>
      <c r="AP353" s="6">
        <v>15.9534</v>
      </c>
      <c r="AQ353" s="6">
        <v>2.6755</v>
      </c>
      <c r="AR353" s="6">
        <v>344</v>
      </c>
      <c r="AT353" s="17">
        <v>347</v>
      </c>
      <c r="AU353" s="6">
        <v>5.26234</v>
      </c>
      <c r="AV353" s="6">
        <v>15.9534</v>
      </c>
      <c r="AW353" s="6">
        <v>2.6755</v>
      </c>
      <c r="AX353" s="6">
        <v>344</v>
      </c>
    </row>
    <row r="354" spans="22:50" x14ac:dyDescent="0.25">
      <c r="V354" s="17">
        <v>348</v>
      </c>
      <c r="W354" s="6">
        <v>1.29</v>
      </c>
      <c r="X354" s="19">
        <v>-2.0280999999999998</v>
      </c>
      <c r="Y354" s="6">
        <v>1.2436</v>
      </c>
      <c r="Z354" s="6">
        <v>631</v>
      </c>
      <c r="AN354" s="17">
        <v>348</v>
      </c>
      <c r="AO354" s="6">
        <v>2.7844199999999999</v>
      </c>
      <c r="AP354" s="19">
        <v>-1.7687999999999999</v>
      </c>
      <c r="AQ354" s="6">
        <v>2.6825000000000001</v>
      </c>
      <c r="AR354" s="6">
        <v>347</v>
      </c>
      <c r="AT354" s="17">
        <v>348</v>
      </c>
      <c r="AU354" s="6">
        <v>5.2760600000000002</v>
      </c>
      <c r="AV354" s="19">
        <v>-1.7687999999999999</v>
      </c>
      <c r="AW354" s="6">
        <v>2.6825000000000001</v>
      </c>
      <c r="AX354" s="6">
        <v>347</v>
      </c>
    </row>
    <row r="355" spans="22:50" x14ac:dyDescent="0.25">
      <c r="V355" s="17">
        <v>349</v>
      </c>
      <c r="W355" s="6">
        <v>1.26464</v>
      </c>
      <c r="X355" s="6">
        <v>1.9054</v>
      </c>
      <c r="Y355" s="6">
        <v>1.2192000000000001</v>
      </c>
      <c r="Z355" s="6">
        <v>627</v>
      </c>
      <c r="AN355" s="17">
        <v>349</v>
      </c>
      <c r="AO355" s="6">
        <v>2.7746200000000001</v>
      </c>
      <c r="AP355" s="6">
        <v>2.0569000000000002</v>
      </c>
      <c r="AQ355" s="6">
        <v>2.673</v>
      </c>
      <c r="AR355" s="6">
        <v>343</v>
      </c>
      <c r="AT355" s="17">
        <v>349</v>
      </c>
      <c r="AU355" s="6">
        <v>5.2576099999999997</v>
      </c>
      <c r="AV355" s="6">
        <v>2.0569000000000002</v>
      </c>
      <c r="AW355" s="6">
        <v>2.673</v>
      </c>
      <c r="AX355" s="6">
        <v>343</v>
      </c>
    </row>
    <row r="356" spans="22:50" x14ac:dyDescent="0.25">
      <c r="V356" s="17">
        <v>350</v>
      </c>
      <c r="W356" s="6">
        <v>1.26468</v>
      </c>
      <c r="X356" s="6">
        <v>1.6838</v>
      </c>
      <c r="Y356" s="6">
        <v>1.2192000000000001</v>
      </c>
      <c r="Z356" s="6">
        <v>636</v>
      </c>
      <c r="AN356" s="17">
        <v>350</v>
      </c>
      <c r="AO356" s="6">
        <v>2.7745799999999998</v>
      </c>
      <c r="AP356" s="6">
        <v>1.8574999999999999</v>
      </c>
      <c r="AQ356" s="6">
        <v>2.673</v>
      </c>
      <c r="AR356" s="6">
        <v>343</v>
      </c>
      <c r="AT356" s="17">
        <v>350</v>
      </c>
      <c r="AU356" s="6">
        <v>5.2575500000000002</v>
      </c>
      <c r="AV356" s="6">
        <v>1.8574999999999999</v>
      </c>
      <c r="AW356" s="6">
        <v>2.673</v>
      </c>
      <c r="AX356" s="6">
        <v>343</v>
      </c>
    </row>
    <row r="357" spans="22:50" x14ac:dyDescent="0.25">
      <c r="V357" s="17">
        <v>351</v>
      </c>
      <c r="W357" s="6">
        <v>1.28529</v>
      </c>
      <c r="X357" s="19">
        <v>-3.0356000000000001</v>
      </c>
      <c r="Y357" s="6">
        <v>1.2391000000000001</v>
      </c>
      <c r="Z357" s="6">
        <v>620</v>
      </c>
      <c r="AN357" s="17">
        <v>351</v>
      </c>
      <c r="AO357" s="6">
        <v>2.7826599999999999</v>
      </c>
      <c r="AP357" s="19">
        <v>-2.7944</v>
      </c>
      <c r="AQ357" s="6">
        <v>2.6808000000000001</v>
      </c>
      <c r="AR357" s="6">
        <v>346</v>
      </c>
      <c r="AT357" s="17">
        <v>351</v>
      </c>
      <c r="AU357" s="6">
        <v>5.2727500000000003</v>
      </c>
      <c r="AV357" s="19">
        <v>-2.7944</v>
      </c>
      <c r="AW357" s="6">
        <v>2.6808000000000001</v>
      </c>
      <c r="AX357" s="6">
        <v>346</v>
      </c>
    </row>
    <row r="358" spans="22:50" x14ac:dyDescent="0.25">
      <c r="V358" s="17">
        <v>352</v>
      </c>
      <c r="W358" s="6">
        <v>1.2514099999999999</v>
      </c>
      <c r="X358" s="19">
        <v>-2.0651000000000002</v>
      </c>
      <c r="Y358" s="6">
        <v>1.2063999999999999</v>
      </c>
      <c r="Z358" s="6">
        <v>596</v>
      </c>
      <c r="AN358" s="17">
        <v>352</v>
      </c>
      <c r="AO358" s="6">
        <v>2.76735</v>
      </c>
      <c r="AP358" s="19">
        <v>-1.7152000000000001</v>
      </c>
      <c r="AQ358" s="6">
        <v>2.6659999999999999</v>
      </c>
      <c r="AR358" s="6">
        <v>339</v>
      </c>
      <c r="AT358" s="17">
        <v>352</v>
      </c>
      <c r="AU358" s="6">
        <v>5.2439600000000004</v>
      </c>
      <c r="AV358" s="19">
        <v>-1.7152000000000001</v>
      </c>
      <c r="AW358" s="6">
        <v>2.6659999999999999</v>
      </c>
      <c r="AX358" s="6">
        <v>339</v>
      </c>
    </row>
    <row r="359" spans="22:50" x14ac:dyDescent="0.25">
      <c r="V359" s="17">
        <v>353</v>
      </c>
      <c r="W359" s="6">
        <v>1.2581800000000001</v>
      </c>
      <c r="X359" s="19">
        <v>-1.9655</v>
      </c>
      <c r="Y359" s="6">
        <v>1.2129000000000001</v>
      </c>
      <c r="Z359" s="6">
        <v>626</v>
      </c>
      <c r="AN359" s="17">
        <v>353</v>
      </c>
      <c r="AO359" s="6">
        <v>2.7717999999999998</v>
      </c>
      <c r="AP359" s="19">
        <v>-1.7605999999999999</v>
      </c>
      <c r="AQ359" s="6">
        <v>2.6703000000000001</v>
      </c>
      <c r="AR359" s="6">
        <v>342</v>
      </c>
      <c r="AT359" s="17">
        <v>353</v>
      </c>
      <c r="AU359" s="6">
        <v>5.2523099999999996</v>
      </c>
      <c r="AV359" s="19">
        <v>-1.7605999999999999</v>
      </c>
      <c r="AW359" s="6">
        <v>2.6703000000000001</v>
      </c>
      <c r="AX359" s="6">
        <v>342</v>
      </c>
    </row>
    <row r="360" spans="22:50" x14ac:dyDescent="0.25">
      <c r="V360" s="17">
        <v>354</v>
      </c>
      <c r="W360" s="6">
        <v>1.2785</v>
      </c>
      <c r="X360" s="19">
        <v>-3.4355000000000002</v>
      </c>
      <c r="Y360" s="6">
        <v>1.2325999999999999</v>
      </c>
      <c r="Z360" s="6">
        <v>642</v>
      </c>
      <c r="AN360" s="17">
        <v>354</v>
      </c>
      <c r="AO360" s="6">
        <v>2.7797700000000001</v>
      </c>
      <c r="AP360" s="19">
        <v>-3.2972000000000001</v>
      </c>
      <c r="AQ360" s="6">
        <v>2.6779999999999999</v>
      </c>
      <c r="AR360" s="6">
        <v>345</v>
      </c>
      <c r="AT360" s="17">
        <v>354</v>
      </c>
      <c r="AU360" s="6">
        <v>5.2673100000000002</v>
      </c>
      <c r="AV360" s="19">
        <v>-3.2972000000000001</v>
      </c>
      <c r="AW360" s="6">
        <v>2.6779999999999999</v>
      </c>
      <c r="AX360" s="6">
        <v>345</v>
      </c>
    </row>
    <row r="361" spans="22:50" x14ac:dyDescent="0.25">
      <c r="V361" s="17">
        <v>355</v>
      </c>
      <c r="W361" s="6">
        <v>1.2562500000000001</v>
      </c>
      <c r="X361" s="19">
        <v>-5.4236000000000004</v>
      </c>
      <c r="Y361" s="6">
        <v>1.2111000000000001</v>
      </c>
      <c r="Z361" s="6">
        <v>623</v>
      </c>
      <c r="AN361" s="17">
        <v>355</v>
      </c>
      <c r="AO361" s="6">
        <v>2.77115</v>
      </c>
      <c r="AP361" s="19">
        <v>-5.3630000000000004</v>
      </c>
      <c r="AQ361" s="6">
        <v>2.6697000000000002</v>
      </c>
      <c r="AR361" s="6">
        <v>341</v>
      </c>
      <c r="AT361" s="17">
        <v>355</v>
      </c>
      <c r="AU361" s="6">
        <v>5.2510899999999996</v>
      </c>
      <c r="AV361" s="19">
        <v>-5.3630000000000004</v>
      </c>
      <c r="AW361" s="6">
        <v>2.6697000000000002</v>
      </c>
      <c r="AX361" s="6">
        <v>341</v>
      </c>
    </row>
    <row r="362" spans="22:50" x14ac:dyDescent="0.25">
      <c r="V362" s="17">
        <v>356</v>
      </c>
      <c r="W362" s="6">
        <v>1.27586</v>
      </c>
      <c r="X362" s="19">
        <v>-2.2238000000000002</v>
      </c>
      <c r="Y362" s="6">
        <v>1.23</v>
      </c>
      <c r="Z362" s="6">
        <v>641</v>
      </c>
      <c r="AN362" s="17">
        <v>356</v>
      </c>
      <c r="AO362" s="6">
        <v>2.77915</v>
      </c>
      <c r="AP362" s="19">
        <v>-2.157</v>
      </c>
      <c r="AQ362" s="6">
        <v>2.6774</v>
      </c>
      <c r="AR362" s="6">
        <v>345</v>
      </c>
      <c r="AT362" s="17">
        <v>356</v>
      </c>
      <c r="AU362" s="6">
        <v>5.2661300000000004</v>
      </c>
      <c r="AV362" s="19">
        <v>-2.157</v>
      </c>
      <c r="AW362" s="6">
        <v>2.6774</v>
      </c>
      <c r="AX362" s="6">
        <v>345</v>
      </c>
    </row>
    <row r="363" spans="22:50" x14ac:dyDescent="0.25">
      <c r="V363" s="17">
        <v>357</v>
      </c>
      <c r="W363" s="6">
        <v>1.2644</v>
      </c>
      <c r="X363" s="6">
        <v>1.81</v>
      </c>
      <c r="Y363" s="6">
        <v>1.2190000000000001</v>
      </c>
      <c r="Z363" s="6">
        <v>639</v>
      </c>
      <c r="AN363" s="17">
        <v>357</v>
      </c>
      <c r="AO363" s="6">
        <v>2.7753299999999999</v>
      </c>
      <c r="AP363" s="6">
        <v>1.9872000000000001</v>
      </c>
      <c r="AQ363" s="6">
        <v>2.6737000000000002</v>
      </c>
      <c r="AR363" s="6">
        <v>343</v>
      </c>
      <c r="AT363" s="17">
        <v>357</v>
      </c>
      <c r="AU363" s="6">
        <v>5.2589300000000003</v>
      </c>
      <c r="AV363" s="6">
        <v>1.9872000000000001</v>
      </c>
      <c r="AW363" s="6">
        <v>2.6737000000000002</v>
      </c>
      <c r="AX363" s="6">
        <v>343</v>
      </c>
    </row>
    <row r="364" spans="22:50" x14ac:dyDescent="0.25">
      <c r="V364" s="17">
        <v>358</v>
      </c>
      <c r="W364" s="6">
        <v>1.2833600000000001</v>
      </c>
      <c r="X364" s="19">
        <v>-0.27639999999999998</v>
      </c>
      <c r="Y364" s="6">
        <v>1.2372000000000001</v>
      </c>
      <c r="Z364" s="6">
        <v>613</v>
      </c>
      <c r="AN364" s="17">
        <v>358</v>
      </c>
      <c r="AO364" s="6">
        <v>2.7813099999999999</v>
      </c>
      <c r="AP364" s="19">
        <v>-0.11409999999999999</v>
      </c>
      <c r="AQ364" s="6">
        <v>2.6795</v>
      </c>
      <c r="AR364" s="6">
        <v>345</v>
      </c>
      <c r="AT364" s="17">
        <v>358</v>
      </c>
      <c r="AU364" s="6">
        <v>5.2702200000000001</v>
      </c>
      <c r="AV364" s="19">
        <v>-0.11409999999999999</v>
      </c>
      <c r="AW364" s="6">
        <v>2.6795</v>
      </c>
      <c r="AX364" s="6">
        <v>345</v>
      </c>
    </row>
    <row r="365" spans="22:50" x14ac:dyDescent="0.25">
      <c r="V365" s="17">
        <v>359</v>
      </c>
      <c r="W365" s="6">
        <v>1.2690600000000001</v>
      </c>
      <c r="X365" s="19">
        <v>-1.6431</v>
      </c>
      <c r="Y365" s="6">
        <v>1.2234</v>
      </c>
      <c r="Z365" s="6">
        <v>598</v>
      </c>
      <c r="AN365" s="17">
        <v>359</v>
      </c>
      <c r="AO365" s="6">
        <v>2.7753700000000001</v>
      </c>
      <c r="AP365" s="19">
        <v>-1.4681999999999999</v>
      </c>
      <c r="AQ365" s="6">
        <v>2.6738</v>
      </c>
      <c r="AR365" s="6">
        <v>343</v>
      </c>
      <c r="AT365" s="17">
        <v>359</v>
      </c>
      <c r="AU365" s="6">
        <v>5.2590399999999997</v>
      </c>
      <c r="AV365" s="19">
        <v>-1.4681999999999999</v>
      </c>
      <c r="AW365" s="6">
        <v>2.6738</v>
      </c>
      <c r="AX365" s="6">
        <v>343</v>
      </c>
    </row>
    <row r="366" spans="22:50" x14ac:dyDescent="0.25">
      <c r="V366" s="17">
        <v>360</v>
      </c>
      <c r="W366" s="6">
        <v>1.25901</v>
      </c>
      <c r="X366" s="19">
        <v>-0.63729999999999998</v>
      </c>
      <c r="Y366" s="6">
        <v>1.2138</v>
      </c>
      <c r="Z366" s="6">
        <v>630</v>
      </c>
      <c r="AN366" s="17">
        <v>360</v>
      </c>
      <c r="AO366" s="6">
        <v>2.7722600000000002</v>
      </c>
      <c r="AP366" s="19">
        <v>-0.44350000000000001</v>
      </c>
      <c r="AQ366" s="6">
        <v>2.6707000000000001</v>
      </c>
      <c r="AR366" s="6">
        <v>342</v>
      </c>
      <c r="AT366" s="17">
        <v>360</v>
      </c>
      <c r="AU366" s="6">
        <v>5.2531699999999999</v>
      </c>
      <c r="AV366" s="19">
        <v>-0.44350000000000001</v>
      </c>
      <c r="AW366" s="6">
        <v>2.6707000000000001</v>
      </c>
      <c r="AX366" s="6">
        <v>342</v>
      </c>
    </row>
    <row r="367" spans="22:50" x14ac:dyDescent="0.25">
      <c r="V367" s="17">
        <v>361</v>
      </c>
      <c r="W367" s="6">
        <v>1.2525200000000001</v>
      </c>
      <c r="X367" s="6">
        <v>3.3441000000000001</v>
      </c>
      <c r="Y367" s="6">
        <v>1.2075</v>
      </c>
      <c r="Z367" s="6">
        <v>608</v>
      </c>
      <c r="AN367" s="17">
        <v>361</v>
      </c>
      <c r="AO367" s="6">
        <v>2.7688799999999998</v>
      </c>
      <c r="AP367" s="6">
        <v>3.4171</v>
      </c>
      <c r="AQ367" s="6">
        <v>2.6675</v>
      </c>
      <c r="AR367" s="6">
        <v>340</v>
      </c>
      <c r="AT367" s="17">
        <v>361</v>
      </c>
      <c r="AU367" s="6">
        <v>5.2468300000000001</v>
      </c>
      <c r="AV367" s="6">
        <v>3.4171</v>
      </c>
      <c r="AW367" s="6">
        <v>2.6675</v>
      </c>
      <c r="AX367" s="6">
        <v>340</v>
      </c>
    </row>
    <row r="368" spans="22:50" x14ac:dyDescent="0.25">
      <c r="V368" s="17">
        <v>362</v>
      </c>
      <c r="W368" s="6">
        <v>1.2865800000000001</v>
      </c>
      <c r="X368" s="19">
        <v>-3.0240999999999998</v>
      </c>
      <c r="Y368" s="6">
        <v>1.2403</v>
      </c>
      <c r="Z368" s="6">
        <v>628</v>
      </c>
      <c r="AN368" s="17">
        <v>362</v>
      </c>
      <c r="AO368" s="6">
        <v>2.7829600000000001</v>
      </c>
      <c r="AP368" s="19">
        <v>-2.8209</v>
      </c>
      <c r="AQ368" s="6">
        <v>2.6810999999999998</v>
      </c>
      <c r="AR368" s="6">
        <v>346</v>
      </c>
      <c r="AT368" s="17">
        <v>362</v>
      </c>
      <c r="AU368" s="6">
        <v>5.2733100000000004</v>
      </c>
      <c r="AV368" s="19">
        <v>-2.8209</v>
      </c>
      <c r="AW368" s="6">
        <v>2.6810999999999998</v>
      </c>
      <c r="AX368" s="6">
        <v>346</v>
      </c>
    </row>
    <row r="369" spans="22:50" x14ac:dyDescent="0.25">
      <c r="V369" s="17">
        <v>363</v>
      </c>
      <c r="W369" s="6">
        <v>1.25193</v>
      </c>
      <c r="X369" s="19">
        <v>-2.2898999999999998</v>
      </c>
      <c r="Y369" s="6">
        <v>1.2069000000000001</v>
      </c>
      <c r="Z369" s="6">
        <v>608</v>
      </c>
      <c r="AN369" s="17">
        <v>363</v>
      </c>
      <c r="AO369" s="6">
        <v>2.7688700000000002</v>
      </c>
      <c r="AP369" s="19">
        <v>-2.2235</v>
      </c>
      <c r="AQ369" s="6">
        <v>2.6675</v>
      </c>
      <c r="AR369" s="6">
        <v>340</v>
      </c>
      <c r="AT369" s="17">
        <v>363</v>
      </c>
      <c r="AU369" s="6">
        <v>5.24681</v>
      </c>
      <c r="AV369" s="19">
        <v>-2.2235</v>
      </c>
      <c r="AW369" s="6">
        <v>2.6675</v>
      </c>
      <c r="AX369" s="6">
        <v>340</v>
      </c>
    </row>
    <row r="370" spans="22:50" x14ac:dyDescent="0.25">
      <c r="V370" s="17">
        <v>364</v>
      </c>
      <c r="W370" s="6">
        <v>1.25092</v>
      </c>
      <c r="X370" s="19">
        <v>-3.4451000000000001</v>
      </c>
      <c r="Y370" s="6">
        <v>1.2059</v>
      </c>
      <c r="Z370" s="6">
        <v>614</v>
      </c>
      <c r="AN370" s="17">
        <v>364</v>
      </c>
      <c r="AO370" s="6">
        <v>2.7683</v>
      </c>
      <c r="AP370" s="19">
        <v>-3.5588000000000002</v>
      </c>
      <c r="AQ370" s="6">
        <v>2.6669</v>
      </c>
      <c r="AR370" s="6">
        <v>340</v>
      </c>
      <c r="AT370" s="17">
        <v>364</v>
      </c>
      <c r="AU370" s="6">
        <v>5.2457399999999996</v>
      </c>
      <c r="AV370" s="19">
        <v>-3.5588000000000002</v>
      </c>
      <c r="AW370" s="6">
        <v>2.6669</v>
      </c>
      <c r="AX370" s="6">
        <v>340</v>
      </c>
    </row>
    <row r="371" spans="22:50" x14ac:dyDescent="0.25">
      <c r="V371" s="17">
        <v>365</v>
      </c>
      <c r="W371" s="6">
        <v>1.26467</v>
      </c>
      <c r="X371" s="19">
        <v>-2.1387</v>
      </c>
      <c r="Y371" s="6">
        <v>1.2192000000000001</v>
      </c>
      <c r="Z371" s="6">
        <v>624</v>
      </c>
      <c r="AN371" s="17">
        <v>365</v>
      </c>
      <c r="AO371" s="6">
        <v>2.7741500000000001</v>
      </c>
      <c r="AP371" s="19">
        <v>-2.3384999999999998</v>
      </c>
      <c r="AQ371" s="6">
        <v>2.6726000000000001</v>
      </c>
      <c r="AR371" s="6">
        <v>342</v>
      </c>
      <c r="AT371" s="17">
        <v>365</v>
      </c>
      <c r="AU371" s="6">
        <v>5.2567300000000001</v>
      </c>
      <c r="AV371" s="19">
        <v>-2.3384999999999998</v>
      </c>
      <c r="AW371" s="6">
        <v>2.6726000000000001</v>
      </c>
      <c r="AX371" s="6">
        <v>342</v>
      </c>
    </row>
    <row r="372" spans="22:50" x14ac:dyDescent="0.25">
      <c r="V372" s="17">
        <v>366</v>
      </c>
      <c r="W372" s="6">
        <v>1.2818000000000001</v>
      </c>
      <c r="X372" s="19">
        <v>-4.5481999999999996</v>
      </c>
      <c r="Y372" s="6">
        <v>1.2357</v>
      </c>
      <c r="Z372" s="6">
        <v>629</v>
      </c>
      <c r="AN372" s="17">
        <v>366</v>
      </c>
      <c r="AO372" s="6">
        <v>2.7812399999999999</v>
      </c>
      <c r="AP372" s="19">
        <v>-4.7358000000000002</v>
      </c>
      <c r="AQ372" s="6">
        <v>2.6793999999999998</v>
      </c>
      <c r="AR372" s="6">
        <v>346</v>
      </c>
      <c r="AT372" s="17">
        <v>366</v>
      </c>
      <c r="AU372" s="6">
        <v>5.2700800000000001</v>
      </c>
      <c r="AV372" s="19">
        <v>-4.7358000000000002</v>
      </c>
      <c r="AW372" s="6">
        <v>2.6793999999999998</v>
      </c>
      <c r="AX372" s="6">
        <v>346</v>
      </c>
    </row>
    <row r="373" spans="22:50" x14ac:dyDescent="0.25">
      <c r="V373" s="17">
        <v>367</v>
      </c>
      <c r="W373" s="6">
        <v>1.2997399999999999</v>
      </c>
      <c r="X373" s="19">
        <v>-3.2761999999999998</v>
      </c>
      <c r="Y373" s="6">
        <v>1.2529999999999999</v>
      </c>
      <c r="Z373" s="6">
        <v>640</v>
      </c>
      <c r="AN373" s="17">
        <v>367</v>
      </c>
      <c r="AO373" s="6">
        <v>2.7882199999999999</v>
      </c>
      <c r="AP373" s="19">
        <v>-3.4502000000000002</v>
      </c>
      <c r="AQ373" s="6">
        <v>2.6861999999999999</v>
      </c>
      <c r="AR373" s="6">
        <v>348</v>
      </c>
      <c r="AT373" s="17">
        <v>367</v>
      </c>
      <c r="AU373" s="6">
        <v>5.28322</v>
      </c>
      <c r="AV373" s="19">
        <v>-3.4502000000000002</v>
      </c>
      <c r="AW373" s="6">
        <v>2.6861999999999999</v>
      </c>
      <c r="AX373" s="6">
        <v>348</v>
      </c>
    </row>
    <row r="374" spans="22:50" x14ac:dyDescent="0.25">
      <c r="V374" s="17">
        <v>368</v>
      </c>
      <c r="W374" s="6">
        <v>1.2759100000000001</v>
      </c>
      <c r="X374" s="19">
        <v>-12.940899999999999</v>
      </c>
      <c r="Y374" s="6">
        <v>1.23</v>
      </c>
      <c r="Z374" s="6">
        <v>608</v>
      </c>
      <c r="AN374" s="17">
        <v>368</v>
      </c>
      <c r="AO374" s="6">
        <v>2.7782100000000001</v>
      </c>
      <c r="AP374" s="19">
        <v>-13.0817</v>
      </c>
      <c r="AQ374" s="6">
        <v>2.6764999999999999</v>
      </c>
      <c r="AR374" s="6">
        <v>344</v>
      </c>
      <c r="AT374" s="17">
        <v>368</v>
      </c>
      <c r="AU374" s="6">
        <v>5.2643800000000001</v>
      </c>
      <c r="AV374" s="19">
        <v>-13.0817</v>
      </c>
      <c r="AW374" s="6">
        <v>2.6764999999999999</v>
      </c>
      <c r="AX374" s="6">
        <v>344</v>
      </c>
    </row>
    <row r="375" spans="22:50" x14ac:dyDescent="0.25">
      <c r="V375" s="17">
        <v>369</v>
      </c>
      <c r="W375" s="6">
        <v>1.26956</v>
      </c>
      <c r="X375" s="19">
        <v>-9.0375999999999994</v>
      </c>
      <c r="Y375" s="6">
        <v>1.2239</v>
      </c>
      <c r="Z375" s="6">
        <v>641</v>
      </c>
      <c r="AN375" s="17">
        <v>369</v>
      </c>
      <c r="AO375" s="6">
        <v>2.7767400000000002</v>
      </c>
      <c r="AP375" s="19">
        <v>-9.3097999999999992</v>
      </c>
      <c r="AQ375" s="6">
        <v>2.6751</v>
      </c>
      <c r="AR375" s="6">
        <v>344</v>
      </c>
      <c r="AT375" s="17">
        <v>369</v>
      </c>
      <c r="AU375" s="6">
        <v>5.2616100000000001</v>
      </c>
      <c r="AV375" s="19">
        <v>-9.3097999999999992</v>
      </c>
      <c r="AW375" s="6">
        <v>2.6751</v>
      </c>
      <c r="AX375" s="6">
        <v>344</v>
      </c>
    </row>
    <row r="376" spans="22:50" x14ac:dyDescent="0.25">
      <c r="V376" s="17">
        <v>370</v>
      </c>
      <c r="W376" s="6">
        <v>1.30094</v>
      </c>
      <c r="X376" s="19">
        <v>-6.3148999999999997</v>
      </c>
      <c r="Y376" s="6">
        <v>1.2542</v>
      </c>
      <c r="Z376" s="6">
        <v>649</v>
      </c>
      <c r="AN376" s="17">
        <v>370</v>
      </c>
      <c r="AO376" s="6">
        <v>2.7894800000000002</v>
      </c>
      <c r="AP376" s="19">
        <v>-6.4774000000000003</v>
      </c>
      <c r="AQ376" s="6">
        <v>2.6873999999999998</v>
      </c>
      <c r="AR376" s="6">
        <v>349</v>
      </c>
      <c r="AT376" s="17">
        <v>370</v>
      </c>
      <c r="AU376" s="6">
        <v>5.2855699999999999</v>
      </c>
      <c r="AV376" s="19">
        <v>-6.4774000000000003</v>
      </c>
      <c r="AW376" s="6">
        <v>2.6873999999999998</v>
      </c>
      <c r="AX376" s="6">
        <v>349</v>
      </c>
    </row>
    <row r="377" spans="22:50" x14ac:dyDescent="0.25">
      <c r="V377" s="17">
        <v>371</v>
      </c>
      <c r="W377" s="6">
        <v>1.2913300000000001</v>
      </c>
      <c r="X377" s="19">
        <v>-0.67879999999999996</v>
      </c>
      <c r="Y377" s="6">
        <v>1.2450000000000001</v>
      </c>
      <c r="Z377" s="6">
        <v>660</v>
      </c>
      <c r="AN377" s="17">
        <v>371</v>
      </c>
      <c r="AO377" s="6">
        <v>2.7856900000000002</v>
      </c>
      <c r="AP377" s="19">
        <v>-1.1355</v>
      </c>
      <c r="AQ377" s="6">
        <v>2.6838000000000002</v>
      </c>
      <c r="AR377" s="6">
        <v>348</v>
      </c>
      <c r="AT377" s="17">
        <v>371</v>
      </c>
      <c r="AU377" s="6">
        <v>5.2784500000000003</v>
      </c>
      <c r="AV377" s="19">
        <v>-1.1355</v>
      </c>
      <c r="AW377" s="6">
        <v>2.6838000000000002</v>
      </c>
      <c r="AX377" s="6">
        <v>348</v>
      </c>
    </row>
    <row r="378" spans="22:50" x14ac:dyDescent="0.25">
      <c r="V378" s="17">
        <v>372</v>
      </c>
      <c r="W378" s="6">
        <v>1.2953699999999999</v>
      </c>
      <c r="X378" s="19">
        <v>-5.9417999999999997</v>
      </c>
      <c r="Y378" s="6">
        <v>1.2487999999999999</v>
      </c>
      <c r="Z378" s="6">
        <v>635</v>
      </c>
      <c r="AN378" s="17">
        <v>372</v>
      </c>
      <c r="AO378" s="6">
        <v>2.7865899999999999</v>
      </c>
      <c r="AP378" s="19">
        <v>-6.3715999999999999</v>
      </c>
      <c r="AQ378" s="6">
        <v>2.6846000000000001</v>
      </c>
      <c r="AR378" s="6">
        <v>348</v>
      </c>
      <c r="AT378" s="17">
        <v>372</v>
      </c>
      <c r="AU378" s="6">
        <v>5.2801499999999999</v>
      </c>
      <c r="AV378" s="19">
        <v>-6.3715999999999999</v>
      </c>
      <c r="AW378" s="6">
        <v>2.6846000000000001</v>
      </c>
      <c r="AX378" s="6">
        <v>348</v>
      </c>
    </row>
    <row r="379" spans="22:50" x14ac:dyDescent="0.25">
      <c r="V379" s="17">
        <v>373</v>
      </c>
      <c r="W379" s="6">
        <v>1.2842499999999999</v>
      </c>
      <c r="X379" s="19">
        <v>-5.6523000000000003</v>
      </c>
      <c r="Y379" s="6">
        <v>1.2381</v>
      </c>
      <c r="Z379" s="6">
        <v>646</v>
      </c>
      <c r="AN379" s="17">
        <v>373</v>
      </c>
      <c r="AO379" s="6">
        <v>2.7821600000000002</v>
      </c>
      <c r="AP379" s="19">
        <v>-6.0561999999999996</v>
      </c>
      <c r="AQ379" s="6">
        <v>2.6802999999999999</v>
      </c>
      <c r="AR379" s="6">
        <v>346</v>
      </c>
      <c r="AT379" s="17">
        <v>373</v>
      </c>
      <c r="AU379" s="6">
        <v>5.2718100000000003</v>
      </c>
      <c r="AV379" s="19">
        <v>-6.0561999999999996</v>
      </c>
      <c r="AW379" s="6">
        <v>2.6802999999999999</v>
      </c>
      <c r="AX379" s="6">
        <v>346</v>
      </c>
    </row>
    <row r="380" spans="22:50" x14ac:dyDescent="0.25">
      <c r="V380" s="17">
        <v>374</v>
      </c>
      <c r="W380" s="6">
        <v>1.27138</v>
      </c>
      <c r="X380" s="6">
        <v>9.02</v>
      </c>
      <c r="Y380" s="6">
        <v>1.2257</v>
      </c>
      <c r="Z380" s="6">
        <v>640</v>
      </c>
      <c r="AN380" s="17">
        <v>374</v>
      </c>
      <c r="AO380" s="6">
        <v>2.7777500000000002</v>
      </c>
      <c r="AP380" s="6">
        <v>8.9505999999999997</v>
      </c>
      <c r="AQ380" s="6">
        <v>2.6760999999999999</v>
      </c>
      <c r="AR380" s="6">
        <v>344</v>
      </c>
      <c r="AT380" s="17">
        <v>374</v>
      </c>
      <c r="AU380" s="6">
        <v>5.26349</v>
      </c>
      <c r="AV380" s="6">
        <v>8.9505999999999997</v>
      </c>
      <c r="AW380" s="6">
        <v>2.6760999999999999</v>
      </c>
      <c r="AX380" s="6">
        <v>344</v>
      </c>
    </row>
    <row r="381" spans="22:50" x14ac:dyDescent="0.25">
      <c r="V381" s="17">
        <v>375</v>
      </c>
      <c r="W381" s="6">
        <v>1.2805</v>
      </c>
      <c r="X381" s="19">
        <v>-8.6613000000000007</v>
      </c>
      <c r="Y381" s="6">
        <v>1.2344999999999999</v>
      </c>
      <c r="Z381" s="6">
        <v>625</v>
      </c>
      <c r="AN381" s="17">
        <v>375</v>
      </c>
      <c r="AO381" s="6">
        <v>2.78085</v>
      </c>
      <c r="AP381" s="19">
        <v>-8.7715999999999994</v>
      </c>
      <c r="AQ381" s="6">
        <v>2.6791</v>
      </c>
      <c r="AR381" s="6">
        <v>345</v>
      </c>
      <c r="AT381" s="17">
        <v>375</v>
      </c>
      <c r="AU381" s="6">
        <v>5.2693399999999997</v>
      </c>
      <c r="AV381" s="19">
        <v>-8.7715999999999994</v>
      </c>
      <c r="AW381" s="6">
        <v>2.6791</v>
      </c>
      <c r="AX381" s="6">
        <v>345</v>
      </c>
    </row>
    <row r="382" spans="22:50" x14ac:dyDescent="0.25">
      <c r="V382" s="17">
        <v>376</v>
      </c>
      <c r="W382" s="6">
        <v>1.27477</v>
      </c>
      <c r="X382" s="19">
        <v>-4.7279</v>
      </c>
      <c r="Y382" s="6">
        <v>1.2290000000000001</v>
      </c>
      <c r="Z382" s="6">
        <v>636</v>
      </c>
      <c r="AN382" s="17">
        <v>376</v>
      </c>
      <c r="AO382" s="6">
        <v>2.77854</v>
      </c>
      <c r="AP382" s="19">
        <v>-4.9459</v>
      </c>
      <c r="AQ382" s="6">
        <v>2.6768000000000001</v>
      </c>
      <c r="AR382" s="6">
        <v>344</v>
      </c>
      <c r="AT382" s="17">
        <v>376</v>
      </c>
      <c r="AU382" s="6">
        <v>5.2649999999999997</v>
      </c>
      <c r="AV382" s="19">
        <v>-4.9459</v>
      </c>
      <c r="AW382" s="6">
        <v>2.6768000000000001</v>
      </c>
      <c r="AX382" s="6">
        <v>344</v>
      </c>
    </row>
    <row r="383" spans="22:50" x14ac:dyDescent="0.25">
      <c r="V383" s="17">
        <v>377</v>
      </c>
      <c r="W383" s="6">
        <v>1.2877700000000001</v>
      </c>
      <c r="X383" s="19">
        <v>-4.9493999999999998</v>
      </c>
      <c r="Y383" s="6">
        <v>1.2415</v>
      </c>
      <c r="Z383" s="6">
        <v>648</v>
      </c>
      <c r="AN383" s="17">
        <v>377</v>
      </c>
      <c r="AO383" s="6">
        <v>2.7845</v>
      </c>
      <c r="AP383" s="19">
        <v>-5.1452</v>
      </c>
      <c r="AQ383" s="6">
        <v>2.6825999999999999</v>
      </c>
      <c r="AR383" s="6">
        <v>347</v>
      </c>
      <c r="AT383" s="17">
        <v>377</v>
      </c>
      <c r="AU383" s="6">
        <v>5.2762000000000002</v>
      </c>
      <c r="AV383" s="19">
        <v>-5.1452</v>
      </c>
      <c r="AW383" s="6">
        <v>2.6825999999999999</v>
      </c>
      <c r="AX383" s="6">
        <v>347</v>
      </c>
    </row>
    <row r="384" spans="22:50" x14ac:dyDescent="0.25">
      <c r="V384" s="17">
        <v>378</v>
      </c>
      <c r="W384" s="6">
        <v>1.2564500000000001</v>
      </c>
      <c r="X384" s="19">
        <v>-9.6689000000000007</v>
      </c>
      <c r="Y384" s="6">
        <v>1.2112000000000001</v>
      </c>
      <c r="Z384" s="6">
        <v>595</v>
      </c>
      <c r="AN384" s="17">
        <v>378</v>
      </c>
      <c r="AO384" s="6">
        <v>2.7698900000000002</v>
      </c>
      <c r="AP384" s="19">
        <v>-9.7972000000000001</v>
      </c>
      <c r="AQ384" s="6">
        <v>2.6684000000000001</v>
      </c>
      <c r="AR384" s="6">
        <v>340</v>
      </c>
      <c r="AT384" s="17">
        <v>378</v>
      </c>
      <c r="AU384" s="6">
        <v>5.2487300000000001</v>
      </c>
      <c r="AV384" s="19">
        <v>-9.7972000000000001</v>
      </c>
      <c r="AW384" s="6">
        <v>2.6684000000000001</v>
      </c>
      <c r="AX384" s="6">
        <v>340</v>
      </c>
    </row>
    <row r="385" spans="22:50" x14ac:dyDescent="0.25">
      <c r="V385" s="17">
        <v>379</v>
      </c>
      <c r="W385" s="6">
        <v>1.2627299999999999</v>
      </c>
      <c r="X385" s="19">
        <v>-8.6982999999999997</v>
      </c>
      <c r="Y385" s="6">
        <v>1.2173</v>
      </c>
      <c r="Z385" s="6">
        <v>622</v>
      </c>
      <c r="AN385" s="17">
        <v>379</v>
      </c>
      <c r="AO385" s="6">
        <v>2.7734100000000002</v>
      </c>
      <c r="AP385" s="19">
        <v>-8.718</v>
      </c>
      <c r="AQ385" s="6">
        <v>2.6718999999999999</v>
      </c>
      <c r="AR385" s="6">
        <v>342</v>
      </c>
      <c r="AT385" s="17">
        <v>379</v>
      </c>
      <c r="AU385" s="6">
        <v>5.25535</v>
      </c>
      <c r="AV385" s="19">
        <v>-8.718</v>
      </c>
      <c r="AW385" s="6">
        <v>2.6718999999999999</v>
      </c>
      <c r="AX385" s="6">
        <v>342</v>
      </c>
    </row>
    <row r="386" spans="22:50" x14ac:dyDescent="0.25">
      <c r="V386" s="17">
        <v>380</v>
      </c>
      <c r="W386" s="6">
        <v>1.27017</v>
      </c>
      <c r="X386" s="19">
        <v>-8.5988000000000007</v>
      </c>
      <c r="Y386" s="6">
        <v>1.2244999999999999</v>
      </c>
      <c r="Z386" s="6">
        <v>625</v>
      </c>
      <c r="AN386" s="17">
        <v>380</v>
      </c>
      <c r="AO386" s="6">
        <v>2.77637</v>
      </c>
      <c r="AP386" s="19">
        <v>-8.7634000000000007</v>
      </c>
      <c r="AQ386" s="6">
        <v>2.6747000000000001</v>
      </c>
      <c r="AR386" s="6">
        <v>343</v>
      </c>
      <c r="AT386" s="17">
        <v>380</v>
      </c>
      <c r="AU386" s="6">
        <v>5.2609000000000004</v>
      </c>
      <c r="AV386" s="19">
        <v>-8.7634000000000007</v>
      </c>
      <c r="AW386" s="6">
        <v>2.6747000000000001</v>
      </c>
      <c r="AX386" s="6">
        <v>343</v>
      </c>
    </row>
    <row r="387" spans="22:50" x14ac:dyDescent="0.25">
      <c r="V387" s="17">
        <v>381</v>
      </c>
      <c r="W387" s="6">
        <v>1.2932900000000001</v>
      </c>
      <c r="X387" s="19">
        <v>-10.0687</v>
      </c>
      <c r="Y387" s="6">
        <v>1.2467999999999999</v>
      </c>
      <c r="Z387" s="6">
        <v>641</v>
      </c>
      <c r="AN387" s="17">
        <v>381</v>
      </c>
      <c r="AO387" s="6">
        <v>2.7863199999999999</v>
      </c>
      <c r="AP387" s="19">
        <v>-10.3</v>
      </c>
      <c r="AQ387" s="6">
        <v>2.6844000000000001</v>
      </c>
      <c r="AR387" s="6">
        <v>348</v>
      </c>
      <c r="AT387" s="17">
        <v>381</v>
      </c>
      <c r="AU387" s="6">
        <v>5.27963</v>
      </c>
      <c r="AV387" s="19">
        <v>-10.3</v>
      </c>
      <c r="AW387" s="6">
        <v>2.6844000000000001</v>
      </c>
      <c r="AX387" s="6">
        <v>348</v>
      </c>
    </row>
    <row r="388" spans="22:50" x14ac:dyDescent="0.25">
      <c r="V388" s="17">
        <v>382</v>
      </c>
      <c r="W388" s="6">
        <v>1.26532</v>
      </c>
      <c r="X388" s="19">
        <v>-12.056900000000001</v>
      </c>
      <c r="Y388" s="6">
        <v>1.2198</v>
      </c>
      <c r="Z388" s="6">
        <v>631</v>
      </c>
      <c r="AN388" s="17">
        <v>382</v>
      </c>
      <c r="AO388" s="6">
        <v>2.7744900000000001</v>
      </c>
      <c r="AP388" s="19">
        <v>-12.3658</v>
      </c>
      <c r="AQ388" s="6">
        <v>2.6728999999999998</v>
      </c>
      <c r="AR388" s="6">
        <v>343</v>
      </c>
      <c r="AT388" s="17">
        <v>382</v>
      </c>
      <c r="AU388" s="6">
        <v>5.2573699999999999</v>
      </c>
      <c r="AV388" s="19">
        <v>-12.3658</v>
      </c>
      <c r="AW388" s="6">
        <v>2.6728999999999998</v>
      </c>
      <c r="AX388" s="6">
        <v>343</v>
      </c>
    </row>
    <row r="389" spans="22:50" x14ac:dyDescent="0.25">
      <c r="V389" s="17">
        <v>383</v>
      </c>
      <c r="W389" s="6">
        <v>1.278</v>
      </c>
      <c r="X389" s="19">
        <v>-8.8571000000000009</v>
      </c>
      <c r="Y389" s="6">
        <v>1.2321</v>
      </c>
      <c r="Z389" s="6">
        <v>645</v>
      </c>
      <c r="AN389" s="17">
        <v>383</v>
      </c>
      <c r="AO389" s="6">
        <v>2.7800500000000001</v>
      </c>
      <c r="AP389" s="19">
        <v>-9.1598000000000006</v>
      </c>
      <c r="AQ389" s="6">
        <v>2.6783000000000001</v>
      </c>
      <c r="AR389" s="6">
        <v>345</v>
      </c>
      <c r="AT389" s="17">
        <v>383</v>
      </c>
      <c r="AU389" s="6">
        <v>5.26783</v>
      </c>
      <c r="AV389" s="19">
        <v>-9.1598000000000006</v>
      </c>
      <c r="AW389" s="6">
        <v>2.6783000000000001</v>
      </c>
      <c r="AX389" s="6">
        <v>345</v>
      </c>
    </row>
    <row r="390" spans="22:50" x14ac:dyDescent="0.25">
      <c r="V390" s="17">
        <v>384</v>
      </c>
      <c r="W390" s="6">
        <v>1.2721199999999999</v>
      </c>
      <c r="X390" s="19">
        <v>-4.8231999999999999</v>
      </c>
      <c r="Y390" s="6">
        <v>1.2263999999999999</v>
      </c>
      <c r="Z390" s="6">
        <v>637</v>
      </c>
      <c r="AN390" s="17">
        <v>384</v>
      </c>
      <c r="AO390" s="6">
        <v>2.7780999999999998</v>
      </c>
      <c r="AP390" s="19">
        <v>-5.0156000000000001</v>
      </c>
      <c r="AQ390" s="6">
        <v>2.6764000000000001</v>
      </c>
      <c r="AR390" s="6">
        <v>344</v>
      </c>
      <c r="AT390" s="17">
        <v>384</v>
      </c>
      <c r="AU390" s="6">
        <v>5.2641499999999999</v>
      </c>
      <c r="AV390" s="19">
        <v>-5.0156000000000001</v>
      </c>
      <c r="AW390" s="6">
        <v>2.6764000000000001</v>
      </c>
      <c r="AX390" s="6">
        <v>344</v>
      </c>
    </row>
    <row r="391" spans="22:50" x14ac:dyDescent="0.25">
      <c r="V391" s="17">
        <v>385</v>
      </c>
      <c r="W391" s="6">
        <v>1.2915099999999999</v>
      </c>
      <c r="X391" s="19">
        <v>-6.9096000000000002</v>
      </c>
      <c r="Y391" s="6">
        <v>1.2451000000000001</v>
      </c>
      <c r="Z391" s="6">
        <v>635</v>
      </c>
      <c r="AN391" s="17">
        <v>385</v>
      </c>
      <c r="AO391" s="6">
        <v>2.7854100000000002</v>
      </c>
      <c r="AP391" s="19">
        <v>-7.1169000000000002</v>
      </c>
      <c r="AQ391" s="6">
        <v>2.6835</v>
      </c>
      <c r="AR391" s="6">
        <v>347</v>
      </c>
      <c r="AT391" s="17">
        <v>385</v>
      </c>
      <c r="AU391" s="6">
        <v>5.2779199999999999</v>
      </c>
      <c r="AV391" s="19">
        <v>-7.1169000000000002</v>
      </c>
      <c r="AW391" s="6">
        <v>2.6835</v>
      </c>
      <c r="AX391" s="6">
        <v>347</v>
      </c>
    </row>
    <row r="392" spans="22:50" x14ac:dyDescent="0.25">
      <c r="V392" s="17">
        <v>386</v>
      </c>
      <c r="W392" s="6">
        <v>1.2864100000000001</v>
      </c>
      <c r="X392" s="19">
        <v>-8.2763000000000009</v>
      </c>
      <c r="Y392" s="6">
        <v>1.2402</v>
      </c>
      <c r="Z392" s="6">
        <v>630</v>
      </c>
      <c r="AN392" s="17">
        <v>386</v>
      </c>
      <c r="AO392" s="6">
        <v>2.7837399999999999</v>
      </c>
      <c r="AP392" s="19">
        <v>-8.4709000000000003</v>
      </c>
      <c r="AQ392" s="6">
        <v>2.6819000000000002</v>
      </c>
      <c r="AR392" s="6">
        <v>347</v>
      </c>
      <c r="AT392" s="17">
        <v>386</v>
      </c>
      <c r="AU392" s="6">
        <v>5.2747700000000002</v>
      </c>
      <c r="AV392" s="19">
        <v>-8.4709000000000003</v>
      </c>
      <c r="AW392" s="6">
        <v>2.6819000000000002</v>
      </c>
      <c r="AX392" s="6">
        <v>347</v>
      </c>
    </row>
    <row r="393" spans="22:50" x14ac:dyDescent="0.25">
      <c r="V393" s="17">
        <v>387</v>
      </c>
      <c r="W393" s="6">
        <v>1.27186</v>
      </c>
      <c r="X393" s="19">
        <v>-7.2705000000000002</v>
      </c>
      <c r="Y393" s="6">
        <v>1.2261</v>
      </c>
      <c r="Z393" s="6">
        <v>628</v>
      </c>
      <c r="AN393" s="17">
        <v>387</v>
      </c>
      <c r="AO393" s="6">
        <v>2.7775500000000002</v>
      </c>
      <c r="AP393" s="19">
        <v>-7.4462999999999999</v>
      </c>
      <c r="AQ393" s="6">
        <v>2.6758999999999999</v>
      </c>
      <c r="AR393" s="6">
        <v>344</v>
      </c>
      <c r="AT393" s="17">
        <v>387</v>
      </c>
      <c r="AU393" s="6">
        <v>5.2631199999999998</v>
      </c>
      <c r="AV393" s="19">
        <v>-7.4462999999999999</v>
      </c>
      <c r="AW393" s="6">
        <v>2.6758999999999999</v>
      </c>
      <c r="AX393" s="6">
        <v>344</v>
      </c>
    </row>
    <row r="394" spans="22:50" x14ac:dyDescent="0.25">
      <c r="V394" s="17">
        <v>388</v>
      </c>
      <c r="W394" s="6">
        <v>1.2943199999999999</v>
      </c>
      <c r="X394" s="19">
        <v>-3.2890999999999999</v>
      </c>
      <c r="Y394" s="6">
        <v>1.2478</v>
      </c>
      <c r="Z394" s="6">
        <v>655</v>
      </c>
      <c r="AN394" s="17">
        <v>388</v>
      </c>
      <c r="AO394" s="6">
        <v>2.7874699999999999</v>
      </c>
      <c r="AP394" s="19">
        <v>-3.5857000000000001</v>
      </c>
      <c r="AQ394" s="6">
        <v>2.6855000000000002</v>
      </c>
      <c r="AR394" s="6">
        <v>349</v>
      </c>
      <c r="AT394" s="17">
        <v>388</v>
      </c>
      <c r="AU394" s="6">
        <v>5.2817800000000004</v>
      </c>
      <c r="AV394" s="19">
        <v>-3.5857000000000001</v>
      </c>
      <c r="AW394" s="6">
        <v>2.6855000000000002</v>
      </c>
      <c r="AX394" s="6">
        <v>349</v>
      </c>
    </row>
    <row r="395" spans="22:50" x14ac:dyDescent="0.25">
      <c r="V395" s="17">
        <v>389</v>
      </c>
      <c r="W395" s="6">
        <v>1.31006</v>
      </c>
      <c r="X395" s="19">
        <v>-9.6572999999999993</v>
      </c>
      <c r="Y395" s="6">
        <v>1.2629999999999999</v>
      </c>
      <c r="Z395" s="6">
        <v>641</v>
      </c>
      <c r="AN395" s="17">
        <v>389</v>
      </c>
      <c r="AO395" s="6">
        <v>2.7930299999999999</v>
      </c>
      <c r="AP395" s="19">
        <v>-9.8237000000000005</v>
      </c>
      <c r="AQ395" s="6">
        <v>2.6909000000000001</v>
      </c>
      <c r="AR395" s="6">
        <v>351</v>
      </c>
      <c r="AT395" s="17">
        <v>389</v>
      </c>
      <c r="AU395" s="6">
        <v>5.2922599999999997</v>
      </c>
      <c r="AV395" s="19">
        <v>-9.8237000000000005</v>
      </c>
      <c r="AW395" s="6">
        <v>2.6909000000000001</v>
      </c>
      <c r="AX395" s="6">
        <v>351</v>
      </c>
    </row>
    <row r="396" spans="22:50" x14ac:dyDescent="0.25">
      <c r="V396" s="17">
        <v>390</v>
      </c>
      <c r="W396" s="6">
        <v>1.2620400000000001</v>
      </c>
      <c r="X396" s="19">
        <v>-8.9230999999999998</v>
      </c>
      <c r="Y396" s="6">
        <v>1.2166999999999999</v>
      </c>
      <c r="Z396" s="6">
        <v>625</v>
      </c>
      <c r="AN396" s="17">
        <v>390</v>
      </c>
      <c r="AO396" s="6">
        <v>2.7730899999999998</v>
      </c>
      <c r="AP396" s="19">
        <v>-9.2263000000000002</v>
      </c>
      <c r="AQ396" s="6">
        <v>2.6715</v>
      </c>
      <c r="AR396" s="6">
        <v>342</v>
      </c>
      <c r="AT396" s="17">
        <v>390</v>
      </c>
      <c r="AU396" s="6">
        <v>5.25474</v>
      </c>
      <c r="AV396" s="19">
        <v>-9.2263000000000002</v>
      </c>
      <c r="AW396" s="6">
        <v>2.6715</v>
      </c>
      <c r="AX396" s="6">
        <v>342</v>
      </c>
    </row>
    <row r="397" spans="22:50" x14ac:dyDescent="0.25">
      <c r="V397" s="17">
        <v>391</v>
      </c>
      <c r="W397" s="6">
        <v>1.2530699999999999</v>
      </c>
      <c r="X397" s="6">
        <v>1.3064</v>
      </c>
      <c r="Y397" s="6">
        <v>1.208</v>
      </c>
      <c r="Z397" s="6">
        <v>603</v>
      </c>
      <c r="AN397" s="17">
        <v>391</v>
      </c>
      <c r="AO397" s="6">
        <v>2.76911</v>
      </c>
      <c r="AP397" s="6">
        <v>1.2202999999999999</v>
      </c>
      <c r="AQ397" s="6">
        <v>2.6677</v>
      </c>
      <c r="AR397" s="6">
        <v>340</v>
      </c>
      <c r="AT397" s="17">
        <v>391</v>
      </c>
      <c r="AU397" s="6">
        <v>5.2472599999999998</v>
      </c>
      <c r="AV397" s="6">
        <v>1.2202999999999999</v>
      </c>
      <c r="AW397" s="6">
        <v>2.6677</v>
      </c>
      <c r="AX397" s="6">
        <v>340</v>
      </c>
    </row>
    <row r="398" spans="22:50" x14ac:dyDescent="0.25">
      <c r="V398" s="17">
        <v>392</v>
      </c>
      <c r="W398" s="6">
        <v>1.27606</v>
      </c>
      <c r="X398" s="19">
        <v>-1.1031</v>
      </c>
      <c r="Y398" s="6">
        <v>1.2302</v>
      </c>
      <c r="Z398" s="6">
        <v>622</v>
      </c>
      <c r="AN398" s="17">
        <v>392</v>
      </c>
      <c r="AO398" s="6">
        <v>2.7785899999999999</v>
      </c>
      <c r="AP398" s="19">
        <v>-1.177</v>
      </c>
      <c r="AQ398" s="6">
        <v>2.6768999999999998</v>
      </c>
      <c r="AR398" s="6">
        <v>344</v>
      </c>
      <c r="AT398" s="17">
        <v>392</v>
      </c>
      <c r="AU398" s="6">
        <v>5.2651000000000003</v>
      </c>
      <c r="AV398" s="19">
        <v>-1.177</v>
      </c>
      <c r="AW398" s="6">
        <v>2.6768999999999998</v>
      </c>
      <c r="AX398" s="6">
        <v>344</v>
      </c>
    </row>
    <row r="399" spans="22:50" x14ac:dyDescent="0.25">
      <c r="V399" s="17">
        <v>393</v>
      </c>
      <c r="W399" s="6">
        <v>1.2917799999999999</v>
      </c>
      <c r="X399" s="6">
        <v>0.16889999999999999</v>
      </c>
      <c r="Y399" s="6">
        <v>1.2454000000000001</v>
      </c>
      <c r="Z399" s="6">
        <v>635</v>
      </c>
      <c r="AN399" s="17">
        <v>393</v>
      </c>
      <c r="AO399" s="6">
        <v>2.7849499999999998</v>
      </c>
      <c r="AP399" s="6">
        <v>0.1085</v>
      </c>
      <c r="AQ399" s="6">
        <v>2.6829999999999998</v>
      </c>
      <c r="AR399" s="6">
        <v>347</v>
      </c>
      <c r="AT399" s="17">
        <v>393</v>
      </c>
      <c r="AU399" s="6">
        <v>5.2770599999999996</v>
      </c>
      <c r="AV399" s="6">
        <v>0.1085</v>
      </c>
      <c r="AW399" s="6">
        <v>2.6829999999999998</v>
      </c>
      <c r="AX399" s="6">
        <v>347</v>
      </c>
    </row>
    <row r="400" spans="22:50" x14ac:dyDescent="0.25">
      <c r="V400" s="17">
        <v>394</v>
      </c>
      <c r="W400" s="6">
        <v>1.2513799999999999</v>
      </c>
      <c r="X400" s="19">
        <v>-9.4957999999999991</v>
      </c>
      <c r="Y400" s="6">
        <v>1.2062999999999999</v>
      </c>
      <c r="Z400" s="6">
        <v>592</v>
      </c>
      <c r="AN400" s="17">
        <v>394</v>
      </c>
      <c r="AO400" s="6">
        <v>2.76878</v>
      </c>
      <c r="AP400" s="19">
        <v>-9.5228999999999999</v>
      </c>
      <c r="AQ400" s="6">
        <v>2.6674000000000002</v>
      </c>
      <c r="AR400" s="6">
        <v>340</v>
      </c>
      <c r="AT400" s="17">
        <v>394</v>
      </c>
      <c r="AU400" s="6">
        <v>5.2466299999999997</v>
      </c>
      <c r="AV400" s="19">
        <v>-9.5228999999999999</v>
      </c>
      <c r="AW400" s="6">
        <v>2.6674000000000002</v>
      </c>
      <c r="AX400" s="6">
        <v>340</v>
      </c>
    </row>
    <row r="401" spans="22:50" x14ac:dyDescent="0.25">
      <c r="V401" s="17">
        <v>395</v>
      </c>
      <c r="W401" s="6">
        <v>1.25196</v>
      </c>
      <c r="X401" s="19">
        <v>-5.5925000000000002</v>
      </c>
      <c r="Y401" s="6">
        <v>1.2069000000000001</v>
      </c>
      <c r="Z401" s="6">
        <v>625</v>
      </c>
      <c r="AN401" s="17">
        <v>395</v>
      </c>
      <c r="AO401" s="6">
        <v>2.7696100000000001</v>
      </c>
      <c r="AP401" s="19">
        <v>-5.7510000000000003</v>
      </c>
      <c r="AQ401" s="6">
        <v>2.6682000000000001</v>
      </c>
      <c r="AR401" s="6">
        <v>341</v>
      </c>
      <c r="AT401" s="17">
        <v>395</v>
      </c>
      <c r="AU401" s="6">
        <v>5.2481900000000001</v>
      </c>
      <c r="AV401" s="19">
        <v>-5.7510000000000003</v>
      </c>
      <c r="AW401" s="6">
        <v>2.6682000000000001</v>
      </c>
      <c r="AX401" s="6">
        <v>341</v>
      </c>
    </row>
    <row r="402" spans="22:50" x14ac:dyDescent="0.25">
      <c r="V402" s="17">
        <v>396</v>
      </c>
      <c r="W402" s="6">
        <v>1.27626</v>
      </c>
      <c r="X402" s="19">
        <v>-2.8698999999999999</v>
      </c>
      <c r="Y402" s="6">
        <v>1.2303999999999999</v>
      </c>
      <c r="Z402" s="6">
        <v>631</v>
      </c>
      <c r="AN402" s="17">
        <v>396</v>
      </c>
      <c r="AO402" s="6">
        <v>2.7797999999999998</v>
      </c>
      <c r="AP402" s="19">
        <v>-2.9186000000000001</v>
      </c>
      <c r="AQ402" s="6">
        <v>2.6781000000000001</v>
      </c>
      <c r="AR402" s="6">
        <v>345</v>
      </c>
      <c r="AT402" s="17">
        <v>396</v>
      </c>
      <c r="AU402" s="6">
        <v>5.26736</v>
      </c>
      <c r="AV402" s="19">
        <v>-2.9186000000000001</v>
      </c>
      <c r="AW402" s="6">
        <v>2.6781000000000001</v>
      </c>
      <c r="AX402" s="6">
        <v>345</v>
      </c>
    </row>
    <row r="403" spans="22:50" x14ac:dyDescent="0.25">
      <c r="V403" s="17">
        <v>397</v>
      </c>
      <c r="W403" s="6">
        <v>1.2430600000000001</v>
      </c>
      <c r="X403" s="6">
        <v>2.7662</v>
      </c>
      <c r="Y403" s="6">
        <v>1.1982999999999999</v>
      </c>
      <c r="Z403" s="6">
        <v>601</v>
      </c>
      <c r="AN403" s="17">
        <v>397</v>
      </c>
      <c r="AO403" s="6">
        <v>2.7642000000000002</v>
      </c>
      <c r="AP403" s="6">
        <v>2.4232</v>
      </c>
      <c r="AQ403" s="6">
        <v>2.6629</v>
      </c>
      <c r="AR403" s="6">
        <v>338</v>
      </c>
      <c r="AT403" s="17">
        <v>397</v>
      </c>
      <c r="AU403" s="6">
        <v>5.2380300000000002</v>
      </c>
      <c r="AV403" s="6">
        <v>2.4232</v>
      </c>
      <c r="AW403" s="6">
        <v>2.6629</v>
      </c>
      <c r="AX403" s="6">
        <v>338</v>
      </c>
    </row>
    <row r="404" spans="22:50" x14ac:dyDescent="0.25">
      <c r="V404" s="17">
        <v>398</v>
      </c>
      <c r="W404" s="6">
        <v>1.2781100000000001</v>
      </c>
      <c r="X404" s="19">
        <v>-2.4967000000000001</v>
      </c>
      <c r="Y404" s="6">
        <v>1.2321</v>
      </c>
      <c r="Z404" s="6">
        <v>614</v>
      </c>
      <c r="AN404" s="17">
        <v>398</v>
      </c>
      <c r="AO404" s="6">
        <v>2.7788599999999999</v>
      </c>
      <c r="AP404" s="19">
        <v>-2.8128000000000002</v>
      </c>
      <c r="AQ404" s="6">
        <v>2.6770999999999998</v>
      </c>
      <c r="AR404" s="6">
        <v>344</v>
      </c>
      <c r="AT404" s="17">
        <v>398</v>
      </c>
      <c r="AU404" s="6">
        <v>5.2656099999999997</v>
      </c>
      <c r="AV404" s="19">
        <v>-2.8128000000000002</v>
      </c>
      <c r="AW404" s="6">
        <v>2.6770999999999998</v>
      </c>
      <c r="AX404" s="6">
        <v>344</v>
      </c>
    </row>
    <row r="405" spans="22:50" x14ac:dyDescent="0.25">
      <c r="V405" s="17">
        <v>399</v>
      </c>
      <c r="W405" s="6">
        <v>1.2602</v>
      </c>
      <c r="X405" s="19">
        <v>-2.2071999999999998</v>
      </c>
      <c r="Y405" s="6">
        <v>1.2149000000000001</v>
      </c>
      <c r="Z405" s="6">
        <v>628</v>
      </c>
      <c r="AN405" s="17">
        <v>399</v>
      </c>
      <c r="AO405" s="6">
        <v>2.7726299999999999</v>
      </c>
      <c r="AP405" s="19">
        <v>-2.4973999999999998</v>
      </c>
      <c r="AQ405" s="6">
        <v>2.6711</v>
      </c>
      <c r="AR405" s="6">
        <v>342</v>
      </c>
      <c r="AT405" s="17">
        <v>399</v>
      </c>
      <c r="AU405" s="6">
        <v>5.25387</v>
      </c>
      <c r="AV405" s="19">
        <v>-2.4973999999999998</v>
      </c>
      <c r="AW405" s="6">
        <v>2.6711</v>
      </c>
      <c r="AX405" s="6">
        <v>342</v>
      </c>
    </row>
    <row r="406" spans="22:50" x14ac:dyDescent="0.25">
      <c r="V406" s="17">
        <v>400</v>
      </c>
      <c r="W406" s="6">
        <v>1.2631699999999999</v>
      </c>
      <c r="X406" s="6">
        <v>12.4651</v>
      </c>
      <c r="Y406" s="6">
        <v>1.2178</v>
      </c>
      <c r="Z406" s="6">
        <v>630</v>
      </c>
      <c r="AN406" s="17">
        <v>400</v>
      </c>
      <c r="AO406" s="6">
        <v>2.7744399999999998</v>
      </c>
      <c r="AP406" s="6">
        <v>12.509399999999999</v>
      </c>
      <c r="AQ406" s="6">
        <v>2.6728999999999998</v>
      </c>
      <c r="AR406" s="6">
        <v>343</v>
      </c>
      <c r="AT406" s="17">
        <v>400</v>
      </c>
      <c r="AU406" s="6">
        <v>5.2572799999999997</v>
      </c>
      <c r="AV406" s="6">
        <v>12.509399999999999</v>
      </c>
      <c r="AW406" s="6">
        <v>2.6728999999999998</v>
      </c>
      <c r="AX406" s="6">
        <v>343</v>
      </c>
    </row>
    <row r="407" spans="22:50" x14ac:dyDescent="0.25">
      <c r="V407" s="17">
        <v>401</v>
      </c>
      <c r="W407" s="6">
        <v>1.2721100000000001</v>
      </c>
      <c r="X407" s="19">
        <v>-5.2161999999999997</v>
      </c>
      <c r="Y407" s="6">
        <v>1.2263999999999999</v>
      </c>
      <c r="Z407" s="6">
        <v>613</v>
      </c>
      <c r="AN407" s="17">
        <v>401</v>
      </c>
      <c r="AO407" s="6">
        <v>2.7773500000000002</v>
      </c>
      <c r="AP407" s="19">
        <v>-5.2127999999999997</v>
      </c>
      <c r="AQ407" s="6">
        <v>2.6757</v>
      </c>
      <c r="AR407" s="6">
        <v>344</v>
      </c>
      <c r="AT407" s="17">
        <v>401</v>
      </c>
      <c r="AU407" s="6">
        <v>5.2627499999999996</v>
      </c>
      <c r="AV407" s="19">
        <v>-5.2127999999999997</v>
      </c>
      <c r="AW407" s="6">
        <v>2.6757</v>
      </c>
      <c r="AX407" s="6">
        <v>344</v>
      </c>
    </row>
    <row r="408" spans="22:50" x14ac:dyDescent="0.25">
      <c r="V408" s="17">
        <v>402</v>
      </c>
      <c r="W408" s="6">
        <v>1.2525999999999999</v>
      </c>
      <c r="X408" s="19">
        <v>-1.2827999999999999</v>
      </c>
      <c r="Y408" s="6">
        <v>1.2075</v>
      </c>
      <c r="Z408" s="6">
        <v>613</v>
      </c>
      <c r="AN408" s="17">
        <v>402</v>
      </c>
      <c r="AO408" s="6">
        <v>2.7693599999999998</v>
      </c>
      <c r="AP408" s="19">
        <v>-1.3871</v>
      </c>
      <c r="AQ408" s="6">
        <v>2.6678999999999999</v>
      </c>
      <c r="AR408" s="6">
        <v>340</v>
      </c>
      <c r="AT408" s="17">
        <v>402</v>
      </c>
      <c r="AU408" s="6">
        <v>5.2477200000000002</v>
      </c>
      <c r="AV408" s="19">
        <v>-1.3871</v>
      </c>
      <c r="AW408" s="6">
        <v>2.6678999999999999</v>
      </c>
      <c r="AX408" s="6">
        <v>340</v>
      </c>
    </row>
    <row r="409" spans="22:50" x14ac:dyDescent="0.25">
      <c r="V409" s="17">
        <v>403</v>
      </c>
      <c r="W409" s="6">
        <v>1.2680100000000001</v>
      </c>
      <c r="X409" s="19">
        <v>-1.5043</v>
      </c>
      <c r="Y409" s="6">
        <v>1.2223999999999999</v>
      </c>
      <c r="Z409" s="6">
        <v>624</v>
      </c>
      <c r="AN409" s="17">
        <v>403</v>
      </c>
      <c r="AO409" s="6">
        <v>2.7755800000000002</v>
      </c>
      <c r="AP409" s="19">
        <v>-1.5865</v>
      </c>
      <c r="AQ409" s="6">
        <v>2.6739999999999999</v>
      </c>
      <c r="AR409" s="6">
        <v>343</v>
      </c>
      <c r="AT409" s="17">
        <v>403</v>
      </c>
      <c r="AU409" s="6">
        <v>5.25943</v>
      </c>
      <c r="AV409" s="19">
        <v>-1.5865</v>
      </c>
      <c r="AW409" s="6">
        <v>2.6739999999999999</v>
      </c>
      <c r="AX409" s="6">
        <v>343</v>
      </c>
    </row>
    <row r="410" spans="22:50" x14ac:dyDescent="0.25">
      <c r="V410" s="17">
        <v>404</v>
      </c>
      <c r="W410" s="6">
        <v>1.2621</v>
      </c>
      <c r="X410" s="19">
        <v>-6.2237999999999998</v>
      </c>
      <c r="Y410" s="6">
        <v>1.2166999999999999</v>
      </c>
      <c r="Z410" s="6">
        <v>593</v>
      </c>
      <c r="AN410" s="17">
        <v>404</v>
      </c>
      <c r="AO410" s="6">
        <v>2.7724899999999999</v>
      </c>
      <c r="AP410" s="19">
        <v>-6.2385000000000002</v>
      </c>
      <c r="AQ410" s="6">
        <v>2.6709999999999998</v>
      </c>
      <c r="AR410" s="6">
        <v>341</v>
      </c>
      <c r="AT410" s="17">
        <v>404</v>
      </c>
      <c r="AU410" s="6">
        <v>5.2536199999999997</v>
      </c>
      <c r="AV410" s="19">
        <v>-6.2385000000000002</v>
      </c>
      <c r="AW410" s="6">
        <v>2.6709999999999998</v>
      </c>
      <c r="AX410" s="6">
        <v>341</v>
      </c>
    </row>
    <row r="411" spans="22:50" x14ac:dyDescent="0.25">
      <c r="V411" s="17">
        <v>405</v>
      </c>
      <c r="W411" s="6">
        <v>1.2502599999999999</v>
      </c>
      <c r="X411" s="19">
        <v>-5.2531999999999996</v>
      </c>
      <c r="Y411" s="6">
        <v>1.2053</v>
      </c>
      <c r="Z411" s="6">
        <v>604</v>
      </c>
      <c r="AN411" s="17">
        <v>405</v>
      </c>
      <c r="AO411" s="6">
        <v>2.7673899999999998</v>
      </c>
      <c r="AP411" s="19">
        <v>-5.1592000000000002</v>
      </c>
      <c r="AQ411" s="6">
        <v>2.6659999999999999</v>
      </c>
      <c r="AR411" s="6">
        <v>339</v>
      </c>
      <c r="AT411" s="17">
        <v>405</v>
      </c>
      <c r="AU411" s="6">
        <v>5.2440300000000004</v>
      </c>
      <c r="AV411" s="19">
        <v>-5.1592000000000002</v>
      </c>
      <c r="AW411" s="6">
        <v>2.6659999999999999</v>
      </c>
      <c r="AX411" s="6">
        <v>339</v>
      </c>
    </row>
    <row r="412" spans="22:50" x14ac:dyDescent="0.25">
      <c r="V412" s="17">
        <v>406</v>
      </c>
      <c r="W412" s="6">
        <v>1.25322</v>
      </c>
      <c r="X412" s="19">
        <v>-5.1536999999999997</v>
      </c>
      <c r="Y412" s="6">
        <v>1.2081</v>
      </c>
      <c r="Z412" s="6">
        <v>611</v>
      </c>
      <c r="AN412" s="17">
        <v>406</v>
      </c>
      <c r="AO412" s="6">
        <v>2.7696100000000001</v>
      </c>
      <c r="AP412" s="19">
        <v>-5.2046000000000001</v>
      </c>
      <c r="AQ412" s="6">
        <v>2.6682000000000001</v>
      </c>
      <c r="AR412" s="6">
        <v>340</v>
      </c>
      <c r="AT412" s="17">
        <v>406</v>
      </c>
      <c r="AU412" s="6">
        <v>5.2481999999999998</v>
      </c>
      <c r="AV412" s="19">
        <v>-5.2046000000000001</v>
      </c>
      <c r="AW412" s="6">
        <v>2.6682000000000001</v>
      </c>
      <c r="AX412" s="6">
        <v>340</v>
      </c>
    </row>
    <row r="413" spans="22:50" x14ac:dyDescent="0.25">
      <c r="V413" s="17">
        <v>407</v>
      </c>
      <c r="W413" s="6">
        <v>1.2881</v>
      </c>
      <c r="X413" s="19">
        <v>-6.6235999999999997</v>
      </c>
      <c r="Y413" s="6">
        <v>1.2418</v>
      </c>
      <c r="Z413" s="6">
        <v>632</v>
      </c>
      <c r="AN413" s="17">
        <v>407</v>
      </c>
      <c r="AO413" s="6">
        <v>2.7833100000000002</v>
      </c>
      <c r="AP413" s="19">
        <v>-6.7412999999999998</v>
      </c>
      <c r="AQ413" s="6">
        <v>2.6815000000000002</v>
      </c>
      <c r="AR413" s="6">
        <v>346</v>
      </c>
      <c r="AT413" s="17">
        <v>407</v>
      </c>
      <c r="AU413" s="6">
        <v>5.2739900000000004</v>
      </c>
      <c r="AV413" s="19">
        <v>-6.7412999999999998</v>
      </c>
      <c r="AW413" s="6">
        <v>2.6815000000000002</v>
      </c>
      <c r="AX413" s="6">
        <v>346</v>
      </c>
    </row>
    <row r="414" spans="22:50" x14ac:dyDescent="0.25">
      <c r="V414" s="17">
        <v>408</v>
      </c>
      <c r="W414" s="6">
        <v>1.2683899999999999</v>
      </c>
      <c r="X414" s="19">
        <v>-8.6118000000000006</v>
      </c>
      <c r="Y414" s="6">
        <v>1.2228000000000001</v>
      </c>
      <c r="Z414" s="6">
        <v>624</v>
      </c>
      <c r="AN414" s="17">
        <v>408</v>
      </c>
      <c r="AO414" s="6">
        <v>2.7754799999999999</v>
      </c>
      <c r="AP414" s="19">
        <v>-8.8070000000000004</v>
      </c>
      <c r="AQ414" s="6">
        <v>2.6739000000000002</v>
      </c>
      <c r="AR414" s="6">
        <v>343</v>
      </c>
      <c r="AT414" s="17">
        <v>408</v>
      </c>
      <c r="AU414" s="6">
        <v>5.2592400000000001</v>
      </c>
      <c r="AV414" s="19">
        <v>-8.8070000000000004</v>
      </c>
      <c r="AW414" s="6">
        <v>2.6739000000000002</v>
      </c>
      <c r="AX414" s="6">
        <v>343</v>
      </c>
    </row>
    <row r="415" spans="22:50" x14ac:dyDescent="0.25">
      <c r="V415" s="17">
        <v>409</v>
      </c>
      <c r="W415" s="6">
        <v>1.26494</v>
      </c>
      <c r="X415" s="19">
        <v>-5.4119999999999999</v>
      </c>
      <c r="Y415" s="6">
        <v>1.2195</v>
      </c>
      <c r="Z415" s="6">
        <v>619</v>
      </c>
      <c r="AN415" s="17">
        <v>409</v>
      </c>
      <c r="AO415" s="6">
        <v>2.7737699999999998</v>
      </c>
      <c r="AP415" s="19">
        <v>-5.601</v>
      </c>
      <c r="AQ415" s="6">
        <v>2.6722000000000001</v>
      </c>
      <c r="AR415" s="6">
        <v>342</v>
      </c>
      <c r="AT415" s="17">
        <v>409</v>
      </c>
      <c r="AU415" s="6">
        <v>5.2560399999999996</v>
      </c>
      <c r="AV415" s="19">
        <v>-5.601</v>
      </c>
      <c r="AW415" s="6">
        <v>2.6722000000000001</v>
      </c>
      <c r="AX415" s="6">
        <v>342</v>
      </c>
    </row>
    <row r="416" spans="22:50" x14ac:dyDescent="0.25">
      <c r="V416" s="17">
        <v>410</v>
      </c>
      <c r="W416" s="6">
        <v>1.25681</v>
      </c>
      <c r="X416" s="19">
        <v>-1.3781000000000001</v>
      </c>
      <c r="Y416" s="6">
        <v>1.2116</v>
      </c>
      <c r="Z416" s="6">
        <v>624</v>
      </c>
      <c r="AN416" s="17">
        <v>410</v>
      </c>
      <c r="AO416" s="6">
        <v>2.77142</v>
      </c>
      <c r="AP416" s="19">
        <v>-1.4568000000000001</v>
      </c>
      <c r="AQ416" s="6">
        <v>2.6699000000000002</v>
      </c>
      <c r="AR416" s="6">
        <v>341</v>
      </c>
      <c r="AT416" s="17">
        <v>410</v>
      </c>
      <c r="AU416" s="6">
        <v>5.2515999999999998</v>
      </c>
      <c r="AV416" s="19">
        <v>-1.4568000000000001</v>
      </c>
      <c r="AW416" s="6">
        <v>2.6699000000000002</v>
      </c>
      <c r="AX416" s="6">
        <v>341</v>
      </c>
    </row>
    <row r="417" spans="22:50" x14ac:dyDescent="0.25">
      <c r="V417" s="17">
        <v>411</v>
      </c>
      <c r="W417" s="6">
        <v>1.28698</v>
      </c>
      <c r="X417" s="19">
        <v>-3.4645000000000001</v>
      </c>
      <c r="Y417" s="6">
        <v>1.2406999999999999</v>
      </c>
      <c r="Z417" s="6">
        <v>618</v>
      </c>
      <c r="AN417" s="17">
        <v>411</v>
      </c>
      <c r="AO417" s="6">
        <v>2.7829100000000002</v>
      </c>
      <c r="AP417" s="19">
        <v>-3.5581</v>
      </c>
      <c r="AQ417" s="6">
        <v>2.6810999999999998</v>
      </c>
      <c r="AR417" s="6">
        <v>346</v>
      </c>
      <c r="AT417" s="17">
        <v>411</v>
      </c>
      <c r="AU417" s="6">
        <v>5.2732299999999999</v>
      </c>
      <c r="AV417" s="19">
        <v>-3.5581</v>
      </c>
      <c r="AW417" s="6">
        <v>2.6810999999999998</v>
      </c>
      <c r="AX417" s="6">
        <v>346</v>
      </c>
    </row>
    <row r="418" spans="22:50" x14ac:dyDescent="0.25">
      <c r="V418" s="17">
        <v>412</v>
      </c>
      <c r="W418" s="6">
        <v>1.27271</v>
      </c>
      <c r="X418" s="19">
        <v>-4.8312999999999997</v>
      </c>
      <c r="Y418" s="6">
        <v>1.2269000000000001</v>
      </c>
      <c r="Z418" s="6">
        <v>617</v>
      </c>
      <c r="AN418" s="17">
        <v>412</v>
      </c>
      <c r="AO418" s="6">
        <v>2.7774200000000002</v>
      </c>
      <c r="AP418" s="19">
        <v>-4.9122000000000003</v>
      </c>
      <c r="AQ418" s="6">
        <v>2.6757</v>
      </c>
      <c r="AR418" s="6">
        <v>344</v>
      </c>
      <c r="AT418" s="17">
        <v>412</v>
      </c>
      <c r="AU418" s="6">
        <v>5.2628899999999996</v>
      </c>
      <c r="AV418" s="19">
        <v>-4.9122000000000003</v>
      </c>
      <c r="AW418" s="6">
        <v>2.6757</v>
      </c>
      <c r="AX418" s="6">
        <v>344</v>
      </c>
    </row>
    <row r="419" spans="22:50" x14ac:dyDescent="0.25">
      <c r="V419" s="17">
        <v>413</v>
      </c>
      <c r="W419" s="6">
        <v>1.2640100000000001</v>
      </c>
      <c r="X419" s="19">
        <v>-3.8254000000000001</v>
      </c>
      <c r="Y419" s="6">
        <v>1.2184999999999999</v>
      </c>
      <c r="Z419" s="6">
        <v>613</v>
      </c>
      <c r="AN419" s="17">
        <v>413</v>
      </c>
      <c r="AO419" s="6">
        <v>2.7738</v>
      </c>
      <c r="AP419" s="19">
        <v>-3.8875000000000002</v>
      </c>
      <c r="AQ419" s="6">
        <v>2.6722000000000001</v>
      </c>
      <c r="AR419" s="6">
        <v>342</v>
      </c>
      <c r="AT419" s="17">
        <v>413</v>
      </c>
      <c r="AU419" s="6">
        <v>5.2560700000000002</v>
      </c>
      <c r="AV419" s="19">
        <v>-3.8875000000000002</v>
      </c>
      <c r="AW419" s="6">
        <v>2.6722000000000001</v>
      </c>
      <c r="AX419" s="6">
        <v>342</v>
      </c>
    </row>
    <row r="420" spans="22:50" x14ac:dyDescent="0.25">
      <c r="V420" s="17">
        <v>414</v>
      </c>
      <c r="W420" s="6">
        <v>1.2719100000000001</v>
      </c>
      <c r="X420" s="6">
        <v>0.156</v>
      </c>
      <c r="Y420" s="6">
        <v>1.2262</v>
      </c>
      <c r="Z420" s="6">
        <v>615</v>
      </c>
      <c r="AN420" s="17">
        <v>414</v>
      </c>
      <c r="AO420" s="6">
        <v>2.7770700000000001</v>
      </c>
      <c r="AP420" s="19">
        <v>-2.6970000000000001E-2</v>
      </c>
      <c r="AQ420" s="6">
        <v>2.6753999999999998</v>
      </c>
      <c r="AR420" s="6">
        <v>344</v>
      </c>
      <c r="AT420" s="17">
        <v>414</v>
      </c>
      <c r="AU420" s="6">
        <v>5.2622299999999997</v>
      </c>
      <c r="AV420" s="19">
        <v>-2.6970000000000001E-2</v>
      </c>
      <c r="AW420" s="6">
        <v>2.6753999999999998</v>
      </c>
      <c r="AX420" s="6">
        <v>344</v>
      </c>
    </row>
    <row r="421" spans="22:50" x14ac:dyDescent="0.25">
      <c r="V421" s="17">
        <v>415</v>
      </c>
      <c r="W421" s="6">
        <v>1.29203</v>
      </c>
      <c r="X421" s="19">
        <v>-6.2122999999999999</v>
      </c>
      <c r="Y421" s="6">
        <v>1.2456</v>
      </c>
      <c r="Z421" s="6">
        <v>632</v>
      </c>
      <c r="AN421" s="17">
        <v>415</v>
      </c>
      <c r="AO421" s="6">
        <v>2.7860999999999998</v>
      </c>
      <c r="AP421" s="19">
        <v>-6.2648999999999999</v>
      </c>
      <c r="AQ421" s="6">
        <v>2.6842000000000001</v>
      </c>
      <c r="AR421" s="6">
        <v>348</v>
      </c>
      <c r="AT421" s="17">
        <v>415</v>
      </c>
      <c r="AU421" s="6">
        <v>5.27921</v>
      </c>
      <c r="AV421" s="19">
        <v>-6.2648999999999999</v>
      </c>
      <c r="AW421" s="6">
        <v>2.6842000000000001</v>
      </c>
      <c r="AX421" s="6">
        <v>348</v>
      </c>
    </row>
    <row r="422" spans="22:50" x14ac:dyDescent="0.25">
      <c r="V422" s="17">
        <v>416</v>
      </c>
      <c r="W422" s="6">
        <v>1.25186</v>
      </c>
      <c r="X422" s="19">
        <v>-5.4779999999999998</v>
      </c>
      <c r="Y422" s="6">
        <v>1.2068000000000001</v>
      </c>
      <c r="Z422" s="6">
        <v>612</v>
      </c>
      <c r="AN422" s="17">
        <v>416</v>
      </c>
      <c r="AO422" s="6">
        <v>2.76938</v>
      </c>
      <c r="AP422" s="19">
        <v>-5.6675000000000004</v>
      </c>
      <c r="AQ422" s="6">
        <v>2.6680000000000001</v>
      </c>
      <c r="AR422" s="6">
        <v>340</v>
      </c>
      <c r="AT422" s="17">
        <v>416</v>
      </c>
      <c r="AU422" s="6">
        <v>5.2477499999999999</v>
      </c>
      <c r="AV422" s="19">
        <v>-5.6675000000000004</v>
      </c>
      <c r="AW422" s="6">
        <v>2.6680000000000001</v>
      </c>
      <c r="AX422" s="6">
        <v>340</v>
      </c>
    </row>
    <row r="423" spans="22:50" x14ac:dyDescent="0.25">
      <c r="V423" s="17">
        <v>417</v>
      </c>
      <c r="W423" s="6">
        <v>1.29474</v>
      </c>
      <c r="X423" s="19">
        <v>-2.4095</v>
      </c>
      <c r="Y423" s="6">
        <v>1.2482</v>
      </c>
      <c r="Z423" s="6">
        <v>636</v>
      </c>
      <c r="AN423" s="17">
        <v>417</v>
      </c>
      <c r="AO423" s="6">
        <v>2.78661</v>
      </c>
      <c r="AP423" s="19">
        <v>-2.3973</v>
      </c>
      <c r="AQ423" s="6">
        <v>2.6846000000000001</v>
      </c>
      <c r="AR423" s="6">
        <v>348</v>
      </c>
      <c r="AT423" s="17">
        <v>417</v>
      </c>
      <c r="AU423" s="6">
        <v>5.2801799999999997</v>
      </c>
      <c r="AV423" s="19">
        <v>-2.3973</v>
      </c>
      <c r="AW423" s="6">
        <v>2.6846000000000001</v>
      </c>
      <c r="AX423" s="6">
        <v>348</v>
      </c>
    </row>
    <row r="424" spans="22:50" x14ac:dyDescent="0.25">
      <c r="V424" s="17">
        <v>418</v>
      </c>
      <c r="W424" s="6">
        <v>1.2770300000000001</v>
      </c>
      <c r="X424" s="19">
        <v>-1.1375</v>
      </c>
      <c r="Y424" s="6">
        <v>1.2311000000000001</v>
      </c>
      <c r="Z424" s="6">
        <v>631</v>
      </c>
      <c r="AN424" s="17">
        <v>418</v>
      </c>
      <c r="AO424" s="6">
        <v>2.7786599999999999</v>
      </c>
      <c r="AP424" s="19">
        <v>-1.1116999999999999</v>
      </c>
      <c r="AQ424" s="6">
        <v>2.6768999999999998</v>
      </c>
      <c r="AR424" s="6">
        <v>344</v>
      </c>
      <c r="AT424" s="17">
        <v>418</v>
      </c>
      <c r="AU424" s="6">
        <v>5.2652200000000002</v>
      </c>
      <c r="AV424" s="19">
        <v>-1.1116999999999999</v>
      </c>
      <c r="AW424" s="6">
        <v>2.6768999999999998</v>
      </c>
      <c r="AX424" s="6">
        <v>344</v>
      </c>
    </row>
    <row r="425" spans="22:50" x14ac:dyDescent="0.25">
      <c r="V425" s="17">
        <v>419</v>
      </c>
      <c r="W425" s="6">
        <v>1.25468</v>
      </c>
      <c r="X425" s="19">
        <v>-10.802199999999999</v>
      </c>
      <c r="Y425" s="6">
        <v>1.2095</v>
      </c>
      <c r="Z425" s="6">
        <v>601</v>
      </c>
      <c r="AN425" s="17">
        <v>419</v>
      </c>
      <c r="AO425" s="6">
        <v>2.76979</v>
      </c>
      <c r="AP425" s="19">
        <v>-10.7432</v>
      </c>
      <c r="AQ425" s="6">
        <v>2.6684000000000001</v>
      </c>
      <c r="AR425" s="6">
        <v>340</v>
      </c>
      <c r="AT425" s="17">
        <v>419</v>
      </c>
      <c r="AU425" s="6">
        <v>5.2485400000000002</v>
      </c>
      <c r="AV425" s="19">
        <v>-10.7432</v>
      </c>
      <c r="AW425" s="6">
        <v>2.6684000000000001</v>
      </c>
      <c r="AX425" s="6">
        <v>340</v>
      </c>
    </row>
    <row r="426" spans="22:50" x14ac:dyDescent="0.25">
      <c r="V426" s="17">
        <v>420</v>
      </c>
      <c r="W426" s="6">
        <v>1.28163</v>
      </c>
      <c r="X426" s="19">
        <v>-6.8989000000000003</v>
      </c>
      <c r="Y426" s="6">
        <v>1.2356</v>
      </c>
      <c r="Z426" s="6">
        <v>651</v>
      </c>
      <c r="AN426" s="17">
        <v>420</v>
      </c>
      <c r="AO426" s="6">
        <v>2.7820399999999998</v>
      </c>
      <c r="AP426" s="19">
        <v>-6.9713000000000003</v>
      </c>
      <c r="AQ426" s="6">
        <v>2.6802000000000001</v>
      </c>
      <c r="AR426" s="6">
        <v>346</v>
      </c>
      <c r="AT426" s="17">
        <v>420</v>
      </c>
      <c r="AU426" s="6">
        <v>5.2715699999999996</v>
      </c>
      <c r="AV426" s="19">
        <v>-6.9713000000000003</v>
      </c>
      <c r="AW426" s="6">
        <v>2.6802000000000001</v>
      </c>
      <c r="AX426" s="6">
        <v>346</v>
      </c>
    </row>
    <row r="427" spans="22:50" x14ac:dyDescent="0.25">
      <c r="V427" s="17">
        <v>421</v>
      </c>
      <c r="W427" s="6">
        <v>1.2873300000000001</v>
      </c>
      <c r="X427" s="19">
        <v>-4.1763000000000003</v>
      </c>
      <c r="Y427" s="6">
        <v>1.2411000000000001</v>
      </c>
      <c r="Z427" s="6">
        <v>635</v>
      </c>
      <c r="AN427" s="17">
        <v>421</v>
      </c>
      <c r="AO427" s="6">
        <v>2.7839800000000001</v>
      </c>
      <c r="AP427" s="19">
        <v>-4.1388999999999996</v>
      </c>
      <c r="AQ427" s="6">
        <v>2.6821000000000002</v>
      </c>
      <c r="AR427" s="6">
        <v>347</v>
      </c>
      <c r="AT427" s="17">
        <v>421</v>
      </c>
      <c r="AU427" s="6">
        <v>5.27522</v>
      </c>
      <c r="AV427" s="19">
        <v>-4.1388999999999996</v>
      </c>
      <c r="AW427" s="6">
        <v>2.6821000000000002</v>
      </c>
      <c r="AX427" s="6">
        <v>347</v>
      </c>
    </row>
    <row r="428" spans="22:50" x14ac:dyDescent="0.25">
      <c r="V428" s="17">
        <v>422</v>
      </c>
      <c r="W428" s="6">
        <v>1.26406</v>
      </c>
      <c r="X428" s="6">
        <v>1.4598</v>
      </c>
      <c r="Y428" s="6">
        <v>1.2185999999999999</v>
      </c>
      <c r="Z428" s="6">
        <v>636</v>
      </c>
      <c r="AN428" s="17">
        <v>422</v>
      </c>
      <c r="AO428" s="6">
        <v>2.7744</v>
      </c>
      <c r="AP428" s="6">
        <v>1.2030000000000001</v>
      </c>
      <c r="AQ428" s="6">
        <v>2.6728000000000001</v>
      </c>
      <c r="AR428" s="6">
        <v>343</v>
      </c>
      <c r="AT428" s="17">
        <v>422</v>
      </c>
      <c r="AU428" s="6">
        <v>5.2572000000000001</v>
      </c>
      <c r="AV428" s="6">
        <v>1.2030000000000001</v>
      </c>
      <c r="AW428" s="6">
        <v>2.6728000000000001</v>
      </c>
      <c r="AX428" s="6">
        <v>343</v>
      </c>
    </row>
    <row r="429" spans="22:50" x14ac:dyDescent="0.25">
      <c r="V429" s="17">
        <v>423</v>
      </c>
      <c r="W429" s="6">
        <v>1.2587200000000001</v>
      </c>
      <c r="X429" s="19">
        <v>-3.8031000000000001</v>
      </c>
      <c r="Y429" s="6">
        <v>1.2134</v>
      </c>
      <c r="Z429" s="6">
        <v>614</v>
      </c>
      <c r="AN429" s="17">
        <v>423</v>
      </c>
      <c r="AO429" s="6">
        <v>2.7717700000000001</v>
      </c>
      <c r="AP429" s="19">
        <v>-4.0331000000000001</v>
      </c>
      <c r="AQ429" s="6">
        <v>2.6703000000000001</v>
      </c>
      <c r="AR429" s="6">
        <v>341</v>
      </c>
      <c r="AT429" s="17">
        <v>423</v>
      </c>
      <c r="AU429" s="6">
        <v>5.2522500000000001</v>
      </c>
      <c r="AV429" s="19">
        <v>-4.0331000000000001</v>
      </c>
      <c r="AW429" s="6">
        <v>2.6703000000000001</v>
      </c>
      <c r="AX429" s="6">
        <v>341</v>
      </c>
    </row>
    <row r="430" spans="22:50" x14ac:dyDescent="0.25">
      <c r="V430" s="17">
        <v>424</v>
      </c>
      <c r="W430" s="6">
        <v>1.23634</v>
      </c>
      <c r="X430" s="19">
        <v>-3.5135999999999998</v>
      </c>
      <c r="Y430" s="6">
        <v>1.1918</v>
      </c>
      <c r="Z430" s="6">
        <v>586</v>
      </c>
      <c r="AN430" s="17">
        <v>424</v>
      </c>
      <c r="AO430" s="6">
        <v>2.7608000000000001</v>
      </c>
      <c r="AP430" s="19">
        <v>-3.7176999999999998</v>
      </c>
      <c r="AQ430" s="6">
        <v>2.6596000000000002</v>
      </c>
      <c r="AR430" s="6">
        <v>336</v>
      </c>
      <c r="AT430" s="17">
        <v>424</v>
      </c>
      <c r="AU430" s="6">
        <v>5.2316500000000001</v>
      </c>
      <c r="AV430" s="19">
        <v>-3.7176999999999998</v>
      </c>
      <c r="AW430" s="6">
        <v>2.6596000000000002</v>
      </c>
      <c r="AX430" s="6">
        <v>336</v>
      </c>
    </row>
    <row r="431" spans="22:50" x14ac:dyDescent="0.25">
      <c r="V431" s="17">
        <v>425</v>
      </c>
      <c r="W431" s="6">
        <v>1.27203</v>
      </c>
      <c r="X431" s="6">
        <v>11.1586</v>
      </c>
      <c r="Y431" s="6">
        <v>1.2262999999999999</v>
      </c>
      <c r="Z431" s="6">
        <v>639</v>
      </c>
      <c r="AN431" s="17">
        <v>425</v>
      </c>
      <c r="AO431" s="6">
        <v>2.7780100000000001</v>
      </c>
      <c r="AP431" s="6">
        <v>11.289099999999999</v>
      </c>
      <c r="AQ431" s="6">
        <v>2.6762999999999999</v>
      </c>
      <c r="AR431" s="6">
        <v>344</v>
      </c>
      <c r="AT431" s="17">
        <v>425</v>
      </c>
      <c r="AU431" s="6">
        <v>5.2639899999999997</v>
      </c>
      <c r="AV431" s="6">
        <v>11.289099999999999</v>
      </c>
      <c r="AW431" s="6">
        <v>2.6762999999999999</v>
      </c>
      <c r="AX431" s="6">
        <v>344</v>
      </c>
    </row>
    <row r="432" spans="22:50" x14ac:dyDescent="0.25">
      <c r="V432" s="17">
        <v>426</v>
      </c>
      <c r="W432" s="6">
        <v>1.28365</v>
      </c>
      <c r="X432" s="19">
        <v>-6.5225999999999997</v>
      </c>
      <c r="Y432" s="6">
        <v>1.2375</v>
      </c>
      <c r="Z432" s="6">
        <v>620</v>
      </c>
      <c r="AN432" s="17">
        <v>426</v>
      </c>
      <c r="AO432" s="6">
        <v>2.78111</v>
      </c>
      <c r="AP432" s="19">
        <v>-6.4330999999999996</v>
      </c>
      <c r="AQ432" s="6">
        <v>2.6793</v>
      </c>
      <c r="AR432" s="6">
        <v>345</v>
      </c>
      <c r="AT432" s="17">
        <v>426</v>
      </c>
      <c r="AU432" s="6">
        <v>5.2698400000000003</v>
      </c>
      <c r="AV432" s="19">
        <v>-6.4330999999999996</v>
      </c>
      <c r="AW432" s="6">
        <v>2.6793</v>
      </c>
      <c r="AX432" s="6">
        <v>345</v>
      </c>
    </row>
    <row r="433" spans="22:50" x14ac:dyDescent="0.25">
      <c r="V433" s="17">
        <v>427</v>
      </c>
      <c r="W433" s="6">
        <v>1.25532</v>
      </c>
      <c r="X433" s="19">
        <v>-2.5891999999999999</v>
      </c>
      <c r="Y433" s="6">
        <v>1.2101999999999999</v>
      </c>
      <c r="Z433" s="6">
        <v>626</v>
      </c>
      <c r="AN433" s="17">
        <v>427</v>
      </c>
      <c r="AO433" s="6">
        <v>2.7710300000000001</v>
      </c>
      <c r="AP433" s="19">
        <v>-2.6074000000000002</v>
      </c>
      <c r="AQ433" s="6">
        <v>2.6696</v>
      </c>
      <c r="AR433" s="6">
        <v>341</v>
      </c>
      <c r="AT433" s="17">
        <v>427</v>
      </c>
      <c r="AU433" s="6">
        <v>5.2508600000000003</v>
      </c>
      <c r="AV433" s="19">
        <v>-2.6074000000000002</v>
      </c>
      <c r="AW433" s="6">
        <v>2.6696</v>
      </c>
      <c r="AX433" s="6">
        <v>341</v>
      </c>
    </row>
    <row r="434" spans="22:50" x14ac:dyDescent="0.25">
      <c r="V434" s="17">
        <v>428</v>
      </c>
      <c r="W434" s="6">
        <v>1.2605999999999999</v>
      </c>
      <c r="X434" s="19">
        <v>-2.8107000000000002</v>
      </c>
      <c r="Y434" s="6">
        <v>1.2153</v>
      </c>
      <c r="Z434" s="6">
        <v>630</v>
      </c>
      <c r="AN434" s="17">
        <v>428</v>
      </c>
      <c r="AO434" s="6">
        <v>2.7721800000000001</v>
      </c>
      <c r="AP434" s="19">
        <v>-2.8067000000000002</v>
      </c>
      <c r="AQ434" s="6">
        <v>2.6707000000000001</v>
      </c>
      <c r="AR434" s="6">
        <v>341</v>
      </c>
      <c r="AT434" s="17">
        <v>428</v>
      </c>
      <c r="AU434" s="6">
        <v>5.2530400000000004</v>
      </c>
      <c r="AV434" s="19">
        <v>-2.8067000000000002</v>
      </c>
      <c r="AW434" s="6">
        <v>2.6707000000000001</v>
      </c>
      <c r="AX434" s="6">
        <v>341</v>
      </c>
    </row>
    <row r="435" spans="22:50" x14ac:dyDescent="0.25">
      <c r="V435" s="17">
        <v>429</v>
      </c>
      <c r="W435" s="6">
        <v>1.2842499999999999</v>
      </c>
      <c r="X435" s="19">
        <v>-7.5301999999999998</v>
      </c>
      <c r="Y435" s="6">
        <v>1.2381</v>
      </c>
      <c r="Z435" s="6">
        <v>624</v>
      </c>
      <c r="AN435" s="17">
        <v>429</v>
      </c>
      <c r="AO435" s="6">
        <v>2.78152</v>
      </c>
      <c r="AP435" s="19">
        <v>-7.4587000000000003</v>
      </c>
      <c r="AQ435" s="6">
        <v>2.6797</v>
      </c>
      <c r="AR435" s="6">
        <v>345</v>
      </c>
      <c r="AT435" s="17">
        <v>429</v>
      </c>
      <c r="AU435" s="6">
        <v>5.2706200000000001</v>
      </c>
      <c r="AV435" s="19">
        <v>-7.4587000000000003</v>
      </c>
      <c r="AW435" s="6">
        <v>2.6797</v>
      </c>
      <c r="AX435" s="6">
        <v>345</v>
      </c>
    </row>
    <row r="436" spans="22:50" x14ac:dyDescent="0.25">
      <c r="V436" s="17">
        <v>430</v>
      </c>
      <c r="W436" s="6">
        <v>1.26613</v>
      </c>
      <c r="X436" s="19">
        <v>-6.5597000000000003</v>
      </c>
      <c r="Y436" s="6">
        <v>1.2205999999999999</v>
      </c>
      <c r="Z436" s="6">
        <v>616</v>
      </c>
      <c r="AN436" s="17">
        <v>430</v>
      </c>
      <c r="AO436" s="6">
        <v>2.77366</v>
      </c>
      <c r="AP436" s="19">
        <v>-6.3795000000000002</v>
      </c>
      <c r="AQ436" s="6">
        <v>2.6720999999999999</v>
      </c>
      <c r="AR436" s="6">
        <v>342</v>
      </c>
      <c r="AT436" s="17">
        <v>430</v>
      </c>
      <c r="AU436" s="6">
        <v>5.2558299999999996</v>
      </c>
      <c r="AV436" s="19">
        <v>-6.3795000000000002</v>
      </c>
      <c r="AW436" s="6">
        <v>2.6720999999999999</v>
      </c>
      <c r="AX436" s="6">
        <v>342</v>
      </c>
    </row>
    <row r="437" spans="22:50" x14ac:dyDescent="0.25">
      <c r="V437" s="17">
        <v>431</v>
      </c>
      <c r="W437" s="6">
        <v>1.2533799999999999</v>
      </c>
      <c r="X437" s="19">
        <v>-6.4600999999999997</v>
      </c>
      <c r="Y437" s="6">
        <v>1.2082999999999999</v>
      </c>
      <c r="Z437" s="6">
        <v>627</v>
      </c>
      <c r="AN437" s="17">
        <v>431</v>
      </c>
      <c r="AO437" s="6">
        <v>2.77013</v>
      </c>
      <c r="AP437" s="19">
        <v>-6.4249000000000001</v>
      </c>
      <c r="AQ437" s="6">
        <v>2.6686999999999999</v>
      </c>
      <c r="AR437" s="6">
        <v>341</v>
      </c>
      <c r="AT437" s="17">
        <v>431</v>
      </c>
      <c r="AU437" s="6">
        <v>5.2491700000000003</v>
      </c>
      <c r="AV437" s="19">
        <v>-6.4249000000000001</v>
      </c>
      <c r="AW437" s="6">
        <v>2.6686999999999999</v>
      </c>
      <c r="AX437" s="6">
        <v>341</v>
      </c>
    </row>
    <row r="438" spans="22:50" x14ac:dyDescent="0.25">
      <c r="V438" s="17">
        <v>432</v>
      </c>
      <c r="W438" s="6">
        <v>1.28606</v>
      </c>
      <c r="X438" s="19">
        <v>-7.93</v>
      </c>
      <c r="Y438" s="6">
        <v>1.2398</v>
      </c>
      <c r="Z438" s="6">
        <v>628</v>
      </c>
      <c r="AN438" s="17">
        <v>432</v>
      </c>
      <c r="AO438" s="6">
        <v>2.7819099999999999</v>
      </c>
      <c r="AP438" s="19">
        <v>-7.9615</v>
      </c>
      <c r="AQ438" s="6">
        <v>2.6800999999999999</v>
      </c>
      <c r="AR438" s="6">
        <v>345</v>
      </c>
      <c r="AT438" s="17">
        <v>432</v>
      </c>
      <c r="AU438" s="6">
        <v>5.27135</v>
      </c>
      <c r="AV438" s="19">
        <v>-7.9615</v>
      </c>
      <c r="AW438" s="6">
        <v>2.6800999999999999</v>
      </c>
      <c r="AX438" s="6">
        <v>345</v>
      </c>
    </row>
    <row r="439" spans="22:50" x14ac:dyDescent="0.25">
      <c r="V439" s="17">
        <v>433</v>
      </c>
      <c r="W439" s="6">
        <v>1.24152</v>
      </c>
      <c r="X439" s="19">
        <v>-9.9182000000000006</v>
      </c>
      <c r="Y439" s="6">
        <v>1.1968000000000001</v>
      </c>
      <c r="Z439" s="6">
        <v>599</v>
      </c>
      <c r="AN439" s="17">
        <v>433</v>
      </c>
      <c r="AO439" s="6">
        <v>2.7638799999999999</v>
      </c>
      <c r="AP439" s="19">
        <v>-10.0273</v>
      </c>
      <c r="AQ439" s="6">
        <v>2.6625999999999999</v>
      </c>
      <c r="AR439" s="6">
        <v>338</v>
      </c>
      <c r="AT439" s="17">
        <v>433</v>
      </c>
      <c r="AU439" s="6">
        <v>5.2374200000000002</v>
      </c>
      <c r="AV439" s="19">
        <v>-10.0273</v>
      </c>
      <c r="AW439" s="6">
        <v>2.6625999999999999</v>
      </c>
      <c r="AX439" s="6">
        <v>338</v>
      </c>
    </row>
    <row r="440" spans="22:50" x14ac:dyDescent="0.25">
      <c r="V440" s="17">
        <v>434</v>
      </c>
      <c r="W440" s="6">
        <v>1.27556</v>
      </c>
      <c r="X440" s="19">
        <v>-6.7183999999999999</v>
      </c>
      <c r="Y440" s="6">
        <v>1.2297</v>
      </c>
      <c r="Z440" s="6">
        <v>640</v>
      </c>
      <c r="AN440" s="17">
        <v>434</v>
      </c>
      <c r="AO440" s="6">
        <v>2.7782399999999998</v>
      </c>
      <c r="AP440" s="19">
        <v>-6.8212999999999999</v>
      </c>
      <c r="AQ440" s="6">
        <v>2.6764999999999999</v>
      </c>
      <c r="AR440" s="6">
        <v>344</v>
      </c>
      <c r="AT440" s="17">
        <v>434</v>
      </c>
      <c r="AU440" s="6">
        <v>5.2644399999999996</v>
      </c>
      <c r="AV440" s="19">
        <v>-6.8212999999999999</v>
      </c>
      <c r="AW440" s="6">
        <v>2.6764999999999999</v>
      </c>
      <c r="AX440" s="6">
        <v>344</v>
      </c>
    </row>
    <row r="441" spans="22:50" x14ac:dyDescent="0.25">
      <c r="V441" s="17">
        <v>435</v>
      </c>
      <c r="W441" s="6">
        <v>1.2709600000000001</v>
      </c>
      <c r="X441" s="19">
        <v>-2.6846000000000001</v>
      </c>
      <c r="Y441" s="6">
        <v>1.2253000000000001</v>
      </c>
      <c r="Z441" s="6">
        <v>633</v>
      </c>
      <c r="AN441" s="17">
        <v>435</v>
      </c>
      <c r="AO441" s="6">
        <v>2.7770600000000001</v>
      </c>
      <c r="AP441" s="19">
        <v>-2.6770999999999998</v>
      </c>
      <c r="AQ441" s="6">
        <v>2.6753999999999998</v>
      </c>
      <c r="AR441" s="6">
        <v>344</v>
      </c>
      <c r="AT441" s="17">
        <v>435</v>
      </c>
      <c r="AU441" s="6">
        <v>5.2622099999999996</v>
      </c>
      <c r="AV441" s="19">
        <v>-2.6770999999999998</v>
      </c>
      <c r="AW441" s="6">
        <v>2.6753999999999998</v>
      </c>
      <c r="AX441" s="6">
        <v>344</v>
      </c>
    </row>
    <row r="442" spans="22:50" x14ac:dyDescent="0.25">
      <c r="V442" s="17">
        <v>436</v>
      </c>
      <c r="W442" s="6">
        <v>1.27948</v>
      </c>
      <c r="X442" s="19">
        <v>-4.7709999999999999</v>
      </c>
      <c r="Y442" s="6">
        <v>1.2335</v>
      </c>
      <c r="Z442" s="6">
        <v>630</v>
      </c>
      <c r="AN442" s="17">
        <v>436</v>
      </c>
      <c r="AO442" s="6">
        <v>2.78009</v>
      </c>
      <c r="AP442" s="19">
        <v>-4.7784000000000004</v>
      </c>
      <c r="AQ442" s="6">
        <v>2.6783000000000001</v>
      </c>
      <c r="AR442" s="6">
        <v>345</v>
      </c>
      <c r="AT442" s="17">
        <v>436</v>
      </c>
      <c r="AU442" s="6">
        <v>5.2679099999999996</v>
      </c>
      <c r="AV442" s="19">
        <v>-4.7784000000000004</v>
      </c>
      <c r="AW442" s="6">
        <v>2.6783000000000001</v>
      </c>
      <c r="AX442" s="6">
        <v>345</v>
      </c>
    </row>
    <row r="443" spans="22:50" x14ac:dyDescent="0.25">
      <c r="V443" s="17">
        <v>437</v>
      </c>
      <c r="W443" s="6">
        <v>1.2765200000000001</v>
      </c>
      <c r="X443" s="19">
        <v>-6.1376999999999997</v>
      </c>
      <c r="Y443" s="6">
        <v>1.2305999999999999</v>
      </c>
      <c r="Z443" s="6">
        <v>613</v>
      </c>
      <c r="AN443" s="17">
        <v>437</v>
      </c>
      <c r="AO443" s="6">
        <v>2.7785799999999998</v>
      </c>
      <c r="AP443" s="19">
        <v>-6.1323999999999996</v>
      </c>
      <c r="AQ443" s="6">
        <v>2.6768999999999998</v>
      </c>
      <c r="AR443" s="6">
        <v>344</v>
      </c>
      <c r="AT443" s="17">
        <v>437</v>
      </c>
      <c r="AU443" s="6">
        <v>5.2650800000000002</v>
      </c>
      <c r="AV443" s="19">
        <v>-6.1323999999999996</v>
      </c>
      <c r="AW443" s="6">
        <v>2.6768999999999998</v>
      </c>
      <c r="AX443" s="6">
        <v>344</v>
      </c>
    </row>
    <row r="444" spans="22:50" x14ac:dyDescent="0.25">
      <c r="V444" s="17">
        <v>438</v>
      </c>
      <c r="W444" s="6">
        <v>1.2742599999999999</v>
      </c>
      <c r="X444" s="19">
        <v>-5.1318999999999999</v>
      </c>
      <c r="Y444" s="6">
        <v>1.2284999999999999</v>
      </c>
      <c r="Z444" s="6">
        <v>636</v>
      </c>
      <c r="AN444" s="17">
        <v>438</v>
      </c>
      <c r="AO444" s="6">
        <v>2.7774000000000001</v>
      </c>
      <c r="AP444" s="19">
        <v>-5.1078000000000001</v>
      </c>
      <c r="AQ444" s="6">
        <v>2.6757</v>
      </c>
      <c r="AR444" s="6">
        <v>343</v>
      </c>
      <c r="AT444" s="17">
        <v>438</v>
      </c>
      <c r="AU444" s="6">
        <v>5.2628700000000004</v>
      </c>
      <c r="AV444" s="19">
        <v>-5.1078000000000001</v>
      </c>
      <c r="AW444" s="6">
        <v>2.6757</v>
      </c>
      <c r="AX444" s="6">
        <v>343</v>
      </c>
    </row>
    <row r="445" spans="22:50" x14ac:dyDescent="0.25">
      <c r="V445" s="17">
        <v>439</v>
      </c>
      <c r="W445" s="6">
        <v>1.28085</v>
      </c>
      <c r="X445" s="19">
        <v>-1.1504000000000001</v>
      </c>
      <c r="Y445" s="6">
        <v>1.2347999999999999</v>
      </c>
      <c r="Z445" s="6">
        <v>632</v>
      </c>
      <c r="AN445" s="17">
        <v>439</v>
      </c>
      <c r="AO445" s="6">
        <v>2.7813400000000001</v>
      </c>
      <c r="AP445" s="19">
        <v>-1.2472000000000001</v>
      </c>
      <c r="AQ445" s="6">
        <v>2.6795</v>
      </c>
      <c r="AR445" s="6">
        <v>346</v>
      </c>
      <c r="AT445" s="17">
        <v>439</v>
      </c>
      <c r="AU445" s="6">
        <v>5.2702499999999999</v>
      </c>
      <c r="AV445" s="19">
        <v>-1.2472000000000001</v>
      </c>
      <c r="AW445" s="6">
        <v>2.6795</v>
      </c>
      <c r="AX445" s="6">
        <v>346</v>
      </c>
    </row>
    <row r="446" spans="22:50" x14ac:dyDescent="0.25">
      <c r="V446" s="17">
        <v>440</v>
      </c>
      <c r="W446" s="6">
        <v>1.2860199999999999</v>
      </c>
      <c r="X446" s="19">
        <v>-7.5186999999999999</v>
      </c>
      <c r="Y446" s="6">
        <v>1.2398</v>
      </c>
      <c r="Z446" s="6">
        <v>624</v>
      </c>
      <c r="AN446" s="17">
        <v>440</v>
      </c>
      <c r="AO446" s="6">
        <v>2.7831899999999998</v>
      </c>
      <c r="AP446" s="19">
        <v>-7.4851999999999999</v>
      </c>
      <c r="AQ446" s="6">
        <v>2.6812999999999998</v>
      </c>
      <c r="AR446" s="6">
        <v>347</v>
      </c>
      <c r="AT446" s="17">
        <v>440</v>
      </c>
      <c r="AU446" s="6">
        <v>5.2737400000000001</v>
      </c>
      <c r="AV446" s="19">
        <v>-7.4851999999999999</v>
      </c>
      <c r="AW446" s="6">
        <v>2.6812999999999998</v>
      </c>
      <c r="AX446" s="6">
        <v>347</v>
      </c>
    </row>
    <row r="447" spans="22:50" x14ac:dyDescent="0.25">
      <c r="V447" s="17">
        <v>441</v>
      </c>
      <c r="W447" s="6">
        <v>1.2521100000000001</v>
      </c>
      <c r="X447" s="19">
        <v>-6.7843999999999998</v>
      </c>
      <c r="Y447" s="6">
        <v>1.2071000000000001</v>
      </c>
      <c r="Z447" s="6">
        <v>607</v>
      </c>
      <c r="AN447" s="17">
        <v>441</v>
      </c>
      <c r="AO447" s="6">
        <v>2.76878</v>
      </c>
      <c r="AP447" s="19">
        <v>-6.8878000000000004</v>
      </c>
      <c r="AQ447" s="6">
        <v>2.6674000000000002</v>
      </c>
      <c r="AR447" s="6">
        <v>340</v>
      </c>
      <c r="AT447" s="17">
        <v>441</v>
      </c>
      <c r="AU447" s="6">
        <v>5.2466299999999997</v>
      </c>
      <c r="AV447" s="19">
        <v>-6.8878000000000004</v>
      </c>
      <c r="AW447" s="6">
        <v>2.6674000000000002</v>
      </c>
      <c r="AX447" s="6">
        <v>340</v>
      </c>
    </row>
    <row r="448" spans="22:50" x14ac:dyDescent="0.25">
      <c r="V448" s="17">
        <v>442</v>
      </c>
      <c r="W448" s="6">
        <v>1.28939</v>
      </c>
      <c r="X448" s="6">
        <v>1.272</v>
      </c>
      <c r="Y448" s="6">
        <v>1.2430000000000001</v>
      </c>
      <c r="Z448" s="6">
        <v>623</v>
      </c>
      <c r="AN448" s="17">
        <v>442</v>
      </c>
      <c r="AO448" s="6">
        <v>2.7834599999999998</v>
      </c>
      <c r="AP448" s="6">
        <v>1.2856000000000001</v>
      </c>
      <c r="AQ448" s="6">
        <v>2.6816</v>
      </c>
      <c r="AR448" s="6">
        <v>346</v>
      </c>
      <c r="AT448" s="17">
        <v>442</v>
      </c>
      <c r="AU448" s="6">
        <v>5.2742599999999999</v>
      </c>
      <c r="AV448" s="6">
        <v>1.2856000000000001</v>
      </c>
      <c r="AW448" s="6">
        <v>2.6816</v>
      </c>
      <c r="AX448" s="6">
        <v>346</v>
      </c>
    </row>
    <row r="449" spans="22:50" x14ac:dyDescent="0.25">
      <c r="V449" s="17">
        <v>443</v>
      </c>
      <c r="W449" s="6">
        <v>1.27565</v>
      </c>
      <c r="X449" s="19">
        <v>-8.3926999999999996</v>
      </c>
      <c r="Y449" s="6">
        <v>1.2297</v>
      </c>
      <c r="Z449" s="6">
        <v>599</v>
      </c>
      <c r="AN449" s="17">
        <v>443</v>
      </c>
      <c r="AO449" s="6">
        <v>2.7774999999999999</v>
      </c>
      <c r="AP449" s="19">
        <v>-8.3459000000000003</v>
      </c>
      <c r="AQ449" s="6">
        <v>2.6758000000000002</v>
      </c>
      <c r="AR449" s="6">
        <v>343</v>
      </c>
      <c r="AT449" s="17">
        <v>443</v>
      </c>
      <c r="AU449" s="6">
        <v>5.2630600000000003</v>
      </c>
      <c r="AV449" s="19">
        <v>-8.3459000000000003</v>
      </c>
      <c r="AW449" s="6">
        <v>2.6758000000000002</v>
      </c>
      <c r="AX449" s="6">
        <v>343</v>
      </c>
    </row>
    <row r="450" spans="22:50" x14ac:dyDescent="0.25">
      <c r="V450" s="17">
        <v>444</v>
      </c>
      <c r="W450" s="6">
        <v>1.2875399999999999</v>
      </c>
      <c r="X450" s="19">
        <v>-4.4893999999999998</v>
      </c>
      <c r="Y450" s="6">
        <v>1.2413000000000001</v>
      </c>
      <c r="Z450" s="6">
        <v>636</v>
      </c>
      <c r="AN450" s="17">
        <v>444</v>
      </c>
      <c r="AO450" s="6">
        <v>2.7839399999999999</v>
      </c>
      <c r="AP450" s="19">
        <v>-4.5739999999999998</v>
      </c>
      <c r="AQ450" s="6">
        <v>2.6821000000000002</v>
      </c>
      <c r="AR450" s="6">
        <v>347</v>
      </c>
      <c r="AT450" s="17">
        <v>444</v>
      </c>
      <c r="AU450" s="6">
        <v>5.27515</v>
      </c>
      <c r="AV450" s="19">
        <v>-4.5739999999999998</v>
      </c>
      <c r="AW450" s="6">
        <v>2.6821000000000002</v>
      </c>
      <c r="AX450" s="6">
        <v>347</v>
      </c>
    </row>
    <row r="451" spans="22:50" x14ac:dyDescent="0.25">
      <c r="V451" s="17">
        <v>445</v>
      </c>
      <c r="W451" s="6">
        <v>1.2964899999999999</v>
      </c>
      <c r="X451" s="19">
        <v>-1.7667999999999999</v>
      </c>
      <c r="Y451" s="6">
        <v>1.2499</v>
      </c>
      <c r="Z451" s="6">
        <v>630</v>
      </c>
      <c r="AN451" s="17">
        <v>445</v>
      </c>
      <c r="AO451" s="6">
        <v>2.7865899999999999</v>
      </c>
      <c r="AP451" s="19">
        <v>-1.7416</v>
      </c>
      <c r="AQ451" s="6">
        <v>2.6846000000000001</v>
      </c>
      <c r="AR451" s="6">
        <v>348</v>
      </c>
      <c r="AT451" s="17">
        <v>445</v>
      </c>
      <c r="AU451" s="6">
        <v>5.2801499999999999</v>
      </c>
      <c r="AV451" s="19">
        <v>-1.7416</v>
      </c>
      <c r="AW451" s="6">
        <v>2.6846000000000001</v>
      </c>
      <c r="AX451" s="6">
        <v>348</v>
      </c>
    </row>
    <row r="452" spans="22:50" x14ac:dyDescent="0.25">
      <c r="V452" s="17">
        <v>446</v>
      </c>
      <c r="W452" s="6">
        <v>1.2859</v>
      </c>
      <c r="X452" s="6">
        <v>3.8694000000000002</v>
      </c>
      <c r="Y452" s="6">
        <v>1.2397</v>
      </c>
      <c r="Z452" s="6">
        <v>630</v>
      </c>
      <c r="AN452" s="17">
        <v>446</v>
      </c>
      <c r="AO452" s="6">
        <v>2.7828599999999999</v>
      </c>
      <c r="AP452" s="6">
        <v>3.6002999999999998</v>
      </c>
      <c r="AQ452" s="6">
        <v>2.681</v>
      </c>
      <c r="AR452" s="6">
        <v>346</v>
      </c>
      <c r="AT452" s="17">
        <v>446</v>
      </c>
      <c r="AU452" s="6">
        <v>5.2731300000000001</v>
      </c>
      <c r="AV452" s="6">
        <v>3.6002999999999998</v>
      </c>
      <c r="AW452" s="6">
        <v>2.681</v>
      </c>
      <c r="AX452" s="6">
        <v>346</v>
      </c>
    </row>
    <row r="453" spans="22:50" x14ac:dyDescent="0.25">
      <c r="V453" s="17">
        <v>447</v>
      </c>
      <c r="W453" s="6">
        <v>1.30701</v>
      </c>
      <c r="X453" s="19">
        <v>-1.3935999999999999</v>
      </c>
      <c r="Y453" s="6">
        <v>1.26</v>
      </c>
      <c r="Z453" s="6">
        <v>632</v>
      </c>
      <c r="AN453" s="17">
        <v>447</v>
      </c>
      <c r="AO453" s="6">
        <v>2.79135</v>
      </c>
      <c r="AP453" s="19">
        <v>-1.6357999999999999</v>
      </c>
      <c r="AQ453" s="6">
        <v>2.6892</v>
      </c>
      <c r="AR453" s="6">
        <v>350</v>
      </c>
      <c r="AT453" s="17">
        <v>447</v>
      </c>
      <c r="AU453" s="6">
        <v>5.2891000000000004</v>
      </c>
      <c r="AV453" s="19">
        <v>-1.6357999999999999</v>
      </c>
      <c r="AW453" s="6">
        <v>2.6892</v>
      </c>
      <c r="AX453" s="6">
        <v>350</v>
      </c>
    </row>
    <row r="454" spans="22:50" x14ac:dyDescent="0.25">
      <c r="V454" s="17">
        <v>448</v>
      </c>
      <c r="W454" s="6">
        <v>1.2677700000000001</v>
      </c>
      <c r="X454" s="19">
        <v>-1.1041000000000001</v>
      </c>
      <c r="Y454" s="6">
        <v>1.2222</v>
      </c>
      <c r="Z454" s="6">
        <v>618</v>
      </c>
      <c r="AN454" s="17">
        <v>448</v>
      </c>
      <c r="AO454" s="6">
        <v>2.7744300000000002</v>
      </c>
      <c r="AP454" s="19">
        <v>-1.3204</v>
      </c>
      <c r="AQ454" s="6">
        <v>2.6728000000000001</v>
      </c>
      <c r="AR454" s="6">
        <v>342</v>
      </c>
      <c r="AT454" s="17">
        <v>448</v>
      </c>
      <c r="AU454" s="6">
        <v>5.2572799999999997</v>
      </c>
      <c r="AV454" s="19">
        <v>-1.3204</v>
      </c>
      <c r="AW454" s="6">
        <v>2.6728000000000001</v>
      </c>
      <c r="AX454" s="6">
        <v>342</v>
      </c>
    </row>
    <row r="455" spans="22:50" x14ac:dyDescent="0.25">
      <c r="V455" s="17">
        <v>449</v>
      </c>
      <c r="W455" s="6">
        <v>1.2854399999999999</v>
      </c>
      <c r="X455" s="6">
        <v>13.568199999999999</v>
      </c>
      <c r="Y455" s="6">
        <v>1.2393000000000001</v>
      </c>
      <c r="Z455" s="6">
        <v>641</v>
      </c>
      <c r="AN455" s="17">
        <v>449</v>
      </c>
      <c r="AO455" s="6">
        <v>2.7835899999999998</v>
      </c>
      <c r="AP455" s="6">
        <v>13.686400000000001</v>
      </c>
      <c r="AQ455" s="6">
        <v>2.6817000000000002</v>
      </c>
      <c r="AR455" s="6">
        <v>347</v>
      </c>
      <c r="AT455" s="17">
        <v>449</v>
      </c>
      <c r="AU455" s="6">
        <v>5.2744799999999996</v>
      </c>
      <c r="AV455" s="6">
        <v>13.686400000000001</v>
      </c>
      <c r="AW455" s="6">
        <v>2.6817000000000002</v>
      </c>
      <c r="AX455" s="6">
        <v>347</v>
      </c>
    </row>
    <row r="456" spans="22:50" x14ac:dyDescent="0.25">
      <c r="V456" s="17">
        <v>450</v>
      </c>
      <c r="W456" s="6">
        <v>1.27982</v>
      </c>
      <c r="X456" s="19">
        <v>-4.1131000000000002</v>
      </c>
      <c r="Y456" s="6">
        <v>1.2338</v>
      </c>
      <c r="Z456" s="6">
        <v>610</v>
      </c>
      <c r="AN456" s="17">
        <v>450</v>
      </c>
      <c r="AO456" s="6">
        <v>2.7800199999999999</v>
      </c>
      <c r="AP456" s="19">
        <v>-4.0358000000000001</v>
      </c>
      <c r="AQ456" s="6">
        <v>2.6783000000000001</v>
      </c>
      <c r="AR456" s="6">
        <v>345</v>
      </c>
      <c r="AT456" s="17">
        <v>450</v>
      </c>
      <c r="AU456" s="6">
        <v>5.2677800000000001</v>
      </c>
      <c r="AV456" s="19">
        <v>-4.0358000000000001</v>
      </c>
      <c r="AW456" s="6">
        <v>2.6783000000000001</v>
      </c>
      <c r="AX456" s="6">
        <v>345</v>
      </c>
    </row>
    <row r="457" spans="22:50" x14ac:dyDescent="0.25">
      <c r="V457" s="17">
        <v>451</v>
      </c>
      <c r="W457" s="6">
        <v>1.2789999999999999</v>
      </c>
      <c r="X457" s="19">
        <v>-0.1797</v>
      </c>
      <c r="Y457" s="6">
        <v>1.2330000000000001</v>
      </c>
      <c r="Z457" s="6">
        <v>626</v>
      </c>
      <c r="AN457" s="17">
        <v>451</v>
      </c>
      <c r="AO457" s="6">
        <v>2.77935</v>
      </c>
      <c r="AP457" s="19">
        <v>-0.21010000000000001</v>
      </c>
      <c r="AQ457" s="6">
        <v>2.6776</v>
      </c>
      <c r="AR457" s="6">
        <v>344</v>
      </c>
      <c r="AT457" s="17">
        <v>451</v>
      </c>
      <c r="AU457" s="6">
        <v>5.2665300000000004</v>
      </c>
      <c r="AV457" s="19">
        <v>-0.21010000000000001</v>
      </c>
      <c r="AW457" s="6">
        <v>2.6776</v>
      </c>
      <c r="AX457" s="6">
        <v>344</v>
      </c>
    </row>
    <row r="458" spans="22:50" x14ac:dyDescent="0.25">
      <c r="V458" s="17">
        <v>452</v>
      </c>
      <c r="W458" s="6">
        <v>1.2868900000000001</v>
      </c>
      <c r="X458" s="19">
        <v>-0.4012</v>
      </c>
      <c r="Y458" s="6">
        <v>1.2405999999999999</v>
      </c>
      <c r="Z458" s="6">
        <v>640</v>
      </c>
      <c r="AN458" s="17">
        <v>452</v>
      </c>
      <c r="AO458" s="6">
        <v>2.7838099999999999</v>
      </c>
      <c r="AP458" s="19">
        <v>-0.40939999999999999</v>
      </c>
      <c r="AQ458" s="6">
        <v>2.6819000000000002</v>
      </c>
      <c r="AR458" s="6">
        <v>347</v>
      </c>
      <c r="AT458" s="17">
        <v>452</v>
      </c>
      <c r="AU458" s="6">
        <v>5.2748999999999997</v>
      </c>
      <c r="AV458" s="19">
        <v>-0.40939999999999999</v>
      </c>
      <c r="AW458" s="6">
        <v>2.6819000000000002</v>
      </c>
      <c r="AX458" s="6">
        <v>347</v>
      </c>
    </row>
    <row r="459" spans="22:50" x14ac:dyDescent="0.25">
      <c r="V459" s="17">
        <v>453</v>
      </c>
      <c r="W459" s="6">
        <v>1.29027</v>
      </c>
      <c r="X459" s="19">
        <v>-5.1207000000000003</v>
      </c>
      <c r="Y459" s="6">
        <v>1.2439</v>
      </c>
      <c r="Z459" s="6">
        <v>611</v>
      </c>
      <c r="AN459" s="17">
        <v>453</v>
      </c>
      <c r="AO459" s="6">
        <v>2.7842699999999998</v>
      </c>
      <c r="AP459" s="19">
        <v>-5.0613999999999999</v>
      </c>
      <c r="AQ459" s="6">
        <v>2.6823999999999999</v>
      </c>
      <c r="AR459" s="6">
        <v>347</v>
      </c>
      <c r="AT459" s="17">
        <v>453</v>
      </c>
      <c r="AU459" s="6">
        <v>5.2757699999999996</v>
      </c>
      <c r="AV459" s="19">
        <v>-5.0613999999999999</v>
      </c>
      <c r="AW459" s="6">
        <v>2.6823999999999999</v>
      </c>
      <c r="AX459" s="6">
        <v>347</v>
      </c>
    </row>
    <row r="460" spans="22:50" x14ac:dyDescent="0.25">
      <c r="V460" s="17">
        <v>454</v>
      </c>
      <c r="W460" s="6">
        <v>1.2719100000000001</v>
      </c>
      <c r="X460" s="19">
        <v>-4.1501000000000001</v>
      </c>
      <c r="Y460" s="6">
        <v>1.2262</v>
      </c>
      <c r="Z460" s="6">
        <v>619</v>
      </c>
      <c r="AN460" s="17">
        <v>454</v>
      </c>
      <c r="AO460" s="6">
        <v>2.7758099999999999</v>
      </c>
      <c r="AP460" s="19">
        <v>-3.9822000000000002</v>
      </c>
      <c r="AQ460" s="6">
        <v>2.6741999999999999</v>
      </c>
      <c r="AR460" s="6">
        <v>343</v>
      </c>
      <c r="AT460" s="17">
        <v>454</v>
      </c>
      <c r="AU460" s="6">
        <v>5.2598700000000003</v>
      </c>
      <c r="AV460" s="19">
        <v>-3.9822000000000002</v>
      </c>
      <c r="AW460" s="6">
        <v>2.6741999999999999</v>
      </c>
      <c r="AX460" s="6">
        <v>343</v>
      </c>
    </row>
    <row r="461" spans="22:50" x14ac:dyDescent="0.25">
      <c r="V461" s="17">
        <v>455</v>
      </c>
      <c r="W461" s="6">
        <v>1.28674</v>
      </c>
      <c r="X461" s="19">
        <v>-4.0506000000000002</v>
      </c>
      <c r="Y461" s="6">
        <v>1.2404999999999999</v>
      </c>
      <c r="Z461" s="6">
        <v>621</v>
      </c>
      <c r="AN461" s="17">
        <v>455</v>
      </c>
      <c r="AO461" s="6">
        <v>2.7826200000000001</v>
      </c>
      <c r="AP461" s="19">
        <v>-4.0275999999999996</v>
      </c>
      <c r="AQ461" s="6">
        <v>2.6808000000000001</v>
      </c>
      <c r="AR461" s="6">
        <v>346</v>
      </c>
      <c r="AT461" s="17">
        <v>455</v>
      </c>
      <c r="AU461" s="6">
        <v>5.2726800000000003</v>
      </c>
      <c r="AV461" s="19">
        <v>-4.0275999999999996</v>
      </c>
      <c r="AW461" s="6">
        <v>2.6808000000000001</v>
      </c>
      <c r="AX461" s="6">
        <v>346</v>
      </c>
    </row>
    <row r="462" spans="22:50" x14ac:dyDescent="0.25">
      <c r="V462" s="17">
        <v>456</v>
      </c>
      <c r="W462" s="6">
        <v>1.28068</v>
      </c>
      <c r="X462" s="19">
        <v>-5.5205000000000002</v>
      </c>
      <c r="Y462" s="6">
        <v>1.2345999999999999</v>
      </c>
      <c r="Z462" s="6">
        <v>629</v>
      </c>
      <c r="AN462" s="17">
        <v>456</v>
      </c>
      <c r="AO462" s="6">
        <v>2.7801800000000001</v>
      </c>
      <c r="AP462" s="19">
        <v>-5.5641999999999996</v>
      </c>
      <c r="AQ462" s="6">
        <v>2.6783999999999999</v>
      </c>
      <c r="AR462" s="6">
        <v>345</v>
      </c>
      <c r="AT462" s="17">
        <v>456</v>
      </c>
      <c r="AU462" s="6">
        <v>5.2680800000000003</v>
      </c>
      <c r="AV462" s="19">
        <v>-5.5641999999999996</v>
      </c>
      <c r="AW462" s="6">
        <v>2.6783999999999999</v>
      </c>
      <c r="AX462" s="6">
        <v>345</v>
      </c>
    </row>
    <row r="463" spans="22:50" x14ac:dyDescent="0.25">
      <c r="V463" s="17">
        <v>457</v>
      </c>
      <c r="W463" s="6">
        <v>1.2724</v>
      </c>
      <c r="X463" s="19">
        <v>-7.5087000000000002</v>
      </c>
      <c r="Y463" s="6">
        <v>1.2265999999999999</v>
      </c>
      <c r="Z463" s="6">
        <v>616</v>
      </c>
      <c r="AN463" s="17">
        <v>457</v>
      </c>
      <c r="AO463" s="6">
        <v>2.7771499999999998</v>
      </c>
      <c r="AP463" s="19">
        <v>-7.63</v>
      </c>
      <c r="AQ463" s="6">
        <v>2.6755</v>
      </c>
      <c r="AR463" s="6">
        <v>344</v>
      </c>
      <c r="AT463" s="17">
        <v>457</v>
      </c>
      <c r="AU463" s="6">
        <v>5.2623800000000003</v>
      </c>
      <c r="AV463" s="19">
        <v>-7.63</v>
      </c>
      <c r="AW463" s="6">
        <v>2.6755</v>
      </c>
      <c r="AX463" s="6">
        <v>344</v>
      </c>
    </row>
    <row r="464" spans="22:50" x14ac:dyDescent="0.25">
      <c r="V464" s="17">
        <v>458</v>
      </c>
      <c r="W464" s="6">
        <v>1.2708200000000001</v>
      </c>
      <c r="X464" s="19">
        <v>-4.3089000000000004</v>
      </c>
      <c r="Y464" s="6">
        <v>1.2251000000000001</v>
      </c>
      <c r="Z464" s="6">
        <v>624</v>
      </c>
      <c r="AN464" s="17">
        <v>458</v>
      </c>
      <c r="AO464" s="6">
        <v>2.77664</v>
      </c>
      <c r="AP464" s="19">
        <v>-4.4240000000000004</v>
      </c>
      <c r="AQ464" s="6">
        <v>2.6749999999999998</v>
      </c>
      <c r="AR464" s="6">
        <v>343</v>
      </c>
      <c r="AT464" s="17">
        <v>458</v>
      </c>
      <c r="AU464" s="6">
        <v>5.2614299999999998</v>
      </c>
      <c r="AV464" s="19">
        <v>-4.4240000000000004</v>
      </c>
      <c r="AW464" s="6">
        <v>2.6749999999999998</v>
      </c>
      <c r="AX464" s="6">
        <v>343</v>
      </c>
    </row>
    <row r="465" spans="22:50" x14ac:dyDescent="0.25">
      <c r="V465" s="17">
        <v>459</v>
      </c>
      <c r="W465" s="6">
        <v>1.2681</v>
      </c>
      <c r="X465" s="19">
        <v>-0.27500000000000002</v>
      </c>
      <c r="Y465" s="6">
        <v>1.2224999999999999</v>
      </c>
      <c r="Z465" s="6">
        <v>616</v>
      </c>
      <c r="AN465" s="17">
        <v>459</v>
      </c>
      <c r="AO465" s="6">
        <v>2.7753299999999999</v>
      </c>
      <c r="AP465" s="19">
        <v>-0.27979999999999999</v>
      </c>
      <c r="AQ465" s="6">
        <v>2.6737000000000002</v>
      </c>
      <c r="AR465" s="6">
        <v>343</v>
      </c>
      <c r="AT465" s="17">
        <v>459</v>
      </c>
      <c r="AU465" s="6">
        <v>5.2589499999999996</v>
      </c>
      <c r="AV465" s="19">
        <v>-0.27979999999999999</v>
      </c>
      <c r="AW465" s="6">
        <v>2.6737000000000002</v>
      </c>
      <c r="AX465" s="6">
        <v>343</v>
      </c>
    </row>
    <row r="466" spans="22:50" x14ac:dyDescent="0.25">
      <c r="V466" s="17">
        <v>460</v>
      </c>
      <c r="W466" s="6">
        <v>1.29087</v>
      </c>
      <c r="X466" s="19">
        <v>-2.3614000000000002</v>
      </c>
      <c r="Y466" s="6">
        <v>1.2444999999999999</v>
      </c>
      <c r="Z466" s="6">
        <v>622</v>
      </c>
      <c r="AN466" s="17">
        <v>460</v>
      </c>
      <c r="AO466" s="6">
        <v>2.78376</v>
      </c>
      <c r="AP466" s="19">
        <v>-2.3811</v>
      </c>
      <c r="AQ466" s="6">
        <v>2.6819000000000002</v>
      </c>
      <c r="AR466" s="6">
        <v>346</v>
      </c>
      <c r="AT466" s="17">
        <v>460</v>
      </c>
      <c r="AU466" s="6">
        <v>5.2748400000000002</v>
      </c>
      <c r="AV466" s="19">
        <v>-2.3811</v>
      </c>
      <c r="AW466" s="6">
        <v>2.6819000000000002</v>
      </c>
      <c r="AX466" s="6">
        <v>346</v>
      </c>
    </row>
    <row r="467" spans="22:50" x14ac:dyDescent="0.25">
      <c r="V467" s="17">
        <v>461</v>
      </c>
      <c r="W467" s="6">
        <v>1.2977099999999999</v>
      </c>
      <c r="X467" s="19">
        <v>-3.7282000000000002</v>
      </c>
      <c r="Y467" s="6">
        <v>1.2509999999999999</v>
      </c>
      <c r="Z467" s="6">
        <v>625</v>
      </c>
      <c r="AN467" s="17">
        <v>461</v>
      </c>
      <c r="AO467" s="6">
        <v>2.7873399999999999</v>
      </c>
      <c r="AP467" s="19">
        <v>-3.7351000000000001</v>
      </c>
      <c r="AQ467" s="6">
        <v>2.6852999999999998</v>
      </c>
      <c r="AR467" s="6">
        <v>348</v>
      </c>
      <c r="AT467" s="17">
        <v>461</v>
      </c>
      <c r="AU467" s="6">
        <v>5.2815599999999998</v>
      </c>
      <c r="AV467" s="19">
        <v>-3.7351000000000001</v>
      </c>
      <c r="AW467" s="6">
        <v>2.6852999999999998</v>
      </c>
      <c r="AX467" s="6">
        <v>348</v>
      </c>
    </row>
    <row r="468" spans="22:50" x14ac:dyDescent="0.25">
      <c r="V468" s="17">
        <v>462</v>
      </c>
      <c r="W468" s="6">
        <v>1.29948</v>
      </c>
      <c r="X468" s="19">
        <v>-2.7223000000000002</v>
      </c>
      <c r="Y468" s="6">
        <v>1.2527999999999999</v>
      </c>
      <c r="Z468" s="6">
        <v>631</v>
      </c>
      <c r="AN468" s="17">
        <v>462</v>
      </c>
      <c r="AO468" s="6">
        <v>2.7880099999999999</v>
      </c>
      <c r="AP468" s="19">
        <v>-2.7105000000000001</v>
      </c>
      <c r="AQ468" s="6">
        <v>2.6859999999999999</v>
      </c>
      <c r="AR468" s="6">
        <v>348</v>
      </c>
      <c r="AT468" s="17">
        <v>462</v>
      </c>
      <c r="AU468" s="6">
        <v>5.2828299999999997</v>
      </c>
      <c r="AV468" s="19">
        <v>-2.7105000000000001</v>
      </c>
      <c r="AW468" s="6">
        <v>2.6859999999999999</v>
      </c>
      <c r="AX468" s="6">
        <v>348</v>
      </c>
    </row>
    <row r="469" spans="22:50" x14ac:dyDescent="0.25">
      <c r="V469" s="17">
        <v>463</v>
      </c>
      <c r="W469" s="6">
        <v>1.3048599999999999</v>
      </c>
      <c r="X469" s="6">
        <v>1.2591000000000001</v>
      </c>
      <c r="Y469" s="6">
        <v>1.258</v>
      </c>
      <c r="Z469" s="6">
        <v>638</v>
      </c>
      <c r="AN469" s="17">
        <v>463</v>
      </c>
      <c r="AO469" s="6">
        <v>2.7917399999999999</v>
      </c>
      <c r="AP469" s="6">
        <v>1.1500999999999999</v>
      </c>
      <c r="AQ469" s="6">
        <v>2.6896</v>
      </c>
      <c r="AR469" s="6">
        <v>351</v>
      </c>
      <c r="AT469" s="17">
        <v>463</v>
      </c>
      <c r="AU469" s="6">
        <v>5.2898199999999997</v>
      </c>
      <c r="AV469" s="6">
        <v>1.1500999999999999</v>
      </c>
      <c r="AW469" s="6">
        <v>2.6896</v>
      </c>
      <c r="AX469" s="6">
        <v>351</v>
      </c>
    </row>
    <row r="470" spans="22:50" x14ac:dyDescent="0.25">
      <c r="V470" s="17">
        <v>464</v>
      </c>
      <c r="W470" s="6">
        <v>1.3112200000000001</v>
      </c>
      <c r="X470" s="19">
        <v>-5.1090999999999998</v>
      </c>
      <c r="Y470" s="6">
        <v>1.2641</v>
      </c>
      <c r="Z470" s="6">
        <v>630</v>
      </c>
      <c r="AN470" s="17">
        <v>464</v>
      </c>
      <c r="AO470" s="6">
        <v>2.7943699999999998</v>
      </c>
      <c r="AP470" s="19">
        <v>-5.0879000000000003</v>
      </c>
      <c r="AQ470" s="6">
        <v>2.6922000000000001</v>
      </c>
      <c r="AR470" s="6">
        <v>352</v>
      </c>
      <c r="AT470" s="17">
        <v>464</v>
      </c>
      <c r="AU470" s="6">
        <v>5.2947600000000001</v>
      </c>
      <c r="AV470" s="19">
        <v>-5.0879000000000003</v>
      </c>
      <c r="AW470" s="6">
        <v>2.6922000000000001</v>
      </c>
      <c r="AX470" s="6">
        <v>352</v>
      </c>
    </row>
    <row r="471" spans="22:50" x14ac:dyDescent="0.25">
      <c r="V471" s="17">
        <v>465</v>
      </c>
      <c r="W471" s="6">
        <v>1.2799</v>
      </c>
      <c r="X471" s="19">
        <v>-4.3749000000000002</v>
      </c>
      <c r="Y471" s="6">
        <v>1.2339</v>
      </c>
      <c r="Z471" s="6">
        <v>615</v>
      </c>
      <c r="AN471" s="17">
        <v>465</v>
      </c>
      <c r="AO471" s="6">
        <v>2.7799</v>
      </c>
      <c r="AP471" s="19">
        <v>-4.4904999999999999</v>
      </c>
      <c r="AQ471" s="6">
        <v>2.6781000000000001</v>
      </c>
      <c r="AR471" s="6">
        <v>345</v>
      </c>
      <c r="AT471" s="17">
        <v>465</v>
      </c>
      <c r="AU471" s="6">
        <v>5.2675599999999996</v>
      </c>
      <c r="AV471" s="19">
        <v>-4.4904999999999999</v>
      </c>
      <c r="AW471" s="6">
        <v>2.6781000000000001</v>
      </c>
      <c r="AX471" s="6">
        <v>345</v>
      </c>
    </row>
    <row r="472" spans="22:50" x14ac:dyDescent="0.25">
      <c r="V472" s="17">
        <v>466</v>
      </c>
      <c r="W472" s="6">
        <v>1.27942</v>
      </c>
      <c r="X472" s="19">
        <v>-9.6646999999999998</v>
      </c>
      <c r="Y472" s="6">
        <v>1.2334000000000001</v>
      </c>
      <c r="Z472" s="6">
        <v>617</v>
      </c>
      <c r="AN472" s="17">
        <v>466</v>
      </c>
      <c r="AO472" s="6">
        <v>2.77895</v>
      </c>
      <c r="AP472" s="19">
        <v>-9.6315000000000008</v>
      </c>
      <c r="AQ472" s="6">
        <v>2.6772</v>
      </c>
      <c r="AR472" s="6">
        <v>344</v>
      </c>
      <c r="AT472" s="17">
        <v>466</v>
      </c>
      <c r="AU472" s="6">
        <v>5.26579</v>
      </c>
      <c r="AV472" s="19">
        <v>-9.6315000000000008</v>
      </c>
      <c r="AW472" s="6">
        <v>2.6772</v>
      </c>
      <c r="AX472" s="6">
        <v>344</v>
      </c>
    </row>
    <row r="473" spans="22:50" x14ac:dyDescent="0.25">
      <c r="V473" s="17">
        <v>467</v>
      </c>
      <c r="W473" s="6">
        <v>1.2901</v>
      </c>
      <c r="X473" s="19">
        <v>-5.7614000000000001</v>
      </c>
      <c r="Y473" s="6">
        <v>1.2437</v>
      </c>
      <c r="Z473" s="6">
        <v>636</v>
      </c>
      <c r="AN473" s="17">
        <v>467</v>
      </c>
      <c r="AO473" s="6">
        <v>2.7846799999999998</v>
      </c>
      <c r="AP473" s="19">
        <v>-5.8594999999999997</v>
      </c>
      <c r="AQ473" s="6">
        <v>2.6827999999999999</v>
      </c>
      <c r="AR473" s="6">
        <v>347</v>
      </c>
      <c r="AT473" s="17">
        <v>467</v>
      </c>
      <c r="AU473" s="6">
        <v>5.2765500000000003</v>
      </c>
      <c r="AV473" s="19">
        <v>-5.8594999999999997</v>
      </c>
      <c r="AW473" s="6">
        <v>2.6827999999999999</v>
      </c>
      <c r="AX473" s="6">
        <v>347</v>
      </c>
    </row>
    <row r="474" spans="22:50" x14ac:dyDescent="0.25">
      <c r="V474" s="17">
        <v>468</v>
      </c>
      <c r="W474" s="6">
        <v>1.3056000000000001</v>
      </c>
      <c r="X474" s="19">
        <v>-3.0388000000000002</v>
      </c>
      <c r="Y474" s="6">
        <v>1.2586999999999999</v>
      </c>
      <c r="Z474" s="6">
        <v>634</v>
      </c>
      <c r="AN474" s="17">
        <v>468</v>
      </c>
      <c r="AO474" s="6">
        <v>2.7904499999999999</v>
      </c>
      <c r="AP474" s="19">
        <v>-3.0270999999999999</v>
      </c>
      <c r="AQ474" s="6">
        <v>2.6884000000000001</v>
      </c>
      <c r="AR474" s="6">
        <v>349</v>
      </c>
      <c r="AT474" s="17">
        <v>468</v>
      </c>
      <c r="AU474" s="6">
        <v>5.2874100000000004</v>
      </c>
      <c r="AV474" s="19">
        <v>-3.0270999999999999</v>
      </c>
      <c r="AW474" s="6">
        <v>2.6884000000000001</v>
      </c>
      <c r="AX474" s="6">
        <v>349</v>
      </c>
    </row>
    <row r="475" spans="22:50" x14ac:dyDescent="0.25">
      <c r="V475" s="17">
        <v>469</v>
      </c>
      <c r="W475" s="6">
        <v>1.2824199999999999</v>
      </c>
      <c r="X475" s="6">
        <v>2.5973000000000002</v>
      </c>
      <c r="Y475" s="6">
        <v>1.2363</v>
      </c>
      <c r="Z475" s="6">
        <v>631</v>
      </c>
      <c r="AN475" s="17">
        <v>469</v>
      </c>
      <c r="AO475" s="6">
        <v>2.78207</v>
      </c>
      <c r="AP475" s="6">
        <v>2.3147000000000002</v>
      </c>
      <c r="AQ475" s="6">
        <v>2.6802000000000001</v>
      </c>
      <c r="AR475" s="6">
        <v>346</v>
      </c>
      <c r="AT475" s="17">
        <v>469</v>
      </c>
      <c r="AU475" s="6">
        <v>5.27163</v>
      </c>
      <c r="AV475" s="6">
        <v>2.3147000000000002</v>
      </c>
      <c r="AW475" s="6">
        <v>2.6802000000000001</v>
      </c>
      <c r="AX475" s="6">
        <v>346</v>
      </c>
    </row>
    <row r="476" spans="22:50" x14ac:dyDescent="0.25">
      <c r="V476" s="17">
        <v>470</v>
      </c>
      <c r="W476" s="6">
        <v>1.2921199999999999</v>
      </c>
      <c r="X476" s="19">
        <v>-2.6656</v>
      </c>
      <c r="Y476" s="6">
        <v>1.2456</v>
      </c>
      <c r="Z476" s="6">
        <v>614</v>
      </c>
      <c r="AN476" s="17">
        <v>470</v>
      </c>
      <c r="AO476" s="6">
        <v>2.7837700000000001</v>
      </c>
      <c r="AP476" s="19">
        <v>-2.9213</v>
      </c>
      <c r="AQ476" s="6">
        <v>2.6819000000000002</v>
      </c>
      <c r="AR476" s="6">
        <v>346</v>
      </c>
      <c r="AT476" s="17">
        <v>470</v>
      </c>
      <c r="AU476" s="6">
        <v>5.2748499999999998</v>
      </c>
      <c r="AV476" s="19">
        <v>-2.9213</v>
      </c>
      <c r="AW476" s="6">
        <v>2.6819000000000002</v>
      </c>
      <c r="AX476" s="6">
        <v>346</v>
      </c>
    </row>
    <row r="477" spans="22:50" x14ac:dyDescent="0.25">
      <c r="V477" s="17">
        <v>471</v>
      </c>
      <c r="W477" s="6">
        <v>1.27081</v>
      </c>
      <c r="X477" s="19">
        <v>-2.3761000000000001</v>
      </c>
      <c r="Y477" s="6">
        <v>1.2251000000000001</v>
      </c>
      <c r="Z477" s="6">
        <v>622</v>
      </c>
      <c r="AN477" s="17">
        <v>471</v>
      </c>
      <c r="AO477" s="6">
        <v>2.77569</v>
      </c>
      <c r="AP477" s="19">
        <v>-2.6059000000000001</v>
      </c>
      <c r="AQ477" s="6">
        <v>2.6741000000000001</v>
      </c>
      <c r="AR477" s="6">
        <v>343</v>
      </c>
      <c r="AT477" s="17">
        <v>471</v>
      </c>
      <c r="AU477" s="6">
        <v>5.2596499999999997</v>
      </c>
      <c r="AV477" s="19">
        <v>-2.6059000000000001</v>
      </c>
      <c r="AW477" s="6">
        <v>2.6741000000000001</v>
      </c>
      <c r="AX477" s="6">
        <v>343</v>
      </c>
    </row>
    <row r="478" spans="22:50" x14ac:dyDescent="0.25">
      <c r="V478" s="17">
        <v>472</v>
      </c>
      <c r="W478" s="6">
        <v>1.2981</v>
      </c>
      <c r="X478" s="6">
        <v>12.296200000000001</v>
      </c>
      <c r="Y478" s="6">
        <v>1.2515000000000001</v>
      </c>
      <c r="Z478" s="6">
        <v>650</v>
      </c>
      <c r="AN478" s="17">
        <v>472</v>
      </c>
      <c r="AO478" s="6">
        <v>2.7883300000000002</v>
      </c>
      <c r="AP478" s="6">
        <v>12.4008</v>
      </c>
      <c r="AQ478" s="6">
        <v>2.6863000000000001</v>
      </c>
      <c r="AR478" s="6">
        <v>349</v>
      </c>
      <c r="AT478" s="17">
        <v>472</v>
      </c>
      <c r="AU478" s="6">
        <v>5.2834199999999996</v>
      </c>
      <c r="AV478" s="6">
        <v>12.4008</v>
      </c>
      <c r="AW478" s="6">
        <v>2.6863000000000001</v>
      </c>
      <c r="AX478" s="6">
        <v>349</v>
      </c>
    </row>
    <row r="479" spans="22:50" x14ac:dyDescent="0.25">
      <c r="V479" s="17">
        <v>473</v>
      </c>
      <c r="W479" s="6">
        <v>1.3056300000000001</v>
      </c>
      <c r="X479" s="19">
        <v>-5.3851000000000004</v>
      </c>
      <c r="Y479" s="6">
        <v>1.2586999999999999</v>
      </c>
      <c r="Z479" s="6">
        <v>638</v>
      </c>
      <c r="AN479" s="17">
        <v>473</v>
      </c>
      <c r="AO479" s="6">
        <v>2.78979</v>
      </c>
      <c r="AP479" s="19">
        <v>-5.3213999999999997</v>
      </c>
      <c r="AQ479" s="6">
        <v>2.6877</v>
      </c>
      <c r="AR479" s="6">
        <v>349</v>
      </c>
      <c r="AT479" s="17">
        <v>473</v>
      </c>
      <c r="AU479" s="6">
        <v>5.2861799999999999</v>
      </c>
      <c r="AV479" s="19">
        <v>-5.3213999999999997</v>
      </c>
      <c r="AW479" s="6">
        <v>2.6877</v>
      </c>
      <c r="AX479" s="6">
        <v>349</v>
      </c>
    </row>
    <row r="480" spans="22:50" x14ac:dyDescent="0.25">
      <c r="V480" s="17">
        <v>474</v>
      </c>
      <c r="W480" s="6">
        <v>1.2747299999999999</v>
      </c>
      <c r="X480" s="19">
        <v>-1.4517</v>
      </c>
      <c r="Y480" s="6">
        <v>1.2289000000000001</v>
      </c>
      <c r="Z480" s="6">
        <v>626</v>
      </c>
      <c r="AN480" s="17">
        <v>474</v>
      </c>
      <c r="AO480" s="6">
        <v>2.77766</v>
      </c>
      <c r="AP480" s="19">
        <v>-1.4957</v>
      </c>
      <c r="AQ480" s="6">
        <v>2.6760000000000002</v>
      </c>
      <c r="AR480" s="6">
        <v>344</v>
      </c>
      <c r="AT480" s="17">
        <v>474</v>
      </c>
      <c r="AU480" s="6">
        <v>5.26335</v>
      </c>
      <c r="AV480" s="19">
        <v>-1.4957</v>
      </c>
      <c r="AW480" s="6">
        <v>2.6760000000000002</v>
      </c>
      <c r="AX480" s="6">
        <v>344</v>
      </c>
    </row>
    <row r="481" spans="22:50" x14ac:dyDescent="0.25">
      <c r="V481" s="17">
        <v>475</v>
      </c>
      <c r="W481" s="6">
        <v>1.2773699999999999</v>
      </c>
      <c r="X481" s="19">
        <v>-1.6732</v>
      </c>
      <c r="Y481" s="6">
        <v>1.2314000000000001</v>
      </c>
      <c r="Z481" s="6">
        <v>624</v>
      </c>
      <c r="AN481" s="17">
        <v>475</v>
      </c>
      <c r="AO481" s="6">
        <v>2.7784900000000001</v>
      </c>
      <c r="AP481" s="19">
        <v>-1.6950000000000001</v>
      </c>
      <c r="AQ481" s="6">
        <v>2.6768000000000001</v>
      </c>
      <c r="AR481" s="6">
        <v>344</v>
      </c>
      <c r="AT481" s="17">
        <v>475</v>
      </c>
      <c r="AU481" s="6">
        <v>5.26492</v>
      </c>
      <c r="AV481" s="19">
        <v>-1.6950000000000001</v>
      </c>
      <c r="AW481" s="6">
        <v>2.6768000000000001</v>
      </c>
      <c r="AX481" s="6">
        <v>344</v>
      </c>
    </row>
    <row r="482" spans="22:50" x14ac:dyDescent="0.25">
      <c r="V482" s="17">
        <v>476</v>
      </c>
      <c r="W482" s="6">
        <v>1.3137799999999999</v>
      </c>
      <c r="X482" s="19">
        <v>-6.3926999999999996</v>
      </c>
      <c r="Y482" s="6">
        <v>1.2665999999999999</v>
      </c>
      <c r="Z482" s="6">
        <v>647</v>
      </c>
      <c r="AN482" s="17">
        <v>476</v>
      </c>
      <c r="AO482" s="6">
        <v>2.7940200000000002</v>
      </c>
      <c r="AP482" s="19">
        <v>-6.3470000000000004</v>
      </c>
      <c r="AQ482" s="6">
        <v>2.6918000000000002</v>
      </c>
      <c r="AR482" s="6">
        <v>351</v>
      </c>
      <c r="AT482" s="17">
        <v>476</v>
      </c>
      <c r="AU482" s="6">
        <v>5.29413</v>
      </c>
      <c r="AV482" s="19">
        <v>-6.3470000000000004</v>
      </c>
      <c r="AW482" s="6">
        <v>2.6918000000000002</v>
      </c>
      <c r="AX482" s="6">
        <v>351</v>
      </c>
    </row>
    <row r="483" spans="22:50" x14ac:dyDescent="0.25">
      <c r="V483" s="17">
        <v>477</v>
      </c>
      <c r="W483" s="6">
        <v>1.2757499999999999</v>
      </c>
      <c r="X483" s="19">
        <v>-5.4221000000000004</v>
      </c>
      <c r="Y483" s="6">
        <v>1.2299</v>
      </c>
      <c r="Z483" s="6">
        <v>625</v>
      </c>
      <c r="AN483" s="17">
        <v>477</v>
      </c>
      <c r="AO483" s="6">
        <v>2.7780200000000002</v>
      </c>
      <c r="AP483" s="19">
        <v>-5.2678000000000003</v>
      </c>
      <c r="AQ483" s="6">
        <v>2.6762999999999999</v>
      </c>
      <c r="AR483" s="6">
        <v>344</v>
      </c>
      <c r="AT483" s="17">
        <v>477</v>
      </c>
      <c r="AU483" s="6">
        <v>5.26403</v>
      </c>
      <c r="AV483" s="19">
        <v>-5.2678000000000003</v>
      </c>
      <c r="AW483" s="6">
        <v>2.6762999999999999</v>
      </c>
      <c r="AX483" s="6">
        <v>344</v>
      </c>
    </row>
    <row r="484" spans="22:50" x14ac:dyDescent="0.25">
      <c r="V484" s="17">
        <v>478</v>
      </c>
      <c r="W484" s="6">
        <v>1.2803800000000001</v>
      </c>
      <c r="X484" s="19">
        <v>-5.3226000000000004</v>
      </c>
      <c r="Y484" s="6">
        <v>1.2343999999999999</v>
      </c>
      <c r="Z484" s="6">
        <v>640</v>
      </c>
      <c r="AN484" s="17">
        <v>478</v>
      </c>
      <c r="AO484" s="6">
        <v>2.7804600000000002</v>
      </c>
      <c r="AP484" s="19">
        <v>-5.3132000000000001</v>
      </c>
      <c r="AQ484" s="6">
        <v>2.6787000000000001</v>
      </c>
      <c r="AR484" s="6">
        <v>345</v>
      </c>
      <c r="AT484" s="17">
        <v>478</v>
      </c>
      <c r="AU484" s="6">
        <v>5.2686099999999998</v>
      </c>
      <c r="AV484" s="19">
        <v>-5.3132000000000001</v>
      </c>
      <c r="AW484" s="6">
        <v>2.6787000000000001</v>
      </c>
      <c r="AX484" s="6">
        <v>345</v>
      </c>
    </row>
    <row r="485" spans="22:50" x14ac:dyDescent="0.25">
      <c r="V485" s="17">
        <v>479</v>
      </c>
      <c r="W485" s="6">
        <v>1.2956399999999999</v>
      </c>
      <c r="X485" s="19">
        <v>-6.7925000000000004</v>
      </c>
      <c r="Y485" s="6">
        <v>1.2490000000000001</v>
      </c>
      <c r="Z485" s="6">
        <v>619</v>
      </c>
      <c r="AN485" s="17">
        <v>479</v>
      </c>
      <c r="AO485" s="6">
        <v>2.7855300000000001</v>
      </c>
      <c r="AP485" s="19">
        <v>-6.8498000000000001</v>
      </c>
      <c r="AQ485" s="6">
        <v>2.6836000000000002</v>
      </c>
      <c r="AR485" s="6">
        <v>347</v>
      </c>
      <c r="AT485" s="17">
        <v>479</v>
      </c>
      <c r="AU485" s="6">
        <v>5.2781700000000003</v>
      </c>
      <c r="AV485" s="19">
        <v>-6.8498000000000001</v>
      </c>
      <c r="AW485" s="6">
        <v>2.6836000000000002</v>
      </c>
      <c r="AX485" s="6">
        <v>347</v>
      </c>
    </row>
    <row r="486" spans="22:50" x14ac:dyDescent="0.25">
      <c r="V486" s="17">
        <v>480</v>
      </c>
      <c r="W486" s="6">
        <v>1.27928</v>
      </c>
      <c r="X486" s="19">
        <v>-8.7806999999999995</v>
      </c>
      <c r="Y486" s="6">
        <v>1.2333000000000001</v>
      </c>
      <c r="Z486" s="6">
        <v>630</v>
      </c>
      <c r="AN486" s="17">
        <v>480</v>
      </c>
      <c r="AO486" s="6">
        <v>2.7797800000000001</v>
      </c>
      <c r="AP486" s="19">
        <v>-8.9155999999999995</v>
      </c>
      <c r="AQ486" s="6">
        <v>2.6779999999999999</v>
      </c>
      <c r="AR486" s="6">
        <v>345</v>
      </c>
      <c r="AT486" s="17">
        <v>480</v>
      </c>
      <c r="AU486" s="6">
        <v>5.2673399999999999</v>
      </c>
      <c r="AV486" s="19">
        <v>-8.9155999999999995</v>
      </c>
      <c r="AW486" s="6">
        <v>2.6779999999999999</v>
      </c>
      <c r="AX486" s="6">
        <v>345</v>
      </c>
    </row>
    <row r="487" spans="22:50" x14ac:dyDescent="0.25">
      <c r="V487" s="17">
        <v>481</v>
      </c>
      <c r="W487" s="6">
        <v>1.2771600000000001</v>
      </c>
      <c r="X487" s="19">
        <v>-5.5808999999999997</v>
      </c>
      <c r="Y487" s="6">
        <v>1.2312000000000001</v>
      </c>
      <c r="Z487" s="6">
        <v>618</v>
      </c>
      <c r="AN487" s="17">
        <v>481</v>
      </c>
      <c r="AO487" s="6">
        <v>2.77888</v>
      </c>
      <c r="AP487" s="19">
        <v>-5.7095000000000002</v>
      </c>
      <c r="AQ487" s="6">
        <v>2.6772</v>
      </c>
      <c r="AR487" s="6">
        <v>344</v>
      </c>
      <c r="AT487" s="17">
        <v>481</v>
      </c>
      <c r="AU487" s="6">
        <v>5.2656400000000003</v>
      </c>
      <c r="AV487" s="19">
        <v>-5.7095000000000002</v>
      </c>
      <c r="AW487" s="6">
        <v>2.6772</v>
      </c>
      <c r="AX487" s="6">
        <v>344</v>
      </c>
    </row>
    <row r="488" spans="22:50" x14ac:dyDescent="0.25">
      <c r="V488" s="17">
        <v>482</v>
      </c>
      <c r="W488" s="6">
        <v>1.2766900000000001</v>
      </c>
      <c r="X488" s="19">
        <v>-1.5469999999999999</v>
      </c>
      <c r="Y488" s="6">
        <v>1.2307999999999999</v>
      </c>
      <c r="Z488" s="6">
        <v>628</v>
      </c>
      <c r="AN488" s="17">
        <v>482</v>
      </c>
      <c r="AO488" s="6">
        <v>2.7783600000000002</v>
      </c>
      <c r="AP488" s="19">
        <v>-1.5653999999999999</v>
      </c>
      <c r="AQ488" s="6">
        <v>2.6766000000000001</v>
      </c>
      <c r="AR488" s="6">
        <v>344</v>
      </c>
      <c r="AT488" s="17">
        <v>482</v>
      </c>
      <c r="AU488" s="6">
        <v>5.2646699999999997</v>
      </c>
      <c r="AV488" s="19">
        <v>-1.5653999999999999</v>
      </c>
      <c r="AW488" s="6">
        <v>2.6766000000000001</v>
      </c>
      <c r="AX488" s="6">
        <v>344</v>
      </c>
    </row>
    <row r="489" spans="22:50" x14ac:dyDescent="0.25">
      <c r="V489" s="17">
        <v>483</v>
      </c>
      <c r="W489" s="6">
        <v>1.2863199999999999</v>
      </c>
      <c r="X489" s="19">
        <v>-3.6334</v>
      </c>
      <c r="Y489" s="6">
        <v>1.24</v>
      </c>
      <c r="Z489" s="6">
        <v>603</v>
      </c>
      <c r="AN489" s="17">
        <v>483</v>
      </c>
      <c r="AO489" s="6">
        <v>2.78078</v>
      </c>
      <c r="AP489" s="19">
        <v>-3.6667000000000001</v>
      </c>
      <c r="AQ489" s="6">
        <v>2.6789999999999998</v>
      </c>
      <c r="AR489" s="6">
        <v>344</v>
      </c>
      <c r="AT489" s="17">
        <v>483</v>
      </c>
      <c r="AU489" s="6">
        <v>5.2692399999999999</v>
      </c>
      <c r="AV489" s="19">
        <v>-3.6667000000000001</v>
      </c>
      <c r="AW489" s="6">
        <v>2.6789999999999998</v>
      </c>
      <c r="AX489" s="6">
        <v>344</v>
      </c>
    </row>
    <row r="490" spans="22:50" x14ac:dyDescent="0.25">
      <c r="V490" s="17">
        <v>484</v>
      </c>
      <c r="W490" s="6">
        <v>1.2878499999999999</v>
      </c>
      <c r="X490" s="19">
        <v>-5.0002000000000004</v>
      </c>
      <c r="Y490" s="6">
        <v>1.2415</v>
      </c>
      <c r="Z490" s="6">
        <v>619</v>
      </c>
      <c r="AN490" s="17">
        <v>484</v>
      </c>
      <c r="AO490" s="6">
        <v>2.7827099999999998</v>
      </c>
      <c r="AP490" s="19">
        <v>-5.0206999999999997</v>
      </c>
      <c r="AQ490" s="6">
        <v>2.6808999999999998</v>
      </c>
      <c r="AR490" s="6">
        <v>346</v>
      </c>
      <c r="AT490" s="17">
        <v>484</v>
      </c>
      <c r="AU490" s="6">
        <v>5.2728599999999997</v>
      </c>
      <c r="AV490" s="19">
        <v>-5.0206999999999997</v>
      </c>
      <c r="AW490" s="6">
        <v>2.6808999999999998</v>
      </c>
      <c r="AX490" s="6">
        <v>346</v>
      </c>
    </row>
    <row r="491" spans="22:50" x14ac:dyDescent="0.25">
      <c r="V491" s="17">
        <v>485</v>
      </c>
      <c r="W491" s="6">
        <v>1.28576</v>
      </c>
      <c r="X491" s="19">
        <v>-3.9943</v>
      </c>
      <c r="Y491" s="6">
        <v>1.2395</v>
      </c>
      <c r="Z491" s="6">
        <v>634</v>
      </c>
      <c r="AN491" s="17">
        <v>485</v>
      </c>
      <c r="AO491" s="6">
        <v>2.7814199999999998</v>
      </c>
      <c r="AP491" s="19">
        <v>-3.9961000000000002</v>
      </c>
      <c r="AQ491" s="6">
        <v>2.6796000000000002</v>
      </c>
      <c r="AR491" s="6">
        <v>345</v>
      </c>
      <c r="AT491" s="17">
        <v>485</v>
      </c>
      <c r="AU491" s="6">
        <v>5.2704399999999998</v>
      </c>
      <c r="AV491" s="19">
        <v>-3.9961000000000002</v>
      </c>
      <c r="AW491" s="6">
        <v>2.6796000000000002</v>
      </c>
      <c r="AX491" s="6">
        <v>345</v>
      </c>
    </row>
    <row r="492" spans="22:50" x14ac:dyDescent="0.25">
      <c r="V492" s="17">
        <v>486</v>
      </c>
      <c r="W492" s="6">
        <v>1.28925</v>
      </c>
      <c r="X492" s="19">
        <v>-1.2919999999999999E-2</v>
      </c>
      <c r="Y492" s="6">
        <v>1.2428999999999999</v>
      </c>
      <c r="Z492" s="6">
        <v>632</v>
      </c>
      <c r="AN492" s="17">
        <v>486</v>
      </c>
      <c r="AO492" s="6">
        <v>2.7848000000000002</v>
      </c>
      <c r="AP492" s="19">
        <v>-0.13550000000000001</v>
      </c>
      <c r="AQ492" s="6">
        <v>2.6829000000000001</v>
      </c>
      <c r="AR492" s="6">
        <v>347</v>
      </c>
      <c r="AT492" s="17">
        <v>486</v>
      </c>
      <c r="AU492" s="6">
        <v>5.27677</v>
      </c>
      <c r="AV492" s="19">
        <v>-0.13550000000000001</v>
      </c>
      <c r="AW492" s="6">
        <v>2.6829000000000001</v>
      </c>
      <c r="AX492" s="6">
        <v>347</v>
      </c>
    </row>
    <row r="493" spans="22:50" x14ac:dyDescent="0.25">
      <c r="V493" s="17">
        <v>487</v>
      </c>
      <c r="W493" s="6">
        <v>1.3174699999999999</v>
      </c>
      <c r="X493" s="19">
        <v>-6.3811999999999998</v>
      </c>
      <c r="Y493" s="6">
        <v>1.2701</v>
      </c>
      <c r="Z493" s="6">
        <v>634</v>
      </c>
      <c r="AN493" s="17">
        <v>487</v>
      </c>
      <c r="AO493" s="6">
        <v>2.7964500000000001</v>
      </c>
      <c r="AP493" s="19">
        <v>-6.3734999999999999</v>
      </c>
      <c r="AQ493" s="6">
        <v>2.6941999999999999</v>
      </c>
      <c r="AR493" s="6">
        <v>352</v>
      </c>
      <c r="AT493" s="17">
        <v>487</v>
      </c>
      <c r="AU493" s="6">
        <v>5.2987000000000002</v>
      </c>
      <c r="AV493" s="19">
        <v>-6.3734999999999999</v>
      </c>
      <c r="AW493" s="6">
        <v>2.6941999999999999</v>
      </c>
      <c r="AX493" s="6">
        <v>352</v>
      </c>
    </row>
    <row r="494" spans="22:50" x14ac:dyDescent="0.25">
      <c r="V494" s="17">
        <v>488</v>
      </c>
      <c r="W494" s="6">
        <v>1.25987</v>
      </c>
      <c r="X494" s="19">
        <v>-5.6468999999999996</v>
      </c>
      <c r="Y494" s="6">
        <v>1.2144999999999999</v>
      </c>
      <c r="Z494" s="6">
        <v>593</v>
      </c>
      <c r="AN494" s="17">
        <v>488</v>
      </c>
      <c r="AO494" s="6">
        <v>2.7715900000000002</v>
      </c>
      <c r="AP494" s="19">
        <v>-5.7759999999999998</v>
      </c>
      <c r="AQ494" s="6">
        <v>2.6701000000000001</v>
      </c>
      <c r="AR494" s="6">
        <v>341</v>
      </c>
      <c r="AT494" s="17">
        <v>488</v>
      </c>
      <c r="AU494" s="6">
        <v>5.2519400000000003</v>
      </c>
      <c r="AV494" s="19">
        <v>-5.7759999999999998</v>
      </c>
      <c r="AW494" s="6">
        <v>2.6701000000000001</v>
      </c>
      <c r="AX494" s="6">
        <v>341</v>
      </c>
    </row>
    <row r="495" spans="22:50" x14ac:dyDescent="0.25">
      <c r="V495" s="17">
        <v>489</v>
      </c>
      <c r="W495" s="6">
        <v>1.2832300000000001</v>
      </c>
      <c r="X495" s="6">
        <v>3.9033000000000002</v>
      </c>
      <c r="Y495" s="6">
        <v>1.2371000000000001</v>
      </c>
      <c r="Z495" s="6">
        <v>631</v>
      </c>
      <c r="AN495" s="17">
        <v>489</v>
      </c>
      <c r="AO495" s="6">
        <v>2.7820499999999999</v>
      </c>
      <c r="AP495" s="6">
        <v>3.7719</v>
      </c>
      <c r="AQ495" s="6">
        <v>2.6802000000000001</v>
      </c>
      <c r="AR495" s="6">
        <v>346</v>
      </c>
      <c r="AT495" s="17">
        <v>489</v>
      </c>
      <c r="AU495" s="6">
        <v>5.2716000000000003</v>
      </c>
      <c r="AV495" s="6">
        <v>3.7719</v>
      </c>
      <c r="AW495" s="6">
        <v>2.6802000000000001</v>
      </c>
      <c r="AX495" s="6">
        <v>346</v>
      </c>
    </row>
    <row r="496" spans="22:50" x14ac:dyDescent="0.25">
      <c r="V496" s="17">
        <v>490</v>
      </c>
      <c r="W496" s="6">
        <v>1.29081</v>
      </c>
      <c r="X496" s="6">
        <v>6.6260000000000003</v>
      </c>
      <c r="Y496" s="6">
        <v>1.2444</v>
      </c>
      <c r="Z496" s="6">
        <v>609</v>
      </c>
      <c r="AN496" s="17">
        <v>490</v>
      </c>
      <c r="AO496" s="6">
        <v>2.7843800000000001</v>
      </c>
      <c r="AP496" s="6">
        <v>6.6043000000000003</v>
      </c>
      <c r="AQ496" s="6">
        <v>2.6825000000000001</v>
      </c>
      <c r="AR496" s="6">
        <v>347</v>
      </c>
      <c r="AT496" s="17">
        <v>490</v>
      </c>
      <c r="AU496" s="6">
        <v>5.2759799999999997</v>
      </c>
      <c r="AV496" s="6">
        <v>6.6043000000000003</v>
      </c>
      <c r="AW496" s="6">
        <v>2.6825000000000001</v>
      </c>
      <c r="AX496" s="6">
        <v>347</v>
      </c>
    </row>
    <row r="497" spans="22:50" x14ac:dyDescent="0.25">
      <c r="V497" s="17">
        <v>491</v>
      </c>
      <c r="W497" s="6">
        <v>1.2825500000000001</v>
      </c>
      <c r="X497" s="6">
        <v>12.2621</v>
      </c>
      <c r="Y497" s="6">
        <v>1.2363999999999999</v>
      </c>
      <c r="Z497" s="6">
        <v>624</v>
      </c>
      <c r="AN497" s="17">
        <v>491</v>
      </c>
      <c r="AO497" s="6">
        <v>2.7810800000000002</v>
      </c>
      <c r="AP497" s="6">
        <v>11.946099999999999</v>
      </c>
      <c r="AQ497" s="6">
        <v>2.6793</v>
      </c>
      <c r="AR497" s="6">
        <v>345</v>
      </c>
      <c r="AT497" s="17">
        <v>491</v>
      </c>
      <c r="AU497" s="6">
        <v>5.2697799999999999</v>
      </c>
      <c r="AV497" s="6">
        <v>11.946099999999999</v>
      </c>
      <c r="AW497" s="6">
        <v>2.6793</v>
      </c>
      <c r="AX497" s="6">
        <v>345</v>
      </c>
    </row>
    <row r="498" spans="22:50" x14ac:dyDescent="0.25">
      <c r="V498" s="17">
        <v>492</v>
      </c>
      <c r="W498" s="6">
        <v>1.27203</v>
      </c>
      <c r="X498" s="6">
        <v>6.9991000000000003</v>
      </c>
      <c r="Y498" s="6">
        <v>1.2262</v>
      </c>
      <c r="Z498" s="6">
        <v>597</v>
      </c>
      <c r="AN498" s="17">
        <v>492</v>
      </c>
      <c r="AO498" s="6">
        <v>2.7753999999999999</v>
      </c>
      <c r="AP498" s="6">
        <v>6.7100999999999997</v>
      </c>
      <c r="AQ498" s="6">
        <v>2.6738</v>
      </c>
      <c r="AR498" s="6">
        <v>342</v>
      </c>
      <c r="AT498" s="17">
        <v>492</v>
      </c>
      <c r="AU498" s="6">
        <v>5.2591099999999997</v>
      </c>
      <c r="AV498" s="6">
        <v>6.7100999999999997</v>
      </c>
      <c r="AW498" s="6">
        <v>2.6738</v>
      </c>
      <c r="AX498" s="6">
        <v>342</v>
      </c>
    </row>
    <row r="499" spans="22:50" x14ac:dyDescent="0.25">
      <c r="V499" s="17">
        <v>493</v>
      </c>
      <c r="W499" s="6">
        <v>1.28356</v>
      </c>
      <c r="X499" s="6">
        <v>7.2885999999999997</v>
      </c>
      <c r="Y499" s="6">
        <v>1.2374000000000001</v>
      </c>
      <c r="Z499" s="6">
        <v>614</v>
      </c>
      <c r="AN499" s="17">
        <v>493</v>
      </c>
      <c r="AO499" s="6">
        <v>2.7810299999999999</v>
      </c>
      <c r="AP499" s="6">
        <v>7.0255000000000001</v>
      </c>
      <c r="AQ499" s="6">
        <v>2.6791999999999998</v>
      </c>
      <c r="AR499" s="6">
        <v>345</v>
      </c>
      <c r="AT499" s="17">
        <v>493</v>
      </c>
      <c r="AU499" s="6">
        <v>5.2696899999999998</v>
      </c>
      <c r="AV499" s="6">
        <v>7.0255000000000001</v>
      </c>
      <c r="AW499" s="6">
        <v>2.6791999999999998</v>
      </c>
      <c r="AX499" s="6">
        <v>345</v>
      </c>
    </row>
    <row r="500" spans="22:50" x14ac:dyDescent="0.25">
      <c r="V500" s="17">
        <v>494</v>
      </c>
      <c r="W500" s="6">
        <v>1.28264</v>
      </c>
      <c r="X500" s="6">
        <v>21.960899999999999</v>
      </c>
      <c r="Y500" s="6">
        <v>1.2364999999999999</v>
      </c>
      <c r="Z500" s="6">
        <v>624</v>
      </c>
      <c r="AN500" s="17">
        <v>494</v>
      </c>
      <c r="AO500" s="6">
        <v>2.7814700000000001</v>
      </c>
      <c r="AP500" s="6">
        <v>22.032299999999999</v>
      </c>
      <c r="AQ500" s="6">
        <v>2.6797</v>
      </c>
      <c r="AR500" s="6">
        <v>346</v>
      </c>
      <c r="AT500" s="17">
        <v>494</v>
      </c>
      <c r="AU500" s="6">
        <v>5.2705099999999998</v>
      </c>
      <c r="AV500" s="6">
        <v>22.032299999999999</v>
      </c>
      <c r="AW500" s="6">
        <v>2.6797</v>
      </c>
      <c r="AX500" s="6">
        <v>346</v>
      </c>
    </row>
    <row r="501" spans="22:50" x14ac:dyDescent="0.25">
      <c r="V501" s="17">
        <v>495</v>
      </c>
      <c r="W501" s="6">
        <v>1.2821100000000001</v>
      </c>
      <c r="X501" s="6">
        <v>4.2796000000000003</v>
      </c>
      <c r="Y501" s="6">
        <v>1.236</v>
      </c>
      <c r="Z501" s="6">
        <v>610</v>
      </c>
      <c r="AN501" s="17">
        <v>495</v>
      </c>
      <c r="AO501" s="6">
        <v>2.78112</v>
      </c>
      <c r="AP501" s="6">
        <v>4.3101000000000003</v>
      </c>
      <c r="AQ501" s="6">
        <v>2.6793</v>
      </c>
      <c r="AR501" s="6">
        <v>345</v>
      </c>
      <c r="AT501" s="17">
        <v>495</v>
      </c>
      <c r="AU501" s="6">
        <v>5.2698600000000004</v>
      </c>
      <c r="AV501" s="6">
        <v>4.3101000000000003</v>
      </c>
      <c r="AW501" s="6">
        <v>2.6793</v>
      </c>
      <c r="AX501" s="6">
        <v>345</v>
      </c>
    </row>
    <row r="502" spans="22:50" x14ac:dyDescent="0.25">
      <c r="V502" s="17">
        <v>496</v>
      </c>
      <c r="W502" s="6">
        <v>1.2750699999999999</v>
      </c>
      <c r="X502" s="6">
        <v>8.2129999999999992</v>
      </c>
      <c r="Y502" s="6">
        <v>1.2292000000000001</v>
      </c>
      <c r="Z502" s="6">
        <v>618</v>
      </c>
      <c r="AN502" s="17">
        <v>496</v>
      </c>
      <c r="AO502" s="6">
        <v>2.77806</v>
      </c>
      <c r="AP502" s="6">
        <v>8.1357999999999997</v>
      </c>
      <c r="AQ502" s="6">
        <v>2.6764000000000001</v>
      </c>
      <c r="AR502" s="6">
        <v>344</v>
      </c>
      <c r="AT502" s="17">
        <v>496</v>
      </c>
      <c r="AU502" s="6">
        <v>5.2641</v>
      </c>
      <c r="AV502" s="6">
        <v>8.1357999999999997</v>
      </c>
      <c r="AW502" s="6">
        <v>2.6764000000000001</v>
      </c>
      <c r="AX502" s="6">
        <v>344</v>
      </c>
    </row>
    <row r="503" spans="22:50" x14ac:dyDescent="0.25">
      <c r="V503" s="17">
        <v>497</v>
      </c>
      <c r="W503" s="6">
        <v>1.27329</v>
      </c>
      <c r="X503" s="6">
        <v>7.9915000000000003</v>
      </c>
      <c r="Y503" s="6">
        <v>1.2275</v>
      </c>
      <c r="Z503" s="6">
        <v>613</v>
      </c>
      <c r="AN503" s="17">
        <v>497</v>
      </c>
      <c r="AO503" s="6">
        <v>2.77704</v>
      </c>
      <c r="AP503" s="6">
        <v>7.9363999999999999</v>
      </c>
      <c r="AQ503" s="6">
        <v>2.6753999999999998</v>
      </c>
      <c r="AR503" s="6">
        <v>343</v>
      </c>
      <c r="AT503" s="17">
        <v>497</v>
      </c>
      <c r="AU503" s="6">
        <v>5.2621799999999999</v>
      </c>
      <c r="AV503" s="6">
        <v>7.9363999999999999</v>
      </c>
      <c r="AW503" s="6">
        <v>2.6753999999999998</v>
      </c>
      <c r="AX503" s="6">
        <v>343</v>
      </c>
    </row>
    <row r="504" spans="22:50" x14ac:dyDescent="0.25">
      <c r="V504" s="17">
        <v>498</v>
      </c>
      <c r="W504" s="6">
        <v>1.2985599999999999</v>
      </c>
      <c r="X504" s="6">
        <v>3.2719999999999998</v>
      </c>
      <c r="Y504" s="6">
        <v>1.2519</v>
      </c>
      <c r="Z504" s="6">
        <v>623</v>
      </c>
      <c r="AN504" s="17">
        <v>498</v>
      </c>
      <c r="AO504" s="6">
        <v>2.7881399999999998</v>
      </c>
      <c r="AP504" s="6">
        <v>3.2845</v>
      </c>
      <c r="AQ504" s="6">
        <v>2.6861000000000002</v>
      </c>
      <c r="AR504" s="6">
        <v>349</v>
      </c>
      <c r="AT504" s="17">
        <v>498</v>
      </c>
      <c r="AU504" s="6">
        <v>5.2830500000000002</v>
      </c>
      <c r="AV504" s="6">
        <v>3.2845</v>
      </c>
      <c r="AW504" s="6">
        <v>2.6861000000000002</v>
      </c>
      <c r="AX504" s="6">
        <v>349</v>
      </c>
    </row>
    <row r="505" spans="22:50" x14ac:dyDescent="0.25">
      <c r="V505" s="17">
        <v>499</v>
      </c>
      <c r="W505" s="6">
        <v>1.27162</v>
      </c>
      <c r="X505" s="6">
        <v>4.2426000000000004</v>
      </c>
      <c r="Y505" s="6">
        <v>1.2259</v>
      </c>
      <c r="Z505" s="6">
        <v>610</v>
      </c>
      <c r="AN505" s="17">
        <v>499</v>
      </c>
      <c r="AO505" s="6">
        <v>2.7758799999999999</v>
      </c>
      <c r="AP505" s="6">
        <v>4.3636999999999997</v>
      </c>
      <c r="AQ505" s="6">
        <v>2.6741999999999999</v>
      </c>
      <c r="AR505" s="6">
        <v>343</v>
      </c>
      <c r="AT505" s="17">
        <v>499</v>
      </c>
      <c r="AU505" s="6">
        <v>5.2600100000000003</v>
      </c>
      <c r="AV505" s="6">
        <v>4.3636999999999997</v>
      </c>
      <c r="AW505" s="6">
        <v>2.6741999999999999</v>
      </c>
      <c r="AX505" s="6">
        <v>343</v>
      </c>
    </row>
    <row r="506" spans="22:50" x14ac:dyDescent="0.25">
      <c r="V506" s="17">
        <v>500</v>
      </c>
      <c r="W506" s="6">
        <v>1.2641899999999999</v>
      </c>
      <c r="X506" s="6">
        <v>4.3421000000000003</v>
      </c>
      <c r="Y506" s="6">
        <v>1.2186999999999999</v>
      </c>
      <c r="Z506" s="6">
        <v>613</v>
      </c>
      <c r="AN506" s="17">
        <v>500</v>
      </c>
      <c r="AO506" s="6">
        <v>2.7736499999999999</v>
      </c>
      <c r="AP506" s="6">
        <v>4.3182999999999998</v>
      </c>
      <c r="AQ506" s="6">
        <v>2.6720999999999999</v>
      </c>
      <c r="AR506" s="6">
        <v>342</v>
      </c>
      <c r="AT506" s="17">
        <v>500</v>
      </c>
      <c r="AU506" s="6">
        <v>5.2557900000000002</v>
      </c>
      <c r="AV506" s="6">
        <v>4.3182999999999998</v>
      </c>
      <c r="AW506" s="6">
        <v>2.6720999999999999</v>
      </c>
      <c r="AX506" s="6">
        <v>342</v>
      </c>
    </row>
    <row r="507" spans="22:50" x14ac:dyDescent="0.25">
      <c r="V507" s="17">
        <v>501</v>
      </c>
      <c r="W507" s="6">
        <v>1.2915399999999999</v>
      </c>
      <c r="X507" s="6">
        <v>2.8721999999999999</v>
      </c>
      <c r="Y507" s="6">
        <v>1.2451000000000001</v>
      </c>
      <c r="Z507" s="6">
        <v>627</v>
      </c>
      <c r="AN507" s="17">
        <v>501</v>
      </c>
      <c r="AO507" s="6">
        <v>2.7843100000000001</v>
      </c>
      <c r="AP507" s="6">
        <v>2.7816999999999998</v>
      </c>
      <c r="AQ507" s="6">
        <v>2.6823999999999999</v>
      </c>
      <c r="AR507" s="6">
        <v>346</v>
      </c>
      <c r="AT507" s="17">
        <v>501</v>
      </c>
      <c r="AU507" s="6">
        <v>5.2758599999999998</v>
      </c>
      <c r="AV507" s="6">
        <v>2.7816999999999998</v>
      </c>
      <c r="AW507" s="6">
        <v>2.6823999999999999</v>
      </c>
      <c r="AX507" s="6">
        <v>346</v>
      </c>
    </row>
    <row r="508" spans="22:50" x14ac:dyDescent="0.25">
      <c r="V508" s="17">
        <v>502</v>
      </c>
      <c r="W508" s="6">
        <v>1.2876099999999999</v>
      </c>
      <c r="X508" s="6">
        <v>0.88400000000000001</v>
      </c>
      <c r="Y508" s="6">
        <v>1.2413000000000001</v>
      </c>
      <c r="Z508" s="6">
        <v>630</v>
      </c>
      <c r="AN508" s="17">
        <v>502</v>
      </c>
      <c r="AO508" s="6">
        <v>2.7835399999999999</v>
      </c>
      <c r="AP508" s="6">
        <v>0.71589999999999998</v>
      </c>
      <c r="AQ508" s="6">
        <v>2.6817000000000002</v>
      </c>
      <c r="AR508" s="6">
        <v>346</v>
      </c>
      <c r="AT508" s="17">
        <v>502</v>
      </c>
      <c r="AU508" s="6">
        <v>5.2744099999999996</v>
      </c>
      <c r="AV508" s="6">
        <v>0.71589999999999998</v>
      </c>
      <c r="AW508" s="6">
        <v>2.6817000000000002</v>
      </c>
      <c r="AX508" s="6">
        <v>346</v>
      </c>
    </row>
    <row r="509" spans="22:50" x14ac:dyDescent="0.25">
      <c r="V509" s="17">
        <v>503</v>
      </c>
      <c r="W509" s="6">
        <v>1.2647299999999999</v>
      </c>
      <c r="X509" s="6">
        <v>4.0838000000000001</v>
      </c>
      <c r="Y509" s="6">
        <v>1.2192000000000001</v>
      </c>
      <c r="Z509" s="6">
        <v>605</v>
      </c>
      <c r="AN509" s="17">
        <v>503</v>
      </c>
      <c r="AO509" s="6">
        <v>2.7733400000000001</v>
      </c>
      <c r="AP509" s="6">
        <v>3.9218999999999999</v>
      </c>
      <c r="AQ509" s="6">
        <v>2.6718000000000002</v>
      </c>
      <c r="AR509" s="6">
        <v>342</v>
      </c>
      <c r="AT509" s="17">
        <v>503</v>
      </c>
      <c r="AU509" s="6">
        <v>5.2552300000000001</v>
      </c>
      <c r="AV509" s="6">
        <v>3.9218999999999999</v>
      </c>
      <c r="AW509" s="6">
        <v>2.6718000000000002</v>
      </c>
      <c r="AX509" s="6">
        <v>342</v>
      </c>
    </row>
    <row r="510" spans="22:50" x14ac:dyDescent="0.25">
      <c r="V510" s="17">
        <v>504</v>
      </c>
      <c r="W510" s="6">
        <v>1.2595400000000001</v>
      </c>
      <c r="X510" s="6">
        <v>8.1176999999999992</v>
      </c>
      <c r="Y510" s="6">
        <v>1.2141999999999999</v>
      </c>
      <c r="Z510" s="6">
        <v>604</v>
      </c>
      <c r="AN510" s="17">
        <v>504</v>
      </c>
      <c r="AO510" s="6">
        <v>2.7713700000000001</v>
      </c>
      <c r="AP510" s="6">
        <v>8.0661000000000005</v>
      </c>
      <c r="AQ510" s="6">
        <v>2.6699000000000002</v>
      </c>
      <c r="AR510" s="6">
        <v>341</v>
      </c>
      <c r="AT510" s="17">
        <v>504</v>
      </c>
      <c r="AU510" s="6">
        <v>5.2515099999999997</v>
      </c>
      <c r="AV510" s="6">
        <v>8.0661000000000005</v>
      </c>
      <c r="AW510" s="6">
        <v>2.6699000000000002</v>
      </c>
      <c r="AX510" s="6">
        <v>341</v>
      </c>
    </row>
    <row r="511" spans="22:50" x14ac:dyDescent="0.25">
      <c r="V511" s="17">
        <v>505</v>
      </c>
      <c r="W511" s="6">
        <v>1.2825800000000001</v>
      </c>
      <c r="X511" s="6">
        <v>6.0312999999999999</v>
      </c>
      <c r="Y511" s="6">
        <v>1.2363999999999999</v>
      </c>
      <c r="Z511" s="6">
        <v>585</v>
      </c>
      <c r="AN511" s="17">
        <v>505</v>
      </c>
      <c r="AO511" s="6">
        <v>2.77902</v>
      </c>
      <c r="AP511" s="6">
        <v>5.9648000000000003</v>
      </c>
      <c r="AQ511" s="6">
        <v>2.6772999999999998</v>
      </c>
      <c r="AR511" s="6">
        <v>343</v>
      </c>
      <c r="AT511" s="17">
        <v>505</v>
      </c>
      <c r="AU511" s="6">
        <v>5.26593</v>
      </c>
      <c r="AV511" s="6">
        <v>5.9648000000000003</v>
      </c>
      <c r="AW511" s="6">
        <v>2.6772999999999998</v>
      </c>
      <c r="AX511" s="6">
        <v>343</v>
      </c>
    </row>
    <row r="512" spans="22:50" x14ac:dyDescent="0.25">
      <c r="V512" s="17">
        <v>506</v>
      </c>
      <c r="W512" s="6">
        <v>1.27308</v>
      </c>
      <c r="X512" s="6">
        <v>4.6646000000000001</v>
      </c>
      <c r="Y512" s="6">
        <v>1.2273000000000001</v>
      </c>
      <c r="Z512" s="6">
        <v>605</v>
      </c>
      <c r="AN512" s="17">
        <v>506</v>
      </c>
      <c r="AO512" s="6">
        <v>2.7765599999999999</v>
      </c>
      <c r="AP512" s="6">
        <v>4.6106999999999996</v>
      </c>
      <c r="AQ512" s="6">
        <v>2.6749000000000001</v>
      </c>
      <c r="AR512" s="6">
        <v>343</v>
      </c>
      <c r="AT512" s="17">
        <v>506</v>
      </c>
      <c r="AU512" s="6">
        <v>5.2612899999999998</v>
      </c>
      <c r="AV512" s="6">
        <v>4.6106999999999996</v>
      </c>
      <c r="AW512" s="6">
        <v>2.6749000000000001</v>
      </c>
      <c r="AX512" s="6">
        <v>343</v>
      </c>
    </row>
    <row r="513" spans="22:50" x14ac:dyDescent="0.25">
      <c r="V513" s="17">
        <v>507</v>
      </c>
      <c r="W513" s="6">
        <v>1.28047</v>
      </c>
      <c r="X513" s="6">
        <v>5.6703999999999999</v>
      </c>
      <c r="Y513" s="6">
        <v>1.2343999999999999</v>
      </c>
      <c r="Z513" s="6">
        <v>620</v>
      </c>
      <c r="AN513" s="17">
        <v>507</v>
      </c>
      <c r="AO513" s="6">
        <v>2.7800099999999999</v>
      </c>
      <c r="AP513" s="6">
        <v>5.6353999999999997</v>
      </c>
      <c r="AQ513" s="6">
        <v>2.6783000000000001</v>
      </c>
      <c r="AR513" s="6">
        <v>345</v>
      </c>
      <c r="AT513" s="17">
        <v>507</v>
      </c>
      <c r="AU513" s="6">
        <v>5.2677699999999996</v>
      </c>
      <c r="AV513" s="6">
        <v>5.6353999999999997</v>
      </c>
      <c r="AW513" s="6">
        <v>2.6783000000000001</v>
      </c>
      <c r="AX513" s="6">
        <v>345</v>
      </c>
    </row>
    <row r="514" spans="22:50" x14ac:dyDescent="0.25">
      <c r="V514" s="17">
        <v>508</v>
      </c>
      <c r="W514" s="6">
        <v>1.2952699999999999</v>
      </c>
      <c r="X514" s="6">
        <v>9.6517999999999997</v>
      </c>
      <c r="Y514" s="6">
        <v>1.2486999999999999</v>
      </c>
      <c r="Z514" s="6">
        <v>627</v>
      </c>
      <c r="AN514" s="17">
        <v>508</v>
      </c>
      <c r="AO514" s="6">
        <v>2.7870499999999998</v>
      </c>
      <c r="AP514" s="6">
        <v>9.4959000000000007</v>
      </c>
      <c r="AQ514" s="6">
        <v>2.6850999999999998</v>
      </c>
      <c r="AR514" s="6">
        <v>348</v>
      </c>
      <c r="AT514" s="17">
        <v>508</v>
      </c>
      <c r="AU514" s="6">
        <v>5.2809900000000001</v>
      </c>
      <c r="AV514" s="6">
        <v>9.4959000000000007</v>
      </c>
      <c r="AW514" s="6">
        <v>2.6850999999999998</v>
      </c>
      <c r="AX514" s="6">
        <v>348</v>
      </c>
    </row>
    <row r="515" spans="22:50" x14ac:dyDescent="0.25">
      <c r="V515" s="17">
        <v>509</v>
      </c>
      <c r="W515" s="6">
        <v>1.3129999999999999</v>
      </c>
      <c r="X515" s="6">
        <v>3.2835999999999999</v>
      </c>
      <c r="Y515" s="6">
        <v>1.2658</v>
      </c>
      <c r="Z515" s="6">
        <v>617</v>
      </c>
      <c r="AN515" s="17">
        <v>509</v>
      </c>
      <c r="AO515" s="6">
        <v>2.79427</v>
      </c>
      <c r="AP515" s="6">
        <v>3.258</v>
      </c>
      <c r="AQ515" s="6">
        <v>2.6920999999999999</v>
      </c>
      <c r="AR515" s="6">
        <v>351</v>
      </c>
      <c r="AT515" s="17">
        <v>509</v>
      </c>
      <c r="AU515" s="6">
        <v>5.2946</v>
      </c>
      <c r="AV515" s="6">
        <v>3.258</v>
      </c>
      <c r="AW515" s="6">
        <v>2.6920999999999999</v>
      </c>
      <c r="AX515" s="6">
        <v>351</v>
      </c>
    </row>
    <row r="516" spans="22:50" x14ac:dyDescent="0.25">
      <c r="V516" s="17">
        <v>510</v>
      </c>
      <c r="W516" s="6">
        <v>1.26322</v>
      </c>
      <c r="X516" s="6">
        <v>4.0178000000000003</v>
      </c>
      <c r="Y516" s="6">
        <v>1.2178</v>
      </c>
      <c r="Z516" s="6">
        <v>602</v>
      </c>
      <c r="AN516" s="17">
        <v>510</v>
      </c>
      <c r="AO516" s="6">
        <v>2.7728799999999998</v>
      </c>
      <c r="AP516" s="6">
        <v>3.8553999999999999</v>
      </c>
      <c r="AQ516" s="6">
        <v>2.6713</v>
      </c>
      <c r="AR516" s="6">
        <v>342</v>
      </c>
      <c r="AT516" s="17">
        <v>510</v>
      </c>
      <c r="AU516" s="6">
        <v>5.2543600000000001</v>
      </c>
      <c r="AV516" s="6">
        <v>3.8553999999999999</v>
      </c>
      <c r="AW516" s="6">
        <v>2.6713</v>
      </c>
      <c r="AX516" s="6">
        <v>342</v>
      </c>
    </row>
    <row r="517" spans="22:50" x14ac:dyDescent="0.25">
      <c r="V517" s="17">
        <v>511</v>
      </c>
      <c r="W517" s="6">
        <v>1.2805</v>
      </c>
      <c r="X517" s="6">
        <v>2.7225999999999999</v>
      </c>
      <c r="Y517" s="6">
        <v>1.2344999999999999</v>
      </c>
      <c r="Z517" s="6">
        <v>633</v>
      </c>
      <c r="AN517" s="17">
        <v>511</v>
      </c>
      <c r="AO517" s="6">
        <v>2.7809400000000002</v>
      </c>
      <c r="AP517" s="6">
        <v>2.8323999999999998</v>
      </c>
      <c r="AQ517" s="6">
        <v>2.6791999999999998</v>
      </c>
      <c r="AR517" s="6">
        <v>345</v>
      </c>
      <c r="AT517" s="17">
        <v>511</v>
      </c>
      <c r="AU517" s="6">
        <v>5.2695100000000004</v>
      </c>
      <c r="AV517" s="6">
        <v>2.8323999999999998</v>
      </c>
      <c r="AW517" s="6">
        <v>2.6791999999999998</v>
      </c>
      <c r="AX517" s="6">
        <v>345</v>
      </c>
    </row>
    <row r="518" spans="22:50" x14ac:dyDescent="0.25">
      <c r="V518" s="17">
        <v>512</v>
      </c>
      <c r="W518" s="6">
        <v>1.2759</v>
      </c>
      <c r="X518" s="6">
        <v>8.3587000000000007</v>
      </c>
      <c r="Y518" s="6">
        <v>1.2301</v>
      </c>
      <c r="Z518" s="6">
        <v>646</v>
      </c>
      <c r="AN518" s="17">
        <v>512</v>
      </c>
      <c r="AO518" s="6">
        <v>2.7793000000000001</v>
      </c>
      <c r="AP518" s="6">
        <v>8.1742000000000008</v>
      </c>
      <c r="AQ518" s="6">
        <v>2.6776</v>
      </c>
      <c r="AR518" s="6">
        <v>345</v>
      </c>
      <c r="AT518" s="17">
        <v>512</v>
      </c>
      <c r="AU518" s="6">
        <v>5.2664200000000001</v>
      </c>
      <c r="AV518" s="6">
        <v>8.1742000000000008</v>
      </c>
      <c r="AW518" s="6">
        <v>2.6776</v>
      </c>
      <c r="AX518" s="6">
        <v>345</v>
      </c>
    </row>
    <row r="519" spans="22:50" x14ac:dyDescent="0.25">
      <c r="V519" s="17">
        <v>513</v>
      </c>
      <c r="W519" s="6">
        <v>1.29287</v>
      </c>
      <c r="X519" s="6">
        <v>3.0958000000000001</v>
      </c>
      <c r="Y519" s="6">
        <v>1.2464</v>
      </c>
      <c r="Z519" s="6">
        <v>643</v>
      </c>
      <c r="AN519" s="17">
        <v>513</v>
      </c>
      <c r="AO519" s="6">
        <v>2.7856200000000002</v>
      </c>
      <c r="AP519" s="6">
        <v>2.9382000000000001</v>
      </c>
      <c r="AQ519" s="6">
        <v>2.6837</v>
      </c>
      <c r="AR519" s="6">
        <v>347</v>
      </c>
      <c r="AT519" s="17">
        <v>513</v>
      </c>
      <c r="AU519" s="6">
        <v>5.2783300000000004</v>
      </c>
      <c r="AV519" s="6">
        <v>2.9382000000000001</v>
      </c>
      <c r="AW519" s="6">
        <v>2.6837</v>
      </c>
      <c r="AX519" s="6">
        <v>347</v>
      </c>
    </row>
    <row r="520" spans="22:50" x14ac:dyDescent="0.25">
      <c r="V520" s="17">
        <v>514</v>
      </c>
      <c r="W520" s="6">
        <v>1.25908</v>
      </c>
      <c r="X520" s="6">
        <v>3.3853</v>
      </c>
      <c r="Y520" s="6">
        <v>1.2138</v>
      </c>
      <c r="Z520" s="6">
        <v>629</v>
      </c>
      <c r="AN520" s="17">
        <v>514</v>
      </c>
      <c r="AO520" s="6">
        <v>2.7715200000000002</v>
      </c>
      <c r="AP520" s="6">
        <v>3.2536</v>
      </c>
      <c r="AQ520" s="6">
        <v>2.67</v>
      </c>
      <c r="AR520" s="6">
        <v>341</v>
      </c>
      <c r="AT520" s="17">
        <v>514</v>
      </c>
      <c r="AU520" s="6">
        <v>5.2517899999999997</v>
      </c>
      <c r="AV520" s="6">
        <v>3.2536</v>
      </c>
      <c r="AW520" s="6">
        <v>2.67</v>
      </c>
      <c r="AX520" s="6">
        <v>341</v>
      </c>
    </row>
    <row r="521" spans="22:50" x14ac:dyDescent="0.25">
      <c r="V521" s="17">
        <v>515</v>
      </c>
      <c r="W521" s="6">
        <v>1.26823</v>
      </c>
      <c r="X521" s="6">
        <v>18.057500000000001</v>
      </c>
      <c r="Y521" s="6">
        <v>1.2226999999999999</v>
      </c>
      <c r="Z521" s="6">
        <v>649</v>
      </c>
      <c r="AN521" s="17">
        <v>515</v>
      </c>
      <c r="AO521" s="6">
        <v>2.77677</v>
      </c>
      <c r="AP521" s="6">
        <v>18.260400000000001</v>
      </c>
      <c r="AQ521" s="6">
        <v>2.6751</v>
      </c>
      <c r="AR521" s="6">
        <v>344</v>
      </c>
      <c r="AT521" s="17">
        <v>515</v>
      </c>
      <c r="AU521" s="6">
        <v>5.2616500000000004</v>
      </c>
      <c r="AV521" s="6">
        <v>18.260400000000001</v>
      </c>
      <c r="AW521" s="6">
        <v>2.6751</v>
      </c>
      <c r="AX521" s="6">
        <v>344</v>
      </c>
    </row>
    <row r="522" spans="22:50" x14ac:dyDescent="0.25">
      <c r="V522" s="17">
        <v>516</v>
      </c>
      <c r="W522" s="6">
        <v>1.28914</v>
      </c>
      <c r="X522" s="6">
        <v>0.37630000000000002</v>
      </c>
      <c r="Y522" s="6">
        <v>1.2427999999999999</v>
      </c>
      <c r="Z522" s="6">
        <v>639</v>
      </c>
      <c r="AN522" s="17">
        <v>516</v>
      </c>
      <c r="AO522" s="6">
        <v>2.7847599999999999</v>
      </c>
      <c r="AP522" s="6">
        <v>0.53820000000000001</v>
      </c>
      <c r="AQ522" s="6">
        <v>2.6829000000000001</v>
      </c>
      <c r="AR522" s="6">
        <v>347</v>
      </c>
      <c r="AT522" s="17">
        <v>516</v>
      </c>
      <c r="AU522" s="6">
        <v>5.2766999999999999</v>
      </c>
      <c r="AV522" s="6">
        <v>0.53820000000000001</v>
      </c>
      <c r="AW522" s="6">
        <v>2.6829000000000001</v>
      </c>
      <c r="AX522" s="6">
        <v>347</v>
      </c>
    </row>
    <row r="523" spans="22:50" x14ac:dyDescent="0.25">
      <c r="V523" s="17">
        <v>517</v>
      </c>
      <c r="W523" s="6">
        <v>1.26569</v>
      </c>
      <c r="X523" s="6">
        <v>4.3097000000000003</v>
      </c>
      <c r="Y523" s="6">
        <v>1.2202</v>
      </c>
      <c r="Z523" s="6">
        <v>633</v>
      </c>
      <c r="AN523" s="17">
        <v>517</v>
      </c>
      <c r="AO523" s="6">
        <v>2.7745500000000001</v>
      </c>
      <c r="AP523" s="6">
        <v>4.3639000000000001</v>
      </c>
      <c r="AQ523" s="6">
        <v>2.673</v>
      </c>
      <c r="AR523" s="6">
        <v>342</v>
      </c>
      <c r="AT523" s="17">
        <v>517</v>
      </c>
      <c r="AU523" s="6">
        <v>5.2574899999999998</v>
      </c>
      <c r="AV523" s="6">
        <v>4.3639000000000001</v>
      </c>
      <c r="AW523" s="6">
        <v>2.673</v>
      </c>
      <c r="AX523" s="6">
        <v>342</v>
      </c>
    </row>
    <row r="524" spans="22:50" x14ac:dyDescent="0.25">
      <c r="V524" s="17">
        <v>518</v>
      </c>
      <c r="W524" s="6">
        <v>1.2683500000000001</v>
      </c>
      <c r="X524" s="6">
        <v>4.0881999999999996</v>
      </c>
      <c r="Y524" s="6">
        <v>1.2228000000000001</v>
      </c>
      <c r="Z524" s="6">
        <v>642</v>
      </c>
      <c r="AN524" s="17">
        <v>518</v>
      </c>
      <c r="AO524" s="6">
        <v>2.7761300000000002</v>
      </c>
      <c r="AP524" s="6">
        <v>4.1645000000000003</v>
      </c>
      <c r="AQ524" s="6">
        <v>2.6745000000000001</v>
      </c>
      <c r="AR524" s="6">
        <v>343</v>
      </c>
      <c r="AT524" s="17">
        <v>518</v>
      </c>
      <c r="AU524" s="6">
        <v>5.2604600000000001</v>
      </c>
      <c r="AV524" s="6">
        <v>4.1645000000000003</v>
      </c>
      <c r="AW524" s="6">
        <v>2.6745000000000001</v>
      </c>
      <c r="AX524" s="6">
        <v>343</v>
      </c>
    </row>
    <row r="525" spans="22:50" x14ac:dyDescent="0.25">
      <c r="V525" s="17">
        <v>519</v>
      </c>
      <c r="W525" s="6">
        <v>1.27837</v>
      </c>
      <c r="X525" s="19">
        <v>-0.63129999999999997</v>
      </c>
      <c r="Y525" s="6">
        <v>1.2323999999999999</v>
      </c>
      <c r="Z525" s="6">
        <v>630</v>
      </c>
      <c r="AN525" s="17">
        <v>519</v>
      </c>
      <c r="AO525" s="6">
        <v>2.7791800000000002</v>
      </c>
      <c r="AP525" s="19">
        <v>-0.48749999999999999</v>
      </c>
      <c r="AQ525" s="6">
        <v>2.6774</v>
      </c>
      <c r="AR525" s="6">
        <v>344</v>
      </c>
      <c r="AT525" s="17">
        <v>519</v>
      </c>
      <c r="AU525" s="6">
        <v>5.2662100000000001</v>
      </c>
      <c r="AV525" s="19">
        <v>-0.48749999999999999</v>
      </c>
      <c r="AW525" s="6">
        <v>2.6774</v>
      </c>
      <c r="AX525" s="6">
        <v>344</v>
      </c>
    </row>
    <row r="526" spans="22:50" x14ac:dyDescent="0.25">
      <c r="V526" s="17">
        <v>520</v>
      </c>
      <c r="W526" s="6">
        <v>1.27793</v>
      </c>
      <c r="X526" s="6">
        <v>0.3392</v>
      </c>
      <c r="Y526" s="6">
        <v>1.232</v>
      </c>
      <c r="Z526" s="6">
        <v>643</v>
      </c>
      <c r="AN526" s="17">
        <v>520</v>
      </c>
      <c r="AO526" s="6">
        <v>2.7795999999999998</v>
      </c>
      <c r="AP526" s="6">
        <v>0.59179999999999999</v>
      </c>
      <c r="AQ526" s="6">
        <v>2.6779000000000002</v>
      </c>
      <c r="AR526" s="6">
        <v>345</v>
      </c>
      <c r="AT526" s="17">
        <v>520</v>
      </c>
      <c r="AU526" s="6">
        <v>5.2670000000000003</v>
      </c>
      <c r="AV526" s="6">
        <v>0.59179999999999999</v>
      </c>
      <c r="AW526" s="6">
        <v>2.6779000000000002</v>
      </c>
      <c r="AX526" s="6">
        <v>345</v>
      </c>
    </row>
    <row r="527" spans="22:50" x14ac:dyDescent="0.25">
      <c r="V527" s="17">
        <v>521</v>
      </c>
      <c r="W527" s="6">
        <v>1.2481599999999999</v>
      </c>
      <c r="X527" s="6">
        <v>0.43880000000000002</v>
      </c>
      <c r="Y527" s="6">
        <v>1.2033</v>
      </c>
      <c r="Z527" s="6">
        <v>621</v>
      </c>
      <c r="AN527" s="17">
        <v>521</v>
      </c>
      <c r="AO527" s="6">
        <v>2.7673399999999999</v>
      </c>
      <c r="AP527" s="6">
        <v>0.5464</v>
      </c>
      <c r="AQ527" s="6">
        <v>2.6659999999999999</v>
      </c>
      <c r="AR527" s="6">
        <v>339</v>
      </c>
      <c r="AT527" s="17">
        <v>521</v>
      </c>
      <c r="AU527" s="6">
        <v>5.2439200000000001</v>
      </c>
      <c r="AV527" s="6">
        <v>0.5464</v>
      </c>
      <c r="AW527" s="6">
        <v>2.6659999999999999</v>
      </c>
      <c r="AX527" s="6">
        <v>339</v>
      </c>
    </row>
    <row r="528" spans="22:50" x14ac:dyDescent="0.25">
      <c r="V528" s="17">
        <v>522</v>
      </c>
      <c r="W528" s="6">
        <v>1.3005599999999999</v>
      </c>
      <c r="X528" s="19">
        <v>-1.0310999999999999</v>
      </c>
      <c r="Y528" s="6">
        <v>1.2538</v>
      </c>
      <c r="Z528" s="6">
        <v>657</v>
      </c>
      <c r="AN528" s="17">
        <v>522</v>
      </c>
      <c r="AO528" s="6">
        <v>2.7898200000000002</v>
      </c>
      <c r="AP528" s="19">
        <v>-0.99029999999999996</v>
      </c>
      <c r="AQ528" s="6">
        <v>2.6878000000000002</v>
      </c>
      <c r="AR528" s="6">
        <v>349</v>
      </c>
      <c r="AT528" s="17">
        <v>522</v>
      </c>
      <c r="AU528" s="6">
        <v>5.2862099999999996</v>
      </c>
      <c r="AV528" s="19">
        <v>-0.99029999999999996</v>
      </c>
      <c r="AW528" s="6">
        <v>2.6878000000000002</v>
      </c>
      <c r="AX528" s="6">
        <v>349</v>
      </c>
    </row>
    <row r="529" spans="22:50" x14ac:dyDescent="0.25">
      <c r="V529" s="17">
        <v>523</v>
      </c>
      <c r="W529" s="6">
        <v>1.2736499999999999</v>
      </c>
      <c r="X529" s="19">
        <v>-3.0192999999999999</v>
      </c>
      <c r="Y529" s="6">
        <v>1.2279</v>
      </c>
      <c r="Z529" s="6">
        <v>646</v>
      </c>
      <c r="AN529" s="17">
        <v>523</v>
      </c>
      <c r="AO529" s="6">
        <v>2.77854</v>
      </c>
      <c r="AP529" s="19">
        <v>-3.056</v>
      </c>
      <c r="AQ529" s="6">
        <v>2.6768000000000001</v>
      </c>
      <c r="AR529" s="6">
        <v>344</v>
      </c>
      <c r="AT529" s="17">
        <v>523</v>
      </c>
      <c r="AU529" s="6">
        <v>5.2649900000000001</v>
      </c>
      <c r="AV529" s="19">
        <v>-3.056</v>
      </c>
      <c r="AW529" s="6">
        <v>2.6768000000000001</v>
      </c>
      <c r="AX529" s="6">
        <v>344</v>
      </c>
    </row>
    <row r="530" spans="22:50" x14ac:dyDescent="0.25">
      <c r="V530" s="17">
        <v>524</v>
      </c>
      <c r="W530" s="6">
        <v>1.2747599999999999</v>
      </c>
      <c r="X530" s="6">
        <v>0.18049999999999999</v>
      </c>
      <c r="Y530" s="6">
        <v>1.2290000000000001</v>
      </c>
      <c r="Z530" s="6">
        <v>648</v>
      </c>
      <c r="AN530" s="17">
        <v>524</v>
      </c>
      <c r="AO530" s="6">
        <v>2.7784</v>
      </c>
      <c r="AP530" s="6">
        <v>0.15</v>
      </c>
      <c r="AQ530" s="6">
        <v>2.6766999999999999</v>
      </c>
      <c r="AR530" s="6">
        <v>344</v>
      </c>
      <c r="AT530" s="17">
        <v>524</v>
      </c>
      <c r="AU530" s="6">
        <v>5.2647399999999998</v>
      </c>
      <c r="AV530" s="6">
        <v>0.15</v>
      </c>
      <c r="AW530" s="6">
        <v>2.6766999999999999</v>
      </c>
      <c r="AX530" s="6">
        <v>344</v>
      </c>
    </row>
    <row r="531" spans="22:50" x14ac:dyDescent="0.25">
      <c r="V531" s="17">
        <v>525</v>
      </c>
      <c r="W531" s="6">
        <v>1.2660199999999999</v>
      </c>
      <c r="X531" s="6">
        <v>4.2142999999999997</v>
      </c>
      <c r="Y531" s="6">
        <v>1.2204999999999999</v>
      </c>
      <c r="Z531" s="6">
        <v>640</v>
      </c>
      <c r="AN531" s="17">
        <v>525</v>
      </c>
      <c r="AO531" s="6">
        <v>2.7757999999999998</v>
      </c>
      <c r="AP531" s="6">
        <v>4.2942</v>
      </c>
      <c r="AQ531" s="6">
        <v>2.6741999999999999</v>
      </c>
      <c r="AR531" s="6">
        <v>343</v>
      </c>
      <c r="AT531" s="17">
        <v>525</v>
      </c>
      <c r="AU531" s="6">
        <v>5.25983</v>
      </c>
      <c r="AV531" s="6">
        <v>4.2942</v>
      </c>
      <c r="AW531" s="6">
        <v>2.6741999999999999</v>
      </c>
      <c r="AX531" s="6">
        <v>343</v>
      </c>
    </row>
    <row r="532" spans="22:50" x14ac:dyDescent="0.25">
      <c r="V532" s="17">
        <v>526</v>
      </c>
      <c r="W532" s="6">
        <v>1.2878499999999999</v>
      </c>
      <c r="X532" s="6">
        <v>2.1278999999999999</v>
      </c>
      <c r="Y532" s="6">
        <v>1.2416</v>
      </c>
      <c r="Z532" s="6">
        <v>637</v>
      </c>
      <c r="AN532" s="17">
        <v>526</v>
      </c>
      <c r="AO532" s="6">
        <v>2.7839499999999999</v>
      </c>
      <c r="AP532" s="6">
        <v>2.1928999999999998</v>
      </c>
      <c r="AQ532" s="6">
        <v>2.6821000000000002</v>
      </c>
      <c r="AR532" s="6">
        <v>347</v>
      </c>
      <c r="AT532" s="17">
        <v>526</v>
      </c>
      <c r="AU532" s="6">
        <v>5.2751700000000001</v>
      </c>
      <c r="AV532" s="6">
        <v>2.1928999999999998</v>
      </c>
      <c r="AW532" s="6">
        <v>2.6821000000000002</v>
      </c>
      <c r="AX532" s="6">
        <v>347</v>
      </c>
    </row>
    <row r="533" spans="22:50" x14ac:dyDescent="0.25">
      <c r="V533" s="17">
        <v>527</v>
      </c>
      <c r="W533" s="6">
        <v>1.2761800000000001</v>
      </c>
      <c r="X533" s="6">
        <v>0.76119999999999999</v>
      </c>
      <c r="Y533" s="6">
        <v>1.2302999999999999</v>
      </c>
      <c r="Z533" s="6">
        <v>624</v>
      </c>
      <c r="AN533" s="17">
        <v>527</v>
      </c>
      <c r="AO533" s="6">
        <v>2.77847</v>
      </c>
      <c r="AP533" s="6">
        <v>0.83879999999999999</v>
      </c>
      <c r="AQ533" s="6">
        <v>2.6768000000000001</v>
      </c>
      <c r="AR533" s="6">
        <v>344</v>
      </c>
      <c r="AT533" s="17">
        <v>527</v>
      </c>
      <c r="AU533" s="6">
        <v>5.2648799999999998</v>
      </c>
      <c r="AV533" s="6">
        <v>0.83879999999999999</v>
      </c>
      <c r="AW533" s="6">
        <v>2.6768000000000001</v>
      </c>
      <c r="AX533" s="6">
        <v>344</v>
      </c>
    </row>
    <row r="534" spans="22:50" x14ac:dyDescent="0.25">
      <c r="V534" s="17">
        <v>528</v>
      </c>
      <c r="W534" s="6">
        <v>1.2813300000000001</v>
      </c>
      <c r="X534" s="6">
        <v>1.7669999999999999</v>
      </c>
      <c r="Y534" s="6">
        <v>1.2353000000000001</v>
      </c>
      <c r="Z534" s="6">
        <v>642</v>
      </c>
      <c r="AN534" s="17">
        <v>528</v>
      </c>
      <c r="AO534" s="6">
        <v>2.7813599999999998</v>
      </c>
      <c r="AP534" s="6">
        <v>1.8634999999999999</v>
      </c>
      <c r="AQ534" s="6">
        <v>2.6796000000000002</v>
      </c>
      <c r="AR534" s="6">
        <v>346</v>
      </c>
      <c r="AT534" s="17">
        <v>528</v>
      </c>
      <c r="AU534" s="6">
        <v>5.2703100000000003</v>
      </c>
      <c r="AV534" s="6">
        <v>1.8634999999999999</v>
      </c>
      <c r="AW534" s="6">
        <v>2.6796000000000002</v>
      </c>
      <c r="AX534" s="6">
        <v>346</v>
      </c>
    </row>
    <row r="535" spans="22:50" x14ac:dyDescent="0.25">
      <c r="V535" s="17">
        <v>529</v>
      </c>
      <c r="W535" s="6">
        <v>1.29206</v>
      </c>
      <c r="X535" s="6">
        <v>5.7484000000000002</v>
      </c>
      <c r="Y535" s="6">
        <v>1.2456</v>
      </c>
      <c r="Z535" s="6">
        <v>645</v>
      </c>
      <c r="AN535" s="17">
        <v>529</v>
      </c>
      <c r="AO535" s="6">
        <v>2.78627</v>
      </c>
      <c r="AP535" s="6">
        <v>5.7240000000000002</v>
      </c>
      <c r="AQ535" s="6">
        <v>2.6842999999999999</v>
      </c>
      <c r="AR535" s="6">
        <v>348</v>
      </c>
      <c r="AT535" s="17">
        <v>529</v>
      </c>
      <c r="AU535" s="6">
        <v>5.2795300000000003</v>
      </c>
      <c r="AV535" s="6">
        <v>5.7240000000000002</v>
      </c>
      <c r="AW535" s="6">
        <v>2.6842999999999999</v>
      </c>
      <c r="AX535" s="6">
        <v>348</v>
      </c>
    </row>
    <row r="536" spans="22:50" x14ac:dyDescent="0.25">
      <c r="V536" s="17">
        <v>530</v>
      </c>
      <c r="W536" s="6">
        <v>1.28711</v>
      </c>
      <c r="X536" s="19">
        <v>-0.61980000000000002</v>
      </c>
      <c r="Y536" s="6">
        <v>1.2408999999999999</v>
      </c>
      <c r="Z536" s="6">
        <v>635</v>
      </c>
      <c r="AN536" s="17">
        <v>530</v>
      </c>
      <c r="AO536" s="6">
        <v>2.7833700000000001</v>
      </c>
      <c r="AP536" s="19">
        <v>-0.51390000000000002</v>
      </c>
      <c r="AQ536" s="6">
        <v>2.6815000000000002</v>
      </c>
      <c r="AR536" s="6">
        <v>346</v>
      </c>
      <c r="AT536" s="17">
        <v>530</v>
      </c>
      <c r="AU536" s="6">
        <v>5.2740799999999997</v>
      </c>
      <c r="AV536" s="19">
        <v>-0.51390000000000002</v>
      </c>
      <c r="AW536" s="6">
        <v>2.6815000000000002</v>
      </c>
      <c r="AX536" s="6">
        <v>346</v>
      </c>
    </row>
    <row r="537" spans="22:50" x14ac:dyDescent="0.25">
      <c r="V537" s="17">
        <v>531</v>
      </c>
      <c r="W537" s="6">
        <v>1.26607</v>
      </c>
      <c r="X537" s="6">
        <v>0.1145</v>
      </c>
      <c r="Y537" s="6">
        <v>1.2205999999999999</v>
      </c>
      <c r="Z537" s="6">
        <v>629</v>
      </c>
      <c r="AN537" s="17">
        <v>531</v>
      </c>
      <c r="AO537" s="6">
        <v>2.77536</v>
      </c>
      <c r="AP537" s="6">
        <v>8.3489999999999995E-2</v>
      </c>
      <c r="AQ537" s="6">
        <v>2.6738</v>
      </c>
      <c r="AR537" s="6">
        <v>343</v>
      </c>
      <c r="AT537" s="17">
        <v>531</v>
      </c>
      <c r="AU537" s="6">
        <v>5.25901</v>
      </c>
      <c r="AV537" s="6">
        <v>8.3489999999999995E-2</v>
      </c>
      <c r="AW537" s="6">
        <v>2.6738</v>
      </c>
      <c r="AX537" s="6">
        <v>343</v>
      </c>
    </row>
    <row r="538" spans="22:50" x14ac:dyDescent="0.25">
      <c r="V538" s="17">
        <v>532</v>
      </c>
      <c r="W538" s="6">
        <v>1.28294</v>
      </c>
      <c r="X538" s="6">
        <v>5.6360999999999999</v>
      </c>
      <c r="Y538" s="6">
        <v>1.2367999999999999</v>
      </c>
      <c r="Z538" s="6">
        <v>639</v>
      </c>
      <c r="AN538" s="17">
        <v>532</v>
      </c>
      <c r="AO538" s="6">
        <v>2.7817400000000001</v>
      </c>
      <c r="AP538" s="6">
        <v>5.3418000000000001</v>
      </c>
      <c r="AQ538" s="6">
        <v>2.6798999999999999</v>
      </c>
      <c r="AR538" s="6">
        <v>346</v>
      </c>
      <c r="AT538" s="17">
        <v>532</v>
      </c>
      <c r="AU538" s="6">
        <v>5.27102</v>
      </c>
      <c r="AV538" s="6">
        <v>5.3418000000000001</v>
      </c>
      <c r="AW538" s="6">
        <v>2.6798999999999999</v>
      </c>
      <c r="AX538" s="6">
        <v>346</v>
      </c>
    </row>
    <row r="539" spans="22:50" x14ac:dyDescent="0.25">
      <c r="V539" s="17">
        <v>533</v>
      </c>
      <c r="W539" s="6">
        <v>1.3002400000000001</v>
      </c>
      <c r="X539" s="6">
        <v>0.37309999999999999</v>
      </c>
      <c r="Y539" s="6">
        <v>1.2535000000000001</v>
      </c>
      <c r="Z539" s="6">
        <v>631</v>
      </c>
      <c r="AN539" s="17">
        <v>533</v>
      </c>
      <c r="AO539" s="6">
        <v>2.7881300000000002</v>
      </c>
      <c r="AP539" s="6">
        <v>0.10580000000000001</v>
      </c>
      <c r="AQ539" s="6">
        <v>2.6861000000000002</v>
      </c>
      <c r="AR539" s="6">
        <v>348</v>
      </c>
      <c r="AT539" s="17">
        <v>533</v>
      </c>
      <c r="AU539" s="6">
        <v>5.2830500000000002</v>
      </c>
      <c r="AV539" s="6">
        <v>0.10580000000000001</v>
      </c>
      <c r="AW539" s="6">
        <v>2.6861000000000002</v>
      </c>
      <c r="AX539" s="6">
        <v>348</v>
      </c>
    </row>
    <row r="540" spans="22:50" x14ac:dyDescent="0.25">
      <c r="V540" s="17">
        <v>534</v>
      </c>
      <c r="W540" s="6">
        <v>1.2846599999999999</v>
      </c>
      <c r="X540" s="6">
        <v>0.66259999999999997</v>
      </c>
      <c r="Y540" s="6">
        <v>1.2384999999999999</v>
      </c>
      <c r="Z540" s="6">
        <v>625</v>
      </c>
      <c r="AN540" s="17">
        <v>534</v>
      </c>
      <c r="AO540" s="6">
        <v>2.78227</v>
      </c>
      <c r="AP540" s="6">
        <v>0.42120000000000002</v>
      </c>
      <c r="AQ540" s="6">
        <v>2.6804000000000001</v>
      </c>
      <c r="AR540" s="6">
        <v>346</v>
      </c>
      <c r="AT540" s="17">
        <v>534</v>
      </c>
      <c r="AU540" s="6">
        <v>5.2720099999999999</v>
      </c>
      <c r="AV540" s="6">
        <v>0.42120000000000002</v>
      </c>
      <c r="AW540" s="6">
        <v>2.6804000000000001</v>
      </c>
      <c r="AX540" s="6">
        <v>346</v>
      </c>
    </row>
    <row r="541" spans="22:50" x14ac:dyDescent="0.25">
      <c r="V541" s="17">
        <v>535</v>
      </c>
      <c r="W541" s="6">
        <v>1.3036799999999999</v>
      </c>
      <c r="X541" s="6">
        <v>15.334899999999999</v>
      </c>
      <c r="Y541" s="6">
        <v>1.2568999999999999</v>
      </c>
      <c r="Z541" s="6">
        <v>651</v>
      </c>
      <c r="AN541" s="17">
        <v>535</v>
      </c>
      <c r="AO541" s="6">
        <v>2.7917299999999998</v>
      </c>
      <c r="AP541" s="6">
        <v>15.428000000000001</v>
      </c>
      <c r="AQ541" s="6">
        <v>2.6896</v>
      </c>
      <c r="AR541" s="6">
        <v>351</v>
      </c>
      <c r="AT541" s="17">
        <v>535</v>
      </c>
      <c r="AU541" s="6">
        <v>5.28979</v>
      </c>
      <c r="AV541" s="6">
        <v>15.428000000000001</v>
      </c>
      <c r="AW541" s="6">
        <v>2.6896</v>
      </c>
      <c r="AX541" s="6">
        <v>351</v>
      </c>
    </row>
    <row r="542" spans="22:50" x14ac:dyDescent="0.25">
      <c r="V542" s="17">
        <v>536</v>
      </c>
      <c r="W542" s="6">
        <v>1.2981</v>
      </c>
      <c r="X542" s="19">
        <v>-2.3462999999999998</v>
      </c>
      <c r="Y542" s="6">
        <v>1.2515000000000001</v>
      </c>
      <c r="Z542" s="6">
        <v>641</v>
      </c>
      <c r="AN542" s="17">
        <v>536</v>
      </c>
      <c r="AO542" s="6">
        <v>2.7875000000000001</v>
      </c>
      <c r="AP542" s="19">
        <v>-2.2942</v>
      </c>
      <c r="AQ542" s="6">
        <v>2.6855000000000002</v>
      </c>
      <c r="AR542" s="6">
        <v>348</v>
      </c>
      <c r="AT542" s="17">
        <v>536</v>
      </c>
      <c r="AU542" s="6">
        <v>5.28186</v>
      </c>
      <c r="AV542" s="19">
        <v>-2.2942</v>
      </c>
      <c r="AW542" s="6">
        <v>2.6855000000000002</v>
      </c>
      <c r="AX542" s="6">
        <v>348</v>
      </c>
    </row>
    <row r="543" spans="22:50" x14ac:dyDescent="0.25">
      <c r="V543" s="17">
        <v>537</v>
      </c>
      <c r="W543" s="6">
        <v>1.2736400000000001</v>
      </c>
      <c r="X543" s="6">
        <v>1.5871</v>
      </c>
      <c r="Y543" s="6">
        <v>1.2279</v>
      </c>
      <c r="Z543" s="6">
        <v>636</v>
      </c>
      <c r="AN543" s="17">
        <v>537</v>
      </c>
      <c r="AO543" s="6">
        <v>2.7787000000000002</v>
      </c>
      <c r="AP543" s="6">
        <v>1.5315000000000001</v>
      </c>
      <c r="AQ543" s="6">
        <v>2.677</v>
      </c>
      <c r="AR543" s="6">
        <v>345</v>
      </c>
      <c r="AT543" s="17">
        <v>537</v>
      </c>
      <c r="AU543" s="6">
        <v>5.2652900000000002</v>
      </c>
      <c r="AV543" s="6">
        <v>1.5315000000000001</v>
      </c>
      <c r="AW543" s="6">
        <v>2.677</v>
      </c>
      <c r="AX543" s="6">
        <v>345</v>
      </c>
    </row>
    <row r="544" spans="22:50" x14ac:dyDescent="0.25">
      <c r="V544" s="17">
        <v>538</v>
      </c>
      <c r="W544" s="6">
        <v>1.2893399999999999</v>
      </c>
      <c r="X544" s="6">
        <v>1.3654999999999999</v>
      </c>
      <c r="Y544" s="6">
        <v>1.2430000000000001</v>
      </c>
      <c r="Z544" s="6">
        <v>633</v>
      </c>
      <c r="AN544" s="17">
        <v>538</v>
      </c>
      <c r="AO544" s="6">
        <v>2.7845399999999998</v>
      </c>
      <c r="AP544" s="6">
        <v>1.3321000000000001</v>
      </c>
      <c r="AQ544" s="6">
        <v>2.6825999999999999</v>
      </c>
      <c r="AR544" s="6">
        <v>347</v>
      </c>
      <c r="AT544" s="17">
        <v>538</v>
      </c>
      <c r="AU544" s="6">
        <v>5.2762799999999999</v>
      </c>
      <c r="AV544" s="6">
        <v>1.3321000000000001</v>
      </c>
      <c r="AW544" s="6">
        <v>2.6825999999999999</v>
      </c>
      <c r="AX544" s="6">
        <v>347</v>
      </c>
    </row>
    <row r="545" spans="22:50" x14ac:dyDescent="0.25">
      <c r="V545" s="17">
        <v>539</v>
      </c>
      <c r="W545" s="6">
        <v>1.3011900000000001</v>
      </c>
      <c r="X545" s="19">
        <v>-3.3538999999999999</v>
      </c>
      <c r="Y545" s="6">
        <v>1.2544</v>
      </c>
      <c r="Z545" s="6">
        <v>634</v>
      </c>
      <c r="AN545" s="17">
        <v>539</v>
      </c>
      <c r="AO545" s="6">
        <v>2.7896999999999998</v>
      </c>
      <c r="AP545" s="19">
        <v>-3.3199000000000001</v>
      </c>
      <c r="AQ545" s="6">
        <v>2.6876000000000002</v>
      </c>
      <c r="AR545" s="6">
        <v>349</v>
      </c>
      <c r="AT545" s="17">
        <v>539</v>
      </c>
      <c r="AU545" s="6">
        <v>5.28599</v>
      </c>
      <c r="AV545" s="19">
        <v>-3.3199000000000001</v>
      </c>
      <c r="AW545" s="6">
        <v>2.6876000000000002</v>
      </c>
      <c r="AX545" s="6">
        <v>349</v>
      </c>
    </row>
    <row r="546" spans="22:50" x14ac:dyDescent="0.25">
      <c r="V546" s="17">
        <v>540</v>
      </c>
      <c r="W546" s="6">
        <v>1.2842800000000001</v>
      </c>
      <c r="X546" s="19">
        <v>-2.3834</v>
      </c>
      <c r="Y546" s="6">
        <v>1.2381</v>
      </c>
      <c r="Z546" s="6">
        <v>626</v>
      </c>
      <c r="AN546" s="17">
        <v>540</v>
      </c>
      <c r="AO546" s="6">
        <v>2.78146</v>
      </c>
      <c r="AP546" s="19">
        <v>-2.2406000000000001</v>
      </c>
      <c r="AQ546" s="6">
        <v>2.6797</v>
      </c>
      <c r="AR546" s="6">
        <v>345</v>
      </c>
      <c r="AT546" s="17">
        <v>540</v>
      </c>
      <c r="AU546" s="6">
        <v>5.2705099999999998</v>
      </c>
      <c r="AV546" s="19">
        <v>-2.2406000000000001</v>
      </c>
      <c r="AW546" s="6">
        <v>2.6797</v>
      </c>
      <c r="AX546" s="6">
        <v>345</v>
      </c>
    </row>
    <row r="547" spans="22:50" x14ac:dyDescent="0.25">
      <c r="V547" s="17">
        <v>541</v>
      </c>
      <c r="W547" s="6">
        <v>1.27613</v>
      </c>
      <c r="X547" s="19">
        <v>-2.2837999999999998</v>
      </c>
      <c r="Y547" s="6">
        <v>1.2302</v>
      </c>
      <c r="Z547" s="6">
        <v>619</v>
      </c>
      <c r="AN547" s="17">
        <v>541</v>
      </c>
      <c r="AO547" s="6">
        <v>2.7780300000000002</v>
      </c>
      <c r="AP547" s="19">
        <v>-2.286</v>
      </c>
      <c r="AQ547" s="6">
        <v>2.6762999999999999</v>
      </c>
      <c r="AR547" s="6">
        <v>344</v>
      </c>
      <c r="AT547" s="17">
        <v>541</v>
      </c>
      <c r="AU547" s="6">
        <v>5.2640399999999996</v>
      </c>
      <c r="AV547" s="19">
        <v>-2.286</v>
      </c>
      <c r="AW547" s="6">
        <v>2.6762999999999999</v>
      </c>
      <c r="AX547" s="6">
        <v>344</v>
      </c>
    </row>
    <row r="548" spans="22:50" x14ac:dyDescent="0.25">
      <c r="V548" s="17">
        <v>542</v>
      </c>
      <c r="W548" s="6">
        <v>1.3142400000000001</v>
      </c>
      <c r="X548" s="19">
        <v>-3.7538</v>
      </c>
      <c r="Y548" s="6">
        <v>1.2669999999999999</v>
      </c>
      <c r="Z548" s="6">
        <v>637</v>
      </c>
      <c r="AN548" s="17">
        <v>542</v>
      </c>
      <c r="AO548" s="6">
        <v>2.7935599999999998</v>
      </c>
      <c r="AP548" s="19">
        <v>-3.8227000000000002</v>
      </c>
      <c r="AQ548" s="6">
        <v>2.6913999999999998</v>
      </c>
      <c r="AR548" s="6">
        <v>350</v>
      </c>
      <c r="AT548" s="17">
        <v>542</v>
      </c>
      <c r="AU548" s="6">
        <v>5.2932600000000001</v>
      </c>
      <c r="AV548" s="19">
        <v>-3.8227000000000002</v>
      </c>
      <c r="AW548" s="6">
        <v>2.6913999999999998</v>
      </c>
      <c r="AX548" s="6">
        <v>350</v>
      </c>
    </row>
    <row r="549" spans="22:50" x14ac:dyDescent="0.25">
      <c r="V549" s="17">
        <v>543</v>
      </c>
      <c r="W549" s="6">
        <v>1.3045199999999999</v>
      </c>
      <c r="X549" s="19">
        <v>-5.7419000000000002</v>
      </c>
      <c r="Y549" s="6">
        <v>1.2577</v>
      </c>
      <c r="Z549" s="6">
        <v>648</v>
      </c>
      <c r="AN549" s="17">
        <v>543</v>
      </c>
      <c r="AO549" s="6">
        <v>2.7901500000000001</v>
      </c>
      <c r="AP549" s="19">
        <v>-5.8883999999999999</v>
      </c>
      <c r="AQ549" s="6">
        <v>2.6880999999999999</v>
      </c>
      <c r="AR549" s="6">
        <v>349</v>
      </c>
      <c r="AT549" s="17">
        <v>543</v>
      </c>
      <c r="AU549" s="6">
        <v>5.2868500000000003</v>
      </c>
      <c r="AV549" s="19">
        <v>-5.8883999999999999</v>
      </c>
      <c r="AW549" s="6">
        <v>2.6880999999999999</v>
      </c>
      <c r="AX549" s="6">
        <v>349</v>
      </c>
    </row>
    <row r="550" spans="22:50" x14ac:dyDescent="0.25">
      <c r="V550" s="17">
        <v>544</v>
      </c>
      <c r="W550" s="6">
        <v>1.26935</v>
      </c>
      <c r="X550" s="19">
        <v>-2.5421</v>
      </c>
      <c r="Y550" s="6">
        <v>1.2237</v>
      </c>
      <c r="Z550" s="6">
        <v>617</v>
      </c>
      <c r="AN550" s="17">
        <v>544</v>
      </c>
      <c r="AO550" s="6">
        <v>2.7754099999999999</v>
      </c>
      <c r="AP550" s="19">
        <v>-2.6823999999999999</v>
      </c>
      <c r="AQ550" s="6">
        <v>2.6738</v>
      </c>
      <c r="AR550" s="6">
        <v>343</v>
      </c>
      <c r="AT550" s="17">
        <v>544</v>
      </c>
      <c r="AU550" s="6">
        <v>5.2591099999999997</v>
      </c>
      <c r="AV550" s="19">
        <v>-2.6823999999999999</v>
      </c>
      <c r="AW550" s="6">
        <v>2.6738</v>
      </c>
      <c r="AX550" s="6">
        <v>343</v>
      </c>
    </row>
    <row r="551" spans="22:50" x14ac:dyDescent="0.25">
      <c r="V551" s="17">
        <v>545</v>
      </c>
      <c r="W551" s="6">
        <v>1.2761199999999999</v>
      </c>
      <c r="X551" s="6">
        <v>1.4917</v>
      </c>
      <c r="Y551" s="6">
        <v>1.2302</v>
      </c>
      <c r="Z551" s="6">
        <v>625</v>
      </c>
      <c r="AN551" s="17">
        <v>545</v>
      </c>
      <c r="AO551" s="6">
        <v>2.7788900000000001</v>
      </c>
      <c r="AP551" s="6">
        <v>1.4618</v>
      </c>
      <c r="AQ551" s="6">
        <v>2.6772</v>
      </c>
      <c r="AR551" s="6">
        <v>345</v>
      </c>
      <c r="AT551" s="17">
        <v>545</v>
      </c>
      <c r="AU551" s="6">
        <v>5.2656599999999996</v>
      </c>
      <c r="AV551" s="6">
        <v>1.4618</v>
      </c>
      <c r="AW551" s="6">
        <v>2.6772</v>
      </c>
      <c r="AX551" s="6">
        <v>345</v>
      </c>
    </row>
    <row r="552" spans="22:50" x14ac:dyDescent="0.25">
      <c r="V552" s="17">
        <v>546</v>
      </c>
      <c r="W552" s="6">
        <v>1.30416</v>
      </c>
      <c r="X552" s="19">
        <v>-0.59470000000000001</v>
      </c>
      <c r="Y552" s="6">
        <v>1.2573000000000001</v>
      </c>
      <c r="Z552" s="6">
        <v>630</v>
      </c>
      <c r="AN552" s="17">
        <v>546</v>
      </c>
      <c r="AO552" s="6">
        <v>2.7898999999999998</v>
      </c>
      <c r="AP552" s="19">
        <v>-0.63949999999999996</v>
      </c>
      <c r="AQ552" s="6">
        <v>2.6878000000000002</v>
      </c>
      <c r="AR552" s="6">
        <v>349</v>
      </c>
      <c r="AT552" s="17">
        <v>546</v>
      </c>
      <c r="AU552" s="6">
        <v>5.2863699999999998</v>
      </c>
      <c r="AV552" s="19">
        <v>-0.63949999999999996</v>
      </c>
      <c r="AW552" s="6">
        <v>2.6878000000000002</v>
      </c>
      <c r="AX552" s="6">
        <v>349</v>
      </c>
    </row>
    <row r="553" spans="22:50" x14ac:dyDescent="0.25">
      <c r="V553" s="17">
        <v>547</v>
      </c>
      <c r="W553" s="6">
        <v>1.30349</v>
      </c>
      <c r="X553" s="19">
        <v>-1.9614</v>
      </c>
      <c r="Y553" s="6">
        <v>1.2565999999999999</v>
      </c>
      <c r="Z553" s="6">
        <v>627</v>
      </c>
      <c r="AN553" s="17">
        <v>547</v>
      </c>
      <c r="AO553" s="6">
        <v>2.7895500000000002</v>
      </c>
      <c r="AP553" s="19">
        <v>-1.9936</v>
      </c>
      <c r="AQ553" s="6">
        <v>2.6875</v>
      </c>
      <c r="AR553" s="6">
        <v>349</v>
      </c>
      <c r="AT553" s="17">
        <v>547</v>
      </c>
      <c r="AU553" s="6">
        <v>5.2857200000000004</v>
      </c>
      <c r="AV553" s="19">
        <v>-1.9936</v>
      </c>
      <c r="AW553" s="6">
        <v>2.6875</v>
      </c>
      <c r="AX553" s="6">
        <v>349</v>
      </c>
    </row>
    <row r="554" spans="22:50" x14ac:dyDescent="0.25">
      <c r="V554" s="17">
        <v>548</v>
      </c>
      <c r="W554" s="6">
        <v>1.26597</v>
      </c>
      <c r="X554" s="19">
        <v>-0.9556</v>
      </c>
      <c r="Y554" s="6">
        <v>1.2203999999999999</v>
      </c>
      <c r="Z554" s="6">
        <v>618</v>
      </c>
      <c r="AN554" s="17">
        <v>548</v>
      </c>
      <c r="AO554" s="6">
        <v>2.77406</v>
      </c>
      <c r="AP554" s="19">
        <v>-0.96889999999999998</v>
      </c>
      <c r="AQ554" s="6">
        <v>2.6724999999999999</v>
      </c>
      <c r="AR554" s="6">
        <v>342</v>
      </c>
      <c r="AT554" s="17">
        <v>548</v>
      </c>
      <c r="AU554" s="6">
        <v>5.25657</v>
      </c>
      <c r="AV554" s="19">
        <v>-0.96889999999999998</v>
      </c>
      <c r="AW554" s="6">
        <v>2.6724999999999999</v>
      </c>
      <c r="AX554" s="6">
        <v>342</v>
      </c>
    </row>
    <row r="555" spans="22:50" x14ac:dyDescent="0.25">
      <c r="V555" s="17">
        <v>549</v>
      </c>
      <c r="W555" s="6">
        <v>1.3097399999999999</v>
      </c>
      <c r="X555" s="6">
        <v>3.0257999999999998</v>
      </c>
      <c r="Y555" s="6">
        <v>1.2626999999999999</v>
      </c>
      <c r="Z555" s="6">
        <v>637</v>
      </c>
      <c r="AN555" s="17">
        <v>549</v>
      </c>
      <c r="AO555" s="6">
        <v>2.7929599999999999</v>
      </c>
      <c r="AP555" s="6">
        <v>2.8915999999999999</v>
      </c>
      <c r="AQ555" s="6">
        <v>2.6907999999999999</v>
      </c>
      <c r="AR555" s="6">
        <v>351</v>
      </c>
      <c r="AT555" s="17">
        <v>549</v>
      </c>
      <c r="AU555" s="6">
        <v>5.2921199999999997</v>
      </c>
      <c r="AV555" s="6">
        <v>2.8915999999999999</v>
      </c>
      <c r="AW555" s="6">
        <v>2.6907999999999999</v>
      </c>
      <c r="AX555" s="6">
        <v>351</v>
      </c>
    </row>
    <row r="556" spans="22:50" x14ac:dyDescent="0.25">
      <c r="V556" s="17">
        <v>550</v>
      </c>
      <c r="W556" s="6">
        <v>1.3063499999999999</v>
      </c>
      <c r="X556" s="19">
        <v>-3.3424</v>
      </c>
      <c r="Y556" s="6">
        <v>1.2594000000000001</v>
      </c>
      <c r="Z556" s="6">
        <v>630</v>
      </c>
      <c r="AN556" s="17">
        <v>550</v>
      </c>
      <c r="AO556" s="6">
        <v>2.7914599999999998</v>
      </c>
      <c r="AP556" s="19">
        <v>-3.3462999999999998</v>
      </c>
      <c r="AQ556" s="6">
        <v>2.6892999999999998</v>
      </c>
      <c r="AR556" s="6">
        <v>350</v>
      </c>
      <c r="AT556" s="17">
        <v>550</v>
      </c>
      <c r="AU556" s="6">
        <v>5.2893100000000004</v>
      </c>
      <c r="AV556" s="19">
        <v>-3.3462999999999998</v>
      </c>
      <c r="AW556" s="6">
        <v>2.6892999999999998</v>
      </c>
      <c r="AX556" s="6">
        <v>350</v>
      </c>
    </row>
    <row r="557" spans="22:50" x14ac:dyDescent="0.25">
      <c r="V557" s="17">
        <v>551</v>
      </c>
      <c r="W557" s="6">
        <v>1.27258</v>
      </c>
      <c r="X557" s="19">
        <v>-2.6080999999999999</v>
      </c>
      <c r="Y557" s="6">
        <v>1.2267999999999999</v>
      </c>
      <c r="Z557" s="6">
        <v>628</v>
      </c>
      <c r="AN557" s="17">
        <v>551</v>
      </c>
      <c r="AO557" s="6">
        <v>2.77752</v>
      </c>
      <c r="AP557" s="19">
        <v>-2.7488999999999999</v>
      </c>
      <c r="AQ557" s="6">
        <v>2.6758000000000002</v>
      </c>
      <c r="AR557" s="6">
        <v>344</v>
      </c>
      <c r="AT557" s="17">
        <v>551</v>
      </c>
      <c r="AU557" s="6">
        <v>5.26309</v>
      </c>
      <c r="AV557" s="19">
        <v>-2.7488999999999999</v>
      </c>
      <c r="AW557" s="6">
        <v>2.6758000000000002</v>
      </c>
      <c r="AX557" s="6">
        <v>344</v>
      </c>
    </row>
    <row r="558" spans="22:50" x14ac:dyDescent="0.25">
      <c r="V558" s="17">
        <v>552</v>
      </c>
      <c r="W558" s="6">
        <v>1.27952</v>
      </c>
      <c r="X558" s="19">
        <v>-5.2629999999999999</v>
      </c>
      <c r="Y558" s="6">
        <v>1.2335</v>
      </c>
      <c r="Z558" s="6">
        <v>629</v>
      </c>
      <c r="AN558" s="17">
        <v>552</v>
      </c>
      <c r="AO558" s="6">
        <v>2.7797000000000001</v>
      </c>
      <c r="AP558" s="19">
        <v>-5.2359999999999998</v>
      </c>
      <c r="AQ558" s="6">
        <v>2.6779999999999999</v>
      </c>
      <c r="AR558" s="6">
        <v>345</v>
      </c>
      <c r="AT558" s="17">
        <v>552</v>
      </c>
      <c r="AU558" s="6">
        <v>5.2671900000000003</v>
      </c>
      <c r="AV558" s="19">
        <v>-5.2359999999999998</v>
      </c>
      <c r="AW558" s="6">
        <v>2.6779999999999999</v>
      </c>
      <c r="AX558" s="6">
        <v>345</v>
      </c>
    </row>
    <row r="559" spans="22:50" x14ac:dyDescent="0.25">
      <c r="V559" s="17">
        <v>553</v>
      </c>
      <c r="W559" s="6">
        <v>1.27138</v>
      </c>
      <c r="X559" s="19">
        <v>-4.9734999999999996</v>
      </c>
      <c r="Y559" s="6">
        <v>1.2257</v>
      </c>
      <c r="Z559" s="6">
        <v>639</v>
      </c>
      <c r="AN559" s="17">
        <v>553</v>
      </c>
      <c r="AO559" s="6">
        <v>2.7760500000000001</v>
      </c>
      <c r="AP559" s="19">
        <v>-4.9206000000000003</v>
      </c>
      <c r="AQ559" s="6">
        <v>2.6743999999999999</v>
      </c>
      <c r="AR559" s="6">
        <v>343</v>
      </c>
      <c r="AT559" s="17">
        <v>553</v>
      </c>
      <c r="AU559" s="6">
        <v>5.2603200000000001</v>
      </c>
      <c r="AV559" s="19">
        <v>-4.9206000000000003</v>
      </c>
      <c r="AW559" s="6">
        <v>2.6743999999999999</v>
      </c>
      <c r="AX559" s="6">
        <v>343</v>
      </c>
    </row>
    <row r="560" spans="22:50" x14ac:dyDescent="0.25">
      <c r="V560" s="17">
        <v>554</v>
      </c>
      <c r="W560" s="6">
        <v>1.26953</v>
      </c>
      <c r="X560" s="6">
        <v>9.6988000000000003</v>
      </c>
      <c r="Y560" s="6">
        <v>1.2239</v>
      </c>
      <c r="Z560" s="6">
        <v>637</v>
      </c>
      <c r="AN560" s="17">
        <v>554</v>
      </c>
      <c r="AO560" s="6">
        <v>2.7769300000000001</v>
      </c>
      <c r="AP560" s="6">
        <v>10.0862</v>
      </c>
      <c r="AQ560" s="6">
        <v>2.6753</v>
      </c>
      <c r="AR560" s="6">
        <v>344</v>
      </c>
      <c r="AT560" s="17">
        <v>554</v>
      </c>
      <c r="AU560" s="6">
        <v>5.2619600000000002</v>
      </c>
      <c r="AV560" s="6">
        <v>10.0862</v>
      </c>
      <c r="AW560" s="6">
        <v>2.6753</v>
      </c>
      <c r="AX560" s="6">
        <v>344</v>
      </c>
    </row>
    <row r="561" spans="22:50" x14ac:dyDescent="0.25">
      <c r="V561" s="17">
        <v>555</v>
      </c>
      <c r="W561" s="6">
        <v>1.28149</v>
      </c>
      <c r="X561" s="19">
        <v>-7.9824000000000002</v>
      </c>
      <c r="Y561" s="6">
        <v>1.2354000000000001</v>
      </c>
      <c r="Z561" s="6">
        <v>630</v>
      </c>
      <c r="AN561" s="17">
        <v>555</v>
      </c>
      <c r="AO561" s="6">
        <v>2.7801999999999998</v>
      </c>
      <c r="AP561" s="19">
        <v>-7.6360999999999999</v>
      </c>
      <c r="AQ561" s="6">
        <v>2.6783999999999999</v>
      </c>
      <c r="AR561" s="6">
        <v>345</v>
      </c>
      <c r="AT561" s="17">
        <v>555</v>
      </c>
      <c r="AU561" s="6">
        <v>5.2681199999999997</v>
      </c>
      <c r="AV561" s="19">
        <v>-7.6360999999999999</v>
      </c>
      <c r="AW561" s="6">
        <v>2.6783999999999999</v>
      </c>
      <c r="AX561" s="6">
        <v>345</v>
      </c>
    </row>
    <row r="562" spans="22:50" x14ac:dyDescent="0.25">
      <c r="V562" s="17">
        <v>556</v>
      </c>
      <c r="W562" s="6">
        <v>1.27237</v>
      </c>
      <c r="X562" s="19">
        <v>-4.0490000000000004</v>
      </c>
      <c r="Y562" s="6">
        <v>1.2266999999999999</v>
      </c>
      <c r="Z562" s="6">
        <v>645</v>
      </c>
      <c r="AN562" s="17">
        <v>556</v>
      </c>
      <c r="AO562" s="6">
        <v>2.7780399999999998</v>
      </c>
      <c r="AP562" s="19">
        <v>-3.8104</v>
      </c>
      <c r="AQ562" s="6">
        <v>2.6764000000000001</v>
      </c>
      <c r="AR562" s="6">
        <v>344</v>
      </c>
      <c r="AT562" s="17">
        <v>556</v>
      </c>
      <c r="AU562" s="6">
        <v>5.2640599999999997</v>
      </c>
      <c r="AV562" s="19">
        <v>-3.8104</v>
      </c>
      <c r="AW562" s="6">
        <v>2.6764000000000001</v>
      </c>
      <c r="AX562" s="6">
        <v>344</v>
      </c>
    </row>
    <row r="563" spans="22:50" x14ac:dyDescent="0.25">
      <c r="V563" s="17">
        <v>557</v>
      </c>
      <c r="W563" s="6">
        <v>1.2776400000000001</v>
      </c>
      <c r="X563" s="19">
        <v>-4.2706</v>
      </c>
      <c r="Y563" s="6">
        <v>1.2317</v>
      </c>
      <c r="Z563" s="6">
        <v>642</v>
      </c>
      <c r="AN563" s="17">
        <v>557</v>
      </c>
      <c r="AO563" s="6">
        <v>2.7793399999999999</v>
      </c>
      <c r="AP563" s="19">
        <v>-4.0096999999999996</v>
      </c>
      <c r="AQ563" s="6">
        <v>2.6776</v>
      </c>
      <c r="AR563" s="6">
        <v>345</v>
      </c>
      <c r="AT563" s="17">
        <v>557</v>
      </c>
      <c r="AU563" s="6">
        <v>5.2664999999999997</v>
      </c>
      <c r="AV563" s="19">
        <v>-4.0096999999999996</v>
      </c>
      <c r="AW563" s="6">
        <v>2.6776</v>
      </c>
      <c r="AX563" s="6">
        <v>345</v>
      </c>
    </row>
    <row r="564" spans="22:50" x14ac:dyDescent="0.25">
      <c r="V564" s="17">
        <v>558</v>
      </c>
      <c r="W564" s="6">
        <v>1.27705</v>
      </c>
      <c r="X564" s="19">
        <v>-8.99</v>
      </c>
      <c r="Y564" s="6">
        <v>1.2311000000000001</v>
      </c>
      <c r="Z564" s="6">
        <v>626</v>
      </c>
      <c r="AN564" s="17">
        <v>558</v>
      </c>
      <c r="AO564" s="6">
        <v>2.7784399999999998</v>
      </c>
      <c r="AP564" s="19">
        <v>-8.6616999999999997</v>
      </c>
      <c r="AQ564" s="6">
        <v>2.6766999999999999</v>
      </c>
      <c r="AR564" s="6">
        <v>344</v>
      </c>
      <c r="AT564" s="17">
        <v>558</v>
      </c>
      <c r="AU564" s="6">
        <v>5.2648200000000003</v>
      </c>
      <c r="AV564" s="19">
        <v>-8.6616999999999997</v>
      </c>
      <c r="AW564" s="6">
        <v>2.6766999999999999</v>
      </c>
      <c r="AX564" s="6">
        <v>344</v>
      </c>
    </row>
    <row r="565" spans="22:50" x14ac:dyDescent="0.25">
      <c r="V565" s="17">
        <v>559</v>
      </c>
      <c r="W565" s="6">
        <v>1.27722</v>
      </c>
      <c r="X565" s="19">
        <v>-8.0195000000000007</v>
      </c>
      <c r="Y565" s="6">
        <v>1.2313000000000001</v>
      </c>
      <c r="Z565" s="6">
        <v>633</v>
      </c>
      <c r="AN565" s="17">
        <v>559</v>
      </c>
      <c r="AO565" s="6">
        <v>2.7775699999999999</v>
      </c>
      <c r="AP565" s="19">
        <v>-7.5824999999999996</v>
      </c>
      <c r="AQ565" s="6">
        <v>2.6758999999999999</v>
      </c>
      <c r="AR565" s="6">
        <v>343</v>
      </c>
      <c r="AT565" s="17">
        <v>559</v>
      </c>
      <c r="AU565" s="6">
        <v>5.2632000000000003</v>
      </c>
      <c r="AV565" s="19">
        <v>-7.5824999999999996</v>
      </c>
      <c r="AW565" s="6">
        <v>2.6758999999999999</v>
      </c>
      <c r="AX565" s="6">
        <v>343</v>
      </c>
    </row>
    <row r="566" spans="22:50" x14ac:dyDescent="0.25">
      <c r="V566" s="17">
        <v>560</v>
      </c>
      <c r="W566" s="6">
        <v>1.2824599999999999</v>
      </c>
      <c r="X566" s="19">
        <v>-7.9199000000000002</v>
      </c>
      <c r="Y566" s="6">
        <v>1.2363999999999999</v>
      </c>
      <c r="Z566" s="6">
        <v>651</v>
      </c>
      <c r="AN566" s="17">
        <v>560</v>
      </c>
      <c r="AO566" s="6">
        <v>2.78226</v>
      </c>
      <c r="AP566" s="19">
        <v>-7.6279000000000003</v>
      </c>
      <c r="AQ566" s="6">
        <v>2.6804000000000001</v>
      </c>
      <c r="AR566" s="6">
        <v>346</v>
      </c>
      <c r="AT566" s="17">
        <v>560</v>
      </c>
      <c r="AU566" s="6">
        <v>5.2719800000000001</v>
      </c>
      <c r="AV566" s="19">
        <v>-7.6279000000000003</v>
      </c>
      <c r="AW566" s="6">
        <v>2.6804000000000001</v>
      </c>
      <c r="AX566" s="6">
        <v>346</v>
      </c>
    </row>
    <row r="567" spans="22:50" x14ac:dyDescent="0.25">
      <c r="V567" s="17">
        <v>561</v>
      </c>
      <c r="W567" s="6">
        <v>1.2989299999999999</v>
      </c>
      <c r="X567" s="19">
        <v>-9.3899000000000008</v>
      </c>
      <c r="Y567" s="6">
        <v>1.2523</v>
      </c>
      <c r="Z567" s="6">
        <v>652</v>
      </c>
      <c r="AN567" s="17">
        <v>561</v>
      </c>
      <c r="AO567" s="6">
        <v>2.7879200000000002</v>
      </c>
      <c r="AP567" s="19">
        <v>-9.1645000000000003</v>
      </c>
      <c r="AQ567" s="6">
        <v>2.6859000000000002</v>
      </c>
      <c r="AR567" s="6">
        <v>348</v>
      </c>
      <c r="AT567" s="17">
        <v>561</v>
      </c>
      <c r="AU567" s="6">
        <v>5.2826599999999999</v>
      </c>
      <c r="AV567" s="19">
        <v>-9.1645000000000003</v>
      </c>
      <c r="AW567" s="6">
        <v>2.6859000000000002</v>
      </c>
      <c r="AX567" s="6">
        <v>348</v>
      </c>
    </row>
    <row r="568" spans="22:50" x14ac:dyDescent="0.25">
      <c r="V568" s="17">
        <v>562</v>
      </c>
      <c r="W568" s="6">
        <v>1.2788299999999999</v>
      </c>
      <c r="X568" s="19">
        <v>-11.378</v>
      </c>
      <c r="Y568" s="6">
        <v>1.2329000000000001</v>
      </c>
      <c r="Z568" s="6">
        <v>636</v>
      </c>
      <c r="AN568" s="17">
        <v>562</v>
      </c>
      <c r="AO568" s="6">
        <v>2.78051</v>
      </c>
      <c r="AP568" s="19">
        <v>-11.2303</v>
      </c>
      <c r="AQ568" s="6">
        <v>2.6787000000000001</v>
      </c>
      <c r="AR568" s="6">
        <v>345</v>
      </c>
      <c r="AT568" s="17">
        <v>562</v>
      </c>
      <c r="AU568" s="6">
        <v>5.2686999999999999</v>
      </c>
      <c r="AV568" s="19">
        <v>-11.2303</v>
      </c>
      <c r="AW568" s="6">
        <v>2.6787000000000001</v>
      </c>
      <c r="AX568" s="6">
        <v>345</v>
      </c>
    </row>
    <row r="569" spans="22:50" x14ac:dyDescent="0.25">
      <c r="V569" s="17">
        <v>563</v>
      </c>
      <c r="W569" s="6">
        <v>1.2688900000000001</v>
      </c>
      <c r="X569" s="19">
        <v>-8.1782000000000004</v>
      </c>
      <c r="Y569" s="6">
        <v>1.2233000000000001</v>
      </c>
      <c r="Z569" s="6">
        <v>631</v>
      </c>
      <c r="AN569" s="17">
        <v>563</v>
      </c>
      <c r="AO569" s="6">
        <v>2.7749199999999998</v>
      </c>
      <c r="AP569" s="19">
        <v>-8.0242000000000004</v>
      </c>
      <c r="AQ569" s="6">
        <v>2.6732999999999998</v>
      </c>
      <c r="AR569" s="6">
        <v>342</v>
      </c>
      <c r="AT569" s="17">
        <v>563</v>
      </c>
      <c r="AU569" s="6">
        <v>5.2582000000000004</v>
      </c>
      <c r="AV569" s="19">
        <v>-8.0242000000000004</v>
      </c>
      <c r="AW569" s="6">
        <v>2.6732999999999998</v>
      </c>
      <c r="AX569" s="6">
        <v>342</v>
      </c>
    </row>
    <row r="570" spans="22:50" x14ac:dyDescent="0.25">
      <c r="V570" s="17">
        <v>564</v>
      </c>
      <c r="W570" s="6">
        <v>1.28914</v>
      </c>
      <c r="X570" s="19">
        <v>-4.1444000000000001</v>
      </c>
      <c r="Y570" s="6">
        <v>1.2427999999999999</v>
      </c>
      <c r="Z570" s="6">
        <v>652</v>
      </c>
      <c r="AN570" s="17">
        <v>564</v>
      </c>
      <c r="AO570" s="6">
        <v>2.7847400000000002</v>
      </c>
      <c r="AP570" s="19">
        <v>-3.8801000000000001</v>
      </c>
      <c r="AQ570" s="6">
        <v>2.6827999999999999</v>
      </c>
      <c r="AR570" s="6">
        <v>347</v>
      </c>
      <c r="AT570" s="17">
        <v>564</v>
      </c>
      <c r="AU570" s="6">
        <v>5.2766500000000001</v>
      </c>
      <c r="AV570" s="19">
        <v>-3.8801000000000001</v>
      </c>
      <c r="AW570" s="6">
        <v>2.6827999999999999</v>
      </c>
      <c r="AX570" s="6">
        <v>347</v>
      </c>
    </row>
    <row r="571" spans="22:50" x14ac:dyDescent="0.25">
      <c r="V571" s="17">
        <v>565</v>
      </c>
      <c r="W571" s="6">
        <v>1.29179</v>
      </c>
      <c r="X571" s="19">
        <v>-6.2308000000000003</v>
      </c>
      <c r="Y571" s="6">
        <v>1.2454000000000001</v>
      </c>
      <c r="Z571" s="6">
        <v>628</v>
      </c>
      <c r="AN571" s="17">
        <v>565</v>
      </c>
      <c r="AO571" s="6">
        <v>2.7841900000000002</v>
      </c>
      <c r="AP571" s="19">
        <v>-5.9813999999999998</v>
      </c>
      <c r="AQ571" s="6">
        <v>2.6823000000000001</v>
      </c>
      <c r="AR571" s="6">
        <v>346</v>
      </c>
      <c r="AT571" s="17">
        <v>565</v>
      </c>
      <c r="AU571" s="6">
        <v>5.2756400000000001</v>
      </c>
      <c r="AV571" s="19">
        <v>-5.9813999999999998</v>
      </c>
      <c r="AW571" s="6">
        <v>2.6823000000000001</v>
      </c>
      <c r="AX571" s="6">
        <v>346</v>
      </c>
    </row>
    <row r="572" spans="22:50" x14ac:dyDescent="0.25">
      <c r="V572" s="17">
        <v>566</v>
      </c>
      <c r="W572" s="6">
        <v>1.28532</v>
      </c>
      <c r="X572" s="19">
        <v>-7.5975000000000001</v>
      </c>
      <c r="Y572" s="6">
        <v>1.2391000000000001</v>
      </c>
      <c r="Z572" s="6">
        <v>638</v>
      </c>
      <c r="AN572" s="17">
        <v>566</v>
      </c>
      <c r="AO572" s="6">
        <v>2.7831999999999999</v>
      </c>
      <c r="AP572" s="19">
        <v>-7.3353999999999999</v>
      </c>
      <c r="AQ572" s="6">
        <v>2.6812999999999998</v>
      </c>
      <c r="AR572" s="6">
        <v>347</v>
      </c>
      <c r="AT572" s="17">
        <v>566</v>
      </c>
      <c r="AU572" s="6">
        <v>5.2737600000000002</v>
      </c>
      <c r="AV572" s="19">
        <v>-7.3353999999999999</v>
      </c>
      <c r="AW572" s="6">
        <v>2.6812999999999998</v>
      </c>
      <c r="AX572" s="6">
        <v>347</v>
      </c>
    </row>
    <row r="573" spans="22:50" x14ac:dyDescent="0.25">
      <c r="V573" s="17">
        <v>567</v>
      </c>
      <c r="W573" s="6">
        <v>1.2822100000000001</v>
      </c>
      <c r="X573" s="19">
        <v>-6.5917000000000003</v>
      </c>
      <c r="Y573" s="6">
        <v>1.2362</v>
      </c>
      <c r="Z573" s="6">
        <v>649</v>
      </c>
      <c r="AN573" s="17">
        <v>567</v>
      </c>
      <c r="AO573" s="6">
        <v>2.7809900000000001</v>
      </c>
      <c r="AP573" s="19">
        <v>-6.3106999999999998</v>
      </c>
      <c r="AQ573" s="6">
        <v>2.6791999999999998</v>
      </c>
      <c r="AR573" s="6">
        <v>345</v>
      </c>
      <c r="AT573" s="17">
        <v>567</v>
      </c>
      <c r="AU573" s="6">
        <v>5.2696100000000001</v>
      </c>
      <c r="AV573" s="19">
        <v>-6.3106999999999998</v>
      </c>
      <c r="AW573" s="6">
        <v>2.6791999999999998</v>
      </c>
      <c r="AX573" s="6">
        <v>345</v>
      </c>
    </row>
    <row r="574" spans="22:50" x14ac:dyDescent="0.25">
      <c r="V574" s="17">
        <v>568</v>
      </c>
      <c r="W574" s="6">
        <v>1.2878400000000001</v>
      </c>
      <c r="X574" s="19">
        <v>-2.6103000000000001</v>
      </c>
      <c r="Y574" s="6">
        <v>1.2416</v>
      </c>
      <c r="Z574" s="6">
        <v>635</v>
      </c>
      <c r="AN574" s="17">
        <v>568</v>
      </c>
      <c r="AO574" s="6">
        <v>2.7847400000000002</v>
      </c>
      <c r="AP574" s="19">
        <v>-2.4502000000000002</v>
      </c>
      <c r="AQ574" s="6">
        <v>2.6827999999999999</v>
      </c>
      <c r="AR574" s="6">
        <v>348</v>
      </c>
      <c r="AT574" s="17">
        <v>568</v>
      </c>
      <c r="AU574" s="6">
        <v>5.2766400000000004</v>
      </c>
      <c r="AV574" s="19">
        <v>-2.4502000000000002</v>
      </c>
      <c r="AW574" s="6">
        <v>2.6827999999999999</v>
      </c>
      <c r="AX574" s="6">
        <v>348</v>
      </c>
    </row>
    <row r="575" spans="22:50" x14ac:dyDescent="0.25">
      <c r="V575" s="17">
        <v>569</v>
      </c>
      <c r="W575" s="6">
        <v>1.29243</v>
      </c>
      <c r="X575" s="19">
        <v>-8.9785000000000004</v>
      </c>
      <c r="Y575" s="6">
        <v>1.246</v>
      </c>
      <c r="Z575" s="6">
        <v>618</v>
      </c>
      <c r="AN575" s="17">
        <v>569</v>
      </c>
      <c r="AO575" s="6">
        <v>2.7852899999999998</v>
      </c>
      <c r="AP575" s="19">
        <v>-8.6882000000000001</v>
      </c>
      <c r="AQ575" s="6">
        <v>2.6833999999999998</v>
      </c>
      <c r="AR575" s="6">
        <v>347</v>
      </c>
      <c r="AT575" s="17">
        <v>569</v>
      </c>
      <c r="AU575" s="6">
        <v>5.2777000000000003</v>
      </c>
      <c r="AV575" s="19">
        <v>-8.6882000000000001</v>
      </c>
      <c r="AW575" s="6">
        <v>2.6833999999999998</v>
      </c>
      <c r="AX575" s="6">
        <v>347</v>
      </c>
    </row>
    <row r="576" spans="22:50" x14ac:dyDescent="0.25">
      <c r="V576" s="17">
        <v>570</v>
      </c>
      <c r="W576" s="6">
        <v>1.2719100000000001</v>
      </c>
      <c r="X576" s="19">
        <v>-8.2443000000000008</v>
      </c>
      <c r="Y576" s="6">
        <v>1.2262</v>
      </c>
      <c r="Z576" s="6">
        <v>630</v>
      </c>
      <c r="AN576" s="17">
        <v>570</v>
      </c>
      <c r="AO576" s="6">
        <v>2.7775400000000001</v>
      </c>
      <c r="AP576" s="19">
        <v>-8.0907</v>
      </c>
      <c r="AQ576" s="6">
        <v>2.6758999999999999</v>
      </c>
      <c r="AR576" s="6">
        <v>344</v>
      </c>
      <c r="AT576" s="17">
        <v>570</v>
      </c>
      <c r="AU576" s="6">
        <v>5.2631100000000002</v>
      </c>
      <c r="AV576" s="19">
        <v>-8.0907</v>
      </c>
      <c r="AW576" s="6">
        <v>2.6758999999999999</v>
      </c>
      <c r="AX576" s="6">
        <v>344</v>
      </c>
    </row>
    <row r="577" spans="22:50" x14ac:dyDescent="0.25">
      <c r="V577" s="17">
        <v>571</v>
      </c>
      <c r="W577" s="6">
        <v>1.2813099999999999</v>
      </c>
      <c r="X577" s="6">
        <v>0.28949999999999998</v>
      </c>
      <c r="Y577" s="6">
        <v>1.2352000000000001</v>
      </c>
      <c r="Z577" s="6">
        <v>626</v>
      </c>
      <c r="AN577" s="17">
        <v>571</v>
      </c>
      <c r="AO577" s="6">
        <v>2.7812600000000001</v>
      </c>
      <c r="AP577" s="6">
        <v>0.31540000000000001</v>
      </c>
      <c r="AQ577" s="6">
        <v>2.6795</v>
      </c>
      <c r="AR577" s="6">
        <v>346</v>
      </c>
      <c r="AT577" s="17">
        <v>571</v>
      </c>
      <c r="AU577" s="6">
        <v>5.2701200000000004</v>
      </c>
      <c r="AV577" s="6">
        <v>0.31540000000000001</v>
      </c>
      <c r="AW577" s="6">
        <v>2.6795</v>
      </c>
      <c r="AX577" s="6">
        <v>346</v>
      </c>
    </row>
    <row r="578" spans="22:50" x14ac:dyDescent="0.25">
      <c r="V578" s="17">
        <v>572</v>
      </c>
      <c r="W578" s="6">
        <v>1.2829900000000001</v>
      </c>
      <c r="X578" s="6">
        <v>14.9618</v>
      </c>
      <c r="Y578" s="6">
        <v>1.2369000000000001</v>
      </c>
      <c r="Z578" s="6">
        <v>633</v>
      </c>
      <c r="AN578" s="17">
        <v>572</v>
      </c>
      <c r="AO578" s="6">
        <v>2.78132</v>
      </c>
      <c r="AP578" s="6">
        <v>15.3222</v>
      </c>
      <c r="AQ578" s="6">
        <v>2.6795</v>
      </c>
      <c r="AR578" s="6">
        <v>345</v>
      </c>
      <c r="AT578" s="17">
        <v>572</v>
      </c>
      <c r="AU578" s="6">
        <v>5.2702400000000003</v>
      </c>
      <c r="AV578" s="6">
        <v>15.3222</v>
      </c>
      <c r="AW578" s="6">
        <v>2.6795</v>
      </c>
      <c r="AX578" s="6">
        <v>345</v>
      </c>
    </row>
    <row r="579" spans="22:50" x14ac:dyDescent="0.25">
      <c r="V579" s="17">
        <v>573</v>
      </c>
      <c r="W579" s="6">
        <v>1.2909600000000001</v>
      </c>
      <c r="X579" s="19">
        <v>-2.7195</v>
      </c>
      <c r="Y579" s="6">
        <v>1.2444999999999999</v>
      </c>
      <c r="Z579" s="6">
        <v>623</v>
      </c>
      <c r="AN579" s="17">
        <v>573</v>
      </c>
      <c r="AO579" s="6">
        <v>2.7836699999999999</v>
      </c>
      <c r="AP579" s="19">
        <v>-2.4001000000000001</v>
      </c>
      <c r="AQ579" s="6">
        <v>2.6818</v>
      </c>
      <c r="AR579" s="6">
        <v>346</v>
      </c>
      <c r="AT579" s="17">
        <v>573</v>
      </c>
      <c r="AU579" s="6">
        <v>5.2746700000000004</v>
      </c>
      <c r="AV579" s="19">
        <v>-2.4001000000000001</v>
      </c>
      <c r="AW579" s="6">
        <v>2.6818</v>
      </c>
      <c r="AX579" s="6">
        <v>346</v>
      </c>
    </row>
    <row r="580" spans="22:50" x14ac:dyDescent="0.25">
      <c r="V580" s="17">
        <v>574</v>
      </c>
      <c r="W580" s="6">
        <v>1.2583899999999999</v>
      </c>
      <c r="X580" s="6">
        <v>1.2139</v>
      </c>
      <c r="Y580" s="6">
        <v>1.2131000000000001</v>
      </c>
      <c r="Z580" s="6">
        <v>608</v>
      </c>
      <c r="AN580" s="17">
        <v>574</v>
      </c>
      <c r="AO580" s="6">
        <v>2.7715100000000001</v>
      </c>
      <c r="AP580" s="6">
        <v>1.4257</v>
      </c>
      <c r="AQ580" s="6">
        <v>2.67</v>
      </c>
      <c r="AR580" s="6">
        <v>341</v>
      </c>
      <c r="AT580" s="17">
        <v>574</v>
      </c>
      <c r="AU580" s="6">
        <v>5.2517699999999996</v>
      </c>
      <c r="AV580" s="6">
        <v>1.4257</v>
      </c>
      <c r="AW580" s="6">
        <v>2.67</v>
      </c>
      <c r="AX580" s="6">
        <v>341</v>
      </c>
    </row>
    <row r="581" spans="22:50" x14ac:dyDescent="0.25">
      <c r="V581" s="17">
        <v>575</v>
      </c>
      <c r="W581" s="6">
        <v>1.2781499999999999</v>
      </c>
      <c r="X581" s="6">
        <v>0.99239999999999995</v>
      </c>
      <c r="Y581" s="6">
        <v>1.2322</v>
      </c>
      <c r="Z581" s="6">
        <v>625</v>
      </c>
      <c r="AN581" s="17">
        <v>575</v>
      </c>
      <c r="AO581" s="6">
        <v>2.78016</v>
      </c>
      <c r="AP581" s="6">
        <v>1.2262999999999999</v>
      </c>
      <c r="AQ581" s="6">
        <v>2.6783999999999999</v>
      </c>
      <c r="AR581" s="6">
        <v>345</v>
      </c>
      <c r="AT581" s="17">
        <v>575</v>
      </c>
      <c r="AU581" s="6">
        <v>5.2680300000000004</v>
      </c>
      <c r="AV581" s="6">
        <v>1.2262999999999999</v>
      </c>
      <c r="AW581" s="6">
        <v>2.6783999999999999</v>
      </c>
      <c r="AX581" s="6">
        <v>345</v>
      </c>
    </row>
    <row r="582" spans="22:50" x14ac:dyDescent="0.25">
      <c r="V582" s="17">
        <v>576</v>
      </c>
      <c r="W582" s="6">
        <v>1.3063</v>
      </c>
      <c r="X582" s="19">
        <v>-3.7271000000000001</v>
      </c>
      <c r="Y582" s="6">
        <v>1.2593000000000001</v>
      </c>
      <c r="Z582" s="6">
        <v>628</v>
      </c>
      <c r="AN582" s="17">
        <v>576</v>
      </c>
      <c r="AO582" s="6">
        <v>2.78992</v>
      </c>
      <c r="AP582" s="19">
        <v>-3.4257</v>
      </c>
      <c r="AQ582" s="6">
        <v>2.6878000000000002</v>
      </c>
      <c r="AR582" s="6">
        <v>349</v>
      </c>
      <c r="AT582" s="17">
        <v>576</v>
      </c>
      <c r="AU582" s="6">
        <v>5.2864300000000002</v>
      </c>
      <c r="AV582" s="19">
        <v>-3.4257</v>
      </c>
      <c r="AW582" s="6">
        <v>2.6878000000000002</v>
      </c>
      <c r="AX582" s="6">
        <v>349</v>
      </c>
    </row>
    <row r="583" spans="22:50" x14ac:dyDescent="0.25">
      <c r="V583" s="17">
        <v>577</v>
      </c>
      <c r="W583" s="6">
        <v>1.27332</v>
      </c>
      <c r="X583" s="19">
        <v>-2.7565</v>
      </c>
      <c r="Y583" s="6">
        <v>1.2275</v>
      </c>
      <c r="Z583" s="6">
        <v>613</v>
      </c>
      <c r="AN583" s="17">
        <v>577</v>
      </c>
      <c r="AO583" s="6">
        <v>2.7768099999999998</v>
      </c>
      <c r="AP583" s="19">
        <v>-2.3464999999999998</v>
      </c>
      <c r="AQ583" s="6">
        <v>2.6751999999999998</v>
      </c>
      <c r="AR583" s="6">
        <v>343</v>
      </c>
      <c r="AT583" s="17">
        <v>577</v>
      </c>
      <c r="AU583" s="6">
        <v>5.2617599999999998</v>
      </c>
      <c r="AV583" s="19">
        <v>-2.3464999999999998</v>
      </c>
      <c r="AW583" s="6">
        <v>2.6751999999999998</v>
      </c>
      <c r="AX583" s="6">
        <v>343</v>
      </c>
    </row>
    <row r="584" spans="22:50" x14ac:dyDescent="0.25">
      <c r="V584" s="17">
        <v>578</v>
      </c>
      <c r="W584" s="6">
        <v>1.284</v>
      </c>
      <c r="X584" s="19">
        <v>-2.657</v>
      </c>
      <c r="Y584" s="6">
        <v>1.2378</v>
      </c>
      <c r="Z584" s="6">
        <v>624</v>
      </c>
      <c r="AN584" s="17">
        <v>578</v>
      </c>
      <c r="AO584" s="6">
        <v>2.7814199999999998</v>
      </c>
      <c r="AP584" s="19">
        <v>-2.3919000000000001</v>
      </c>
      <c r="AQ584" s="6">
        <v>2.6796000000000002</v>
      </c>
      <c r="AR584" s="6">
        <v>345</v>
      </c>
      <c r="AT584" s="17">
        <v>578</v>
      </c>
      <c r="AU584" s="6">
        <v>5.2704199999999997</v>
      </c>
      <c r="AV584" s="19">
        <v>-2.3919000000000001</v>
      </c>
      <c r="AW584" s="6">
        <v>2.6796000000000002</v>
      </c>
      <c r="AX584" s="6">
        <v>345</v>
      </c>
    </row>
    <row r="585" spans="22:50" x14ac:dyDescent="0.25">
      <c r="V585" s="17">
        <v>579</v>
      </c>
      <c r="W585" s="6">
        <v>1.2906599999999999</v>
      </c>
      <c r="X585" s="19">
        <v>-4.1269</v>
      </c>
      <c r="Y585" s="6">
        <v>1.2442</v>
      </c>
      <c r="Z585" s="6">
        <v>613</v>
      </c>
      <c r="AN585" s="17">
        <v>579</v>
      </c>
      <c r="AO585" s="6">
        <v>2.7835200000000002</v>
      </c>
      <c r="AP585" s="19">
        <v>-3.9285000000000001</v>
      </c>
      <c r="AQ585" s="6">
        <v>2.6816</v>
      </c>
      <c r="AR585" s="6">
        <v>346</v>
      </c>
      <c r="AT585" s="17">
        <v>579</v>
      </c>
      <c r="AU585" s="6">
        <v>5.2743799999999998</v>
      </c>
      <c r="AV585" s="19">
        <v>-3.9285000000000001</v>
      </c>
      <c r="AW585" s="6">
        <v>2.6816</v>
      </c>
      <c r="AX585" s="6">
        <v>346</v>
      </c>
    </row>
    <row r="586" spans="22:50" x14ac:dyDescent="0.25">
      <c r="V586" s="17">
        <v>580</v>
      </c>
      <c r="W586" s="6">
        <v>1.2674700000000001</v>
      </c>
      <c r="X586" s="19">
        <v>-6.1151</v>
      </c>
      <c r="Y586" s="6">
        <v>1.2219</v>
      </c>
      <c r="Z586" s="6">
        <v>617</v>
      </c>
      <c r="AN586" s="17">
        <v>580</v>
      </c>
      <c r="AO586" s="6">
        <v>2.7747000000000002</v>
      </c>
      <c r="AP586" s="19">
        <v>-5.9942000000000002</v>
      </c>
      <c r="AQ586" s="6">
        <v>2.6730999999999998</v>
      </c>
      <c r="AR586" s="6">
        <v>342</v>
      </c>
      <c r="AT586" s="17">
        <v>580</v>
      </c>
      <c r="AU586" s="6">
        <v>5.2577800000000003</v>
      </c>
      <c r="AV586" s="19">
        <v>-5.9942000000000002</v>
      </c>
      <c r="AW586" s="6">
        <v>2.6730999999999998</v>
      </c>
      <c r="AX586" s="6">
        <v>342</v>
      </c>
    </row>
    <row r="587" spans="22:50" x14ac:dyDescent="0.25">
      <c r="V587" s="17">
        <v>581</v>
      </c>
      <c r="W587" s="6">
        <v>1.2472799999999999</v>
      </c>
      <c r="X587" s="19">
        <v>-2.9152999999999998</v>
      </c>
      <c r="Y587" s="6">
        <v>1.2023999999999999</v>
      </c>
      <c r="Z587" s="6">
        <v>584</v>
      </c>
      <c r="AN587" s="17">
        <v>581</v>
      </c>
      <c r="AO587" s="6">
        <v>2.7656200000000002</v>
      </c>
      <c r="AP587" s="19">
        <v>-2.7881999999999998</v>
      </c>
      <c r="AQ587" s="6">
        <v>2.6642999999999999</v>
      </c>
      <c r="AR587" s="6">
        <v>338</v>
      </c>
      <c r="AT587" s="17">
        <v>581</v>
      </c>
      <c r="AU587" s="6">
        <v>5.2407199999999996</v>
      </c>
      <c r="AV587" s="19">
        <v>-2.7881999999999998</v>
      </c>
      <c r="AW587" s="6">
        <v>2.6642999999999999</v>
      </c>
      <c r="AX587" s="6">
        <v>338</v>
      </c>
    </row>
    <row r="588" spans="22:50" x14ac:dyDescent="0.25">
      <c r="V588" s="17">
        <v>582</v>
      </c>
      <c r="W588" s="6">
        <v>1.26597</v>
      </c>
      <c r="X588" s="6">
        <v>1.1186</v>
      </c>
      <c r="Y588" s="6">
        <v>1.2203999999999999</v>
      </c>
      <c r="Z588" s="6">
        <v>620</v>
      </c>
      <c r="AN588" s="17">
        <v>582</v>
      </c>
      <c r="AO588" s="6">
        <v>2.7747600000000001</v>
      </c>
      <c r="AP588" s="6">
        <v>1.3559000000000001</v>
      </c>
      <c r="AQ588" s="6">
        <v>2.6732</v>
      </c>
      <c r="AR588" s="6">
        <v>343</v>
      </c>
      <c r="AT588" s="17">
        <v>582</v>
      </c>
      <c r="AU588" s="6">
        <v>5.2578800000000001</v>
      </c>
      <c r="AV588" s="6">
        <v>1.3559000000000001</v>
      </c>
      <c r="AW588" s="6">
        <v>2.6732</v>
      </c>
      <c r="AX588" s="6">
        <v>343</v>
      </c>
    </row>
    <row r="589" spans="22:50" x14ac:dyDescent="0.25">
      <c r="V589" s="17">
        <v>583</v>
      </c>
      <c r="W589" s="6">
        <v>1.2804199999999999</v>
      </c>
      <c r="X589" s="19">
        <v>-0.96779999999999999</v>
      </c>
      <c r="Y589" s="6">
        <v>1.2343999999999999</v>
      </c>
      <c r="Z589" s="6">
        <v>606</v>
      </c>
      <c r="AN589" s="17">
        <v>583</v>
      </c>
      <c r="AO589" s="6">
        <v>2.78016</v>
      </c>
      <c r="AP589" s="19">
        <v>-0.74539999999999995</v>
      </c>
      <c r="AQ589" s="6">
        <v>2.6783999999999999</v>
      </c>
      <c r="AR589" s="6">
        <v>345</v>
      </c>
      <c r="AT589" s="17">
        <v>583</v>
      </c>
      <c r="AU589" s="6">
        <v>5.2680499999999997</v>
      </c>
      <c r="AV589" s="19">
        <v>-0.74539999999999995</v>
      </c>
      <c r="AW589" s="6">
        <v>2.6783999999999999</v>
      </c>
      <c r="AX589" s="6">
        <v>345</v>
      </c>
    </row>
    <row r="590" spans="22:50" x14ac:dyDescent="0.25">
      <c r="V590" s="17">
        <v>584</v>
      </c>
      <c r="W590" s="6">
        <v>1.27626</v>
      </c>
      <c r="X590" s="19">
        <v>-2.3346</v>
      </c>
      <c r="Y590" s="6">
        <v>1.2302999999999999</v>
      </c>
      <c r="Z590" s="6">
        <v>597</v>
      </c>
      <c r="AN590" s="17">
        <v>584</v>
      </c>
      <c r="AO590" s="6">
        <v>2.7770100000000002</v>
      </c>
      <c r="AP590" s="19">
        <v>-2.0994000000000002</v>
      </c>
      <c r="AQ590" s="6">
        <v>2.6753</v>
      </c>
      <c r="AR590" s="6">
        <v>343</v>
      </c>
      <c r="AT590" s="17">
        <v>584</v>
      </c>
      <c r="AU590" s="6">
        <v>5.2621500000000001</v>
      </c>
      <c r="AV590" s="19">
        <v>-2.0994000000000002</v>
      </c>
      <c r="AW590" s="6">
        <v>2.6753</v>
      </c>
      <c r="AX590" s="6">
        <v>343</v>
      </c>
    </row>
    <row r="591" spans="22:50" x14ac:dyDescent="0.25">
      <c r="V591" s="17">
        <v>585</v>
      </c>
      <c r="W591" s="6">
        <v>1.27352</v>
      </c>
      <c r="X591" s="19">
        <v>-1.3287</v>
      </c>
      <c r="Y591" s="6">
        <v>1.2277</v>
      </c>
      <c r="Z591" s="6">
        <v>617</v>
      </c>
      <c r="AN591" s="17">
        <v>585</v>
      </c>
      <c r="AO591" s="6">
        <v>2.7770000000000001</v>
      </c>
      <c r="AP591" s="19">
        <v>-1.0747</v>
      </c>
      <c r="AQ591" s="6">
        <v>2.6753</v>
      </c>
      <c r="AR591" s="6">
        <v>343</v>
      </c>
      <c r="AT591" s="17">
        <v>585</v>
      </c>
      <c r="AU591" s="6">
        <v>5.2621099999999998</v>
      </c>
      <c r="AV591" s="19">
        <v>-1.0747</v>
      </c>
      <c r="AW591" s="6">
        <v>2.6753</v>
      </c>
      <c r="AX591" s="6">
        <v>343</v>
      </c>
    </row>
    <row r="592" spans="22:50" x14ac:dyDescent="0.25">
      <c r="V592" s="17">
        <v>586</v>
      </c>
      <c r="W592" s="6">
        <v>1.2967500000000001</v>
      </c>
      <c r="X592" s="6">
        <v>2.6526999999999998</v>
      </c>
      <c r="Y592" s="6">
        <v>1.2501</v>
      </c>
      <c r="Z592" s="6">
        <v>625</v>
      </c>
      <c r="AN592" s="17">
        <v>586</v>
      </c>
      <c r="AO592" s="6">
        <v>2.7866200000000001</v>
      </c>
      <c r="AP592" s="6">
        <v>2.7858000000000001</v>
      </c>
      <c r="AQ592" s="6">
        <v>2.6846999999999999</v>
      </c>
      <c r="AR592" s="6">
        <v>348</v>
      </c>
      <c r="AT592" s="17">
        <v>586</v>
      </c>
      <c r="AU592" s="6">
        <v>5.2802100000000003</v>
      </c>
      <c r="AV592" s="6">
        <v>2.7858000000000001</v>
      </c>
      <c r="AW592" s="6">
        <v>2.6846999999999999</v>
      </c>
      <c r="AX592" s="6">
        <v>348</v>
      </c>
    </row>
    <row r="593" spans="22:50" x14ac:dyDescent="0.25">
      <c r="V593" s="17">
        <v>587</v>
      </c>
      <c r="W593" s="6">
        <v>1.29271</v>
      </c>
      <c r="X593" s="19">
        <v>-3.7155</v>
      </c>
      <c r="Y593" s="6">
        <v>1.2462</v>
      </c>
      <c r="Z593" s="6">
        <v>606</v>
      </c>
      <c r="AN593" s="17">
        <v>587</v>
      </c>
      <c r="AO593" s="6">
        <v>2.7849499999999998</v>
      </c>
      <c r="AP593" s="19">
        <v>-3.4521000000000002</v>
      </c>
      <c r="AQ593" s="6">
        <v>2.6829999999999998</v>
      </c>
      <c r="AR593" s="6">
        <v>347</v>
      </c>
      <c r="AT593" s="17">
        <v>587</v>
      </c>
      <c r="AU593" s="6">
        <v>5.2770599999999996</v>
      </c>
      <c r="AV593" s="19">
        <v>-3.4521000000000002</v>
      </c>
      <c r="AW593" s="6">
        <v>2.6829999999999998</v>
      </c>
      <c r="AX593" s="6">
        <v>347</v>
      </c>
    </row>
    <row r="594" spans="22:50" x14ac:dyDescent="0.25">
      <c r="V594" s="17">
        <v>588</v>
      </c>
      <c r="W594" s="6">
        <v>1.2553700000000001</v>
      </c>
      <c r="X594" s="19">
        <v>-2.9813000000000001</v>
      </c>
      <c r="Y594" s="6">
        <v>1.2101999999999999</v>
      </c>
      <c r="Z594" s="6">
        <v>588</v>
      </c>
      <c r="AN594" s="17">
        <v>588</v>
      </c>
      <c r="AO594" s="6">
        <v>2.7691599999999998</v>
      </c>
      <c r="AP594" s="19">
        <v>-2.8546999999999998</v>
      </c>
      <c r="AQ594" s="6">
        <v>2.6677</v>
      </c>
      <c r="AR594" s="6">
        <v>340</v>
      </c>
      <c r="AT594" s="17">
        <v>588</v>
      </c>
      <c r="AU594" s="6">
        <v>5.2473599999999996</v>
      </c>
      <c r="AV594" s="19">
        <v>-2.8546999999999998</v>
      </c>
      <c r="AW594" s="6">
        <v>2.6677</v>
      </c>
      <c r="AX594" s="6">
        <v>340</v>
      </c>
    </row>
    <row r="595" spans="22:50" x14ac:dyDescent="0.25">
      <c r="V595" s="17">
        <v>589</v>
      </c>
      <c r="W595" s="6">
        <v>1.2813099999999999</v>
      </c>
      <c r="X595" s="6">
        <v>14.6723</v>
      </c>
      <c r="Y595" s="6">
        <v>1.2353000000000001</v>
      </c>
      <c r="Z595" s="6">
        <v>652</v>
      </c>
      <c r="AN595" s="17">
        <v>589</v>
      </c>
      <c r="AO595" s="6">
        <v>2.78125</v>
      </c>
      <c r="AP595" s="6">
        <v>15.0068</v>
      </c>
      <c r="AQ595" s="6">
        <v>2.6793999999999998</v>
      </c>
      <c r="AR595" s="6">
        <v>345</v>
      </c>
      <c r="AT595" s="17">
        <v>589</v>
      </c>
      <c r="AU595" s="6">
        <v>5.2700899999999997</v>
      </c>
      <c r="AV595" s="6">
        <v>15.0068</v>
      </c>
      <c r="AW595" s="6">
        <v>2.6793999999999998</v>
      </c>
      <c r="AX595" s="6">
        <v>345</v>
      </c>
    </row>
    <row r="596" spans="22:50" x14ac:dyDescent="0.25">
      <c r="V596" s="17">
        <v>590</v>
      </c>
      <c r="W596" s="6">
        <v>1.30572</v>
      </c>
      <c r="X596" s="19">
        <v>-3.0089999999999999</v>
      </c>
      <c r="Y596" s="6">
        <v>1.2587999999999999</v>
      </c>
      <c r="Z596" s="6">
        <v>640</v>
      </c>
      <c r="AN596" s="17">
        <v>590</v>
      </c>
      <c r="AO596" s="6">
        <v>2.7907799999999998</v>
      </c>
      <c r="AP596" s="19">
        <v>-2.7155</v>
      </c>
      <c r="AQ596" s="6">
        <v>2.6886999999999999</v>
      </c>
      <c r="AR596" s="6">
        <v>349</v>
      </c>
      <c r="AT596" s="17">
        <v>590</v>
      </c>
      <c r="AU596" s="6">
        <v>5.28803</v>
      </c>
      <c r="AV596" s="19">
        <v>-2.7155</v>
      </c>
      <c r="AW596" s="6">
        <v>2.6886999999999999</v>
      </c>
      <c r="AX596" s="6">
        <v>349</v>
      </c>
    </row>
    <row r="597" spans="22:50" x14ac:dyDescent="0.25">
      <c r="V597" s="17">
        <v>591</v>
      </c>
      <c r="W597" s="6">
        <v>1.2681100000000001</v>
      </c>
      <c r="X597" s="6">
        <v>0.9244</v>
      </c>
      <c r="Y597" s="6">
        <v>1.2224999999999999</v>
      </c>
      <c r="Z597" s="6">
        <v>635</v>
      </c>
      <c r="AN597" s="17">
        <v>591</v>
      </c>
      <c r="AO597" s="6">
        <v>2.7759200000000002</v>
      </c>
      <c r="AP597" s="6">
        <v>1.1103000000000001</v>
      </c>
      <c r="AQ597" s="6">
        <v>2.6743000000000001</v>
      </c>
      <c r="AR597" s="6">
        <v>343</v>
      </c>
      <c r="AT597" s="17">
        <v>591</v>
      </c>
      <c r="AU597" s="6">
        <v>5.2600600000000002</v>
      </c>
      <c r="AV597" s="6">
        <v>1.1103000000000001</v>
      </c>
      <c r="AW597" s="6">
        <v>2.6743000000000001</v>
      </c>
      <c r="AX597" s="6">
        <v>343</v>
      </c>
    </row>
    <row r="598" spans="22:50" x14ac:dyDescent="0.25">
      <c r="V598" s="17">
        <v>592</v>
      </c>
      <c r="W598" s="6">
        <v>1.25003</v>
      </c>
      <c r="X598" s="6">
        <v>0.70289999999999997</v>
      </c>
      <c r="Y598" s="6">
        <v>1.2051000000000001</v>
      </c>
      <c r="Z598" s="6">
        <v>614</v>
      </c>
      <c r="AN598" s="17">
        <v>592</v>
      </c>
      <c r="AO598" s="6">
        <v>2.7677100000000001</v>
      </c>
      <c r="AP598" s="6">
        <v>0.91090000000000004</v>
      </c>
      <c r="AQ598" s="6">
        <v>2.6663000000000001</v>
      </c>
      <c r="AR598" s="6">
        <v>339</v>
      </c>
      <c r="AT598" s="17">
        <v>592</v>
      </c>
      <c r="AU598" s="6">
        <v>5.2446200000000003</v>
      </c>
      <c r="AV598" s="6">
        <v>0.91090000000000004</v>
      </c>
      <c r="AW598" s="6">
        <v>2.6663000000000001</v>
      </c>
      <c r="AX598" s="6">
        <v>339</v>
      </c>
    </row>
    <row r="599" spans="22:50" x14ac:dyDescent="0.25">
      <c r="V599" s="17">
        <v>593</v>
      </c>
      <c r="W599" s="6">
        <v>1.2969599999999999</v>
      </c>
      <c r="X599" s="19">
        <v>-4.0166000000000004</v>
      </c>
      <c r="Y599" s="6">
        <v>1.2504</v>
      </c>
      <c r="Z599" s="6">
        <v>636</v>
      </c>
      <c r="AN599" s="17">
        <v>593</v>
      </c>
      <c r="AO599" s="6">
        <v>2.78681</v>
      </c>
      <c r="AP599" s="19">
        <v>-3.7410999999999999</v>
      </c>
      <c r="AQ599" s="6">
        <v>2.6848000000000001</v>
      </c>
      <c r="AR599" s="6">
        <v>348</v>
      </c>
      <c r="AT599" s="17">
        <v>593</v>
      </c>
      <c r="AU599" s="6">
        <v>5.28057</v>
      </c>
      <c r="AV599" s="19">
        <v>-3.7410999999999999</v>
      </c>
      <c r="AW599" s="6">
        <v>2.6848000000000001</v>
      </c>
      <c r="AX599" s="6">
        <v>348</v>
      </c>
    </row>
    <row r="600" spans="22:50" x14ac:dyDescent="0.25">
      <c r="V600" s="17">
        <v>594</v>
      </c>
      <c r="W600" s="6">
        <v>1.25614</v>
      </c>
      <c r="X600" s="19">
        <v>-3.0459999999999998</v>
      </c>
      <c r="Y600" s="6">
        <v>1.2110000000000001</v>
      </c>
      <c r="Z600" s="6">
        <v>622</v>
      </c>
      <c r="AN600" s="17">
        <v>594</v>
      </c>
      <c r="AO600" s="6">
        <v>2.7699199999999999</v>
      </c>
      <c r="AP600" s="19">
        <v>-2.6617999999999999</v>
      </c>
      <c r="AQ600" s="6">
        <v>2.6684999999999999</v>
      </c>
      <c r="AR600" s="6">
        <v>340</v>
      </c>
      <c r="AT600" s="17">
        <v>594</v>
      </c>
      <c r="AU600" s="6">
        <v>5.2488000000000001</v>
      </c>
      <c r="AV600" s="19">
        <v>-2.6617999999999999</v>
      </c>
      <c r="AW600" s="6">
        <v>2.6684999999999999</v>
      </c>
      <c r="AX600" s="6">
        <v>340</v>
      </c>
    </row>
    <row r="601" spans="22:50" x14ac:dyDescent="0.25">
      <c r="V601" s="17">
        <v>595</v>
      </c>
      <c r="W601" s="6">
        <v>1.2846200000000001</v>
      </c>
      <c r="X601" s="19">
        <v>-2.9464999999999999</v>
      </c>
      <c r="Y601" s="6">
        <v>1.2383999999999999</v>
      </c>
      <c r="Z601" s="6">
        <v>634</v>
      </c>
      <c r="AN601" s="17">
        <v>595</v>
      </c>
      <c r="AO601" s="6">
        <v>2.7816999999999998</v>
      </c>
      <c r="AP601" s="19">
        <v>-2.7071999999999998</v>
      </c>
      <c r="AQ601" s="6">
        <v>2.6798999999999999</v>
      </c>
      <c r="AR601" s="6">
        <v>345</v>
      </c>
      <c r="AT601" s="17">
        <v>595</v>
      </c>
      <c r="AU601" s="6">
        <v>5.27095</v>
      </c>
      <c r="AV601" s="19">
        <v>-2.7071999999999998</v>
      </c>
      <c r="AW601" s="6">
        <v>2.6798999999999999</v>
      </c>
      <c r="AX601" s="6">
        <v>345</v>
      </c>
    </row>
    <row r="602" spans="22:50" x14ac:dyDescent="0.25">
      <c r="V602" s="17">
        <v>596</v>
      </c>
      <c r="W602" s="6">
        <v>1.2855799999999999</v>
      </c>
      <c r="X602" s="19">
        <v>-4.4164000000000003</v>
      </c>
      <c r="Y602" s="6">
        <v>1.2394000000000001</v>
      </c>
      <c r="Z602" s="6">
        <v>631</v>
      </c>
      <c r="AN602" s="17">
        <v>596</v>
      </c>
      <c r="AO602" s="6">
        <v>2.7818900000000002</v>
      </c>
      <c r="AP602" s="19">
        <v>-4.2439</v>
      </c>
      <c r="AQ602" s="6">
        <v>2.6800999999999999</v>
      </c>
      <c r="AR602" s="6">
        <v>345</v>
      </c>
      <c r="AT602" s="17">
        <v>596</v>
      </c>
      <c r="AU602" s="6">
        <v>5.2713099999999997</v>
      </c>
      <c r="AV602" s="19">
        <v>-4.2439</v>
      </c>
      <c r="AW602" s="6">
        <v>2.6800999999999999</v>
      </c>
      <c r="AX602" s="6">
        <v>345</v>
      </c>
    </row>
    <row r="603" spans="22:50" x14ac:dyDescent="0.25">
      <c r="V603" s="17">
        <v>597</v>
      </c>
      <c r="W603" s="6">
        <v>1.26227</v>
      </c>
      <c r="X603" s="19">
        <v>-6.4046000000000003</v>
      </c>
      <c r="Y603" s="6">
        <v>1.2169000000000001</v>
      </c>
      <c r="Z603" s="6">
        <v>621</v>
      </c>
      <c r="AN603" s="17">
        <v>597</v>
      </c>
      <c r="AO603" s="6">
        <v>2.77258</v>
      </c>
      <c r="AP603" s="19">
        <v>-6.3095999999999997</v>
      </c>
      <c r="AQ603" s="6">
        <v>2.6711</v>
      </c>
      <c r="AR603" s="6">
        <v>341</v>
      </c>
      <c r="AT603" s="17">
        <v>597</v>
      </c>
      <c r="AU603" s="6">
        <v>5.2538</v>
      </c>
      <c r="AV603" s="19">
        <v>-6.3095999999999997</v>
      </c>
      <c r="AW603" s="6">
        <v>2.6711</v>
      </c>
      <c r="AX603" s="6">
        <v>341</v>
      </c>
    </row>
    <row r="604" spans="22:50" x14ac:dyDescent="0.25">
      <c r="V604" s="17">
        <v>598</v>
      </c>
      <c r="W604" s="6">
        <v>1.26031</v>
      </c>
      <c r="X604" s="19">
        <v>-3.2048000000000001</v>
      </c>
      <c r="Y604" s="6">
        <v>1.2150000000000001</v>
      </c>
      <c r="Z604" s="6">
        <v>630</v>
      </c>
      <c r="AN604" s="17">
        <v>598</v>
      </c>
      <c r="AO604" s="6">
        <v>2.7720799999999999</v>
      </c>
      <c r="AP604" s="19">
        <v>-3.1036000000000001</v>
      </c>
      <c r="AQ604" s="6">
        <v>2.6705999999999999</v>
      </c>
      <c r="AR604" s="6">
        <v>341</v>
      </c>
      <c r="AT604" s="17">
        <v>598</v>
      </c>
      <c r="AU604" s="6">
        <v>5.2528600000000001</v>
      </c>
      <c r="AV604" s="19">
        <v>-3.1036000000000001</v>
      </c>
      <c r="AW604" s="6">
        <v>2.6705999999999999</v>
      </c>
      <c r="AX604" s="6">
        <v>341</v>
      </c>
    </row>
    <row r="605" spans="22:50" x14ac:dyDescent="0.25">
      <c r="V605" s="17">
        <v>599</v>
      </c>
      <c r="W605" s="6">
        <v>1.2704299999999999</v>
      </c>
      <c r="X605" s="6">
        <v>0.82909999999999995</v>
      </c>
      <c r="Y605" s="6">
        <v>1.2248000000000001</v>
      </c>
      <c r="Z605" s="6">
        <v>635</v>
      </c>
      <c r="AN605" s="17">
        <v>599</v>
      </c>
      <c r="AO605" s="6">
        <v>2.7764099999999998</v>
      </c>
      <c r="AP605" s="6">
        <v>1.0406</v>
      </c>
      <c r="AQ605" s="6">
        <v>2.6747999999999998</v>
      </c>
      <c r="AR605" s="6">
        <v>343</v>
      </c>
      <c r="AT605" s="17">
        <v>599</v>
      </c>
      <c r="AU605" s="6">
        <v>5.2610000000000001</v>
      </c>
      <c r="AV605" s="6">
        <v>1.0406</v>
      </c>
      <c r="AW605" s="6">
        <v>2.6747999999999998</v>
      </c>
      <c r="AX605" s="6">
        <v>343</v>
      </c>
    </row>
    <row r="606" spans="22:50" x14ac:dyDescent="0.25">
      <c r="V606" s="17">
        <v>600</v>
      </c>
      <c r="W606" s="6">
        <v>1.2921100000000001</v>
      </c>
      <c r="X606" s="19">
        <v>-1.2573000000000001</v>
      </c>
      <c r="Y606" s="6">
        <v>1.2457</v>
      </c>
      <c r="Z606" s="6">
        <v>649</v>
      </c>
      <c r="AN606" s="17">
        <v>600</v>
      </c>
      <c r="AO606" s="6">
        <v>2.7861199999999999</v>
      </c>
      <c r="AP606" s="19">
        <v>-1.0607</v>
      </c>
      <c r="AQ606" s="6">
        <v>2.6842000000000001</v>
      </c>
      <c r="AR606" s="6">
        <v>348</v>
      </c>
      <c r="AT606" s="17">
        <v>600</v>
      </c>
      <c r="AU606" s="6">
        <v>5.2792500000000002</v>
      </c>
      <c r="AV606" s="19">
        <v>-1.0607</v>
      </c>
      <c r="AW606" s="6">
        <v>2.6842000000000001</v>
      </c>
      <c r="AX606" s="6">
        <v>348</v>
      </c>
    </row>
    <row r="607" spans="22:50" x14ac:dyDescent="0.25">
      <c r="V607" s="17">
        <v>601</v>
      </c>
      <c r="W607" s="6">
        <v>1.28613</v>
      </c>
      <c r="X607" s="19">
        <v>-2.6240999999999999</v>
      </c>
      <c r="Y607" s="6">
        <v>1.2399</v>
      </c>
      <c r="Z607" s="6">
        <v>629</v>
      </c>
      <c r="AN607" s="17">
        <v>601</v>
      </c>
      <c r="AO607" s="6">
        <v>2.78267</v>
      </c>
      <c r="AP607" s="19">
        <v>-2.4148000000000001</v>
      </c>
      <c r="AQ607" s="6">
        <v>2.6808000000000001</v>
      </c>
      <c r="AR607" s="6">
        <v>346</v>
      </c>
      <c r="AT607" s="17">
        <v>601</v>
      </c>
      <c r="AU607" s="6">
        <v>5.2727700000000004</v>
      </c>
      <c r="AV607" s="19">
        <v>-2.4148000000000001</v>
      </c>
      <c r="AW607" s="6">
        <v>2.6808000000000001</v>
      </c>
      <c r="AX607" s="6">
        <v>346</v>
      </c>
    </row>
    <row r="608" spans="22:50" x14ac:dyDescent="0.25">
      <c r="V608" s="17">
        <v>602</v>
      </c>
      <c r="W608" s="6">
        <v>1.25942</v>
      </c>
      <c r="X608" s="19">
        <v>-1.6182000000000001</v>
      </c>
      <c r="Y608" s="6">
        <v>1.2141</v>
      </c>
      <c r="Z608" s="6">
        <v>626</v>
      </c>
      <c r="AN608" s="17">
        <v>602</v>
      </c>
      <c r="AO608" s="6">
        <v>2.7722799999999999</v>
      </c>
      <c r="AP608" s="19">
        <v>-1.3900999999999999</v>
      </c>
      <c r="AQ608" s="6">
        <v>2.6707999999999998</v>
      </c>
      <c r="AR608" s="6">
        <v>342</v>
      </c>
      <c r="AT608" s="17">
        <v>602</v>
      </c>
      <c r="AU608" s="6">
        <v>5.2532199999999998</v>
      </c>
      <c r="AV608" s="19">
        <v>-1.3900999999999999</v>
      </c>
      <c r="AW608" s="6">
        <v>2.6707999999999998</v>
      </c>
      <c r="AX608" s="6">
        <v>342</v>
      </c>
    </row>
    <row r="609" spans="22:50" x14ac:dyDescent="0.25">
      <c r="V609" s="17">
        <v>603</v>
      </c>
      <c r="W609" s="6">
        <v>1.2900799999999999</v>
      </c>
      <c r="X609" s="6">
        <v>2.3632</v>
      </c>
      <c r="Y609" s="6">
        <v>1.2437</v>
      </c>
      <c r="Z609" s="6">
        <v>632</v>
      </c>
      <c r="AN609" s="17">
        <v>603</v>
      </c>
      <c r="AO609" s="6">
        <v>2.7846299999999999</v>
      </c>
      <c r="AP609" s="6">
        <v>2.4704000000000002</v>
      </c>
      <c r="AQ609" s="6">
        <v>2.6827000000000001</v>
      </c>
      <c r="AR609" s="6">
        <v>347</v>
      </c>
      <c r="AT609" s="17">
        <v>603</v>
      </c>
      <c r="AU609" s="6">
        <v>5.2764499999999996</v>
      </c>
      <c r="AV609" s="6">
        <v>2.4704000000000002</v>
      </c>
      <c r="AW609" s="6">
        <v>2.6827000000000001</v>
      </c>
      <c r="AX609" s="6">
        <v>347</v>
      </c>
    </row>
    <row r="610" spans="22:50" x14ac:dyDescent="0.25">
      <c r="V610" s="17">
        <v>604</v>
      </c>
      <c r="W610" s="6">
        <v>1.29078</v>
      </c>
      <c r="X610" s="19">
        <v>-4.0049999999999999</v>
      </c>
      <c r="Y610" s="6">
        <v>1.2444</v>
      </c>
      <c r="Z610" s="6">
        <v>630</v>
      </c>
      <c r="AN610" s="17">
        <v>604</v>
      </c>
      <c r="AO610" s="6">
        <v>2.7851300000000001</v>
      </c>
      <c r="AP610" s="19">
        <v>-3.7675000000000001</v>
      </c>
      <c r="AQ610" s="6">
        <v>2.6831999999999998</v>
      </c>
      <c r="AR610" s="6">
        <v>347</v>
      </c>
      <c r="AT610" s="17">
        <v>604</v>
      </c>
      <c r="AU610" s="6">
        <v>5.2773899999999996</v>
      </c>
      <c r="AV610" s="19">
        <v>-3.7675000000000001</v>
      </c>
      <c r="AW610" s="6">
        <v>2.6831999999999998</v>
      </c>
      <c r="AX610" s="6">
        <v>347</v>
      </c>
    </row>
    <row r="611" spans="22:50" x14ac:dyDescent="0.25">
      <c r="V611" s="17">
        <v>605</v>
      </c>
      <c r="W611" s="6">
        <v>1.2725299999999999</v>
      </c>
      <c r="X611" s="19">
        <v>-3.2707999999999999</v>
      </c>
      <c r="Y611" s="6">
        <v>1.2267999999999999</v>
      </c>
      <c r="Z611" s="6">
        <v>628</v>
      </c>
      <c r="AN611" s="17">
        <v>605</v>
      </c>
      <c r="AO611" s="6">
        <v>2.7770999999999999</v>
      </c>
      <c r="AP611" s="19">
        <v>-3.1701000000000001</v>
      </c>
      <c r="AQ611" s="6">
        <v>2.6753999999999998</v>
      </c>
      <c r="AR611" s="6">
        <v>343</v>
      </c>
      <c r="AT611" s="17">
        <v>605</v>
      </c>
      <c r="AU611" s="6">
        <v>5.2622999999999998</v>
      </c>
      <c r="AV611" s="19">
        <v>-3.1701000000000001</v>
      </c>
      <c r="AW611" s="6">
        <v>2.6753999999999998</v>
      </c>
      <c r="AX611" s="6">
        <v>343</v>
      </c>
    </row>
    <row r="612" spans="22:50" x14ac:dyDescent="0.25">
      <c r="V612" s="17">
        <v>606</v>
      </c>
      <c r="W612" s="6">
        <v>1.2843899999999999</v>
      </c>
      <c r="X612" s="19">
        <v>-17.6813</v>
      </c>
      <c r="Y612" s="6">
        <v>1.2382</v>
      </c>
      <c r="Z612" s="6">
        <v>634</v>
      </c>
      <c r="AN612" s="17">
        <v>606</v>
      </c>
      <c r="AO612" s="6">
        <v>2.7830300000000001</v>
      </c>
      <c r="AP612" s="19">
        <v>-17.722200000000001</v>
      </c>
      <c r="AQ612" s="6">
        <v>2.6812</v>
      </c>
      <c r="AR612" s="6">
        <v>347</v>
      </c>
      <c r="AT612" s="17">
        <v>606</v>
      </c>
      <c r="AU612" s="6">
        <v>5.2734300000000003</v>
      </c>
      <c r="AV612" s="19">
        <v>-17.722200000000001</v>
      </c>
      <c r="AW612" s="6">
        <v>2.6812</v>
      </c>
      <c r="AX612" s="6">
        <v>347</v>
      </c>
    </row>
    <row r="613" spans="22:50" x14ac:dyDescent="0.25">
      <c r="V613" s="17">
        <v>607</v>
      </c>
      <c r="W613" s="6">
        <v>1.28651</v>
      </c>
      <c r="X613" s="19">
        <v>-13.7478</v>
      </c>
      <c r="Y613" s="6">
        <v>1.2403</v>
      </c>
      <c r="Z613" s="6">
        <v>648</v>
      </c>
      <c r="AN613" s="17">
        <v>607</v>
      </c>
      <c r="AO613" s="6">
        <v>2.7844099999999998</v>
      </c>
      <c r="AP613" s="19">
        <v>-13.8965</v>
      </c>
      <c r="AQ613" s="6">
        <v>2.6825000000000001</v>
      </c>
      <c r="AR613" s="6">
        <v>347</v>
      </c>
      <c r="AT613" s="17">
        <v>607</v>
      </c>
      <c r="AU613" s="6">
        <v>5.2760300000000004</v>
      </c>
      <c r="AV613" s="19">
        <v>-13.8965</v>
      </c>
      <c r="AW613" s="6">
        <v>2.6825000000000001</v>
      </c>
      <c r="AX613" s="6">
        <v>347</v>
      </c>
    </row>
    <row r="614" spans="22:50" x14ac:dyDescent="0.25">
      <c r="V614" s="17">
        <v>608</v>
      </c>
      <c r="W614" s="6">
        <v>1.2903500000000001</v>
      </c>
      <c r="X614" s="19">
        <v>-13.9694</v>
      </c>
      <c r="Y614" s="6">
        <v>1.244</v>
      </c>
      <c r="Z614" s="6">
        <v>662</v>
      </c>
      <c r="AN614" s="17">
        <v>608</v>
      </c>
      <c r="AO614" s="6">
        <v>2.7864</v>
      </c>
      <c r="AP614" s="19">
        <v>-14.0959</v>
      </c>
      <c r="AQ614" s="6">
        <v>2.6844000000000001</v>
      </c>
      <c r="AR614" s="6">
        <v>348</v>
      </c>
      <c r="AT614" s="17">
        <v>608</v>
      </c>
      <c r="AU614" s="6">
        <v>5.2797700000000001</v>
      </c>
      <c r="AV614" s="19">
        <v>-14.0959</v>
      </c>
      <c r="AW614" s="6">
        <v>2.6844000000000001</v>
      </c>
      <c r="AX614" s="6">
        <v>348</v>
      </c>
    </row>
    <row r="615" spans="22:50" x14ac:dyDescent="0.25">
      <c r="V615" s="17">
        <v>609</v>
      </c>
      <c r="W615" s="6">
        <v>1.28437</v>
      </c>
      <c r="X615" s="19">
        <v>-18.688800000000001</v>
      </c>
      <c r="Y615" s="6">
        <v>1.2382</v>
      </c>
      <c r="Z615" s="6">
        <v>627</v>
      </c>
      <c r="AN615" s="17">
        <v>609</v>
      </c>
      <c r="AO615" s="6">
        <v>2.7821600000000002</v>
      </c>
      <c r="AP615" s="19">
        <v>-18.747800000000002</v>
      </c>
      <c r="AQ615" s="6">
        <v>2.6802999999999999</v>
      </c>
      <c r="AR615" s="6">
        <v>346</v>
      </c>
      <c r="AT615" s="17">
        <v>609</v>
      </c>
      <c r="AU615" s="6">
        <v>5.2718100000000003</v>
      </c>
      <c r="AV615" s="19">
        <v>-18.747800000000002</v>
      </c>
      <c r="AW615" s="6">
        <v>2.6802999999999999</v>
      </c>
      <c r="AX615" s="6">
        <v>346</v>
      </c>
    </row>
    <row r="616" spans="22:50" x14ac:dyDescent="0.25">
      <c r="V616" s="17">
        <v>610</v>
      </c>
      <c r="W616" s="6">
        <v>1.28589</v>
      </c>
      <c r="X616" s="19">
        <v>-17.718299999999999</v>
      </c>
      <c r="Y616" s="6">
        <v>1.2397</v>
      </c>
      <c r="Z616" s="6">
        <v>642</v>
      </c>
      <c r="AN616" s="17">
        <v>610</v>
      </c>
      <c r="AO616" s="6">
        <v>2.7828300000000001</v>
      </c>
      <c r="AP616" s="19">
        <v>-17.668600000000001</v>
      </c>
      <c r="AQ616" s="6">
        <v>2.681</v>
      </c>
      <c r="AR616" s="6">
        <v>346</v>
      </c>
      <c r="AT616" s="17">
        <v>610</v>
      </c>
      <c r="AU616" s="6">
        <v>5.2730699999999997</v>
      </c>
      <c r="AV616" s="19">
        <v>-17.668600000000001</v>
      </c>
      <c r="AW616" s="6">
        <v>2.681</v>
      </c>
      <c r="AX616" s="6">
        <v>346</v>
      </c>
    </row>
    <row r="617" spans="22:50" x14ac:dyDescent="0.25">
      <c r="V617" s="17">
        <v>611</v>
      </c>
      <c r="W617" s="6">
        <v>1.27166</v>
      </c>
      <c r="X617" s="19">
        <v>-17.6187</v>
      </c>
      <c r="Y617" s="6">
        <v>1.226</v>
      </c>
      <c r="Z617" s="6">
        <v>633</v>
      </c>
      <c r="AN617" s="17">
        <v>611</v>
      </c>
      <c r="AO617" s="6">
        <v>2.7772100000000002</v>
      </c>
      <c r="AP617" s="19">
        <v>-17.713999999999999</v>
      </c>
      <c r="AQ617" s="6">
        <v>2.6755</v>
      </c>
      <c r="AR617" s="6">
        <v>344</v>
      </c>
      <c r="AT617" s="17">
        <v>611</v>
      </c>
      <c r="AU617" s="6">
        <v>5.2624899999999997</v>
      </c>
      <c r="AV617" s="19">
        <v>-17.713999999999999</v>
      </c>
      <c r="AW617" s="6">
        <v>2.6755</v>
      </c>
      <c r="AX617" s="6">
        <v>344</v>
      </c>
    </row>
    <row r="618" spans="22:50" x14ac:dyDescent="0.25">
      <c r="V618" s="17">
        <v>612</v>
      </c>
      <c r="W618" s="6">
        <v>1.28704</v>
      </c>
      <c r="X618" s="19">
        <v>-19.088699999999999</v>
      </c>
      <c r="Y618" s="6">
        <v>1.2407999999999999</v>
      </c>
      <c r="Z618" s="6">
        <v>643</v>
      </c>
      <c r="AN618" s="17">
        <v>612</v>
      </c>
      <c r="AO618" s="6">
        <v>2.7838599999999998</v>
      </c>
      <c r="AP618" s="19">
        <v>-19.250599999999999</v>
      </c>
      <c r="AQ618" s="6">
        <v>2.6819999999999999</v>
      </c>
      <c r="AR618" s="6">
        <v>347</v>
      </c>
      <c r="AT618" s="17">
        <v>612</v>
      </c>
      <c r="AU618" s="6">
        <v>5.2750000000000004</v>
      </c>
      <c r="AV618" s="19">
        <v>-19.250599999999999</v>
      </c>
      <c r="AW618" s="6">
        <v>2.6819999999999999</v>
      </c>
      <c r="AX618" s="6">
        <v>347</v>
      </c>
    </row>
    <row r="619" spans="22:50" x14ac:dyDescent="0.25">
      <c r="V619" s="17">
        <v>613</v>
      </c>
      <c r="W619" s="6">
        <v>1.2623800000000001</v>
      </c>
      <c r="X619" s="19">
        <v>-21.076799999999999</v>
      </c>
      <c r="Y619" s="6">
        <v>1.2170000000000001</v>
      </c>
      <c r="Z619" s="6">
        <v>633</v>
      </c>
      <c r="AN619" s="17">
        <v>613</v>
      </c>
      <c r="AO619" s="6">
        <v>2.7732800000000002</v>
      </c>
      <c r="AP619" s="19">
        <v>-21.316400000000002</v>
      </c>
      <c r="AQ619" s="6">
        <v>2.6717</v>
      </c>
      <c r="AR619" s="6">
        <v>342</v>
      </c>
      <c r="AT619" s="17">
        <v>613</v>
      </c>
      <c r="AU619" s="6">
        <v>5.2551100000000002</v>
      </c>
      <c r="AV619" s="19">
        <v>-21.316400000000002</v>
      </c>
      <c r="AW619" s="6">
        <v>2.6717</v>
      </c>
      <c r="AX619" s="6">
        <v>342</v>
      </c>
    </row>
    <row r="620" spans="22:50" x14ac:dyDescent="0.25">
      <c r="V620" s="17">
        <v>614</v>
      </c>
      <c r="W620" s="6">
        <v>1.2731300000000001</v>
      </c>
      <c r="X620" s="19">
        <v>-17.876999999999999</v>
      </c>
      <c r="Y620" s="6">
        <v>1.2274</v>
      </c>
      <c r="Z620" s="6">
        <v>641</v>
      </c>
      <c r="AN620" s="17">
        <v>614</v>
      </c>
      <c r="AO620" s="6">
        <v>2.7775300000000001</v>
      </c>
      <c r="AP620" s="19">
        <v>-18.110399999999998</v>
      </c>
      <c r="AQ620" s="6">
        <v>2.6758999999999999</v>
      </c>
      <c r="AR620" s="6">
        <v>344</v>
      </c>
      <c r="AT620" s="17">
        <v>614</v>
      </c>
      <c r="AU620" s="6">
        <v>5.2631100000000002</v>
      </c>
      <c r="AV620" s="19">
        <v>-18.110399999999998</v>
      </c>
      <c r="AW620" s="6">
        <v>2.6758999999999999</v>
      </c>
      <c r="AX620" s="6">
        <v>344</v>
      </c>
    </row>
    <row r="621" spans="22:50" x14ac:dyDescent="0.25">
      <c r="V621" s="17">
        <v>615</v>
      </c>
      <c r="W621" s="6">
        <v>1.2565299999999999</v>
      </c>
      <c r="X621" s="19">
        <v>-13.8432</v>
      </c>
      <c r="Y621" s="6">
        <v>1.2114</v>
      </c>
      <c r="Z621" s="6">
        <v>642</v>
      </c>
      <c r="AN621" s="17">
        <v>615</v>
      </c>
      <c r="AO621" s="6">
        <v>2.7716799999999999</v>
      </c>
      <c r="AP621" s="19">
        <v>-13.966200000000001</v>
      </c>
      <c r="AQ621" s="6">
        <v>2.6701999999999999</v>
      </c>
      <c r="AR621" s="6">
        <v>342</v>
      </c>
      <c r="AT621" s="17">
        <v>615</v>
      </c>
      <c r="AU621" s="6">
        <v>5.2520899999999999</v>
      </c>
      <c r="AV621" s="19">
        <v>-13.966200000000001</v>
      </c>
      <c r="AW621" s="6">
        <v>2.6701999999999999</v>
      </c>
      <c r="AX621" s="6">
        <v>342</v>
      </c>
    </row>
    <row r="622" spans="22:50" x14ac:dyDescent="0.25">
      <c r="V622" s="17">
        <v>616</v>
      </c>
      <c r="W622" s="6">
        <v>1.27399</v>
      </c>
      <c r="X622" s="19">
        <v>-15.929600000000001</v>
      </c>
      <c r="Y622" s="6">
        <v>1.2282</v>
      </c>
      <c r="Z622" s="6">
        <v>629</v>
      </c>
      <c r="AN622" s="17">
        <v>616</v>
      </c>
      <c r="AO622" s="6">
        <v>2.77745</v>
      </c>
      <c r="AP622" s="19">
        <v>-16.067499999999999</v>
      </c>
      <c r="AQ622" s="6">
        <v>2.6758000000000002</v>
      </c>
      <c r="AR622" s="6">
        <v>344</v>
      </c>
      <c r="AT622" s="17">
        <v>616</v>
      </c>
      <c r="AU622" s="6">
        <v>5.2629599999999996</v>
      </c>
      <c r="AV622" s="19">
        <v>-16.067499999999999</v>
      </c>
      <c r="AW622" s="6">
        <v>2.6758000000000002</v>
      </c>
      <c r="AX622" s="6">
        <v>344</v>
      </c>
    </row>
    <row r="623" spans="22:50" x14ac:dyDescent="0.25">
      <c r="V623" s="17">
        <v>617</v>
      </c>
      <c r="W623" s="6">
        <v>1.2899499999999999</v>
      </c>
      <c r="X623" s="19">
        <v>-17.296299999999999</v>
      </c>
      <c r="Y623" s="6">
        <v>1.2436</v>
      </c>
      <c r="Z623" s="6">
        <v>637</v>
      </c>
      <c r="AN623" s="17">
        <v>617</v>
      </c>
      <c r="AO623" s="6">
        <v>2.7848600000000001</v>
      </c>
      <c r="AP623" s="19">
        <v>-17.421600000000002</v>
      </c>
      <c r="AQ623" s="6">
        <v>2.6829000000000001</v>
      </c>
      <c r="AR623" s="6">
        <v>347</v>
      </c>
      <c r="AT623" s="17">
        <v>617</v>
      </c>
      <c r="AU623" s="6">
        <v>5.2768800000000002</v>
      </c>
      <c r="AV623" s="19">
        <v>-17.421600000000002</v>
      </c>
      <c r="AW623" s="6">
        <v>2.6829000000000001</v>
      </c>
      <c r="AX623" s="6">
        <v>347</v>
      </c>
    </row>
    <row r="624" spans="22:50" x14ac:dyDescent="0.25">
      <c r="V624" s="17">
        <v>618</v>
      </c>
      <c r="W624" s="6">
        <v>1.29223</v>
      </c>
      <c r="X624" s="19">
        <v>-16.290500000000002</v>
      </c>
      <c r="Y624" s="6">
        <v>1.2458</v>
      </c>
      <c r="Z624" s="6">
        <v>653</v>
      </c>
      <c r="AN624" s="17">
        <v>618</v>
      </c>
      <c r="AO624" s="6">
        <v>2.7864499999999999</v>
      </c>
      <c r="AP624" s="19">
        <v>-16.396899999999999</v>
      </c>
      <c r="AQ624" s="6">
        <v>2.6844999999999999</v>
      </c>
      <c r="AR624" s="6">
        <v>348</v>
      </c>
      <c r="AT624" s="17">
        <v>618</v>
      </c>
      <c r="AU624" s="6">
        <v>5.2798699999999998</v>
      </c>
      <c r="AV624" s="19">
        <v>-16.396899999999999</v>
      </c>
      <c r="AW624" s="6">
        <v>2.6844999999999999</v>
      </c>
      <c r="AX624" s="6">
        <v>348</v>
      </c>
    </row>
    <row r="625" spans="22:50" x14ac:dyDescent="0.25">
      <c r="V625" s="17">
        <v>619</v>
      </c>
      <c r="W625" s="6">
        <v>1.2794099999999999</v>
      </c>
      <c r="X625" s="19">
        <v>-12.309100000000001</v>
      </c>
      <c r="Y625" s="6">
        <v>1.2334000000000001</v>
      </c>
      <c r="Z625" s="6">
        <v>625</v>
      </c>
      <c r="AN625" s="17">
        <v>619</v>
      </c>
      <c r="AO625" s="6">
        <v>2.78057</v>
      </c>
      <c r="AP625" s="19">
        <v>-12.536300000000001</v>
      </c>
      <c r="AQ625" s="6">
        <v>2.6787999999999998</v>
      </c>
      <c r="AR625" s="6">
        <v>345</v>
      </c>
      <c r="AT625" s="17">
        <v>619</v>
      </c>
      <c r="AU625" s="6">
        <v>5.2688100000000002</v>
      </c>
      <c r="AV625" s="19">
        <v>-12.536300000000001</v>
      </c>
      <c r="AW625" s="6">
        <v>2.6787999999999998</v>
      </c>
      <c r="AX625" s="6">
        <v>345</v>
      </c>
    </row>
    <row r="626" spans="22:50" x14ac:dyDescent="0.25">
      <c r="V626" s="17">
        <v>620</v>
      </c>
      <c r="W626" s="6">
        <v>1.28657</v>
      </c>
      <c r="X626" s="19">
        <v>-18.677299999999999</v>
      </c>
      <c r="Y626" s="6">
        <v>1.2403</v>
      </c>
      <c r="Z626" s="6">
        <v>606</v>
      </c>
      <c r="AN626" s="17">
        <v>620</v>
      </c>
      <c r="AO626" s="6">
        <v>2.7829700000000002</v>
      </c>
      <c r="AP626" s="19">
        <v>-18.7743</v>
      </c>
      <c r="AQ626" s="6">
        <v>2.6810999999999998</v>
      </c>
      <c r="AR626" s="6">
        <v>346</v>
      </c>
      <c r="AT626" s="17">
        <v>620</v>
      </c>
      <c r="AU626" s="6">
        <v>5.27332</v>
      </c>
      <c r="AV626" s="19">
        <v>-18.7743</v>
      </c>
      <c r="AW626" s="6">
        <v>2.6810999999999998</v>
      </c>
      <c r="AX626" s="6">
        <v>346</v>
      </c>
    </row>
    <row r="627" spans="22:50" x14ac:dyDescent="0.25">
      <c r="V627" s="17">
        <v>621</v>
      </c>
      <c r="W627" s="6">
        <v>1.2777700000000001</v>
      </c>
      <c r="X627" s="19">
        <v>-17.943100000000001</v>
      </c>
      <c r="Y627" s="6">
        <v>1.2318</v>
      </c>
      <c r="Z627" s="6">
        <v>631</v>
      </c>
      <c r="AN627" s="17">
        <v>621</v>
      </c>
      <c r="AO627" s="6">
        <v>2.7805</v>
      </c>
      <c r="AP627" s="19">
        <v>-18.1769</v>
      </c>
      <c r="AQ627" s="6">
        <v>2.6787000000000001</v>
      </c>
      <c r="AR627" s="6">
        <v>346</v>
      </c>
      <c r="AT627" s="17">
        <v>621</v>
      </c>
      <c r="AU627" s="6">
        <v>5.2686700000000002</v>
      </c>
      <c r="AV627" s="19">
        <v>-18.1769</v>
      </c>
      <c r="AW627" s="6">
        <v>2.6787000000000001</v>
      </c>
      <c r="AX627" s="6">
        <v>346</v>
      </c>
    </row>
    <row r="628" spans="22:50" x14ac:dyDescent="0.25">
      <c r="V628" s="17">
        <v>622</v>
      </c>
      <c r="W628" s="6">
        <v>1.2934300000000001</v>
      </c>
      <c r="X628" s="6">
        <v>3.9333999999999998</v>
      </c>
      <c r="Y628" s="6">
        <v>1.2468999999999999</v>
      </c>
      <c r="Z628" s="6">
        <v>637</v>
      </c>
      <c r="AN628" s="17">
        <v>622</v>
      </c>
      <c r="AO628" s="6">
        <v>2.78546</v>
      </c>
      <c r="AP628" s="6">
        <v>3.8256999999999999</v>
      </c>
      <c r="AQ628" s="6">
        <v>2.6835</v>
      </c>
      <c r="AR628" s="6">
        <v>347</v>
      </c>
      <c r="AT628" s="17">
        <v>622</v>
      </c>
      <c r="AU628" s="6">
        <v>5.2780199999999997</v>
      </c>
      <c r="AV628" s="6">
        <v>3.8256999999999999</v>
      </c>
      <c r="AW628" s="6">
        <v>2.6835</v>
      </c>
      <c r="AX628" s="6">
        <v>347</v>
      </c>
    </row>
    <row r="629" spans="22:50" x14ac:dyDescent="0.25">
      <c r="V629" s="17">
        <v>623</v>
      </c>
      <c r="W629" s="6">
        <v>1.2903899999999999</v>
      </c>
      <c r="X629" s="6">
        <v>3.7119</v>
      </c>
      <c r="Y629" s="6">
        <v>1.244</v>
      </c>
      <c r="Z629" s="6">
        <v>641</v>
      </c>
      <c r="AN629" s="17">
        <v>623</v>
      </c>
      <c r="AO629" s="6">
        <v>2.7847</v>
      </c>
      <c r="AP629" s="6">
        <v>3.6263999999999998</v>
      </c>
      <c r="AQ629" s="6">
        <v>2.6827999999999999</v>
      </c>
      <c r="AR629" s="6">
        <v>347</v>
      </c>
      <c r="AT629" s="17">
        <v>623</v>
      </c>
      <c r="AU629" s="6">
        <v>5.27658</v>
      </c>
      <c r="AV629" s="6">
        <v>3.6263999999999998</v>
      </c>
      <c r="AW629" s="6">
        <v>2.6827999999999999</v>
      </c>
      <c r="AX629" s="6">
        <v>347</v>
      </c>
    </row>
    <row r="630" spans="22:50" x14ac:dyDescent="0.25">
      <c r="V630" s="17">
        <v>624</v>
      </c>
      <c r="W630" s="6">
        <v>1.2819</v>
      </c>
      <c r="X630" s="19">
        <v>-1.0076000000000001</v>
      </c>
      <c r="Y630" s="6">
        <v>1.2358</v>
      </c>
      <c r="Z630" s="6">
        <v>607</v>
      </c>
      <c r="AN630" s="17">
        <v>624</v>
      </c>
      <c r="AO630" s="6">
        <v>2.7812800000000002</v>
      </c>
      <c r="AP630" s="19">
        <v>-1.0256000000000001</v>
      </c>
      <c r="AQ630" s="6">
        <v>2.6795</v>
      </c>
      <c r="AR630" s="6">
        <v>346</v>
      </c>
      <c r="AT630" s="17">
        <v>624</v>
      </c>
      <c r="AU630" s="6">
        <v>5.2701500000000001</v>
      </c>
      <c r="AV630" s="19">
        <v>-1.0256000000000001</v>
      </c>
      <c r="AW630" s="6">
        <v>2.6795</v>
      </c>
      <c r="AX630" s="6">
        <v>346</v>
      </c>
    </row>
    <row r="631" spans="22:50" x14ac:dyDescent="0.25">
      <c r="V631" s="17">
        <v>625</v>
      </c>
      <c r="W631" s="6">
        <v>1.2788299999999999</v>
      </c>
      <c r="X631" s="19">
        <v>-3.7039999999999997E-2</v>
      </c>
      <c r="Y631" s="6">
        <v>1.2327999999999999</v>
      </c>
      <c r="Z631" s="6">
        <v>608</v>
      </c>
      <c r="AN631" s="17">
        <v>625</v>
      </c>
      <c r="AO631" s="6">
        <v>2.7793999999999999</v>
      </c>
      <c r="AP631" s="6">
        <v>5.3600000000000002E-2</v>
      </c>
      <c r="AQ631" s="6">
        <v>2.6777000000000002</v>
      </c>
      <c r="AR631" s="6">
        <v>344</v>
      </c>
      <c r="AT631" s="17">
        <v>625</v>
      </c>
      <c r="AU631" s="6">
        <v>5.26661</v>
      </c>
      <c r="AV631" s="6">
        <v>5.3600000000000002E-2</v>
      </c>
      <c r="AW631" s="6">
        <v>2.6777000000000002</v>
      </c>
      <c r="AX631" s="6">
        <v>344</v>
      </c>
    </row>
    <row r="632" spans="22:50" x14ac:dyDescent="0.25">
      <c r="V632" s="17">
        <v>626</v>
      </c>
      <c r="W632" s="6">
        <v>1.28108</v>
      </c>
      <c r="X632" s="6">
        <v>6.2520000000000006E-2</v>
      </c>
      <c r="Y632" s="6">
        <v>1.2350000000000001</v>
      </c>
      <c r="Z632" s="6">
        <v>624</v>
      </c>
      <c r="AN632" s="17">
        <v>626</v>
      </c>
      <c r="AO632" s="6">
        <v>2.78085</v>
      </c>
      <c r="AP632" s="6">
        <v>8.2059999999999998E-3</v>
      </c>
      <c r="AQ632" s="6">
        <v>2.6791</v>
      </c>
      <c r="AR632" s="6">
        <v>345</v>
      </c>
      <c r="AT632" s="17">
        <v>626</v>
      </c>
      <c r="AU632" s="6">
        <v>5.2693500000000002</v>
      </c>
      <c r="AV632" s="6">
        <v>8.2059999999999998E-3</v>
      </c>
      <c r="AW632" s="6">
        <v>2.6791</v>
      </c>
      <c r="AX632" s="6">
        <v>345</v>
      </c>
    </row>
    <row r="633" spans="22:50" x14ac:dyDescent="0.25">
      <c r="V633" s="17">
        <v>627</v>
      </c>
      <c r="W633" s="6">
        <v>1.2890200000000001</v>
      </c>
      <c r="X633" s="19">
        <v>-1.4074</v>
      </c>
      <c r="Y633" s="6">
        <v>1.2426999999999999</v>
      </c>
      <c r="Z633" s="6">
        <v>631</v>
      </c>
      <c r="AN633" s="17">
        <v>627</v>
      </c>
      <c r="AO633" s="6">
        <v>2.7840400000000001</v>
      </c>
      <c r="AP633" s="19">
        <v>-1.5284</v>
      </c>
      <c r="AQ633" s="6">
        <v>2.6821999999999999</v>
      </c>
      <c r="AR633" s="6">
        <v>347</v>
      </c>
      <c r="AT633" s="17">
        <v>627</v>
      </c>
      <c r="AU633" s="6">
        <v>5.2753399999999999</v>
      </c>
      <c r="AV633" s="19">
        <v>-1.5284</v>
      </c>
      <c r="AW633" s="6">
        <v>2.6821999999999999</v>
      </c>
      <c r="AX633" s="6">
        <v>347</v>
      </c>
    </row>
    <row r="634" spans="22:50" x14ac:dyDescent="0.25">
      <c r="V634" s="17">
        <v>628</v>
      </c>
      <c r="W634" s="6">
        <v>1.28698</v>
      </c>
      <c r="X634" s="19">
        <v>-3.3956</v>
      </c>
      <c r="Y634" s="6">
        <v>1.2406999999999999</v>
      </c>
      <c r="Z634" s="6">
        <v>630</v>
      </c>
      <c r="AN634" s="17">
        <v>628</v>
      </c>
      <c r="AO634" s="6">
        <v>2.7833100000000002</v>
      </c>
      <c r="AP634" s="19">
        <v>-3.5941999999999998</v>
      </c>
      <c r="AQ634" s="6">
        <v>2.6815000000000002</v>
      </c>
      <c r="AR634" s="6">
        <v>346</v>
      </c>
      <c r="AT634" s="17">
        <v>628</v>
      </c>
      <c r="AU634" s="6">
        <v>5.2739799999999999</v>
      </c>
      <c r="AV634" s="19">
        <v>-3.5941999999999998</v>
      </c>
      <c r="AW634" s="6">
        <v>2.6815000000000002</v>
      </c>
      <c r="AX634" s="6">
        <v>346</v>
      </c>
    </row>
    <row r="635" spans="22:50" x14ac:dyDescent="0.25">
      <c r="V635" s="17">
        <v>629</v>
      </c>
      <c r="W635" s="6">
        <v>1.2687999999999999</v>
      </c>
      <c r="X635" s="19">
        <v>-0.1958</v>
      </c>
      <c r="Y635" s="6">
        <v>1.2232000000000001</v>
      </c>
      <c r="Z635" s="6">
        <v>619</v>
      </c>
      <c r="AN635" s="17">
        <v>629</v>
      </c>
      <c r="AO635" s="6">
        <v>2.7759200000000002</v>
      </c>
      <c r="AP635" s="19">
        <v>-0.38819999999999999</v>
      </c>
      <c r="AQ635" s="6">
        <v>2.6743000000000001</v>
      </c>
      <c r="AR635" s="6">
        <v>343</v>
      </c>
      <c r="AT635" s="17">
        <v>629</v>
      </c>
      <c r="AU635" s="6">
        <v>5.2600600000000002</v>
      </c>
      <c r="AV635" s="19">
        <v>-0.38819999999999999</v>
      </c>
      <c r="AW635" s="6">
        <v>2.6743000000000001</v>
      </c>
      <c r="AX635" s="6">
        <v>343</v>
      </c>
    </row>
    <row r="636" spans="22:50" x14ac:dyDescent="0.25">
      <c r="V636" s="17">
        <v>630</v>
      </c>
      <c r="W636" s="6">
        <v>1.2772600000000001</v>
      </c>
      <c r="X636" s="6">
        <v>3.8380999999999998</v>
      </c>
      <c r="Y636" s="6">
        <v>1.2313000000000001</v>
      </c>
      <c r="Z636" s="6">
        <v>624</v>
      </c>
      <c r="AN636" s="17">
        <v>630</v>
      </c>
      <c r="AO636" s="6">
        <v>2.77983</v>
      </c>
      <c r="AP636" s="6">
        <v>3.7559999999999998</v>
      </c>
      <c r="AQ636" s="6">
        <v>2.6781000000000001</v>
      </c>
      <c r="AR636" s="6">
        <v>345</v>
      </c>
      <c r="AT636" s="17">
        <v>630</v>
      </c>
      <c r="AU636" s="6">
        <v>5.2674200000000004</v>
      </c>
      <c r="AV636" s="6">
        <v>3.7559999999999998</v>
      </c>
      <c r="AW636" s="6">
        <v>2.6781000000000001</v>
      </c>
      <c r="AX636" s="6">
        <v>345</v>
      </c>
    </row>
    <row r="637" spans="22:50" x14ac:dyDescent="0.25">
      <c r="V637" s="17">
        <v>631</v>
      </c>
      <c r="W637" s="6">
        <v>1.28173</v>
      </c>
      <c r="X637" s="6">
        <v>1.7517</v>
      </c>
      <c r="Y637" s="6">
        <v>1.2356</v>
      </c>
      <c r="Z637" s="6">
        <v>598</v>
      </c>
      <c r="AN637" s="17">
        <v>631</v>
      </c>
      <c r="AO637" s="6">
        <v>2.77976</v>
      </c>
      <c r="AP637" s="6">
        <v>1.6547000000000001</v>
      </c>
      <c r="AQ637" s="6">
        <v>2.6779999999999999</v>
      </c>
      <c r="AR637" s="6">
        <v>344</v>
      </c>
      <c r="AT637" s="17">
        <v>631</v>
      </c>
      <c r="AU637" s="6">
        <v>5.2673199999999998</v>
      </c>
      <c r="AV637" s="6">
        <v>1.6547000000000001</v>
      </c>
      <c r="AW637" s="6">
        <v>2.6779999999999999</v>
      </c>
      <c r="AX637" s="6">
        <v>344</v>
      </c>
    </row>
    <row r="638" spans="22:50" x14ac:dyDescent="0.25">
      <c r="V638" s="17">
        <v>632</v>
      </c>
      <c r="W638" s="6">
        <v>1.2838000000000001</v>
      </c>
      <c r="X638" s="6">
        <v>0.38490000000000002</v>
      </c>
      <c r="Y638" s="6">
        <v>1.2376</v>
      </c>
      <c r="Z638" s="6">
        <v>607</v>
      </c>
      <c r="AN638" s="17">
        <v>632</v>
      </c>
      <c r="AO638" s="6">
        <v>2.78138</v>
      </c>
      <c r="AP638" s="6">
        <v>0.30070000000000002</v>
      </c>
      <c r="AQ638" s="6">
        <v>2.6796000000000002</v>
      </c>
      <c r="AR638" s="6">
        <v>345</v>
      </c>
      <c r="AT638" s="17">
        <v>632</v>
      </c>
      <c r="AU638" s="6">
        <v>5.2703499999999996</v>
      </c>
      <c r="AV638" s="6">
        <v>0.30070000000000002</v>
      </c>
      <c r="AW638" s="6">
        <v>2.6796000000000002</v>
      </c>
      <c r="AX638" s="6">
        <v>345</v>
      </c>
    </row>
    <row r="639" spans="22:50" x14ac:dyDescent="0.25">
      <c r="V639" s="17">
        <v>633</v>
      </c>
      <c r="W639" s="6">
        <v>1.2873399999999999</v>
      </c>
      <c r="X639" s="6">
        <v>1.3908</v>
      </c>
      <c r="Y639" s="6">
        <v>1.2411000000000001</v>
      </c>
      <c r="Z639" s="6">
        <v>628</v>
      </c>
      <c r="AN639" s="17">
        <v>633</v>
      </c>
      <c r="AO639" s="6">
        <v>2.7835000000000001</v>
      </c>
      <c r="AP639" s="6">
        <v>1.3252999999999999</v>
      </c>
      <c r="AQ639" s="6">
        <v>2.6816</v>
      </c>
      <c r="AR639" s="6">
        <v>346</v>
      </c>
      <c r="AT639" s="17">
        <v>633</v>
      </c>
      <c r="AU639" s="6">
        <v>5.2743200000000003</v>
      </c>
      <c r="AV639" s="6">
        <v>1.3252999999999999</v>
      </c>
      <c r="AW639" s="6">
        <v>2.6816</v>
      </c>
      <c r="AX639" s="6">
        <v>346</v>
      </c>
    </row>
    <row r="640" spans="22:50" x14ac:dyDescent="0.25">
      <c r="V640" s="17">
        <v>634</v>
      </c>
      <c r="W640" s="6">
        <v>1.3143100000000001</v>
      </c>
      <c r="X640" s="6">
        <v>5.3722000000000003</v>
      </c>
      <c r="Y640" s="6">
        <v>1.2670999999999999</v>
      </c>
      <c r="Z640" s="6">
        <v>643</v>
      </c>
      <c r="AN640" s="17">
        <v>634</v>
      </c>
      <c r="AO640" s="6">
        <v>2.7958799999999999</v>
      </c>
      <c r="AP640" s="6">
        <v>5.1859000000000002</v>
      </c>
      <c r="AQ640" s="6">
        <v>2.6936</v>
      </c>
      <c r="AR640" s="6">
        <v>352</v>
      </c>
      <c r="AT640" s="17">
        <v>634</v>
      </c>
      <c r="AU640" s="6">
        <v>5.2976099999999997</v>
      </c>
      <c r="AV640" s="6">
        <v>5.1859000000000002</v>
      </c>
      <c r="AW640" s="6">
        <v>2.6936</v>
      </c>
      <c r="AX640" s="6">
        <v>352</v>
      </c>
    </row>
    <row r="641" spans="22:50" x14ac:dyDescent="0.25">
      <c r="V641" s="17">
        <v>635</v>
      </c>
      <c r="W641" s="6">
        <v>1.30769</v>
      </c>
      <c r="X641" s="19">
        <v>-0.996</v>
      </c>
      <c r="Y641" s="6">
        <v>1.2606999999999999</v>
      </c>
      <c r="Z641" s="6">
        <v>618</v>
      </c>
      <c r="AN641" s="17">
        <v>635</v>
      </c>
      <c r="AO641" s="6">
        <v>2.79189</v>
      </c>
      <c r="AP641" s="19">
        <v>-1.0521</v>
      </c>
      <c r="AQ641" s="6">
        <v>2.6898</v>
      </c>
      <c r="AR641" s="6">
        <v>350</v>
      </c>
      <c r="AT641" s="17">
        <v>635</v>
      </c>
      <c r="AU641" s="6">
        <v>5.2900999999999998</v>
      </c>
      <c r="AV641" s="19">
        <v>-1.0521</v>
      </c>
      <c r="AW641" s="6">
        <v>2.6898</v>
      </c>
      <c r="AX641" s="6">
        <v>350</v>
      </c>
    </row>
    <row r="642" spans="22:50" x14ac:dyDescent="0.25">
      <c r="V642" s="17">
        <v>636</v>
      </c>
      <c r="W642" s="6">
        <v>1.2754000000000001</v>
      </c>
      <c r="X642" s="19">
        <v>-0.26179999999999998</v>
      </c>
      <c r="Y642" s="6">
        <v>1.2295</v>
      </c>
      <c r="Z642" s="6">
        <v>618</v>
      </c>
      <c r="AN642" s="17">
        <v>636</v>
      </c>
      <c r="AO642" s="6">
        <v>2.7776100000000001</v>
      </c>
      <c r="AP642" s="19">
        <v>-0.45469999999999999</v>
      </c>
      <c r="AQ642" s="6">
        <v>2.6758999999999999</v>
      </c>
      <c r="AR642" s="6">
        <v>343</v>
      </c>
      <c r="AT642" s="17">
        <v>636</v>
      </c>
      <c r="AU642" s="6">
        <v>5.2632599999999998</v>
      </c>
      <c r="AV642" s="19">
        <v>-0.45469999999999999</v>
      </c>
      <c r="AW642" s="6">
        <v>2.6758999999999999</v>
      </c>
      <c r="AX642" s="6">
        <v>343</v>
      </c>
    </row>
    <row r="643" spans="22:50" x14ac:dyDescent="0.25">
      <c r="V643" s="17">
        <v>637</v>
      </c>
      <c r="W643" s="6">
        <v>1.27877</v>
      </c>
      <c r="X643" s="19">
        <v>-0.2215</v>
      </c>
      <c r="Y643" s="6">
        <v>1.2327999999999999</v>
      </c>
      <c r="Z643" s="6">
        <v>632</v>
      </c>
      <c r="AN643" s="17">
        <v>637</v>
      </c>
      <c r="AO643" s="6">
        <v>2.78024</v>
      </c>
      <c r="AP643" s="19">
        <v>-0.1993</v>
      </c>
      <c r="AQ643" s="6">
        <v>2.6785000000000001</v>
      </c>
      <c r="AR643" s="6">
        <v>345</v>
      </c>
      <c r="AT643" s="17">
        <v>637</v>
      </c>
      <c r="AU643" s="6">
        <v>5.2681800000000001</v>
      </c>
      <c r="AV643" s="19">
        <v>-0.1993</v>
      </c>
      <c r="AW643" s="6">
        <v>2.6785000000000001</v>
      </c>
      <c r="AX643" s="6">
        <v>345</v>
      </c>
    </row>
    <row r="644" spans="22:50" x14ac:dyDescent="0.25">
      <c r="V644" s="17">
        <v>638</v>
      </c>
      <c r="W644" s="6">
        <v>1.2890200000000001</v>
      </c>
      <c r="X644" s="19">
        <v>-4.9409999999999998</v>
      </c>
      <c r="Y644" s="6">
        <v>1.2426999999999999</v>
      </c>
      <c r="Z644" s="6">
        <v>621</v>
      </c>
      <c r="AN644" s="17">
        <v>638</v>
      </c>
      <c r="AO644" s="6">
        <v>2.7838599999999998</v>
      </c>
      <c r="AP644" s="19">
        <v>-4.8513000000000002</v>
      </c>
      <c r="AQ644" s="6">
        <v>2.6819999999999999</v>
      </c>
      <c r="AR644" s="6">
        <v>346</v>
      </c>
      <c r="AT644" s="17">
        <v>638</v>
      </c>
      <c r="AU644" s="6">
        <v>5.27501</v>
      </c>
      <c r="AV644" s="19">
        <v>-4.8513000000000002</v>
      </c>
      <c r="AW644" s="6">
        <v>2.6819999999999999</v>
      </c>
      <c r="AX644" s="6">
        <v>346</v>
      </c>
    </row>
    <row r="645" spans="22:50" x14ac:dyDescent="0.25">
      <c r="V645" s="17">
        <v>639</v>
      </c>
      <c r="W645" s="6">
        <v>1.2534099999999999</v>
      </c>
      <c r="X645" s="19">
        <v>-3.9704999999999999</v>
      </c>
      <c r="Y645" s="6">
        <v>1.2082999999999999</v>
      </c>
      <c r="Z645" s="6">
        <v>620</v>
      </c>
      <c r="AN645" s="17">
        <v>639</v>
      </c>
      <c r="AO645" s="6">
        <v>2.7691599999999998</v>
      </c>
      <c r="AP645" s="19">
        <v>-3.7721</v>
      </c>
      <c r="AQ645" s="6">
        <v>2.6677</v>
      </c>
      <c r="AR645" s="6">
        <v>340</v>
      </c>
      <c r="AT645" s="17">
        <v>639</v>
      </c>
      <c r="AU645" s="6">
        <v>5.2473599999999996</v>
      </c>
      <c r="AV645" s="19">
        <v>-3.7721</v>
      </c>
      <c r="AW645" s="6">
        <v>2.6677</v>
      </c>
      <c r="AX645" s="6">
        <v>340</v>
      </c>
    </row>
    <row r="646" spans="22:50" x14ac:dyDescent="0.25">
      <c r="V646" s="17">
        <v>640</v>
      </c>
      <c r="W646" s="6">
        <v>1.2627699999999999</v>
      </c>
      <c r="X646" s="19">
        <v>-3.8708999999999998</v>
      </c>
      <c r="Y646" s="6">
        <v>1.2174</v>
      </c>
      <c r="Z646" s="6">
        <v>629</v>
      </c>
      <c r="AN646" s="17">
        <v>640</v>
      </c>
      <c r="AO646" s="6">
        <v>2.7732299999999999</v>
      </c>
      <c r="AP646" s="19">
        <v>-3.8174999999999999</v>
      </c>
      <c r="AQ646" s="6">
        <v>2.6717</v>
      </c>
      <c r="AR646" s="6">
        <v>342</v>
      </c>
      <c r="AT646" s="17">
        <v>640</v>
      </c>
      <c r="AU646" s="6">
        <v>5.2549999999999999</v>
      </c>
      <c r="AV646" s="19">
        <v>-3.8174999999999999</v>
      </c>
      <c r="AW646" s="6">
        <v>2.6717</v>
      </c>
      <c r="AX646" s="6">
        <v>342</v>
      </c>
    </row>
    <row r="647" spans="22:50" x14ac:dyDescent="0.25">
      <c r="V647" s="17">
        <v>641</v>
      </c>
      <c r="W647" s="6">
        <v>1.2951299999999999</v>
      </c>
      <c r="X647" s="19">
        <v>-5.3407999999999998</v>
      </c>
      <c r="Y647" s="6">
        <v>1.2485999999999999</v>
      </c>
      <c r="Z647" s="6">
        <v>639</v>
      </c>
      <c r="AN647" s="17">
        <v>641</v>
      </c>
      <c r="AO647" s="6">
        <v>2.786</v>
      </c>
      <c r="AP647" s="19">
        <v>-5.3540999999999999</v>
      </c>
      <c r="AQ647" s="6">
        <v>2.6840999999999999</v>
      </c>
      <c r="AR647" s="6">
        <v>347</v>
      </c>
      <c r="AT647" s="17">
        <v>641</v>
      </c>
      <c r="AU647" s="6">
        <v>5.2790400000000002</v>
      </c>
      <c r="AV647" s="19">
        <v>-5.3540999999999999</v>
      </c>
      <c r="AW647" s="6">
        <v>2.6840999999999999</v>
      </c>
      <c r="AX647" s="6">
        <v>347</v>
      </c>
    </row>
    <row r="648" spans="22:50" x14ac:dyDescent="0.25">
      <c r="V648" s="17">
        <v>642</v>
      </c>
      <c r="W648" s="6">
        <v>1.2724599999999999</v>
      </c>
      <c r="X648" s="19">
        <v>-7.3289999999999997</v>
      </c>
      <c r="Y648" s="6">
        <v>1.2266999999999999</v>
      </c>
      <c r="Z648" s="6">
        <v>641</v>
      </c>
      <c r="AN648" s="17">
        <v>642</v>
      </c>
      <c r="AO648" s="6">
        <v>2.7782100000000001</v>
      </c>
      <c r="AP648" s="19">
        <v>-7.4199000000000002</v>
      </c>
      <c r="AQ648" s="6">
        <v>2.6764999999999999</v>
      </c>
      <c r="AR648" s="6">
        <v>344</v>
      </c>
      <c r="AT648" s="17">
        <v>642</v>
      </c>
      <c r="AU648" s="6">
        <v>5.2643700000000004</v>
      </c>
      <c r="AV648" s="19">
        <v>-7.4199000000000002</v>
      </c>
      <c r="AW648" s="6">
        <v>2.6764999999999999</v>
      </c>
      <c r="AX648" s="6">
        <v>344</v>
      </c>
    </row>
    <row r="649" spans="22:50" x14ac:dyDescent="0.25">
      <c r="V649" s="17">
        <v>643</v>
      </c>
      <c r="W649" s="6">
        <v>1.2790900000000001</v>
      </c>
      <c r="X649" s="19">
        <v>-4.1292</v>
      </c>
      <c r="Y649" s="6">
        <v>1.2332000000000001</v>
      </c>
      <c r="Z649" s="6">
        <v>656</v>
      </c>
      <c r="AN649" s="17">
        <v>643</v>
      </c>
      <c r="AO649" s="6">
        <v>2.7806500000000001</v>
      </c>
      <c r="AP649" s="19">
        <v>-4.2138999999999998</v>
      </c>
      <c r="AQ649" s="6">
        <v>2.6789000000000001</v>
      </c>
      <c r="AR649" s="6">
        <v>345</v>
      </c>
      <c r="AT649" s="17">
        <v>643</v>
      </c>
      <c r="AU649" s="6">
        <v>5.2689599999999999</v>
      </c>
      <c r="AV649" s="19">
        <v>-4.2138999999999998</v>
      </c>
      <c r="AW649" s="6">
        <v>2.6789000000000001</v>
      </c>
      <c r="AX649" s="6">
        <v>345</v>
      </c>
    </row>
    <row r="650" spans="22:50" x14ac:dyDescent="0.25">
      <c r="V650" s="17">
        <v>644</v>
      </c>
      <c r="W650" s="6">
        <v>1.2758799999999999</v>
      </c>
      <c r="X650" s="19">
        <v>-9.5339999999999994E-2</v>
      </c>
      <c r="Y650" s="6">
        <v>1.23</v>
      </c>
      <c r="Z650" s="6">
        <v>642</v>
      </c>
      <c r="AN650" s="17">
        <v>644</v>
      </c>
      <c r="AO650" s="6">
        <v>2.77948</v>
      </c>
      <c r="AP650" s="19">
        <v>-6.9699999999999998E-2</v>
      </c>
      <c r="AQ650" s="6">
        <v>2.6777000000000002</v>
      </c>
      <c r="AR650" s="6">
        <v>345</v>
      </c>
      <c r="AT650" s="17">
        <v>644</v>
      </c>
      <c r="AU650" s="6">
        <v>5.2667599999999997</v>
      </c>
      <c r="AV650" s="19">
        <v>-6.9699999999999998E-2</v>
      </c>
      <c r="AW650" s="6">
        <v>2.6777000000000002</v>
      </c>
      <c r="AX650" s="6">
        <v>345</v>
      </c>
    </row>
    <row r="651" spans="22:50" x14ac:dyDescent="0.25">
      <c r="V651" s="17">
        <v>645</v>
      </c>
      <c r="W651" s="6">
        <v>1.2743199999999999</v>
      </c>
      <c r="X651" s="19">
        <v>-2.1817000000000002</v>
      </c>
      <c r="Y651" s="6">
        <v>1.2284999999999999</v>
      </c>
      <c r="Z651" s="6">
        <v>625</v>
      </c>
      <c r="AN651" s="17">
        <v>645</v>
      </c>
      <c r="AO651" s="6">
        <v>2.7775599999999998</v>
      </c>
      <c r="AP651" s="19">
        <v>-2.1709999999999998</v>
      </c>
      <c r="AQ651" s="6">
        <v>2.6758999999999999</v>
      </c>
      <c r="AR651" s="6">
        <v>344</v>
      </c>
      <c r="AT651" s="17">
        <v>645</v>
      </c>
      <c r="AU651" s="6">
        <v>5.2631699999999997</v>
      </c>
      <c r="AV651" s="19">
        <v>-2.1709999999999998</v>
      </c>
      <c r="AW651" s="6">
        <v>2.6758999999999999</v>
      </c>
      <c r="AX651" s="6">
        <v>344</v>
      </c>
    </row>
    <row r="652" spans="22:50" x14ac:dyDescent="0.25">
      <c r="V652" s="17">
        <v>646</v>
      </c>
      <c r="W652" s="6">
        <v>1.2851600000000001</v>
      </c>
      <c r="X652" s="19">
        <v>-3.5485000000000002</v>
      </c>
      <c r="Y652" s="6">
        <v>1.2388999999999999</v>
      </c>
      <c r="Z652" s="6">
        <v>617</v>
      </c>
      <c r="AN652" s="17">
        <v>646</v>
      </c>
      <c r="AO652" s="6">
        <v>2.78226</v>
      </c>
      <c r="AP652" s="19">
        <v>-3.5249999999999999</v>
      </c>
      <c r="AQ652" s="6">
        <v>2.6804000000000001</v>
      </c>
      <c r="AR652" s="6">
        <v>346</v>
      </c>
      <c r="AT652" s="17">
        <v>646</v>
      </c>
      <c r="AU652" s="6">
        <v>5.2720000000000002</v>
      </c>
      <c r="AV652" s="19">
        <v>-3.5249999999999999</v>
      </c>
      <c r="AW652" s="6">
        <v>2.6804000000000001</v>
      </c>
      <c r="AX652" s="6">
        <v>346</v>
      </c>
    </row>
    <row r="653" spans="22:50" x14ac:dyDescent="0.25">
      <c r="V653" s="17">
        <v>647</v>
      </c>
      <c r="W653" s="6">
        <v>1.2644200000000001</v>
      </c>
      <c r="X653" s="19">
        <v>-2.5427</v>
      </c>
      <c r="Y653" s="6">
        <v>1.2189000000000001</v>
      </c>
      <c r="Z653" s="6">
        <v>616</v>
      </c>
      <c r="AN653" s="17">
        <v>647</v>
      </c>
      <c r="AO653" s="6">
        <v>2.7738</v>
      </c>
      <c r="AP653" s="19">
        <v>-2.5004</v>
      </c>
      <c r="AQ653" s="6">
        <v>2.6722000000000001</v>
      </c>
      <c r="AR653" s="6">
        <v>342</v>
      </c>
      <c r="AT653" s="17">
        <v>647</v>
      </c>
      <c r="AU653" s="6">
        <v>5.2560799999999999</v>
      </c>
      <c r="AV653" s="19">
        <v>-2.5004</v>
      </c>
      <c r="AW653" s="6">
        <v>2.6722000000000001</v>
      </c>
      <c r="AX653" s="6">
        <v>342</v>
      </c>
    </row>
    <row r="654" spans="22:50" x14ac:dyDescent="0.25">
      <c r="V654" s="17">
        <v>648</v>
      </c>
      <c r="W654" s="6">
        <v>1.2861499999999999</v>
      </c>
      <c r="X654" s="6">
        <v>1.4388000000000001</v>
      </c>
      <c r="Y654" s="6">
        <v>1.2399</v>
      </c>
      <c r="Z654" s="6">
        <v>639</v>
      </c>
      <c r="AN654" s="17">
        <v>648</v>
      </c>
      <c r="AO654" s="6">
        <v>2.78348</v>
      </c>
      <c r="AP654" s="6">
        <v>1.3602000000000001</v>
      </c>
      <c r="AQ654" s="6">
        <v>2.6816</v>
      </c>
      <c r="AR654" s="6">
        <v>347</v>
      </c>
      <c r="AT654" s="17">
        <v>648</v>
      </c>
      <c r="AU654" s="6">
        <v>5.2742899999999997</v>
      </c>
      <c r="AV654" s="6">
        <v>1.3602000000000001</v>
      </c>
      <c r="AW654" s="6">
        <v>2.6816</v>
      </c>
      <c r="AX654" s="6">
        <v>347</v>
      </c>
    </row>
    <row r="655" spans="22:50" x14ac:dyDescent="0.25">
      <c r="V655" s="17">
        <v>649</v>
      </c>
      <c r="W655" s="6">
        <v>1.2943100000000001</v>
      </c>
      <c r="X655" s="19">
        <v>-4.9295</v>
      </c>
      <c r="Y655" s="6">
        <v>1.2478</v>
      </c>
      <c r="Z655" s="6">
        <v>629</v>
      </c>
      <c r="AN655" s="17">
        <v>649</v>
      </c>
      <c r="AO655" s="6">
        <v>2.7864800000000001</v>
      </c>
      <c r="AP655" s="19">
        <v>-4.8777999999999997</v>
      </c>
      <c r="AQ655" s="6">
        <v>2.6844999999999999</v>
      </c>
      <c r="AR655" s="6">
        <v>348</v>
      </c>
      <c r="AT655" s="17">
        <v>649</v>
      </c>
      <c r="AU655" s="6">
        <v>5.2799399999999999</v>
      </c>
      <c r="AV655" s="19">
        <v>-4.8777999999999997</v>
      </c>
      <c r="AW655" s="6">
        <v>2.6844999999999999</v>
      </c>
      <c r="AX655" s="6">
        <v>348</v>
      </c>
    </row>
    <row r="656" spans="22:50" x14ac:dyDescent="0.25">
      <c r="V656" s="17">
        <v>650</v>
      </c>
      <c r="W656" s="6">
        <v>1.2186699999999999</v>
      </c>
      <c r="X656" s="19">
        <v>-4.1951999999999998</v>
      </c>
      <c r="Y656" s="6">
        <v>1.1748000000000001</v>
      </c>
      <c r="Z656" s="6">
        <v>581</v>
      </c>
      <c r="AN656" s="17">
        <v>650</v>
      </c>
      <c r="AO656" s="6">
        <v>2.7542800000000001</v>
      </c>
      <c r="AP656" s="19">
        <v>-4.2804000000000002</v>
      </c>
      <c r="AQ656" s="6">
        <v>2.6533000000000002</v>
      </c>
      <c r="AR656" s="6">
        <v>333</v>
      </c>
      <c r="AT656" s="17">
        <v>650</v>
      </c>
      <c r="AU656" s="6">
        <v>5.2193800000000001</v>
      </c>
      <c r="AV656" s="19">
        <v>-4.2804000000000002</v>
      </c>
      <c r="AW656" s="6">
        <v>2.6533000000000002</v>
      </c>
      <c r="AX656" s="6">
        <v>333</v>
      </c>
    </row>
    <row r="657" spans="22:50" x14ac:dyDescent="0.25">
      <c r="V657" s="17">
        <v>651</v>
      </c>
      <c r="W657" s="6">
        <v>1.29921</v>
      </c>
      <c r="X657" s="19">
        <v>-4.7195</v>
      </c>
      <c r="Y657" s="6">
        <v>1.2524999999999999</v>
      </c>
      <c r="Z657" s="6">
        <v>644</v>
      </c>
      <c r="AN657" s="17">
        <v>651</v>
      </c>
      <c r="AO657" s="6">
        <v>2.7879499999999999</v>
      </c>
      <c r="AP657" s="19">
        <v>-4.6520000000000001</v>
      </c>
      <c r="AQ657" s="6">
        <v>2.6859000000000002</v>
      </c>
      <c r="AR657" s="6">
        <v>348</v>
      </c>
      <c r="AT657" s="17">
        <v>651</v>
      </c>
      <c r="AU657" s="6">
        <v>5.2827000000000002</v>
      </c>
      <c r="AV657" s="19">
        <v>-4.6520000000000001</v>
      </c>
      <c r="AW657" s="6">
        <v>2.6859000000000002</v>
      </c>
      <c r="AX657" s="6">
        <v>348</v>
      </c>
    </row>
    <row r="658" spans="22:50" x14ac:dyDescent="0.25">
      <c r="V658" s="17">
        <v>652</v>
      </c>
      <c r="W658" s="6">
        <v>1.2566299999999999</v>
      </c>
      <c r="X658" s="19">
        <v>-3.7488999999999999</v>
      </c>
      <c r="Y658" s="6">
        <v>1.2114</v>
      </c>
      <c r="Z658" s="6">
        <v>615</v>
      </c>
      <c r="AN658" s="17">
        <v>652</v>
      </c>
      <c r="AO658" s="6">
        <v>2.77033</v>
      </c>
      <c r="AP658" s="19">
        <v>-3.5728</v>
      </c>
      <c r="AQ658" s="6">
        <v>2.6688999999999998</v>
      </c>
      <c r="AR658" s="6">
        <v>340</v>
      </c>
      <c r="AT658" s="17">
        <v>652</v>
      </c>
      <c r="AU658" s="6">
        <v>5.2495599999999998</v>
      </c>
      <c r="AV658" s="19">
        <v>-3.5728</v>
      </c>
      <c r="AW658" s="6">
        <v>2.6688999999999998</v>
      </c>
      <c r="AX658" s="6">
        <v>340</v>
      </c>
    </row>
    <row r="659" spans="22:50" x14ac:dyDescent="0.25">
      <c r="V659" s="17">
        <v>653</v>
      </c>
      <c r="W659" s="6">
        <v>1.27688</v>
      </c>
      <c r="X659" s="19">
        <v>-3.6494</v>
      </c>
      <c r="Y659" s="6">
        <v>1.2310000000000001</v>
      </c>
      <c r="Z659" s="6">
        <v>636</v>
      </c>
      <c r="AN659" s="17">
        <v>653</v>
      </c>
      <c r="AO659" s="6">
        <v>2.7789999999999999</v>
      </c>
      <c r="AP659" s="19">
        <v>-3.6181999999999999</v>
      </c>
      <c r="AQ659" s="6">
        <v>2.6772999999999998</v>
      </c>
      <c r="AR659" s="6">
        <v>344</v>
      </c>
      <c r="AT659" s="17">
        <v>653</v>
      </c>
      <c r="AU659" s="6">
        <v>5.26586</v>
      </c>
      <c r="AV659" s="19">
        <v>-3.6181999999999999</v>
      </c>
      <c r="AW659" s="6">
        <v>2.6772999999999998</v>
      </c>
      <c r="AX659" s="6">
        <v>344</v>
      </c>
    </row>
    <row r="660" spans="22:50" x14ac:dyDescent="0.25">
      <c r="V660" s="17">
        <v>654</v>
      </c>
      <c r="W660" s="6">
        <v>1.28759</v>
      </c>
      <c r="X660" s="19">
        <v>-5.1193</v>
      </c>
      <c r="Y660" s="6">
        <v>1.2413000000000001</v>
      </c>
      <c r="Z660" s="6">
        <v>640</v>
      </c>
      <c r="AN660" s="17">
        <v>654</v>
      </c>
      <c r="AO660" s="6">
        <v>2.7835899999999998</v>
      </c>
      <c r="AP660" s="19">
        <v>-5.1547999999999998</v>
      </c>
      <c r="AQ660" s="6">
        <v>2.6817000000000002</v>
      </c>
      <c r="AR660" s="6">
        <v>347</v>
      </c>
      <c r="AT660" s="17">
        <v>654</v>
      </c>
      <c r="AU660" s="6">
        <v>5.2744999999999997</v>
      </c>
      <c r="AV660" s="19">
        <v>-5.1547999999999998</v>
      </c>
      <c r="AW660" s="6">
        <v>2.6817000000000002</v>
      </c>
      <c r="AX660" s="6">
        <v>347</v>
      </c>
    </row>
    <row r="661" spans="22:50" x14ac:dyDescent="0.25">
      <c r="V661" s="17">
        <v>655</v>
      </c>
      <c r="W661" s="6">
        <v>1.2650699999999999</v>
      </c>
      <c r="X661" s="19">
        <v>-7.1074999999999999</v>
      </c>
      <c r="Y661" s="6">
        <v>1.2196</v>
      </c>
      <c r="Z661" s="6">
        <v>633</v>
      </c>
      <c r="AN661" s="17">
        <v>655</v>
      </c>
      <c r="AO661" s="6">
        <v>2.77407</v>
      </c>
      <c r="AP661" s="19">
        <v>-7.2205000000000004</v>
      </c>
      <c r="AQ661" s="6">
        <v>2.6724999999999999</v>
      </c>
      <c r="AR661" s="6">
        <v>342</v>
      </c>
      <c r="AT661" s="17">
        <v>655</v>
      </c>
      <c r="AU661" s="6">
        <v>5.2565900000000001</v>
      </c>
      <c r="AV661" s="19">
        <v>-7.2205000000000004</v>
      </c>
      <c r="AW661" s="6">
        <v>2.6724999999999999</v>
      </c>
      <c r="AX661" s="6">
        <v>342</v>
      </c>
    </row>
    <row r="662" spans="22:50" x14ac:dyDescent="0.25">
      <c r="V662" s="17">
        <v>656</v>
      </c>
      <c r="W662" s="6">
        <v>1.26471</v>
      </c>
      <c r="X662" s="19">
        <v>-3.9077000000000002</v>
      </c>
      <c r="Y662" s="6">
        <v>1.2192000000000001</v>
      </c>
      <c r="Z662" s="6">
        <v>630</v>
      </c>
      <c r="AN662" s="17">
        <v>656</v>
      </c>
      <c r="AO662" s="6">
        <v>2.77475</v>
      </c>
      <c r="AP662" s="19">
        <v>-4.0145</v>
      </c>
      <c r="AQ662" s="6">
        <v>2.6732</v>
      </c>
      <c r="AR662" s="6">
        <v>343</v>
      </c>
      <c r="AT662" s="17">
        <v>656</v>
      </c>
      <c r="AU662" s="6">
        <v>5.2578500000000004</v>
      </c>
      <c r="AV662" s="19">
        <v>-4.0145</v>
      </c>
      <c r="AW662" s="6">
        <v>2.6732</v>
      </c>
      <c r="AX662" s="6">
        <v>343</v>
      </c>
    </row>
    <row r="663" spans="22:50" x14ac:dyDescent="0.25">
      <c r="V663" s="17">
        <v>657</v>
      </c>
      <c r="W663" s="6">
        <v>1.26264</v>
      </c>
      <c r="X663" s="6">
        <v>0.12620000000000001</v>
      </c>
      <c r="Y663" s="6">
        <v>1.2172000000000001</v>
      </c>
      <c r="Z663" s="6">
        <v>627</v>
      </c>
      <c r="AN663" s="17">
        <v>657</v>
      </c>
      <c r="AO663" s="6">
        <v>2.77373</v>
      </c>
      <c r="AP663" s="6">
        <v>0.12959999999999999</v>
      </c>
      <c r="AQ663" s="6">
        <v>2.6722000000000001</v>
      </c>
      <c r="AR663" s="6">
        <v>342</v>
      </c>
      <c r="AT663" s="17">
        <v>657</v>
      </c>
      <c r="AU663" s="6">
        <v>5.2559500000000003</v>
      </c>
      <c r="AV663" s="6">
        <v>0.12959999999999999</v>
      </c>
      <c r="AW663" s="6">
        <v>2.6722000000000001</v>
      </c>
      <c r="AX663" s="6">
        <v>342</v>
      </c>
    </row>
    <row r="664" spans="22:50" x14ac:dyDescent="0.25">
      <c r="V664" s="17">
        <v>658</v>
      </c>
      <c r="W664" s="6">
        <v>1.28064</v>
      </c>
      <c r="X664" s="19">
        <v>-1.9601999999999999</v>
      </c>
      <c r="Y664" s="6">
        <v>1.2345999999999999</v>
      </c>
      <c r="Z664" s="6">
        <v>626</v>
      </c>
      <c r="AN664" s="17">
        <v>658</v>
      </c>
      <c r="AO664" s="6">
        <v>2.7801100000000001</v>
      </c>
      <c r="AP664" s="19">
        <v>-1.9717</v>
      </c>
      <c r="AQ664" s="6">
        <v>2.6783000000000001</v>
      </c>
      <c r="AR664" s="6">
        <v>345</v>
      </c>
      <c r="AT664" s="17">
        <v>658</v>
      </c>
      <c r="AU664" s="6">
        <v>5.2679499999999999</v>
      </c>
      <c r="AV664" s="19">
        <v>-1.9717</v>
      </c>
      <c r="AW664" s="6">
        <v>2.6783000000000001</v>
      </c>
      <c r="AX664" s="6">
        <v>345</v>
      </c>
    </row>
    <row r="665" spans="22:50" x14ac:dyDescent="0.25">
      <c r="V665" s="17">
        <v>659</v>
      </c>
      <c r="W665" s="6">
        <v>1.28887</v>
      </c>
      <c r="X665" s="19">
        <v>-3.327</v>
      </c>
      <c r="Y665" s="6">
        <v>1.2425999999999999</v>
      </c>
      <c r="Z665" s="6">
        <v>644</v>
      </c>
      <c r="AN665" s="17">
        <v>659</v>
      </c>
      <c r="AO665" s="6">
        <v>2.7852600000000001</v>
      </c>
      <c r="AP665" s="19">
        <v>-3.3256999999999999</v>
      </c>
      <c r="AQ665" s="6">
        <v>2.6833</v>
      </c>
      <c r="AR665" s="6">
        <v>348</v>
      </c>
      <c r="AT665" s="17">
        <v>659</v>
      </c>
      <c r="AU665" s="6">
        <v>5.2776199999999998</v>
      </c>
      <c r="AV665" s="19">
        <v>-3.3256999999999999</v>
      </c>
      <c r="AW665" s="6">
        <v>2.6833</v>
      </c>
      <c r="AX665" s="6">
        <v>348</v>
      </c>
    </row>
    <row r="666" spans="22:50" x14ac:dyDescent="0.25">
      <c r="V666" s="17">
        <v>660</v>
      </c>
      <c r="W666" s="6">
        <v>1.2578400000000001</v>
      </c>
      <c r="X666" s="19">
        <v>-2.3210999999999999</v>
      </c>
      <c r="Y666" s="6">
        <v>1.2125999999999999</v>
      </c>
      <c r="Z666" s="6">
        <v>616</v>
      </c>
      <c r="AN666" s="17">
        <v>660</v>
      </c>
      <c r="AO666" s="6">
        <v>2.77081</v>
      </c>
      <c r="AP666" s="19">
        <v>-2.3010000000000002</v>
      </c>
      <c r="AQ666" s="6">
        <v>2.6692999999999998</v>
      </c>
      <c r="AR666" s="6">
        <v>341</v>
      </c>
      <c r="AT666" s="17">
        <v>660</v>
      </c>
      <c r="AU666" s="6">
        <v>5.25047</v>
      </c>
      <c r="AV666" s="19">
        <v>-2.3010000000000002</v>
      </c>
      <c r="AW666" s="6">
        <v>2.6692999999999998</v>
      </c>
      <c r="AX666" s="6">
        <v>341</v>
      </c>
    </row>
    <row r="667" spans="22:50" x14ac:dyDescent="0.25">
      <c r="V667" s="17">
        <v>661</v>
      </c>
      <c r="W667" s="6">
        <v>1.2829200000000001</v>
      </c>
      <c r="X667" s="6">
        <v>1.6603000000000001</v>
      </c>
      <c r="Y667" s="6">
        <v>1.2367999999999999</v>
      </c>
      <c r="Z667" s="6">
        <v>624</v>
      </c>
      <c r="AN667" s="17">
        <v>661</v>
      </c>
      <c r="AO667" s="6">
        <v>2.7826900000000001</v>
      </c>
      <c r="AP667" s="6">
        <v>1.5595000000000001</v>
      </c>
      <c r="AQ667" s="6">
        <v>2.6808000000000001</v>
      </c>
      <c r="AR667" s="6">
        <v>347</v>
      </c>
      <c r="AT667" s="17">
        <v>661</v>
      </c>
      <c r="AU667" s="6">
        <v>5.27278</v>
      </c>
      <c r="AV667" s="6">
        <v>1.5595000000000001</v>
      </c>
      <c r="AW667" s="6">
        <v>2.6808000000000001</v>
      </c>
      <c r="AX667" s="6">
        <v>347</v>
      </c>
    </row>
    <row r="668" spans="22:50" x14ac:dyDescent="0.25">
      <c r="V668" s="17">
        <v>662</v>
      </c>
      <c r="W668" s="6">
        <v>1.30531</v>
      </c>
      <c r="X668" s="19">
        <v>-4.7079000000000004</v>
      </c>
      <c r="Y668" s="6">
        <v>1.2584</v>
      </c>
      <c r="Z668" s="6">
        <v>644</v>
      </c>
      <c r="AN668" s="17">
        <v>662</v>
      </c>
      <c r="AO668" s="6">
        <v>2.79149</v>
      </c>
      <c r="AP668" s="19">
        <v>-4.6784999999999997</v>
      </c>
      <c r="AQ668" s="6">
        <v>2.6894</v>
      </c>
      <c r="AR668" s="6">
        <v>350</v>
      </c>
      <c r="AT668" s="17">
        <v>662</v>
      </c>
      <c r="AU668" s="6">
        <v>5.2893499999999998</v>
      </c>
      <c r="AV668" s="19">
        <v>-4.6784999999999997</v>
      </c>
      <c r="AW668" s="6">
        <v>2.6894</v>
      </c>
      <c r="AX668" s="6">
        <v>350</v>
      </c>
    </row>
    <row r="669" spans="22:50" x14ac:dyDescent="0.25">
      <c r="V669" s="17">
        <v>663</v>
      </c>
      <c r="W669" s="6">
        <v>1.27372</v>
      </c>
      <c r="X669" s="19">
        <v>-3.9737</v>
      </c>
      <c r="Y669" s="6">
        <v>1.2279</v>
      </c>
      <c r="Z669" s="6">
        <v>631</v>
      </c>
      <c r="AN669" s="17">
        <v>663</v>
      </c>
      <c r="AO669" s="6">
        <v>2.7778499999999999</v>
      </c>
      <c r="AP669" s="19">
        <v>-4.0810000000000004</v>
      </c>
      <c r="AQ669" s="6">
        <v>2.6762000000000001</v>
      </c>
      <c r="AR669" s="6">
        <v>344</v>
      </c>
      <c r="AT669" s="17">
        <v>663</v>
      </c>
      <c r="AU669" s="6">
        <v>5.2636900000000004</v>
      </c>
      <c r="AV669" s="19">
        <v>-4.0810000000000004</v>
      </c>
      <c r="AW669" s="6">
        <v>2.6762000000000001</v>
      </c>
      <c r="AX669" s="6">
        <v>344</v>
      </c>
    </row>
    <row r="670" spans="22:50" x14ac:dyDescent="0.25">
      <c r="V670" s="17">
        <v>664</v>
      </c>
      <c r="W670" s="6">
        <v>1.2826299999999999</v>
      </c>
      <c r="X670" s="6">
        <v>0.97050000000000003</v>
      </c>
      <c r="Y670" s="6">
        <v>1.2364999999999999</v>
      </c>
      <c r="Z670" s="6">
        <v>618</v>
      </c>
      <c r="AN670" s="17">
        <v>664</v>
      </c>
      <c r="AO670" s="6">
        <v>2.7804500000000001</v>
      </c>
      <c r="AP670" s="6">
        <v>1.0791999999999999</v>
      </c>
      <c r="AQ670" s="6">
        <v>2.6787000000000001</v>
      </c>
      <c r="AR670" s="6">
        <v>345</v>
      </c>
      <c r="AT670" s="17">
        <v>664</v>
      </c>
      <c r="AU670" s="6">
        <v>5.2686099999999998</v>
      </c>
      <c r="AV670" s="6">
        <v>1.0791999999999999</v>
      </c>
      <c r="AW670" s="6">
        <v>2.6787000000000001</v>
      </c>
      <c r="AX670" s="6">
        <v>345</v>
      </c>
    </row>
    <row r="671" spans="22:50" x14ac:dyDescent="0.25">
      <c r="V671" s="17">
        <v>665</v>
      </c>
      <c r="W671" s="6">
        <v>1.2766</v>
      </c>
      <c r="X671" s="6">
        <v>1.0701000000000001</v>
      </c>
      <c r="Y671" s="6">
        <v>1.2306999999999999</v>
      </c>
      <c r="Z671" s="6">
        <v>621</v>
      </c>
      <c r="AN671" s="17">
        <v>665</v>
      </c>
      <c r="AO671" s="6">
        <v>2.77949</v>
      </c>
      <c r="AP671" s="6">
        <v>1.0338000000000001</v>
      </c>
      <c r="AQ671" s="6">
        <v>2.6778</v>
      </c>
      <c r="AR671" s="6">
        <v>345</v>
      </c>
      <c r="AT671" s="17">
        <v>665</v>
      </c>
      <c r="AU671" s="6">
        <v>5.2667799999999998</v>
      </c>
      <c r="AV671" s="6">
        <v>1.0338000000000001</v>
      </c>
      <c r="AW671" s="6">
        <v>2.6778</v>
      </c>
      <c r="AX671" s="6">
        <v>345</v>
      </c>
    </row>
    <row r="672" spans="22:50" x14ac:dyDescent="0.25">
      <c r="V672" s="17">
        <v>666</v>
      </c>
      <c r="W672" s="6">
        <v>1.29966</v>
      </c>
      <c r="X672" s="19">
        <v>-0.39979999999999999</v>
      </c>
      <c r="Y672" s="6">
        <v>1.2528999999999999</v>
      </c>
      <c r="Z672" s="6">
        <v>631</v>
      </c>
      <c r="AN672" s="17">
        <v>666</v>
      </c>
      <c r="AO672" s="6">
        <v>2.78776</v>
      </c>
      <c r="AP672" s="19">
        <v>-0.50280000000000002</v>
      </c>
      <c r="AQ672" s="6">
        <v>2.6858</v>
      </c>
      <c r="AR672" s="6">
        <v>348</v>
      </c>
      <c r="AT672" s="17">
        <v>666</v>
      </c>
      <c r="AU672" s="6">
        <v>5.2823399999999996</v>
      </c>
      <c r="AV672" s="19">
        <v>-0.50280000000000002</v>
      </c>
      <c r="AW672" s="6">
        <v>2.6858</v>
      </c>
      <c r="AX672" s="6">
        <v>348</v>
      </c>
    </row>
    <row r="673" spans="22:50" x14ac:dyDescent="0.25">
      <c r="V673" s="17">
        <v>667</v>
      </c>
      <c r="W673" s="6">
        <v>1.2955099999999999</v>
      </c>
      <c r="X673" s="19">
        <v>-2.3879999999999999</v>
      </c>
      <c r="Y673" s="6">
        <v>1.2488999999999999</v>
      </c>
      <c r="Z673" s="6">
        <v>634</v>
      </c>
      <c r="AN673" s="17">
        <v>667</v>
      </c>
      <c r="AO673" s="6">
        <v>2.7868599999999999</v>
      </c>
      <c r="AP673" s="19">
        <v>-2.5686</v>
      </c>
      <c r="AQ673" s="6">
        <v>2.6848999999999998</v>
      </c>
      <c r="AR673" s="6">
        <v>348</v>
      </c>
      <c r="AT673" s="17">
        <v>667</v>
      </c>
      <c r="AU673" s="6">
        <v>5.2806499999999996</v>
      </c>
      <c r="AV673" s="19">
        <v>-2.5686</v>
      </c>
      <c r="AW673" s="6">
        <v>2.6848999999999998</v>
      </c>
      <c r="AX673" s="6">
        <v>348</v>
      </c>
    </row>
    <row r="674" spans="22:50" x14ac:dyDescent="0.25">
      <c r="V674" s="17">
        <v>668</v>
      </c>
      <c r="W674" s="6">
        <v>1.2790699999999999</v>
      </c>
      <c r="X674" s="6">
        <v>0.81179999999999997</v>
      </c>
      <c r="Y674" s="6">
        <v>1.2331000000000001</v>
      </c>
      <c r="Z674" s="6">
        <v>626</v>
      </c>
      <c r="AN674" s="17">
        <v>668</v>
      </c>
      <c r="AO674" s="6">
        <v>2.7797800000000001</v>
      </c>
      <c r="AP674" s="6">
        <v>0.63739999999999997</v>
      </c>
      <c r="AQ674" s="6">
        <v>2.6779999999999999</v>
      </c>
      <c r="AR674" s="6">
        <v>345</v>
      </c>
      <c r="AT674" s="17">
        <v>668</v>
      </c>
      <c r="AU674" s="6">
        <v>5.2673399999999999</v>
      </c>
      <c r="AV674" s="6">
        <v>0.63739999999999997</v>
      </c>
      <c r="AW674" s="6">
        <v>2.6779999999999999</v>
      </c>
      <c r="AX674" s="6">
        <v>345</v>
      </c>
    </row>
    <row r="675" spans="22:50" x14ac:dyDescent="0.25">
      <c r="V675" s="17">
        <v>669</v>
      </c>
      <c r="W675" s="6">
        <v>1.28793</v>
      </c>
      <c r="X675" s="6">
        <v>4.8456999999999999</v>
      </c>
      <c r="Y675" s="6">
        <v>1.2416</v>
      </c>
      <c r="Z675" s="6">
        <v>634</v>
      </c>
      <c r="AN675" s="17">
        <v>669</v>
      </c>
      <c r="AO675" s="6">
        <v>2.78416</v>
      </c>
      <c r="AP675" s="6">
        <v>4.7816000000000001</v>
      </c>
      <c r="AQ675" s="6">
        <v>2.6823000000000001</v>
      </c>
      <c r="AR675" s="6">
        <v>347</v>
      </c>
      <c r="AT675" s="17">
        <v>669</v>
      </c>
      <c r="AU675" s="6">
        <v>5.2755599999999996</v>
      </c>
      <c r="AV675" s="6">
        <v>4.7816000000000001</v>
      </c>
      <c r="AW675" s="6">
        <v>2.6823000000000001</v>
      </c>
      <c r="AX675" s="6">
        <v>347</v>
      </c>
    </row>
    <row r="676" spans="22:50" x14ac:dyDescent="0.25">
      <c r="V676" s="17">
        <v>670</v>
      </c>
      <c r="W676" s="6">
        <v>1.3138700000000001</v>
      </c>
      <c r="X676" s="6">
        <v>2.7591999999999999</v>
      </c>
      <c r="Y676" s="6">
        <v>1.2665999999999999</v>
      </c>
      <c r="Z676" s="6">
        <v>638</v>
      </c>
      <c r="AN676" s="17">
        <v>670</v>
      </c>
      <c r="AO676" s="6">
        <v>2.7942100000000001</v>
      </c>
      <c r="AP676" s="6">
        <v>2.6802999999999999</v>
      </c>
      <c r="AQ676" s="6">
        <v>2.6920000000000002</v>
      </c>
      <c r="AR676" s="6">
        <v>351</v>
      </c>
      <c r="AT676" s="17">
        <v>670</v>
      </c>
      <c r="AU676" s="6">
        <v>5.2944800000000001</v>
      </c>
      <c r="AV676" s="6">
        <v>2.6802999999999999</v>
      </c>
      <c r="AW676" s="6">
        <v>2.6920000000000002</v>
      </c>
      <c r="AX676" s="6">
        <v>351</v>
      </c>
    </row>
    <row r="677" spans="22:50" x14ac:dyDescent="0.25">
      <c r="V677" s="17">
        <v>671</v>
      </c>
      <c r="W677" s="6">
        <v>1.29477</v>
      </c>
      <c r="X677" s="6">
        <v>1.3925000000000001</v>
      </c>
      <c r="Y677" s="6">
        <v>1.2482</v>
      </c>
      <c r="Z677" s="6">
        <v>624</v>
      </c>
      <c r="AN677" s="17">
        <v>671</v>
      </c>
      <c r="AO677" s="6">
        <v>2.7865700000000002</v>
      </c>
      <c r="AP677" s="6">
        <v>1.3263</v>
      </c>
      <c r="AQ677" s="6">
        <v>2.6846000000000001</v>
      </c>
      <c r="AR677" s="6">
        <v>348</v>
      </c>
      <c r="AT677" s="17">
        <v>671</v>
      </c>
      <c r="AU677" s="6">
        <v>5.2801</v>
      </c>
      <c r="AV677" s="6">
        <v>1.3263</v>
      </c>
      <c r="AW677" s="6">
        <v>2.6846000000000001</v>
      </c>
      <c r="AX677" s="6">
        <v>348</v>
      </c>
    </row>
    <row r="678" spans="22:50" x14ac:dyDescent="0.25">
      <c r="V678" s="17">
        <v>672</v>
      </c>
      <c r="W678" s="6">
        <v>1.2856799999999999</v>
      </c>
      <c r="X678" s="6">
        <v>2.3982999999999999</v>
      </c>
      <c r="Y678" s="6">
        <v>1.2395</v>
      </c>
      <c r="Z678" s="6">
        <v>623</v>
      </c>
      <c r="AN678" s="17">
        <v>672</v>
      </c>
      <c r="AO678" s="6">
        <v>2.78302</v>
      </c>
      <c r="AP678" s="6">
        <v>2.3509000000000002</v>
      </c>
      <c r="AQ678" s="6">
        <v>2.6812</v>
      </c>
      <c r="AR678" s="6">
        <v>346</v>
      </c>
      <c r="AT678" s="17">
        <v>672</v>
      </c>
      <c r="AU678" s="6">
        <v>5.2734300000000003</v>
      </c>
      <c r="AV678" s="6">
        <v>2.3509000000000002</v>
      </c>
      <c r="AW678" s="6">
        <v>2.6812</v>
      </c>
      <c r="AX678" s="6">
        <v>346</v>
      </c>
    </row>
    <row r="679" spans="22:50" x14ac:dyDescent="0.25">
      <c r="V679" s="17">
        <v>673</v>
      </c>
      <c r="W679" s="6">
        <v>1.3019099999999999</v>
      </c>
      <c r="X679" s="6">
        <v>6.3798000000000004</v>
      </c>
      <c r="Y679" s="6">
        <v>1.2551000000000001</v>
      </c>
      <c r="Z679" s="6">
        <v>621</v>
      </c>
      <c r="AN679" s="17">
        <v>673</v>
      </c>
      <c r="AO679" s="6">
        <v>2.7897799999999999</v>
      </c>
      <c r="AP679" s="6">
        <v>6.2115</v>
      </c>
      <c r="AQ679" s="6">
        <v>2.6877</v>
      </c>
      <c r="AR679" s="6">
        <v>349</v>
      </c>
      <c r="AT679" s="17">
        <v>673</v>
      </c>
      <c r="AU679" s="6">
        <v>5.2861399999999996</v>
      </c>
      <c r="AV679" s="6">
        <v>6.2115</v>
      </c>
      <c r="AW679" s="6">
        <v>2.6877</v>
      </c>
      <c r="AX679" s="6">
        <v>349</v>
      </c>
    </row>
    <row r="680" spans="22:50" x14ac:dyDescent="0.25">
      <c r="V680" s="17">
        <v>674</v>
      </c>
      <c r="W680" s="6">
        <v>1.30026</v>
      </c>
      <c r="X680" s="6">
        <v>1.153E-2</v>
      </c>
      <c r="Y680" s="6">
        <v>1.2535000000000001</v>
      </c>
      <c r="Z680" s="6">
        <v>613</v>
      </c>
      <c r="AN680" s="17">
        <v>674</v>
      </c>
      <c r="AO680" s="6">
        <v>2.78748</v>
      </c>
      <c r="AP680" s="19">
        <v>-2.648E-2</v>
      </c>
      <c r="AQ680" s="6">
        <v>2.6855000000000002</v>
      </c>
      <c r="AR680" s="6">
        <v>348</v>
      </c>
      <c r="AT680" s="17">
        <v>674</v>
      </c>
      <c r="AU680" s="6">
        <v>5.2818399999999999</v>
      </c>
      <c r="AV680" s="19">
        <v>-2.648E-2</v>
      </c>
      <c r="AW680" s="6">
        <v>2.6855000000000002</v>
      </c>
      <c r="AX680" s="6">
        <v>348</v>
      </c>
    </row>
    <row r="681" spans="22:50" x14ac:dyDescent="0.25">
      <c r="V681" s="17">
        <v>675</v>
      </c>
      <c r="W681" s="6">
        <v>1.28139</v>
      </c>
      <c r="X681" s="6">
        <v>0.74580000000000002</v>
      </c>
      <c r="Y681" s="6">
        <v>1.2353000000000001</v>
      </c>
      <c r="Z681" s="6">
        <v>619</v>
      </c>
      <c r="AN681" s="17">
        <v>675</v>
      </c>
      <c r="AO681" s="6">
        <v>2.7807200000000001</v>
      </c>
      <c r="AP681" s="6">
        <v>0.57089999999999996</v>
      </c>
      <c r="AQ681" s="6">
        <v>2.6789000000000001</v>
      </c>
      <c r="AR681" s="6">
        <v>345</v>
      </c>
      <c r="AT681" s="17">
        <v>675</v>
      </c>
      <c r="AU681" s="6">
        <v>5.2691100000000004</v>
      </c>
      <c r="AV681" s="6">
        <v>0.57089999999999996</v>
      </c>
      <c r="AW681" s="6">
        <v>2.6789000000000001</v>
      </c>
      <c r="AX681" s="6">
        <v>345</v>
      </c>
    </row>
    <row r="682" spans="22:50" x14ac:dyDescent="0.25">
      <c r="V682" s="17">
        <v>676</v>
      </c>
      <c r="W682" s="6">
        <v>1.2775000000000001</v>
      </c>
      <c r="X682" s="6">
        <v>9.9559999999999996E-2</v>
      </c>
      <c r="Y682" s="6">
        <v>1.2316</v>
      </c>
      <c r="Z682" s="6">
        <v>622</v>
      </c>
      <c r="AN682" s="17">
        <v>676</v>
      </c>
      <c r="AO682" s="6">
        <v>2.7781799999999999</v>
      </c>
      <c r="AP682" s="19">
        <v>-4.5400000000000003E-2</v>
      </c>
      <c r="AQ682" s="6">
        <v>2.6764999999999999</v>
      </c>
      <c r="AR682" s="6">
        <v>344</v>
      </c>
      <c r="AT682" s="17">
        <v>676</v>
      </c>
      <c r="AU682" s="6">
        <v>5.2643300000000002</v>
      </c>
      <c r="AV682" s="19">
        <v>-4.5400000000000003E-2</v>
      </c>
      <c r="AW682" s="6">
        <v>2.6764999999999999</v>
      </c>
      <c r="AX682" s="6">
        <v>344</v>
      </c>
    </row>
    <row r="683" spans="22:50" x14ac:dyDescent="0.25">
      <c r="V683" s="17">
        <v>677</v>
      </c>
      <c r="W683" s="6">
        <v>1.26664</v>
      </c>
      <c r="X683" s="19">
        <v>-1.3704000000000001</v>
      </c>
      <c r="Y683" s="6">
        <v>1.2210000000000001</v>
      </c>
      <c r="Z683" s="6">
        <v>597</v>
      </c>
      <c r="AN683" s="17">
        <v>677</v>
      </c>
      <c r="AO683" s="6">
        <v>2.7738399999999999</v>
      </c>
      <c r="AP683" s="19">
        <v>-1.5820000000000001</v>
      </c>
      <c r="AQ683" s="6">
        <v>2.6722999999999999</v>
      </c>
      <c r="AR683" s="6">
        <v>342</v>
      </c>
      <c r="AT683" s="17">
        <v>677</v>
      </c>
      <c r="AU683" s="6">
        <v>5.25617</v>
      </c>
      <c r="AV683" s="19">
        <v>-1.5820000000000001</v>
      </c>
      <c r="AW683" s="6">
        <v>2.6722999999999999</v>
      </c>
      <c r="AX683" s="6">
        <v>342</v>
      </c>
    </row>
    <row r="684" spans="22:50" x14ac:dyDescent="0.25">
      <c r="V684" s="17">
        <v>678</v>
      </c>
      <c r="W684" s="6">
        <v>1.25417</v>
      </c>
      <c r="X684" s="19">
        <v>-3.3584999999999998</v>
      </c>
      <c r="Y684" s="6">
        <v>1.2090000000000001</v>
      </c>
      <c r="Z684" s="6">
        <v>604</v>
      </c>
      <c r="AN684" s="17">
        <v>678</v>
      </c>
      <c r="AO684" s="6">
        <v>2.7677499999999999</v>
      </c>
      <c r="AP684" s="19">
        <v>-3.6478000000000002</v>
      </c>
      <c r="AQ684" s="6">
        <v>2.6663999999999999</v>
      </c>
      <c r="AR684" s="6">
        <v>339</v>
      </c>
      <c r="AT684" s="17">
        <v>678</v>
      </c>
      <c r="AU684" s="6">
        <v>5.2447299999999997</v>
      </c>
      <c r="AV684" s="19">
        <v>-3.6478000000000002</v>
      </c>
      <c r="AW684" s="6">
        <v>2.6663999999999999</v>
      </c>
      <c r="AX684" s="6">
        <v>339</v>
      </c>
    </row>
    <row r="685" spans="22:50" x14ac:dyDescent="0.25">
      <c r="V685" s="17">
        <v>679</v>
      </c>
      <c r="W685" s="6">
        <v>1.2483200000000001</v>
      </c>
      <c r="X685" s="19">
        <v>-0.15870000000000001</v>
      </c>
      <c r="Y685" s="6">
        <v>1.2034</v>
      </c>
      <c r="Z685" s="6">
        <v>606</v>
      </c>
      <c r="AN685" s="17">
        <v>679</v>
      </c>
      <c r="AO685" s="6">
        <v>2.7669199999999998</v>
      </c>
      <c r="AP685" s="19">
        <v>-0.44180000000000003</v>
      </c>
      <c r="AQ685" s="6">
        <v>2.6656</v>
      </c>
      <c r="AR685" s="6">
        <v>339</v>
      </c>
      <c r="AT685" s="17">
        <v>679</v>
      </c>
      <c r="AU685" s="6">
        <v>5.24315</v>
      </c>
      <c r="AV685" s="19">
        <v>-0.44180000000000003</v>
      </c>
      <c r="AW685" s="6">
        <v>2.6656</v>
      </c>
      <c r="AX685" s="6">
        <v>339</v>
      </c>
    </row>
    <row r="686" spans="22:50" x14ac:dyDescent="0.25">
      <c r="V686" s="17">
        <v>680</v>
      </c>
      <c r="W686" s="6">
        <v>1.2385999999999999</v>
      </c>
      <c r="X686" s="6">
        <v>3.8751000000000002</v>
      </c>
      <c r="Y686" s="6">
        <v>1.194</v>
      </c>
      <c r="Z686" s="6">
        <v>611</v>
      </c>
      <c r="AN686" s="17">
        <v>680</v>
      </c>
      <c r="AO686" s="6">
        <v>2.7632300000000001</v>
      </c>
      <c r="AP686" s="6">
        <v>3.7023999999999999</v>
      </c>
      <c r="AQ686" s="6">
        <v>2.6619999999999999</v>
      </c>
      <c r="AR686" s="6">
        <v>337</v>
      </c>
      <c r="AT686" s="17">
        <v>680</v>
      </c>
      <c r="AU686" s="6">
        <v>5.2362000000000002</v>
      </c>
      <c r="AV686" s="6">
        <v>3.7023999999999999</v>
      </c>
      <c r="AW686" s="6">
        <v>2.6619999999999999</v>
      </c>
      <c r="AX686" s="6">
        <v>337</v>
      </c>
    </row>
    <row r="687" spans="22:50" x14ac:dyDescent="0.25">
      <c r="V687" s="17">
        <v>681</v>
      </c>
      <c r="W687" s="6">
        <v>1.2765899999999999</v>
      </c>
      <c r="X687" s="6">
        <v>1.7887</v>
      </c>
      <c r="Y687" s="6">
        <v>1.2306999999999999</v>
      </c>
      <c r="Z687" s="6">
        <v>614</v>
      </c>
      <c r="AN687" s="17">
        <v>681</v>
      </c>
      <c r="AO687" s="6">
        <v>2.7774700000000001</v>
      </c>
      <c r="AP687" s="6">
        <v>1.6011</v>
      </c>
      <c r="AQ687" s="6">
        <v>2.6758000000000002</v>
      </c>
      <c r="AR687" s="6">
        <v>343</v>
      </c>
      <c r="AT687" s="17">
        <v>681</v>
      </c>
      <c r="AU687" s="6">
        <v>5.2630100000000004</v>
      </c>
      <c r="AV687" s="6">
        <v>1.6011</v>
      </c>
      <c r="AW687" s="6">
        <v>2.6758000000000002</v>
      </c>
      <c r="AX687" s="6">
        <v>343</v>
      </c>
    </row>
    <row r="688" spans="22:50" x14ac:dyDescent="0.25">
      <c r="V688" s="17">
        <v>682</v>
      </c>
      <c r="W688" s="6">
        <v>1.27525</v>
      </c>
      <c r="X688" s="6">
        <v>0.42199999999999999</v>
      </c>
      <c r="Y688" s="6">
        <v>1.2294</v>
      </c>
      <c r="Z688" s="6">
        <v>611</v>
      </c>
      <c r="AN688" s="17">
        <v>682</v>
      </c>
      <c r="AO688" s="6">
        <v>2.77773</v>
      </c>
      <c r="AP688" s="6">
        <v>0.24709999999999999</v>
      </c>
      <c r="AQ688" s="6">
        <v>2.6760000000000002</v>
      </c>
      <c r="AR688" s="6">
        <v>344</v>
      </c>
      <c r="AT688" s="17">
        <v>682</v>
      </c>
      <c r="AU688" s="6">
        <v>5.26349</v>
      </c>
      <c r="AV688" s="6">
        <v>0.24709999999999999</v>
      </c>
      <c r="AW688" s="6">
        <v>2.6760000000000002</v>
      </c>
      <c r="AX688" s="6">
        <v>344</v>
      </c>
    </row>
    <row r="689" spans="22:50" x14ac:dyDescent="0.25">
      <c r="V689" s="17">
        <v>683</v>
      </c>
      <c r="W689" s="6">
        <v>1.2502200000000001</v>
      </c>
      <c r="X689" s="6">
        <v>1.4278</v>
      </c>
      <c r="Y689" s="6">
        <v>1.2052</v>
      </c>
      <c r="Z689" s="6">
        <v>599</v>
      </c>
      <c r="AN689" s="17">
        <v>683</v>
      </c>
      <c r="AO689" s="6">
        <v>2.76701</v>
      </c>
      <c r="AP689" s="6">
        <v>1.2717000000000001</v>
      </c>
      <c r="AQ689" s="6">
        <v>2.6657000000000002</v>
      </c>
      <c r="AR689" s="6">
        <v>339</v>
      </c>
      <c r="AT689" s="17">
        <v>683</v>
      </c>
      <c r="AU689" s="6">
        <v>5.2433300000000003</v>
      </c>
      <c r="AV689" s="6">
        <v>1.2717000000000001</v>
      </c>
      <c r="AW689" s="6">
        <v>2.6657000000000002</v>
      </c>
      <c r="AX689" s="6">
        <v>339</v>
      </c>
    </row>
    <row r="690" spans="22:50" x14ac:dyDescent="0.25">
      <c r="V690" s="17">
        <v>684</v>
      </c>
      <c r="W690" s="6">
        <v>1.2841899999999999</v>
      </c>
      <c r="X690" s="6">
        <v>5.4092000000000002</v>
      </c>
      <c r="Y690" s="6">
        <v>1.238</v>
      </c>
      <c r="Z690" s="6">
        <v>628</v>
      </c>
      <c r="AN690" s="17">
        <v>684</v>
      </c>
      <c r="AO690" s="6">
        <v>2.7818100000000001</v>
      </c>
      <c r="AP690" s="6">
        <v>5.1322999999999999</v>
      </c>
      <c r="AQ690" s="6">
        <v>2.68</v>
      </c>
      <c r="AR690" s="6">
        <v>346</v>
      </c>
      <c r="AT690" s="17">
        <v>684</v>
      </c>
      <c r="AU690" s="6">
        <v>5.2711600000000001</v>
      </c>
      <c r="AV690" s="6">
        <v>5.1322999999999999</v>
      </c>
      <c r="AW690" s="6">
        <v>2.68</v>
      </c>
      <c r="AX690" s="6">
        <v>346</v>
      </c>
    </row>
    <row r="691" spans="22:50" x14ac:dyDescent="0.25">
      <c r="V691" s="17">
        <v>685</v>
      </c>
      <c r="W691" s="6">
        <v>1.29375</v>
      </c>
      <c r="X691" s="19">
        <v>-0.95899999999999996</v>
      </c>
      <c r="Y691" s="6">
        <v>1.2472000000000001</v>
      </c>
      <c r="Z691" s="6">
        <v>622</v>
      </c>
      <c r="AN691" s="17">
        <v>685</v>
      </c>
      <c r="AO691" s="6">
        <v>2.7854800000000002</v>
      </c>
      <c r="AP691" s="19">
        <v>-1.1056999999999999</v>
      </c>
      <c r="AQ691" s="6">
        <v>2.6835</v>
      </c>
      <c r="AR691" s="6">
        <v>347</v>
      </c>
      <c r="AT691" s="17">
        <v>685</v>
      </c>
      <c r="AU691" s="6">
        <v>5.27806</v>
      </c>
      <c r="AV691" s="19">
        <v>-1.1056999999999999</v>
      </c>
      <c r="AW691" s="6">
        <v>2.6835</v>
      </c>
      <c r="AX691" s="6">
        <v>347</v>
      </c>
    </row>
    <row r="692" spans="22:50" x14ac:dyDescent="0.25">
      <c r="V692" s="17">
        <v>686</v>
      </c>
      <c r="W692" s="6">
        <v>1.2511699999999999</v>
      </c>
      <c r="X692" s="19">
        <v>-0.2248</v>
      </c>
      <c r="Y692" s="6">
        <v>1.2061999999999999</v>
      </c>
      <c r="Z692" s="6">
        <v>604</v>
      </c>
      <c r="AN692" s="17">
        <v>686</v>
      </c>
      <c r="AO692" s="6">
        <v>2.76789</v>
      </c>
      <c r="AP692" s="19">
        <v>-0.50829999999999997</v>
      </c>
      <c r="AQ692" s="6">
        <v>2.6665000000000001</v>
      </c>
      <c r="AR692" s="6">
        <v>339</v>
      </c>
      <c r="AT692" s="17">
        <v>686</v>
      </c>
      <c r="AU692" s="6">
        <v>5.24498</v>
      </c>
      <c r="AV692" s="19">
        <v>-0.50829999999999997</v>
      </c>
      <c r="AW692" s="6">
        <v>2.6665000000000001</v>
      </c>
      <c r="AX692" s="6">
        <v>339</v>
      </c>
    </row>
    <row r="693" spans="22:50" x14ac:dyDescent="0.25">
      <c r="V693" s="17">
        <v>687</v>
      </c>
      <c r="W693" s="6">
        <v>1.2966599999999999</v>
      </c>
      <c r="X693" s="19">
        <v>-1.4699</v>
      </c>
      <c r="Y693" s="6">
        <v>1.2501</v>
      </c>
      <c r="Z693" s="6">
        <v>641</v>
      </c>
      <c r="AN693" s="17">
        <v>687</v>
      </c>
      <c r="AO693" s="6">
        <v>2.7874699999999999</v>
      </c>
      <c r="AP693" s="19">
        <v>-1.5366</v>
      </c>
      <c r="AQ693" s="6">
        <v>2.6855000000000002</v>
      </c>
      <c r="AR693" s="6">
        <v>348</v>
      </c>
      <c r="AT693" s="17">
        <v>687</v>
      </c>
      <c r="AU693" s="6">
        <v>5.28179</v>
      </c>
      <c r="AV693" s="19">
        <v>-1.5366</v>
      </c>
      <c r="AW693" s="6">
        <v>2.6855000000000002</v>
      </c>
      <c r="AX693" s="6">
        <v>348</v>
      </c>
    </row>
    <row r="694" spans="22:50" x14ac:dyDescent="0.25">
      <c r="V694" s="17">
        <v>688</v>
      </c>
      <c r="W694" s="6">
        <v>1.24726</v>
      </c>
      <c r="X694" s="19">
        <v>-3.4581</v>
      </c>
      <c r="Y694" s="6">
        <v>1.2023999999999999</v>
      </c>
      <c r="Z694" s="6">
        <v>602</v>
      </c>
      <c r="AN694" s="17">
        <v>688</v>
      </c>
      <c r="AO694" s="6">
        <v>2.7664800000000001</v>
      </c>
      <c r="AP694" s="19">
        <v>-3.6023999999999998</v>
      </c>
      <c r="AQ694" s="6">
        <v>2.6650999999999998</v>
      </c>
      <c r="AR694" s="6">
        <v>339</v>
      </c>
      <c r="AT694" s="17">
        <v>688</v>
      </c>
      <c r="AU694" s="6">
        <v>5.2423200000000003</v>
      </c>
      <c r="AV694" s="19">
        <v>-3.6023999999999998</v>
      </c>
      <c r="AW694" s="6">
        <v>2.6650999999999998</v>
      </c>
      <c r="AX694" s="6">
        <v>339</v>
      </c>
    </row>
    <row r="695" spans="22:50" x14ac:dyDescent="0.25">
      <c r="V695" s="17">
        <v>689</v>
      </c>
      <c r="W695" s="6">
        <v>1.27003</v>
      </c>
      <c r="X695" s="19">
        <v>-0.25829999999999997</v>
      </c>
      <c r="Y695" s="6">
        <v>1.2243999999999999</v>
      </c>
      <c r="Z695" s="6">
        <v>631</v>
      </c>
      <c r="AN695" s="17">
        <v>689</v>
      </c>
      <c r="AO695" s="6">
        <v>2.7757999999999998</v>
      </c>
      <c r="AP695" s="19">
        <v>-0.39639999999999997</v>
      </c>
      <c r="AQ695" s="6">
        <v>2.6741999999999999</v>
      </c>
      <c r="AR695" s="6">
        <v>343</v>
      </c>
      <c r="AT695" s="17">
        <v>689</v>
      </c>
      <c r="AU695" s="6">
        <v>5.2598599999999998</v>
      </c>
      <c r="AV695" s="19">
        <v>-0.39639999999999997</v>
      </c>
      <c r="AW695" s="6">
        <v>2.6741999999999999</v>
      </c>
      <c r="AX695" s="6">
        <v>343</v>
      </c>
    </row>
    <row r="696" spans="22:50" x14ac:dyDescent="0.25">
      <c r="V696" s="17">
        <v>690</v>
      </c>
      <c r="W696" s="6">
        <v>1.25766</v>
      </c>
      <c r="X696" s="6">
        <v>3.7755999999999998</v>
      </c>
      <c r="Y696" s="6">
        <v>1.2123999999999999</v>
      </c>
      <c r="Z696" s="6">
        <v>620</v>
      </c>
      <c r="AN696" s="17">
        <v>690</v>
      </c>
      <c r="AO696" s="6">
        <v>2.77163</v>
      </c>
      <c r="AP696" s="6">
        <v>3.7477999999999998</v>
      </c>
      <c r="AQ696" s="6">
        <v>2.6701000000000001</v>
      </c>
      <c r="AR696" s="6">
        <v>341</v>
      </c>
      <c r="AT696" s="17">
        <v>690</v>
      </c>
      <c r="AU696" s="6">
        <v>5.2519900000000002</v>
      </c>
      <c r="AV696" s="6">
        <v>3.7477999999999998</v>
      </c>
      <c r="AW696" s="6">
        <v>2.6701000000000001</v>
      </c>
      <c r="AX696" s="6">
        <v>341</v>
      </c>
    </row>
    <row r="697" spans="22:50" x14ac:dyDescent="0.25">
      <c r="V697" s="17">
        <v>691</v>
      </c>
      <c r="W697" s="6">
        <v>1.3013699999999999</v>
      </c>
      <c r="X697" s="6">
        <v>1.6891</v>
      </c>
      <c r="Y697" s="6">
        <v>1.2545999999999999</v>
      </c>
      <c r="Z697" s="6">
        <v>625</v>
      </c>
      <c r="AN697" s="17">
        <v>691</v>
      </c>
      <c r="AO697" s="6">
        <v>2.78857</v>
      </c>
      <c r="AP697" s="6">
        <v>1.6465000000000001</v>
      </c>
      <c r="AQ697" s="6">
        <v>2.6865000000000001</v>
      </c>
      <c r="AR697" s="6">
        <v>348</v>
      </c>
      <c r="AT697" s="17">
        <v>691</v>
      </c>
      <c r="AU697" s="6">
        <v>5.2838799999999999</v>
      </c>
      <c r="AV697" s="6">
        <v>1.6465000000000001</v>
      </c>
      <c r="AW697" s="6">
        <v>2.6865000000000001</v>
      </c>
      <c r="AX697" s="6">
        <v>348</v>
      </c>
    </row>
    <row r="698" spans="22:50" x14ac:dyDescent="0.25">
      <c r="V698" s="17">
        <v>692</v>
      </c>
      <c r="W698" s="6">
        <v>1.2815399999999999</v>
      </c>
      <c r="X698" s="6">
        <v>0.32240000000000002</v>
      </c>
      <c r="Y698" s="6">
        <v>1.2355</v>
      </c>
      <c r="Z698" s="6">
        <v>633</v>
      </c>
      <c r="AN698" s="17">
        <v>692</v>
      </c>
      <c r="AO698" s="6">
        <v>2.7812700000000001</v>
      </c>
      <c r="AP698" s="6">
        <v>0.29249999999999998</v>
      </c>
      <c r="AQ698" s="6">
        <v>2.6795</v>
      </c>
      <c r="AR698" s="6">
        <v>346</v>
      </c>
      <c r="AT698" s="17">
        <v>692</v>
      </c>
      <c r="AU698" s="6">
        <v>5.27013</v>
      </c>
      <c r="AV698" s="6">
        <v>0.29249999999999998</v>
      </c>
      <c r="AW698" s="6">
        <v>2.6795</v>
      </c>
      <c r="AX698" s="6">
        <v>346</v>
      </c>
    </row>
    <row r="699" spans="22:50" x14ac:dyDescent="0.25">
      <c r="V699" s="17">
        <v>693</v>
      </c>
      <c r="W699" s="6">
        <v>1.2661</v>
      </c>
      <c r="X699" s="6">
        <v>1.3282</v>
      </c>
      <c r="Y699" s="6">
        <v>1.2205999999999999</v>
      </c>
      <c r="Z699" s="6">
        <v>623</v>
      </c>
      <c r="AN699" s="17">
        <v>693</v>
      </c>
      <c r="AO699" s="6">
        <v>2.7740499999999999</v>
      </c>
      <c r="AP699" s="6">
        <v>1.3170999999999999</v>
      </c>
      <c r="AQ699" s="6">
        <v>2.6724999999999999</v>
      </c>
      <c r="AR699" s="6">
        <v>342</v>
      </c>
      <c r="AT699" s="17">
        <v>693</v>
      </c>
      <c r="AU699" s="6">
        <v>5.2565600000000003</v>
      </c>
      <c r="AV699" s="6">
        <v>1.3170999999999999</v>
      </c>
      <c r="AW699" s="6">
        <v>2.6724999999999999</v>
      </c>
      <c r="AX699" s="6">
        <v>342</v>
      </c>
    </row>
    <row r="700" spans="22:50" x14ac:dyDescent="0.25">
      <c r="V700" s="17">
        <v>694</v>
      </c>
      <c r="W700" s="6">
        <v>1.2803800000000001</v>
      </c>
      <c r="X700" s="6">
        <v>5.3097000000000003</v>
      </c>
      <c r="Y700" s="6">
        <v>1.2343999999999999</v>
      </c>
      <c r="Z700" s="6">
        <v>638</v>
      </c>
      <c r="AN700" s="17">
        <v>694</v>
      </c>
      <c r="AO700" s="6">
        <v>2.7813599999999998</v>
      </c>
      <c r="AP700" s="6">
        <v>5.1776999999999997</v>
      </c>
      <c r="AQ700" s="6">
        <v>2.6796000000000002</v>
      </c>
      <c r="AR700" s="6">
        <v>346</v>
      </c>
      <c r="AT700" s="17">
        <v>694</v>
      </c>
      <c r="AU700" s="6">
        <v>5.2702900000000001</v>
      </c>
      <c r="AV700" s="6">
        <v>5.1776999999999997</v>
      </c>
      <c r="AW700" s="6">
        <v>2.6796000000000002</v>
      </c>
      <c r="AX700" s="6">
        <v>346</v>
      </c>
    </row>
    <row r="701" spans="22:50" x14ac:dyDescent="0.25">
      <c r="V701" s="17">
        <v>695</v>
      </c>
      <c r="W701" s="6">
        <v>1.2868599999999999</v>
      </c>
      <c r="X701" s="19">
        <v>-1.0586</v>
      </c>
      <c r="Y701" s="6">
        <v>1.2405999999999999</v>
      </c>
      <c r="Z701" s="6">
        <v>618</v>
      </c>
      <c r="AN701" s="17">
        <v>695</v>
      </c>
      <c r="AO701" s="6">
        <v>2.7829999999999999</v>
      </c>
      <c r="AP701" s="19">
        <v>-1.0603</v>
      </c>
      <c r="AQ701" s="6">
        <v>2.6810999999999998</v>
      </c>
      <c r="AR701" s="6">
        <v>346</v>
      </c>
      <c r="AT701" s="17">
        <v>695</v>
      </c>
      <c r="AU701" s="6">
        <v>5.2733800000000004</v>
      </c>
      <c r="AV701" s="19">
        <v>-1.0603</v>
      </c>
      <c r="AW701" s="6">
        <v>2.6810999999999998</v>
      </c>
      <c r="AX701" s="6">
        <v>346</v>
      </c>
    </row>
    <row r="702" spans="22:50" x14ac:dyDescent="0.25">
      <c r="V702" s="17">
        <v>696</v>
      </c>
      <c r="W702" s="6">
        <v>1.26695</v>
      </c>
      <c r="X702" s="19">
        <v>-0.32429999999999998</v>
      </c>
      <c r="Y702" s="6">
        <v>1.2214</v>
      </c>
      <c r="Z702" s="6">
        <v>629</v>
      </c>
      <c r="AN702" s="17">
        <v>696</v>
      </c>
      <c r="AO702" s="6">
        <v>2.77562</v>
      </c>
      <c r="AP702" s="19">
        <v>-0.46289999999999998</v>
      </c>
      <c r="AQ702" s="6">
        <v>2.6739999999999999</v>
      </c>
      <c r="AR702" s="6">
        <v>343</v>
      </c>
      <c r="AT702" s="17">
        <v>696</v>
      </c>
      <c r="AU702" s="6">
        <v>5.2595000000000001</v>
      </c>
      <c r="AV702" s="19">
        <v>-0.46289999999999998</v>
      </c>
      <c r="AW702" s="6">
        <v>2.6739999999999999</v>
      </c>
      <c r="AX702" s="6">
        <v>343</v>
      </c>
    </row>
    <row r="703" spans="22:50" x14ac:dyDescent="0.25">
      <c r="V703" s="17">
        <v>697</v>
      </c>
      <c r="W703" s="6">
        <v>1.2844800000000001</v>
      </c>
      <c r="X703" s="19">
        <v>-1.9882</v>
      </c>
      <c r="Y703" s="6">
        <v>1.2383</v>
      </c>
      <c r="Z703" s="6">
        <v>625</v>
      </c>
      <c r="AN703" s="17">
        <v>697</v>
      </c>
      <c r="AO703" s="6">
        <v>2.7818800000000001</v>
      </c>
      <c r="AP703" s="19">
        <v>-2.0657999999999999</v>
      </c>
      <c r="AQ703" s="6">
        <v>2.6800999999999999</v>
      </c>
      <c r="AR703" s="6">
        <v>346</v>
      </c>
      <c r="AT703" s="17">
        <v>697</v>
      </c>
      <c r="AU703" s="6">
        <v>5.2712899999999996</v>
      </c>
      <c r="AV703" s="19">
        <v>-2.0657999999999999</v>
      </c>
      <c r="AW703" s="6">
        <v>2.6800999999999999</v>
      </c>
      <c r="AX703" s="6">
        <v>346</v>
      </c>
    </row>
    <row r="704" spans="22:50" x14ac:dyDescent="0.25">
      <c r="V704" s="17">
        <v>698</v>
      </c>
      <c r="W704" s="6">
        <v>1.2729900000000001</v>
      </c>
      <c r="X704" s="6">
        <v>1.2116</v>
      </c>
      <c r="Y704" s="6">
        <v>1.2272000000000001</v>
      </c>
      <c r="Z704" s="6">
        <v>626</v>
      </c>
      <c r="AN704" s="17">
        <v>698</v>
      </c>
      <c r="AO704" s="6">
        <v>2.7775099999999999</v>
      </c>
      <c r="AP704" s="6">
        <v>1.1402000000000001</v>
      </c>
      <c r="AQ704" s="6">
        <v>2.6758000000000002</v>
      </c>
      <c r="AR704" s="6">
        <v>344</v>
      </c>
      <c r="AT704" s="17">
        <v>698</v>
      </c>
      <c r="AU704" s="6">
        <v>5.2630600000000003</v>
      </c>
      <c r="AV704" s="6">
        <v>1.1402000000000001</v>
      </c>
      <c r="AW704" s="6">
        <v>2.6758000000000002</v>
      </c>
      <c r="AX704" s="6">
        <v>344</v>
      </c>
    </row>
    <row r="705" spans="22:50" x14ac:dyDescent="0.25">
      <c r="V705" s="17">
        <v>699</v>
      </c>
      <c r="W705" s="6">
        <v>1.26485</v>
      </c>
      <c r="X705" s="6">
        <v>5.2454999999999998</v>
      </c>
      <c r="Y705" s="6">
        <v>1.2194</v>
      </c>
      <c r="Z705" s="6">
        <v>626</v>
      </c>
      <c r="AN705" s="17">
        <v>699</v>
      </c>
      <c r="AO705" s="6">
        <v>2.7751399999999999</v>
      </c>
      <c r="AP705" s="6">
        <v>5.2843999999999998</v>
      </c>
      <c r="AQ705" s="6">
        <v>2.6735000000000002</v>
      </c>
      <c r="AR705" s="6">
        <v>343</v>
      </c>
      <c r="AT705" s="17">
        <v>699</v>
      </c>
      <c r="AU705" s="6">
        <v>5.2585899999999999</v>
      </c>
      <c r="AV705" s="6">
        <v>5.2843999999999998</v>
      </c>
      <c r="AW705" s="6">
        <v>2.6735000000000002</v>
      </c>
      <c r="AX705" s="6">
        <v>343</v>
      </c>
    </row>
    <row r="706" spans="22:50" x14ac:dyDescent="0.25">
      <c r="V706" s="17">
        <v>700</v>
      </c>
      <c r="W706" s="6">
        <v>1.3053300000000001</v>
      </c>
      <c r="X706" s="6">
        <v>3.1591</v>
      </c>
      <c r="Y706" s="6">
        <v>1.2584</v>
      </c>
      <c r="Z706" s="6">
        <v>633</v>
      </c>
      <c r="AN706" s="17">
        <v>700</v>
      </c>
      <c r="AO706" s="6">
        <v>2.7900200000000002</v>
      </c>
      <c r="AP706" s="6">
        <v>3.1831</v>
      </c>
      <c r="AQ706" s="6">
        <v>2.6879</v>
      </c>
      <c r="AR706" s="6">
        <v>349</v>
      </c>
      <c r="AT706" s="17">
        <v>700</v>
      </c>
      <c r="AU706" s="6">
        <v>5.2866</v>
      </c>
      <c r="AV706" s="6">
        <v>3.1831</v>
      </c>
      <c r="AW706" s="6">
        <v>2.6879</v>
      </c>
      <c r="AX706" s="6">
        <v>349</v>
      </c>
    </row>
    <row r="707" spans="22:50" x14ac:dyDescent="0.25">
      <c r="V707" s="17">
        <v>701</v>
      </c>
      <c r="W707" s="6">
        <v>1.30078</v>
      </c>
      <c r="X707" s="6">
        <v>1.7923</v>
      </c>
      <c r="Y707" s="6">
        <v>1.254</v>
      </c>
      <c r="Z707" s="6">
        <v>642</v>
      </c>
      <c r="AN707" s="17">
        <v>701</v>
      </c>
      <c r="AO707" s="6">
        <v>2.7890100000000002</v>
      </c>
      <c r="AP707" s="6">
        <v>1.8290999999999999</v>
      </c>
      <c r="AQ707" s="6">
        <v>2.6869999999999998</v>
      </c>
      <c r="AR707" s="6">
        <v>349</v>
      </c>
      <c r="AT707" s="17">
        <v>701</v>
      </c>
      <c r="AU707" s="6">
        <v>5.2847</v>
      </c>
      <c r="AV707" s="6">
        <v>1.8290999999999999</v>
      </c>
      <c r="AW707" s="6">
        <v>2.6869999999999998</v>
      </c>
      <c r="AX707" s="6">
        <v>349</v>
      </c>
    </row>
    <row r="708" spans="22:50" x14ac:dyDescent="0.25">
      <c r="V708" s="17">
        <v>702</v>
      </c>
      <c r="W708" s="6">
        <v>1.3001199999999999</v>
      </c>
      <c r="X708" s="6">
        <v>2.7982</v>
      </c>
      <c r="Y708" s="6">
        <v>1.2534000000000001</v>
      </c>
      <c r="Z708" s="6">
        <v>638</v>
      </c>
      <c r="AN708" s="17">
        <v>702</v>
      </c>
      <c r="AO708" s="6">
        <v>2.78817</v>
      </c>
      <c r="AP708" s="6">
        <v>2.8536999999999999</v>
      </c>
      <c r="AQ708" s="6">
        <v>2.6861999999999999</v>
      </c>
      <c r="AR708" s="6">
        <v>348</v>
      </c>
      <c r="AT708" s="17">
        <v>702</v>
      </c>
      <c r="AU708" s="6">
        <v>5.2831299999999999</v>
      </c>
      <c r="AV708" s="6">
        <v>2.8536999999999999</v>
      </c>
      <c r="AW708" s="6">
        <v>2.6861999999999999</v>
      </c>
      <c r="AX708" s="6">
        <v>348</v>
      </c>
    </row>
    <row r="709" spans="22:50" x14ac:dyDescent="0.25">
      <c r="V709" s="17">
        <v>703</v>
      </c>
      <c r="W709" s="6">
        <v>1.3148</v>
      </c>
      <c r="X709" s="6">
        <v>6.7796000000000003</v>
      </c>
      <c r="Y709" s="6">
        <v>1.2676000000000001</v>
      </c>
      <c r="Z709" s="6">
        <v>649</v>
      </c>
      <c r="AN709" s="17">
        <v>703</v>
      </c>
      <c r="AO709" s="6">
        <v>2.7951299999999999</v>
      </c>
      <c r="AP709" s="6">
        <v>6.7142999999999997</v>
      </c>
      <c r="AQ709" s="6">
        <v>2.6928999999999998</v>
      </c>
      <c r="AR709" s="6">
        <v>352</v>
      </c>
      <c r="AT709" s="17">
        <v>703</v>
      </c>
      <c r="AU709" s="6">
        <v>5.2962100000000003</v>
      </c>
      <c r="AV709" s="6">
        <v>6.7142999999999997</v>
      </c>
      <c r="AW709" s="6">
        <v>2.6928999999999998</v>
      </c>
      <c r="AX709" s="6">
        <v>352</v>
      </c>
    </row>
    <row r="710" spans="22:50" x14ac:dyDescent="0.25">
      <c r="V710" s="17">
        <v>704</v>
      </c>
      <c r="W710" s="6">
        <v>1.3057099999999999</v>
      </c>
      <c r="X710" s="6">
        <v>0.41139999999999999</v>
      </c>
      <c r="Y710" s="6">
        <v>1.2587999999999999</v>
      </c>
      <c r="Z710" s="6">
        <v>624</v>
      </c>
      <c r="AN710" s="17">
        <v>704</v>
      </c>
      <c r="AO710" s="6">
        <v>2.79135</v>
      </c>
      <c r="AP710" s="6">
        <v>0.4763</v>
      </c>
      <c r="AQ710" s="6">
        <v>2.6892</v>
      </c>
      <c r="AR710" s="6">
        <v>350</v>
      </c>
      <c r="AT710" s="17">
        <v>704</v>
      </c>
      <c r="AU710" s="6">
        <v>5.2891000000000004</v>
      </c>
      <c r="AV710" s="6">
        <v>0.4763</v>
      </c>
      <c r="AW710" s="6">
        <v>2.6892</v>
      </c>
      <c r="AX710" s="6">
        <v>350</v>
      </c>
    </row>
    <row r="711" spans="22:50" x14ac:dyDescent="0.25">
      <c r="V711" s="17">
        <v>705</v>
      </c>
      <c r="W711" s="6">
        <v>1.2861100000000001</v>
      </c>
      <c r="X711" s="6">
        <v>1.1456</v>
      </c>
      <c r="Y711" s="6">
        <v>1.2399</v>
      </c>
      <c r="Z711" s="6">
        <v>628</v>
      </c>
      <c r="AN711" s="17">
        <v>705</v>
      </c>
      <c r="AO711" s="6">
        <v>2.78267</v>
      </c>
      <c r="AP711" s="6">
        <v>1.0737000000000001</v>
      </c>
      <c r="AQ711" s="6">
        <v>2.6808000000000001</v>
      </c>
      <c r="AR711" s="6">
        <v>346</v>
      </c>
      <c r="AT711" s="17">
        <v>705</v>
      </c>
      <c r="AU711" s="6">
        <v>5.2727599999999999</v>
      </c>
      <c r="AV711" s="6">
        <v>1.0737000000000001</v>
      </c>
      <c r="AW711" s="6">
        <v>2.6808000000000001</v>
      </c>
      <c r="AX711" s="6">
        <v>346</v>
      </c>
    </row>
    <row r="712" spans="22:50" x14ac:dyDescent="0.25">
      <c r="V712" s="17">
        <v>706</v>
      </c>
      <c r="W712" s="6">
        <v>1.2701899999999999</v>
      </c>
      <c r="X712" s="6">
        <v>3.1998000000000002</v>
      </c>
      <c r="Y712" s="6">
        <v>1.2244999999999999</v>
      </c>
      <c r="Z712" s="6">
        <v>636</v>
      </c>
      <c r="AN712" s="17">
        <v>706</v>
      </c>
      <c r="AO712" s="6">
        <v>2.7761100000000001</v>
      </c>
      <c r="AP712" s="6">
        <v>3.206</v>
      </c>
      <c r="AQ712" s="6">
        <v>2.6745000000000001</v>
      </c>
      <c r="AR712" s="6">
        <v>343</v>
      </c>
      <c r="AT712" s="17">
        <v>706</v>
      </c>
      <c r="AU712" s="6">
        <v>5.2604300000000004</v>
      </c>
      <c r="AV712" s="6">
        <v>3.206</v>
      </c>
      <c r="AW712" s="6">
        <v>2.6745000000000001</v>
      </c>
      <c r="AX712" s="6">
        <v>343</v>
      </c>
    </row>
    <row r="713" spans="22:50" x14ac:dyDescent="0.25">
      <c r="V713" s="17">
        <v>707</v>
      </c>
      <c r="W713" s="6">
        <v>1.2451399999999999</v>
      </c>
      <c r="X713" s="6">
        <v>7.2336</v>
      </c>
      <c r="Y713" s="6">
        <v>1.2002999999999999</v>
      </c>
      <c r="Z713" s="6">
        <v>603</v>
      </c>
      <c r="AN713" s="17">
        <v>707</v>
      </c>
      <c r="AO713" s="6">
        <v>2.7654299999999998</v>
      </c>
      <c r="AP713" s="6">
        <v>7.3502000000000001</v>
      </c>
      <c r="AQ713" s="6">
        <v>2.6640999999999999</v>
      </c>
      <c r="AR713" s="6">
        <v>338</v>
      </c>
      <c r="AT713" s="17">
        <v>707</v>
      </c>
      <c r="AU713" s="6">
        <v>5.2403300000000002</v>
      </c>
      <c r="AV713" s="6">
        <v>7.3502000000000001</v>
      </c>
      <c r="AW713" s="6">
        <v>2.6640999999999999</v>
      </c>
      <c r="AX713" s="6">
        <v>338</v>
      </c>
    </row>
    <row r="714" spans="22:50" x14ac:dyDescent="0.25">
      <c r="V714" s="17">
        <v>708</v>
      </c>
      <c r="W714" s="6">
        <v>1.27549</v>
      </c>
      <c r="X714" s="6">
        <v>5.1471999999999998</v>
      </c>
      <c r="Y714" s="6">
        <v>1.2296</v>
      </c>
      <c r="Z714" s="6">
        <v>633</v>
      </c>
      <c r="AN714" s="17">
        <v>708</v>
      </c>
      <c r="AO714" s="6">
        <v>2.7790300000000001</v>
      </c>
      <c r="AP714" s="6">
        <v>5.2488999999999999</v>
      </c>
      <c r="AQ714" s="6">
        <v>2.6772999999999998</v>
      </c>
      <c r="AR714" s="6">
        <v>345</v>
      </c>
      <c r="AT714" s="17">
        <v>708</v>
      </c>
      <c r="AU714" s="6">
        <v>5.2659200000000004</v>
      </c>
      <c r="AV714" s="6">
        <v>5.2488999999999999</v>
      </c>
      <c r="AW714" s="6">
        <v>2.6772999999999998</v>
      </c>
      <c r="AX714" s="6">
        <v>345</v>
      </c>
    </row>
    <row r="715" spans="22:50" x14ac:dyDescent="0.25">
      <c r="V715" s="17">
        <v>709</v>
      </c>
      <c r="W715" s="6">
        <v>1.2809999999999999</v>
      </c>
      <c r="X715" s="6">
        <v>3.7805</v>
      </c>
      <c r="Y715" s="6">
        <v>1.2349000000000001</v>
      </c>
      <c r="Z715" s="6">
        <v>623</v>
      </c>
      <c r="AN715" s="17">
        <v>709</v>
      </c>
      <c r="AO715" s="6">
        <v>2.7806000000000002</v>
      </c>
      <c r="AP715" s="6">
        <v>3.8948</v>
      </c>
      <c r="AQ715" s="6">
        <v>2.6787999999999998</v>
      </c>
      <c r="AR715" s="6">
        <v>345</v>
      </c>
      <c r="AT715" s="17">
        <v>709</v>
      </c>
      <c r="AU715" s="6">
        <v>5.2688800000000002</v>
      </c>
      <c r="AV715" s="6">
        <v>3.8948</v>
      </c>
      <c r="AW715" s="6">
        <v>2.6787999999999998</v>
      </c>
      <c r="AX715" s="6">
        <v>345</v>
      </c>
    </row>
    <row r="716" spans="22:50" x14ac:dyDescent="0.25">
      <c r="V716" s="17">
        <v>710</v>
      </c>
      <c r="W716" s="6">
        <v>1.2522899999999999</v>
      </c>
      <c r="X716" s="6">
        <v>4.7862999999999998</v>
      </c>
      <c r="Y716" s="6">
        <v>1.2073</v>
      </c>
      <c r="Z716" s="6">
        <v>625</v>
      </c>
      <c r="AN716" s="17">
        <v>710</v>
      </c>
      <c r="AO716" s="6">
        <v>2.7683499999999999</v>
      </c>
      <c r="AP716" s="6">
        <v>4.9195000000000002</v>
      </c>
      <c r="AQ716" s="6">
        <v>2.6669999999999998</v>
      </c>
      <c r="AR716" s="6">
        <v>340</v>
      </c>
      <c r="AT716" s="17">
        <v>710</v>
      </c>
      <c r="AU716" s="6">
        <v>5.2458299999999998</v>
      </c>
      <c r="AV716" s="6">
        <v>4.9195000000000002</v>
      </c>
      <c r="AW716" s="6">
        <v>2.6669999999999998</v>
      </c>
      <c r="AX716" s="6">
        <v>340</v>
      </c>
    </row>
    <row r="717" spans="22:50" x14ac:dyDescent="0.25">
      <c r="V717" s="17">
        <v>711</v>
      </c>
      <c r="W717" s="6">
        <v>1.2732000000000001</v>
      </c>
      <c r="X717" s="6">
        <v>8.7676999999999996</v>
      </c>
      <c r="Y717" s="6">
        <v>1.2274</v>
      </c>
      <c r="Z717" s="6">
        <v>628</v>
      </c>
      <c r="AN717" s="17">
        <v>711</v>
      </c>
      <c r="AO717" s="6">
        <v>2.7785600000000001</v>
      </c>
      <c r="AP717" s="6">
        <v>8.7800999999999991</v>
      </c>
      <c r="AQ717" s="6">
        <v>2.6768999999999998</v>
      </c>
      <c r="AR717" s="6">
        <v>345</v>
      </c>
      <c r="AT717" s="17">
        <v>711</v>
      </c>
      <c r="AU717" s="6">
        <v>5.2650300000000003</v>
      </c>
      <c r="AV717" s="6">
        <v>8.7800999999999991</v>
      </c>
      <c r="AW717" s="6">
        <v>2.6768999999999998</v>
      </c>
      <c r="AX717" s="6">
        <v>345</v>
      </c>
    </row>
    <row r="718" spans="22:50" x14ac:dyDescent="0.25">
      <c r="V718" s="17">
        <v>712</v>
      </c>
      <c r="W718" s="6">
        <v>1.2818499999999999</v>
      </c>
      <c r="X718" s="6">
        <v>2.3995000000000002</v>
      </c>
      <c r="Y718" s="6">
        <v>1.2357</v>
      </c>
      <c r="Z718" s="6">
        <v>614</v>
      </c>
      <c r="AN718" s="17">
        <v>712</v>
      </c>
      <c r="AO718" s="6">
        <v>2.7807499999999998</v>
      </c>
      <c r="AP718" s="6">
        <v>2.5421</v>
      </c>
      <c r="AQ718" s="6">
        <v>2.6789999999999998</v>
      </c>
      <c r="AR718" s="6">
        <v>345</v>
      </c>
      <c r="AT718" s="17">
        <v>712</v>
      </c>
      <c r="AU718" s="6">
        <v>5.2691499999999998</v>
      </c>
      <c r="AV718" s="6">
        <v>2.5421</v>
      </c>
      <c r="AW718" s="6">
        <v>2.6789999999999998</v>
      </c>
      <c r="AX718" s="6">
        <v>345</v>
      </c>
    </row>
    <row r="719" spans="22:50" x14ac:dyDescent="0.25">
      <c r="V719" s="17">
        <v>713</v>
      </c>
      <c r="W719" s="6">
        <v>1.2598800000000001</v>
      </c>
      <c r="X719" s="6">
        <v>3.1337999999999999</v>
      </c>
      <c r="Y719" s="6">
        <v>1.2145999999999999</v>
      </c>
      <c r="Z719" s="6">
        <v>616</v>
      </c>
      <c r="AN719" s="17">
        <v>713</v>
      </c>
      <c r="AO719" s="6">
        <v>2.7719499999999999</v>
      </c>
      <c r="AP719" s="6">
        <v>3.1395</v>
      </c>
      <c r="AQ719" s="6">
        <v>2.6703999999999999</v>
      </c>
      <c r="AR719" s="6">
        <v>341</v>
      </c>
      <c r="AT719" s="17">
        <v>713</v>
      </c>
      <c r="AU719" s="6">
        <v>5.2526000000000002</v>
      </c>
      <c r="AV719" s="6">
        <v>3.1395</v>
      </c>
      <c r="AW719" s="6">
        <v>2.6703999999999999</v>
      </c>
      <c r="AX719" s="6">
        <v>341</v>
      </c>
    </row>
    <row r="720" spans="22:50" x14ac:dyDescent="0.25">
      <c r="V720" s="17">
        <v>714</v>
      </c>
      <c r="W720" s="6">
        <v>1.24884</v>
      </c>
      <c r="X720" s="6">
        <v>4.0339</v>
      </c>
      <c r="Y720" s="6">
        <v>1.2039</v>
      </c>
      <c r="Z720" s="6">
        <v>622</v>
      </c>
      <c r="AN720" s="17">
        <v>714</v>
      </c>
      <c r="AO720" s="6">
        <v>2.7681200000000001</v>
      </c>
      <c r="AP720" s="6">
        <v>4.1441999999999997</v>
      </c>
      <c r="AQ720" s="6">
        <v>2.6667000000000001</v>
      </c>
      <c r="AR720" s="6">
        <v>340</v>
      </c>
      <c r="AT720" s="17">
        <v>714</v>
      </c>
      <c r="AU720" s="6">
        <v>5.2453799999999999</v>
      </c>
      <c r="AV720" s="6">
        <v>4.1441999999999997</v>
      </c>
      <c r="AW720" s="6">
        <v>2.6667000000000001</v>
      </c>
      <c r="AX720" s="6">
        <v>340</v>
      </c>
    </row>
    <row r="721" spans="22:50" x14ac:dyDescent="0.25">
      <c r="V721" s="17">
        <v>715</v>
      </c>
      <c r="W721" s="6">
        <v>1.27278</v>
      </c>
      <c r="X721" s="6">
        <v>1.9474</v>
      </c>
      <c r="Y721" s="6">
        <v>1.2270000000000001</v>
      </c>
      <c r="Z721" s="6">
        <v>615</v>
      </c>
      <c r="AN721" s="17">
        <v>715</v>
      </c>
      <c r="AO721" s="6">
        <v>2.7771499999999998</v>
      </c>
      <c r="AP721" s="6">
        <v>2.0428999999999999</v>
      </c>
      <c r="AQ721" s="6">
        <v>2.6755</v>
      </c>
      <c r="AR721" s="6">
        <v>344</v>
      </c>
      <c r="AT721" s="17">
        <v>715</v>
      </c>
      <c r="AU721" s="6">
        <v>5.2623800000000003</v>
      </c>
      <c r="AV721" s="6">
        <v>2.0428999999999999</v>
      </c>
      <c r="AW721" s="6">
        <v>2.6755</v>
      </c>
      <c r="AX721" s="6">
        <v>344</v>
      </c>
    </row>
    <row r="722" spans="22:50" x14ac:dyDescent="0.25">
      <c r="V722" s="17">
        <v>716</v>
      </c>
      <c r="W722" s="6">
        <v>1.28342</v>
      </c>
      <c r="X722" s="6">
        <v>0.58069999999999999</v>
      </c>
      <c r="Y722" s="6">
        <v>1.2373000000000001</v>
      </c>
      <c r="Z722" s="6">
        <v>631</v>
      </c>
      <c r="AN722" s="17">
        <v>716</v>
      </c>
      <c r="AO722" s="6">
        <v>2.7819400000000001</v>
      </c>
      <c r="AP722" s="6">
        <v>0.68879999999999997</v>
      </c>
      <c r="AQ722" s="6">
        <v>2.6800999999999999</v>
      </c>
      <c r="AR722" s="6">
        <v>346</v>
      </c>
      <c r="AT722" s="17">
        <v>716</v>
      </c>
      <c r="AU722" s="6">
        <v>5.2713999999999999</v>
      </c>
      <c r="AV722" s="6">
        <v>0.68879999999999997</v>
      </c>
      <c r="AW722" s="6">
        <v>2.6800999999999999</v>
      </c>
      <c r="AX722" s="6">
        <v>346</v>
      </c>
    </row>
    <row r="723" spans="22:50" x14ac:dyDescent="0.25">
      <c r="V723" s="17">
        <v>717</v>
      </c>
      <c r="W723" s="6">
        <v>1.2580800000000001</v>
      </c>
      <c r="X723" s="6">
        <v>1.5865</v>
      </c>
      <c r="Y723" s="6">
        <v>1.2128000000000001</v>
      </c>
      <c r="Z723" s="6">
        <v>624</v>
      </c>
      <c r="AN723" s="17">
        <v>717</v>
      </c>
      <c r="AO723" s="6">
        <v>2.77095</v>
      </c>
      <c r="AP723" s="6">
        <v>1.7135</v>
      </c>
      <c r="AQ723" s="6">
        <v>2.6695000000000002</v>
      </c>
      <c r="AR723" s="6">
        <v>341</v>
      </c>
      <c r="AT723" s="17">
        <v>717</v>
      </c>
      <c r="AU723" s="6">
        <v>5.2507200000000003</v>
      </c>
      <c r="AV723" s="6">
        <v>1.7135</v>
      </c>
      <c r="AW723" s="6">
        <v>2.6695000000000002</v>
      </c>
      <c r="AX723" s="6">
        <v>341</v>
      </c>
    </row>
    <row r="724" spans="22:50" x14ac:dyDescent="0.25">
      <c r="V724" s="17">
        <v>718</v>
      </c>
      <c r="W724" s="6">
        <v>1.2869900000000001</v>
      </c>
      <c r="X724" s="6">
        <v>5.5679999999999996</v>
      </c>
      <c r="Y724" s="6">
        <v>1.2406999999999999</v>
      </c>
      <c r="Z724" s="6">
        <v>637</v>
      </c>
      <c r="AN724" s="17">
        <v>718</v>
      </c>
      <c r="AO724" s="6">
        <v>2.78396</v>
      </c>
      <c r="AP724" s="6">
        <v>5.5739999999999998</v>
      </c>
      <c r="AQ724" s="6">
        <v>2.6821000000000002</v>
      </c>
      <c r="AR724" s="6">
        <v>347</v>
      </c>
      <c r="AT724" s="17">
        <v>718</v>
      </c>
      <c r="AU724" s="6">
        <v>5.2751900000000003</v>
      </c>
      <c r="AV724" s="6">
        <v>5.5739999999999998</v>
      </c>
      <c r="AW724" s="6">
        <v>2.6821000000000002</v>
      </c>
      <c r="AX724" s="6">
        <v>347</v>
      </c>
    </row>
    <row r="725" spans="22:50" x14ac:dyDescent="0.25">
      <c r="V725" s="17">
        <v>719</v>
      </c>
      <c r="W725" s="6">
        <v>1.2662</v>
      </c>
      <c r="X725" s="19">
        <v>-0.80030000000000001</v>
      </c>
      <c r="Y725" s="6">
        <v>1.2205999999999999</v>
      </c>
      <c r="Z725" s="6">
        <v>610</v>
      </c>
      <c r="AN725" s="17">
        <v>719</v>
      </c>
      <c r="AO725" s="6">
        <v>2.77441</v>
      </c>
      <c r="AP725" s="19">
        <v>-0.66390000000000005</v>
      </c>
      <c r="AQ725" s="6">
        <v>2.6728000000000001</v>
      </c>
      <c r="AR725" s="6">
        <v>342</v>
      </c>
      <c r="AT725" s="17">
        <v>719</v>
      </c>
      <c r="AU725" s="6">
        <v>5.2572400000000004</v>
      </c>
      <c r="AV725" s="19">
        <v>-0.66390000000000005</v>
      </c>
      <c r="AW725" s="6">
        <v>2.6728000000000001</v>
      </c>
      <c r="AX725" s="6">
        <v>342</v>
      </c>
    </row>
    <row r="726" spans="22:50" x14ac:dyDescent="0.25">
      <c r="V726" s="17">
        <v>720</v>
      </c>
      <c r="W726" s="6">
        <v>1.26518</v>
      </c>
      <c r="X726" s="19">
        <v>-6.6030000000000005E-2</v>
      </c>
      <c r="Y726" s="6">
        <v>1.2197</v>
      </c>
      <c r="Z726" s="6">
        <v>611</v>
      </c>
      <c r="AN726" s="17">
        <v>720</v>
      </c>
      <c r="AO726" s="6">
        <v>2.77379</v>
      </c>
      <c r="AP726" s="19">
        <v>-6.6500000000000004E-2</v>
      </c>
      <c r="AQ726" s="6">
        <v>2.6722000000000001</v>
      </c>
      <c r="AR726" s="6">
        <v>342</v>
      </c>
      <c r="AT726" s="17">
        <v>720</v>
      </c>
      <c r="AU726" s="6">
        <v>5.2560599999999997</v>
      </c>
      <c r="AV726" s="19">
        <v>-6.6500000000000004E-2</v>
      </c>
      <c r="AW726" s="6">
        <v>2.6722000000000001</v>
      </c>
      <c r="AX726" s="6">
        <v>342</v>
      </c>
    </row>
    <row r="727" spans="22:50" x14ac:dyDescent="0.25">
      <c r="V727" s="17">
        <v>721</v>
      </c>
      <c r="W727" s="6">
        <v>1.2759499999999999</v>
      </c>
      <c r="X727" s="19">
        <v>-2.0863999999999998</v>
      </c>
      <c r="Y727" s="6">
        <v>1.2301</v>
      </c>
      <c r="Z727" s="6">
        <v>618</v>
      </c>
      <c r="AN727" s="17">
        <v>721</v>
      </c>
      <c r="AO727" s="6">
        <v>2.77827</v>
      </c>
      <c r="AP727" s="19">
        <v>-2.1013000000000002</v>
      </c>
      <c r="AQ727" s="6">
        <v>2.6766000000000001</v>
      </c>
      <c r="AR727" s="6">
        <v>344</v>
      </c>
      <c r="AT727" s="17">
        <v>721</v>
      </c>
      <c r="AU727" s="6">
        <v>5.2645</v>
      </c>
      <c r="AV727" s="19">
        <v>-2.1013000000000002</v>
      </c>
      <c r="AW727" s="6">
        <v>2.6766000000000001</v>
      </c>
      <c r="AX727" s="6">
        <v>344</v>
      </c>
    </row>
    <row r="728" spans="22:50" x14ac:dyDescent="0.25">
      <c r="V728" s="17">
        <v>722</v>
      </c>
      <c r="W728" s="6">
        <v>1.28166</v>
      </c>
      <c r="X728" s="19">
        <v>-3.4531000000000001</v>
      </c>
      <c r="Y728" s="6">
        <v>1.2356</v>
      </c>
      <c r="Z728" s="6">
        <v>640</v>
      </c>
      <c r="AN728" s="17">
        <v>722</v>
      </c>
      <c r="AO728" s="6">
        <v>2.7818000000000001</v>
      </c>
      <c r="AP728" s="19">
        <v>-3.4552999999999998</v>
      </c>
      <c r="AQ728" s="6">
        <v>2.68</v>
      </c>
      <c r="AR728" s="6">
        <v>346</v>
      </c>
      <c r="AT728" s="17">
        <v>722</v>
      </c>
      <c r="AU728" s="6">
        <v>5.2711100000000002</v>
      </c>
      <c r="AV728" s="19">
        <v>-3.4552999999999998</v>
      </c>
      <c r="AW728" s="6">
        <v>2.68</v>
      </c>
      <c r="AX728" s="6">
        <v>346</v>
      </c>
    </row>
    <row r="729" spans="22:50" x14ac:dyDescent="0.25">
      <c r="V729" s="17">
        <v>723</v>
      </c>
      <c r="W729" s="6">
        <v>1.2498499999999999</v>
      </c>
      <c r="X729" s="19">
        <v>-2.4472999999999998</v>
      </c>
      <c r="Y729" s="6">
        <v>1.2049000000000001</v>
      </c>
      <c r="Z729" s="6">
        <v>609</v>
      </c>
      <c r="AN729" s="17">
        <v>723</v>
      </c>
      <c r="AO729" s="6">
        <v>2.7678099999999999</v>
      </c>
      <c r="AP729" s="19">
        <v>-2.4306999999999999</v>
      </c>
      <c r="AQ729" s="6">
        <v>2.6663999999999999</v>
      </c>
      <c r="AR729" s="6">
        <v>340</v>
      </c>
      <c r="AT729" s="17">
        <v>723</v>
      </c>
      <c r="AU729" s="6">
        <v>5.2448199999999998</v>
      </c>
      <c r="AV729" s="19">
        <v>-2.4306999999999999</v>
      </c>
      <c r="AW729" s="6">
        <v>2.6663999999999999</v>
      </c>
      <c r="AX729" s="6">
        <v>340</v>
      </c>
    </row>
    <row r="730" spans="22:50" x14ac:dyDescent="0.25">
      <c r="V730" s="17">
        <v>724</v>
      </c>
      <c r="W730" s="6">
        <v>1.28223</v>
      </c>
      <c r="X730" s="6">
        <v>1.5341</v>
      </c>
      <c r="Y730" s="6">
        <v>1.2361</v>
      </c>
      <c r="Z730" s="6">
        <v>627</v>
      </c>
      <c r="AN730" s="17">
        <v>724</v>
      </c>
      <c r="AO730" s="6">
        <v>2.7815799999999999</v>
      </c>
      <c r="AP730" s="6">
        <v>1.4298999999999999</v>
      </c>
      <c r="AQ730" s="6">
        <v>2.6798000000000002</v>
      </c>
      <c r="AR730" s="6">
        <v>346</v>
      </c>
      <c r="AT730" s="17">
        <v>724</v>
      </c>
      <c r="AU730" s="6">
        <v>5.2707100000000002</v>
      </c>
      <c r="AV730" s="6">
        <v>1.4298999999999999</v>
      </c>
      <c r="AW730" s="6">
        <v>2.6798000000000002</v>
      </c>
      <c r="AX730" s="6">
        <v>346</v>
      </c>
    </row>
    <row r="731" spans="22:50" x14ac:dyDescent="0.25">
      <c r="V731" s="17">
        <v>725</v>
      </c>
      <c r="W731" s="6">
        <v>1.29362</v>
      </c>
      <c r="X731" s="19">
        <v>-4.8341000000000003</v>
      </c>
      <c r="Y731" s="6">
        <v>1.2471000000000001</v>
      </c>
      <c r="Z731" s="6">
        <v>640</v>
      </c>
      <c r="AN731" s="17">
        <v>725</v>
      </c>
      <c r="AO731" s="6">
        <v>2.7871199999999998</v>
      </c>
      <c r="AP731" s="19">
        <v>-4.8080999999999996</v>
      </c>
      <c r="AQ731" s="6">
        <v>2.6850999999999998</v>
      </c>
      <c r="AR731" s="6">
        <v>348</v>
      </c>
      <c r="AT731" s="17">
        <v>725</v>
      </c>
      <c r="AU731" s="6">
        <v>5.2811300000000001</v>
      </c>
      <c r="AV731" s="19">
        <v>-4.8080999999999996</v>
      </c>
      <c r="AW731" s="6">
        <v>2.6850999999999998</v>
      </c>
      <c r="AX731" s="6">
        <v>348</v>
      </c>
    </row>
    <row r="732" spans="22:50" x14ac:dyDescent="0.25">
      <c r="V732" s="17">
        <v>726</v>
      </c>
      <c r="W732" s="6">
        <v>1.25312</v>
      </c>
      <c r="X732" s="19">
        <v>-4.0998999999999999</v>
      </c>
      <c r="Y732" s="6">
        <v>1.2081</v>
      </c>
      <c r="Z732" s="6">
        <v>620</v>
      </c>
      <c r="AN732" s="17">
        <v>726</v>
      </c>
      <c r="AO732" s="6">
        <v>2.7696100000000001</v>
      </c>
      <c r="AP732" s="19">
        <v>-4.2107000000000001</v>
      </c>
      <c r="AQ732" s="6">
        <v>2.6682000000000001</v>
      </c>
      <c r="AR732" s="6">
        <v>340</v>
      </c>
      <c r="AT732" s="17">
        <v>726</v>
      </c>
      <c r="AU732" s="6">
        <v>5.2481900000000001</v>
      </c>
      <c r="AV732" s="19">
        <v>-4.2107000000000001</v>
      </c>
      <c r="AW732" s="6">
        <v>2.6682000000000001</v>
      </c>
      <c r="AX732" s="6">
        <v>340</v>
      </c>
    </row>
    <row r="733" spans="22:50" x14ac:dyDescent="0.25">
      <c r="V733" s="17">
        <v>727</v>
      </c>
      <c r="W733" s="6">
        <v>1.29806</v>
      </c>
      <c r="X733" s="19">
        <v>-1.3667</v>
      </c>
      <c r="Y733" s="6">
        <v>1.2514000000000001</v>
      </c>
      <c r="Z733" s="6">
        <v>622</v>
      </c>
      <c r="AN733" s="17">
        <v>727</v>
      </c>
      <c r="AO733" s="6">
        <v>2.7872599999999998</v>
      </c>
      <c r="AP733" s="19">
        <v>-1.3540000000000001</v>
      </c>
      <c r="AQ733" s="6">
        <v>2.6852999999999998</v>
      </c>
      <c r="AR733" s="6">
        <v>348</v>
      </c>
      <c r="AT733" s="17">
        <v>727</v>
      </c>
      <c r="AU733" s="6">
        <v>5.2814100000000002</v>
      </c>
      <c r="AV733" s="19">
        <v>-1.3540000000000001</v>
      </c>
      <c r="AW733" s="6">
        <v>2.6852999999999998</v>
      </c>
      <c r="AX733" s="6">
        <v>348</v>
      </c>
    </row>
    <row r="734" spans="22:50" x14ac:dyDescent="0.25">
      <c r="V734" s="17">
        <v>728</v>
      </c>
      <c r="W734" s="6">
        <v>1.2828900000000001</v>
      </c>
      <c r="X734" s="19">
        <v>-0.3609</v>
      </c>
      <c r="Y734" s="6">
        <v>1.2367999999999999</v>
      </c>
      <c r="Z734" s="6">
        <v>631</v>
      </c>
      <c r="AN734" s="17">
        <v>728</v>
      </c>
      <c r="AO734" s="6">
        <v>2.7812399999999999</v>
      </c>
      <c r="AP734" s="19">
        <v>-0.32940000000000003</v>
      </c>
      <c r="AQ734" s="6">
        <v>2.6793999999999998</v>
      </c>
      <c r="AR734" s="6">
        <v>345</v>
      </c>
      <c r="AT734" s="17">
        <v>728</v>
      </c>
      <c r="AU734" s="6">
        <v>5.2700699999999996</v>
      </c>
      <c r="AV734" s="19">
        <v>-0.32940000000000003</v>
      </c>
      <c r="AW734" s="6">
        <v>2.6793999999999998</v>
      </c>
      <c r="AX734" s="6">
        <v>345</v>
      </c>
    </row>
    <row r="735" spans="22:50" x14ac:dyDescent="0.25">
      <c r="V735" s="17">
        <v>729</v>
      </c>
      <c r="W735" s="6">
        <v>1.2975300000000001</v>
      </c>
      <c r="X735" s="6">
        <v>3.6204999999999998</v>
      </c>
      <c r="Y735" s="6">
        <v>1.2508999999999999</v>
      </c>
      <c r="Z735" s="6">
        <v>627</v>
      </c>
      <c r="AN735" s="17">
        <v>729</v>
      </c>
      <c r="AO735" s="6">
        <v>2.7873899999999998</v>
      </c>
      <c r="AP735" s="6">
        <v>3.5312000000000001</v>
      </c>
      <c r="AQ735" s="6">
        <v>2.6854</v>
      </c>
      <c r="AR735" s="6">
        <v>348</v>
      </c>
      <c r="AT735" s="17">
        <v>729</v>
      </c>
      <c r="AU735" s="6">
        <v>5.2816599999999996</v>
      </c>
      <c r="AV735" s="6">
        <v>3.5312000000000001</v>
      </c>
      <c r="AW735" s="6">
        <v>2.6854</v>
      </c>
      <c r="AX735" s="6">
        <v>348</v>
      </c>
    </row>
    <row r="736" spans="22:50" x14ac:dyDescent="0.25">
      <c r="V736" s="17">
        <v>730</v>
      </c>
      <c r="W736" s="6">
        <v>1.32992</v>
      </c>
      <c r="X736" s="19">
        <v>-2.7477</v>
      </c>
      <c r="Y736" s="6">
        <v>1.2821</v>
      </c>
      <c r="Z736" s="6">
        <v>641</v>
      </c>
      <c r="AN736" s="17">
        <v>730</v>
      </c>
      <c r="AO736" s="6">
        <v>2.8010199999999998</v>
      </c>
      <c r="AP736" s="19">
        <v>-2.7067999999999999</v>
      </c>
      <c r="AQ736" s="6">
        <v>2.6985999999999999</v>
      </c>
      <c r="AR736" s="6">
        <v>354</v>
      </c>
      <c r="AT736" s="17">
        <v>730</v>
      </c>
      <c r="AU736" s="6">
        <v>5.3072999999999997</v>
      </c>
      <c r="AV736" s="19">
        <v>-2.7067999999999999</v>
      </c>
      <c r="AW736" s="6">
        <v>2.6985999999999999</v>
      </c>
      <c r="AX736" s="6">
        <v>354</v>
      </c>
    </row>
    <row r="737" spans="22:50" x14ac:dyDescent="0.25">
      <c r="V737" s="17">
        <v>731</v>
      </c>
      <c r="W737" s="6">
        <v>1.2698400000000001</v>
      </c>
      <c r="X737" s="19">
        <v>-2.0135000000000001</v>
      </c>
      <c r="Y737" s="6">
        <v>1.2241</v>
      </c>
      <c r="Z737" s="6">
        <v>597</v>
      </c>
      <c r="AN737" s="17">
        <v>731</v>
      </c>
      <c r="AO737" s="6">
        <v>2.7754599999999998</v>
      </c>
      <c r="AP737" s="19">
        <v>-2.1093999999999999</v>
      </c>
      <c r="AQ737" s="6">
        <v>2.6738</v>
      </c>
      <c r="AR737" s="6">
        <v>343</v>
      </c>
      <c r="AT737" s="17">
        <v>731</v>
      </c>
      <c r="AU737" s="6">
        <v>5.25922</v>
      </c>
      <c r="AV737" s="19">
        <v>-2.1093999999999999</v>
      </c>
      <c r="AW737" s="6">
        <v>2.6738</v>
      </c>
      <c r="AX737" s="6">
        <v>343</v>
      </c>
    </row>
    <row r="738" spans="22:50" x14ac:dyDescent="0.25">
      <c r="V738" s="17">
        <v>732</v>
      </c>
      <c r="W738" s="6">
        <v>1.2888500000000001</v>
      </c>
      <c r="X738" s="6">
        <v>1.0058</v>
      </c>
      <c r="Y738" s="6">
        <v>1.2424999999999999</v>
      </c>
      <c r="Z738" s="6">
        <v>632</v>
      </c>
      <c r="AN738" s="17">
        <v>732</v>
      </c>
      <c r="AO738" s="6">
        <v>2.7846000000000002</v>
      </c>
      <c r="AP738" s="6">
        <v>1.0246999999999999</v>
      </c>
      <c r="AQ738" s="6">
        <v>2.6827000000000001</v>
      </c>
      <c r="AR738" s="6">
        <v>347</v>
      </c>
      <c r="AT738" s="17">
        <v>732</v>
      </c>
      <c r="AU738" s="6">
        <v>5.2763900000000001</v>
      </c>
      <c r="AV738" s="6">
        <v>1.0246999999999999</v>
      </c>
      <c r="AW738" s="6">
        <v>2.6827000000000001</v>
      </c>
      <c r="AX738" s="6">
        <v>347</v>
      </c>
    </row>
    <row r="739" spans="22:50" x14ac:dyDescent="0.25">
      <c r="V739" s="17">
        <v>733</v>
      </c>
      <c r="W739" s="6">
        <v>1.29114</v>
      </c>
      <c r="X739" s="6">
        <v>4.9871999999999996</v>
      </c>
      <c r="Y739" s="6">
        <v>1.2446999999999999</v>
      </c>
      <c r="Z739" s="6">
        <v>620</v>
      </c>
      <c r="AN739" s="17">
        <v>733</v>
      </c>
      <c r="AO739" s="6">
        <v>2.7852000000000001</v>
      </c>
      <c r="AP739" s="6">
        <v>4.8852000000000002</v>
      </c>
      <c r="AQ739" s="6">
        <v>2.6833</v>
      </c>
      <c r="AR739" s="6">
        <v>347</v>
      </c>
      <c r="AT739" s="17">
        <v>733</v>
      </c>
      <c r="AU739" s="6">
        <v>5.27752</v>
      </c>
      <c r="AV739" s="6">
        <v>4.8852000000000002</v>
      </c>
      <c r="AW739" s="6">
        <v>2.6833</v>
      </c>
      <c r="AX739" s="6">
        <v>347</v>
      </c>
    </row>
    <row r="740" spans="22:50" x14ac:dyDescent="0.25">
      <c r="V740" s="17">
        <v>734</v>
      </c>
      <c r="W740" s="6">
        <v>1.3005500000000001</v>
      </c>
      <c r="X740" s="19">
        <v>-1.381</v>
      </c>
      <c r="Y740" s="6">
        <v>1.2538</v>
      </c>
      <c r="Z740" s="6">
        <v>609</v>
      </c>
      <c r="AN740" s="17">
        <v>734</v>
      </c>
      <c r="AO740" s="6">
        <v>2.7880600000000002</v>
      </c>
      <c r="AP740" s="19">
        <v>-1.3528</v>
      </c>
      <c r="AQ740" s="6">
        <v>2.6859999999999999</v>
      </c>
      <c r="AR740" s="6">
        <v>348</v>
      </c>
      <c r="AT740" s="17">
        <v>734</v>
      </c>
      <c r="AU740" s="6">
        <v>5.2829199999999998</v>
      </c>
      <c r="AV740" s="19">
        <v>-1.3528</v>
      </c>
      <c r="AW740" s="6">
        <v>2.6859999999999999</v>
      </c>
      <c r="AX740" s="6">
        <v>348</v>
      </c>
    </row>
    <row r="741" spans="22:50" x14ac:dyDescent="0.25">
      <c r="V741" s="17">
        <v>735</v>
      </c>
      <c r="W741" s="6">
        <v>1.25701</v>
      </c>
      <c r="X741" s="19">
        <v>-0.64670000000000005</v>
      </c>
      <c r="Y741" s="6">
        <v>1.2118</v>
      </c>
      <c r="Z741" s="6">
        <v>595</v>
      </c>
      <c r="AN741" s="17">
        <v>735</v>
      </c>
      <c r="AO741" s="6">
        <v>2.7700200000000001</v>
      </c>
      <c r="AP741" s="19">
        <v>-0.75529999999999997</v>
      </c>
      <c r="AQ741" s="6">
        <v>2.6686000000000001</v>
      </c>
      <c r="AR741" s="6">
        <v>340</v>
      </c>
      <c r="AT741" s="17">
        <v>735</v>
      </c>
      <c r="AU741" s="6">
        <v>5.2489800000000004</v>
      </c>
      <c r="AV741" s="19">
        <v>-0.75529999999999997</v>
      </c>
      <c r="AW741" s="6">
        <v>2.6686000000000001</v>
      </c>
      <c r="AX741" s="6">
        <v>340</v>
      </c>
    </row>
    <row r="742" spans="22:50" x14ac:dyDescent="0.25">
      <c r="V742" s="17">
        <v>736</v>
      </c>
      <c r="W742" s="6">
        <v>1.29708</v>
      </c>
      <c r="X742" s="6">
        <v>3.9813999999999998</v>
      </c>
      <c r="Y742" s="6">
        <v>1.2504999999999999</v>
      </c>
      <c r="Z742" s="6">
        <v>650</v>
      </c>
      <c r="AN742" s="17">
        <v>736</v>
      </c>
      <c r="AO742" s="6">
        <v>2.7882699999999998</v>
      </c>
      <c r="AP742" s="6">
        <v>3.8605</v>
      </c>
      <c r="AQ742" s="6">
        <v>2.6863000000000001</v>
      </c>
      <c r="AR742" s="6">
        <v>349</v>
      </c>
      <c r="AT742" s="17">
        <v>736</v>
      </c>
      <c r="AU742" s="6">
        <v>5.2833100000000002</v>
      </c>
      <c r="AV742" s="6">
        <v>3.8605</v>
      </c>
      <c r="AW742" s="6">
        <v>2.6863000000000001</v>
      </c>
      <c r="AX742" s="6">
        <v>349</v>
      </c>
    </row>
    <row r="743" spans="22:50" x14ac:dyDescent="0.25">
      <c r="V743" s="17">
        <v>737</v>
      </c>
      <c r="W743" s="6">
        <v>1.29688</v>
      </c>
      <c r="X743" s="19">
        <v>-2.3868</v>
      </c>
      <c r="Y743" s="6">
        <v>1.2503</v>
      </c>
      <c r="Z743" s="6">
        <v>626</v>
      </c>
      <c r="AN743" s="17">
        <v>737</v>
      </c>
      <c r="AO743" s="6">
        <v>2.78688</v>
      </c>
      <c r="AP743" s="19">
        <v>-2.3774000000000002</v>
      </c>
      <c r="AQ743" s="6">
        <v>2.6848999999999998</v>
      </c>
      <c r="AR743" s="6">
        <v>348</v>
      </c>
      <c r="AT743" s="17">
        <v>737</v>
      </c>
      <c r="AU743" s="6">
        <v>5.2806899999999999</v>
      </c>
      <c r="AV743" s="19">
        <v>-2.3774000000000002</v>
      </c>
      <c r="AW743" s="6">
        <v>2.6848999999999998</v>
      </c>
      <c r="AX743" s="6">
        <v>348</v>
      </c>
    </row>
    <row r="744" spans="22:50" x14ac:dyDescent="0.25">
      <c r="V744" s="17">
        <v>738</v>
      </c>
      <c r="W744" s="6">
        <v>1.2659100000000001</v>
      </c>
      <c r="X744" s="19">
        <v>-1.6526000000000001</v>
      </c>
      <c r="Y744" s="6">
        <v>1.2203999999999999</v>
      </c>
      <c r="Z744" s="6">
        <v>633</v>
      </c>
      <c r="AN744" s="17">
        <v>738</v>
      </c>
      <c r="AO744" s="6">
        <v>2.7747999999999999</v>
      </c>
      <c r="AP744" s="19">
        <v>-1.78</v>
      </c>
      <c r="AQ744" s="6">
        <v>2.6732</v>
      </c>
      <c r="AR744" s="6">
        <v>343</v>
      </c>
      <c r="AT744" s="17">
        <v>738</v>
      </c>
      <c r="AU744" s="6">
        <v>5.2579599999999997</v>
      </c>
      <c r="AV744" s="19">
        <v>-1.78</v>
      </c>
      <c r="AW744" s="6">
        <v>2.6732</v>
      </c>
      <c r="AX744" s="6">
        <v>343</v>
      </c>
    </row>
    <row r="745" spans="22:50" x14ac:dyDescent="0.25">
      <c r="V745" s="17">
        <v>739</v>
      </c>
      <c r="W745" s="6">
        <v>1.3073300000000001</v>
      </c>
      <c r="X745" s="19">
        <v>-6.3681999999999999</v>
      </c>
      <c r="Y745" s="6">
        <v>1.2603</v>
      </c>
      <c r="Z745" s="6">
        <v>634</v>
      </c>
      <c r="AN745" s="17">
        <v>739</v>
      </c>
      <c r="AO745" s="6">
        <v>2.7921299999999998</v>
      </c>
      <c r="AP745" s="19">
        <v>-6.2380000000000004</v>
      </c>
      <c r="AQ745" s="6">
        <v>2.69</v>
      </c>
      <c r="AR745" s="6">
        <v>350</v>
      </c>
      <c r="AT745" s="17">
        <v>739</v>
      </c>
      <c r="AU745" s="6">
        <v>5.2905699999999998</v>
      </c>
      <c r="AV745" s="19">
        <v>-6.2380000000000004</v>
      </c>
      <c r="AW745" s="6">
        <v>2.69</v>
      </c>
      <c r="AX745" s="6">
        <v>350</v>
      </c>
    </row>
    <row r="746" spans="22:50" x14ac:dyDescent="0.25">
      <c r="V746" s="17">
        <v>740</v>
      </c>
      <c r="W746" s="6">
        <v>1.26511</v>
      </c>
      <c r="X746" s="19">
        <v>-5.6340000000000003</v>
      </c>
      <c r="Y746" s="6">
        <v>1.2196</v>
      </c>
      <c r="Z746" s="6">
        <v>597</v>
      </c>
      <c r="AN746" s="17">
        <v>740</v>
      </c>
      <c r="AO746" s="6">
        <v>2.7728600000000001</v>
      </c>
      <c r="AP746" s="19">
        <v>-5.6405000000000003</v>
      </c>
      <c r="AQ746" s="6">
        <v>2.6713</v>
      </c>
      <c r="AR746" s="6">
        <v>341</v>
      </c>
      <c r="AT746" s="17">
        <v>740</v>
      </c>
      <c r="AU746" s="6">
        <v>5.2543300000000004</v>
      </c>
      <c r="AV746" s="19">
        <v>-5.6405000000000003</v>
      </c>
      <c r="AW746" s="6">
        <v>2.6713</v>
      </c>
      <c r="AX746" s="6">
        <v>341</v>
      </c>
    </row>
    <row r="747" spans="22:50" x14ac:dyDescent="0.25">
      <c r="V747" s="17">
        <v>741</v>
      </c>
      <c r="W747" s="6">
        <v>1.2953300000000001</v>
      </c>
      <c r="X747" s="6">
        <v>0.73419999999999996</v>
      </c>
      <c r="Y747" s="6">
        <v>1.2487999999999999</v>
      </c>
      <c r="Z747" s="6">
        <v>627</v>
      </c>
      <c r="AN747" s="17">
        <v>741</v>
      </c>
      <c r="AO747" s="6">
        <v>2.7868200000000001</v>
      </c>
      <c r="AP747" s="6">
        <v>0.59740000000000004</v>
      </c>
      <c r="AQ747" s="6">
        <v>2.6848000000000001</v>
      </c>
      <c r="AR747" s="6">
        <v>348</v>
      </c>
      <c r="AT747" s="17">
        <v>741</v>
      </c>
      <c r="AU747" s="6">
        <v>5.28057</v>
      </c>
      <c r="AV747" s="6">
        <v>0.59740000000000004</v>
      </c>
      <c r="AW747" s="6">
        <v>2.6848000000000001</v>
      </c>
      <c r="AX747" s="6">
        <v>348</v>
      </c>
    </row>
  </sheetData>
  <sortState xmlns:xlrd2="http://schemas.microsoft.com/office/spreadsheetml/2017/richdata2" ref="AC7:AL45">
    <sortCondition descending="1" ref="AE7:AE45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CA13A-563C-4C94-A478-0E6873F718E1}">
  <dimension ref="B2:J21"/>
  <sheetViews>
    <sheetView zoomScaleNormal="100" workbookViewId="0">
      <selection activeCell="E20" sqref="E20"/>
    </sheetView>
  </sheetViews>
  <sheetFormatPr defaultRowHeight="15.75" x14ac:dyDescent="0.25"/>
  <sheetData>
    <row r="2" spans="2:10" x14ac:dyDescent="0.25">
      <c r="B2" t="s">
        <v>76</v>
      </c>
      <c r="J2" s="10"/>
    </row>
    <row r="3" spans="2:10" x14ac:dyDescent="0.25">
      <c r="B3" t="s">
        <v>77</v>
      </c>
    </row>
    <row r="4" spans="2:10" x14ac:dyDescent="0.25">
      <c r="B4" t="s">
        <v>9</v>
      </c>
    </row>
    <row r="6" spans="2:10" x14ac:dyDescent="0.25">
      <c r="B6" t="s">
        <v>60</v>
      </c>
    </row>
    <row r="7" spans="2:10" x14ac:dyDescent="0.25">
      <c r="B7" t="s">
        <v>78</v>
      </c>
    </row>
    <row r="8" spans="2:10" x14ac:dyDescent="0.25">
      <c r="B8" t="s">
        <v>62</v>
      </c>
    </row>
    <row r="9" spans="2:10" x14ac:dyDescent="0.25">
      <c r="B9" t="s">
        <v>79</v>
      </c>
    </row>
    <row r="10" spans="2:10" x14ac:dyDescent="0.25">
      <c r="B10" t="s">
        <v>80</v>
      </c>
    </row>
    <row r="11" spans="2:10" x14ac:dyDescent="0.25">
      <c r="B11" t="s">
        <v>81</v>
      </c>
    </row>
    <row r="12" spans="2:10" x14ac:dyDescent="0.25">
      <c r="B12" t="s">
        <v>82</v>
      </c>
    </row>
    <row r="13" spans="2:10" x14ac:dyDescent="0.25">
      <c r="B13" t="s">
        <v>64</v>
      </c>
    </row>
    <row r="15" spans="2:10" x14ac:dyDescent="0.25">
      <c r="B15" t="s">
        <v>76</v>
      </c>
    </row>
    <row r="16" spans="2:10" x14ac:dyDescent="0.25">
      <c r="B16" t="s">
        <v>83</v>
      </c>
    </row>
    <row r="17" spans="2:2" x14ac:dyDescent="0.25">
      <c r="B17" t="s">
        <v>84</v>
      </c>
    </row>
    <row r="18" spans="2:2" x14ac:dyDescent="0.25">
      <c r="B18" t="s">
        <v>85</v>
      </c>
    </row>
    <row r="19" spans="2:2" x14ac:dyDescent="0.25">
      <c r="B19" t="s">
        <v>86</v>
      </c>
    </row>
    <row r="20" spans="2:2" x14ac:dyDescent="0.25">
      <c r="B20" t="s">
        <v>87</v>
      </c>
    </row>
    <row r="21" spans="2:2" x14ac:dyDescent="0.25">
      <c r="B21" t="s">
        <v>88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SAS ALL</vt:lpstr>
      <vt:lpstr>AJ csv</vt:lpstr>
      <vt:lpstr>ALL pivot</vt:lpstr>
      <vt:lpstr>2025 sites raw</vt:lpstr>
      <vt:lpstr>NE Pivot</vt:lpstr>
      <vt:lpstr>SAS NE</vt:lpstr>
      <vt:lpstr>SE Pivot</vt:lpstr>
      <vt:lpstr>SAS SE</vt:lpstr>
      <vt:lpstr>Methodology</vt:lpstr>
      <vt:lpstr>SAS-spatial within site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Jones-Diamond,Sally</dc:creator>
  <cp:keywords/>
  <dc:description/>
  <cp:lastModifiedBy>Ansley Brown</cp:lastModifiedBy>
  <cp:revision/>
  <dcterms:created xsi:type="dcterms:W3CDTF">2022-08-25T19:56:01Z</dcterms:created>
  <dcterms:modified xsi:type="dcterms:W3CDTF">2025-11-20T18:07:31Z</dcterms:modified>
  <cp:category/>
  <cp:contentStatus/>
</cp:coreProperties>
</file>